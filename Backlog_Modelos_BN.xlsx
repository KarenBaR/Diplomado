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sumen" sheetId="1" state="visible" r:id="rId3"/>
    <sheet name="Backlog Proyectos" sheetId="2" state="visible" r:id="rId4"/>
    <sheet name="Fuentes de Datos" sheetId="3" state="visible" r:id="rId5"/>
    <sheet name="Pilotos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<sst xmlns="http://schemas.openxmlformats.org/spreadsheetml/2006/main" count="153" uniqueCount="114">
  <si>
    <t xml:space="preserve">Portafolio de Modelos &amp; Analítica</t>
  </si>
  <si>
    <t xml:space="preserve">Actualizado:</t>
  </si>
  <si>
    <t xml:space="preserve">Banca Negocio · NBC Empresas — Advanced Analytics &amp; AI</t>
  </si>
  <si>
    <t xml:space="preserve">Jefatura de Analytics · Karen Sofía Barrozo</t>
  </si>
  <si>
    <t xml:space="preserve">TOTAL PROYECTOS</t>
  </si>
  <si>
    <t xml:space="preserve">EN DESARROLLO</t>
  </si>
  <si>
    <t xml:space="preserve">EN PILOTO</t>
  </si>
  <si>
    <t xml:space="preserve">EN PRODUCCIÓN</t>
  </si>
  <si>
    <t xml:space="preserve">Distribución por Estado</t>
  </si>
  <si>
    <t xml:space="preserve">Distribución por Prioridad</t>
  </si>
  <si>
    <t xml:space="preserve">Estado</t>
  </si>
  <si>
    <t xml:space="preserve">N° Proyectos</t>
  </si>
  <si>
    <t xml:space="preserve">Prioridad</t>
  </si>
  <si>
    <t xml:space="preserve">Backlog</t>
  </si>
  <si>
    <t xml:space="preserve">Alta</t>
  </si>
  <si>
    <t xml:space="preserve">En desarrollo</t>
  </si>
  <si>
    <t xml:space="preserve">Media</t>
  </si>
  <si>
    <t xml:space="preserve">Piloto</t>
  </si>
  <si>
    <t xml:space="preserve">Baja</t>
  </si>
  <si>
    <t xml:space="preserve">Producción / Monitoreo</t>
  </si>
  <si>
    <t xml:space="preserve">Pausado</t>
  </si>
  <si>
    <t xml:space="preserve">Impacto Económico Esperado del Portafolio (S/ MM)</t>
  </si>
  <si>
    <t xml:space="preserve">Completado</t>
  </si>
  <si>
    <t xml:space="preserve">TOTAL</t>
  </si>
  <si>
    <t xml:space="preserve">Próximos Hitos</t>
  </si>
  <si>
    <t xml:space="preserve">Proyecto</t>
  </si>
  <si>
    <t xml:space="preserve">Próximo Paso / Hito</t>
  </si>
  <si>
    <t xml:space="preserve">Fecha Objetivo</t>
  </si>
  <si>
    <t xml:space="preserve">Responsable</t>
  </si>
  <si>
    <t xml:space="preserve">Backlog de Proyectos &amp; Modelos</t>
  </si>
  <si>
    <t xml:space="preserve">Vista de gestión — editable. Usa las listas desplegables en Categoría, Prioridad y Estado.</t>
  </si>
  <si>
    <t xml:space="preserve">ID</t>
  </si>
  <si>
    <t xml:space="preserve">Proyecto / Modelo</t>
  </si>
  <si>
    <t xml:space="preserve">Categoría</t>
  </si>
  <si>
    <t xml:space="preserve">Objetivo / Descripción</t>
  </si>
  <si>
    <t xml:space="preserve">Aprobador</t>
  </si>
  <si>
    <t xml:space="preserve">Inicio</t>
  </si>
  <si>
    <t xml:space="preserve">Hito / Fecha objetivo</t>
  </si>
  <si>
    <t xml:space="preserve">Próximo Paso</t>
  </si>
  <si>
    <t xml:space="preserve">% Avance</t>
  </si>
  <si>
    <t xml:space="preserve">Impacto Esp. (S/ MM)</t>
  </si>
  <si>
    <t xml:space="preserve">Riesgos / Bloqueos</t>
  </si>
  <si>
    <t xml:space="preserve">Asistente de IA Desembolso (Titán)</t>
  </si>
  <si>
    <t xml:space="preserve">Agente IA</t>
  </si>
  <si>
    <t xml:space="preserve">Agente conversacional (FastAPI) que apoya la decisión de desembolso y compra de deuda; alertas de variación de deuda, campos SBS/atraso. Despliegue en Microsoft Copilot Studio.</t>
  </si>
  <si>
    <t xml:space="preserve">Sofía</t>
  </si>
  <si>
    <t xml:space="preserve">Kevin Berrios</t>
  </si>
  <si>
    <t xml:space="preserve">Despliegue en Copilot Studio vía Cloudflare Tunnel y medir precisión con GF declarado.</t>
  </si>
  <si>
    <t xml:space="preserve">Diferencia de precisión 65.7% (GF declarado) vs 0.4% (margen_asignado autónomo).</t>
  </si>
  <si>
    <t xml:space="preserve">Zonas Potenciales</t>
  </si>
  <si>
    <t xml:space="preserve">Analítica / Geo</t>
  </si>
  <si>
    <t xml:space="preserve">Identificación y priorización de zonas comerciales potenciales (Gamarra/Arequipa) y rutas comerciales. Geolocalización SUNAT + Haversine.</t>
  </si>
  <si>
    <t xml:space="preserve">Fernando</t>
  </si>
  <si>
    <t xml:space="preserve">Patsy Colonio</t>
  </si>
  <si>
    <t xml:space="preserve">Actualizar base y medir el impacto económico del proyecto.</t>
  </si>
  <si>
    <t xml:space="preserve">Pendiente refresco de base de direcciones fiscales.</t>
  </si>
  <si>
    <t xml:space="preserve">Modelo de Fuga (NBC Empresas)</t>
  </si>
  <si>
    <t xml:space="preserve">Modelo ML</t>
  </si>
  <si>
    <t xml:space="preserve">Predicción de fuga / compra de deuda para Banca Negocio. Pipeline SQL en Athena con target y features parametrizados (251+ variables) y diccionario de datos.</t>
  </si>
  <si>
    <t xml:space="preserve">Actualizar base de despliegue y cerrar contrato de columnas.</t>
  </si>
  <si>
    <t xml:space="preserve">Hallazgo: IBK ya era banco dominante (SOW prom. 77%) antes de la fuga → problema de retención.</t>
  </si>
  <si>
    <t xml:space="preserve">Modelo de Izipay (Propensión)</t>
  </si>
  <si>
    <t xml:space="preserve">Refactor del pipeline de propensión Izipay: plantilla SQL_BASE unificada con build_train()/build_score(); backtest y recalibración por grupos.</t>
  </si>
  <si>
    <t xml:space="preserve">Backtest sobre gestión, medir impacto de flujo transaccional, añadir variables (cash-in: planillas, pago serv.) y descriptivo del target.</t>
  </si>
  <si>
    <t xml:space="preserve">Decisión abierta: contrato de columnas canónico vs feature list del modelo serializado.</t>
  </si>
  <si>
    <t xml:space="preserve">Fuentes de Datos &amp; Certificación</t>
  </si>
  <si>
    <t xml:space="preserve">Inventario de insumos de datos y su estado de certificación.</t>
  </si>
  <si>
    <t xml:space="preserve">Fuente / Tabla</t>
  </si>
  <si>
    <t xml:space="preserve">Esquema (Athena)</t>
  </si>
  <si>
    <t xml:space="preserve">Tipo</t>
  </si>
  <si>
    <t xml:space="preserve">Proyecto(s) que la usan</t>
  </si>
  <si>
    <t xml:space="preserve">Últ. actualización</t>
  </si>
  <si>
    <t xml:space="preserve">Observaciones</t>
  </si>
  <si>
    <t xml:space="preserve">Data Desembolsos general</t>
  </si>
  <si>
    <t xml:space="preserve">disc_comercial</t>
  </si>
  <si>
    <t xml:space="preserve">Insumo</t>
  </si>
  <si>
    <t xml:space="preserve">Certificado</t>
  </si>
  <si>
    <t xml:space="preserve">Asistente IA Desembolso / Fuga</t>
  </si>
  <si>
    <t xml:space="preserve">Funnel BN</t>
  </si>
  <si>
    <t xml:space="preserve">Mejor Canal / Fuga</t>
  </si>
  <si>
    <t xml:space="preserve">Gescom TLV</t>
  </si>
  <si>
    <t xml:space="preserve">TLV B / Canales</t>
  </si>
  <si>
    <t xml:space="preserve">Data Izipay</t>
  </si>
  <si>
    <t xml:space="preserve">e_perm_aws</t>
  </si>
  <si>
    <t xml:space="preserve">En certificación</t>
  </si>
  <si>
    <t xml:space="preserve">Modelo de Izipay</t>
  </si>
  <si>
    <t xml:space="preserve">Añadir variables cash-in (planillas, pago serv.).</t>
  </si>
  <si>
    <t xml:space="preserve">BASE_BPE_ADQ_ACT</t>
  </si>
  <si>
    <t xml:space="preserve">Despriorizado</t>
  </si>
  <si>
    <t xml:space="preserve">—</t>
  </si>
  <si>
    <t xml:space="preserve">Despriorizado por el momento.</t>
  </si>
  <si>
    <t xml:space="preserve">Seguimiento de Pilotos &amp; Experimentos</t>
  </si>
  <si>
    <t xml:space="preserve">Pilotos con grupo control, métrica de éxito y decisión.</t>
  </si>
  <si>
    <t xml:space="preserve">Proyecto asociado</t>
  </si>
  <si>
    <t xml:space="preserve">Hipótesis</t>
  </si>
  <si>
    <t xml:space="preserve">Diseño (Piloto / Control)</t>
  </si>
  <si>
    <t xml:space="preserve">Métrica de éxito</t>
  </si>
  <si>
    <t xml:space="preserve">Periodo</t>
  </si>
  <si>
    <t xml:space="preserve">Resultado</t>
  </si>
  <si>
    <t xml:space="preserve">Decisión / Siguientes pasos</t>
  </si>
  <si>
    <t xml:space="preserve">Piloto / Control Cartera</t>
  </si>
  <si>
    <t xml:space="preserve">Cartera priorización</t>
  </si>
  <si>
    <t xml:space="preserve">La priorización por modelo incrementa el monto colocado vs gestión estándar.</t>
  </si>
  <si>
    <t xml:space="preserve">Terciles IAM: 14 Piloto vs 14 Control</t>
  </si>
  <si>
    <t xml:space="preserve">Monto colocado (S/)</t>
  </si>
  <si>
    <t xml:space="preserve">Ene-26</t>
  </si>
  <si>
    <t xml:space="preserve">Piloto S/23.45M vs Control S/21.56M (+S/4.85M)</t>
  </si>
  <si>
    <t xml:space="preserve">Escalar priorización; baseline de referencia Ene-26.</t>
  </si>
  <si>
    <t xml:space="preserve">Las zonas priorizadas generan mayor conversión/colocación.</t>
  </si>
  <si>
    <t xml:space="preserve">Estratificado por canal × score</t>
  </si>
  <si>
    <t xml:space="preserve">Impacto económico (S/)</t>
  </si>
  <si>
    <t xml:space="preserve">En curso</t>
  </si>
  <si>
    <t xml:space="preserve">Por medir</t>
  </si>
  <si>
    <t xml:space="preserve">Actualizar base y medir impacto.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</si>
</sst>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dd/mm/yyyy"/>
    <numFmt numFmtId="166" formatCode="General"/>
    <numFmt numFmtId="167" formatCode="&quot;S/ &quot;#,##0.0;;\-"/>
    <numFmt numFmtId="168" formatCode="0%"/>
    <numFmt numFmtId="169" formatCode="#,##0.0;;\-"/>
  </numFmts>
  <fonts count="2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color rgb="FF005F1E"/>
      <name val="Calibri"/>
      <family val="0"/>
      <charset val="1"/>
    </font>
    <font>
      <sz val="9"/>
      <color rgb="FF475467"/>
      <name val="Calibri"/>
      <family val="0"/>
      <charset val="1"/>
    </font>
    <font>
      <b val="true"/>
      <sz val="9"/>
      <color rgb="FF005F1E"/>
      <name val="Calibri"/>
      <family val="0"/>
      <charset val="1"/>
    </font>
    <font>
      <sz val="11"/>
      <color rgb="FF475467"/>
      <name val="Calibri"/>
      <family val="0"/>
      <charset val="1"/>
    </font>
    <font>
      <i val="true"/>
      <sz val="10"/>
      <color rgb="FF475467"/>
      <name val="Calibri"/>
      <family val="0"/>
      <charset val="1"/>
    </font>
    <font>
      <b val="true"/>
      <sz val="9"/>
      <color rgb="FFFFFFFF"/>
      <name val="Calibri"/>
      <family val="0"/>
      <charset val="1"/>
    </font>
    <font>
      <b val="true"/>
      <sz val="26"/>
      <color rgb="FF005F1E"/>
      <name val="Calibri"/>
      <family val="0"/>
      <charset val="1"/>
    </font>
    <font>
      <b val="true"/>
      <sz val="26"/>
      <color rgb="FF1F4592"/>
      <name val="Calibri"/>
      <family val="0"/>
      <charset val="1"/>
    </font>
    <font>
      <b val="true"/>
      <sz val="26"/>
      <color rgb="FF00BE50"/>
      <name val="Calibri"/>
      <family val="0"/>
      <charset val="1"/>
    </font>
    <font>
      <b val="true"/>
      <sz val="12"/>
      <color rgb="FF005F1E"/>
      <name val="Calibri"/>
      <family val="0"/>
      <charset val="1"/>
    </font>
    <font>
      <b val="true"/>
      <sz val="12"/>
      <color rgb="FF1F4592"/>
      <name val="Calibri"/>
      <family val="0"/>
      <charset val="1"/>
    </font>
    <font>
      <b val="true"/>
      <sz val="10"/>
      <color rgb="FFFFFFFF"/>
      <name val="Calibri"/>
      <family val="0"/>
      <charset val="1"/>
    </font>
    <font>
      <sz val="10"/>
      <color rgb="FF101828"/>
      <name val="Calibri"/>
      <family val="0"/>
      <charset val="1"/>
    </font>
    <font>
      <b val="true"/>
      <sz val="11"/>
      <color rgb="FF005F1E"/>
      <name val="Calibri"/>
      <family val="0"/>
      <charset val="1"/>
    </font>
    <font>
      <b val="true"/>
      <sz val="22"/>
      <color rgb="FF005F1E"/>
      <name val="Calibri"/>
      <family val="0"/>
      <charset val="1"/>
    </font>
    <font>
      <b val="true"/>
      <sz val="10"/>
      <color rgb="FF101828"/>
      <name val="Calibri"/>
      <family val="0"/>
      <charset val="1"/>
    </font>
    <font>
      <b val="true"/>
      <sz val="16"/>
      <color rgb="FF005F1E"/>
      <name val="Calibri"/>
      <family val="0"/>
      <charset val="1"/>
    </font>
    <font>
      <i val="true"/>
      <sz val="9"/>
      <color rgb="FF475467"/>
      <name val="Calibri"/>
      <family val="0"/>
      <charset val="1"/>
    </font>
    <font>
      <sz val="9"/>
      <color rgb="FF101828"/>
      <name val="Calibri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005F1E"/>
        <bgColor rgb="FF008080"/>
      </patternFill>
    </fill>
    <fill>
      <patternFill patternType="solid">
        <fgColor rgb="FF1F4592"/>
        <bgColor rgb="FF003366"/>
      </patternFill>
    </fill>
    <fill>
      <patternFill patternType="solid">
        <fgColor rgb="FF00BE50"/>
        <bgColor rgb="FF008080"/>
      </patternFill>
    </fill>
    <fill>
      <patternFill patternType="solid">
        <fgColor rgb="FFC6FFC0"/>
        <bgColor rgb="FFCCFFFF"/>
      </patternFill>
    </fill>
    <fill>
      <patternFill patternType="solid">
        <fgColor rgb="FFE8EEFB"/>
        <bgColor rgb="FFEAECF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0D5DD"/>
      </left>
      <right style="thin">
        <color rgb="FFD0D5DD"/>
      </right>
      <top style="thin">
        <color rgb="FFD0D5DD"/>
      </top>
      <bottom style="thin">
        <color rgb="FFD0D5DD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6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0" fillId="5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1" fillId="6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2" fillId="5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1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8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9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1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2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2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22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22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22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9">
    <dxf>
      <font>
        <name val="Calibri"/>
        <charset val="1"/>
        <family val="0"/>
        <b val="1"/>
        <color rgb="FF475467"/>
        <sz val="9"/>
      </font>
      <fill>
        <patternFill>
          <bgColor rgb="FFEAECF0"/>
        </patternFill>
      </fill>
    </dxf>
    <dxf>
      <font>
        <name val="Calibri"/>
        <charset val="1"/>
        <family val="0"/>
        <b val="1"/>
        <color rgb="FFFFFFFF"/>
        <sz val="9"/>
      </font>
      <fill>
        <patternFill>
          <bgColor rgb="FF1F4592"/>
        </patternFill>
      </fill>
    </dxf>
    <dxf>
      <font>
        <name val="Calibri"/>
        <charset val="1"/>
        <family val="0"/>
        <b val="1"/>
        <color rgb="FF005F1E"/>
        <sz val="9"/>
      </font>
      <fill>
        <patternFill>
          <bgColor rgb="FFC6FFC0"/>
        </patternFill>
      </fill>
    </dxf>
    <dxf>
      <font>
        <name val="Calibri"/>
        <charset val="1"/>
        <family val="0"/>
        <b val="1"/>
        <color rgb="FFFFFFFF"/>
        <sz val="9"/>
      </font>
      <fill>
        <patternFill>
          <bgColor rgb="FF00BE50"/>
        </patternFill>
      </fill>
    </dxf>
    <dxf>
      <font>
        <name val="Calibri"/>
        <charset val="1"/>
        <family val="0"/>
        <b val="1"/>
        <color rgb="FFFFFFFF"/>
        <sz val="9"/>
      </font>
      <fill>
        <patternFill>
          <bgColor rgb="FFF79009"/>
        </patternFill>
      </fill>
    </dxf>
    <dxf>
      <font>
        <name val="Calibri"/>
        <charset val="1"/>
        <family val="0"/>
        <b val="1"/>
        <color rgb="FFFFFFFF"/>
        <sz val="9"/>
      </font>
      <fill>
        <patternFill>
          <bgColor rgb="FF667085"/>
        </patternFill>
      </fill>
    </dxf>
    <dxf>
      <font>
        <name val="Calibri"/>
        <charset val="1"/>
        <family val="0"/>
        <b val="1"/>
        <color rgb="FFFFFFFF"/>
        <sz val="9"/>
      </font>
      <fill>
        <patternFill>
          <bgColor rgb="FFD92D20"/>
        </patternFill>
      </fill>
    </dxf>
    <dxf>
      <font>
        <name val="Calibri"/>
        <charset val="1"/>
        <family val="0"/>
        <b val="1"/>
        <color rgb="FF000000"/>
        <sz val="9"/>
      </font>
      <fill>
        <patternFill>
          <bgColor rgb="FFFEC84B"/>
        </patternFill>
      </fill>
    </dxf>
    <dxf>
      <font>
        <name val="Calibri"/>
        <charset val="1"/>
        <family val="0"/>
        <b val="1"/>
        <color rgb="FF000000"/>
        <sz val="9"/>
      </font>
      <fill>
        <patternFill>
          <bgColor rgb="FFD0D5DD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5F1E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EAECF0"/>
      <rgbColor rgb="FFE8EEFB"/>
      <rgbColor rgb="FF660066"/>
      <rgbColor rgb="FFFF8080"/>
      <rgbColor rgb="FF0066CC"/>
      <rgbColor rgb="FFD0D5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FFC0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EC84B"/>
      <rgbColor rgb="FFF79009"/>
      <rgbColor rgb="FFFF6600"/>
      <rgbColor rgb="FF667085"/>
      <rgbColor rgb="FF969696"/>
      <rgbColor rgb="FF003366"/>
      <rgbColor rgb="FF00BE50"/>
      <rgbColor rgb="FF101828"/>
      <rgbColor rgb="FF333300"/>
      <rgbColor rgb="FFD92D20"/>
      <rgbColor rgb="FF993366"/>
      <rgbColor rgb="FF1F4592"/>
      <rgbColor rgb="FF47546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I2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6"/>
    <col collapsed="false" customWidth="true" hidden="false" outlineLevel="0" max="3" min="3" style="0" width="22"/>
    <col collapsed="false" customWidth="true" hidden="false" outlineLevel="0" max="4" min="4" style="0" width="18"/>
    <col collapsed="false" customWidth="true" hidden="false" outlineLevel="0" max="5" min="5" style="0" width="22"/>
    <col collapsed="false" customWidth="true" hidden="false" outlineLevel="0" max="6" min="6" style="0" width="16"/>
    <col collapsed="false" customWidth="true" hidden="false" outlineLevel="0" max="7" min="7" style="0" width="12"/>
    <col collapsed="false" customWidth="true" hidden="false" outlineLevel="0" max="8" min="8" style="0" width="14"/>
  </cols>
  <sheetData>
    <row r="2" customFormat="false" ht="24.45" hidden="false" customHeight="false" outlineLevel="0" collapsed="false">
      <c r="B2" s="1" t="s">
        <v>0</v>
      </c>
      <c r="G2" s="2" t="s">
        <v>1</v>
      </c>
      <c r="H2" s="3" t="n">
        <v>46195</v>
      </c>
    </row>
    <row r="3" customFormat="false" ht="15" hidden="false" customHeight="false" outlineLevel="0" collapsed="false">
      <c r="B3" s="4" t="s">
        <v>2</v>
      </c>
    </row>
    <row r="4" customFormat="false" ht="15" hidden="false" customHeight="false" outlineLevel="0" collapsed="false">
      <c r="B4" s="5" t="s">
        <v>3</v>
      </c>
    </row>
    <row r="6" customFormat="false" ht="15" hidden="false" customHeight="false" outlineLevel="0" collapsed="false">
      <c r="B6" s="6" t="s">
        <v>4</v>
      </c>
      <c r="C6" s="6"/>
      <c r="D6" s="7" t="s">
        <v>5</v>
      </c>
      <c r="E6" s="7"/>
      <c r="F6" s="8" t="s">
        <v>6</v>
      </c>
      <c r="G6" s="8"/>
      <c r="H6" s="6" t="s">
        <v>7</v>
      </c>
      <c r="I6" s="6"/>
    </row>
    <row r="7" customFormat="false" ht="15" hidden="false" customHeight="false" outlineLevel="0" collapsed="false">
      <c r="B7" s="9" t="n">
        <f aca="false">COUNTA('Backlog Proyectos'!C5:C200)</f>
        <v>4</v>
      </c>
      <c r="C7" s="9"/>
      <c r="D7" s="10" t="n">
        <f aca="false">COUNTIF('Backlog Proyectos'!G5:G200,"En desarrollo")</f>
        <v>3</v>
      </c>
      <c r="E7" s="10"/>
      <c r="F7" s="11" t="n">
        <f aca="false">COUNTIF('Backlog Proyectos'!G5:G200,"Piloto")</f>
        <v>1</v>
      </c>
      <c r="G7" s="11"/>
      <c r="H7" s="9" t="n">
        <f aca="false">COUNTIF('Backlog Proyectos'!G5:G200,"Producción / Monitoreo")</f>
        <v>0</v>
      </c>
      <c r="I7" s="9"/>
    </row>
    <row r="8" customFormat="false" ht="15" hidden="false" customHeight="false" outlineLevel="0" collapsed="false">
      <c r="B8" s="9"/>
      <c r="C8" s="9"/>
      <c r="D8" s="10"/>
      <c r="E8" s="10"/>
      <c r="F8" s="11"/>
      <c r="G8" s="11"/>
      <c r="H8" s="9"/>
      <c r="I8" s="9"/>
    </row>
    <row r="11" customFormat="false" ht="15" hidden="false" customHeight="false" outlineLevel="0" collapsed="false">
      <c r="B11" s="12" t="s">
        <v>8</v>
      </c>
      <c r="E11" s="13" t="s">
        <v>9</v>
      </c>
    </row>
    <row r="12" customFormat="false" ht="15" hidden="false" customHeight="false" outlineLevel="0" collapsed="false">
      <c r="B12" s="14" t="s">
        <v>10</v>
      </c>
      <c r="C12" s="14" t="s">
        <v>11</v>
      </c>
      <c r="E12" s="15" t="s">
        <v>12</v>
      </c>
      <c r="F12" s="15" t="s">
        <v>11</v>
      </c>
    </row>
    <row r="13" customFormat="false" ht="15" hidden="false" customHeight="false" outlineLevel="0" collapsed="false">
      <c r="B13" s="16" t="s">
        <v>13</v>
      </c>
      <c r="C13" s="17" t="n">
        <f aca="false">COUNTIF('Backlog Proyectos'!G5:G200,B13)</f>
        <v>0</v>
      </c>
      <c r="E13" s="16" t="s">
        <v>14</v>
      </c>
      <c r="F13" s="17" t="n">
        <f aca="false">COUNTIF('Backlog Proyectos'!F5:F200,E13)</f>
        <v>3</v>
      </c>
    </row>
    <row r="14" customFormat="false" ht="15" hidden="false" customHeight="false" outlineLevel="0" collapsed="false">
      <c r="B14" s="16" t="s">
        <v>15</v>
      </c>
      <c r="C14" s="17" t="n">
        <f aca="false">COUNTIF('Backlog Proyectos'!G5:G200,B14)</f>
        <v>3</v>
      </c>
      <c r="E14" s="16" t="s">
        <v>16</v>
      </c>
      <c r="F14" s="17" t="n">
        <f aca="false">COUNTIF('Backlog Proyectos'!F5:F200,E14)</f>
        <v>1</v>
      </c>
    </row>
    <row r="15" customFormat="false" ht="15" hidden="false" customHeight="false" outlineLevel="0" collapsed="false">
      <c r="B15" s="16" t="s">
        <v>17</v>
      </c>
      <c r="C15" s="17" t="n">
        <f aca="false">COUNTIF('Backlog Proyectos'!G5:G200,B15)</f>
        <v>1</v>
      </c>
      <c r="E15" s="16" t="s">
        <v>18</v>
      </c>
      <c r="F15" s="17" t="n">
        <f aca="false">COUNTIF('Backlog Proyectos'!F5:F200,E15)</f>
        <v>0</v>
      </c>
    </row>
    <row r="16" customFormat="false" ht="15" hidden="false" customHeight="false" outlineLevel="0" collapsed="false">
      <c r="B16" s="16" t="s">
        <v>19</v>
      </c>
      <c r="C16" s="17" t="n">
        <f aca="false">COUNTIF('Backlog Proyectos'!G5:G200,B16)</f>
        <v>0</v>
      </c>
    </row>
    <row r="17" customFormat="false" ht="15" hidden="false" customHeight="false" outlineLevel="0" collapsed="false">
      <c r="B17" s="16" t="s">
        <v>20</v>
      </c>
      <c r="C17" s="17" t="n">
        <f aca="false">COUNTIF('Backlog Proyectos'!G5:G200,B17)</f>
        <v>0</v>
      </c>
      <c r="E17" s="18" t="s">
        <v>21</v>
      </c>
    </row>
    <row r="18" customFormat="false" ht="26.8" hidden="false" customHeight="false" outlineLevel="0" collapsed="false">
      <c r="B18" s="16" t="s">
        <v>22</v>
      </c>
      <c r="C18" s="17" t="n">
        <f aca="false">COUNTIF('Backlog Proyectos'!G5:G200,B18)</f>
        <v>0</v>
      </c>
      <c r="E18" s="19" t="n">
        <f aca="false">SUM('Backlog Proyectos'!N5:N200)</f>
        <v>0</v>
      </c>
    </row>
    <row r="19" customFormat="false" ht="15" hidden="false" customHeight="false" outlineLevel="0" collapsed="false">
      <c r="B19" s="20" t="s">
        <v>23</v>
      </c>
      <c r="C19" s="21" t="n">
        <f aca="false">SUM(C13:C18)</f>
        <v>4</v>
      </c>
    </row>
    <row r="20" customFormat="false" ht="15" hidden="false" customHeight="false" outlineLevel="0" collapsed="false">
      <c r="B20" s="12" t="s">
        <v>24</v>
      </c>
    </row>
    <row r="21" customFormat="false" ht="15" hidden="false" customHeight="false" outlineLevel="0" collapsed="false">
      <c r="B21" s="14" t="s">
        <v>25</v>
      </c>
      <c r="C21" s="14" t="s">
        <v>26</v>
      </c>
      <c r="D21" s="14" t="s">
        <v>27</v>
      </c>
      <c r="E21" s="14" t="s">
        <v>28</v>
      </c>
    </row>
    <row r="22" customFormat="false" ht="35.05" hidden="false" customHeight="false" outlineLevel="0" collapsed="false">
      <c r="B22" s="16" t="str">
        <f aca="false">'Backlog Proyectos'!C5</f>
        <v>Asistente de IA Desembolso (Titán)</v>
      </c>
      <c r="C22" s="16" t="str">
        <f aca="false">'Backlog Proyectos'!L5</f>
        <v>Despliegue en Copilot Studio vía Cloudflare Tunnel y medir precisión con GF declarado.</v>
      </c>
      <c r="D22" s="22" t="n">
        <f aca="false">'Backlog Proyectos'!K5</f>
        <v>46218</v>
      </c>
      <c r="E22" s="17" t="str">
        <f aca="false">'Backlog Proyectos'!H5</f>
        <v>Sofía</v>
      </c>
    </row>
    <row r="23" customFormat="false" ht="35.05" hidden="false" customHeight="false" outlineLevel="0" collapsed="false">
      <c r="B23" s="16" t="str">
        <f aca="false">'Backlog Proyectos'!C6</f>
        <v>Zonas Potenciales</v>
      </c>
      <c r="C23" s="16" t="str">
        <f aca="false">'Backlog Proyectos'!L6</f>
        <v>Actualizar base y medir el impacto económico del proyecto.</v>
      </c>
      <c r="D23" s="22" t="n">
        <f aca="false">'Backlog Proyectos'!K6</f>
        <v>46233</v>
      </c>
      <c r="E23" s="17" t="str">
        <f aca="false">'Backlog Proyectos'!H6</f>
        <v>Fernando</v>
      </c>
    </row>
    <row r="24" customFormat="false" ht="35.05" hidden="false" customHeight="false" outlineLevel="0" collapsed="false">
      <c r="B24" s="16" t="str">
        <f aca="false">'Backlog Proyectos'!C7</f>
        <v>Modelo de Fuga (NBC Empresas)</v>
      </c>
      <c r="C24" s="16" t="str">
        <f aca="false">'Backlog Proyectos'!L7</f>
        <v>Actualizar base de despliegue y cerrar contrato de columnas.</v>
      </c>
      <c r="D24" s="22" t="n">
        <f aca="false">'Backlog Proyectos'!K7</f>
        <v>46249</v>
      </c>
      <c r="E24" s="17" t="str">
        <f aca="false">'Backlog Proyectos'!H7</f>
        <v>Sofía</v>
      </c>
    </row>
    <row r="25" customFormat="false" ht="68.65" hidden="false" customHeight="false" outlineLevel="0" collapsed="false">
      <c r="B25" s="16" t="str">
        <f aca="false">'Backlog Proyectos'!C8</f>
        <v>Modelo de Izipay (Propensión)</v>
      </c>
      <c r="C25" s="16" t="str">
        <f aca="false">'Backlog Proyectos'!L8</f>
        <v>Backtest sobre gestión, medir impacto de flujo transaccional, añadir variables (cash-in: planillas, pago serv.) y descriptivo del target.</v>
      </c>
      <c r="D25" s="22" t="n">
        <f aca="false">'Backlog Proyectos'!K8</f>
        <v>46234</v>
      </c>
      <c r="E25" s="17" t="str">
        <f aca="false">'Backlog Proyectos'!H8</f>
        <v>Sofía</v>
      </c>
    </row>
  </sheetData>
  <mergeCells count="8">
    <mergeCell ref="B6:C6"/>
    <mergeCell ref="D6:E6"/>
    <mergeCell ref="F6:G6"/>
    <mergeCell ref="H6:I6"/>
    <mergeCell ref="B7:C8"/>
    <mergeCell ref="D7:E8"/>
    <mergeCell ref="F7:G8"/>
    <mergeCell ref="H7:I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O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6"/>
    <col collapsed="false" customWidth="true" hidden="false" outlineLevel="0" max="3" min="3" style="0" width="24"/>
    <col collapsed="false" customWidth="true" hidden="false" outlineLevel="0" max="4" min="4" style="0" width="16"/>
    <col collapsed="false" customWidth="true" hidden="false" outlineLevel="0" max="5" min="5" style="0" width="38"/>
    <col collapsed="false" customWidth="true" hidden="false" outlineLevel="0" max="6" min="6" style="0" width="11"/>
    <col collapsed="false" customWidth="true" hidden="false" outlineLevel="0" max="7" min="7" style="0" width="18"/>
    <col collapsed="false" customWidth="true" hidden="false" outlineLevel="0" max="8" min="8" style="0" width="14"/>
    <col collapsed="false" customWidth="true" hidden="false" outlineLevel="0" max="9" min="9" style="0" width="13"/>
    <col collapsed="false" customWidth="true" hidden="false" outlineLevel="0" max="10" min="10" style="0" width="11"/>
    <col collapsed="false" customWidth="true" hidden="false" outlineLevel="0" max="11" min="11" style="0" width="13"/>
    <col collapsed="false" customWidth="true" hidden="false" outlineLevel="0" max="12" min="12" style="0" width="30"/>
    <col collapsed="false" customWidth="true" hidden="false" outlineLevel="0" max="13" min="13" style="0" width="10"/>
    <col collapsed="false" customWidth="true" hidden="false" outlineLevel="0" max="14" min="14" style="0" width="13"/>
    <col collapsed="false" customWidth="true" hidden="false" outlineLevel="0" max="15" min="15" style="0" width="26"/>
  </cols>
  <sheetData>
    <row r="2" customFormat="false" ht="19.7" hidden="false" customHeight="false" outlineLevel="0" collapsed="false">
      <c r="B2" s="23" t="s">
        <v>29</v>
      </c>
    </row>
    <row r="3" customFormat="false" ht="15" hidden="false" customHeight="false" outlineLevel="0" collapsed="false">
      <c r="B3" s="24" t="s">
        <v>30</v>
      </c>
    </row>
    <row r="4" customFormat="false" ht="30" hidden="false" customHeight="true" outlineLevel="0" collapsed="false">
      <c r="B4" s="25" t="s">
        <v>31</v>
      </c>
      <c r="C4" s="25" t="s">
        <v>32</v>
      </c>
      <c r="D4" s="25" t="s">
        <v>33</v>
      </c>
      <c r="E4" s="25" t="s">
        <v>34</v>
      </c>
      <c r="F4" s="25" t="s">
        <v>12</v>
      </c>
      <c r="G4" s="25" t="s">
        <v>10</v>
      </c>
      <c r="H4" s="25" t="s">
        <v>28</v>
      </c>
      <c r="I4" s="25" t="s">
        <v>35</v>
      </c>
      <c r="J4" s="25" t="s">
        <v>36</v>
      </c>
      <c r="K4" s="25" t="s">
        <v>37</v>
      </c>
      <c r="L4" s="25" t="s">
        <v>38</v>
      </c>
      <c r="M4" s="25" t="s">
        <v>39</v>
      </c>
      <c r="N4" s="25" t="s">
        <v>40</v>
      </c>
      <c r="O4" s="25" t="s">
        <v>41</v>
      </c>
    </row>
    <row r="5" customFormat="false" ht="43.25" hidden="false" customHeight="false" outlineLevel="0" collapsed="false">
      <c r="B5" s="26" t="n">
        <v>1</v>
      </c>
      <c r="C5" s="27" t="s">
        <v>42</v>
      </c>
      <c r="D5" s="27" t="s">
        <v>43</v>
      </c>
      <c r="E5" s="27" t="s">
        <v>44</v>
      </c>
      <c r="F5" s="26" t="s">
        <v>14</v>
      </c>
      <c r="G5" s="26" t="s">
        <v>15</v>
      </c>
      <c r="H5" s="27" t="s">
        <v>45</v>
      </c>
      <c r="I5" s="27" t="s">
        <v>46</v>
      </c>
      <c r="J5" s="28" t="n">
        <v>45962</v>
      </c>
      <c r="K5" s="28" t="n">
        <v>46218</v>
      </c>
      <c r="L5" s="27" t="s">
        <v>47</v>
      </c>
      <c r="M5" s="29" t="n">
        <v>0.7</v>
      </c>
      <c r="N5" s="30"/>
      <c r="O5" s="27" t="s">
        <v>48</v>
      </c>
    </row>
    <row r="6" customFormat="false" ht="32.8" hidden="false" customHeight="false" outlineLevel="0" collapsed="false">
      <c r="B6" s="26" t="n">
        <v>2</v>
      </c>
      <c r="C6" s="27" t="s">
        <v>49</v>
      </c>
      <c r="D6" s="27" t="s">
        <v>50</v>
      </c>
      <c r="E6" s="27" t="s">
        <v>51</v>
      </c>
      <c r="F6" s="26" t="s">
        <v>16</v>
      </c>
      <c r="G6" s="26" t="s">
        <v>17</v>
      </c>
      <c r="H6" s="27" t="s">
        <v>52</v>
      </c>
      <c r="I6" s="27" t="s">
        <v>53</v>
      </c>
      <c r="J6" s="28" t="n">
        <v>45992</v>
      </c>
      <c r="K6" s="28" t="n">
        <v>46233</v>
      </c>
      <c r="L6" s="27" t="s">
        <v>54</v>
      </c>
      <c r="M6" s="29" t="n">
        <v>0.5</v>
      </c>
      <c r="N6" s="30"/>
      <c r="O6" s="27" t="s">
        <v>55</v>
      </c>
    </row>
    <row r="7" customFormat="false" ht="32.8" hidden="false" customHeight="false" outlineLevel="0" collapsed="false">
      <c r="B7" s="26" t="n">
        <v>3</v>
      </c>
      <c r="C7" s="27" t="s">
        <v>56</v>
      </c>
      <c r="D7" s="27" t="s">
        <v>57</v>
      </c>
      <c r="E7" s="27" t="s">
        <v>58</v>
      </c>
      <c r="F7" s="26" t="s">
        <v>14</v>
      </c>
      <c r="G7" s="26" t="s">
        <v>15</v>
      </c>
      <c r="H7" s="27" t="s">
        <v>45</v>
      </c>
      <c r="I7" s="27" t="s">
        <v>46</v>
      </c>
      <c r="J7" s="28" t="n">
        <v>45931</v>
      </c>
      <c r="K7" s="28" t="n">
        <v>46249</v>
      </c>
      <c r="L7" s="27" t="s">
        <v>59</v>
      </c>
      <c r="M7" s="29" t="n">
        <v>0.65</v>
      </c>
      <c r="N7" s="30"/>
      <c r="O7" s="27" t="s">
        <v>60</v>
      </c>
    </row>
    <row r="8" customFormat="false" ht="43.25" hidden="false" customHeight="false" outlineLevel="0" collapsed="false">
      <c r="B8" s="26" t="n">
        <v>4</v>
      </c>
      <c r="C8" s="27" t="s">
        <v>61</v>
      </c>
      <c r="D8" s="27" t="s">
        <v>57</v>
      </c>
      <c r="E8" s="27" t="s">
        <v>62</v>
      </c>
      <c r="F8" s="26" t="s">
        <v>14</v>
      </c>
      <c r="G8" s="26" t="s">
        <v>15</v>
      </c>
      <c r="H8" s="27" t="s">
        <v>45</v>
      </c>
      <c r="I8" s="27" t="s">
        <v>53</v>
      </c>
      <c r="J8" s="28" t="n">
        <v>45992</v>
      </c>
      <c r="K8" s="28" t="n">
        <v>46234</v>
      </c>
      <c r="L8" s="27" t="s">
        <v>63</v>
      </c>
      <c r="M8" s="29" t="n">
        <v>0.55</v>
      </c>
      <c r="N8" s="30"/>
      <c r="O8" s="27" t="s">
        <v>64</v>
      </c>
    </row>
    <row r="9" customFormat="false" ht="15" hidden="false" customHeight="false" outlineLevel="0" collapsed="false">
      <c r="B9" s="26" t="n">
        <v>5</v>
      </c>
      <c r="C9" s="27"/>
      <c r="D9" s="27"/>
      <c r="E9" s="27"/>
      <c r="F9" s="26"/>
      <c r="G9" s="26"/>
      <c r="H9" s="27"/>
      <c r="I9" s="27"/>
      <c r="J9" s="28"/>
      <c r="K9" s="28"/>
      <c r="L9" s="27"/>
      <c r="M9" s="29"/>
      <c r="N9" s="30"/>
      <c r="O9" s="27"/>
    </row>
    <row r="10" customFormat="false" ht="15" hidden="false" customHeight="false" outlineLevel="0" collapsed="false">
      <c r="B10" s="26" t="n">
        <v>6</v>
      </c>
      <c r="C10" s="27"/>
      <c r="D10" s="27"/>
      <c r="E10" s="27"/>
      <c r="F10" s="26"/>
      <c r="G10" s="26"/>
      <c r="H10" s="27"/>
      <c r="I10" s="27"/>
      <c r="J10" s="28"/>
      <c r="K10" s="28"/>
      <c r="L10" s="27"/>
      <c r="M10" s="29"/>
      <c r="N10" s="30"/>
      <c r="O10" s="27"/>
    </row>
    <row r="11" customFormat="false" ht="15" hidden="false" customHeight="false" outlineLevel="0" collapsed="false">
      <c r="B11" s="26" t="n">
        <v>7</v>
      </c>
      <c r="C11" s="27"/>
      <c r="D11" s="27"/>
      <c r="E11" s="27"/>
      <c r="F11" s="26"/>
      <c r="G11" s="26"/>
      <c r="H11" s="27"/>
      <c r="I11" s="27"/>
      <c r="J11" s="28"/>
      <c r="K11" s="28"/>
      <c r="L11" s="27"/>
      <c r="M11" s="29"/>
      <c r="N11" s="30"/>
      <c r="O11" s="27"/>
    </row>
    <row r="12" customFormat="false" ht="15" hidden="false" customHeight="false" outlineLevel="0" collapsed="false">
      <c r="B12" s="26" t="n">
        <v>8</v>
      </c>
      <c r="C12" s="27"/>
      <c r="D12" s="27"/>
      <c r="E12" s="27"/>
      <c r="F12" s="26"/>
      <c r="G12" s="26"/>
      <c r="H12" s="27"/>
      <c r="I12" s="27"/>
      <c r="J12" s="28"/>
      <c r="K12" s="28"/>
      <c r="L12" s="27"/>
      <c r="M12" s="29"/>
      <c r="N12" s="30"/>
      <c r="O12" s="27"/>
    </row>
    <row r="13" customFormat="false" ht="15" hidden="false" customHeight="false" outlineLevel="0" collapsed="false">
      <c r="B13" s="26" t="n">
        <v>9</v>
      </c>
      <c r="C13" s="27"/>
      <c r="D13" s="27"/>
      <c r="E13" s="27"/>
      <c r="F13" s="26"/>
      <c r="G13" s="26"/>
      <c r="H13" s="27"/>
      <c r="I13" s="27"/>
      <c r="J13" s="28"/>
      <c r="K13" s="28"/>
      <c r="L13" s="27"/>
      <c r="M13" s="29"/>
      <c r="N13" s="30"/>
      <c r="O13" s="27"/>
    </row>
    <row r="14" customFormat="false" ht="15" hidden="false" customHeight="false" outlineLevel="0" collapsed="false">
      <c r="B14" s="26" t="n">
        <v>10</v>
      </c>
      <c r="C14" s="27"/>
      <c r="D14" s="27"/>
      <c r="E14" s="27"/>
      <c r="F14" s="26"/>
      <c r="G14" s="26"/>
      <c r="H14" s="27"/>
      <c r="I14" s="27"/>
      <c r="J14" s="28"/>
      <c r="K14" s="28"/>
      <c r="L14" s="27"/>
      <c r="M14" s="29"/>
      <c r="N14" s="30"/>
      <c r="O14" s="27"/>
    </row>
    <row r="15" customFormat="false" ht="15" hidden="false" customHeight="false" outlineLevel="0" collapsed="false">
      <c r="B15" s="26" t="n">
        <v>11</v>
      </c>
      <c r="C15" s="27"/>
      <c r="D15" s="27"/>
      <c r="E15" s="27"/>
      <c r="F15" s="26"/>
      <c r="G15" s="26"/>
      <c r="H15" s="27"/>
      <c r="I15" s="27"/>
      <c r="J15" s="28"/>
      <c r="K15" s="28"/>
      <c r="L15" s="27"/>
      <c r="M15" s="29"/>
      <c r="N15" s="30"/>
      <c r="O15" s="27"/>
    </row>
    <row r="16" customFormat="false" ht="15" hidden="false" customHeight="false" outlineLevel="0" collapsed="false">
      <c r="B16" s="26" t="n">
        <v>12</v>
      </c>
      <c r="C16" s="27"/>
      <c r="D16" s="27"/>
      <c r="E16" s="27"/>
      <c r="F16" s="26"/>
      <c r="G16" s="26"/>
      <c r="H16" s="27"/>
      <c r="I16" s="27"/>
      <c r="J16" s="28"/>
      <c r="K16" s="28"/>
      <c r="L16" s="27"/>
      <c r="M16" s="29"/>
      <c r="N16" s="30"/>
      <c r="O16" s="27"/>
    </row>
  </sheetData>
  <conditionalFormatting sqref="G5:G16">
    <cfRule type="cellIs" priority="2" operator="equal" aboveAverage="0" equalAverage="0" bottom="0" percent="0" rank="0" text="" dxfId="0">
      <formula>"Backlog"</formula>
    </cfRule>
    <cfRule type="cellIs" priority="3" operator="equal" aboveAverage="0" equalAverage="0" bottom="0" percent="0" rank="0" text="" dxfId="1">
      <formula>"En desarrollo"</formula>
    </cfRule>
    <cfRule type="cellIs" priority="4" operator="equal" aboveAverage="0" equalAverage="0" bottom="0" percent="0" rank="0" text="" dxfId="2">
      <formula>"Piloto"</formula>
    </cfRule>
    <cfRule type="cellIs" priority="5" operator="equal" aboveAverage="0" equalAverage="0" bottom="0" percent="0" rank="0" text="" dxfId="3">
      <formula>"Producción / Monitoreo"</formula>
    </cfRule>
    <cfRule type="cellIs" priority="6" operator="equal" aboveAverage="0" equalAverage="0" bottom="0" percent="0" rank="0" text="" dxfId="4">
      <formula>"Pausado"</formula>
    </cfRule>
    <cfRule type="cellIs" priority="7" operator="equal" aboveAverage="0" equalAverage="0" bottom="0" percent="0" rank="0" text="" dxfId="5">
      <formula>"Completado"</formula>
    </cfRule>
  </conditionalFormatting>
  <conditionalFormatting sqref="F5:F16">
    <cfRule type="cellIs" priority="8" operator="equal" aboveAverage="0" equalAverage="0" bottom="0" percent="0" rank="0" text="" dxfId="6">
      <formula>"Alta"</formula>
    </cfRule>
    <cfRule type="cellIs" priority="9" operator="equal" aboveAverage="0" equalAverage="0" bottom="0" percent="0" rank="0" text="" dxfId="7">
      <formula>"Media"</formula>
    </cfRule>
    <cfRule type="cellIs" priority="10" operator="equal" aboveAverage="0" equalAverage="0" bottom="0" percent="0" rank="0" text="" dxfId="8">
      <formula>"Baja"</formula>
    </cfRule>
  </conditionalFormatting>
  <conditionalFormatting sqref="M5:M16">
    <cfRule type="dataBar" priority="11">
      <dataBar showValue="1" minLength="10" maxLength="90">
        <cfvo type="num" val="0"/>
        <cfvo type="num" val="1"/>
        <color rgb="FF00BE50"/>
      </dataBar>
      <extLst>
        <ext xmlns:x14="http://schemas.microsoft.com/office/spreadsheetml/2009/9/main" uri="{B025F937-C7B1-47D3-B67F-A62EFF666E3E}">
          <x14:id>{396EAC96-F1A1-4E26-83C6-A1AFD777C94B}</x14:id>
        </ext>
      </extLst>
    </cfRule>
  </conditionalFormatting>
  <dataValidations count="3">
    <dataValidation allowBlank="true" errorStyle="stop" operator="between" showDropDown="false" showErrorMessage="false" showInputMessage="false" sqref="D5:D16" type="list">
      <formula1>"Modelo ML,Pipeline de Datos,Agente IA,Dashboard / BI,Analítica / Geo,Experimento / RCT"</formula1>
      <formula2>0</formula2>
    </dataValidation>
    <dataValidation allowBlank="true" errorStyle="stop" operator="between" showDropDown="false" showErrorMessage="false" showInputMessage="false" sqref="F5:F16" type="list">
      <formula1>"Alta,Media,Baja"</formula1>
      <formula2>0</formula2>
    </dataValidation>
    <dataValidation allowBlank="true" errorStyle="stop" operator="between" showDropDown="false" showErrorMessage="false" showInputMessage="false" sqref="G5:G16" type="list">
      <formula1>"Backlog,En desarrollo,Piloto,Producción / Monitoreo,Pausado,Completado"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96EAC96-F1A1-4E26-83C6-A1AFD777C94B}">
            <x14:dataBar minLength="10" maxLength="90" axisPosition="none" gradient="true">
              <x14:cfvo type="num">
                <xm:f>0</xm:f>
              </x14:cfvo>
              <x14:cfvo type="num">
                <xm:f>1</xm:f>
              </x14:cfvo>
              <x14:negativeFillColor rgb="FF00BE50"/>
              <x14:axisColor rgb="FF000000"/>
            </x14:dataBar>
          </x14:cfRule>
          <xm:sqref>M5:M16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I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8"/>
    <col collapsed="false" customWidth="true" hidden="false" outlineLevel="0" max="3" min="3" style="0" width="18"/>
    <col collapsed="false" customWidth="true" hidden="false" outlineLevel="0" max="4" min="4" style="0" width="14"/>
    <col collapsed="false" customWidth="true" hidden="false" outlineLevel="0" max="5" min="5" style="0" width="18"/>
    <col collapsed="false" customWidth="true" hidden="false" outlineLevel="0" max="6" min="6" style="0" width="14"/>
    <col collapsed="false" customWidth="true" hidden="false" outlineLevel="0" max="7" min="7" style="0" width="26"/>
    <col collapsed="false" customWidth="true" hidden="false" outlineLevel="0" max="8" min="8" style="0" width="14"/>
    <col collapsed="false" customWidth="true" hidden="false" outlineLevel="0" max="9" min="9" style="0" width="30"/>
  </cols>
  <sheetData>
    <row r="2" customFormat="false" ht="19.7" hidden="false" customHeight="false" outlineLevel="0" collapsed="false">
      <c r="B2" s="23" t="s">
        <v>65</v>
      </c>
    </row>
    <row r="3" customFormat="false" ht="15" hidden="false" customHeight="false" outlineLevel="0" collapsed="false">
      <c r="B3" s="24" t="s">
        <v>66</v>
      </c>
    </row>
    <row r="4" customFormat="false" ht="30" hidden="false" customHeight="true" outlineLevel="0" collapsed="false">
      <c r="B4" s="25" t="s">
        <v>67</v>
      </c>
      <c r="C4" s="25" t="s">
        <v>68</v>
      </c>
      <c r="D4" s="25" t="s">
        <v>69</v>
      </c>
      <c r="E4" s="25" t="s">
        <v>10</v>
      </c>
      <c r="F4" s="25" t="s">
        <v>28</v>
      </c>
      <c r="G4" s="25" t="s">
        <v>70</v>
      </c>
      <c r="H4" s="25" t="s">
        <v>71</v>
      </c>
      <c r="I4" s="25" t="s">
        <v>72</v>
      </c>
    </row>
    <row r="5" customFormat="false" ht="15" hidden="false" customHeight="false" outlineLevel="0" collapsed="false">
      <c r="B5" s="27" t="s">
        <v>73</v>
      </c>
      <c r="C5" s="26" t="s">
        <v>74</v>
      </c>
      <c r="D5" s="26" t="s">
        <v>75</v>
      </c>
      <c r="E5" s="26" t="s">
        <v>76</v>
      </c>
      <c r="F5" s="26" t="s">
        <v>45</v>
      </c>
      <c r="G5" s="27" t="s">
        <v>77</v>
      </c>
      <c r="H5" s="28"/>
      <c r="I5" s="27"/>
    </row>
    <row r="6" customFormat="false" ht="15" hidden="false" customHeight="false" outlineLevel="0" collapsed="false">
      <c r="B6" s="27" t="s">
        <v>78</v>
      </c>
      <c r="C6" s="26" t="s">
        <v>74</v>
      </c>
      <c r="D6" s="26" t="s">
        <v>75</v>
      </c>
      <c r="E6" s="26" t="s">
        <v>76</v>
      </c>
      <c r="F6" s="26" t="s">
        <v>45</v>
      </c>
      <c r="G6" s="27" t="s">
        <v>79</v>
      </c>
      <c r="H6" s="28"/>
      <c r="I6" s="27"/>
    </row>
    <row r="7" customFormat="false" ht="15" hidden="false" customHeight="false" outlineLevel="0" collapsed="false">
      <c r="B7" s="27" t="s">
        <v>80</v>
      </c>
      <c r="C7" s="26" t="s">
        <v>74</v>
      </c>
      <c r="D7" s="26" t="s">
        <v>75</v>
      </c>
      <c r="E7" s="26" t="s">
        <v>76</v>
      </c>
      <c r="F7" s="26" t="s">
        <v>45</v>
      </c>
      <c r="G7" s="27" t="s">
        <v>81</v>
      </c>
      <c r="H7" s="28"/>
      <c r="I7" s="27"/>
    </row>
    <row r="8" customFormat="false" ht="22.35" hidden="false" customHeight="false" outlineLevel="0" collapsed="false">
      <c r="B8" s="27" t="s">
        <v>82</v>
      </c>
      <c r="C8" s="26" t="s">
        <v>83</v>
      </c>
      <c r="D8" s="26" t="s">
        <v>75</v>
      </c>
      <c r="E8" s="26" t="s">
        <v>84</v>
      </c>
      <c r="F8" s="26" t="s">
        <v>45</v>
      </c>
      <c r="G8" s="27" t="s">
        <v>85</v>
      </c>
      <c r="H8" s="28"/>
      <c r="I8" s="27" t="s">
        <v>86</v>
      </c>
    </row>
    <row r="9" customFormat="false" ht="15" hidden="false" customHeight="false" outlineLevel="0" collapsed="false">
      <c r="B9" s="27" t="s">
        <v>87</v>
      </c>
      <c r="C9" s="26" t="s">
        <v>83</v>
      </c>
      <c r="D9" s="26" t="s">
        <v>75</v>
      </c>
      <c r="E9" s="26" t="s">
        <v>88</v>
      </c>
      <c r="F9" s="26" t="s">
        <v>89</v>
      </c>
      <c r="G9" s="27" t="s">
        <v>89</v>
      </c>
      <c r="H9" s="28"/>
      <c r="I9" s="27" t="s">
        <v>90</v>
      </c>
    </row>
    <row r="10" customFormat="false" ht="15" hidden="false" customHeight="false" outlineLevel="0" collapsed="false">
      <c r="B10" s="27"/>
      <c r="C10" s="26"/>
      <c r="D10" s="26"/>
      <c r="E10" s="26"/>
      <c r="F10" s="26"/>
      <c r="G10" s="27"/>
      <c r="H10" s="28"/>
      <c r="I10" s="27"/>
    </row>
    <row r="11" customFormat="false" ht="15" hidden="false" customHeight="false" outlineLevel="0" collapsed="false">
      <c r="B11" s="27"/>
      <c r="C11" s="26"/>
      <c r="D11" s="26"/>
      <c r="E11" s="26"/>
      <c r="F11" s="26"/>
      <c r="G11" s="27"/>
      <c r="H11" s="28"/>
      <c r="I11" s="27"/>
    </row>
    <row r="12" customFormat="false" ht="15" hidden="false" customHeight="false" outlineLevel="0" collapsed="false">
      <c r="B12" s="27"/>
      <c r="C12" s="26"/>
      <c r="D12" s="26"/>
      <c r="E12" s="26"/>
      <c r="F12" s="26"/>
      <c r="G12" s="27"/>
      <c r="H12" s="28"/>
      <c r="I12" s="27"/>
    </row>
    <row r="13" customFormat="false" ht="15" hidden="false" customHeight="false" outlineLevel="0" collapsed="false">
      <c r="B13" s="27"/>
      <c r="C13" s="26"/>
      <c r="D13" s="26"/>
      <c r="E13" s="26"/>
      <c r="F13" s="26"/>
      <c r="G13" s="27"/>
      <c r="H13" s="28"/>
      <c r="I13" s="27"/>
    </row>
    <row r="14" customFormat="false" ht="15" hidden="false" customHeight="false" outlineLevel="0" collapsed="false">
      <c r="B14" s="27"/>
      <c r="C14" s="26"/>
      <c r="D14" s="26"/>
      <c r="E14" s="26"/>
      <c r="F14" s="26"/>
      <c r="G14" s="27"/>
      <c r="H14" s="28"/>
      <c r="I14" s="27"/>
    </row>
  </sheetData>
  <conditionalFormatting sqref="E5:E14">
    <cfRule type="cellIs" priority="2" operator="equal" aboveAverage="0" equalAverage="0" bottom="0" percent="0" rank="0" text="" dxfId="3">
      <formula>"Certificado"</formula>
    </cfRule>
    <cfRule type="cellIs" priority="3" operator="equal" aboveAverage="0" equalAverage="0" bottom="0" percent="0" rank="0" text="" dxfId="7">
      <formula>"En certificación"</formula>
    </cfRule>
    <cfRule type="cellIs" priority="4" operator="equal" aboveAverage="0" equalAverage="0" bottom="0" percent="0" rank="0" text="" dxfId="0">
      <formula>"Pendiente"</formula>
    </cfRule>
    <cfRule type="cellIs" priority="5" operator="equal" aboveAverage="0" equalAverage="0" bottom="0" percent="0" rank="0" text="" dxfId="5">
      <formula>"Despriorizado"</formula>
    </cfRule>
  </conditionalFormatting>
  <dataValidations count="1">
    <dataValidation allowBlank="true" errorStyle="stop" operator="between" showDropDown="false" showErrorMessage="false" showInputMessage="false" sqref="E5:E14" type="list">
      <formula1>"Certificado,En certificación,Pendiente,Despriorizado"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J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4"/>
    <col collapsed="false" customWidth="true" hidden="false" outlineLevel="0" max="3" min="3" style="0" width="20"/>
    <col collapsed="false" customWidth="true" hidden="false" outlineLevel="0" max="4" min="4" style="0" width="30"/>
    <col collapsed="false" customWidth="true" hidden="false" outlineLevel="0" max="5" min="5" style="0" width="24"/>
    <col collapsed="false" customWidth="true" hidden="false" outlineLevel="0" max="6" min="6" style="0" width="20"/>
    <col collapsed="false" customWidth="true" hidden="false" outlineLevel="0" max="7" min="7" style="0" width="14"/>
    <col collapsed="false" customWidth="true" hidden="false" outlineLevel="0" max="8" min="8" style="0" width="24"/>
    <col collapsed="false" customWidth="true" hidden="false" outlineLevel="0" max="9" min="9" style="0" width="14"/>
    <col collapsed="false" customWidth="true" hidden="false" outlineLevel="0" max="10" min="10" style="0" width="28"/>
  </cols>
  <sheetData>
    <row r="2" customFormat="false" ht="19.7" hidden="false" customHeight="false" outlineLevel="0" collapsed="false">
      <c r="B2" s="23" t="s">
        <v>91</v>
      </c>
    </row>
    <row r="3" customFormat="false" ht="15" hidden="false" customHeight="false" outlineLevel="0" collapsed="false">
      <c r="B3" s="24" t="s">
        <v>92</v>
      </c>
    </row>
    <row r="4" customFormat="false" ht="30" hidden="false" customHeight="true" outlineLevel="0" collapsed="false">
      <c r="B4" s="25" t="s">
        <v>17</v>
      </c>
      <c r="C4" s="25" t="s">
        <v>93</v>
      </c>
      <c r="D4" s="25" t="s">
        <v>94</v>
      </c>
      <c r="E4" s="25" t="s">
        <v>95</v>
      </c>
      <c r="F4" s="25" t="s">
        <v>96</v>
      </c>
      <c r="G4" s="25" t="s">
        <v>97</v>
      </c>
      <c r="H4" s="25" t="s">
        <v>98</v>
      </c>
      <c r="I4" s="25" t="s">
        <v>10</v>
      </c>
      <c r="J4" s="25" t="s">
        <v>99</v>
      </c>
    </row>
    <row r="5" customFormat="false" ht="22.35" hidden="false" customHeight="false" outlineLevel="0" collapsed="false">
      <c r="B5" s="27" t="s">
        <v>100</v>
      </c>
      <c r="C5" s="27" t="s">
        <v>101</v>
      </c>
      <c r="D5" s="27" t="s">
        <v>102</v>
      </c>
      <c r="E5" s="27" t="s">
        <v>103</v>
      </c>
      <c r="F5" s="27" t="s">
        <v>104</v>
      </c>
      <c r="G5" s="26" t="s">
        <v>105</v>
      </c>
      <c r="H5" s="27" t="s">
        <v>106</v>
      </c>
      <c r="I5" s="26" t="s">
        <v>22</v>
      </c>
      <c r="J5" s="27" t="s">
        <v>107</v>
      </c>
    </row>
    <row r="6" customFormat="false" ht="22.35" hidden="false" customHeight="false" outlineLevel="0" collapsed="false">
      <c r="B6" s="27" t="s">
        <v>49</v>
      </c>
      <c r="C6" s="27" t="s">
        <v>49</v>
      </c>
      <c r="D6" s="27" t="s">
        <v>108</v>
      </c>
      <c r="E6" s="27" t="s">
        <v>109</v>
      </c>
      <c r="F6" s="27" t="s">
        <v>110</v>
      </c>
      <c r="G6" s="26" t="s">
        <v>111</v>
      </c>
      <c r="H6" s="27" t="s">
        <v>112</v>
      </c>
      <c r="I6" s="26" t="s">
        <v>17</v>
      </c>
      <c r="J6" s="27" t="s">
        <v>113</v>
      </c>
    </row>
    <row r="7" customFormat="false" ht="15" hidden="false" customHeight="false" outlineLevel="0" collapsed="false">
      <c r="B7" s="27"/>
      <c r="C7" s="27"/>
      <c r="D7" s="27"/>
      <c r="E7" s="27"/>
      <c r="F7" s="27"/>
      <c r="G7" s="26"/>
      <c r="H7" s="27"/>
      <c r="I7" s="26"/>
      <c r="J7" s="27"/>
    </row>
    <row r="8" customFormat="false" ht="15" hidden="false" customHeight="false" outlineLevel="0" collapsed="false">
      <c r="B8" s="27"/>
      <c r="C8" s="27"/>
      <c r="D8" s="27"/>
      <c r="E8" s="27"/>
      <c r="F8" s="27"/>
      <c r="G8" s="26"/>
      <c r="H8" s="27"/>
      <c r="I8" s="26"/>
      <c r="J8" s="27"/>
    </row>
    <row r="9" customFormat="false" ht="15" hidden="false" customHeight="false" outlineLevel="0" collapsed="false">
      <c r="B9" s="27"/>
      <c r="C9" s="27"/>
      <c r="D9" s="27"/>
      <c r="E9" s="27"/>
      <c r="F9" s="27"/>
      <c r="G9" s="26"/>
      <c r="H9" s="27"/>
      <c r="I9" s="26"/>
      <c r="J9" s="27"/>
    </row>
    <row r="10" customFormat="false" ht="15" hidden="false" customHeight="false" outlineLevel="0" collapsed="false">
      <c r="B10" s="27"/>
      <c r="C10" s="27"/>
      <c r="D10" s="27"/>
      <c r="E10" s="27"/>
      <c r="F10" s="27"/>
      <c r="G10" s="26"/>
      <c r="H10" s="27"/>
      <c r="I10" s="26"/>
      <c r="J10" s="27"/>
    </row>
    <row r="11" customFormat="false" ht="15" hidden="false" customHeight="false" outlineLevel="0" collapsed="false">
      <c r="B11" s="27"/>
      <c r="C11" s="27"/>
      <c r="D11" s="27"/>
      <c r="E11" s="27"/>
      <c r="F11" s="27"/>
      <c r="G11" s="26"/>
      <c r="H11" s="27"/>
      <c r="I11" s="26"/>
      <c r="J11" s="27"/>
    </row>
  </sheetData>
  <conditionalFormatting sqref="I5:I11">
    <cfRule type="cellIs" priority="2" operator="equal" aboveAverage="0" equalAverage="0" bottom="0" percent="0" rank="0" text="" dxfId="0">
      <formula>"Diseño"</formula>
    </cfRule>
    <cfRule type="cellIs" priority="3" operator="equal" aboveAverage="0" equalAverage="0" bottom="0" percent="0" rank="0" text="" dxfId="2">
      <formula>"Piloto"</formula>
    </cfRule>
    <cfRule type="cellIs" priority="4" operator="equal" aboveAverage="0" equalAverage="0" bottom="0" percent="0" rank="0" text="" dxfId="7">
      <formula>"En análisis"</formula>
    </cfRule>
    <cfRule type="cellIs" priority="5" operator="equal" aboveAverage="0" equalAverage="0" bottom="0" percent="0" rank="0" text="" dxfId="3">
      <formula>"Completado"</formula>
    </cfRule>
    <cfRule type="cellIs" priority="6" operator="equal" aboveAverage="0" equalAverage="0" bottom="0" percent="0" rank="0" text="" dxfId="5">
      <formula>"Descartado"</formula>
    </cfRule>
  </conditionalFormatting>
  <dataValidations count="1">
    <dataValidation allowBlank="true" errorStyle="stop" operator="between" showDropDown="false" showErrorMessage="false" showInputMessage="false" sqref="I5:I11" type="list">
      <formula1>"Diseño,Piloto,En análisis,Completado,Descartado"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2026-06-22T18:04:22Z</dcterms:created>
  <dc:creator>openpyxl</dc:creator>
  <dc:description/>
  <dc:language>en-US</dc:language>
  <cp:lastModifiedBy/>
  <dcterms:modified xsi:type="dcterms:W3CDTF">2026-06-22T18:04:22Z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