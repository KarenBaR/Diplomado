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kbarrozo_intercorp_com_pe1/Documents/VPC/MODELOS VPC/FUGA CLIENTES/"/>
    </mc:Choice>
  </mc:AlternateContent>
  <xr:revisionPtr revIDLastSave="137" documentId="8_{9AAEE3F1-AF76-4860-9937-E4E21B2E7C1F}" xr6:coauthVersionLast="47" xr6:coauthVersionMax="47" xr10:uidLastSave="{E43EE422-ED3E-4AB1-B85F-993F3DCFA600}"/>
  <bookViews>
    <workbookView minimized="1" xWindow="5480" yWindow="3820" windowWidth="14400" windowHeight="8260" xr2:uid="{930FF372-D8C0-4E48-AB40-9DF2971FF770}"/>
  </bookViews>
  <sheets>
    <sheet name="Hoja1" sheetId="2" r:id="rId1"/>
    <sheet name="fuga" sheetId="1" r:id="rId2"/>
  </sheets>
  <calcPr calcId="191029"/>
  <pivotCaches>
    <pivotCache cacheId="1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83" i="2" l="1"/>
  <c r="AF183" i="2"/>
  <c r="X183" i="2"/>
  <c r="X144" i="2"/>
  <c r="Y144" i="2"/>
  <c r="Z144" i="2"/>
  <c r="AA144" i="2"/>
  <c r="AB144" i="2"/>
  <c r="AC144" i="2"/>
  <c r="AD144" i="2"/>
  <c r="AE144" i="2"/>
  <c r="AF144" i="2"/>
  <c r="X145" i="2"/>
  <c r="Y145" i="2"/>
  <c r="Z145" i="2"/>
  <c r="AA145" i="2"/>
  <c r="AB145" i="2"/>
  <c r="AC145" i="2"/>
  <c r="AD145" i="2"/>
  <c r="AE145" i="2"/>
  <c r="AF145" i="2"/>
  <c r="X146" i="2"/>
  <c r="Y146" i="2"/>
  <c r="Z146" i="2"/>
  <c r="AA146" i="2"/>
  <c r="AB146" i="2"/>
  <c r="AC146" i="2"/>
  <c r="AD146" i="2"/>
  <c r="AE146" i="2"/>
  <c r="AF146" i="2"/>
  <c r="X147" i="2"/>
  <c r="Y147" i="2"/>
  <c r="Z147" i="2"/>
  <c r="AA147" i="2"/>
  <c r="AB147" i="2"/>
  <c r="AC147" i="2"/>
  <c r="AD147" i="2"/>
  <c r="AE147" i="2"/>
  <c r="AF147" i="2"/>
  <c r="X148" i="2"/>
  <c r="Y148" i="2"/>
  <c r="Z148" i="2"/>
  <c r="AA148" i="2"/>
  <c r="AB148" i="2"/>
  <c r="AC148" i="2"/>
  <c r="AD148" i="2"/>
  <c r="AE148" i="2"/>
  <c r="AF148" i="2"/>
  <c r="X149" i="2"/>
  <c r="Y149" i="2"/>
  <c r="Z149" i="2"/>
  <c r="AA149" i="2"/>
  <c r="AB149" i="2"/>
  <c r="AC149" i="2"/>
  <c r="AD149" i="2"/>
  <c r="AE149" i="2"/>
  <c r="AF149" i="2"/>
  <c r="X150" i="2"/>
  <c r="Y150" i="2"/>
  <c r="Z150" i="2"/>
  <c r="AA150" i="2"/>
  <c r="AB150" i="2"/>
  <c r="AC150" i="2"/>
  <c r="AD150" i="2"/>
  <c r="AE150" i="2"/>
  <c r="AF150" i="2"/>
  <c r="X151" i="2"/>
  <c r="Y151" i="2"/>
  <c r="Z151" i="2"/>
  <c r="AA151" i="2"/>
  <c r="AB151" i="2"/>
  <c r="AC151" i="2"/>
  <c r="AD151" i="2"/>
  <c r="AE151" i="2"/>
  <c r="AF151" i="2"/>
  <c r="X152" i="2"/>
  <c r="Y152" i="2"/>
  <c r="Z152" i="2"/>
  <c r="AA152" i="2"/>
  <c r="AB152" i="2"/>
  <c r="AC152" i="2"/>
  <c r="AD152" i="2"/>
  <c r="AE152" i="2"/>
  <c r="AF152" i="2"/>
  <c r="X153" i="2"/>
  <c r="Y153" i="2"/>
  <c r="Z153" i="2"/>
  <c r="AA153" i="2"/>
  <c r="AB153" i="2"/>
  <c r="AC153" i="2"/>
  <c r="AD153" i="2"/>
  <c r="AE153" i="2"/>
  <c r="AF153" i="2"/>
  <c r="X154" i="2"/>
  <c r="Y154" i="2"/>
  <c r="Z154" i="2"/>
  <c r="AA154" i="2"/>
  <c r="AB154" i="2"/>
  <c r="AC154" i="2"/>
  <c r="AD154" i="2"/>
  <c r="AE154" i="2"/>
  <c r="AF154" i="2"/>
  <c r="X155" i="2"/>
  <c r="Y155" i="2"/>
  <c r="Z155" i="2"/>
  <c r="AA155" i="2"/>
  <c r="AB155" i="2"/>
  <c r="AC155" i="2"/>
  <c r="AD155" i="2"/>
  <c r="AE155" i="2"/>
  <c r="AF155" i="2"/>
  <c r="X156" i="2"/>
  <c r="Y156" i="2"/>
  <c r="Z156" i="2"/>
  <c r="AA156" i="2"/>
  <c r="AB156" i="2"/>
  <c r="AC156" i="2"/>
  <c r="AD156" i="2"/>
  <c r="AE156" i="2"/>
  <c r="AF156" i="2"/>
  <c r="X157" i="2"/>
  <c r="Y157" i="2"/>
  <c r="Z157" i="2"/>
  <c r="AA157" i="2"/>
  <c r="AB157" i="2"/>
  <c r="AC157" i="2"/>
  <c r="AD157" i="2"/>
  <c r="AE157" i="2"/>
  <c r="AF157" i="2"/>
  <c r="X158" i="2"/>
  <c r="Y158" i="2"/>
  <c r="Z158" i="2"/>
  <c r="AA158" i="2"/>
  <c r="AB158" i="2"/>
  <c r="AC158" i="2"/>
  <c r="AD158" i="2"/>
  <c r="AE158" i="2"/>
  <c r="AF158" i="2"/>
  <c r="X159" i="2"/>
  <c r="Y159" i="2"/>
  <c r="Z159" i="2"/>
  <c r="AA159" i="2"/>
  <c r="AB159" i="2"/>
  <c r="AC159" i="2"/>
  <c r="AD159" i="2"/>
  <c r="AE159" i="2"/>
  <c r="AF159" i="2"/>
  <c r="X160" i="2"/>
  <c r="Y160" i="2"/>
  <c r="Z160" i="2"/>
  <c r="AA160" i="2"/>
  <c r="AB160" i="2"/>
  <c r="AC160" i="2"/>
  <c r="AD160" i="2"/>
  <c r="AE160" i="2"/>
  <c r="AF160" i="2"/>
  <c r="X161" i="2"/>
  <c r="Y161" i="2"/>
  <c r="Z161" i="2"/>
  <c r="AA161" i="2"/>
  <c r="AB161" i="2"/>
  <c r="AC161" i="2"/>
  <c r="AD161" i="2"/>
  <c r="AE161" i="2"/>
  <c r="AF161" i="2"/>
  <c r="X162" i="2"/>
  <c r="Y162" i="2"/>
  <c r="Z162" i="2"/>
  <c r="AA162" i="2"/>
  <c r="AB162" i="2"/>
  <c r="AC162" i="2"/>
  <c r="AD162" i="2"/>
  <c r="AE162" i="2"/>
  <c r="AF162" i="2"/>
  <c r="X163" i="2"/>
  <c r="Y163" i="2"/>
  <c r="Z163" i="2"/>
  <c r="AA163" i="2"/>
  <c r="AB163" i="2"/>
  <c r="AC163" i="2"/>
  <c r="AD163" i="2"/>
  <c r="AE163" i="2"/>
  <c r="AF163" i="2"/>
  <c r="X164" i="2"/>
  <c r="Y164" i="2"/>
  <c r="Z164" i="2"/>
  <c r="AA164" i="2"/>
  <c r="AB164" i="2"/>
  <c r="AC164" i="2"/>
  <c r="AD164" i="2"/>
  <c r="AE164" i="2"/>
  <c r="AF164" i="2"/>
  <c r="X165" i="2"/>
  <c r="Y165" i="2"/>
  <c r="Z165" i="2"/>
  <c r="AA165" i="2"/>
  <c r="AB165" i="2"/>
  <c r="AC165" i="2"/>
  <c r="AD165" i="2"/>
  <c r="AE165" i="2"/>
  <c r="AF165" i="2"/>
  <c r="X166" i="2"/>
  <c r="Y166" i="2"/>
  <c r="Z166" i="2"/>
  <c r="AA166" i="2"/>
  <c r="AB166" i="2"/>
  <c r="AC166" i="2"/>
  <c r="AD166" i="2"/>
  <c r="AE166" i="2"/>
  <c r="AF166" i="2"/>
  <c r="X167" i="2"/>
  <c r="Y167" i="2"/>
  <c r="Z167" i="2"/>
  <c r="AA167" i="2"/>
  <c r="AB167" i="2"/>
  <c r="AC167" i="2"/>
  <c r="AD167" i="2"/>
  <c r="AE167" i="2"/>
  <c r="AF167" i="2"/>
  <c r="X168" i="2"/>
  <c r="Y168" i="2"/>
  <c r="Z168" i="2"/>
  <c r="AA168" i="2"/>
  <c r="AB168" i="2"/>
  <c r="AC168" i="2"/>
  <c r="AD168" i="2"/>
  <c r="AE168" i="2"/>
  <c r="AF168" i="2"/>
  <c r="X169" i="2"/>
  <c r="Y169" i="2"/>
  <c r="Z169" i="2"/>
  <c r="AA169" i="2"/>
  <c r="AB169" i="2"/>
  <c r="AC169" i="2"/>
  <c r="AD169" i="2"/>
  <c r="AE169" i="2"/>
  <c r="AF169" i="2"/>
  <c r="X170" i="2"/>
  <c r="Y170" i="2"/>
  <c r="Z170" i="2"/>
  <c r="AA170" i="2"/>
  <c r="AB170" i="2"/>
  <c r="AC170" i="2"/>
  <c r="AD170" i="2"/>
  <c r="AE170" i="2"/>
  <c r="AF170" i="2"/>
  <c r="X171" i="2"/>
  <c r="Y171" i="2"/>
  <c r="Z171" i="2"/>
  <c r="AA171" i="2"/>
  <c r="AB171" i="2"/>
  <c r="AC171" i="2"/>
  <c r="AD171" i="2"/>
  <c r="AE171" i="2"/>
  <c r="AF171" i="2"/>
  <c r="X172" i="2"/>
  <c r="Y172" i="2"/>
  <c r="Z172" i="2"/>
  <c r="AA172" i="2"/>
  <c r="AB172" i="2"/>
  <c r="AC172" i="2"/>
  <c r="AD172" i="2"/>
  <c r="AE172" i="2"/>
  <c r="AF172" i="2"/>
  <c r="X173" i="2"/>
  <c r="Y173" i="2"/>
  <c r="Z173" i="2"/>
  <c r="AA173" i="2"/>
  <c r="AB173" i="2"/>
  <c r="AC173" i="2"/>
  <c r="AD173" i="2"/>
  <c r="AE173" i="2"/>
  <c r="AF173" i="2"/>
  <c r="X174" i="2"/>
  <c r="Y174" i="2"/>
  <c r="Z174" i="2"/>
  <c r="AA174" i="2"/>
  <c r="AB174" i="2"/>
  <c r="AC174" i="2"/>
  <c r="AD174" i="2"/>
  <c r="AE174" i="2"/>
  <c r="AF174" i="2"/>
  <c r="X175" i="2"/>
  <c r="Y175" i="2"/>
  <c r="Z175" i="2"/>
  <c r="AA175" i="2"/>
  <c r="AB175" i="2"/>
  <c r="AC175" i="2"/>
  <c r="AD175" i="2"/>
  <c r="AE175" i="2"/>
  <c r="AF175" i="2"/>
  <c r="X176" i="2"/>
  <c r="Y176" i="2"/>
  <c r="Z176" i="2"/>
  <c r="AA176" i="2"/>
  <c r="AB176" i="2"/>
  <c r="AC176" i="2"/>
  <c r="AD176" i="2"/>
  <c r="AE176" i="2"/>
  <c r="AF176" i="2"/>
  <c r="X177" i="2"/>
  <c r="Y177" i="2"/>
  <c r="Z177" i="2"/>
  <c r="AA177" i="2"/>
  <c r="AB177" i="2"/>
  <c r="AC177" i="2"/>
  <c r="AD177" i="2"/>
  <c r="AE177" i="2"/>
  <c r="AF177" i="2"/>
  <c r="X178" i="2"/>
  <c r="Y178" i="2"/>
  <c r="Z178" i="2"/>
  <c r="AA178" i="2"/>
  <c r="AB178" i="2"/>
  <c r="AC178" i="2"/>
  <c r="AD178" i="2"/>
  <c r="AE178" i="2"/>
  <c r="AF178" i="2"/>
  <c r="X179" i="2"/>
  <c r="Y179" i="2"/>
  <c r="Z179" i="2"/>
  <c r="AA179" i="2"/>
  <c r="AB179" i="2"/>
  <c r="AC179" i="2"/>
  <c r="AD179" i="2"/>
  <c r="AE179" i="2"/>
  <c r="AF179" i="2"/>
  <c r="X180" i="2"/>
  <c r="Y180" i="2"/>
  <c r="Z180" i="2"/>
  <c r="AA180" i="2"/>
  <c r="AB180" i="2"/>
  <c r="AC180" i="2"/>
  <c r="AD180" i="2"/>
  <c r="AE180" i="2"/>
  <c r="AF180" i="2"/>
  <c r="X181" i="2"/>
  <c r="Y181" i="2"/>
  <c r="Z181" i="2"/>
  <c r="AA181" i="2"/>
  <c r="AB181" i="2"/>
  <c r="AC181" i="2"/>
  <c r="AD181" i="2"/>
  <c r="AE181" i="2"/>
  <c r="AF181" i="2"/>
  <c r="X182" i="2"/>
  <c r="Y182" i="2"/>
  <c r="Z182" i="2"/>
  <c r="AA182" i="2"/>
  <c r="AB182" i="2"/>
  <c r="AC182" i="2"/>
  <c r="AD182" i="2"/>
  <c r="AE182" i="2"/>
  <c r="AF182" i="2"/>
  <c r="Y183" i="2"/>
  <c r="Z183" i="2"/>
  <c r="AA183" i="2"/>
  <c r="AB183" i="2"/>
  <c r="AC183" i="2"/>
  <c r="AD183" i="2"/>
  <c r="X184" i="2"/>
  <c r="Y184" i="2"/>
  <c r="Z184" i="2"/>
  <c r="AA184" i="2"/>
  <c r="AB184" i="2"/>
  <c r="AC184" i="2"/>
  <c r="AD184" i="2"/>
  <c r="AE184" i="2"/>
  <c r="AF184" i="2"/>
  <c r="X185" i="2"/>
  <c r="Y185" i="2"/>
  <c r="Z185" i="2"/>
  <c r="AA185" i="2"/>
  <c r="AB185" i="2"/>
  <c r="AC185" i="2"/>
  <c r="AD185" i="2"/>
  <c r="AE185" i="2"/>
  <c r="AF185" i="2"/>
  <c r="X186" i="2"/>
  <c r="Y186" i="2"/>
  <c r="Z186" i="2"/>
  <c r="AA186" i="2"/>
  <c r="AB186" i="2"/>
  <c r="AC186" i="2"/>
  <c r="AD186" i="2"/>
  <c r="AE186" i="2"/>
  <c r="AF186" i="2"/>
  <c r="X187" i="2"/>
  <c r="Y187" i="2"/>
  <c r="Z187" i="2"/>
  <c r="AA187" i="2"/>
  <c r="AB187" i="2"/>
  <c r="AC187" i="2"/>
  <c r="AD187" i="2"/>
  <c r="AE187" i="2"/>
  <c r="AF187" i="2"/>
  <c r="X188" i="2"/>
  <c r="Y188" i="2"/>
  <c r="Z188" i="2"/>
  <c r="AA188" i="2"/>
  <c r="AB188" i="2"/>
  <c r="AC188" i="2"/>
  <c r="AD188" i="2"/>
  <c r="AE188" i="2"/>
  <c r="AF188" i="2"/>
  <c r="X189" i="2"/>
  <c r="Y189" i="2"/>
  <c r="Z189" i="2"/>
  <c r="AA189" i="2"/>
  <c r="AB189" i="2"/>
  <c r="AC189" i="2"/>
  <c r="AD189" i="2"/>
  <c r="AE189" i="2"/>
  <c r="AF189" i="2"/>
  <c r="X190" i="2"/>
  <c r="Y190" i="2"/>
  <c r="Z190" i="2"/>
  <c r="AA190" i="2"/>
  <c r="AB190" i="2"/>
  <c r="AC190" i="2"/>
  <c r="AD190" i="2"/>
  <c r="AE190" i="2"/>
  <c r="AF190" i="2"/>
  <c r="X191" i="2"/>
  <c r="Y191" i="2"/>
  <c r="Z191" i="2"/>
  <c r="AA191" i="2"/>
  <c r="AB191" i="2"/>
  <c r="AC191" i="2"/>
  <c r="AD191" i="2"/>
  <c r="AE191" i="2"/>
  <c r="AF191" i="2"/>
  <c r="X192" i="2"/>
  <c r="Y192" i="2"/>
  <c r="Z192" i="2"/>
  <c r="AA192" i="2"/>
  <c r="AB192" i="2"/>
  <c r="AC192" i="2"/>
  <c r="AD192" i="2"/>
  <c r="AE192" i="2"/>
  <c r="AF192" i="2"/>
  <c r="X193" i="2"/>
  <c r="Y193" i="2"/>
  <c r="Z193" i="2"/>
  <c r="AA193" i="2"/>
  <c r="AB193" i="2"/>
  <c r="AC193" i="2"/>
  <c r="AD193" i="2"/>
  <c r="AE193" i="2"/>
  <c r="AF193" i="2"/>
  <c r="X194" i="2"/>
  <c r="Y194" i="2"/>
  <c r="Z194" i="2"/>
  <c r="AA194" i="2"/>
  <c r="AB194" i="2"/>
  <c r="AC194" i="2"/>
  <c r="AD194" i="2"/>
  <c r="AE194" i="2"/>
  <c r="AF194" i="2"/>
  <c r="X195" i="2"/>
  <c r="Y195" i="2"/>
  <c r="Z195" i="2"/>
  <c r="AA195" i="2"/>
  <c r="AB195" i="2"/>
  <c r="AC195" i="2"/>
  <c r="AD195" i="2"/>
  <c r="AE195" i="2"/>
  <c r="AF195" i="2"/>
  <c r="X196" i="2"/>
  <c r="Y196" i="2"/>
  <c r="Z196" i="2"/>
  <c r="AA196" i="2"/>
  <c r="AB196" i="2"/>
  <c r="AC196" i="2"/>
  <c r="AD196" i="2"/>
  <c r="AE196" i="2"/>
  <c r="AF196" i="2"/>
  <c r="X197" i="2"/>
  <c r="Y197" i="2"/>
  <c r="Z197" i="2"/>
  <c r="AA197" i="2"/>
  <c r="AB197" i="2"/>
  <c r="AC197" i="2"/>
  <c r="AD197" i="2"/>
  <c r="AE197" i="2"/>
  <c r="AF197" i="2"/>
  <c r="X198" i="2"/>
  <c r="Y198" i="2"/>
  <c r="Z198" i="2"/>
  <c r="AA198" i="2"/>
  <c r="AB198" i="2"/>
  <c r="AC198" i="2"/>
  <c r="AD198" i="2"/>
  <c r="AE198" i="2"/>
  <c r="AF198" i="2"/>
  <c r="X199" i="2"/>
  <c r="Y199" i="2"/>
  <c r="Z199" i="2"/>
  <c r="AA199" i="2"/>
  <c r="AB199" i="2"/>
  <c r="AC199" i="2"/>
  <c r="AD199" i="2"/>
  <c r="AE199" i="2"/>
  <c r="AF199" i="2"/>
  <c r="X200" i="2"/>
  <c r="Y200" i="2"/>
  <c r="Z200" i="2"/>
  <c r="AA200" i="2"/>
  <c r="AB200" i="2"/>
  <c r="AC200" i="2"/>
  <c r="AD200" i="2"/>
  <c r="AE200" i="2"/>
  <c r="AF200" i="2"/>
  <c r="X201" i="2"/>
  <c r="Y201" i="2"/>
  <c r="Z201" i="2"/>
  <c r="AA201" i="2"/>
  <c r="AB201" i="2"/>
  <c r="AC201" i="2"/>
  <c r="AD201" i="2"/>
  <c r="AE201" i="2"/>
  <c r="AF201" i="2"/>
  <c r="X202" i="2"/>
  <c r="Y202" i="2"/>
  <c r="Z202" i="2"/>
  <c r="AA202" i="2"/>
  <c r="AB202" i="2"/>
  <c r="AC202" i="2"/>
  <c r="AD202" i="2"/>
  <c r="AE202" i="2"/>
  <c r="AF202" i="2"/>
  <c r="AA141" i="2"/>
  <c r="X141" i="2"/>
  <c r="Y141" i="2"/>
  <c r="Z141" i="2"/>
  <c r="AB141" i="2"/>
  <c r="AC141" i="2"/>
  <c r="AD141" i="2"/>
  <c r="AE141" i="2"/>
  <c r="AF141" i="2"/>
  <c r="X142" i="2"/>
  <c r="Y142" i="2"/>
  <c r="Z142" i="2"/>
  <c r="AA142" i="2"/>
  <c r="AB142" i="2"/>
  <c r="AC142" i="2"/>
  <c r="AD142" i="2"/>
  <c r="AE142" i="2"/>
  <c r="AF142" i="2"/>
  <c r="X143" i="2"/>
  <c r="Y143" i="2"/>
  <c r="Z143" i="2"/>
  <c r="AA143" i="2"/>
  <c r="AB143" i="2"/>
  <c r="AC143" i="2"/>
  <c r="AD143" i="2"/>
  <c r="AE143" i="2"/>
  <c r="AF143" i="2"/>
  <c r="AF140" i="2"/>
  <c r="AE140" i="2"/>
  <c r="Y140" i="2"/>
  <c r="Z140" i="2"/>
  <c r="AA140" i="2"/>
  <c r="AB140" i="2"/>
  <c r="AC140" i="2"/>
  <c r="AD140" i="2"/>
  <c r="X140" i="2"/>
  <c r="T124" i="2"/>
  <c r="U124" i="2"/>
  <c r="V124" i="2"/>
  <c r="W124" i="2"/>
  <c r="X124" i="2"/>
  <c r="Y124" i="2"/>
  <c r="Z124" i="2"/>
  <c r="AA124" i="2"/>
  <c r="AB124" i="2"/>
  <c r="T125" i="2"/>
  <c r="U125" i="2"/>
  <c r="V125" i="2"/>
  <c r="W125" i="2"/>
  <c r="X125" i="2"/>
  <c r="Y125" i="2"/>
  <c r="Z125" i="2"/>
  <c r="AA125" i="2"/>
  <c r="AB125" i="2"/>
  <c r="T126" i="2"/>
  <c r="U126" i="2"/>
  <c r="V126" i="2"/>
  <c r="W126" i="2"/>
  <c r="X126" i="2"/>
  <c r="Y126" i="2"/>
  <c r="Z126" i="2"/>
  <c r="AA126" i="2"/>
  <c r="AB126" i="2"/>
  <c r="T127" i="2"/>
  <c r="U127" i="2"/>
  <c r="V127" i="2"/>
  <c r="W127" i="2"/>
  <c r="X127" i="2"/>
  <c r="Y127" i="2"/>
  <c r="Z127" i="2"/>
  <c r="AA127" i="2"/>
  <c r="AB127" i="2"/>
  <c r="T128" i="2"/>
  <c r="U128" i="2"/>
  <c r="V128" i="2"/>
  <c r="W128" i="2"/>
  <c r="X128" i="2"/>
  <c r="Y128" i="2"/>
  <c r="Z128" i="2"/>
  <c r="AA128" i="2"/>
  <c r="AB128" i="2"/>
  <c r="T129" i="2"/>
  <c r="U129" i="2"/>
  <c r="V129" i="2"/>
  <c r="W129" i="2"/>
  <c r="X129" i="2"/>
  <c r="Y129" i="2"/>
  <c r="Z129" i="2"/>
  <c r="AA129" i="2"/>
  <c r="AB129" i="2"/>
  <c r="T130" i="2"/>
  <c r="U130" i="2"/>
  <c r="V130" i="2"/>
  <c r="W130" i="2"/>
  <c r="X130" i="2"/>
  <c r="Y130" i="2"/>
  <c r="Z130" i="2"/>
  <c r="AA130" i="2"/>
  <c r="AB130" i="2"/>
  <c r="T131" i="2"/>
  <c r="U131" i="2"/>
  <c r="V131" i="2"/>
  <c r="W131" i="2"/>
  <c r="X131" i="2"/>
  <c r="Y131" i="2"/>
  <c r="Z131" i="2"/>
  <c r="AA131" i="2"/>
  <c r="AB131" i="2"/>
  <c r="T121" i="2"/>
  <c r="U121" i="2"/>
  <c r="V121" i="2"/>
  <c r="W121" i="2"/>
  <c r="X121" i="2"/>
  <c r="Y121" i="2"/>
  <c r="Z121" i="2"/>
  <c r="AA121" i="2"/>
  <c r="AB121" i="2"/>
  <c r="T122" i="2"/>
  <c r="U122" i="2"/>
  <c r="V122" i="2"/>
  <c r="W122" i="2"/>
  <c r="X122" i="2"/>
  <c r="Y122" i="2"/>
  <c r="Z122" i="2"/>
  <c r="AA122" i="2"/>
  <c r="AB122" i="2"/>
  <c r="T123" i="2"/>
  <c r="U123" i="2"/>
  <c r="V123" i="2"/>
  <c r="W123" i="2"/>
  <c r="X123" i="2"/>
  <c r="Y123" i="2"/>
  <c r="Z123" i="2"/>
  <c r="AA123" i="2"/>
  <c r="AB123" i="2"/>
  <c r="T120" i="2"/>
  <c r="U120" i="2"/>
  <c r="V120" i="2"/>
  <c r="W120" i="2"/>
  <c r="X120" i="2"/>
  <c r="Y120" i="2"/>
  <c r="Z120" i="2"/>
  <c r="AA120" i="2"/>
  <c r="AB120" i="2"/>
  <c r="AB119" i="2"/>
  <c r="U119" i="2"/>
  <c r="V119" i="2"/>
  <c r="W119" i="2"/>
  <c r="X119" i="2"/>
  <c r="Y119" i="2"/>
  <c r="Z119" i="2"/>
  <c r="AA119" i="2"/>
  <c r="T119" i="2"/>
</calcChain>
</file>

<file path=xl/sharedStrings.xml><?xml version="1.0" encoding="utf-8"?>
<sst xmlns="http://schemas.openxmlformats.org/spreadsheetml/2006/main" count="33350" uniqueCount="1667">
  <si>
    <t>SERVICIOS INTEGRALES RG</t>
  </si>
  <si>
    <t>.</t>
  </si>
  <si>
    <t>GIRO DE LINEA</t>
  </si>
  <si>
    <t>B46504</t>
  </si>
  <si>
    <t>TIENDAS</t>
  </si>
  <si>
    <t>Giro de Línea</t>
  </si>
  <si>
    <t>DIAZ HUERTAS ZENAIDA ESTHEFANI</t>
  </si>
  <si>
    <t>B27274</t>
  </si>
  <si>
    <t>CASIMIRO FERNANDEZ EDITH DORIS</t>
  </si>
  <si>
    <t>Oportunidad Garantías</t>
  </si>
  <si>
    <t>P1</t>
  </si>
  <si>
    <t>C1_1</t>
  </si>
  <si>
    <t>NULL</t>
  </si>
  <si>
    <t>S&amp; S TECHNICAL SOLUTIONS GLOBAL S.A.C.</t>
  </si>
  <si>
    <t>Nuevo Aprobado Ágil</t>
  </si>
  <si>
    <t>B46503</t>
  </si>
  <si>
    <t>Nuevo Aprobado Agil</t>
  </si>
  <si>
    <t>RAMIREZ PEREZ CRISS WENDY</t>
  </si>
  <si>
    <t>B13988</t>
  </si>
  <si>
    <t>GUANILO DIAS, MARIO LENIN</t>
  </si>
  <si>
    <t>Gestion Cartera</t>
  </si>
  <si>
    <t>P5</t>
  </si>
  <si>
    <t>C1_2</t>
  </si>
  <si>
    <t>CORP SANCHEZ Y CIA</t>
  </si>
  <si>
    <t>Nuevo Aprobado</t>
  </si>
  <si>
    <t>B14327</t>
  </si>
  <si>
    <t>Nuevo Pre-aprobado</t>
  </si>
  <si>
    <t>INVERSIONES Y SERVICIOS TAO</t>
  </si>
  <si>
    <t>Nuevo pre Aprobado</t>
  </si>
  <si>
    <t>B26053</t>
  </si>
  <si>
    <t>OSTOS VELASQUEZ NELLY RUBI</t>
  </si>
  <si>
    <t>B14821</t>
  </si>
  <si>
    <t>UGAZ VASQUEZ MARIA SUSANA</t>
  </si>
  <si>
    <t>CAPITAL DE TRABAJO</t>
  </si>
  <si>
    <t>RN SERVICIOS GENERALES</t>
  </si>
  <si>
    <t>Pasivero</t>
  </si>
  <si>
    <t>B37981</t>
  </si>
  <si>
    <t>TLV</t>
  </si>
  <si>
    <t>GARIBAY LUME RAQUEL NORMA</t>
  </si>
  <si>
    <t>B34489</t>
  </si>
  <si>
    <t>PALPA RAMOS LUIS CARLOS</t>
  </si>
  <si>
    <t>Recurrente Ágil CEM</t>
  </si>
  <si>
    <t>FACYL GESTION DE SERVICIOS INTEGRALES</t>
  </si>
  <si>
    <t>B18980</t>
  </si>
  <si>
    <t>DULCE MA E.I.R.L.</t>
  </si>
  <si>
    <t>Impulso Solo</t>
  </si>
  <si>
    <t>B45750</t>
  </si>
  <si>
    <t>Impulso MyPeru Comercial</t>
  </si>
  <si>
    <t>LOZANO COSME CARLOS ALBERTO</t>
  </si>
  <si>
    <t>B14530</t>
  </si>
  <si>
    <t>CACEDA VERTIZ, CESAR AUGUSTO</t>
  </si>
  <si>
    <t>C2</t>
  </si>
  <si>
    <t>WILAR SERVICE</t>
  </si>
  <si>
    <t>Impulso CDI Cobertura</t>
  </si>
  <si>
    <t>B27880</t>
  </si>
  <si>
    <t>INJANTE VELASQUEZ LUIS ALFREDO</t>
  </si>
  <si>
    <t>CJULA YUCRA VICTOR HUGO</t>
  </si>
  <si>
    <t>B34669</t>
  </si>
  <si>
    <t>COTARATE TEJEDA ABEL FIDEL</t>
  </si>
  <si>
    <t>C3</t>
  </si>
  <si>
    <t>INVERSIONES MULTIPLES VIVANCO E.I.R.L.</t>
  </si>
  <si>
    <t>B30114</t>
  </si>
  <si>
    <t>SANTOS TITO SUXAN YOSHIO</t>
  </si>
  <si>
    <t>Recurrente Agil Estacional</t>
  </si>
  <si>
    <t>MAMANI INQUILLA RONALD NEMECIO</t>
  </si>
  <si>
    <t>Impulso Mixto</t>
  </si>
  <si>
    <t>B18129</t>
  </si>
  <si>
    <t>MAURICCI &amp; BOZA</t>
  </si>
  <si>
    <t>CDD PRE APROBADO</t>
  </si>
  <si>
    <t>B45749</t>
  </si>
  <si>
    <t>Recurrente Aprobado CD</t>
  </si>
  <si>
    <t>QUISPE CASTRO CESAR JEANPIERRE</t>
  </si>
  <si>
    <t>INVERSIONES PUMACAHUA</t>
  </si>
  <si>
    <t>Regular Sin Campaña</t>
  </si>
  <si>
    <t>B33503</t>
  </si>
  <si>
    <t>VENDORS</t>
  </si>
  <si>
    <t>ANGULO CHAVEZ CRISTIAM MICHAEL</t>
  </si>
  <si>
    <t>GRUPO AGORA SOCIEDAD ANONIMA CERRADA</t>
  </si>
  <si>
    <t>Recurrente Aprobado Agil</t>
  </si>
  <si>
    <t>B30973</t>
  </si>
  <si>
    <t xml:space="preserve">FLORES PARIONA, MARLON </t>
  </si>
  <si>
    <t>SIEL ELECTRIC</t>
  </si>
  <si>
    <t>B30637</t>
  </si>
  <si>
    <t>VILLEGAS CHANAME WILSON HUMBERTO</t>
  </si>
  <si>
    <t>IMAÑA VASQUEZ NICKY ALEXANDER</t>
  </si>
  <si>
    <t>B45373</t>
  </si>
  <si>
    <t>TIENDAS VIRTUALES</t>
  </si>
  <si>
    <t>FIGUEROA GASTELLO JORGE LUIS</t>
  </si>
  <si>
    <t>B45384</t>
  </si>
  <si>
    <t>PECHO LLACTA, FLOR DE MARIA</t>
  </si>
  <si>
    <t>P2</t>
  </si>
  <si>
    <t>MIDSU TECHNOLOGY GROUP</t>
  </si>
  <si>
    <t>Ágil Recurrente CEM</t>
  </si>
  <si>
    <t>B30745</t>
  </si>
  <si>
    <t>ANAYA CASTILLO JANNET</t>
  </si>
  <si>
    <t>Recurrente Pre Aprobado CD</t>
  </si>
  <si>
    <t>CONDOR GALARZA JANET TERESA</t>
  </si>
  <si>
    <t>B28981</t>
  </si>
  <si>
    <t>Nuevo Aprobado EN</t>
  </si>
  <si>
    <t>ARES ENTERPRISE</t>
  </si>
  <si>
    <t>CDD APROBADO</t>
  </si>
  <si>
    <t>B45371</t>
  </si>
  <si>
    <t>Nuevo Aprobado Agil CD</t>
  </si>
  <si>
    <t>QUISPE LEDESMA MIGUEL ANGEL</t>
  </si>
  <si>
    <t>REDICAL</t>
  </si>
  <si>
    <t>B45389</t>
  </si>
  <si>
    <t>NUÑEZ AMADO ADA ZORAYA</t>
  </si>
  <si>
    <t>AMAO GUERREROS TERESA MERCEDES</t>
  </si>
  <si>
    <t>SERVICIOS TECNICOS GALVANICOS</t>
  </si>
  <si>
    <t>B45079</t>
  </si>
  <si>
    <t>CAMARGO LEON ANDREA PAOLA</t>
  </si>
  <si>
    <t>B45083</t>
  </si>
  <si>
    <t>LOAYZA RIVAS, LILYANN ESTHER</t>
  </si>
  <si>
    <t>J&amp;L SERVICIOS TERCERIZACION</t>
  </si>
  <si>
    <t>B45076</t>
  </si>
  <si>
    <t>DOMINGUEZ NAVARRETE KYARA</t>
  </si>
  <si>
    <t>ROMERO SOTO ALEJANDRO PIO</t>
  </si>
  <si>
    <t>B44900</t>
  </si>
  <si>
    <t xml:space="preserve">ARENAS AGUILAR RENZO REMBERTO	</t>
  </si>
  <si>
    <t>J &amp; S HEALTHCARE SOLUTIONS E.I.R.L.</t>
  </si>
  <si>
    <t>B28007</t>
  </si>
  <si>
    <t>RAMOS ORTIZ JHON ALBERT</t>
  </si>
  <si>
    <t>MONTENEGRO CHAVEZ, FANNY MARIELA</t>
  </si>
  <si>
    <t>BARBARAN COQUIS JESSICA</t>
  </si>
  <si>
    <t>B45374</t>
  </si>
  <si>
    <t>BOLIVAR CHAPILLIQUEN CARLOS ANDRES</t>
  </si>
  <si>
    <t>VILAO</t>
  </si>
  <si>
    <t>B13161</t>
  </si>
  <si>
    <t>GRUPO SYSTEM DATA</t>
  </si>
  <si>
    <t>B14534</t>
  </si>
  <si>
    <t>ZARATE GALVEZ MARCO ANTONIO</t>
  </si>
  <si>
    <t>CAMPO GRANDE PERU</t>
  </si>
  <si>
    <t>INSTITUCION EDUCATIVA SUPERIOR TECNOLOGI</t>
  </si>
  <si>
    <t>J P &amp; CIA</t>
  </si>
  <si>
    <t>MAKITECH</t>
  </si>
  <si>
    <t>B25939</t>
  </si>
  <si>
    <t>NAVEZ CASTILLO KATHERIN ROCIO</t>
  </si>
  <si>
    <t>CORPORACION M &amp; V ATLANTIC</t>
  </si>
  <si>
    <t>Garantias</t>
  </si>
  <si>
    <t>CONDORI CONDORI EVER</t>
  </si>
  <si>
    <t>B24783</t>
  </si>
  <si>
    <t>RIVERO MOGROVEJO RAYZA CYNTHIA</t>
  </si>
  <si>
    <t>DISTRIBUCIONES SUDCA E.I.R.L.</t>
  </si>
  <si>
    <t>OCEANICA INTERAMERICANA</t>
  </si>
  <si>
    <t>CT Garantía Sin Campaña</t>
  </si>
  <si>
    <t>B14972</t>
  </si>
  <si>
    <t>ISLA ROMANI CARLOS</t>
  </si>
  <si>
    <t>ROCA RAMOS, EDWIN DANTE</t>
  </si>
  <si>
    <t>FRANCO &amp; RODRIGUEZ S.A.C.</t>
  </si>
  <si>
    <t>B35209</t>
  </si>
  <si>
    <t>DIAZ TORRES LILIANA ROSA</t>
  </si>
  <si>
    <t>TIME COFFEE GRILL S.R.L.</t>
  </si>
  <si>
    <t>DRAGOTEK</t>
  </si>
  <si>
    <t>B45386</t>
  </si>
  <si>
    <t>FALCONI URIBE VICTOR MANUEL</t>
  </si>
  <si>
    <t>MELGAREJO ECHEVARRIA EDIL NAISER</t>
  </si>
  <si>
    <t>GRUPO FOPI</t>
  </si>
  <si>
    <t>ASERRADERO PREVCA S.R.L</t>
  </si>
  <si>
    <t>KAUSACHUN TOURS</t>
  </si>
  <si>
    <t>BPECND</t>
  </si>
  <si>
    <t>MATERIALES DENTALES CALDAS</t>
  </si>
  <si>
    <t>MAJUE E.I.R.L.</t>
  </si>
  <si>
    <t>SACARI HUAMAN SANDRA SOLEDAD</t>
  </si>
  <si>
    <t>DK INGENIERIA &amp; GEOTECNIA E.I.R.L.</t>
  </si>
  <si>
    <t>ADA ZORAYA NUÑEZ AMADO</t>
  </si>
  <si>
    <t>SEGURYTEC E INGENIERIA</t>
  </si>
  <si>
    <t>B45439</t>
  </si>
  <si>
    <t>GALVEZ VELA ALIONKA</t>
  </si>
  <si>
    <t>Garantizado Evaluacion Corto</t>
  </si>
  <si>
    <t>CHAFLOQUE CHIMOY YONATHAN SMITHY</t>
  </si>
  <si>
    <t>B46366</t>
  </si>
  <si>
    <t>YALICO MAYRA</t>
  </si>
  <si>
    <t>AYQUIPA BELLO RENZO FELIX</t>
  </si>
  <si>
    <t>B23200</t>
  </si>
  <si>
    <t>IMPORTACIONES CYNOX</t>
  </si>
  <si>
    <t>B46358</t>
  </si>
  <si>
    <t>AHUANARI OCHAVANO JOEL FERNANDO</t>
  </si>
  <si>
    <t>Recurrente Agil Crecer</t>
  </si>
  <si>
    <t>CHALLCO TERAN CELESTINA</t>
  </si>
  <si>
    <t>IMPORT Y EXPORT SPEICHER</t>
  </si>
  <si>
    <t>EMPRESA DE TRANSPORTES Y SERVICIOS COSTA</t>
  </si>
  <si>
    <t>REPRESENTACIONES VIRREY J E</t>
  </si>
  <si>
    <t>NINAVILCA MOLINA NILO LUIS NILO LUIS</t>
  </si>
  <si>
    <t>B33958</t>
  </si>
  <si>
    <t>MENDOZA ESPINOZA REQUELMER RECAREDO</t>
  </si>
  <si>
    <t>B29135</t>
  </si>
  <si>
    <t>AYALA QUISPE MARCELINO HONORATO</t>
  </si>
  <si>
    <t>B19307</t>
  </si>
  <si>
    <t>ROCSUR TODO EN COMPUTO</t>
  </si>
  <si>
    <t>ASA BOUTIQUE</t>
  </si>
  <si>
    <t>B29768</t>
  </si>
  <si>
    <t>DAVILA DIAZ PAOLO FRANCCESCO</t>
  </si>
  <si>
    <t>VORNAS PARIS</t>
  </si>
  <si>
    <t>B22827</t>
  </si>
  <si>
    <t>B28358</t>
  </si>
  <si>
    <t>CAMPO BRAVO GEANCARLO</t>
  </si>
  <si>
    <t>SIN CAMPAÑA</t>
  </si>
  <si>
    <t>TLV B</t>
  </si>
  <si>
    <t>COIMPLE SERVICIOS GENERALES EN PROYECTO</t>
  </si>
  <si>
    <t>Reactiva</t>
  </si>
  <si>
    <t>INVERSIONES KALIDA</t>
  </si>
  <si>
    <t>B45077</t>
  </si>
  <si>
    <t>CERRON GARCIA STEFANIA BLANCA</t>
  </si>
  <si>
    <t>USA MEDIC PERU</t>
  </si>
  <si>
    <t>B36574</t>
  </si>
  <si>
    <t>CW INGENIERIA Y MANTENIMIENTO SOCIEDAD C</t>
  </si>
  <si>
    <t>B44121</t>
  </si>
  <si>
    <t>CAHUANA CHOQUE EDY</t>
  </si>
  <si>
    <t>ALI &amp; JOTA ELECTRONIC EMPRESA INDIVIDUAL</t>
  </si>
  <si>
    <t>Recurrente Aprobado</t>
  </si>
  <si>
    <t>B33894</t>
  </si>
  <si>
    <t>MACEDO MASIAS SUSANA KATHERINE</t>
  </si>
  <si>
    <t>GONZALES SANCHEZ ANGHEL ESTEFANY</t>
  </si>
  <si>
    <t>CRUZ ZAVALETA SUMILDA ROSA</t>
  </si>
  <si>
    <t>VICTOR MANUEL FALCONI URIBE</t>
  </si>
  <si>
    <t>INGMETAL EFIO</t>
  </si>
  <si>
    <t>MJ NAVAL INDUSTRIA</t>
  </si>
  <si>
    <t>B27596</t>
  </si>
  <si>
    <t>CASTILLO ORE ALEJANDRO IVAN</t>
  </si>
  <si>
    <t>REPRESENTACIONES TORPOCO</t>
  </si>
  <si>
    <t>B20210</t>
  </si>
  <si>
    <t>HUAMAN CORDOVA JOHNNY WILLIAMS</t>
  </si>
  <si>
    <t>URIARTE SALDAÑA ABEL</t>
  </si>
  <si>
    <t>WILMART</t>
  </si>
  <si>
    <t>CORONADO LLERENA YANET MAURA</t>
  </si>
  <si>
    <t>B14086</t>
  </si>
  <si>
    <t>NETCORPORATE PERU</t>
  </si>
  <si>
    <t>B36343</t>
  </si>
  <si>
    <t>CUARESMA LEON JEAN CARLOS</t>
  </si>
  <si>
    <t>INSTITUCION LOUIS PASTEUR</t>
  </si>
  <si>
    <t>B19952</t>
  </si>
  <si>
    <t>.PRODUCTORA</t>
  </si>
  <si>
    <t>TORRES FERNANDEZ ALEX</t>
  </si>
  <si>
    <t>ALEX PETROLERA</t>
  </si>
  <si>
    <t>B40039</t>
  </si>
  <si>
    <t>VELIZ TEJADA MARIA DEL ROSARIO</t>
  </si>
  <si>
    <t>FRIOIMPORTPERU</t>
  </si>
  <si>
    <t>FRAMSA CONTRATISTAS GENERALES</t>
  </si>
  <si>
    <t>MAQUINARIAS Y TRANSPORTES LEONGROUP</t>
  </si>
  <si>
    <t>SERVICIOS AMBIENTALES NORTE VERDE S.R.L.</t>
  </si>
  <si>
    <t>B22760</t>
  </si>
  <si>
    <t>RAFAEL LARREA NATALI</t>
  </si>
  <si>
    <t>CONFETEXTILES PER</t>
  </si>
  <si>
    <t>SERVICIOS EN HEMODIALISIS ARABELA</t>
  </si>
  <si>
    <t>B37955</t>
  </si>
  <si>
    <t>VEGA QUISPE AMADOR</t>
  </si>
  <si>
    <t>B19752</t>
  </si>
  <si>
    <t>SIERRA ROMERO CESAR AUGUSTO</t>
  </si>
  <si>
    <t>AYBAR ESCRIBA JAVIER PEDRO</t>
  </si>
  <si>
    <t>B39015</t>
  </si>
  <si>
    <t>FERROBELL</t>
  </si>
  <si>
    <t>B45078</t>
  </si>
  <si>
    <t>CASTILLO FERNANDEZ CECILIA</t>
  </si>
  <si>
    <t>HUISA CORIMAYA LUZ MARINA</t>
  </si>
  <si>
    <t>B27909</t>
  </si>
  <si>
    <t>TRUCKS PARTS DIESEL MOTOR S</t>
  </si>
  <si>
    <t>CONSTRUCCIONES HJC</t>
  </si>
  <si>
    <t>B44120</t>
  </si>
  <si>
    <t>TORRES RIMAPA MARIA ALEJANDRA</t>
  </si>
  <si>
    <t>CORPORACION X&amp;J</t>
  </si>
  <si>
    <t>B30425</t>
  </si>
  <si>
    <t>SAAVEDRA VARGAS LESLY LORENA</t>
  </si>
  <si>
    <t>MULTIVENTAS A &amp; C S.R.L.</t>
  </si>
  <si>
    <t>ALVARADO CASTRO MIKER PAOLO</t>
  </si>
  <si>
    <t>CELEDONIO PARODI DOMITILA CECILIA</t>
  </si>
  <si>
    <t>B22846</t>
  </si>
  <si>
    <t>HERRERA RAMOS RITA MELANIA</t>
  </si>
  <si>
    <t>INGENIERIA DE ALIMENTOS NATURALES</t>
  </si>
  <si>
    <t>Nuevo NO BANK</t>
  </si>
  <si>
    <t>TLV C</t>
  </si>
  <si>
    <t>POOL TRANSACCIONAL</t>
  </si>
  <si>
    <t>SOLUCIONES INFORMATICAS PERSONALIZADAS S</t>
  </si>
  <si>
    <t>ULLOA CAYCHO JUNIOR UBER</t>
  </si>
  <si>
    <t>B30094</t>
  </si>
  <si>
    <t>ZAPATA ESTRADA YAMILEX</t>
  </si>
  <si>
    <t>AUTOMOTRIZ FERNANDEZ S.A.C.</t>
  </si>
  <si>
    <t>E W D TECNOLOGIAS DE LA INFORMATICA Y NE</t>
  </si>
  <si>
    <t>CENTRO MEDICO SILVA E.I.R.L.</t>
  </si>
  <si>
    <t>R Y D GRUPO EMPRESARIAL</t>
  </si>
  <si>
    <t>VEGA PECHO MARIA JULIA</t>
  </si>
  <si>
    <t>BLIYM EMPRESA INDIVIDUAL DE RESPONSABILI</t>
  </si>
  <si>
    <t>SAN ISIDRO BELLAVISTA E.I.R.L.</t>
  </si>
  <si>
    <t>LOGISTICS FREIGHT FORWARDING</t>
  </si>
  <si>
    <t>DELEXPORT</t>
  </si>
  <si>
    <t>B45869</t>
  </si>
  <si>
    <t xml:space="preserve">LOPEZ OROYA MICHAEL </t>
  </si>
  <si>
    <t>DYVAG PERU E.I.R.L.</t>
  </si>
  <si>
    <t>ROMERO CASTILLO HUGO WALTER</t>
  </si>
  <si>
    <t>B33170</t>
  </si>
  <si>
    <t>INVERSIONES Y DISTRIBUCIONES RAMOS S &amp; A</t>
  </si>
  <si>
    <t>MENATEX</t>
  </si>
  <si>
    <t>ORTIZ BENANCIO SAIDA MARILYN</t>
  </si>
  <si>
    <t>PIEZITAS IMPORT</t>
  </si>
  <si>
    <t>CT Garantía</t>
  </si>
  <si>
    <t>B27693</t>
  </si>
  <si>
    <t>MATOS VASQUEZ JACKELIN ISABEL</t>
  </si>
  <si>
    <t>GUES DATA</t>
  </si>
  <si>
    <t>NUÑEZ PONCE MARCO ANTONIO</t>
  </si>
  <si>
    <t>COLOR´S &amp; TENDENCIA INNOVATION TEXTILE</t>
  </si>
  <si>
    <t>LA QUE MANDA ES LA SAZON</t>
  </si>
  <si>
    <t>MULTISERVICIOS LIFER &amp; EB S.A.C.</t>
  </si>
  <si>
    <t>B25972</t>
  </si>
  <si>
    <t>TRANSPORTES LD ROJAS</t>
  </si>
  <si>
    <t>CIRUJANOS A TU SERVICIO</t>
  </si>
  <si>
    <t>CGI CONTRATISTAS GENERALES S.A.C.</t>
  </si>
  <si>
    <t>B45631</t>
  </si>
  <si>
    <t>ALFARO CRUZ SUSANA BELEN</t>
  </si>
  <si>
    <t>YOUROUTLET PERU</t>
  </si>
  <si>
    <t>SEIRE S.A.C.</t>
  </si>
  <si>
    <t>ROLDAN MORENO EFRAIN AURELIANO</t>
  </si>
  <si>
    <t>ORELLANA YAÑEZ GIANPIERRE RICHARSON</t>
  </si>
  <si>
    <t>B16475</t>
  </si>
  <si>
    <t>TORRECID DO BRASIL FRITAS ESMALTES E COR</t>
  </si>
  <si>
    <t>B27035</t>
  </si>
  <si>
    <t>HERMANAS GELATO</t>
  </si>
  <si>
    <t>MUNNAY CENTRO MEDICO E.I.R.L.</t>
  </si>
  <si>
    <t>CENTRO DE ODONTOPEDIATRIA DIAZ</t>
  </si>
  <si>
    <t>B45372</t>
  </si>
  <si>
    <t>VARGAS TAMARA GINA MARIELA</t>
  </si>
  <si>
    <t>INVERSIONES IRWIN EMPRESA INDIVIDUAL DE</t>
  </si>
  <si>
    <t>KEMACH WELDING E.I.R.L</t>
  </si>
  <si>
    <t>NIZARE Y CIA S.R.L.</t>
  </si>
  <si>
    <t>PALACIOS TORRES SERGIO GABRIEL</t>
  </si>
  <si>
    <t>AGREGADOS ALVAREZ</t>
  </si>
  <si>
    <t>HORNA VILLARREAL CARLOS HERNAN</t>
  </si>
  <si>
    <t>FERRETERIA 360</t>
  </si>
  <si>
    <t>PAJA LUNA VILMA</t>
  </si>
  <si>
    <t>J &amp; M IMPORTACIONES METAL</t>
  </si>
  <si>
    <t>FILM TUNING</t>
  </si>
  <si>
    <t>B45240</t>
  </si>
  <si>
    <t>PICON LA TORRE BRAULIO MIGUEL</t>
  </si>
  <si>
    <t>MADIMEL</t>
  </si>
  <si>
    <t>CT PERIODO DE GRACIA PARCIAL</t>
  </si>
  <si>
    <t>Credito con Garantia Hipotecaria</t>
  </si>
  <si>
    <t>COUNTRY CLUB TIABAYA SOCIEDAD ANONIMA CE</t>
  </si>
  <si>
    <t>Q SSHO TEAGUA ZAR OHMAR</t>
  </si>
  <si>
    <t>B11277</t>
  </si>
  <si>
    <t>SERVICE &amp; CATERING MI DIVINO NIÑO</t>
  </si>
  <si>
    <t>B28664</t>
  </si>
  <si>
    <t>RONDON MEDINA ALEX NESTOR</t>
  </si>
  <si>
    <t>VERTICE IT</t>
  </si>
  <si>
    <t>DOMINGUEZ NAVARRETE KYARA YOLANDA</t>
  </si>
  <si>
    <t>INVERSIONES Y NEGOCIACIONES RODRIVAL</t>
  </si>
  <si>
    <t>DELTA B &amp; M SERVICIOS GENERALES</t>
  </si>
  <si>
    <t>CLÍNICA VETERINARIA MI MASCOTA</t>
  </si>
  <si>
    <t>GARCIA VALENCIA ELADIO MAXIMO</t>
  </si>
  <si>
    <t>TIBURCIO LEON JUAN MANUEL</t>
  </si>
  <si>
    <t>INGECORP SEGURIDAD E INGENIERIA</t>
  </si>
  <si>
    <t>HAPPY BOY IMPORT</t>
  </si>
  <si>
    <t>B30940</t>
  </si>
  <si>
    <t>DECATHLON SPORT PERU</t>
  </si>
  <si>
    <t>QUIÑONES QUISPE ROSENDO LIRIO</t>
  </si>
  <si>
    <t>FUN LEYVA CYNTHIA PIERINA</t>
  </si>
  <si>
    <t>NINA COAQUIRA ALEJANDRINA</t>
  </si>
  <si>
    <t>PLASTICOS LIRA</t>
  </si>
  <si>
    <t>MERCADO PERU E.I.R.L.</t>
  </si>
  <si>
    <t>NEGOCIOS TROTAMUNDO</t>
  </si>
  <si>
    <t>LINARES ORTIZ WILDER NATIVIDAD</t>
  </si>
  <si>
    <t>AJ CARGO</t>
  </si>
  <si>
    <t>INVERSIONES &amp; PROYECTOS LUDAM</t>
  </si>
  <si>
    <t>ESTETICA SIEMPRE BELLA</t>
  </si>
  <si>
    <t>PSA IMPORTACIONES</t>
  </si>
  <si>
    <t>ROMUALDO CHACA JAZMIN</t>
  </si>
  <si>
    <t>MANIOBRAS PACHECO</t>
  </si>
  <si>
    <t>Renov. Linea</t>
  </si>
  <si>
    <t>INTERNACIONAL NEW STAR VELOCY</t>
  </si>
  <si>
    <t>CONFECCIONES PALMEREZZI</t>
  </si>
  <si>
    <t>GIRO DE LÍNEA</t>
  </si>
  <si>
    <t>INDUSTRIAS TEKMISUR DEL PERU</t>
  </si>
  <si>
    <t>MORALES YACTAYO JESUS ALBERTO</t>
  </si>
  <si>
    <t>BMK MARKET</t>
  </si>
  <si>
    <t>NEGOCIOS PARIS INT</t>
  </si>
  <si>
    <t>B46884</t>
  </si>
  <si>
    <t>BERNUY CHECA CARLOS ALBERTO</t>
  </si>
  <si>
    <t>SERVICIOS GENERALES ASURCONGA S.R.L.</t>
  </si>
  <si>
    <t>VIVA SOLAR</t>
  </si>
  <si>
    <t>BAZAN JAMANCA GIANCARLO</t>
  </si>
  <si>
    <t>B23842</t>
  </si>
  <si>
    <t>OFTALMO LENTES</t>
  </si>
  <si>
    <t>FITO LIVE</t>
  </si>
  <si>
    <t>NEUTRONIC S.A.C.</t>
  </si>
  <si>
    <t>GRUPO INFINITI</t>
  </si>
  <si>
    <t>OBANDO TAVARA JOSE MILAGROS</t>
  </si>
  <si>
    <t>GUERRERO LINARES ARIANA LISBETH  </t>
  </si>
  <si>
    <t>ROJAS ARQUEROS ANA LUISA</t>
  </si>
  <si>
    <t>B46403</t>
  </si>
  <si>
    <t xml:space="preserve">ROJAS BENITES SERGIO JUNIO </t>
  </si>
  <si>
    <t>COMERCIAL NUEVO AMANECER I</t>
  </si>
  <si>
    <t>J&amp;J FERRECENTRO S.A.C.</t>
  </si>
  <si>
    <t>INVERSIONES TURISTICAS ITUR SOCIEDAD ANO</t>
  </si>
  <si>
    <t>GROBDI SOCIEDAD ANONIMA CERRADA-GROBDI</t>
  </si>
  <si>
    <t>CONLATOR</t>
  </si>
  <si>
    <t>COPIADORAS IMPORT</t>
  </si>
  <si>
    <t>CHECCA VILCA GLORIA SOLEDAD</t>
  </si>
  <si>
    <t>EBE GLOBAL SOLUTIONS</t>
  </si>
  <si>
    <t>UMBRELLA SCIENTIFIC</t>
  </si>
  <si>
    <t>B46402</t>
  </si>
  <si>
    <t>ZELADA SIERRALTA JOSEPH JOHANNES</t>
  </si>
  <si>
    <t>RIQUEZAS GASTRONOMICAS PERU E.I.R.L.</t>
  </si>
  <si>
    <t>NEGOCIOS Y SERVICIOS PARTY CIX</t>
  </si>
  <si>
    <t>INVERSIONES ANGEL TORRES</t>
  </si>
  <si>
    <t>VILLAFUERTE PUYEN MARIO ROBERTO</t>
  </si>
  <si>
    <t>B13304</t>
  </si>
  <si>
    <t>DEL AGUILA RAMIREZ SARITA ARODITA</t>
  </si>
  <si>
    <t>B27801</t>
  </si>
  <si>
    <t>MAXITIENDA</t>
  </si>
  <si>
    <t>CORPORACION MABANO</t>
  </si>
  <si>
    <t>SALINAS MARTINEZ MARGARITA CECILIA</t>
  </si>
  <si>
    <t>MARCELL WORLD</t>
  </si>
  <si>
    <t>GUADALUPE OROSCO IVAN</t>
  </si>
  <si>
    <t>B23695</t>
  </si>
  <si>
    <t>CCPQ SUMINISTROS Y SERVICIOS</t>
  </si>
  <si>
    <t>B45385</t>
  </si>
  <si>
    <t>RISCO MENDIOLA CRISTIAN ENRIQUE</t>
  </si>
  <si>
    <t>ADM DE SERV MED Y LAB SANTA FE</t>
  </si>
  <si>
    <t>VM COMMERCE</t>
  </si>
  <si>
    <t>D GEMINIS INVERSIONES</t>
  </si>
  <si>
    <t>B43714</t>
  </si>
  <si>
    <t xml:space="preserve">GUZMAN TIPACTI JULIO ANDRES </t>
  </si>
  <si>
    <t>KATCE PETS</t>
  </si>
  <si>
    <t>MODA TQM S.A.C.</t>
  </si>
  <si>
    <t>CONFECCIONES SUKER JEANS SAC</t>
  </si>
  <si>
    <t>B45375</t>
  </si>
  <si>
    <t>ECOSISTEMAS</t>
  </si>
  <si>
    <t>ZUÑIGA CORNEJO ANDRE ESTEBAN</t>
  </si>
  <si>
    <t>VALENZUELA CABANILLAS RENAN</t>
  </si>
  <si>
    <t>OFICOM SYSTEMS EIRL</t>
  </si>
  <si>
    <t>AVI COROPUNA EIRL</t>
  </si>
  <si>
    <t>B22931</t>
  </si>
  <si>
    <t>CLINICA MEDICA AL TA</t>
  </si>
  <si>
    <t>GRUPO ALAHNA</t>
  </si>
  <si>
    <t>DISTRIBUCIONES E IMPORTACIONES V Y D</t>
  </si>
  <si>
    <t>PROFESSIONAL QUALITY SOCIEDAD COMERCIAL</t>
  </si>
  <si>
    <t>MULTIPLAS FORTALEZA</t>
  </si>
  <si>
    <t>UNIVERSAL LOGISTICA</t>
  </si>
  <si>
    <t>VARGAS ALCCA ALFREDO</t>
  </si>
  <si>
    <t>GRUPO LIDER FERRETERO</t>
  </si>
  <si>
    <t>MARQUINA CAMPOS ANDRE ROALD HERBERT</t>
  </si>
  <si>
    <t>VELTRAC ENTRETENIMIENTO Y COMUNICACION</t>
  </si>
  <si>
    <t>CORPORACION BJJ MONTALBAN</t>
  </si>
  <si>
    <t>PC CITY</t>
  </si>
  <si>
    <t>JEDATEX</t>
  </si>
  <si>
    <t>VASQUEZ DELGADO JHONNY</t>
  </si>
  <si>
    <t>UNIDAD ONCOLOGICA MOLECULAR PERUANA</t>
  </si>
  <si>
    <t>DISTRIBUCIONES DE GRUPO PERU</t>
  </si>
  <si>
    <t>CORPORACION HUANCAYO</t>
  </si>
  <si>
    <t>ATINI</t>
  </si>
  <si>
    <t>KRISTALL JOYERIA</t>
  </si>
  <si>
    <t>J &amp; R SOLUCIONES INTEGRALES</t>
  </si>
  <si>
    <t>AUTEK INGENIERIA Y SERVICIOS</t>
  </si>
  <si>
    <t>COMERCIAL FAJARDO SUR</t>
  </si>
  <si>
    <t>INVERSIONES J K &amp; M A</t>
  </si>
  <si>
    <t>B37395</t>
  </si>
  <si>
    <t>ABARCA CHAVARRI GISELLA PATRICIA</t>
  </si>
  <si>
    <t>INDUSTRIAS EXIM</t>
  </si>
  <si>
    <t>CALZADOS CLARITA</t>
  </si>
  <si>
    <t>COMERCIO MINERO INDUSTRIAL</t>
  </si>
  <si>
    <t>P &amp; M ELECTRIC</t>
  </si>
  <si>
    <t>B43903</t>
  </si>
  <si>
    <t>BALCAZAR ZAVALA CRISTHIAN FRANCISCO</t>
  </si>
  <si>
    <t>SANZ CONTADORES E &amp; M</t>
  </si>
  <si>
    <t>JORGE LUIS FIGUEROA GASTELLO</t>
  </si>
  <si>
    <t>BECERRA COBA EDGAR YANNETTY</t>
  </si>
  <si>
    <t>PROYECTO SANDY SALCEDO S.A.C.</t>
  </si>
  <si>
    <t>SIMULADORES Y MAQUETAS MEDICAS</t>
  </si>
  <si>
    <t>DISTRIBUCIONES CONEY</t>
  </si>
  <si>
    <t>RIVERA PINTO CLEMENTE SALVADOR</t>
  </si>
  <si>
    <t>ILDEFONSO TARAZONA LADY MABEL</t>
  </si>
  <si>
    <t>PEDRAZA AYQUIPA BENIGNO</t>
  </si>
  <si>
    <t>MIUBEL MAQUINARIAS SOCIEDAD COMERCIAL DE</t>
  </si>
  <si>
    <t>EQUIPOS PROIN</t>
  </si>
  <si>
    <t>ENVAPERU</t>
  </si>
  <si>
    <t>B26031</t>
  </si>
  <si>
    <t>COLEGIO LA ALBORADA</t>
  </si>
  <si>
    <t>G &amp; E TAIKI</t>
  </si>
  <si>
    <t>PIECHI PERU</t>
  </si>
  <si>
    <t>NEGOCIOS YEFRI E.I.R.L</t>
  </si>
  <si>
    <t>JM DISTRIBUCIONES &amp; SEGURIDAD INDUSTRIAL</t>
  </si>
  <si>
    <t>B46727</t>
  </si>
  <si>
    <t>GUANILO DIAZ MARIO LENIN</t>
  </si>
  <si>
    <t>SERVA ORIHUELA YANELA YULISSA</t>
  </si>
  <si>
    <t>B20321</t>
  </si>
  <si>
    <t>CASTAÑEDA MONTAÑEZ RICHARD GEORGE</t>
  </si>
  <si>
    <t>B12887</t>
  </si>
  <si>
    <t>B30155</t>
  </si>
  <si>
    <t>CUEVAS BOLIVAR MIGUEL ANGEL</t>
  </si>
  <si>
    <t>TEXTILES FARTEX</t>
  </si>
  <si>
    <t>ENVIROSOLUTION SAC</t>
  </si>
  <si>
    <t>DIAZ PACHECO CARLOS OSWALDO</t>
  </si>
  <si>
    <t>CAPITAL BROKERS S.A.C.</t>
  </si>
  <si>
    <t>SOTO LEON CONTADORES</t>
  </si>
  <si>
    <t>GRUPO LIANA</t>
  </si>
  <si>
    <t>B46175</t>
  </si>
  <si>
    <t>OVIEDO MACHARE WILSON LEYBER</t>
  </si>
  <si>
    <t>SAAVEDRA NUÑEZ RUSBEL ELISEO</t>
  </si>
  <si>
    <t>SERVICIOS GENERALES GAMARUNI S.R.L.</t>
  </si>
  <si>
    <t>ABASTECIMIENTO DE PRODUCTOS Y SERVICIOS</t>
  </si>
  <si>
    <t>KENAT DEL PERU</t>
  </si>
  <si>
    <t>PEREZ CASTRO MERY VERONICA</t>
  </si>
  <si>
    <t>TECNO INGENIERIA INDUSTRIAL</t>
  </si>
  <si>
    <t>B37426</t>
  </si>
  <si>
    <t>ARAUJO SEBASTIAN RAQUEL MAGALY</t>
  </si>
  <si>
    <t>PEREZ &amp; PEREZ SOCIEDAD ANONIMA CERRADA -</t>
  </si>
  <si>
    <t>MOGOLLON TARAZONA PAUL BRADY</t>
  </si>
  <si>
    <t>CARLOS VASQUEZ ARTE &amp; PUBLICIDAD EIRL</t>
  </si>
  <si>
    <t>SILVA PEREZ LINDA KAREN</t>
  </si>
  <si>
    <t>B23647</t>
  </si>
  <si>
    <t>.CORPORACION FERREMAT &amp; NEGOCIOS GENERAL</t>
  </si>
  <si>
    <t>MERCURIO CONSULTORES ASOCIADOS</t>
  </si>
  <si>
    <t>CARROCERIAS FAC BUS</t>
  </si>
  <si>
    <t>CARLOS ANDRES BOLIVAR CHAPILLIQUEN</t>
  </si>
  <si>
    <t>TAME VILCA CESAR ANTONIO</t>
  </si>
  <si>
    <t>ANCAJIMA MACALUPU JOSE MARIANO</t>
  </si>
  <si>
    <t>B45440</t>
  </si>
  <si>
    <t>CARMONA FARFAN FRANCISCO ROLANDO</t>
  </si>
  <si>
    <t>F Y S PROYECTOS ELECTRICOS GENERALES Y C</t>
  </si>
  <si>
    <t>DISTRIBUIDORA WILMAR E.I.R.L.</t>
  </si>
  <si>
    <t>J &amp; R LOGISTICA Y SOLUCIONES GENERALES</t>
  </si>
  <si>
    <t>IGLOBAL GROUP E.I.R.L.</t>
  </si>
  <si>
    <t>CORPORACION RETAIL ML</t>
  </si>
  <si>
    <t>GAFASPERFECT</t>
  </si>
  <si>
    <t>MAKING CONNEXION</t>
  </si>
  <si>
    <t>B28573</t>
  </si>
  <si>
    <t>CASTILLO PALOMINO JORGE JHUNIOR</t>
  </si>
  <si>
    <t>CHILQUILLO FLORES JOHN ANGEL</t>
  </si>
  <si>
    <t>B13559</t>
  </si>
  <si>
    <t>ADRIANCANV SAC</t>
  </si>
  <si>
    <t>GARCIA GONZALES JULIO CESAR</t>
  </si>
  <si>
    <t>CENTRO DE MEDICINA HIPERBARICA</t>
  </si>
  <si>
    <t>TRANSMASUR</t>
  </si>
  <si>
    <t>FERRELECTRIC ROLO S EMPRESA INDIVIDUAL D</t>
  </si>
  <si>
    <t>B46527</t>
  </si>
  <si>
    <t>LUNA APAZA MILUSKA CLARA</t>
  </si>
  <si>
    <t>MULTISERVICIOS AUTOMOTRIZ UNIGAS E.I.R.L</t>
  </si>
  <si>
    <t>IMPORTACIONES OVERLAND AUTOMOTRIZ EMPRES</t>
  </si>
  <si>
    <t>ENERGICENTRO SUPER BATTERY S.A.C.</t>
  </si>
  <si>
    <t>LAURA VARGAS WILSON</t>
  </si>
  <si>
    <t>GRUPO C P Q  CONSTRUCCIONES GENERALES</t>
  </si>
  <si>
    <t>DISTRIBUIDORA PADU</t>
  </si>
  <si>
    <t>INGENIERIA METALICA ASBEL</t>
  </si>
  <si>
    <t>MEJIA QUISPE ESPERANZA</t>
  </si>
  <si>
    <t>Recurrente Ágil CEM - Renovacion de Linea</t>
  </si>
  <si>
    <t>CORPORATION SPIRIT CASTLE SOCIEDAD ANONI</t>
  </si>
  <si>
    <t>REQUEJO SUAREZ YORCITO CASTINALDO</t>
  </si>
  <si>
    <t>B36715</t>
  </si>
  <si>
    <t>INVERSIONES &amp; CONSTRUCTORA ZAVALA EMPRES</t>
  </si>
  <si>
    <t>DISEÑO Y CONSTRUCCIONES METALICAS ALEXAN</t>
  </si>
  <si>
    <t>REENCAUCHADORA DIRESUR S.R.L.</t>
  </si>
  <si>
    <t>FLORES GONZALES INGRID LUZMILA</t>
  </si>
  <si>
    <t>PRESS CAPITAL</t>
  </si>
  <si>
    <t>FABETEX DEL PERU</t>
  </si>
  <si>
    <t>HOLDING HUAUYA</t>
  </si>
  <si>
    <t>COMPANIA SEMILLERA MONTOYA FAKHYE</t>
  </si>
  <si>
    <t>QUISPE ZARATE LEONARDA CHANA</t>
  </si>
  <si>
    <t>ED IMPORT</t>
  </si>
  <si>
    <t>PEREZ RUIZ LUZ AUREA</t>
  </si>
  <si>
    <t>B26854</t>
  </si>
  <si>
    <t>KARINA ISABEL MAGALLANES OBLITAS</t>
  </si>
  <si>
    <t>B14058</t>
  </si>
  <si>
    <t>SARA JANNETTE TORRES HERRERA</t>
  </si>
  <si>
    <t>COMPRA DE DEUDA</t>
  </si>
  <si>
    <t>COMPRA DEUDA</t>
  </si>
  <si>
    <t>MARVAS RACING</t>
  </si>
  <si>
    <t>ELECFRIO</t>
  </si>
  <si>
    <t>B35703</t>
  </si>
  <si>
    <t>J H L INVERSIONES</t>
  </si>
  <si>
    <t>FILCAMGRAF</t>
  </si>
  <si>
    <t>BERNILLA DE LA CRUZ LUIS BRAULIO</t>
  </si>
  <si>
    <t>FERRETERIA SAGRADO CORAZON DE JESUS</t>
  </si>
  <si>
    <t>CORPORACIóN ELECTRO PRODUCTOS</t>
  </si>
  <si>
    <t>F S F R SUNSHINE TEKNISISTEMAS DE SERVIC</t>
  </si>
  <si>
    <t>GORDILLO PEREZ ANDRES</t>
  </si>
  <si>
    <t>COLOR Y PRECISION S.A.C</t>
  </si>
  <si>
    <t>DECORACIONES Y ESTILO MAYO</t>
  </si>
  <si>
    <t>GTH CAPITALS AQP</t>
  </si>
  <si>
    <t>RAYO WHITE RAYWHI</t>
  </si>
  <si>
    <t>INVERSIONES EDLY</t>
  </si>
  <si>
    <t>CONSORCIO TEXTIL PRINCESAS</t>
  </si>
  <si>
    <t>WRAPDETAIL</t>
  </si>
  <si>
    <t>INGENIERIA, SERVICIOS ELECTRICOS, MANTEN</t>
  </si>
  <si>
    <t>DISEÑO &amp; INGENIERIA DE ACEROS DEL PERU S</t>
  </si>
  <si>
    <t>DEL VALLE INGENIERIA E.I.R.L.</t>
  </si>
  <si>
    <t>TECNOLOG A LED ELECTRONICS</t>
  </si>
  <si>
    <t>B25604</t>
  </si>
  <si>
    <t>KIARA CECILIA PIMENTEL VASQUEZ</t>
  </si>
  <si>
    <t>B28616</t>
  </si>
  <si>
    <t>ALAN JOEL DAVILA MARTINEZ</t>
  </si>
  <si>
    <t>A &amp; B HNOS</t>
  </si>
  <si>
    <t>JTG MAQUINARIAS</t>
  </si>
  <si>
    <t>ARRIBASPLATA COMPAÑIA</t>
  </si>
  <si>
    <t>SAIRA VILLARAN JOHEL LEONEL</t>
  </si>
  <si>
    <t>MAKSERVICES TRUJILLO S.A.C.</t>
  </si>
  <si>
    <t>CFBD</t>
  </si>
  <si>
    <t>LACTEUS</t>
  </si>
  <si>
    <t>FLORES MELGAR MARCOS LUIS</t>
  </si>
  <si>
    <t>YLLESCA CAMPOS VICTOR WALTER</t>
  </si>
  <si>
    <t>FERNANDEZ LLANOS MARTHA YOMAR</t>
  </si>
  <si>
    <t>TRANSPORTE Y TURISMO MIGUELITO`S S.A.C.</t>
  </si>
  <si>
    <t>NUTRICLINICA M.R.</t>
  </si>
  <si>
    <t>IMPLEMAX S.A.C.</t>
  </si>
  <si>
    <t>CENTENO HUAMANI RUBEN</t>
  </si>
  <si>
    <t>SARA TEXTILES CHINCHERO</t>
  </si>
  <si>
    <t>LIFE TREE</t>
  </si>
  <si>
    <t>B36289</t>
  </si>
  <si>
    <t>EMCAPSAC SOCIEDAD ANONIMA CERRADA</t>
  </si>
  <si>
    <t>OBREGON BERNAL DAISY GABRIELA</t>
  </si>
  <si>
    <t>B45870</t>
  </si>
  <si>
    <t>DURAN RAMOS RODRIGO RENZO</t>
  </si>
  <si>
    <t>INVERSIONES PISHUPYACUN</t>
  </si>
  <si>
    <t>MIDIFA</t>
  </si>
  <si>
    <t>TOYOAGRO S.A.C.</t>
  </si>
  <si>
    <t>PALACIOS VALENTIN JACOB MOISES</t>
  </si>
  <si>
    <t>B22989</t>
  </si>
  <si>
    <t>CHAMBILLA PAYE EDWIN RUBEN</t>
  </si>
  <si>
    <t>INVERSIONES TEJEIRA H &amp; D S.A.C.</t>
  </si>
  <si>
    <t>ZUÑIGA VALVERDE ANDREA DEL CARMEN</t>
  </si>
  <si>
    <t>NADIA</t>
  </si>
  <si>
    <t>B45366</t>
  </si>
  <si>
    <t>OLIVEROS CARRANZA JUAN CARLOS</t>
  </si>
  <si>
    <t>B10755</t>
  </si>
  <si>
    <t>PROMAQ TRADE</t>
  </si>
  <si>
    <t>REPRESENTACIONES EMERPLAST</t>
  </si>
  <si>
    <t>YANDO</t>
  </si>
  <si>
    <t>PRISA SOLUTIONS S.A.C.</t>
  </si>
  <si>
    <t>CONSULTORES Y CONSTRUCTORES DE PROYECTOS</t>
  </si>
  <si>
    <t>TEXTIL NOLBERTO</t>
  </si>
  <si>
    <t>COMPUTO NACIONAL</t>
  </si>
  <si>
    <t>TINEO CARBAJAL DE POLAR DARCY</t>
  </si>
  <si>
    <t>DISPLAY INDUSTRIAL E.I.R.L</t>
  </si>
  <si>
    <t>VASQUEZ CESPEDES ESTEFANIA</t>
  </si>
  <si>
    <t>B13492</t>
  </si>
  <si>
    <t>MACEDO DEXTRE MAURO FELIX</t>
  </si>
  <si>
    <t>INKA ECO INMOBILIARIA</t>
  </si>
  <si>
    <t>BRAVO CAMPO GEANCARLO</t>
  </si>
  <si>
    <t>PONTE LAYME MARCO ANTONIO</t>
  </si>
  <si>
    <t>FERRETERIA ANCIETA</t>
  </si>
  <si>
    <t>CARRASCO SANCARRANCO JUDITH</t>
  </si>
  <si>
    <t>ODONTOLANDIA</t>
  </si>
  <si>
    <t>NEBRIS@ SYSTEM</t>
  </si>
  <si>
    <t>PROSUB</t>
  </si>
  <si>
    <t>DIAZ MORALES SANTIAGO</t>
  </si>
  <si>
    <t xml:space="preserve"> TSUNADE EXPRESS</t>
  </si>
  <si>
    <t>HERNANDEZ SANCHEZ NERIO JUNIOR</t>
  </si>
  <si>
    <t>METALES CALIXTO E.I.R.L.</t>
  </si>
  <si>
    <t>B36093</t>
  </si>
  <si>
    <t>BETPERU DE JORJAR</t>
  </si>
  <si>
    <t>CONTRERAS BECERRA ERLITA DEL ROCIO</t>
  </si>
  <si>
    <t>P3</t>
  </si>
  <si>
    <t>PEREZ PAJARES OSCAR EDUARDO</t>
  </si>
  <si>
    <t>QUISPE ROSAS HERMELINDA</t>
  </si>
  <si>
    <t>B35702</t>
  </si>
  <si>
    <t>IMPORTACIONES CJ-AGURT</t>
  </si>
  <si>
    <t>ROCA AGUILAR GIAN CARLOS</t>
  </si>
  <si>
    <t>TANTALEAN CABRERA GRACIELA</t>
  </si>
  <si>
    <t>H Y D CHEMICALS</t>
  </si>
  <si>
    <t>VELASQUEZ CENTENO HONORATA</t>
  </si>
  <si>
    <t>BENITES ESPINOZA VICTOR MANUEL</t>
  </si>
  <si>
    <t>SERVICIO DE TAPICERIA SAIRITUPA E.I.R.L.</t>
  </si>
  <si>
    <t>TAPIA MENDOZA ANGIE CATHERINE</t>
  </si>
  <si>
    <t>FARFAN CCORI NORMA</t>
  </si>
  <si>
    <t>B13100</t>
  </si>
  <si>
    <t>SOROBAN</t>
  </si>
  <si>
    <t>OUTDOOR BRANDS</t>
  </si>
  <si>
    <t>CERVANTES NINA CESAR</t>
  </si>
  <si>
    <t>MOL GROUP COMPANY</t>
  </si>
  <si>
    <t>GENERATING WORK</t>
  </si>
  <si>
    <t>PEQCONSULTORES S.R.L.</t>
  </si>
  <si>
    <t>MAHUFERLIZ</t>
  </si>
  <si>
    <t>GLOBAL SOLUTIONS IMPORT</t>
  </si>
  <si>
    <t>INVERSIONES EVAHER</t>
  </si>
  <si>
    <t>LEES TRAVEL</t>
  </si>
  <si>
    <t>DISTRIBUIDORA COMERCIAL Y SERVICIOS GENE</t>
  </si>
  <si>
    <t>ARIANA LISBETH GUERRERO LINARES</t>
  </si>
  <si>
    <t>YB PROYECTOS INVERSIONES</t>
  </si>
  <si>
    <t>JHADE TEXTILE CORPORATION</t>
  </si>
  <si>
    <t>AGUIRRE DE LA VEGA IDEL</t>
  </si>
  <si>
    <t>FT LAMINADOS</t>
  </si>
  <si>
    <t>3R INMOBILIARIA</t>
  </si>
  <si>
    <t>MAYRA YALICO OROZCO</t>
  </si>
  <si>
    <t>M W COURIER</t>
  </si>
  <si>
    <t>ESCOBAR HINOSTROZA FRANKLIN IVAN</t>
  </si>
  <si>
    <t>INCUBADORA SANTA SOFIA SOCIEDAD ANONIMA</t>
  </si>
  <si>
    <t>THE BLESSED SUIT S.A.C.</t>
  </si>
  <si>
    <t>SHUAN ESPINOZA ALICIA MARIA</t>
  </si>
  <si>
    <t>GARAY BALVIN SAUL MILTON</t>
  </si>
  <si>
    <t>INVERPETS</t>
  </si>
  <si>
    <t>SAMMYTEC</t>
  </si>
  <si>
    <t>CORPORACION EL GUAPO EMPRESA INDIVIDUAL</t>
  </si>
  <si>
    <t>NEGOCIACIONES COMERCIALES SAN FRANCISCO</t>
  </si>
  <si>
    <t>CHR INTERNATIONAL LOGISTIC SERVICE EIRL</t>
  </si>
  <si>
    <t>PSV CONSULTORES</t>
  </si>
  <si>
    <t>ROMERO RODRIGUEZ OLIVIA ADINSONS</t>
  </si>
  <si>
    <t>B8606</t>
  </si>
  <si>
    <t>G &amp; P SOLUTION GENERALES</t>
  </si>
  <si>
    <t>GRUPO TESEN</t>
  </si>
  <si>
    <t>VASQUEZ TORRES FERNANDO</t>
  </si>
  <si>
    <t>CRECER COFIDE</t>
  </si>
  <si>
    <t>G MOTOR S</t>
  </si>
  <si>
    <t>JKD &amp; M TRANSPORTE Y CONSTRUCCION</t>
  </si>
  <si>
    <t>FULL SERVICIOS SULLCAPUMA S.A.C.</t>
  </si>
  <si>
    <t>CORDOVA MUÑOZ RAMIRO</t>
  </si>
  <si>
    <t>JOSUF TRADING</t>
  </si>
  <si>
    <t>SERVIPRODUT AVP</t>
  </si>
  <si>
    <t>INVERSIONES ALMARO</t>
  </si>
  <si>
    <t>Impulso Sin Campaña</t>
  </si>
  <si>
    <t>B19044</t>
  </si>
  <si>
    <t>PONCE CONDEZO MARISOL</t>
  </si>
  <si>
    <t>HUAQUIPACO CONSULTORES &amp; EJECUTORES SOCI</t>
  </si>
  <si>
    <t>ACUMULADORES PERUANOS CCD</t>
  </si>
  <si>
    <t>GRUPO FIX SOLUCIONES</t>
  </si>
  <si>
    <t>SERVICIOS YACILA</t>
  </si>
  <si>
    <t>JOB M &amp; M</t>
  </si>
  <si>
    <t>MOUS IMPORT</t>
  </si>
  <si>
    <t>CORCINO TORRES HEVERO ERNESTO</t>
  </si>
  <si>
    <t>PINO BLANCO LADISLAO</t>
  </si>
  <si>
    <t>TENTACIONES AL PASO</t>
  </si>
  <si>
    <t>M&amp;C COMPANY</t>
  </si>
  <si>
    <t>MS SANTOS</t>
  </si>
  <si>
    <t>TRANSPORTES BRYMA</t>
  </si>
  <si>
    <t>ISAM CONSULTING</t>
  </si>
  <si>
    <t>VOLTRAILER</t>
  </si>
  <si>
    <t>GINA MARIELA VARGAS TAMARA</t>
  </si>
  <si>
    <t>INVERSIONES FRAGANZE DI PAOLA SOCIEDAD A</t>
  </si>
  <si>
    <t>CONDORI CHAMBI LEONOR</t>
  </si>
  <si>
    <t>ESPINOZA MENEZ EDWIN MARTIN</t>
  </si>
  <si>
    <t>B13364</t>
  </si>
  <si>
    <t>B17364</t>
  </si>
  <si>
    <t>MILAGROS VANESA RUIZ ALVAREZ</t>
  </si>
  <si>
    <t>EMPRESA DE TRANSPORTES PACHURRO</t>
  </si>
  <si>
    <t>B29500</t>
  </si>
  <si>
    <t>JJ &amp; NINA'S INVERSIONES E.I.R.L.</t>
  </si>
  <si>
    <t>VIZGAL INGENIEROS S.A.C.</t>
  </si>
  <si>
    <t>B39478</t>
  </si>
  <si>
    <t>DOLY FASHION</t>
  </si>
  <si>
    <t>ERGOSISTEM</t>
  </si>
  <si>
    <t>SISTEMA DE RIEGO TECNIFICADO DEL VALLE S</t>
  </si>
  <si>
    <t>CALLATA CASANI MARTHA ELIZABETH</t>
  </si>
  <si>
    <t>B12279</t>
  </si>
  <si>
    <t>DIAZ CASTRO YERSON JAMES</t>
  </si>
  <si>
    <t>VELA HOYOS NIXON JAMER</t>
  </si>
  <si>
    <t>B9750</t>
  </si>
  <si>
    <t>DISTRIBUIDOR AR</t>
  </si>
  <si>
    <t>HORIZONTE CARGO EXPRESS</t>
  </si>
  <si>
    <t>LOGISTICA DE TRANSPORTE DAMJEL</t>
  </si>
  <si>
    <t>D TODO FUMIGADORAS</t>
  </si>
  <si>
    <t>INVERSIONES &amp; PUBLICIDAD DEL SUR</t>
  </si>
  <si>
    <t>AGROINDUSTRIAS JHONELLY</t>
  </si>
  <si>
    <t>ANTEZANA MENDOZA RODOLFO PAULINO</t>
  </si>
  <si>
    <t>B24553</t>
  </si>
  <si>
    <t>AUTOZENTRUM SERVICIOS AUTOMOTRICES</t>
  </si>
  <si>
    <t>B28384</t>
  </si>
  <si>
    <t>REPRESENTACIONES LOPEZ</t>
  </si>
  <si>
    <t>HUAMANI GARCIA REBECA</t>
  </si>
  <si>
    <t>LICORERIA &amp; DISTRIBUCIONES OVAL BLACK</t>
  </si>
  <si>
    <t>T&amp;E INGENIERIA Y SERVICIOS</t>
  </si>
  <si>
    <t>CASTAÑEDA PULIDO SERGIO MARTIN JESUS</t>
  </si>
  <si>
    <t>B18301</t>
  </si>
  <si>
    <t>RODMI</t>
  </si>
  <si>
    <t>IH INVESTMENT GROUP</t>
  </si>
  <si>
    <t>SERVICIOS GENERALES REPAC</t>
  </si>
  <si>
    <t>ANAYA EGUIZABAL JORGE ESTEBAN</t>
  </si>
  <si>
    <t>POLMAR VENTAS Y SERVICIOS E.I.R.L</t>
  </si>
  <si>
    <t>JUSTO MACHADO JOSE MANUEL</t>
  </si>
  <si>
    <t>B9331</t>
  </si>
  <si>
    <t>TRANSPORTES EXPRESO JIREH E.I.R.L.</t>
  </si>
  <si>
    <t>QUISPE ANCCO PABLO</t>
  </si>
  <si>
    <t>SOLUCIONES EMPRESARIALES NEGOIDEAS</t>
  </si>
  <si>
    <t>MAZZINI HUAPAYA JOSELYN ROXANA</t>
  </si>
  <si>
    <t>B10695</t>
  </si>
  <si>
    <t>CLINICA DENTAL ENDOMOLAR</t>
  </si>
  <si>
    <t>GUILLINTA BARRUETO JHONNATHAN DREIK</t>
  </si>
  <si>
    <t>CONSTRUCTORES Y MAQUINARIAS H &amp; C S.A.C.</t>
  </si>
  <si>
    <t>ENTRE BRASAS Y FOGONES</t>
  </si>
  <si>
    <t>LOPEZ DIAZ CYNTHIA SOLEDAD</t>
  </si>
  <si>
    <t>RAVE SPORT</t>
  </si>
  <si>
    <t>LUJAN CHAVEZ ERICK PAUL </t>
  </si>
  <si>
    <t>MAS SPORT</t>
  </si>
  <si>
    <t>JANAMPA VALENCIA YOLANDA</t>
  </si>
  <si>
    <t>RAMOS GUILLERMO DE ELERA ESTELA</t>
  </si>
  <si>
    <t>CDD P1</t>
  </si>
  <si>
    <t>CONSORCIO S &amp; K INVERSIONES</t>
  </si>
  <si>
    <t>COLD AIR PERU</t>
  </si>
  <si>
    <t>EMPRESA DE TRANSPORTES Y COMERCIALIZADOR</t>
  </si>
  <si>
    <t>B36690</t>
  </si>
  <si>
    <t>ACHIRCANA SOTELO ELARTH FERNANDO</t>
  </si>
  <si>
    <t>CORPORACION TRES ANGELES</t>
  </si>
  <si>
    <t>CENTRO DE NEGOCIOS R Y G</t>
  </si>
  <si>
    <t>COMERCIAL CHOJASZQUE</t>
  </si>
  <si>
    <t>INVERSIONES &amp; INDUSTRIA ARENAS E.I.R.L.</t>
  </si>
  <si>
    <t>J &amp; R GLOBAL LOGISTIC</t>
  </si>
  <si>
    <t>GRUPO ALMOSA S.A.C.</t>
  </si>
  <si>
    <t>GAVIDIA BUSTAMANTE MOISES</t>
  </si>
  <si>
    <t>VELAZCO CHIQUE MAGDA</t>
  </si>
  <si>
    <t>INVERSIONES KEVIN CAR &amp; ASOCIADOS S.A.C.</t>
  </si>
  <si>
    <t>PORCUPINE</t>
  </si>
  <si>
    <t>PIZZERU</t>
  </si>
  <si>
    <t>FACTORIA NELLY</t>
  </si>
  <si>
    <t>VASCOMDI COMPANY</t>
  </si>
  <si>
    <t>B10100</t>
  </si>
  <si>
    <t>CUTIPA QUISPE JUSTINO</t>
  </si>
  <si>
    <t>B35632</t>
  </si>
  <si>
    <t>ARLOS SOLUCIONES E.I.R.L.</t>
  </si>
  <si>
    <t>PRODUCTOS INDUSTRIALES VALNICK</t>
  </si>
  <si>
    <t>REVILLA CRUZADO JUAN JOSE</t>
  </si>
  <si>
    <t>FERRETERIA INVERSIONES M.H.M. S.A.C.</t>
  </si>
  <si>
    <t>GLOBAL GRUPO DE INVERSIONES</t>
  </si>
  <si>
    <t>SERVICOS GENERALES GSC E.I.R.L.</t>
  </si>
  <si>
    <t>SMITHVC INVERSIONES</t>
  </si>
  <si>
    <t>EMPRENDE GRUPO DE GESTION EMPRESARIAL S.</t>
  </si>
  <si>
    <t>S &amp; C SERVICIOS GENERALES LA TORREMAR</t>
  </si>
  <si>
    <t>MAZA CHAVEZ CLODUHUALDO ALEX</t>
  </si>
  <si>
    <t>AALFRI</t>
  </si>
  <si>
    <t>FAMODEMM S.R.LTDA.</t>
  </si>
  <si>
    <t>INVERSIONES TURISTICAS AMERICA LATINA</t>
  </si>
  <si>
    <t xml:space="preserve">RIOS ORMACHEA RENDA DANIELA </t>
  </si>
  <si>
    <t>ANTEZANA NAPURI JORGE LUIS</t>
  </si>
  <si>
    <t>AGUILAR LOYOLA LUIS ENRIQUE</t>
  </si>
  <si>
    <t>INVERSIONES ECA BRASIL</t>
  </si>
  <si>
    <t>ULIKE</t>
  </si>
  <si>
    <t>EMPRESA INVERSIONES CORPORATIVAS VENUS</t>
  </si>
  <si>
    <t>MOTO DRAFT PERU</t>
  </si>
  <si>
    <t>PACAHUALA RAFAEL JESUS ANTONIO</t>
  </si>
  <si>
    <t>MEGA INVERSIONES A &amp; E</t>
  </si>
  <si>
    <t>TORRES AMBROCIO MARILU ESTHER</t>
  </si>
  <si>
    <t>MOTO SERVICE S.A.C.</t>
  </si>
  <si>
    <t>COVEÑAS NUÑEZ VDA DE RIVERA ELISA NATIVI</t>
  </si>
  <si>
    <t>SIRAMAD</t>
  </si>
  <si>
    <t>QUISPE CHAVEZ DOMITILA</t>
  </si>
  <si>
    <t>FERNANDEZ HURTADO HONAR</t>
  </si>
  <si>
    <t>J.G.O. CONSTRUCTORES ASOCIADOS SOCIEDAD</t>
  </si>
  <si>
    <t>SMART GEO</t>
  </si>
  <si>
    <t>TL SOLUTIONS PERU</t>
  </si>
  <si>
    <t>MULTISERVICIOS FERNANDEZ HF</t>
  </si>
  <si>
    <t>REGALADO MEDINA LUIS MAGNO</t>
  </si>
  <si>
    <t>CASA OMAR IMPORT Y REPRESENT</t>
  </si>
  <si>
    <t>JENFARMA PERU</t>
  </si>
  <si>
    <t>DL NEGOCIOS PERU</t>
  </si>
  <si>
    <t>HIGH DATA PC</t>
  </si>
  <si>
    <t>CORPORACION CANMEZA E.I.R.L</t>
  </si>
  <si>
    <t>CUBO MAKERS</t>
  </si>
  <si>
    <t>COMERCIALIZADORA &amp; TRANSPORTES CARITO AL</t>
  </si>
  <si>
    <t>CORPORACION WERNER</t>
  </si>
  <si>
    <t>VARGAS ARAUJO JULIO CESAR</t>
  </si>
  <si>
    <t>RAMIREZ GOMEZ STEPHANIE ALESSANDRA</t>
  </si>
  <si>
    <t>SEDANO GAMARRA IVETTE</t>
  </si>
  <si>
    <t>DIAMETRAL 360 SAC</t>
  </si>
  <si>
    <t>CONFIABILIDAD</t>
  </si>
  <si>
    <t>YIS-LU IMPORTACIONES E.I.R.L</t>
  </si>
  <si>
    <t>SHB GRUPO</t>
  </si>
  <si>
    <t>MAMA ROSA PRODUCCIONES</t>
  </si>
  <si>
    <t>CENTRO ELECTRONICO CONMAQUEL INGENIEROS</t>
  </si>
  <si>
    <t>CARRERA AGUILA ELIZABETH</t>
  </si>
  <si>
    <t>ROMASA OPERADOR LOGISTICO</t>
  </si>
  <si>
    <t>RADIADORES ALVITES</t>
  </si>
  <si>
    <t>ORE ALFARO ANGELICA ROXANA</t>
  </si>
  <si>
    <t>B8978</t>
  </si>
  <si>
    <t>AUTOPARTES SANTA MARIA IMPORT</t>
  </si>
  <si>
    <t>ALQUILERES Y SERVICIOS BRAYANCITO R.</t>
  </si>
  <si>
    <t>PODALE E.I.R.L</t>
  </si>
  <si>
    <t>b30094</t>
  </si>
  <si>
    <t>CABRERA ARTEGA LUIS MIGUEL</t>
  </si>
  <si>
    <t>CORPORACION MAXMOTORS</t>
  </si>
  <si>
    <t>Ecosistemas Corporativos</t>
  </si>
  <si>
    <t>GRUPO TCA INTERNACIONAL S.R.L</t>
  </si>
  <si>
    <t>HUAMAN OCHOA PAUL RICHARD</t>
  </si>
  <si>
    <t>B27334</t>
  </si>
  <si>
    <t>OPTICAL SERVICES PERU</t>
  </si>
  <si>
    <t>INVERSIONES COMERCIALES KAMIYADI IMPORT,</t>
  </si>
  <si>
    <t>MAFAC DEL SUR</t>
  </si>
  <si>
    <t>GRUPO SUR MOVIL</t>
  </si>
  <si>
    <t>INTERNATIONAL ASSISTANCE PERU S.A.C. - I</t>
  </si>
  <si>
    <t>EMPRESA DE TRANSPORTE DOS GARCIA E.I.R.L</t>
  </si>
  <si>
    <t>COMIENDO CON CAYETANA</t>
  </si>
  <si>
    <t>HIDRAULICA INTERNACIONAL</t>
  </si>
  <si>
    <t>ARTURO MOTORS</t>
  </si>
  <si>
    <t>ABRASIVOS Y PERNOS</t>
  </si>
  <si>
    <t>SALINAS GAMARRA OLINDA NELLY</t>
  </si>
  <si>
    <t>MITA YAURI ENMA CORINA</t>
  </si>
  <si>
    <t>SUMINISTROS CROSEL</t>
  </si>
  <si>
    <t>INVERSIONES YHODERLY SOCIEDAD ANONIMA CE</t>
  </si>
  <si>
    <t>SALUD IMASS</t>
  </si>
  <si>
    <t>HUAMANI PACHECO WALTER ANDRES</t>
  </si>
  <si>
    <t>ENEQUE MANDUJANO JOHN MANUEL</t>
  </si>
  <si>
    <t>INVERSIONES CHIONG SCRL</t>
  </si>
  <si>
    <t>OPTICAS INTEGRALES</t>
  </si>
  <si>
    <t>ALIMAC</t>
  </si>
  <si>
    <t>OMEGA LABELS</t>
  </si>
  <si>
    <t>NET CONSULTORES</t>
  </si>
  <si>
    <t>INVERSIONES CHANG KEY</t>
  </si>
  <si>
    <t>LABORATORIO INDA S.A.C.</t>
  </si>
  <si>
    <t>JL CORNIVELL GESTION ARTE Y RESTAURACION</t>
  </si>
  <si>
    <t>CERRON GARCIA STEFANIA</t>
  </si>
  <si>
    <t>AITALULI MEDICAL S.A.C.</t>
  </si>
  <si>
    <t>ECONOVENDING S.A.C.</t>
  </si>
  <si>
    <t>B32116</t>
  </si>
  <si>
    <t>MARILU SINDY VASQUEZ OLIVERA</t>
  </si>
  <si>
    <t>AMERICA TIC E.I.R.L.</t>
  </si>
  <si>
    <t>AYVAR</t>
  </si>
  <si>
    <t>KADMIEL ASOCIADOS</t>
  </si>
  <si>
    <t>IMPORTACIONES KLUM S.A.C.</t>
  </si>
  <si>
    <t>ANALYTIA CONSULTING</t>
  </si>
  <si>
    <t>JARA ARENAS EDITHA ESMELDA</t>
  </si>
  <si>
    <t>GONZALES TOLEDO JOSE LUIS</t>
  </si>
  <si>
    <t>BENITES MIO EDWARD NORBERTO</t>
  </si>
  <si>
    <t>CLIMATECH</t>
  </si>
  <si>
    <t>INVERSIONES ALIMENTARIAS Y SERVICIOS MUL</t>
  </si>
  <si>
    <t>CRUZ VILLAR ALLAN PAUL</t>
  </si>
  <si>
    <t>GRUPO EDUCATIVO LATINOS</t>
  </si>
  <si>
    <t>GRANJA AVICOLA EBENEZER</t>
  </si>
  <si>
    <t>ABASTECIMIENTO EDUCATIVO DIDEL</t>
  </si>
  <si>
    <t>LLOCLLA PARADO ANGELINO</t>
  </si>
  <si>
    <t>B13464</t>
  </si>
  <si>
    <t>P4</t>
  </si>
  <si>
    <t>TELTEX PERU</t>
  </si>
  <si>
    <t>CONFECCIONES LANDI</t>
  </si>
  <si>
    <t>GRAFICA INDUSTRIAL ALARCON</t>
  </si>
  <si>
    <t>GARCIA LLAURY MARIA GIOVANNA</t>
  </si>
  <si>
    <t>B11082</t>
  </si>
  <si>
    <t>PROFESSIONAL FLUID HANDLING S.A.C.</t>
  </si>
  <si>
    <t>DIAGNOSTICS TEST</t>
  </si>
  <si>
    <t>INTENCONS CONSULTING</t>
  </si>
  <si>
    <t>INVERSIONES PARNEU S.A.C</t>
  </si>
  <si>
    <t>JIMENEZ OGOÑA CARLOS ALBERTO</t>
  </si>
  <si>
    <t>DOMSAR SERVICIOS MULTIPLES</t>
  </si>
  <si>
    <t>INMOBILIARIA CONSTRUCTORA FINANCIERA Y D</t>
  </si>
  <si>
    <t>PROVIFER</t>
  </si>
  <si>
    <t xml:space="preserve"> R &amp; E PROYECTOS Y SERVICIOS</t>
  </si>
  <si>
    <t>DIKEL</t>
  </si>
  <si>
    <t>INDUSTRIA QUIMICA Y DESARROLLO SQG DEL P</t>
  </si>
  <si>
    <t>CENTRO INTEGRAL Y ESPECIALIDADES PSICOLO</t>
  </si>
  <si>
    <t>ASCENCIO VELIZ LUIS JACINTO</t>
  </si>
  <si>
    <t>B45082</t>
  </si>
  <si>
    <t>TRUJILLO SANCHEZ ERICK MAXIMO</t>
  </si>
  <si>
    <t>REPUESTOS SUDAMERICA</t>
  </si>
  <si>
    <t>SERVICIOS GENERALES Y DISTRIBUIDORA DE</t>
  </si>
  <si>
    <t>MANCHEGO AMADO MARIA INES</t>
  </si>
  <si>
    <t>COMPUWORK PROVEEDOR GENERAL</t>
  </si>
  <si>
    <t>INNOVACIONES MEDICAS</t>
  </si>
  <si>
    <t>THERA KIDS</t>
  </si>
  <si>
    <t>CERQUERA ROJAS CLARA</t>
  </si>
  <si>
    <t>FRITECSA INVERSIONES JS S.A.C.</t>
  </si>
  <si>
    <t>MONTALVO DIAZ EBER FRANCO</t>
  </si>
  <si>
    <t>HEREDIA AGUIRRE MARCIAL</t>
  </si>
  <si>
    <t>GAVREL COMPANY</t>
  </si>
  <si>
    <t>DROGGSA</t>
  </si>
  <si>
    <t>ACOSTA COMETIVOS JOEL</t>
  </si>
  <si>
    <t>DIAZ BADA ERCELINDA MEDALIS</t>
  </si>
  <si>
    <t>B28137</t>
  </si>
  <si>
    <t>LIMA HIGHLIGHTS TOURS</t>
  </si>
  <si>
    <t>ROSAS CONDORI BASILIO</t>
  </si>
  <si>
    <t>CAHUA HUAMAN ANGEL BERNABE</t>
  </si>
  <si>
    <t>RQF ELECTRO SERVICE</t>
  </si>
  <si>
    <t>QUISPE SANGA ALEXANDER JHON</t>
  </si>
  <si>
    <t>B25774</t>
  </si>
  <si>
    <t>J J CH IMPORT</t>
  </si>
  <si>
    <t>CLIMAPOWER</t>
  </si>
  <si>
    <t>PLUS LATAM GROUP</t>
  </si>
  <si>
    <t>OPTICAS L &amp; M ASOCIADOS</t>
  </si>
  <si>
    <t>LEON LUCANO JONATHAN MARTIN</t>
  </si>
  <si>
    <t>A &amp; V CR NEGOCIACIONES E INVERSIONES E.I</t>
  </si>
  <si>
    <t>URQUIZO AHUMADA EDUARDO ABDIAS</t>
  </si>
  <si>
    <t>B12607</t>
  </si>
  <si>
    <t>IMPORT  &amp; EXPORT CHIZA S.A.C.</t>
  </si>
  <si>
    <t>ABS INGENIEROS S.A.C.</t>
  </si>
  <si>
    <t>ATELPA E.I.R.L.</t>
  </si>
  <si>
    <t>RAMIREZ RAMIREZ NESTOR EDUARDO</t>
  </si>
  <si>
    <t>EYM ENVIOS PUENTE</t>
  </si>
  <si>
    <t>SERVICIOS BASILEA EMPRESA INDIVIDUAL DE</t>
  </si>
  <si>
    <t>LARREATEGUI ARANDA DIOMER ISAEL</t>
  </si>
  <si>
    <t>COMERCIAL RACEJO SOCIEDAD ANÓNIMA CERRAD</t>
  </si>
  <si>
    <t>PERUIMS SOCIEDAD ANONIMA CERRADA</t>
  </si>
  <si>
    <t>VENTO PICKMAN ALEJANDRO DAVID</t>
  </si>
  <si>
    <t>B11678</t>
  </si>
  <si>
    <t>GASTEGRAF</t>
  </si>
  <si>
    <t>CONDORI MOLLEAPAZA NATIVIDAD CLARA</t>
  </si>
  <si>
    <t>INVERSIONES GENERALES JAMITOS</t>
  </si>
  <si>
    <t>GONZALES MORALES RENZO ALFREDO</t>
  </si>
  <si>
    <t>V&amp;C INVESTMENTS</t>
  </si>
  <si>
    <t>C Y N SERVICIOS GENERALES</t>
  </si>
  <si>
    <t>ASCENSORES &amp; SERVICIOS PERU</t>
  </si>
  <si>
    <t>BARUA LUYO LIDIA GRACIELA</t>
  </si>
  <si>
    <t>B24743</t>
  </si>
  <si>
    <t>JORAGRO E.I.R.L.</t>
  </si>
  <si>
    <t>SERVICIOS Y TRANSPORTES BRALONSO S.R.L.</t>
  </si>
  <si>
    <t>BAUTISTA AZAHUANCHE MARIA JACOBA</t>
  </si>
  <si>
    <t>MULTISERVICIOS JB</t>
  </si>
  <si>
    <t>AZA DEL ALCAZAR OMAYRA CLEMENCIA</t>
  </si>
  <si>
    <t>CATRINA GROUP</t>
  </si>
  <si>
    <t>MAURICIO MUÑOZ SOLINA JANE</t>
  </si>
  <si>
    <t>SOLUCION EMPRESARIAL G.Z. PERU</t>
  </si>
  <si>
    <t>LA BOMBA MARKET</t>
  </si>
  <si>
    <t>ASESORIA &amp; SERVICIOS GRAFICOS S.R.L.</t>
  </si>
  <si>
    <t>EMINCS ASIEL B &amp; M</t>
  </si>
  <si>
    <t>BOTICAS JAENFARMA</t>
  </si>
  <si>
    <t>HUACCACHI GONZALES ZENILDA</t>
  </si>
  <si>
    <t>PLANNING MANAGEMENT AND ADVISORY SERVICE</t>
  </si>
  <si>
    <t>CETPRO TRES ASES E.I.R.L.</t>
  </si>
  <si>
    <t>ESCUELA DE POSGRADO EN INGENIERIA TECNO</t>
  </si>
  <si>
    <t>QUISPE CALLA GILBERTO</t>
  </si>
  <si>
    <t>CCAPA TECNOLOGIAS DE INFORMACION</t>
  </si>
  <si>
    <t>FARFAN VARGAS RAUL JESUS</t>
  </si>
  <si>
    <t>GREEN HOME</t>
  </si>
  <si>
    <t>FIDE IMPORTACIONES</t>
  </si>
  <si>
    <t>D Y G COMERCIAL MAYORISTA</t>
  </si>
  <si>
    <t>TORRES HUARAYA OTILIA MIRTHA</t>
  </si>
  <si>
    <t>CRYSTEL LOGISTICS GROUP</t>
  </si>
  <si>
    <t>SERVICIOS TRAUMATOLOGICOS N ROJAS</t>
  </si>
  <si>
    <t>B11084</t>
  </si>
  <si>
    <t>DISTRIBUCIONES DON LUCHO EMPRESA INDIVID</t>
  </si>
  <si>
    <t>BUILD LOGISTIC E.I.R.L.</t>
  </si>
  <si>
    <t>CORPORACION PIAZZA</t>
  </si>
  <si>
    <t>MARTINEZ CHOQUE WALTER ELEODORO</t>
  </si>
  <si>
    <t>CB DENT EIRL.</t>
  </si>
  <si>
    <t>ICHPAS TAPIA EDWIN</t>
  </si>
  <si>
    <t>INTERNACIONAL MARVEL SPORT</t>
  </si>
  <si>
    <t>IMPORTACIONES Y DISTRIBUCIONES REGALADO</t>
  </si>
  <si>
    <t>DIGITAL PERU IMPORTRONIC</t>
  </si>
  <si>
    <t>TRANSPORTE Y TURISMO DEIRYEAN</t>
  </si>
  <si>
    <t>B5465</t>
  </si>
  <si>
    <t>INCAPRODEX S.A.C.</t>
  </si>
  <si>
    <t>GAMERO AQUEPUCHO FERNANDO RENZO</t>
  </si>
  <si>
    <t>KITSS IMPORT</t>
  </si>
  <si>
    <t>ORTIZ ROLDAN BENEDICTA</t>
  </si>
  <si>
    <t>FERRETERIA INDUSTRIAL &amp; SERVICIOS MIKITA</t>
  </si>
  <si>
    <t>ZYME S.A.C</t>
  </si>
  <si>
    <t>NUTRI ORGANICOS</t>
  </si>
  <si>
    <t>MADERERA FERRETERIA Y SERVICIOS E.I.R.L.</t>
  </si>
  <si>
    <t>GLOBAL SYSTEM INDUSTRY</t>
  </si>
  <si>
    <t>MACEDO QUIÑONES RAUL EDUARDO</t>
  </si>
  <si>
    <t>ALVARADO GONZALES ROCKY ALONZO</t>
  </si>
  <si>
    <t>ALCOM PERU INGENIERIA</t>
  </si>
  <si>
    <t>INVERSIONES 3CA</t>
  </si>
  <si>
    <t>B39499</t>
  </si>
  <si>
    <t>HELEN GIANINA DE LA CRUZ ROSADO</t>
  </si>
  <si>
    <t>B17470</t>
  </si>
  <si>
    <t>MILHO ANA CECILIA ZAMBRANO ALVEZ</t>
  </si>
  <si>
    <t>INVERSIONES CALIMEL</t>
  </si>
  <si>
    <t>Nuevo Aprobado Crecer</t>
  </si>
  <si>
    <t>B39469</t>
  </si>
  <si>
    <t>LISET KRISTAL HUAMANCIZA BARSALLO</t>
  </si>
  <si>
    <t>CRECER</t>
  </si>
  <si>
    <t>DISTRIBUIDORA Y SERVICIOS COMERCIALES M</t>
  </si>
  <si>
    <t>NEGOCIOS AZURIN E.I.R.L.</t>
  </si>
  <si>
    <t>AYASTA INGENIEROS</t>
  </si>
  <si>
    <t>CAMPOS LOZADA MARISOL</t>
  </si>
  <si>
    <t>B35265</t>
  </si>
  <si>
    <t>FERNANDEZ BECERRA JOY NATALY</t>
  </si>
  <si>
    <t>ARTE &amp; TEXTIL SOCIEDAD ANONIMA CERRADA</t>
  </si>
  <si>
    <t>CALDERON VILLAFUERTE JOSE ALBERTO</t>
  </si>
  <si>
    <t>CUENCA SILVESTRE DUSTIN ANGEL</t>
  </si>
  <si>
    <t>RIOS PANTOJA RAFAEL EDUARDO</t>
  </si>
  <si>
    <t>JIMENEZ JIMENEZ YSABEL PETRONILA</t>
  </si>
  <si>
    <t>TECHPAYMENTS DEL PERU S.A.C</t>
  </si>
  <si>
    <t>INGELREF S.A.C</t>
  </si>
  <si>
    <t>DIAGNOSTICO ESPECIALIZADO FUTURA</t>
  </si>
  <si>
    <t>MULTISERVICIOS LAS HNAS FROZEN</t>
  </si>
  <si>
    <t>INDUSTRIAL LOS NEVADOS EMPRESA INDIVIDUA</t>
  </si>
  <si>
    <t>CHALLGUA  RESTOBAR   E.I.R.L.</t>
  </si>
  <si>
    <t>TOROLONCCO S.A.C.</t>
  </si>
  <si>
    <t>B39472</t>
  </si>
  <si>
    <t>YHOSSELIN MILAGROS QUINTANA CONDORI</t>
  </si>
  <si>
    <t>TECNICA PLASTICA</t>
  </si>
  <si>
    <t>RN PACIFIC COMPANY SOCIEDAD ANONIMA CERR</t>
  </si>
  <si>
    <t>MUEBLES CAMPOSANO</t>
  </si>
  <si>
    <t>TRES CORDILLERAS DEL PERU</t>
  </si>
  <si>
    <t>CARGO Y SERVICIOS RENPA</t>
  </si>
  <si>
    <t>SUMIKO SALON Y SPA E.I.R.L.</t>
  </si>
  <si>
    <t>INNOVA SOLAR</t>
  </si>
  <si>
    <t>DISTRIBUCIONES LEO PLAST</t>
  </si>
  <si>
    <t>YATS TRANSPORT S.A.C.</t>
  </si>
  <si>
    <t>INJOS FASHION CONFECCIONES S.A.C.</t>
  </si>
  <si>
    <t>ORANGE INDUSTRIES</t>
  </si>
  <si>
    <t>YR GRUPO LA FLORENCIA SOCIEDAD COMERCIAL</t>
  </si>
  <si>
    <t>FIME REPUESTOS INDUSTRIALES</t>
  </si>
  <si>
    <t>CORPORACION EHC S.A.C.</t>
  </si>
  <si>
    <t>CONSORCIO &amp; SERVICIOS JR</t>
  </si>
  <si>
    <t>B38109</t>
  </si>
  <si>
    <t>YANIRA RAFAELA ESTEBES JIMENEZ</t>
  </si>
  <si>
    <t>FONDO CRECER</t>
  </si>
  <si>
    <t>PIZATEC</t>
  </si>
  <si>
    <t>ACCOSTUPA FRANCO DEMETRIO</t>
  </si>
  <si>
    <t>GAVAL GRUAS Y MAQUINARIAS</t>
  </si>
  <si>
    <t>ILUMINACIONES ESTRELLA</t>
  </si>
  <si>
    <t>B14537</t>
  </si>
  <si>
    <t>INVERSIONES IVES</t>
  </si>
  <si>
    <t>BALPER EXPORT IMPORT</t>
  </si>
  <si>
    <t>SANCHEZ YBAÑEZ IRIS NILDA</t>
  </si>
  <si>
    <t>AQUACIF</t>
  </si>
  <si>
    <t>FLORES GUTIERREZ FRANKLIN</t>
  </si>
  <si>
    <t>CONSORCIO ELECTROMERCADER</t>
  </si>
  <si>
    <t>EMPRESA DE SEGURIDAD Y SERVICIOS RADAY S</t>
  </si>
  <si>
    <t>ANDREA JEANS S.R.L.</t>
  </si>
  <si>
    <t>BARBAROS.PE</t>
  </si>
  <si>
    <t>SPORTFISHING PERU</t>
  </si>
  <si>
    <t>B24523</t>
  </si>
  <si>
    <t>ASATO ROSAS JULIO PIERE</t>
  </si>
  <si>
    <t>COSTA SEVICHANA PERU S.A.C.</t>
  </si>
  <si>
    <t>DJC PRODUCCIONES S.A.C.</t>
  </si>
  <si>
    <t>INTERNEX PERU E.I.R.L.</t>
  </si>
  <si>
    <t>SERVINCA EXPORT</t>
  </si>
  <si>
    <t>LABORATORIO Y DENTAL D Y A FLORES</t>
  </si>
  <si>
    <t>GRUPO EMEDHY</t>
  </si>
  <si>
    <t>WE TRAVEL</t>
  </si>
  <si>
    <t>GLOBAL DENIM EXPORT CORPORATION</t>
  </si>
  <si>
    <t>CORPORACION SLIN</t>
  </si>
  <si>
    <t>SERVILIGHTING PERU SOCIEDAD ANONIMA CERR</t>
  </si>
  <si>
    <t>PRODUCTOS BIOPLASTICOS</t>
  </si>
  <si>
    <t>PINEDO PINCHI OLABINA</t>
  </si>
  <si>
    <t>FLORIAN CRUZ SANTA ELENA</t>
  </si>
  <si>
    <t>DISTRIBUCIONES MERCANTIL SAM E.I.R.L.</t>
  </si>
  <si>
    <t>PATOBLACK</t>
  </si>
  <si>
    <t>JJF LOGIST</t>
  </si>
  <si>
    <t>QUEVEDO CRUZ KATHIA YENIFER</t>
  </si>
  <si>
    <t>JIKA MUEBLES E.I.R.L.</t>
  </si>
  <si>
    <t>ALVARADO ESPINOZA CESAR</t>
  </si>
  <si>
    <t>B10734</t>
  </si>
  <si>
    <t>RC SUMINISTROS &amp; HIDRAULICOS EIRL</t>
  </si>
  <si>
    <t>ENSUEÑO CASA COMERCIAL</t>
  </si>
  <si>
    <t>HERRERA IDROGO JOSE LUIS</t>
  </si>
  <si>
    <t>REP BEAUTE</t>
  </si>
  <si>
    <t>SERVICIOS GENERALES FGK</t>
  </si>
  <si>
    <t>VEGA MARTINEZ ERIKA RAQUEL</t>
  </si>
  <si>
    <t>B14892</t>
  </si>
  <si>
    <t>ASTUQUIPAN ROSALES SARA JHOVANA</t>
  </si>
  <si>
    <t>ALLMAN PERU</t>
  </si>
  <si>
    <t>ANGELO DISTRIBUCIONES</t>
  </si>
  <si>
    <t>PAM MEDICAL</t>
  </si>
  <si>
    <t>MELENDEZ LOPEZ ROBINZON HONORATO</t>
  </si>
  <si>
    <t>RENOVADORA DE CALZADOS PAOLA</t>
  </si>
  <si>
    <t>V &amp; O CONGREGESTION</t>
  </si>
  <si>
    <t>CORPORACION E INVERSIONES JASUT S.A.C.</t>
  </si>
  <si>
    <t>BARREAT</t>
  </si>
  <si>
    <t>ALM SOLUTIONS TECNOLOGIAS DE INFORMACION</t>
  </si>
  <si>
    <t>EGREL PERU SOCIEDAD ANONIMA CERRADA</t>
  </si>
  <si>
    <t>BAR BUSINESS PERU</t>
  </si>
  <si>
    <t>HILO DENTAL</t>
  </si>
  <si>
    <t>INVERSIONES D CAFIO</t>
  </si>
  <si>
    <t>KAREN UCEDA S.A.C.</t>
  </si>
  <si>
    <t>CONTRERAS QUISPE AURELIA</t>
  </si>
  <si>
    <t>B24574</t>
  </si>
  <si>
    <t>ROJAS SALVADOR JESUS EDUARDO</t>
  </si>
  <si>
    <t>ABIL CORPORACION</t>
  </si>
  <si>
    <t>VERGARA ROJAS NOE</t>
  </si>
  <si>
    <t>BEJAR GUZMAN FRANZ</t>
  </si>
  <si>
    <t>TORRES TORRE JULIANA ERNESTINA</t>
  </si>
  <si>
    <t>IMPORTACIONES JUNIRE</t>
  </si>
  <si>
    <t>IMPORTADORA KONWAR SPORT</t>
  </si>
  <si>
    <t>TRANSPORTES JURADO RODRIGUEZ</t>
  </si>
  <si>
    <t>TRANSPORTES Y SERVICIOS CORCEL NEGRO S.A</t>
  </si>
  <si>
    <t>AGUILAR CHOQUEVILCA DANIEL EDWARD</t>
  </si>
  <si>
    <t>TOYVA</t>
  </si>
  <si>
    <t>DECOR IDEAS &amp; STYLOS</t>
  </si>
  <si>
    <t>SERRANO MOJONERO DE PAREJA YENI</t>
  </si>
  <si>
    <t>ALSOTEC S.A.C.</t>
  </si>
  <si>
    <t>LOPEZ VALENCIA MARIUSKA MEDALITH</t>
  </si>
  <si>
    <t>MIRANDA ROCCA PAOLA</t>
  </si>
  <si>
    <t>ESTUDIO CERNA &amp; LEVEAU ABOGADOS S CIVIL</t>
  </si>
  <si>
    <t>DRIME HOUSE</t>
  </si>
  <si>
    <t>RARMAS</t>
  </si>
  <si>
    <t>TORPOCO HUAMANLAZO FREDY ROLAND</t>
  </si>
  <si>
    <t>WORLD PHARMA</t>
  </si>
  <si>
    <t>TURPOCO CORNEJO OLGA ELENA</t>
  </si>
  <si>
    <t>B8770</t>
  </si>
  <si>
    <t>L&amp;L CORPORACION Y SERVICIOS GENERALES</t>
  </si>
  <si>
    <t>CANTORAL ROMAN LUIS WILFREDO</t>
  </si>
  <si>
    <t>MAQUINARIAS ARMEVA</t>
  </si>
  <si>
    <t>B10862</t>
  </si>
  <si>
    <t>W&amp; J TOOLS AND SERVICE</t>
  </si>
  <si>
    <t>BALANCEO DINAMICO INDUSTRIAL</t>
  </si>
  <si>
    <t>JIMENEZ ROJAS LUIS ALBERTO</t>
  </si>
  <si>
    <t>PRO EDIFICAR</t>
  </si>
  <si>
    <t>GRUPO HOTELERO SOLEC SOCIEDAD ANONIMA CE</t>
  </si>
  <si>
    <t>CALEAND</t>
  </si>
  <si>
    <t>Ágil Recurrente</t>
  </si>
  <si>
    <t>ALVA RAMIREZ DANIEL AUGUSTO</t>
  </si>
  <si>
    <t>2PRINT</t>
  </si>
  <si>
    <t>B32278</t>
  </si>
  <si>
    <t>RAMOS QUISPE ULISES</t>
  </si>
  <si>
    <t>GAONA CERVANTES DIEGO SHARIFF</t>
  </si>
  <si>
    <t>S &amp; ROMERO</t>
  </si>
  <si>
    <t>TRANSPORTES E INVERSIONES SANTA CLARA</t>
  </si>
  <si>
    <t>SEAS SERVICIOS Y TRANSPORTES E.I.R.L.</t>
  </si>
  <si>
    <t>ALIV TELECOM</t>
  </si>
  <si>
    <t>BOLAÑOS ESPINOZA TEODOCIO NICOLAS</t>
  </si>
  <si>
    <t>DISTRIBUIDORA CHEGNE S.A.C.</t>
  </si>
  <si>
    <t>TRANSPORTES CORI ANCA SOCIEDAD ANONIMA C</t>
  </si>
  <si>
    <t>PHARMACEUTICAL LOGISTICS</t>
  </si>
  <si>
    <t>MOTOSPORT PERU S.A.C.</t>
  </si>
  <si>
    <t>GRUPO EMPRESARIAL NORCONSTRUCCION SOCIED</t>
  </si>
  <si>
    <t>PALOMINO HUAMANI BERTHA FIORELLA</t>
  </si>
  <si>
    <t>B30638</t>
  </si>
  <si>
    <t>ORTIZ BERNALDO JESSENIA VILMA</t>
  </si>
  <si>
    <t>B27809</t>
  </si>
  <si>
    <t>ROMERO LIRA JOSE ALEJANDRO</t>
  </si>
  <si>
    <t>B10874</t>
  </si>
  <si>
    <t>INVERSIONES E IMPORTACIONES DH</t>
  </si>
  <si>
    <t>DELGADO MAITA JORGE ANTONIO</t>
  </si>
  <si>
    <t>FARMACIA FUNG</t>
  </si>
  <si>
    <t>HARRYTEX</t>
  </si>
  <si>
    <t>ARPYNET</t>
  </si>
  <si>
    <t>PERFILES METALICOS A &amp; R</t>
  </si>
  <si>
    <t>B25587</t>
  </si>
  <si>
    <t>GRUPO ABREX IMPORT EXPORT</t>
  </si>
  <si>
    <t>HUAMAN REYES ANA ROSA</t>
  </si>
  <si>
    <t>B12363</t>
  </si>
  <si>
    <t>EMPRESA DE TRANSPORTES SANTA CRUZ DE OYO</t>
  </si>
  <si>
    <t>LINCOLN CONTRATISTAS GENERALES</t>
  </si>
  <si>
    <t>ROJAS ZAPATA CESAR LUIS</t>
  </si>
  <si>
    <t>PALAIS COCKTAIL SAC</t>
  </si>
  <si>
    <t>CORTEZ CHAVEZ ROLANDO DAVID</t>
  </si>
  <si>
    <t>B20846</t>
  </si>
  <si>
    <t>INVERSIONES FERIA DE LIBROS S.A.C.</t>
  </si>
  <si>
    <t>SALDAÑA TELLO JOSE ULICES</t>
  </si>
  <si>
    <t>SMART &amp; BEST ALL</t>
  </si>
  <si>
    <t>INSTITUCION EDUCATIVA PRIVADA SANTA ANA</t>
  </si>
  <si>
    <t>JALL MOTOR S</t>
  </si>
  <si>
    <t>TRANSPORTE HERMANOS ANDIAS</t>
  </si>
  <si>
    <t>INVERSIONES &amp; SERVICIOS INDUSTRIALES</t>
  </si>
  <si>
    <t>GNC ENERGIA Y PROYECTOS</t>
  </si>
  <si>
    <t>F &amp; D TRANSPORT BUSINESS</t>
  </si>
  <si>
    <t>INDUSTRIA MELAMINICA DEL NORTE S.A.C.</t>
  </si>
  <si>
    <t>QUISPE ROJAS CARLOS</t>
  </si>
  <si>
    <t>GRUPO CONSORCIO VETERINARIO S.A.C.</t>
  </si>
  <si>
    <t>LEGA DISTRIBUCIONES S.A.C.</t>
  </si>
  <si>
    <t>PROVEMAX</t>
  </si>
  <si>
    <t>PERNOS TUERCAS &amp; TERCOS</t>
  </si>
  <si>
    <t>GRUPO INTECC PERU S.A.C.</t>
  </si>
  <si>
    <t>VALLEJOS VALLEJOS REYNA</t>
  </si>
  <si>
    <t>BONG SPEC</t>
  </si>
  <si>
    <t>SERVICIOS ANTBER</t>
  </si>
  <si>
    <t>LE MONDE MAQUINARIAS</t>
  </si>
  <si>
    <t>CAHUANTICO ALANOCA DANIEL</t>
  </si>
  <si>
    <t>REPRESENTACIONES SELENY</t>
  </si>
  <si>
    <t>JYC SOLUCIONES EN REDES INFORMATICAS</t>
  </si>
  <si>
    <t>ESTRATEGIA Y GESTION COMERCIAL SOCIEDAD</t>
  </si>
  <si>
    <t>ACVET PERU</t>
  </si>
  <si>
    <t>CORPORACIÓN V &amp; R SERVICIOS DIVERSOS E.I</t>
  </si>
  <si>
    <t>NEGOCIOS Y SERVICIOS GENERALES DAFER S.A</t>
  </si>
  <si>
    <t>JNK CORPORATIVO</t>
  </si>
  <si>
    <t>BELLUM ASESORES S.A.C.</t>
  </si>
  <si>
    <t>B28994</t>
  </si>
  <si>
    <t>EDGAR CABANILLAS GAMARRA</t>
  </si>
  <si>
    <t>NEWROAD GLOBAL INVESTING</t>
  </si>
  <si>
    <t>YUCRA QUILLUYA CIPRIANO LORENZO</t>
  </si>
  <si>
    <t>IMPORTACIONES AGROVETERINARIAS JR &amp; JL</t>
  </si>
  <si>
    <t>OSORIO HUAMAN NELSON FERNANDO</t>
  </si>
  <si>
    <t>SANTIAGO QUISPE GRAYZIE FIORELLA</t>
  </si>
  <si>
    <t>CCORISE QUISPE RAMIRO</t>
  </si>
  <si>
    <t>PEREZ ALVARADO ARMANDO</t>
  </si>
  <si>
    <t>B38063</t>
  </si>
  <si>
    <t>ARMISHTOP SOCIEDAD COMERCIAL DE RESPONSA</t>
  </si>
  <si>
    <t>JJ KALO M28</t>
  </si>
  <si>
    <t>DISTRIBUCIONES ELVISUR EMPRESA INDIVIDUA</t>
  </si>
  <si>
    <t>FERRETERIA OLGER</t>
  </si>
  <si>
    <t>MONTACARGAS ANGEL</t>
  </si>
  <si>
    <t>HAPURO SOCIEDAD ANONIMA CERRADA - HAPURO</t>
  </si>
  <si>
    <t>B31010</t>
  </si>
  <si>
    <t>ROCIO DEL CARMEN PALOMINO ESPINOZA DE CUYA</t>
  </si>
  <si>
    <t>EUROPOL S.R.L.</t>
  </si>
  <si>
    <t>FALCON MARTIN ROSARIO MAXIMA</t>
  </si>
  <si>
    <t>B9574</t>
  </si>
  <si>
    <t>MEJIA URIARTE ROGER JAVIER</t>
  </si>
  <si>
    <t>INVERSIONES IDEA MUEBLES</t>
  </si>
  <si>
    <t>PERU RODOZ</t>
  </si>
  <si>
    <t>CERAMICOS A&amp;T HERMANOS</t>
  </si>
  <si>
    <t>QUISPE MERINO HAROL DAVID</t>
  </si>
  <si>
    <t>CARDIORED</t>
  </si>
  <si>
    <t>MEZAKY MOTORS</t>
  </si>
  <si>
    <t>DARYS LOGISTICS</t>
  </si>
  <si>
    <t>RAMIREZ CHOQUE DIANA CAROLINA</t>
  </si>
  <si>
    <t>B14513</t>
  </si>
  <si>
    <t>DE LA CRUZ GARCIA DAMER HUGO</t>
  </si>
  <si>
    <t>GRUPO CAVANI</t>
  </si>
  <si>
    <t>SE IMPORTADORES</t>
  </si>
  <si>
    <t>MAYHUA TAIPE FRANCISCA</t>
  </si>
  <si>
    <t>GUARDIA RIVADENEIRA VICTOR DAVID</t>
  </si>
  <si>
    <t>B39500</t>
  </si>
  <si>
    <t>ROSA VERONICA GAMONAL CASTILLO</t>
  </si>
  <si>
    <t>IMPORT &amp; EXPORT ISABEL FASHION</t>
  </si>
  <si>
    <t>VASQUEZ VALLES PIERO EDUARDO</t>
  </si>
  <si>
    <t>CRUZ CAMPOS PEDRO JOSUE</t>
  </si>
  <si>
    <t>HERNANDEZ QUINTANILLA JOSOHE DAVID</t>
  </si>
  <si>
    <t>GUERRERO JIMENEZ KELEN MARIEL</t>
  </si>
  <si>
    <t>MOSQUERA REATEGUI JOHANNA PAOLA</t>
  </si>
  <si>
    <t>GROUP DISPENSER S.A.C</t>
  </si>
  <si>
    <t>AUTOMOTRIZ CGM</t>
  </si>
  <si>
    <t>JS PERUMED E.I.R.L.</t>
  </si>
  <si>
    <t>B45080</t>
  </si>
  <si>
    <t>CAMPAÑA CARRILLO JUAN CARLOS</t>
  </si>
  <si>
    <t>SUNSHINE PERU TECHNOLOGY</t>
  </si>
  <si>
    <t>LUIS VASQUEZ PERCY</t>
  </si>
  <si>
    <t>QUISPE GUTIERREZ YENNY MARLENY</t>
  </si>
  <si>
    <t>SOLUTION EL HUAYKY</t>
  </si>
  <si>
    <t>K&amp; M SAFETY</t>
  </si>
  <si>
    <t>IMPRESIONES Y DISTRIBUCIONES VELMAR SOCI</t>
  </si>
  <si>
    <t>COA TURPO SAMUEL</t>
  </si>
  <si>
    <t>SERVICIOS Y VENTAS RED CAR E.I.R.L.</t>
  </si>
  <si>
    <t>FACMEC AVG EMPRESA INDIVIDUAL DE RESPONS</t>
  </si>
  <si>
    <t>FREYDACH SOLUTION</t>
  </si>
  <si>
    <t>ACOSTA ORUNA MARIA ELENA</t>
  </si>
  <si>
    <t>INVERSIONES &amp; SERVICIOS GENERALES ASFER</t>
  </si>
  <si>
    <t>EMPRESA DE TRANSPORTES MARITZA</t>
  </si>
  <si>
    <t>MEDINA NEGRON ARTURO EDUARDO</t>
  </si>
  <si>
    <t>GARCIA PEREZ ELFERES</t>
  </si>
  <si>
    <t>B12771</t>
  </si>
  <si>
    <t>INVERSIONES JIMGOI E.I.R.L.</t>
  </si>
  <si>
    <t>AIRCOOL INGENIEROS ASOCIADOS</t>
  </si>
  <si>
    <t>DIDACTICOS YOCUSA M &amp; S</t>
  </si>
  <si>
    <t>CENTRO MEDICO CARDIOLOGICO CARDIO JAEN E</t>
  </si>
  <si>
    <t>BOZA RAMON CIRO DIGNO</t>
  </si>
  <si>
    <t>DS SERVICIOS MULTIPLES</t>
  </si>
  <si>
    <t>PILCO CALIZAYA ADOLFO</t>
  </si>
  <si>
    <t>AGREGADOS NUEVA VILLA</t>
  </si>
  <si>
    <t>TENORIO INSTALACIONES S.A.C.</t>
  </si>
  <si>
    <t>MAYTA PEREZ CORINA ROSALIN</t>
  </si>
  <si>
    <t>TRANSPORTE INTERNACIONAL FULL FREEZE</t>
  </si>
  <si>
    <t>CERAMICENTER ROSITA</t>
  </si>
  <si>
    <t>CONSORCIO SASSARI SAC</t>
  </si>
  <si>
    <t>B37427</t>
  </si>
  <si>
    <t>PRODICMONT INGENIEROS S.A.C.</t>
  </si>
  <si>
    <t>JOMACH INTERNATIONAL EMPRESA INDIVIDUAL</t>
  </si>
  <si>
    <t>CATERING CANELOS S.A.C.</t>
  </si>
  <si>
    <t>IDROMETAL</t>
  </si>
  <si>
    <t>MAESCORP</t>
  </si>
  <si>
    <t>CORPORACION LLONTOP S.A.C.</t>
  </si>
  <si>
    <t>CONSULTORA HIRODEK S.A.C.</t>
  </si>
  <si>
    <t>ADOMA</t>
  </si>
  <si>
    <t>NEGOCIACIONES M &amp; S</t>
  </si>
  <si>
    <t>SUMIVAL</t>
  </si>
  <si>
    <t>SERVICIOS Y REPRESENTACIONES SERVIGRAH E</t>
  </si>
  <si>
    <t>CUBA MONTALVO ALICIA</t>
  </si>
  <si>
    <t>CHASQUERO JIMENEZ MARIA DIANA</t>
  </si>
  <si>
    <t>COMERCIALIZADORA TENORIO</t>
  </si>
  <si>
    <t>BRINGAS VILLACORTA DAVID FERNANDO</t>
  </si>
  <si>
    <t>M Y A ELECTRIC</t>
  </si>
  <si>
    <t>PROVEEDORES INDUSTRIALES JC</t>
  </si>
  <si>
    <t>DIAZ SIERRA PATRICIA ELIZABETH</t>
  </si>
  <si>
    <t>DULCES MOMENTOS UNICOS HELADERIA &amp; POSTR</t>
  </si>
  <si>
    <t>GRUMBER YAURI</t>
  </si>
  <si>
    <t>SIPROG SERVICIO INGENIERIA Y PROYECTOS</t>
  </si>
  <si>
    <t>EMPRESA DE TRANSPORTES LAURA</t>
  </si>
  <si>
    <t>AGRO SERVICIOS BRAVO</t>
  </si>
  <si>
    <t>INVERSIONES BUSTILLOS</t>
  </si>
  <si>
    <t>INGENIERIA &amp; GESTION AGRICOLA ROSS INKIL</t>
  </si>
  <si>
    <t>OLMO SERVICIOS GENERALES</t>
  </si>
  <si>
    <t>CONSORCIO TEXTIL JJD</t>
  </si>
  <si>
    <t>Compra de Deuda con Garantia Hipotecaria</t>
  </si>
  <si>
    <t>RONDO ROJAS LUCILA MARILU</t>
  </si>
  <si>
    <t>B18434</t>
  </si>
  <si>
    <t>NAVANI</t>
  </si>
  <si>
    <t>TRAZO Y CORTE S.A.C</t>
  </si>
  <si>
    <t>DISTRIBUIDORA SANDY</t>
  </si>
  <si>
    <t>FERRETERIA PERALVILLO</t>
  </si>
  <si>
    <t>H Y L ELECTRIC</t>
  </si>
  <si>
    <t>EDWIN CORPORATION TEXTIL</t>
  </si>
  <si>
    <t>LLANWERS IMPORT EIRL</t>
  </si>
  <si>
    <t>INVERSIONES TEXTILES MAXFEL</t>
  </si>
  <si>
    <t>FERNANDEZ AYALA ELIZABETH JACQUELINE</t>
  </si>
  <si>
    <t>LEON NAIVARES MARCOS</t>
  </si>
  <si>
    <t>RECICLA RECUPERA UN MUNDO VERDE S.A.C. -</t>
  </si>
  <si>
    <t>LAURA TORRES CAROLA BETTY</t>
  </si>
  <si>
    <t>J Y L EJECUTIVE TRANSPORT</t>
  </si>
  <si>
    <t>MEJIA PIÑAN ELIZABETH XIMMENA</t>
  </si>
  <si>
    <t>CHULLUNQUI CRUZ MARIA ANTONIETA</t>
  </si>
  <si>
    <t>INVERSIONES MARIA FERNANDA</t>
  </si>
  <si>
    <t>AMBIENTE Y DESARROLLO SOSTENIBLE</t>
  </si>
  <si>
    <t>Recurrente Reactiva Negocio</t>
  </si>
  <si>
    <t>Recurrente Reactiva CEM</t>
  </si>
  <si>
    <t>PROVEEDORES INDUSTRIALES 3R</t>
  </si>
  <si>
    <t>ARS LOGISTICS</t>
  </si>
  <si>
    <t>PROYECTOS GENERALES PERU</t>
  </si>
  <si>
    <t>CHRISMAR PERU</t>
  </si>
  <si>
    <t>DENTPLANET E.I.R.L.</t>
  </si>
  <si>
    <t>b19752</t>
  </si>
  <si>
    <t>CASTILLO GAYTAN ROCIO ISABEL</t>
  </si>
  <si>
    <t>CORPORACION TEXTIL FRALUSE</t>
  </si>
  <si>
    <t>VALTURI</t>
  </si>
  <si>
    <t>ZAVALETA VICARINA FELIX EMILIANO</t>
  </si>
  <si>
    <t>CENTRO DE SERVICIOS AUTOMOTRIZ</t>
  </si>
  <si>
    <t>JSERVIM</t>
  </si>
  <si>
    <t>B46570</t>
  </si>
  <si>
    <t xml:space="preserve">NUÑEZ NINANYA LUCIA ALEJANDRA </t>
  </si>
  <si>
    <t>FERNANDEZ SILVA JOSE JOHNNY</t>
  </si>
  <si>
    <t>RENZO &amp; ALEXANDER CORPORATION SAC</t>
  </si>
  <si>
    <t>NEGOCIACIONES ELECTRO BENDEZU E.I.R.L.</t>
  </si>
  <si>
    <t>AQP ENFERMERAS E.I.R.L.</t>
  </si>
  <si>
    <t>INVERSIONES CSB S.A.C</t>
  </si>
  <si>
    <t>INVERSIONES RAXISO E.I.R.L.</t>
  </si>
  <si>
    <t>ATIZAR EMPRESA INDIVIDUAL DE RESPONSABIL</t>
  </si>
  <si>
    <t>EMP. DE TRABAJO NAVALES R &amp; B - CHIMBOTE</t>
  </si>
  <si>
    <t>EMPRESA DE SERVICIOS GD SAC</t>
  </si>
  <si>
    <t>GUERRERO CORREA ARISTER</t>
  </si>
  <si>
    <t>INFONERC</t>
  </si>
  <si>
    <t>TECNOLOGIA ANALITICA</t>
  </si>
  <si>
    <t>B32117</t>
  </si>
  <si>
    <t>GLORIA MARIA VILLAGOMEZ VARGAS</t>
  </si>
  <si>
    <t>LLERENA JIMENEZ ANDY OLIVER</t>
  </si>
  <si>
    <t>B22548</t>
  </si>
  <si>
    <t>MAMANI CCALA JERONIMO</t>
  </si>
  <si>
    <t>B17733</t>
  </si>
  <si>
    <t>EMPRESA DE TRANSPORTES ISABEL DEL</t>
  </si>
  <si>
    <t>CHUGURANO CHIKEN S.A.C.</t>
  </si>
  <si>
    <t>TECNIMAT</t>
  </si>
  <si>
    <t>EMPRESA DE SEGURIDAD FORTALEZA</t>
  </si>
  <si>
    <t>INVERSIONES LORENTY LUXURY</t>
  </si>
  <si>
    <t>CORPORACION TRIVER</t>
  </si>
  <si>
    <t>SERVICIOS Y CONTRATISTAS GENERALES M&amp;E S</t>
  </si>
  <si>
    <t>GESTION MEDICA EMPRESARIAL S.A.C.</t>
  </si>
  <si>
    <t>INVERSIONES Y REPRESENTACIONES BRIGAL</t>
  </si>
  <si>
    <t>SOLUCIONES INTEGRALES PRACTICAS RAPIDAS</t>
  </si>
  <si>
    <t>B40057</t>
  </si>
  <si>
    <t>CESAR ROOSEVELT CARMONA ARCE</t>
  </si>
  <si>
    <t>INVERSIONES MARHON</t>
  </si>
  <si>
    <t>GRUPO D NINFA</t>
  </si>
  <si>
    <t>FERRETERIA Y DISTRIBUIDORA NICOL</t>
  </si>
  <si>
    <t>JEMS MEDICAL EXPRESS</t>
  </si>
  <si>
    <t>BAZAR NATURAL ALESSANDRO</t>
  </si>
  <si>
    <t>DATA CENTER PERU COMPANY E.I.R.L.</t>
  </si>
  <si>
    <t>CESPEDES RODRIGUEZ BRAULIO RAUL</t>
  </si>
  <si>
    <t>ASJ PERU PUBLICIDAD</t>
  </si>
  <si>
    <t>DOMARI COMERCIALIZADORA Y SERVICIOS</t>
  </si>
  <si>
    <t>ABAL GRAZA ROSA PAULINA</t>
  </si>
  <si>
    <t>EMPRESA COMERCIALIZADORA DIAZ HERMANOS S</t>
  </si>
  <si>
    <t>FOGON GASTRONOMICO E.I.R.L.</t>
  </si>
  <si>
    <t>OTIMIKUNA FUSION</t>
  </si>
  <si>
    <t>CHUQUI VILLANUEVA LENIN AGUSTIN</t>
  </si>
  <si>
    <t>REPUESTOS Y AUTOPARTES CASTILLO</t>
  </si>
  <si>
    <t>IMPORTACIONES JUVAS HNOS</t>
  </si>
  <si>
    <t>EVALUACIONES AMBIENTALES PARA LA SOSTENI</t>
  </si>
  <si>
    <t>MAMANI UTURUNCO VICENTE</t>
  </si>
  <si>
    <t>GRUPO G Y N TRADING</t>
  </si>
  <si>
    <t>ANTUNEZ CAMONES LOURDES VICTORIA</t>
  </si>
  <si>
    <t>EQUIPO LUIGI</t>
  </si>
  <si>
    <t>HERRERA MARTINEZ ELMER ERIKSON</t>
  </si>
  <si>
    <t>B10315</t>
  </si>
  <si>
    <t>AJ &amp; S INVERSIONES</t>
  </si>
  <si>
    <t>MEDD CONSULTING .</t>
  </si>
  <si>
    <t>CIA IMPORTADORA DE LUBRICANTES</t>
  </si>
  <si>
    <t>INMOBILIARIA SAN JERONIMO</t>
  </si>
  <si>
    <t>VASQUEZ MENDEZ GLORIA VIOLETA</t>
  </si>
  <si>
    <t>TRANSPORT &amp; SERVICE EJG</t>
  </si>
  <si>
    <t>CASTAÑEDA BALTAZAR JOSE MIGUEL</t>
  </si>
  <si>
    <t>ASENCIOS ZARZOSA RICHAR AMADOR</t>
  </si>
  <si>
    <t>GR SOLUCIONES EMPRERIALES</t>
  </si>
  <si>
    <t>VALGRIF ENERGIA Y SERVICIOS</t>
  </si>
  <si>
    <t>TORRE NEGRA TG E.I.R.L</t>
  </si>
  <si>
    <t>CHUQUILLANQUI GOMEZ PATRICIA</t>
  </si>
  <si>
    <t>JAH DISTRIBUCION &amp; LOGISTICA EMPRESARIAL</t>
  </si>
  <si>
    <t>STORAGE Y BACKUP DATA SERVICE</t>
  </si>
  <si>
    <t>NEGOCIOS SOLBEC S.A.C</t>
  </si>
  <si>
    <t>CERAMICA BETHEL</t>
  </si>
  <si>
    <t>DOCCORI</t>
  </si>
  <si>
    <t>BYB INGENIERIA Y PROYECTOS A MEDIDA</t>
  </si>
  <si>
    <t>FABRICA LA CORONA</t>
  </si>
  <si>
    <t>RETAMOZO FLORES FRANCISCO ROGERS</t>
  </si>
  <si>
    <t>SERVICIO E INVERSIONES ANDY</t>
  </si>
  <si>
    <t>MI MUNDO DIABETICO</t>
  </si>
  <si>
    <t>BEANS &amp; FRUIT DRY</t>
  </si>
  <si>
    <t>BERECHE Y VENTURA RADIOLOGOS ASOCIADOS S</t>
  </si>
  <si>
    <t>GRUPO BROS S.A.C.</t>
  </si>
  <si>
    <t>LES GOURMANDS</t>
  </si>
  <si>
    <t>JESUS MU OZ CONTRERAS E HIJOS</t>
  </si>
  <si>
    <t>DAY EXPEDITIONS TRAVEL EMPRESA INDIVIDUA</t>
  </si>
  <si>
    <t>KF CLEANER</t>
  </si>
  <si>
    <t>LLANOS GARCIA DEISY</t>
  </si>
  <si>
    <t>PEREZ CHOTA RONALD WALTER</t>
  </si>
  <si>
    <t>PASBEC DISEÑOS &amp; CONFECCIONES</t>
  </si>
  <si>
    <t>GUERRA SANDOVAL MONICA ALEJANDRINA</t>
  </si>
  <si>
    <t>INVERSIONES MI KAZITA</t>
  </si>
  <si>
    <t>VENTA DE SUMINISTROS Y MATERIALES ELÉCTR</t>
  </si>
  <si>
    <t>BELLO LEDESMA EDITH VERONICA</t>
  </si>
  <si>
    <t>PILCO HANCCO ALDO RODRIGO</t>
  </si>
  <si>
    <t>CASTRO TAPIA MARIA MARIVEL</t>
  </si>
  <si>
    <t>CONSORCIO DC EXTREME SECURITY &amp; MAINTENA</t>
  </si>
  <si>
    <t>CONSTRUCTORA E INVERSIONES M &amp; R</t>
  </si>
  <si>
    <t>GINSBERG GALERIA</t>
  </si>
  <si>
    <t>INVERSIONES MAQUILUZ</t>
  </si>
  <si>
    <t>G&amp;S CONSTRUCCION MINERIA Y SERVICIOS GEN</t>
  </si>
  <si>
    <t>B30002</t>
  </si>
  <si>
    <t>SANDRA LAURA GONZALES YATACO</t>
  </si>
  <si>
    <t>JOMATEX</t>
  </si>
  <si>
    <t>DISTRIBUIDORA Y DROGUERIA QMART</t>
  </si>
  <si>
    <t>MOLOCHO BRAVO EDELMIRA</t>
  </si>
  <si>
    <t>GALLARDO SEMINARIO FREDDY ROLAND</t>
  </si>
  <si>
    <t>B11536</t>
  </si>
  <si>
    <t>MENDOZA YAÑEZ VICTOR RAUL</t>
  </si>
  <si>
    <t>BELME IMPORTACIONES</t>
  </si>
  <si>
    <t>MOTOREPUESTOS INTERNACIONAL</t>
  </si>
  <si>
    <t>GM ACCOUNTING AND LOGISTICS</t>
  </si>
  <si>
    <t>IMPORT TONY &amp; MERLIN</t>
  </si>
  <si>
    <t>LLANO LLANO GUIDO RAMIRO</t>
  </si>
  <si>
    <t>HERRERA PEREZ JHON KENY</t>
  </si>
  <si>
    <t>IDEAS GASTRONOMICAS SAC</t>
  </si>
  <si>
    <t>PEREZ ALTAMIRANO ELAN</t>
  </si>
  <si>
    <t>RZ LAB TESTING E.I.R.L.</t>
  </si>
  <si>
    <t>ROJAS RODRIGUEZ DANIEL ISAIAS</t>
  </si>
  <si>
    <t>PINTO ENERO ANTONELLA BETZABETH</t>
  </si>
  <si>
    <t>MENDOZA RUIZ CRISTINA KEY</t>
  </si>
  <si>
    <t>B46889</t>
  </si>
  <si>
    <t>TOCTO MOROCHO TANIA MARGARET</t>
  </si>
  <si>
    <t>CVR CONSULTING S.R.L.</t>
  </si>
  <si>
    <t>ORL ARNAEZ</t>
  </si>
  <si>
    <t>CONTRATISTAS GENERALES ALEPSUR</t>
  </si>
  <si>
    <t>RODAMIENTOS Y REPUESTOS FERREÑAFE S.A.C.</t>
  </si>
  <si>
    <t>COMERCIAL Y DISTRIBUCIONES SAGITARIO</t>
  </si>
  <si>
    <t>MUÑOZ OCAÑA ANGELA</t>
  </si>
  <si>
    <t>ESPINOZA SAENZ VERONICA AMANDA</t>
  </si>
  <si>
    <t>DIGSO</t>
  </si>
  <si>
    <t>INCA NATIVOS</t>
  </si>
  <si>
    <t>IMPORTADORA &amp; DISTRIBUIDORA CACS S.A.C.</t>
  </si>
  <si>
    <t>GIANCARLO IMPORT EXPORT</t>
  </si>
  <si>
    <t>AYVEMAC E.I.R.L.</t>
  </si>
  <si>
    <t>NAPAN BELLEZA MATIAS ALBERTO</t>
  </si>
  <si>
    <t>IMPORTACIONES SUMMER</t>
  </si>
  <si>
    <t>SAVA-TI CONSULTORES S.A.C.</t>
  </si>
  <si>
    <t>AVANTECH GROUP</t>
  </si>
  <si>
    <t>HUACCHA GOICOCHEA AMELITA RITA</t>
  </si>
  <si>
    <t>MAMANI FLORES NORMA YENNY</t>
  </si>
  <si>
    <t>RODRIGUEZ MIRANDA HERLINDA MEYDA</t>
  </si>
  <si>
    <t>B10391</t>
  </si>
  <si>
    <t>CORPORACION TENSI SOCIEDAD ANONIMA CERRA</t>
  </si>
  <si>
    <t>DYNAMIC BUILDING</t>
  </si>
  <si>
    <t>TRANSPORTES GRAMY</t>
  </si>
  <si>
    <t>MEDCOMSA SAC</t>
  </si>
  <si>
    <t>TRANSPORTES R.E.G.C.</t>
  </si>
  <si>
    <t>GARCIA GAVILAN MERLY PATRICIA</t>
  </si>
  <si>
    <t>DM GENERAL CLEANING SERVICE</t>
  </si>
  <si>
    <t>QUISPE QUISPE EDITH MARY</t>
  </si>
  <si>
    <t>CENTRO DE INSPECCION KALLPA</t>
  </si>
  <si>
    <t>TELECOMUNICACION DIGITAL OPORTUNA INTELI</t>
  </si>
  <si>
    <t>E &amp; C COMPUTER SYSTEMS</t>
  </si>
  <si>
    <t>OBANDO CARRANZA MARGARITA ANTONIA</t>
  </si>
  <si>
    <t>AUTO GAS CENTER COMPANY SOCIEDAD ANONIMA</t>
  </si>
  <si>
    <t>SEGAFLOW PERU</t>
  </si>
  <si>
    <t>B17050</t>
  </si>
  <si>
    <t>EDWAR ISIDRO CASTAÑEDA FLOREZ</t>
  </si>
  <si>
    <t>GONZALES SANCHEZ EDIN</t>
  </si>
  <si>
    <t>CCOA PHOCCO MARIO REYNALDO</t>
  </si>
  <si>
    <t>FLORES COYLA YOLA FLORA</t>
  </si>
  <si>
    <t>INVERSIONES COSERFA</t>
  </si>
  <si>
    <t>MALCA ZELADA GLORIA MARTHA</t>
  </si>
  <si>
    <t>OPERLEM</t>
  </si>
  <si>
    <t>INVERSIONES EN TECNOLOGIAS ENERGETICAS</t>
  </si>
  <si>
    <t>KAWSAYPAQ EMPRESA INDIVIDUAL DE RESPONSA</t>
  </si>
  <si>
    <t>MERAKI SPA Y BELLEZA</t>
  </si>
  <si>
    <t>WANVENDOR SOCIEDAD ANONIMA CERRADA</t>
  </si>
  <si>
    <t>BLACK DRAGON TECH S.A.C.</t>
  </si>
  <si>
    <t>CAMPOS DELGADO DILSA</t>
  </si>
  <si>
    <t>MENACHO CARRASCO RITA ANDREINA</t>
  </si>
  <si>
    <t>INVERSIONES MAR &amp; HEC</t>
  </si>
  <si>
    <t>INDECOR CUSCO</t>
  </si>
  <si>
    <t>EMPRESA DE TRANSPORTES DE ELENA NATALIA</t>
  </si>
  <si>
    <t>FENIX DEL PERU</t>
  </si>
  <si>
    <t>IGLESIAS SEGOVIA ERWIN JASON</t>
  </si>
  <si>
    <t>B22081</t>
  </si>
  <si>
    <t>G Y G DIAGNOSTIC LABORATORIO CLINICO E</t>
  </si>
  <si>
    <t>GARCIA ALVARADO ENMA AURORA</t>
  </si>
  <si>
    <t>EVEPLAST</t>
  </si>
  <si>
    <t>REENCAUCHADORA VELOZ SOCIEDAD COMERCIAL</t>
  </si>
  <si>
    <t>SANTA ASUNTA CONTRATISTA MINERO SCRL</t>
  </si>
  <si>
    <t>H &amp; M MOTOREPUESTOS Y SERVICIOS MULTIPLE</t>
  </si>
  <si>
    <t>INYECCION Y TURBOCARGADORES PERU</t>
  </si>
  <si>
    <t>CORPORACION PAUCCAR J&amp;SH DISTRIBUCIONES</t>
  </si>
  <si>
    <t>PLASTI KATY</t>
  </si>
  <si>
    <t>CORREA RIOS</t>
  </si>
  <si>
    <t>IMPORTACIONES IMEXPOL S.A.C.</t>
  </si>
  <si>
    <t>ELECTROMOTORES JVM</t>
  </si>
  <si>
    <t>ESTUDIOS-DISEÑOS DE INGENIERIA ELECTRICA</t>
  </si>
  <si>
    <t>B31202</t>
  </si>
  <si>
    <t>LUIS FELIPE HUAMAN SUAREZ</t>
  </si>
  <si>
    <t>QUISPE MOLLOCONDO PEDRO OSWALDO</t>
  </si>
  <si>
    <t>FELIX DIESEL COMON RAIL</t>
  </si>
  <si>
    <t>ZH CORP. SAC</t>
  </si>
  <si>
    <t>MERQUITEX</t>
  </si>
  <si>
    <t>TIBURCIO OJEDA BARTOLO</t>
  </si>
  <si>
    <t>PEÑA MORALES KARINA</t>
  </si>
  <si>
    <t>CENTENO MACHACA JUAN DIEGO</t>
  </si>
  <si>
    <t>B12457</t>
  </si>
  <si>
    <t>OKAWA SERVICIOS</t>
  </si>
  <si>
    <t>L Y T VARGAS</t>
  </si>
  <si>
    <t>MICHIGAN EDITORES</t>
  </si>
  <si>
    <t>CHIMOC ARTS SOCIEDAD ANONIMA CERRADA - C</t>
  </si>
  <si>
    <t>FACUNDO MIJAHUANCA FERNANDO</t>
  </si>
  <si>
    <t>B&amp; G CONSULTORES ASOCIADOS S.A.C.</t>
  </si>
  <si>
    <t>SERVICES BUILDINGS AC HNOS</t>
  </si>
  <si>
    <t>MEGA TRONICS ENERGY EMPRESA INDIVIDUAL D</t>
  </si>
  <si>
    <t>PROVEEDORES MAESTROS</t>
  </si>
  <si>
    <t>LF IMPORTACION Y COMERCIALIZACION E.I.R.</t>
  </si>
  <si>
    <t>INGA INGA KATHERINE ANGELICA</t>
  </si>
  <si>
    <t>DAVI IMPORTS &amp; INNOVATIONS</t>
  </si>
  <si>
    <t>SANCHEZ JAQUE PAULINO ESTEBAN</t>
  </si>
  <si>
    <t>F.A.R.I. IMPORT</t>
  </si>
  <si>
    <t>TEXTILES CORPORATIVOS V Y M</t>
  </si>
  <si>
    <t>B32772</t>
  </si>
  <si>
    <t>ANDREA GREGORIA MALLMA PARIAN</t>
  </si>
  <si>
    <t>EXPORTACIONES E M B</t>
  </si>
  <si>
    <t>IMPEX JCG</t>
  </si>
  <si>
    <t>INVERSIONES GASTRONOMICAS</t>
  </si>
  <si>
    <t>TEXTIL CHOTANO</t>
  </si>
  <si>
    <t>SUELDO ESPINOZA JORGE ALBERTO</t>
  </si>
  <si>
    <t>IMPORTACIONES OLAM LIGHTS</t>
  </si>
  <si>
    <t>CLA SERVICIOS ELECTRONICOS E.I.R.L</t>
  </si>
  <si>
    <t>J.M GIGANTOGRAFIA</t>
  </si>
  <si>
    <t>LAULIS PERU TRANSPORTS</t>
  </si>
  <si>
    <t>ADE BELL EIRL</t>
  </si>
  <si>
    <t>B37467</t>
  </si>
  <si>
    <t>TRANSPORTE LUCAS CORNEJO E.I.R.L.- TRANS</t>
  </si>
  <si>
    <t>YOVERA PINGLO CESAR FRANCISCO</t>
  </si>
  <si>
    <t>SAENZ PEREZ NINA PAOLA</t>
  </si>
  <si>
    <t>GRUPO N JOSE</t>
  </si>
  <si>
    <t>NEGOCIACIONES SEÑOR DE LA SOLEDAD</t>
  </si>
  <si>
    <t>DON BIFE</t>
  </si>
  <si>
    <t>ITCADPERU</t>
  </si>
  <si>
    <t>M &amp; A DISTRIBUIDORA FERRETERA</t>
  </si>
  <si>
    <t>SERVICIOS IMPORTACIONES Y EXPORTACIONES</t>
  </si>
  <si>
    <t>CLIENTE</t>
  </si>
  <si>
    <t>MES_COMPRADO</t>
  </si>
  <si>
    <t>NUM_RUC</t>
  </si>
  <si>
    <t>NOMBRE_COMPLETO</t>
  </si>
  <si>
    <t>NUM_DOC</t>
  </si>
  <si>
    <t>CREDITO</t>
  </si>
  <si>
    <t>CAMPANA_BASE</t>
  </si>
  <si>
    <t>EJECUTIVO_BASE</t>
  </si>
  <si>
    <t>SALDO_CANCELADO</t>
  </si>
  <si>
    <t>FECHA_DESEMBOLSO</t>
  </si>
  <si>
    <t>TASA_DESEMBOLSO</t>
  </si>
  <si>
    <t>CANAL</t>
  </si>
  <si>
    <t>CANAL_FINAL</t>
  </si>
  <si>
    <t>PRODUCTO</t>
  </si>
  <si>
    <t>PERIODO_DESEMBOLSO</t>
  </si>
  <si>
    <t>MONTO_DESEMBOLSADO</t>
  </si>
  <si>
    <t>COD_EJECUTIVO_FUNNEL</t>
  </si>
  <si>
    <t>EJECUTIVO_FUNNEL</t>
  </si>
  <si>
    <t>COD_SUPERVISOR</t>
  </si>
  <si>
    <t>SUPERVISOR</t>
  </si>
  <si>
    <t>CAMPANHA_FUNNEL</t>
  </si>
  <si>
    <t>ID_CANAL_FUNNEL</t>
  </si>
  <si>
    <t>PRIORIDAD_GRUPO_FINAL</t>
  </si>
  <si>
    <t>PRIORIZACION_CARTERA</t>
  </si>
  <si>
    <t>NRO_LEADS</t>
  </si>
  <si>
    <t>FLG_GESTIONADO</t>
  </si>
  <si>
    <t>FLG_DESEMBOLSADO</t>
  </si>
  <si>
    <t>FLG_ACEPTA1</t>
  </si>
  <si>
    <t>FLG_CE</t>
  </si>
  <si>
    <t>FLG_ES_CARTERA</t>
  </si>
  <si>
    <t>COLOCACION_FUNNEL</t>
  </si>
  <si>
    <t>TASA_DESEMB_FUNNEL</t>
  </si>
  <si>
    <t>FEC_DESEMB_FUNNEL</t>
  </si>
  <si>
    <t>CAMPANHA_DESEMB</t>
  </si>
  <si>
    <t>CANAL_FINAL_DESEMB</t>
  </si>
  <si>
    <t>PRODUCTO_DESEMB</t>
  </si>
  <si>
    <t>MONTO_OFERTADO_CMP</t>
  </si>
  <si>
    <t>TASA_OFERTADA_CMP</t>
  </si>
  <si>
    <t>TASA_PISO_OFERTADO_CMP</t>
  </si>
  <si>
    <t>BARR_VARIABLE_1</t>
  </si>
  <si>
    <t>BARR_COD_HORARIO</t>
  </si>
  <si>
    <t>Etiquetas de fila</t>
  </si>
  <si>
    <t>Etiquetas de columna</t>
  </si>
  <si>
    <t>Cuenta de CLIENTE</t>
  </si>
  <si>
    <t>Suma de SALDO_CANCELADO</t>
  </si>
  <si>
    <t>No cartera</t>
  </si>
  <si>
    <t>Cartera</t>
  </si>
  <si>
    <t>No asignado</t>
  </si>
  <si>
    <t>Cuenta de SALDO_CANCELADO</t>
  </si>
  <si>
    <t>Total general</t>
  </si>
  <si>
    <t>(Todas)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</si>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</sst>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5" fontId="0" fillId="0" borderId="0" xfId="42" applyNumberFormat="1" applyFont="1"/>
    <xf numFmtId="0" fontId="0" fillId="33" borderId="0" xfId="0" applyFill="1" applyAlignment="1">
      <alignment horizontal="left"/>
    </xf>
    <xf numFmtId="164" fontId="0" fillId="33" borderId="0" xfId="0" applyNumberFormat="1" applyFill="1"/>
    <xf numFmtId="0" fontId="0" fillId="33" borderId="0" xfId="0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rozo Razo, Karen Sofia" refreshedDate="46189.681015856484" createdVersion="8" refreshedVersion="8" minRefreshableVersion="3" recordCount="1366" xr:uid="{03ABAB38-5CDD-4EEC-98FE-0A3F4E261E48}">
  <cacheSource type="worksheet">
    <worksheetSource ref="A1:AO1367" sheet="fuga"/>
  </cacheSource>
  <cacheFields count="42">
    <cacheField name="CLIENTE" numFmtId="0">
      <sharedItems containsSemiMixedTypes="0" containsString="0" containsNumber="1" containsInteger="1" minValue="261909" maxValue="22104683" count="1221">
        <n v="14258385"/>
        <n v="21057574"/>
        <n v="16105248"/>
        <n v="21525687"/>
        <n v="18194763"/>
        <n v="18778265"/>
        <n v="20008737"/>
        <n v="16398854"/>
        <n v="16645514"/>
        <n v="19998286"/>
        <n v="11421893"/>
        <n v="15711477"/>
        <n v="21627140"/>
        <n v="21188949"/>
        <n v="11587541"/>
        <n v="17209898"/>
        <n v="18623385"/>
        <n v="9314336"/>
        <n v="17252931"/>
        <n v="13053642"/>
        <n v="15370169"/>
        <n v="21245280"/>
        <n v="18044324"/>
        <n v="10997270"/>
        <n v="21843659"/>
        <n v="11002265"/>
        <n v="13709923"/>
        <n v="15435548"/>
        <n v="17252942"/>
        <n v="15693530"/>
        <n v="3614633"/>
        <n v="19225144"/>
        <n v="21959815"/>
        <n v="21498581"/>
        <n v="21085312"/>
        <n v="12621035"/>
        <n v="19682453"/>
        <n v="21483461"/>
        <n v="13234771"/>
        <n v="12886449"/>
        <n v="21253861"/>
        <n v="18649597"/>
        <n v="18862431"/>
        <n v="21494486"/>
        <n v="20449425"/>
        <n v="14795590"/>
        <n v="21395995"/>
        <n v="20801704"/>
        <n v="13243962"/>
        <n v="13979132"/>
        <n v="17194347"/>
        <n v="20014995"/>
        <n v="11754821"/>
        <n v="21717332"/>
        <n v="18828510"/>
        <n v="21128446"/>
        <n v="10926000"/>
        <n v="19086186"/>
        <n v="19285022"/>
        <n v="16964281"/>
        <n v="13349435"/>
        <n v="14885888"/>
        <n v="16143407"/>
        <n v="15921518"/>
        <n v="21166714"/>
        <n v="20009094"/>
        <n v="17596456"/>
        <n v="10195021"/>
        <n v="15414149"/>
        <n v="18730524"/>
        <n v="11204698"/>
        <n v="15517965"/>
        <n v="15324260"/>
        <n v="10090489"/>
        <n v="15949615"/>
        <n v="15994700"/>
        <n v="19582860"/>
        <n v="19970426"/>
        <n v="20984457"/>
        <n v="17846822"/>
        <n v="18938516"/>
        <n v="17907616"/>
        <n v="21471059"/>
        <n v="22026843"/>
        <n v="21824849"/>
        <n v="17846680"/>
        <n v="14871125"/>
        <n v="18193892"/>
        <n v="18485477"/>
        <n v="16084437"/>
        <n v="13441837"/>
        <n v="21578123"/>
        <n v="21452834"/>
        <n v="14858332"/>
        <n v="9484503"/>
        <n v="12183475"/>
        <n v="20012438"/>
        <n v="16359292"/>
        <n v="21031029"/>
        <n v="21281626"/>
        <n v="21046898"/>
        <n v="21780932"/>
        <n v="21599160"/>
        <n v="20718991"/>
        <n v="12608210"/>
        <n v="21499161"/>
        <n v="21550338"/>
        <n v="12603884"/>
        <n v="21502563"/>
        <n v="12834906"/>
        <n v="16164562"/>
        <n v="21650898"/>
        <n v="15206598"/>
        <n v="21441344"/>
        <n v="19300448"/>
        <n v="21821693"/>
        <n v="17795304"/>
        <n v="21514368"/>
        <n v="13834361"/>
        <n v="20185249"/>
        <n v="16644708"/>
        <n v="16891004"/>
        <n v="16449392"/>
        <n v="20904379"/>
        <n v="16006863"/>
        <n v="21786724"/>
        <n v="21025709"/>
        <n v="21506495"/>
        <n v="15321182"/>
        <n v="15637007"/>
        <n v="15983657"/>
        <n v="20636770"/>
        <n v="14247474"/>
        <n v="21976019"/>
        <n v="18124964"/>
        <n v="9145351"/>
        <n v="20165487"/>
        <n v="10815756"/>
        <n v="19794911"/>
        <n v="13376666"/>
        <n v="13206134"/>
        <n v="14380698"/>
        <n v="17190647"/>
        <n v="18422232"/>
        <n v="13710382"/>
        <n v="14469541"/>
        <n v="16666456"/>
        <n v="11016998"/>
        <n v="13785461"/>
        <n v="7720329"/>
        <n v="15335516"/>
        <n v="9645522"/>
        <n v="14691100"/>
        <n v="21490640"/>
        <n v="14924921"/>
        <n v="13712020"/>
        <n v="21808817"/>
        <n v="18902481"/>
        <n v="21441667"/>
        <n v="16857545"/>
        <n v="15170488"/>
        <n v="12049312"/>
        <n v="10982875"/>
        <n v="14138356"/>
        <n v="13572919"/>
        <n v="12644087"/>
        <n v="20863838"/>
        <n v="21668356"/>
        <n v="18656340"/>
        <n v="21439070"/>
        <n v="9293100"/>
        <n v="17236623"/>
        <n v="18960058"/>
        <n v="21457038"/>
        <n v="16256737"/>
        <n v="18498476"/>
        <n v="17546106"/>
        <n v="9531898"/>
        <n v="20581671"/>
        <n v="19585221"/>
        <n v="21763312"/>
        <n v="21640820"/>
        <n v="14424200"/>
        <n v="19937314"/>
        <n v="16374486"/>
        <n v="17595640"/>
        <n v="20088714"/>
        <n v="18265746"/>
        <n v="14315565"/>
        <n v="12889604"/>
        <n v="20322049"/>
        <n v="21632358"/>
        <n v="19873407"/>
        <n v="6785737"/>
        <n v="14267552"/>
        <n v="15168907"/>
        <n v="21761878"/>
        <n v="11947325"/>
        <n v="9838845"/>
        <n v="15996927"/>
        <n v="15639760"/>
        <n v="20902293"/>
        <n v="15135539"/>
        <n v="12227795"/>
        <n v="14704329"/>
        <n v="21281799"/>
        <n v="18259511"/>
        <n v="21256009"/>
        <n v="19588917"/>
        <n v="21050199"/>
        <n v="13726697"/>
        <n v="20746811"/>
        <n v="11907214"/>
        <n v="18931378"/>
        <n v="10133918"/>
        <n v="11998909"/>
        <n v="14842243"/>
        <n v="13749430"/>
        <n v="16720074"/>
        <n v="13826176"/>
        <n v="18119941"/>
        <n v="14525550"/>
        <n v="16568843"/>
        <n v="17169552"/>
        <n v="16312986"/>
        <n v="9257120"/>
        <n v="15704772"/>
        <n v="21491671"/>
        <n v="18938433"/>
        <n v="21771476"/>
        <n v="20401816"/>
        <n v="9453042"/>
        <n v="21611793"/>
        <n v="21475422"/>
        <n v="10829657"/>
        <n v="20653639"/>
        <n v="21761256"/>
        <n v="14225376"/>
        <n v="11153672"/>
        <n v="15057104"/>
        <n v="16789285"/>
        <n v="19887848"/>
        <n v="15969728"/>
        <n v="13311887"/>
        <n v="21255453"/>
        <n v="16176775"/>
        <n v="17798751"/>
        <n v="21600162"/>
        <n v="21447239"/>
        <n v="15052700"/>
        <n v="19312773"/>
        <n v="17133657"/>
        <n v="19055692"/>
        <n v="18135507"/>
        <n v="20346638"/>
        <n v="21644461"/>
        <n v="21710505"/>
        <n v="17728666"/>
        <n v="21329203"/>
        <n v="21663515"/>
        <n v="21446326"/>
        <n v="20921617"/>
        <n v="17362519"/>
        <n v="21262795"/>
        <n v="9493252"/>
        <n v="14658309"/>
        <n v="12757585"/>
        <n v="21524970"/>
        <n v="21597102"/>
        <n v="21495425"/>
        <n v="18776562"/>
        <n v="20786183"/>
        <n v="21778561"/>
        <n v="21483117"/>
        <n v="18652457"/>
        <n v="21109015"/>
        <n v="21662442"/>
        <n v="18184865"/>
        <n v="12771874"/>
        <n v="9249913"/>
        <n v="21541565"/>
        <n v="11450608"/>
        <n v="11861711"/>
        <n v="20269944"/>
        <n v="19644875"/>
        <n v="21908424"/>
        <n v="20686751"/>
        <n v="20015645"/>
        <n v="18354987"/>
        <n v="15497418"/>
        <n v="12267423"/>
        <n v="22027302"/>
        <n v="10908641"/>
        <n v="21477731"/>
        <n v="10238466"/>
        <n v="21490590"/>
        <n v="21340426"/>
        <n v="20180867"/>
        <n v="9595607"/>
        <n v="21713075"/>
        <n v="14943321"/>
        <n v="19858504"/>
        <n v="12846189"/>
        <n v="14464547"/>
        <n v="21638686"/>
        <n v="10285597"/>
        <n v="17322307"/>
        <n v="19030203"/>
        <n v="16367101"/>
        <n v="17244629"/>
        <n v="18261619"/>
        <n v="15636873"/>
        <n v="18396014"/>
        <n v="16128200"/>
        <n v="11097040"/>
        <n v="17860802"/>
        <n v="15754158"/>
        <n v="21844601"/>
        <n v="21665451"/>
        <n v="21478083"/>
        <n v="15358485"/>
        <n v="21537572"/>
        <n v="21634432"/>
        <n v="21517595"/>
        <n v="21230655"/>
        <n v="21896996"/>
        <n v="21935242"/>
        <n v="21591556"/>
        <n v="21674805"/>
        <n v="13498479"/>
        <n v="19473317"/>
        <n v="16162325"/>
        <n v="12676280"/>
        <n v="1556729"/>
        <n v="21200774"/>
        <n v="19637101"/>
        <n v="21456285"/>
        <n v="21764698"/>
        <n v="20750632"/>
        <n v="13415549"/>
        <n v="21451975"/>
        <n v="18931525"/>
        <n v="18933613"/>
        <n v="13378705"/>
        <n v="16243994"/>
        <n v="21153359"/>
        <n v="19505849"/>
        <n v="14159659"/>
        <n v="12082431"/>
        <n v="20215147"/>
        <n v="15368104"/>
        <n v="12179029"/>
        <n v="11872918"/>
        <n v="11364939"/>
        <n v="21443805"/>
        <n v="19811483"/>
        <n v="13797119"/>
        <n v="15168323"/>
        <n v="10563743"/>
        <n v="12879143"/>
        <n v="20878932"/>
        <n v="13185155"/>
        <n v="17334475"/>
        <n v="18690640"/>
        <n v="18694641"/>
        <n v="16626502"/>
        <n v="21530923"/>
        <n v="17174374"/>
        <n v="11501257"/>
        <n v="12051687"/>
        <n v="14294005"/>
        <n v="16930137"/>
        <n v="21737116"/>
        <n v="17199549"/>
        <n v="19559309"/>
        <n v="20768970"/>
        <n v="15290845"/>
        <n v="21877391"/>
        <n v="18905981"/>
        <n v="15823632"/>
        <n v="21811705"/>
        <n v="10369799"/>
        <n v="12684474"/>
        <n v="20713213"/>
        <n v="12097111"/>
        <n v="9905082"/>
        <n v="11027131"/>
        <n v="19969368"/>
        <n v="13832803"/>
        <n v="14417819"/>
        <n v="16372619"/>
        <n v="20718941"/>
        <n v="16216301"/>
        <n v="18368360"/>
        <n v="21660423"/>
        <n v="17504456"/>
        <n v="21683450"/>
        <n v="18550390"/>
        <n v="15558173"/>
        <n v="21583720"/>
        <n v="11867933"/>
        <n v="19194382"/>
        <n v="21032884"/>
        <n v="12589444"/>
        <n v="21561786"/>
        <n v="21504290"/>
        <n v="21486674"/>
        <n v="11293859"/>
        <n v="21450784"/>
        <n v="9751942"/>
        <n v="21819014"/>
        <n v="21184687"/>
        <n v="20811704"/>
        <n v="19733706"/>
        <n v="15585624"/>
        <n v="11202545"/>
        <n v="17263634"/>
        <n v="10135543"/>
        <n v="13800254"/>
        <n v="22072205"/>
        <n v="20615275"/>
        <n v="12562698"/>
        <n v="15286819"/>
        <n v="15712420"/>
        <n v="17124370"/>
        <n v="10624465"/>
        <n v="21355455"/>
        <n v="17254186"/>
        <n v="12367070"/>
        <n v="20982858"/>
        <n v="15806235"/>
        <n v="17055716"/>
        <n v="17720772"/>
        <n v="9818202"/>
        <n v="17046694"/>
        <n v="21954196"/>
        <n v="13904981"/>
        <n v="21566504"/>
        <n v="18501837"/>
        <n v="16418513"/>
        <n v="21702005"/>
        <n v="16156159"/>
        <n v="12876147"/>
        <n v="12702907"/>
        <n v="20034292"/>
        <n v="21382288"/>
        <n v="10249441"/>
        <n v="12350186"/>
        <n v="14129154"/>
        <n v="11438429"/>
        <n v="11322609"/>
        <n v="17765296"/>
        <n v="18024690"/>
        <n v="21949238"/>
        <n v="17017740"/>
        <n v="13178141"/>
        <n v="13145578"/>
        <n v="21607096"/>
        <n v="11118317"/>
        <n v="16139476"/>
        <n v="13415554"/>
        <n v="12826933"/>
        <n v="18219197"/>
        <n v="21714271"/>
        <n v="15836855"/>
        <n v="13855934"/>
        <n v="17295515"/>
        <n v="16537445"/>
        <n v="15737912"/>
        <n v="21438743"/>
        <n v="13392614"/>
        <n v="18522596"/>
        <n v="21361794"/>
        <n v="18484767"/>
        <n v="13555758"/>
        <n v="21244129"/>
        <n v="15069737"/>
        <n v="20602169"/>
        <n v="16393549"/>
        <n v="12965460"/>
        <n v="21677397"/>
        <n v="16729507"/>
        <n v="15073788"/>
        <n v="10260277"/>
        <n v="15698726"/>
        <n v="15372172"/>
        <n v="20169562"/>
        <n v="18911119"/>
        <n v="14812630"/>
        <n v="15560725"/>
        <n v="19019122"/>
        <n v="18780693"/>
        <n v="20849943"/>
        <n v="20740775"/>
        <n v="12656678"/>
        <n v="13453727"/>
        <n v="21111369"/>
        <n v="17120512"/>
        <n v="16561203"/>
        <n v="14213812"/>
        <n v="21495163"/>
        <n v="4789509"/>
        <n v="19550770"/>
        <n v="18323148"/>
        <n v="16449196"/>
        <n v="21007767"/>
        <n v="18609017"/>
        <n v="21095443"/>
        <n v="18080671"/>
        <n v="20125424"/>
        <n v="21524055"/>
        <n v="19239911"/>
        <n v="13761766"/>
        <n v="21483440"/>
        <n v="17120777"/>
        <n v="13305184"/>
        <n v="14820908"/>
        <n v="21787259"/>
        <n v="21680901"/>
        <n v="17553346"/>
        <n v="21676573"/>
        <n v="8339042"/>
        <n v="21659295"/>
        <n v="13311565"/>
        <n v="19187901"/>
        <n v="13545404"/>
        <n v="21528941"/>
        <n v="19528537"/>
        <n v="18744610"/>
        <n v="19075112"/>
        <n v="17248965"/>
        <n v="15445943"/>
        <n v="21496517"/>
        <n v="19934148"/>
        <n v="8703594"/>
        <n v="15688261"/>
        <n v="13231239"/>
        <n v="15247951"/>
        <n v="21485913"/>
        <n v="19275799"/>
        <n v="21739445"/>
        <n v="16477561"/>
        <n v="21330093"/>
        <n v="17130200"/>
        <n v="15955862"/>
        <n v="19829538"/>
        <n v="16391214"/>
        <n v="21482663"/>
        <n v="16076401"/>
        <n v="17006662"/>
        <n v="12531832"/>
        <n v="21527245"/>
        <n v="16543687"/>
        <n v="12285854"/>
        <n v="14231632"/>
        <n v="20794131"/>
        <n v="20959246"/>
        <n v="9842015"/>
        <n v="18649418"/>
        <n v="21856779"/>
        <n v="9841337"/>
        <n v="14947880"/>
        <n v="21410019"/>
        <n v="21454604"/>
        <n v="18619539"/>
        <n v="21556067"/>
        <n v="21831733"/>
        <n v="17509464"/>
        <n v="21556719"/>
        <n v="17983675"/>
        <n v="21701860"/>
        <n v="11841307"/>
        <n v="12188425"/>
        <n v="16391915"/>
        <n v="21280639"/>
        <n v="18069880"/>
        <n v="11189411"/>
        <n v="15620770"/>
        <n v="21875970"/>
        <n v="21821007"/>
        <n v="14059464"/>
        <n v="17640688"/>
        <n v="15215762"/>
        <n v="21899601"/>
        <n v="21601593"/>
        <n v="21499833"/>
        <n v="21419302"/>
        <n v="21737079"/>
        <n v="21588608"/>
        <n v="21413750"/>
        <n v="17190250"/>
        <n v="21342561"/>
        <n v="17966638"/>
        <n v="12023466"/>
        <n v="18616617"/>
        <n v="12586208"/>
        <n v="13716698"/>
        <n v="15122053"/>
        <n v="10311127"/>
        <n v="21204011"/>
        <n v="16536930"/>
        <n v="20197434"/>
        <n v="11979216"/>
        <n v="12999749"/>
        <n v="11399899"/>
        <n v="10083386"/>
        <n v="11437830"/>
        <n v="20175598"/>
        <n v="13621268"/>
        <n v="14001930"/>
        <n v="21614876"/>
        <n v="15752669"/>
        <n v="17386529"/>
        <n v="17129124"/>
        <n v="13982446"/>
        <n v="15510850"/>
        <n v="11129124"/>
        <n v="20943753"/>
        <n v="18886214"/>
        <n v="16023866"/>
        <n v="14396620"/>
        <n v="16691084"/>
        <n v="15270321"/>
        <n v="21704817"/>
        <n v="11869528"/>
        <n v="17048837"/>
        <n v="18857889"/>
        <n v="20977782"/>
        <n v="14939695"/>
        <n v="9883209"/>
        <n v="17920851"/>
        <n v="17199953"/>
        <n v="2027274"/>
        <n v="12984682"/>
        <n v="16255498"/>
        <n v="14640878"/>
        <n v="9167709"/>
        <n v="11873422"/>
        <n v="18147969"/>
        <n v="10856041"/>
        <n v="16526613"/>
        <n v="21469767"/>
        <n v="20023996"/>
        <n v="11470833"/>
        <n v="21574756"/>
        <n v="12069111"/>
        <n v="21534659"/>
        <n v="19534764"/>
        <n v="21471889"/>
        <n v="11460428"/>
        <n v="21449884"/>
        <n v="21537727"/>
        <n v="13594213"/>
        <n v="21615571"/>
        <n v="21786822"/>
        <n v="9236708"/>
        <n v="15968249"/>
        <n v="12463983"/>
        <n v="18899204"/>
        <n v="10316792"/>
        <n v="16405348"/>
        <n v="17866634"/>
        <n v="14542555"/>
        <n v="9882782"/>
        <n v="21104032"/>
        <n v="21338416"/>
        <n v="13012781"/>
        <n v="21580130"/>
        <n v="8209000"/>
        <n v="20005059"/>
        <n v="3983350"/>
        <n v="15087545"/>
        <n v="18703505"/>
        <n v="21134769"/>
        <n v="19146289"/>
        <n v="16023770"/>
        <n v="12282526"/>
        <n v="20562756"/>
        <n v="19100556"/>
        <n v="16643644"/>
        <n v="20732386"/>
        <n v="18329514"/>
        <n v="8257527"/>
        <n v="14269232"/>
        <n v="14743797"/>
        <n v="15847299"/>
        <n v="15369987"/>
        <n v="21699378"/>
        <n v="17187339"/>
        <n v="19462761"/>
        <n v="19183451"/>
        <n v="16026945"/>
        <n v="20718107"/>
        <n v="19579502"/>
        <n v="15395575"/>
        <n v="10848406"/>
        <n v="19391178"/>
        <n v="16674081"/>
        <n v="16565735"/>
        <n v="21506572"/>
        <n v="15396994"/>
        <n v="15067243"/>
        <n v="9757042"/>
        <n v="17242374"/>
        <n v="21537033"/>
        <n v="12878736"/>
        <n v="20064309"/>
        <n v="16063611"/>
        <n v="21582572"/>
        <n v="11485354"/>
        <n v="16040020"/>
        <n v="21525961"/>
        <n v="22104683"/>
        <n v="17842834"/>
        <n v="21542153"/>
        <n v="11777258"/>
        <n v="16265381"/>
        <n v="20262477"/>
        <n v="21045784"/>
        <n v="16114194"/>
        <n v="10649254"/>
        <n v="19700143"/>
        <n v="21291163"/>
        <n v="19616316"/>
        <n v="20439459"/>
        <n v="15016022"/>
        <n v="21807011"/>
        <n v="19630726"/>
        <n v="20283061"/>
        <n v="19460045"/>
        <n v="9276620"/>
        <n v="21588637"/>
        <n v="17359170"/>
        <n v="21772375"/>
        <n v="13357663"/>
        <n v="20702055"/>
        <n v="17642176"/>
        <n v="21130109"/>
        <n v="21507212"/>
        <n v="20757797"/>
        <n v="19926340"/>
        <n v="19705193"/>
        <n v="21499889"/>
        <n v="20355233"/>
        <n v="22068167"/>
        <n v="20983650"/>
        <n v="14688097"/>
        <n v="16158521"/>
        <n v="16111234"/>
        <n v="17224889"/>
        <n v="20692659"/>
        <n v="9832049"/>
        <n v="19137807"/>
        <n v="11463752"/>
        <n v="12668425"/>
        <n v="21826021"/>
        <n v="21514609"/>
        <n v="21685921"/>
        <n v="15127699"/>
        <n v="21580406"/>
        <n v="20725586"/>
        <n v="21433267"/>
        <n v="21122359"/>
        <n v="16511078"/>
        <n v="20505346"/>
        <n v="15756434"/>
        <n v="16640714"/>
        <n v="11716530"/>
        <n v="20381203"/>
        <n v="15504453"/>
        <n v="21202655"/>
        <n v="16786711"/>
        <n v="21017567"/>
        <n v="20823489"/>
        <n v="20730883"/>
        <n v="17898131"/>
        <n v="21541632"/>
        <n v="9544779"/>
        <n v="21532331"/>
        <n v="21663943"/>
        <n v="21665566"/>
        <n v="16027884"/>
        <n v="17531076"/>
        <n v="11364028"/>
        <n v="21330870"/>
        <n v="18267856"/>
        <n v="9389121"/>
        <n v="18837441"/>
        <n v="11068467"/>
        <n v="16076471"/>
        <n v="19109785"/>
        <n v="20428464"/>
        <n v="17133582"/>
        <n v="14673318"/>
        <n v="19747727"/>
        <n v="19985082"/>
        <n v="21663318"/>
        <n v="21697289"/>
        <n v="21616551"/>
        <n v="12227831"/>
        <n v="18404321"/>
        <n v="9454816"/>
        <n v="10295803"/>
        <n v="15235338"/>
        <n v="21486024"/>
        <n v="12530055"/>
        <n v="14385218"/>
        <n v="21696548"/>
        <n v="21480468"/>
        <n v="15322387"/>
        <n v="13893589"/>
        <n v="13226233"/>
        <n v="17747734"/>
        <n v="20542289"/>
        <n v="13426205"/>
        <n v="12745851"/>
        <n v="12558814"/>
        <n v="19159013"/>
        <n v="20299283"/>
        <n v="16044622"/>
        <n v="8864291"/>
        <n v="9298308"/>
        <n v="20183973"/>
        <n v="11974759"/>
        <n v="15511916"/>
        <n v="21668363"/>
        <n v="10592660"/>
        <n v="10518077"/>
        <n v="14637149"/>
        <n v="18973044"/>
        <n v="18679427"/>
        <n v="11554189"/>
        <n v="21202208"/>
        <n v="13011929"/>
        <n v="10801808"/>
        <n v="21000884"/>
        <n v="20959337"/>
        <n v="21091929"/>
        <n v="21600584"/>
        <n v="16401848"/>
        <n v="21458159"/>
        <n v="21578361"/>
        <n v="18931099"/>
        <n v="21435903"/>
        <n v="21892997"/>
        <n v="12714501"/>
        <n v="10089568"/>
        <n v="11304650"/>
        <n v="19042343"/>
        <n v="12230127"/>
        <n v="13758337"/>
        <n v="15059975"/>
        <n v="16646669"/>
        <n v="18942416"/>
        <n v="10133432"/>
        <n v="12904385"/>
        <n v="19056903"/>
        <n v="21879617"/>
        <n v="21728392"/>
        <n v="18664235"/>
        <n v="10025229"/>
        <n v="21506362"/>
        <n v="20112729"/>
        <n v="21448217"/>
        <n v="18199487"/>
        <n v="15344543"/>
        <n v="22033177"/>
        <n v="15371412"/>
        <n v="14380813"/>
        <n v="21658776"/>
        <n v="20760390"/>
        <n v="16322652"/>
        <n v="20461553"/>
        <n v="21429823"/>
        <n v="13469656"/>
        <n v="14905973"/>
        <n v="19708813"/>
        <n v="11552972"/>
        <n v="13840736"/>
        <n v="19829316"/>
        <n v="16332814"/>
        <n v="11775002"/>
        <n v="16171323"/>
        <n v="16492621"/>
        <n v="20670937"/>
        <n v="18287357"/>
        <n v="21556680"/>
        <n v="22026388"/>
        <n v="18077301"/>
        <n v="21534429"/>
        <n v="21414642"/>
        <n v="19984804"/>
        <n v="14953553"/>
        <n v="20659735"/>
        <n v="16643095"/>
        <n v="15502743"/>
        <n v="13966512"/>
        <n v="21611007"/>
        <n v="20369684"/>
        <n v="21525382"/>
        <n v="16463892"/>
        <n v="22021421"/>
        <n v="21456574"/>
        <n v="21393751"/>
        <n v="12148660"/>
        <n v="10210705"/>
        <n v="21932269"/>
        <n v="16663629"/>
        <n v="14406764"/>
        <n v="21468107"/>
        <n v="21597287"/>
        <n v="21529353"/>
        <n v="18848334"/>
        <n v="19167097"/>
        <n v="18161901"/>
        <n v="21411127"/>
        <n v="13439247"/>
        <n v="19015903"/>
        <n v="21825490"/>
        <n v="14636381"/>
        <n v="13757749"/>
        <n v="11678750"/>
        <n v="20999987"/>
        <n v="16660847"/>
        <n v="10266489"/>
        <n v="21601264"/>
        <n v="21520270"/>
        <n v="21542988"/>
        <n v="18332488"/>
        <n v="16264007"/>
        <n v="15349703"/>
        <n v="21711249"/>
        <n v="18517381"/>
        <n v="20191114"/>
        <n v="12698026"/>
        <n v="20574883"/>
        <n v="21086481"/>
        <n v="21752859"/>
        <n v="21044139"/>
        <n v="21690791"/>
        <n v="21712747"/>
        <n v="17416289"/>
        <n v="13604147"/>
        <n v="21047685"/>
        <n v="20724791"/>
        <n v="17591537"/>
        <n v="21204249"/>
        <n v="21127315"/>
        <n v="16699864"/>
        <n v="16659407"/>
        <n v="20819145"/>
        <n v="21550437"/>
        <n v="14435930"/>
        <n v="14331676"/>
        <n v="21723824"/>
        <n v="19289307"/>
        <n v="21457967"/>
        <n v="21911155"/>
        <n v="20439339"/>
        <n v="20344246"/>
        <n v="8896409"/>
        <n v="20554281"/>
        <n v="19236420"/>
        <n v="16218915"/>
        <n v="16475801"/>
        <n v="18666663"/>
        <n v="19217895"/>
        <n v="13541169"/>
        <n v="19884076"/>
        <n v="15979123"/>
        <n v="16353364"/>
        <n v="20467032"/>
        <n v="13033784"/>
        <n v="261909"/>
        <n v="21835781"/>
        <n v="13204161"/>
        <n v="12901812"/>
        <n v="14184114"/>
        <n v="18564082"/>
        <n v="21750997"/>
        <n v="20915480"/>
        <n v="18484528"/>
        <n v="21468103"/>
        <n v="10148470"/>
        <n v="18585787"/>
        <n v="20851405"/>
        <n v="21899428"/>
        <n v="14430626"/>
        <n v="20811962"/>
        <n v="21033745"/>
        <n v="13853005"/>
        <n v="21824000"/>
        <n v="13666291"/>
        <n v="12759733"/>
        <n v="21498940"/>
        <n v="10386376"/>
        <n v="17059021"/>
        <n v="16563768"/>
        <n v="10647216"/>
        <n v="15669949"/>
        <n v="13695630"/>
        <n v="16428649"/>
        <n v="20728834"/>
        <n v="19582604"/>
        <n v="21812737"/>
        <n v="21397136"/>
        <n v="13618845"/>
        <n v="15502602"/>
        <n v="20854649"/>
        <n v="11907467"/>
        <n v="17102010"/>
        <n v="19159168"/>
        <n v="19096375"/>
        <n v="13522244"/>
        <n v="20113433"/>
        <n v="21784493"/>
        <n v="21158452"/>
        <n v="19528034"/>
        <n v="20490514"/>
        <n v="19250927"/>
        <n v="20745940"/>
        <n v="13870778"/>
        <n v="17264959"/>
        <n v="9390395"/>
        <n v="10546188"/>
        <n v="16215372"/>
        <n v="16922747"/>
        <n v="16704864"/>
        <n v="17031632"/>
        <n v="17172496"/>
        <n v="14892748"/>
        <n v="21606481"/>
        <n v="19122833"/>
        <n v="21436547"/>
        <n v="16487751"/>
        <n v="15780210"/>
        <n v="18940798"/>
        <n v="15317991"/>
        <n v="16335606"/>
        <n v="13549195"/>
        <n v="17642790"/>
        <n v="20684362"/>
        <n v="13672528"/>
        <n v="13286810"/>
        <n v="21239827"/>
        <n v="10305260"/>
        <n v="21417853"/>
        <n v="21856610"/>
        <n v="21766355"/>
        <n v="16028452"/>
        <n v="21440447"/>
        <n v="16445408"/>
        <n v="15617154"/>
        <n v="15273516"/>
        <n v="15112035"/>
        <n v="9652651"/>
        <n v="16596717"/>
        <n v="11131782"/>
        <n v="13296219"/>
        <n v="21642637"/>
        <n v="12861376"/>
        <n v="2168003"/>
        <n v="8876998"/>
        <n v="20225317"/>
        <n v="21627229"/>
        <n v="11905388"/>
        <n v="21812457"/>
        <n v="21713157"/>
        <n v="21791940"/>
        <n v="16514279"/>
        <n v="17311157"/>
        <n v="17244224"/>
        <n v="21010687"/>
        <n v="21822477"/>
        <n v="21627401"/>
        <n v="19009972"/>
        <n v="20930001"/>
        <n v="15790707"/>
        <n v="18368454"/>
        <n v="21560063"/>
        <n v="5623590"/>
        <n v="21493000"/>
        <n v="20963109"/>
        <n v="14763363"/>
        <n v="21598719"/>
        <n v="21048643"/>
        <n v="17069259"/>
        <n v="18434262"/>
        <n v="9141765"/>
        <n v="16668360"/>
        <n v="21565588"/>
        <n v="18463656"/>
        <n v="17834306"/>
        <n v="10688248"/>
        <n v="20733932"/>
        <n v="18541531"/>
        <n v="19083861"/>
        <n v="20426104"/>
        <n v="21599874"/>
        <n v="16495506"/>
        <n v="14445769"/>
        <n v="17359506"/>
        <n v="17362545"/>
        <n v="11534791"/>
        <n v="15352283"/>
        <n v="16701695"/>
        <n v="20910791"/>
        <n v="21654484"/>
        <n v="15959991"/>
        <n v="17237643"/>
        <n v="16878265"/>
        <n v="14326680"/>
        <n v="20448288"/>
        <n v="12664520"/>
        <n v="19736879"/>
        <n v="11684176"/>
        <n v="15128546"/>
        <n v="16311489"/>
        <n v="21506224"/>
        <n v="21423421"/>
        <n v="17654247"/>
        <n v="20101991"/>
        <n v="16336893"/>
        <n v="11188726"/>
        <n v="12953906"/>
        <n v="17312882"/>
        <n v="21717367"/>
        <n v="21319278"/>
        <n v="13244496"/>
        <n v="21305369"/>
        <n v="10072476"/>
        <n v="14755022"/>
        <n v="20637081"/>
        <n v="15637523"/>
        <n v="15799858"/>
        <n v="9628400"/>
        <n v="10687340"/>
        <n v="21563350"/>
        <n v="20470247"/>
        <n v="21761946"/>
        <n v="13329701"/>
        <n v="21295324"/>
        <n v="16362832"/>
        <n v="18371255"/>
        <n v="11804178"/>
        <n v="17846840"/>
        <n v="21449386"/>
        <n v="21328227"/>
        <n v="12235804"/>
        <n v="18876525"/>
        <n v="21787128"/>
        <n v="15899683"/>
        <n v="20640706"/>
        <n v="10718195"/>
        <n v="15825273"/>
        <n v="14452585"/>
        <n v="21772084"/>
        <n v="21614457"/>
        <n v="21492710"/>
        <n v="21411528"/>
        <n v="20781761"/>
        <n v="21014756"/>
        <n v="17564930"/>
        <n v="13609737"/>
        <n v="11027478"/>
        <n v="19001231"/>
        <n v="13718626"/>
        <n v="13087672"/>
        <n v="9070512"/>
        <n v="11466558"/>
        <n v="17249228"/>
        <n v="18038730"/>
        <n v="21459375"/>
        <n v="21739459"/>
        <n v="20175440"/>
        <n v="13917604"/>
        <n v="21791275"/>
        <n v="16129551"/>
        <n v="17049996"/>
        <n v="21503601"/>
        <n v="13923327"/>
        <n v="18931382"/>
        <n v="13324113"/>
        <n v="13088470"/>
        <n v="20580055"/>
        <n v="14431456"/>
        <n v="18050178"/>
        <n v="10543480"/>
        <n v="7610413"/>
        <n v="21493206"/>
        <n v="16030939"/>
        <n v="20390538"/>
        <n v="21554472"/>
        <n v="19073307"/>
        <n v="18037056"/>
        <n v="21442067"/>
        <n v="11969545"/>
        <n v="19952614"/>
        <n v="14401305"/>
        <n v="15840783"/>
        <n v="13480998"/>
        <n v="21476329"/>
        <n v="22088912"/>
        <n v="18535574"/>
        <n v="18513865"/>
        <n v="15793261"/>
        <n v="10483216"/>
        <n v="21796003"/>
        <n v="21558194"/>
        <n v="22037055"/>
        <n v="21675957"/>
        <n v="21050173"/>
        <n v="21523888"/>
        <n v="21539967"/>
        <n v="14536413"/>
        <n v="21459752"/>
        <n v="18012082"/>
        <n v="14440564"/>
        <n v="16898363"/>
        <n v="21133771"/>
        <n v="16257010"/>
      </sharedItems>
    </cacheField>
    <cacheField name="MES_COMPRADO" numFmtId="0">
      <sharedItems containsSemiMixedTypes="0" containsString="0" containsNumber="1" containsInteger="1" minValue="202502" maxValue="202602" count="13">
        <n v="202512"/>
        <n v="202601"/>
        <n v="202508"/>
        <n v="202503"/>
        <n v="202502"/>
        <n v="202509"/>
        <n v="202510"/>
        <n v="202511"/>
        <n v="202507"/>
        <n v="202505"/>
        <n v="202602"/>
        <n v="202504"/>
        <n v="202506"/>
      </sharedItems>
    </cacheField>
    <cacheField name="NUM_RUC" numFmtId="0">
      <sharedItems containsMixedTypes="1" containsNumber="1" containsInteger="1" minValue="10001030626" maxValue="20612484644"/>
    </cacheField>
    <cacheField name="NOMBRE_COMPLETO" numFmtId="0">
      <sharedItems/>
    </cacheField>
    <cacheField name="NUM_DOC" numFmtId="0">
      <sharedItems containsMixedTypes="1" containsNumber="1" containsInteger="1" minValue="103062" maxValue="80660212"/>
    </cacheField>
    <cacheField name="CREDITO" numFmtId="0">
      <sharedItems containsSemiMixedTypes="0" containsString="0" containsNumber="1" containsInteger="1" minValue="10130263" maxValue="10275839"/>
    </cacheField>
    <cacheField name="CAMPANA_BASE" numFmtId="0">
      <sharedItems/>
    </cacheField>
    <cacheField name="EJECUTIVO_BASE" numFmtId="0">
      <sharedItems/>
    </cacheField>
    <cacheField name="SALDO_CANCELADO" numFmtId="0">
      <sharedItems containsMixedTypes="1" containsNumber="1" minValue="47.634300231933601" maxValue="964178.5"/>
    </cacheField>
    <cacheField name="FECHA_DESEMBOLSO" numFmtId="0">
      <sharedItems containsDate="1" containsMixedTypes="1" minDate="2022-04-12T00:00:00" maxDate="2026-05-07T00:00:00"/>
    </cacheField>
    <cacheField name="TASA_DESEMBOLSO" numFmtId="0">
      <sharedItems containsMixedTypes="1" containsNumber="1" minValue="11.8" maxValue="38.5"/>
    </cacheField>
    <cacheField name="CANAL" numFmtId="0">
      <sharedItems/>
    </cacheField>
    <cacheField name="CANAL_FINAL" numFmtId="0">
      <sharedItems/>
    </cacheField>
    <cacheField name="PRODUCTO" numFmtId="0">
      <sharedItems/>
    </cacheField>
    <cacheField name="PERIODO_DESEMBOLSO" numFmtId="0">
      <sharedItems containsMixedTypes="1" containsNumber="1" containsInteger="1" minValue="202204" maxValue="202605"/>
    </cacheField>
    <cacheField name="MONTO_DESEMBOLSADO" numFmtId="0">
      <sharedItems containsMixedTypes="1" containsNumber="1" minValue="12963.6" maxValue="1024051.2"/>
    </cacheField>
    <cacheField name="COD_EJECUTIVO_FUNNEL" numFmtId="0">
      <sharedItems/>
    </cacheField>
    <cacheField name="EJECUTIVO_FUNNEL" numFmtId="0">
      <sharedItems count="111">
        <s v="DIAZ HUERTAS ZENAIDA ESTHEFANI"/>
        <s v="RAMIREZ PEREZ CRISS WENDY"/>
        <s v="NULL"/>
        <s v="OSTOS VELASQUEZ NELLY RUBI"/>
        <s v="GARIBAY LUME RAQUEL NORMA"/>
        <s v="LOZANO COSME CARLOS ALBERTO"/>
        <s v="INJANTE VELASQUEZ LUIS ALFREDO"/>
        <s v="COTARATE TEJEDA ABEL FIDEL"/>
        <s v="SANTOS TITO SUXAN YOSHIO"/>
        <s v="QUISPE CASTRO CESAR JEANPIERRE"/>
        <s v="ANGULO CHAVEZ CRISTIAM MICHAEL"/>
        <s v="FLORES PARIONA, MARLON "/>
        <s v="VILLEGAS CHANAME WILSON HUMBERTO"/>
        <s v="FIGUEROA GASTELLO JORGE LUIS"/>
        <s v="ANAYA CASTILLO JANNET"/>
        <s v="QUISPE LEDESMA MIGUEL ANGEL"/>
        <s v="NUÑEZ AMADO ADA ZORAYA"/>
        <s v="CAMARGO LEON ANDREA PAOLA"/>
        <s v="DOMINGUEZ NAVARRETE KYARA"/>
        <s v="ARENAS AGUILAR RENZO REMBERTO_x0009_"/>
        <s v="RAMOS ORTIZ JHON ALBERT"/>
        <s v="BOLIVAR CHAPILLIQUEN CARLOS ANDRES"/>
        <s v="ZARATE GALVEZ MARCO ANTONIO"/>
        <s v="NAVEZ CASTILLO KATHERIN ROCIO"/>
        <s v="RIVERO MOGROVEJO RAYZA CYNTHIA"/>
        <s v="ISLA ROMANI CARLOS"/>
        <s v="DIAZ TORRES LILIANA ROSA"/>
        <s v="FALCONI URIBE VICTOR MANUEL"/>
        <s v="ADA ZORAYA NUÑEZ AMADO"/>
        <s v="GALVEZ VELA ALIONKA"/>
        <s v="YALICO MAYRA"/>
        <s v="AHUANARI OCHAVANO JOEL FERNANDO"/>
        <s v="DAVILA DIAZ PAOLO FRANCCESCO"/>
        <s v="CAMPO BRAVO GEANCARLO"/>
        <s v="CERRON GARCIA STEFANIA BLANCA"/>
        <s v="CAHUANA CHOQUE EDY"/>
        <s v="MACEDO MASIAS SUSANA KATHERINE"/>
        <s v="VICTOR MANUEL FALCONI URIBE"/>
        <s v="CASTILLO ORE ALEJANDRO IVAN"/>
        <s v="HUAMAN CORDOVA JOHNNY WILLIAMS"/>
        <s v="CUARESMA LEON JEAN CARLOS"/>
        <s v="VELIZ TEJADA MARIA DEL ROSARIO"/>
        <s v="RAFAEL LARREA NATALI"/>
        <s v="SIERRA ROMERO CESAR AUGUSTO"/>
        <s v="CASTILLO FERNANDEZ CECILIA"/>
        <s v="TORRES RIMAPA MARIA ALEJANDRA"/>
        <s v="SAAVEDRA VARGAS LESLY LORENA"/>
        <s v="HERRERA RAMOS RITA MELANIA"/>
        <s v="ZAPATA ESTRADA YAMILEX"/>
        <s v="VEGA PECHO MARIA JULIA"/>
        <s v="LOPEZ OROYA MICHAEL "/>
        <s v="ORTIZ BENANCIO SAIDA MARILYN"/>
        <s v="MATOS VASQUEZ JACKELIN ISABEL"/>
        <s v="NUÑEZ PONCE MARCO ANTONIO"/>
        <s v="ALFARO CRUZ SUSANA BELEN"/>
        <s v="ORELLANA YAÑEZ GIANPIERRE RICHARSON"/>
        <s v="VARGAS TAMARA GINA MARIELA"/>
        <s v="PICON LA TORRE BRAULIO MIGUEL"/>
        <s v="DOMINGUEZ NAVARRETE KYARA YOLANDA"/>
        <s v="BERNUY CHECA CARLOS ALBERTO"/>
        <s v="GUERRERO LINARES ARIANA LISBETH  "/>
        <s v="ROJAS BENITES SERGIO JUNIO "/>
        <s v="ZELADA SIERRALTA JOSEPH JOHANNES"/>
        <s v="RISCO MENDIOLA CRISTIAN ENRIQUE"/>
        <s v="GUZMAN TIPACTI JULIO ANDRES "/>
        <s v="ZUÑIGA CORNEJO ANDRE ESTEBAN"/>
        <s v="ABARCA CHAVARRI GISELLA PATRICIA"/>
        <s v="BALCAZAR ZAVALA CRISTHIAN FRANCISCO"/>
        <s v="JORGE LUIS FIGUEROA GASTELLO"/>
        <s v="CUEVAS BOLIVAR MIGUEL ANGEL"/>
        <s v="OVIEDO MACHARE WILSON LEYBER"/>
        <s v="ARAUJO SEBASTIAN RAQUEL MAGALY"/>
        <s v="CARLOS ANDRES BOLIVAR CHAPILLIQUEN"/>
        <s v="CARMONA FARFAN FRANCISCO ROLANDO"/>
        <s v="CASTILLO PALOMINO JORGE JHUNIOR"/>
        <s v="LUNA APAZA MILUSKA CLARA"/>
        <s v="KARINA ISABEL MAGALLANES OBLITAS"/>
        <s v="KIARA CECILIA PIMENTEL VASQUEZ"/>
        <s v="DURAN RAMOS RODRIGO RENZO"/>
        <s v="ZUÑIGA VALVERDE ANDREA DEL CARMEN"/>
        <s v="BRAVO CAMPO GEANCARLO"/>
        <s v="HERNANDEZ SANCHEZ NERIO JUNIOR"/>
        <s v="ARIANA LISBETH GUERRERO LINARES"/>
        <s v="MAYRA YALICO OROZCO"/>
        <s v="GINA MARIELA VARGAS TAMARA"/>
        <s v="MILAGROS VANESA RUIZ ALVAREZ"/>
        <s v="LUJAN CHAVEZ ERICK PAUL "/>
        <s v="RIOS ORMACHEA RENDA DANIELA "/>
        <s v="CARRERA AGUILA ELIZABETH"/>
        <s v="CERRON GARCIA STEFANIA"/>
        <s v="MARILU SINDY VASQUEZ OLIVERA"/>
        <s v="TRUJILLO SANCHEZ ERICK MAXIMO"/>
        <s v="HELEN GIANINA DE LA CRUZ ROSADO"/>
        <s v="LISET KRISTAL HUAMANCIZA BARSALLO"/>
        <s v="YHOSSELIN MILAGROS QUINTANA CONDORI"/>
        <s v="YANIRA RAFAELA ESTEBES JIMENEZ"/>
        <s v="ASATO ROSAS JULIO PIERE"/>
        <s v="EDGAR CABANILLAS GAMARRA"/>
        <s v="ROCIO DEL CARMEN PALOMINO ESPINOZA DE CUYA"/>
        <s v="ROSA VERONICA GAMONAL CASTILLO"/>
        <s v="CAMPAÑA CARRILLO JUAN CARLOS"/>
        <s v="NUÑEZ NINANYA LUCIA ALEJANDRA "/>
        <s v="GLORIA MARIA VILLAGOMEZ VARGAS"/>
        <s v="CESAR ROOSEVELT CARMONA ARCE"/>
        <s v="SANDRA LAURA GONZALES YATACO"/>
        <s v="TOCTO MOROCHO TANIA MARGARET"/>
        <s v="EDWAR ISIDRO CASTAÑEDA FLOREZ"/>
        <s v="LUIS FELIPE HUAMAN SUAREZ"/>
        <s v="PEÑA MORALES KARINA"/>
        <s v="ANDREA GREGORIA MALLMA PARIAN"/>
        <s v="SUELDO ESPINOZA JORGE ALBERTO"/>
      </sharedItems>
    </cacheField>
    <cacheField name="COD_SUPERVISOR" numFmtId="0">
      <sharedItems/>
    </cacheField>
    <cacheField name="SUPERVISOR" numFmtId="0">
      <sharedItems count="14">
        <s v="CASIMIRO FERNANDEZ EDITH DORIS"/>
        <s v="GUANILO DIAS, MARIO LENIN"/>
        <s v="NULL"/>
        <s v="UGAZ VASQUEZ MARIA SUSANA"/>
        <s v="PALPA RAMOS LUIS CARLOS"/>
        <s v="CACEDA VERTIZ, CESAR AUGUSTO"/>
        <s v="PECHO LLACTA, FLOR DE MARIA"/>
        <s v="LOAYZA RIVAS, LILYANN ESTHER"/>
        <s v="MONTENEGRO CHAVEZ, FANNY MARIELA"/>
        <s v="ROCA RAMOS, EDWIN DANTE"/>
        <s v="GUANILO DIAZ MARIO LENIN"/>
        <s v="SARA JANNETTE TORRES HERRERA"/>
        <s v="ALAN JOEL DAVILA MARTINEZ"/>
        <s v="MILHO ANA CECILIA ZAMBRANO ALVEZ"/>
      </sharedItems>
    </cacheField>
    <cacheField name="CAMPANHA_FUNNEL" numFmtId="0">
      <sharedItems count="21">
        <s v="Oportunidad Garantías"/>
        <s v="Gestion Cartera"/>
        <s v="NULL"/>
        <s v="Nuevo Pre-aprobado"/>
        <s v="Recurrente Ágil CEM"/>
        <s v="Recurrente Agil Estacional"/>
        <s v="Giro de Línea"/>
        <s v="Recurrente Aprobado CD"/>
        <s v="Recurrente Pre Aprobado CD"/>
        <s v="Garantias"/>
        <s v="Garantizado Evaluacion Corto"/>
        <s v="Recurrente Agil Crecer"/>
        <s v="SIN CAMPAÑA"/>
        <s v="Credito con Garantia Hipotecaria"/>
        <s v="Recurrente Ágil CEM - Renovacion de Linea"/>
        <s v="Nuevo Aprobado Agil CD"/>
        <s v="Nuevo Aprobado Agil"/>
        <s v="Nuevo Aprobado EN"/>
        <s v="Nuevo Aprobado Crecer"/>
        <s v="Compra de Deuda con Garantia Hipotecaria"/>
        <s v="Recurrente Aprobado"/>
      </sharedItems>
    </cacheField>
    <cacheField name="ID_CANAL_FUNNEL" numFmtId="0">
      <sharedItems containsMixedTypes="1" containsNumber="1" containsInteger="1" minValue="1" maxValue="3" count="4">
        <n v="1"/>
        <s v="NULL"/>
        <n v="2"/>
        <n v="3"/>
      </sharedItems>
    </cacheField>
    <cacheField name="PRIORIDAD_GRUPO_FINAL" numFmtId="0">
      <sharedItems/>
    </cacheField>
    <cacheField name="PRIORIZACION_CARTERA" numFmtId="0">
      <sharedItems/>
    </cacheField>
    <cacheField name="NRO_LEADS" numFmtId="0">
      <sharedItems containsMixedTypes="1" containsNumber="1" containsInteger="1" minValue="1" maxValue="1"/>
    </cacheField>
    <cacheField name="FLG_GESTIONADO" numFmtId="0">
      <sharedItems containsMixedTypes="1" containsNumber="1" containsInteger="1" minValue="0" maxValue="1" count="3">
        <n v="1"/>
        <n v="0"/>
        <s v="NULL"/>
      </sharedItems>
    </cacheField>
    <cacheField name="FLG_DESEMBOLSADO" numFmtId="0">
      <sharedItems containsMixedTypes="1" containsNumber="1" containsInteger="1" minValue="0" maxValue="1"/>
    </cacheField>
    <cacheField name="FLG_ACEPTA1" numFmtId="0">
      <sharedItems containsMixedTypes="1" containsNumber="1" containsInteger="1" minValue="0" maxValue="1"/>
    </cacheField>
    <cacheField name="FLG_CE" numFmtId="0">
      <sharedItems containsMixedTypes="1" containsNumber="1" containsInteger="1" minValue="0" maxValue="1"/>
    </cacheField>
    <cacheField name="FLG_ES_CARTERA" numFmtId="0">
      <sharedItems containsMixedTypes="1" containsNumber="1" containsInteger="1" minValue="0" maxValue="1" count="3">
        <n v="1"/>
        <s v="NULL"/>
        <n v="0"/>
      </sharedItems>
    </cacheField>
    <cacheField name="COLOCACION_FUNNEL" numFmtId="0">
      <sharedItems containsMixedTypes="1" containsNumber="1" minValue="0" maxValue="924846.2"/>
    </cacheField>
    <cacheField name="TASA_DESEMB_FUNNEL" numFmtId="0">
      <sharedItems containsMixedTypes="1" containsNumber="1" minValue="11.8" maxValue="26.37"/>
    </cacheField>
    <cacheField name="FEC_DESEMB_FUNNEL" numFmtId="0">
      <sharedItems containsDate="1" containsMixedTypes="1" minDate="2025-02-13T00:00:00" maxDate="2026-02-18T00:00:00"/>
    </cacheField>
    <cacheField name="CAMPANHA_DESEMB" numFmtId="0">
      <sharedItems/>
    </cacheField>
    <cacheField name="CANAL_FINAL_DESEMB" numFmtId="0">
      <sharedItems/>
    </cacheField>
    <cacheField name="PRODUCTO_DESEMB" numFmtId="0">
      <sharedItems/>
    </cacheField>
    <cacheField name="MONTO_OFERTADO_CMP" numFmtId="0">
      <sharedItems containsMixedTypes="1" containsNumber="1" containsInteger="1" minValue="0" maxValue="998997273"/>
    </cacheField>
    <cacheField name="TASA_OFERTADA_CMP" numFmtId="0">
      <sharedItems containsMixedTypes="1" containsNumber="1" minValue="0" maxValue="1"/>
    </cacheField>
    <cacheField name="TASA_PISO_OFERTADO_CMP" numFmtId="0">
      <sharedItems containsMixedTypes="1" containsNumber="1" minValue="0" maxValue="0.30880000000000002"/>
    </cacheField>
    <cacheField name="BARR_VARIABLE_1" numFmtId="0">
      <sharedItems/>
    </cacheField>
    <cacheField name="BARR_COD_HORARIO" numFmtId="0">
      <sharedItems/>
    </cacheField>
    <cacheField name="ticket_saldo" numFmtId="0" formula=" SUM(SALDO_CANCELADO )/COUNT(CLIENTE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6">
  <r>
    <x v="0"/>
    <x v="0"/>
    <n v="20514372765"/>
    <s v="SERVICIOS INTEGRALES RG"/>
    <s v="."/>
    <n v="10143726"/>
    <s v="GIRO DE LINEA"/>
    <s v="B46504"/>
    <n v="17624.642578125"/>
    <d v="2025-04-29T00:00:00"/>
    <n v="18.7"/>
    <s v="TIENDAS"/>
    <s v="TIENDAS"/>
    <s v="Giro de Línea"/>
    <n v="202504"/>
    <n v="40002"/>
    <s v="B46504"/>
    <x v="0"/>
    <s v="B27274"/>
    <x v="0"/>
    <x v="0"/>
    <x v="0"/>
    <s v="P1"/>
    <s v="C1_1"/>
    <n v="1"/>
    <x v="0"/>
    <n v="0"/>
    <n v="1"/>
    <n v="1"/>
    <x v="0"/>
    <n v="0"/>
    <s v="NULL"/>
    <s v="NULL"/>
    <s v="NULL"/>
    <s v="NULL"/>
    <s v="NULL"/>
    <n v="0"/>
    <n v="0"/>
    <n v="0.19"/>
    <s v="NULL"/>
    <s v="NULL"/>
  </r>
  <r>
    <x v="1"/>
    <x v="1"/>
    <n v="20601523338"/>
    <s v="S&amp; S TECHNICAL SOLUTIONS GLOBAL S.A.C."/>
    <s v="."/>
    <n v="10273941"/>
    <s v="Nuevo Aprobado Ágil"/>
    <s v="B46503"/>
    <n v="46195.62109375"/>
    <d v="2025-12-16T00:00:00"/>
    <n v="17.5"/>
    <s v="TIENDAS"/>
    <s v="TIENDAS"/>
    <s v="Nuevo Aprobado Agil"/>
    <n v="202512"/>
    <n v="50002.5"/>
    <s v="B46503"/>
    <x v="1"/>
    <s v="B13988"/>
    <x v="1"/>
    <x v="1"/>
    <x v="0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2"/>
    <x v="2"/>
    <n v="20604523282"/>
    <s v="CORP SANCHEZ Y CIA"/>
    <s v="."/>
    <n v="10266915"/>
    <s v="Nuevo Aprobado"/>
    <s v="B14327"/>
    <n v="68518.484375"/>
    <d v="2025-04-08T00:00:00"/>
    <n v="18"/>
    <s v="TIENDAS"/>
    <s v="TIENDAS"/>
    <s v="Nuevo Pre-aprobado"/>
    <n v="202504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"/>
    <x v="3"/>
    <n v="20611407786"/>
    <s v="INVERSIONES Y SERVICIOS TAO"/>
    <s v="."/>
    <n v="10266137"/>
    <s v="Nuevo pre Aprobado"/>
    <s v="B26053"/>
    <n v="90004.5"/>
    <d v="2025-03-13T00:00:00"/>
    <n v="19"/>
    <s v="TIENDAS"/>
    <s v="TIENDAS"/>
    <s v="Nuevo Pre-aprobado"/>
    <n v="202503"/>
    <n v="90004.5"/>
    <s v="B26053"/>
    <x v="3"/>
    <s v="B14821"/>
    <x v="3"/>
    <x v="3"/>
    <x v="0"/>
    <s v="P1"/>
    <s v="NULL"/>
    <n v="1"/>
    <x v="0"/>
    <n v="1"/>
    <n v="1"/>
    <n v="1"/>
    <x v="2"/>
    <n v="90004.5"/>
    <n v="19"/>
    <d v="2025-03-13T00:00:00"/>
    <s v="Nuevo Pre-aprobado"/>
    <s v="TIENDAS"/>
    <s v="CAPITAL DE TRABAJO"/>
    <n v="0"/>
    <n v="0.20499999999999999"/>
    <n v="0.185"/>
    <s v="NULL"/>
    <s v="NULL"/>
  </r>
  <r>
    <x v="4"/>
    <x v="3"/>
    <n v="20608454706"/>
    <s v="RN SERVICIOS GENERALES"/>
    <s v="."/>
    <n v="10240420"/>
    <s v="Pasivero"/>
    <s v="B37981"/>
    <n v="13153.66796875"/>
    <d v="2023-06-22T00:00:00"/>
    <n v="20"/>
    <s v="TLV"/>
    <s v="TLV"/>
    <s v="NULL"/>
    <n v="202306"/>
    <n v="90004.5"/>
    <s v="B37981"/>
    <x v="4"/>
    <s v="B34489"/>
    <x v="4"/>
    <x v="4"/>
    <x v="0"/>
    <s v="P1"/>
    <s v="NULL"/>
    <n v="1"/>
    <x v="1"/>
    <n v="0"/>
    <n v="0"/>
    <n v="0"/>
    <x v="2"/>
    <n v="0"/>
    <s v="NULL"/>
    <s v="NULL"/>
    <s v="NULL"/>
    <s v="NULL"/>
    <s v="NULL"/>
    <n v="150000"/>
    <n v="0.22"/>
    <n v="0.20200000000000001"/>
    <s v="NULL"/>
    <s v="NULL"/>
  </r>
  <r>
    <x v="5"/>
    <x v="4"/>
    <n v="20554461051"/>
    <s v="FACYL GESTION DE SERVICIOS INTEGRALES"/>
    <s v="."/>
    <n v="10224216"/>
    <s v="Nuevo pre Aprobado"/>
    <s v="B18980"/>
    <n v="18801.052734375"/>
    <d v="2022-04-12T00:00:00"/>
    <n v="21"/>
    <s v="TIENDAS"/>
    <s v="TIENDAS"/>
    <s v="Nuevo Pre-aprobado"/>
    <n v="202204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"/>
    <x v="5"/>
    <n v="20608324730"/>
    <s v="DULCE MA E.I.R.L."/>
    <s v="."/>
    <n v="10260965"/>
    <s v="Impulso Solo"/>
    <s v="B45750"/>
    <n v="63159.58984375"/>
    <d v="2024-09-26T00:00:00"/>
    <n v="14.7"/>
    <s v="TIENDAS"/>
    <s v="TIENDAS"/>
    <s v="Impulso MyPeru Comercial"/>
    <n v="202409"/>
    <n v="90004.5"/>
    <s v="B45750"/>
    <x v="5"/>
    <s v="B14530"/>
    <x v="5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"/>
    <x v="2"/>
    <n v="20555386461"/>
    <s v="WILAR SERVICE"/>
    <s v="."/>
    <n v="10261020"/>
    <s v="Impulso CDI Cobertura"/>
    <s v="B27880"/>
    <n v="76999.3359375"/>
    <d v="2024-09-26T00:00:00"/>
    <n v="17.700001"/>
    <s v="TIENDAS"/>
    <s v="TIENDAS"/>
    <s v="Impulso MyPeru Comercial"/>
    <n v="202409"/>
    <n v="90004.5"/>
    <s v="B27880"/>
    <x v="6"/>
    <s v="B14821"/>
    <x v="3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7829999999999999"/>
    <n v="0"/>
    <s v="NULL"/>
    <s v="NULL"/>
  </r>
  <r>
    <x v="8"/>
    <x v="5"/>
    <n v="10403862725"/>
    <s v="CJULA YUCRA VICTOR HUGO"/>
    <n v="40386272"/>
    <n v="10252276"/>
    <s v="Impulso CDI Cobertura"/>
    <s v="B34669"/>
    <n v="42194.75"/>
    <d v="2024-04-30T00:00:00"/>
    <n v="16"/>
    <s v="TLV"/>
    <s v="TLV"/>
    <s v="Impulso MyPeru Comercial"/>
    <n v="202404"/>
    <n v="68053.399999999994"/>
    <s v="B34669"/>
    <x v="7"/>
    <s v="B34489"/>
    <x v="4"/>
    <x v="1"/>
    <x v="0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9"/>
    <x v="1"/>
    <n v="20601953405"/>
    <s v="INVERSIONES MULTIPLES VIVANCO E.I.R.L."/>
    <s v="."/>
    <n v="10259708"/>
    <s v="Impulso Solo"/>
    <s v="B30114"/>
    <n v="3649.87646484375"/>
    <d v="2024-08-27T00:00:00"/>
    <n v="16.399999999999999"/>
    <s v="TLV"/>
    <s v="TLV"/>
    <s v="Impulso MyPeru Comercial"/>
    <n v="202408"/>
    <n v="90004.5"/>
    <s v="B30114"/>
    <x v="8"/>
    <s v="B34489"/>
    <x v="4"/>
    <x v="5"/>
    <x v="0"/>
    <s v="P5"/>
    <s v="C1_2"/>
    <n v="1"/>
    <x v="0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10"/>
    <x v="2"/>
    <n v="10412246794"/>
    <s v="MAMANI INQUILLA RONALD NEMECIO"/>
    <n v="41224679"/>
    <n v="10252213"/>
    <s v="Impulso Mixto"/>
    <s v="B18129"/>
    <n v="33440.921875"/>
    <d v="2024-04-30T00:00:00"/>
    <n v="14.7"/>
    <s v="TLV"/>
    <s v="TLV"/>
    <s v="Impulso MyPeru Comercial"/>
    <n v="202404"/>
    <n v="509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"/>
    <x v="1"/>
    <n v="20506026131"/>
    <s v="MAURICCI &amp; BOZA"/>
    <s v="."/>
    <n v="10270278"/>
    <s v="CDD PRE APROBADO"/>
    <s v="B45749"/>
    <n v="104410.0390625"/>
    <d v="2025-08-11T00:00:00"/>
    <n v="17"/>
    <s v="TIENDAS"/>
    <s v="TIENDAS"/>
    <s v="Recurrente Aprobado CD"/>
    <n v="202508"/>
    <n v="172008.6"/>
    <s v="B45749"/>
    <x v="9"/>
    <s v="B27274"/>
    <x v="0"/>
    <x v="4"/>
    <x v="0"/>
    <s v="P5"/>
    <s v="C2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12"/>
    <x v="6"/>
    <n v="20602698646"/>
    <s v="INVERSIONES PUMACAHUA"/>
    <s v="."/>
    <n v="10267916"/>
    <s v="Regular Sin Campaña"/>
    <s v="B33503"/>
    <n v="114756.34375"/>
    <d v="2025-05-19T00:00:00"/>
    <n v="19"/>
    <s v="TIENDAS"/>
    <s v="VENDORS"/>
    <s v="Gestion Cartera"/>
    <n v="202505"/>
    <n v="140007"/>
    <s v="B33503"/>
    <x v="10"/>
    <s v="B14821"/>
    <x v="3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3"/>
    <x v="7"/>
    <n v="20552766688"/>
    <s v="GRUPO AGORA SOCIEDAD ANONIMA CERRADA"/>
    <s v="."/>
    <n v="10268820"/>
    <s v="Recurrente Aprobado Agil"/>
    <s v="B30973"/>
    <n v="272308.75"/>
    <d v="2025-06-18T00:00:00"/>
    <n v="17"/>
    <s v="TIENDAS"/>
    <s v="TIENDAS"/>
    <s v="Recurrente Ágil CEM"/>
    <n v="202506"/>
    <n v="365018.25"/>
    <s v="B30973"/>
    <x v="11"/>
    <s v="B14821"/>
    <x v="3"/>
    <x v="0"/>
    <x v="0"/>
    <s v="P1"/>
    <s v="C1_1"/>
    <n v="1"/>
    <x v="0"/>
    <n v="0"/>
    <n v="0"/>
    <n v="1"/>
    <x v="0"/>
    <n v="0"/>
    <s v="NULL"/>
    <s v="NULL"/>
    <s v="NULL"/>
    <s v="NULL"/>
    <s v="NULL"/>
    <n v="0"/>
    <n v="0"/>
    <n v="0.19"/>
    <s v="NULL"/>
    <s v="NULL"/>
  </r>
  <r>
    <x v="14"/>
    <x v="8"/>
    <n v="20479582450"/>
    <s v="SIEL ELECTRIC"/>
    <s v="."/>
    <n v="10160485"/>
    <s v="GIRO DE LINEA"/>
    <s v="B30637"/>
    <n v="190009.5"/>
    <d v="2025-07-24T00:00:00"/>
    <n v="16"/>
    <s v="TIENDAS"/>
    <s v="TIENDAS"/>
    <s v="Giro de Línea"/>
    <n v="202507"/>
    <n v="190009.5"/>
    <s v="B30637"/>
    <x v="12"/>
    <s v="B14530"/>
    <x v="5"/>
    <x v="6"/>
    <x v="0"/>
    <s v="P1"/>
    <s v="NULL"/>
    <n v="1"/>
    <x v="0"/>
    <n v="1"/>
    <n v="1"/>
    <n v="1"/>
    <x v="0"/>
    <n v="190009.5"/>
    <n v="16"/>
    <d v="2025-07-24T00:00:00"/>
    <s v="Giro de Línea"/>
    <s v="TIENDAS"/>
    <s v="CAPITAL DE TRABAJO"/>
    <n v="190000"/>
    <n v="0.21"/>
    <n v="0.19"/>
    <s v="NULL"/>
    <s v="NULL"/>
  </r>
  <r>
    <x v="14"/>
    <x v="9"/>
    <n v="20479582450"/>
    <s v="SIEL ELECTRIC"/>
    <s v="."/>
    <n v="10160485"/>
    <s v="GIRO DE LINEA"/>
    <s v="B30637"/>
    <n v="177878.828125"/>
    <d v="2025-07-24T00:00:00"/>
    <n v="16"/>
    <s v="TIENDAS"/>
    <s v="TIENDAS"/>
    <s v="Giro de Línea"/>
    <n v="202507"/>
    <n v="190009.5"/>
    <s v="B30637"/>
    <x v="12"/>
    <s v="B14530"/>
    <x v="5"/>
    <x v="7"/>
    <x v="0"/>
    <s v="P1"/>
    <s v="NULL"/>
    <n v="1"/>
    <x v="1"/>
    <n v="0"/>
    <n v="0"/>
    <n v="0"/>
    <x v="2"/>
    <n v="0"/>
    <s v="NULL"/>
    <s v="NULL"/>
    <s v="NULL"/>
    <s v="NULL"/>
    <s v="NULL"/>
    <n v="90000"/>
    <n v="0.24"/>
    <n v="0.21779999999999999"/>
    <s v="NULL"/>
    <s v="NULL"/>
  </r>
  <r>
    <x v="15"/>
    <x v="5"/>
    <n v="10167986868"/>
    <s v="IMAÑA VASQUEZ NICKY ALEXANDER"/>
    <n v="16798686"/>
    <n v="10269508"/>
    <s v="Recurrente Aprobado Agil"/>
    <s v="B45373"/>
    <n v="53386.9921875"/>
    <d v="2025-07-11T00:00:00"/>
    <n v="24.280000999999999"/>
    <s v="TIENDAS VIRTUALES"/>
    <s v="TIENDAS VIRTUALES"/>
    <s v="Recurrente Ágil CEM"/>
    <n v="202507"/>
    <n v="59402.95"/>
    <s v="B45373"/>
    <x v="13"/>
    <s v="B45384"/>
    <x v="6"/>
    <x v="4"/>
    <x v="2"/>
    <s v="P2"/>
    <s v="C3"/>
    <n v="1"/>
    <x v="1"/>
    <n v="0"/>
    <n v="0"/>
    <n v="0"/>
    <x v="0"/>
    <n v="0"/>
    <s v="NULL"/>
    <s v="NULL"/>
    <s v="NULL"/>
    <s v="NULL"/>
    <s v="NULL"/>
    <n v="35500"/>
    <n v="0.25"/>
    <n v="0.22520000000000001"/>
    <s v="NULL"/>
    <s v="NULL"/>
  </r>
  <r>
    <x v="16"/>
    <x v="10"/>
    <n v="20602004105"/>
    <s v="MIDSU TECHNOLOGY GROUP"/>
    <s v="."/>
    <n v="10274465"/>
    <s v="Ágil Recurrente CEM"/>
    <s v="B30745"/>
    <n v="464396.6875"/>
    <d v="2026-01-12T00:00:00"/>
    <n v="17"/>
    <s v="TIENDAS"/>
    <s v="TIENDAS"/>
    <s v="Recurrente Ágil CEM"/>
    <n v="202601"/>
    <n v="337400.37"/>
    <s v="B30745"/>
    <x v="14"/>
    <s v="B27274"/>
    <x v="0"/>
    <x v="8"/>
    <x v="0"/>
    <s v="P1"/>
    <s v="C1_1"/>
    <n v="1"/>
    <x v="1"/>
    <n v="0"/>
    <n v="0"/>
    <n v="0"/>
    <x v="0"/>
    <n v="0"/>
    <s v="NULL"/>
    <s v="NULL"/>
    <s v="NULL"/>
    <s v="NULL"/>
    <s v="NULL"/>
    <n v="500000"/>
    <n v="0.21"/>
    <n v="0.19"/>
    <s v="NULL"/>
    <s v="NULL"/>
  </r>
  <r>
    <x v="17"/>
    <x v="8"/>
    <n v="10107253381"/>
    <s v="CONDOR GALARZA JANET TERESA"/>
    <n v="10725338"/>
    <n v="10266764"/>
    <s v="Nuevo Aprobado"/>
    <s v="B28981"/>
    <n v="15762.7744140625"/>
    <d v="2025-03-31T00:00:00"/>
    <n v="24.5"/>
    <s v="TLV"/>
    <s v="VENDORS"/>
    <s v="Nuevo Aprobado EN"/>
    <n v="202503"/>
    <n v="18300.90000000000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8"/>
    <x v="2"/>
    <n v="20544532724"/>
    <s v="ARES ENTERPRISE"/>
    <s v="."/>
    <n v="10267148"/>
    <s v="CDD APROBADO"/>
    <s v="B45371"/>
    <n v="131290.53125"/>
    <d v="2025-04-16T00:00:00"/>
    <n v="14"/>
    <s v="TLV"/>
    <s v="TLV"/>
    <s v="Nuevo Aprobado Agil CD"/>
    <n v="202504"/>
    <n v="153007.65"/>
    <s v="B45371"/>
    <x v="15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14230000000000001"/>
    <n v="0"/>
    <s v="NULL"/>
    <s v="NULL"/>
  </r>
  <r>
    <x v="19"/>
    <x v="10"/>
    <n v="20531280092"/>
    <s v="REDICAL"/>
    <s v="."/>
    <n v="10265654"/>
    <s v="Nuevo Aprobado Ágil"/>
    <s v="B45389"/>
    <n v="49178.96484375"/>
    <d v="2025-02-25T00:00:00"/>
    <n v="18.2"/>
    <s v="TLV"/>
    <s v="TLV"/>
    <s v="Nuevo Aprobado Agil"/>
    <n v="202502"/>
    <n v="90604.5"/>
    <s v="B45389"/>
    <x v="16"/>
    <s v="B45384"/>
    <x v="6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0"/>
    <x v="3"/>
    <n v="10060386426"/>
    <s v="AMAO GUERREROS TERESA MERCEDES"/>
    <n v="6038642"/>
    <n v="10266381"/>
    <s v="Ágil Recurrente CEM"/>
    <s v="B28981"/>
    <n v="110005.484375"/>
    <d v="2025-03-20T00:00:00"/>
    <n v="19"/>
    <s v="TIENDAS"/>
    <s v="TIENDAS"/>
    <s v="Recurrente Ágil CEM"/>
    <n v="202503"/>
    <n v="110005.5"/>
    <s v="B30745"/>
    <x v="14"/>
    <s v="B27274"/>
    <x v="0"/>
    <x v="4"/>
    <x v="0"/>
    <s v="P2"/>
    <s v="NULL"/>
    <n v="1"/>
    <x v="0"/>
    <n v="1"/>
    <n v="1"/>
    <n v="1"/>
    <x v="2"/>
    <n v="110005.5"/>
    <n v="19"/>
    <d v="2025-03-20T00:00:00"/>
    <s v="Recurrente Ágil CEM"/>
    <s v="TIENDAS"/>
    <s v="CAPITAL DE TRABAJO"/>
    <n v="130000"/>
    <n v="0.24"/>
    <n v="0.217"/>
    <s v="NULL"/>
    <s v="NULL"/>
  </r>
  <r>
    <x v="21"/>
    <x v="0"/>
    <n v="20517818993"/>
    <s v="SERVICIOS TECNICOS GALVANICOS"/>
    <s v="."/>
    <n v="10262610"/>
    <s v="Impulso Solo"/>
    <s v="B45079"/>
    <n v="66844.96875"/>
    <d v="2024-11-14T00:00:00"/>
    <n v="17.899999999999999"/>
    <s v="TLV"/>
    <s v="TLV"/>
    <s v="Impulso MyPeru Comercial"/>
    <n v="202411"/>
    <n v="90004.5"/>
    <s v="B45079"/>
    <x v="17"/>
    <s v="B45083"/>
    <x v="7"/>
    <x v="4"/>
    <x v="2"/>
    <s v="P1"/>
    <s v="C1_1"/>
    <n v="1"/>
    <x v="0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22"/>
    <x v="5"/>
    <n v="20606054166"/>
    <s v="J&amp;L SERVICIOS TERCERIZACION"/>
    <s v="."/>
    <n v="10270504"/>
    <s v="CDD APROBADO"/>
    <s v="B45076"/>
    <n v="169609.140625"/>
    <d v="2025-08-19T00:00:00"/>
    <n v="14.8"/>
    <s v="TIENDAS VIRTUALES"/>
    <s v="TIENDAS VIRTUALES"/>
    <s v="Nuevo Aprobado Agil CD"/>
    <n v="202508"/>
    <n v="224011.2"/>
    <s v="B45076"/>
    <x v="18"/>
    <s v="B45083"/>
    <x v="7"/>
    <x v="1"/>
    <x v="2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3"/>
    <x v="2"/>
    <n v="10293090802"/>
    <s v="ROMERO SOTO ALEJANDRO PIO"/>
    <n v="29309080"/>
    <n v="10167760"/>
    <s v="GIRO DE LINEA"/>
    <s v="B44900"/>
    <n v="42388.92578125"/>
    <d v="2024-07-11T00:00:00"/>
    <n v="19.899999999999999"/>
    <s v="TIENDAS"/>
    <s v="TIENDAS"/>
    <s v="Giro de Línea"/>
    <n v="202407"/>
    <n v="100005"/>
    <s v="B44900"/>
    <x v="19"/>
    <s v="B34489"/>
    <x v="4"/>
    <x v="4"/>
    <x v="0"/>
    <s v="P2"/>
    <s v="NULL"/>
    <n v="1"/>
    <x v="0"/>
    <n v="0"/>
    <n v="0"/>
    <n v="1"/>
    <x v="0"/>
    <n v="0"/>
    <s v="NULL"/>
    <s v="NULL"/>
    <s v="NULL"/>
    <s v="NULL"/>
    <s v="NULL"/>
    <n v="300000"/>
    <n v="0.21"/>
    <n v="0.19"/>
    <s v="NULL"/>
    <s v="NULL"/>
  </r>
  <r>
    <x v="24"/>
    <x v="5"/>
    <n v="20610931821"/>
    <s v="J &amp; S HEALTHCARE SOLUTIONS E.I.R.L."/>
    <s v="."/>
    <n v="10271339"/>
    <s v="Nuevo pre Aprobado"/>
    <s v="B28007"/>
    <n v="160174.609375"/>
    <d v="2025-09-15T00:00:00"/>
    <n v="18"/>
    <s v="TIENDAS"/>
    <s v="VENDORS"/>
    <s v="Nuevo Pre-aprobado"/>
    <n v="202509"/>
    <n v="180009"/>
    <s v="B28007"/>
    <x v="20"/>
    <s v="B13988"/>
    <x v="8"/>
    <x v="3"/>
    <x v="0"/>
    <s v="P1"/>
    <s v="C3"/>
    <n v="1"/>
    <x v="0"/>
    <n v="1"/>
    <n v="1"/>
    <n v="1"/>
    <x v="2"/>
    <n v="180009"/>
    <n v="18"/>
    <d v="2025-09-15T00:00:00"/>
    <s v="Nuevo Pre-aprobado"/>
    <s v="VENDORS"/>
    <s v="CAPITAL DE TRABAJO"/>
    <n v="180000"/>
    <n v="0.26900000000000002"/>
    <n v="0.249"/>
    <s v="NULL"/>
    <s v="NULL"/>
  </r>
  <r>
    <x v="25"/>
    <x v="6"/>
    <n v="10157344477"/>
    <s v="BARBARAN COQUIS JESSICA"/>
    <n v="15734447"/>
    <n v="10269154"/>
    <s v="CDD APROBADO"/>
    <s v="B45374"/>
    <n v="103193.0546875"/>
    <d v="2025-06-27T00:00:00"/>
    <n v="17"/>
    <s v="TLV"/>
    <s v="TLV"/>
    <s v="Nuevo Aprobado Agil CD"/>
    <n v="202506"/>
    <n v="112805.6"/>
    <s v="B45374"/>
    <x v="21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6"/>
    <x v="8"/>
    <n v="20451721802"/>
    <s v="VILAO"/>
    <s v="."/>
    <n v="10265962"/>
    <s v="Regular Sin Campaña"/>
    <s v="B13161"/>
    <n v="171092.015625"/>
    <d v="2025-03-04T00:00:00"/>
    <n v="18"/>
    <s v="TIENDAS"/>
    <s v="TIENDAS"/>
    <s v="Gestion Cartera"/>
    <n v="202503"/>
    <n v="200010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7"/>
    <x v="11"/>
    <n v="20600337123"/>
    <s v="GRUPO SYSTEM DATA"/>
    <s v="."/>
    <n v="10171238"/>
    <s v="GIRO DE LINEA"/>
    <s v="B14534"/>
    <n v="58386.12109375"/>
    <d v="2024-05-29T00:00:00"/>
    <n v="18.45"/>
    <s v="TIENDAS"/>
    <s v="TIENDAS"/>
    <s v="Giro de Línea"/>
    <n v="202405"/>
    <n v="100005"/>
    <s v="B14534"/>
    <x v="22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28"/>
    <x v="8"/>
    <n v="20601213657"/>
    <s v="CAMPO GRANDE PERU"/>
    <s v="."/>
    <n v="10257317"/>
    <s v="Impulso Solo"/>
    <s v="B30973"/>
    <n v="69860.90625"/>
    <d v="2024-07-16T00:00:00"/>
    <n v="15.5"/>
    <s v="TLV"/>
    <s v="TLV"/>
    <s v="Impulso MyPeru Comercial"/>
    <n v="202407"/>
    <n v="90004.5"/>
    <s v="B30973"/>
    <x v="11"/>
    <s v="B14821"/>
    <x v="3"/>
    <x v="4"/>
    <x v="0"/>
    <s v="P1"/>
    <s v="NULL"/>
    <n v="1"/>
    <x v="0"/>
    <n v="0"/>
    <n v="0"/>
    <n v="1"/>
    <x v="0"/>
    <n v="0"/>
    <s v="NULL"/>
    <s v="NULL"/>
    <s v="NULL"/>
    <s v="NULL"/>
    <s v="NULL"/>
    <n v="400000"/>
    <n v="0.24"/>
    <n v="0.22"/>
    <s v="NULL"/>
    <s v="NULL"/>
  </r>
  <r>
    <x v="29"/>
    <x v="1"/>
    <n v="20534483997"/>
    <s v="INSTITUCION EDUCATIVA SUPERIOR TECNOLOGI"/>
    <s v="."/>
    <n v="10275090"/>
    <s v="Recurrente Aprobado Agil"/>
    <s v="B30114"/>
    <n v="242012.09375"/>
    <d v="2026-01-28T00:00:00"/>
    <n v="16"/>
    <s v="TIENDAS"/>
    <s v="TIENDAS"/>
    <s v="Recurrente Ágil CEM"/>
    <n v="202601"/>
    <n v="242012.1"/>
    <s v="B30114"/>
    <x v="8"/>
    <s v="B34489"/>
    <x v="4"/>
    <x v="4"/>
    <x v="0"/>
    <s v="P5"/>
    <s v="C1_2"/>
    <n v="1"/>
    <x v="0"/>
    <n v="1"/>
    <n v="1"/>
    <n v="1"/>
    <x v="0"/>
    <n v="242012.1"/>
    <n v="16"/>
    <d v="2026-01-28T00:00:00"/>
    <s v="Recurrente Ágil CEM"/>
    <s v="TIENDAS"/>
    <s v="CAPITAL DE TRABAJO"/>
    <n v="242600"/>
    <n v="0.21"/>
    <n v="0.19"/>
    <s v="NULL"/>
    <s v="NULL"/>
  </r>
  <r>
    <x v="30"/>
    <x v="6"/>
    <n v="20215558437"/>
    <s v="J P &amp; CIA"/>
    <s v="."/>
    <n v="10253510"/>
    <s v="Impulso Mixto"/>
    <s v="B33503"/>
    <n v="15687.1015625"/>
    <d v="2024-05-24T00:00:00"/>
    <n v="14.9"/>
    <s v="TIENDAS"/>
    <s v="TIENDAS"/>
    <s v="Impulso MyPeru Comercial"/>
    <n v="202405"/>
    <n v="300015"/>
    <s v="B33503"/>
    <x v="10"/>
    <s v="B14821"/>
    <x v="3"/>
    <x v="4"/>
    <x v="0"/>
    <s v="P1"/>
    <s v="NULL"/>
    <n v="1"/>
    <x v="0"/>
    <n v="0"/>
    <n v="0"/>
    <n v="1"/>
    <x v="0"/>
    <n v="0"/>
    <s v="NULL"/>
    <s v="NULL"/>
    <s v="NULL"/>
    <s v="NULL"/>
    <s v="NULL"/>
    <n v="400000"/>
    <n v="0.21"/>
    <n v="0.19"/>
    <s v="NULL"/>
    <s v="NULL"/>
  </r>
  <r>
    <x v="30"/>
    <x v="11"/>
    <n v="20215558437"/>
    <s v="J P &amp; CIA"/>
    <s v="."/>
    <n v="10253510"/>
    <s v="Impulso Mixto"/>
    <s v="B33503"/>
    <n v="158226.4375"/>
    <d v="2024-05-24T00:00:00"/>
    <n v="14.9"/>
    <s v="TIENDAS"/>
    <s v="TIENDAS"/>
    <s v="Impulso MyPeru Comercial"/>
    <n v="202405"/>
    <n v="300015"/>
    <s v="B33503"/>
    <x v="10"/>
    <s v="B14821"/>
    <x v="3"/>
    <x v="1"/>
    <x v="0"/>
    <s v="P1"/>
    <s v="NULL"/>
    <n v="1"/>
    <x v="0"/>
    <n v="0"/>
    <n v="0"/>
    <n v="1"/>
    <x v="2"/>
    <n v="0"/>
    <s v="NULL"/>
    <s v="NULL"/>
    <s v="NULL"/>
    <s v="NULL"/>
    <s v="NULL"/>
    <n v="0"/>
    <n v="0"/>
    <n v="0"/>
    <s v="NULL"/>
    <s v="NULL"/>
  </r>
  <r>
    <x v="31"/>
    <x v="10"/>
    <n v="20600416473"/>
    <s v="MAKITECH"/>
    <s v="."/>
    <n v="10272512"/>
    <s v="Recurrente Aprobado Agil"/>
    <s v="B25939"/>
    <n v="27453.931640625"/>
    <d v="2025-10-24T00:00:00"/>
    <n v="17.2"/>
    <s v="TIENDAS"/>
    <s v="TIENDAS"/>
    <s v="Recurrente Ágil CEM"/>
    <n v="202510"/>
    <n v="180415.04"/>
    <s v="B25939"/>
    <x v="23"/>
    <s v="B13988"/>
    <x v="1"/>
    <x v="4"/>
    <x v="0"/>
    <s v="P1"/>
    <s v="C1_2"/>
    <n v="1"/>
    <x v="0"/>
    <n v="0"/>
    <n v="0"/>
    <n v="1"/>
    <x v="0"/>
    <n v="0"/>
    <s v="NULL"/>
    <s v="NULL"/>
    <s v="NULL"/>
    <s v="NULL"/>
    <s v="NULL"/>
    <n v="92800"/>
    <n v="0.26090000000000002"/>
    <n v="0.2409"/>
    <s v="NULL"/>
    <s v="NULL"/>
  </r>
  <r>
    <x v="32"/>
    <x v="10"/>
    <n v="20448160751"/>
    <s v="CORPORACION M &amp; V ATLANTIC"/>
    <s v="."/>
    <n v="10273086"/>
    <s v="Nuevo Aprobado"/>
    <s v="B45079"/>
    <n v="84984.1328125"/>
    <d v="2025-11-13T00:00:00"/>
    <n v="17"/>
    <s v="TLV"/>
    <s v="TLV"/>
    <s v="Nuevo Aprobado EN"/>
    <n v="202511"/>
    <n v="100005"/>
    <s v="B45079"/>
    <x v="17"/>
    <s v="B45083"/>
    <x v="7"/>
    <x v="9"/>
    <x v="2"/>
    <s v="P1"/>
    <s v="C1_1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33"/>
    <x v="6"/>
    <n v="10020404286"/>
    <s v="CONDORI CONDORI EVER"/>
    <n v="2040428"/>
    <n v="10265668"/>
    <s v="CDD APROBADO"/>
    <s v="B24783"/>
    <n v="23508.158203125"/>
    <d v="2025-02-25T00:00:00"/>
    <n v="17"/>
    <s v="TLV"/>
    <s v="TLV"/>
    <s v="Nuevo Aprobado Agil CD"/>
    <n v="202502"/>
    <n v="53558.65"/>
    <s v="B24783"/>
    <x v="24"/>
    <s v="B45083"/>
    <x v="7"/>
    <x v="4"/>
    <x v="2"/>
    <s v="P1"/>
    <s v="NULL"/>
    <n v="1"/>
    <x v="1"/>
    <n v="0"/>
    <n v="0"/>
    <n v="0"/>
    <x v="0"/>
    <n v="0"/>
    <s v="NULL"/>
    <s v="NULL"/>
    <s v="NULL"/>
    <s v="NULL"/>
    <s v="NULL"/>
    <n v="100000"/>
    <n v="0.32769999999999999"/>
    <n v="0.30769999999999997"/>
    <s v="NULL"/>
    <s v="NULL"/>
  </r>
  <r>
    <x v="34"/>
    <x v="9"/>
    <n v="20607281824"/>
    <s v="DISTRIBUCIONES SUDCA E.I.R.L."/>
    <s v="."/>
    <n v="10268330"/>
    <s v="Ágil Recurrente CEM"/>
    <s v="B30637"/>
    <n v="390019.5"/>
    <d v="2025-05-30T00:00:00"/>
    <n v="16"/>
    <s v="TIENDAS"/>
    <s v="TIENDAS"/>
    <s v="Recurrente Ágil CEM"/>
    <n v="202505"/>
    <n v="390019.5"/>
    <s v="B30637"/>
    <x v="12"/>
    <s v="B14530"/>
    <x v="5"/>
    <x v="4"/>
    <x v="0"/>
    <s v="P1"/>
    <s v="NULL"/>
    <n v="1"/>
    <x v="0"/>
    <n v="1"/>
    <n v="1"/>
    <n v="1"/>
    <x v="2"/>
    <n v="390019.5"/>
    <n v="16"/>
    <d v="2025-05-30T00:00:00"/>
    <s v="Recurrente Ágil CEM"/>
    <s v="TIENDAS"/>
    <s v="CAPITAL DE TRABAJO"/>
    <n v="400000"/>
    <n v="0.2"/>
    <n v="0.17780000000000001"/>
    <s v="NULL"/>
    <s v="NULL"/>
  </r>
  <r>
    <x v="35"/>
    <x v="4"/>
    <n v="20306989830"/>
    <s v="OCEANICA INTERAMERICANA"/>
    <s v="."/>
    <n v="10263143"/>
    <s v="CT Garantía Sin Campaña"/>
    <s v="B14972"/>
    <n v="787073.3125"/>
    <d v="2024-11-27T00:00:00"/>
    <n v="12"/>
    <s v="TIENDAS"/>
    <s v="TIENDAS"/>
    <s v="NULL"/>
    <n v="202411"/>
    <n v="800040"/>
    <s v="B14972"/>
    <x v="25"/>
    <s v="B13161"/>
    <x v="9"/>
    <x v="1"/>
    <x v="0"/>
    <s v="P1"/>
    <s v="NULL"/>
    <n v="1"/>
    <x v="1"/>
    <n v="0"/>
    <n v="0"/>
    <n v="0"/>
    <x v="2"/>
    <n v="0"/>
    <s v="NULL"/>
    <s v="NULL"/>
    <s v="NULL"/>
    <s v="NULL"/>
    <s v="NULL"/>
    <n v="998997273"/>
    <n v="0"/>
    <n v="0"/>
    <s v="NULL"/>
    <s v="NULL"/>
  </r>
  <r>
    <x v="36"/>
    <x v="8"/>
    <n v="20602733476"/>
    <s v="FRANCO &amp; RODRIGUEZ S.A.C."/>
    <s v="."/>
    <n v="10268300"/>
    <s v="Nuevo Aprobado"/>
    <s v="B35209"/>
    <n v="202040.84375"/>
    <d v="2025-05-29T00:00:00"/>
    <n v="16.5"/>
    <s v="TIENDAS"/>
    <s v="TIENDAS"/>
    <s v="Nuevo Pre-aprobado"/>
    <n v="202505"/>
    <n v="350017.5"/>
    <s v="B35209"/>
    <x v="26"/>
    <s v="B27274"/>
    <x v="0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238"/>
    <s v="NULL"/>
    <s v="NULL"/>
    <s v="NULL"/>
  </r>
  <r>
    <x v="37"/>
    <x v="7"/>
    <n v="20608812785"/>
    <s v="TIME COFFEE GRILL S.R.L."/>
    <s v="."/>
    <n v="10265553"/>
    <s v="Nuevo pre Aprobado"/>
    <s v="B45389"/>
    <n v="16864.15234375"/>
    <d v="2025-02-21T00:00:00"/>
    <n v="18.5"/>
    <s v="TIENDAS"/>
    <s v="TIENDAS"/>
    <s v="Nuevo Pre-aprobado"/>
    <n v="202502"/>
    <n v="65003.25"/>
    <s v="B45389"/>
    <x v="16"/>
    <s v="B45384"/>
    <x v="6"/>
    <x v="1"/>
    <x v="2"/>
    <s v="P1"/>
    <s v="C2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38"/>
    <x v="0"/>
    <n v="20551620264"/>
    <s v="DRAGOTEK"/>
    <s v="."/>
    <n v="10263057"/>
    <s v="Impulso Solo"/>
    <s v="B45386"/>
    <n v="31986.435546875"/>
    <d v="2024-11-26T00:00:00"/>
    <n v="15.5"/>
    <s v="TLV"/>
    <s v="TLV"/>
    <s v="Impulso MyPeru Comercial"/>
    <n v="202411"/>
    <n v="43330.15"/>
    <s v="B45386"/>
    <x v="27"/>
    <s v="B45384"/>
    <x v="6"/>
    <x v="7"/>
    <x v="2"/>
    <s v="P1"/>
    <s v="C2"/>
    <n v="1"/>
    <x v="0"/>
    <n v="0"/>
    <n v="0"/>
    <n v="1"/>
    <x v="0"/>
    <n v="0"/>
    <s v="NULL"/>
    <s v="NULL"/>
    <s v="NULL"/>
    <s v="NULL"/>
    <s v="NULL"/>
    <n v="52000"/>
    <n v="0.19520000000000001"/>
    <n v="0.17519999999999999"/>
    <s v="NULL"/>
    <s v="NULL"/>
  </r>
  <r>
    <x v="39"/>
    <x v="7"/>
    <n v="10422969212"/>
    <s v="MELGAREJO ECHEVARRIA EDIL NAISER"/>
    <n v="42296921"/>
    <n v="10259580"/>
    <s v="Impulso Solo"/>
    <s v="B45371"/>
    <n v="1930.80432128906"/>
    <d v="2024-08-26T00:00:00"/>
    <n v="14.5"/>
    <s v="TLV"/>
    <s v="TLV"/>
    <s v="Impulso MyPeru Comercial"/>
    <n v="202408"/>
    <n v="48002.400000000001"/>
    <s v="B45371"/>
    <x v="15"/>
    <s v="B45384"/>
    <x v="6"/>
    <x v="1"/>
    <x v="2"/>
    <s v="P1"/>
    <s v="C3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40"/>
    <x v="5"/>
    <n v="20604946248"/>
    <s v="GRUPO FOPI"/>
    <s v="."/>
    <n v="10268118"/>
    <s v="Nuevo pre Aprobado"/>
    <s v="B35209"/>
    <n v="93647.5625"/>
    <d v="2025-05-26T00:00:00"/>
    <n v="17"/>
    <s v="TIENDAS"/>
    <s v="TIENDAS"/>
    <s v="Nuevo Pre-aprobado"/>
    <n v="202505"/>
    <n v="120006"/>
    <s v="B35209"/>
    <x v="26"/>
    <s v="B27274"/>
    <x v="0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1"/>
    <x v="12"/>
    <n v="20605999264"/>
    <s v="ASERRADERO PREVCA S.R.L"/>
    <s v="."/>
    <n v="10267004"/>
    <s v="Nuevo pre Aprobado"/>
    <s v="B30114"/>
    <n v="105586.34375"/>
    <d v="2025-04-11T00:00:00"/>
    <n v="18"/>
    <s v="TIENDAS"/>
    <s v="TIENDAS"/>
    <s v="Nuevo Pre-aprobado"/>
    <n v="202504"/>
    <n v="110005.5"/>
    <s v="B30114"/>
    <x v="8"/>
    <s v="B34489"/>
    <x v="4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233"/>
    <s v="NULL"/>
    <s v="NULL"/>
    <s v="NULL"/>
  </r>
  <r>
    <x v="42"/>
    <x v="6"/>
    <n v="20341409951"/>
    <s v="KAUSACHUN TOURS"/>
    <s v="."/>
    <n v="10265021"/>
    <s v="Nuevo Aprobado"/>
    <s v="BPECND"/>
    <n v="23777.44921875"/>
    <d v="2025-01-30T00:00:00"/>
    <n v="21.200001"/>
    <s v="TLV"/>
    <s v="TLV"/>
    <s v="Nuevo Aprobado EN"/>
    <n v="202501"/>
    <n v="40002"/>
    <s v="NULL"/>
    <x v="2"/>
    <s v="NULL"/>
    <x v="2"/>
    <x v="4"/>
    <x v="2"/>
    <s v="P1"/>
    <s v="NULL"/>
    <n v="1"/>
    <x v="1"/>
    <n v="0"/>
    <n v="0"/>
    <n v="0"/>
    <x v="2"/>
    <n v="0"/>
    <s v="NULL"/>
    <s v="NULL"/>
    <s v="NULL"/>
    <s v="NULL"/>
    <s v="NULL"/>
    <n v="250000"/>
    <n v="0.2387"/>
    <n v="0.21870000000000001"/>
    <s v="NULL"/>
    <s v="NULL"/>
  </r>
  <r>
    <x v="43"/>
    <x v="6"/>
    <n v="20605769447"/>
    <s v="MATERIALES DENTALES CALDAS"/>
    <s v="."/>
    <n v="10265630"/>
    <s v="Nuevo pre Aprobado"/>
    <s v="B27880"/>
    <n v="45389.8359375"/>
    <d v="2025-02-25T00:00:00"/>
    <n v="18"/>
    <s v="TIENDAS"/>
    <s v="VENDORS"/>
    <s v="Nuevo Pre-aprobado"/>
    <n v="202502"/>
    <n v="70003.5"/>
    <s v="B27880"/>
    <x v="6"/>
    <s v="B14821"/>
    <x v="3"/>
    <x v="4"/>
    <x v="0"/>
    <s v="P1"/>
    <s v="NULL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44"/>
    <x v="11"/>
    <n v="20601183537"/>
    <s v="MAJUE E.I.R.L."/>
    <s v="."/>
    <n v="10246050"/>
    <s v="Nuevo Aprobado"/>
    <s v="BPECND"/>
    <n v="13256.9375"/>
    <d v="2023-11-27T00:00:00"/>
    <n v="21"/>
    <s v="TIENDAS"/>
    <s v="TIENDAS"/>
    <s v="Nuevo Pre-aprobado"/>
    <n v="202311"/>
    <n v="35001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5"/>
    <x v="5"/>
    <n v="10461520427"/>
    <s v="SACARI HUAMAN SANDRA SOLEDAD"/>
    <n v="46152042"/>
    <n v="10270029"/>
    <s v="CDD APROBADO"/>
    <s v="BPECND"/>
    <n v="181822.96875"/>
    <d v="2025-07-30T00:00:00"/>
    <n v="13.5"/>
    <s v="TLV"/>
    <s v="TLV"/>
    <s v="Nuevo Aprobado Agil CD"/>
    <n v="202507"/>
    <n v="287514.34999999998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6"/>
    <x v="9"/>
    <n v="20602305296"/>
    <s v="DK INGENIERIA &amp; GEOTECNIA E.I.R.L."/>
    <s v="."/>
    <n v="10264438"/>
    <s v="Nuevo Aprobado Ágil"/>
    <s v="B45389"/>
    <n v="64454.65234375"/>
    <d v="2025-01-03T00:00:00"/>
    <n v="19.200001"/>
    <s v="TLV"/>
    <s v="VENDORS"/>
    <s v="Nuevo Aprobado Agil"/>
    <n v="202501"/>
    <n v="75303.75"/>
    <s v="B45389"/>
    <x v="28"/>
    <s v="B45384"/>
    <x v="6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47"/>
    <x v="1"/>
    <n v="20601355885"/>
    <s v="SEGURYTEC E INGENIERIA"/>
    <s v="."/>
    <n v="10273556"/>
    <s v="Nuevo Aprobado Ágil"/>
    <s v="B45439"/>
    <n v="47132.23828125"/>
    <d v="2025-11-27T00:00:00"/>
    <n v="16"/>
    <s v="TLV"/>
    <s v="TLV"/>
    <s v="Nuevo Aprobado Agil"/>
    <n v="202511"/>
    <n v="50802.5"/>
    <s v="B45439"/>
    <x v="29"/>
    <s v="B45083"/>
    <x v="7"/>
    <x v="10"/>
    <x v="2"/>
    <s v="P5"/>
    <s v="C1_1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48"/>
    <x v="6"/>
    <n v="10452573356"/>
    <s v="CHAFLOQUE CHIMOY YONATHAN SMITHY"/>
    <n v="45257335"/>
    <n v="10266859"/>
    <s v="CDD APROBADO"/>
    <s v="B46366"/>
    <n v="54824.0078125"/>
    <d v="2025-04-03T00:00:00"/>
    <n v="18.2"/>
    <s v="TLV"/>
    <s v="TLV"/>
    <s v="Nuevo Aprobado Agil CD"/>
    <n v="202504"/>
    <n v="70103.5"/>
    <s v="B46366"/>
    <x v="30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9"/>
    <x v="5"/>
    <n v="10426413863"/>
    <s v="AYQUIPA BELLO RENZO FELIX"/>
    <n v="42641386"/>
    <n v="10270125"/>
    <s v="Nuevo Aprobado"/>
    <s v="B23200"/>
    <n v="37400.66796875"/>
    <d v="2025-07-31T00:00:00"/>
    <n v="25"/>
    <s v="TLV"/>
    <s v="TLV"/>
    <s v="Nuevo Aprobado EN"/>
    <n v="202507"/>
    <n v="39001.949999999997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0"/>
    <x v="10"/>
    <n v="20524991943"/>
    <s v="IMPORTACIONES CYNOX"/>
    <s v="."/>
    <n v="10261443"/>
    <s v="Impulso Solo"/>
    <s v="B13161"/>
    <n v="55630.49609375"/>
    <d v="2024-10-11T00:00:00"/>
    <n v="15"/>
    <s v="TIENDAS"/>
    <s v="TIENDAS"/>
    <s v="Impulso MyPeru Comercial"/>
    <n v="202410"/>
    <n v="90004.5"/>
    <s v="B46358"/>
    <x v="31"/>
    <s v="B13161"/>
    <x v="9"/>
    <x v="11"/>
    <x v="0"/>
    <s v="P1"/>
    <s v="C1_1"/>
    <n v="1"/>
    <x v="0"/>
    <n v="0"/>
    <n v="0"/>
    <n v="1"/>
    <x v="0"/>
    <n v="0"/>
    <s v="NULL"/>
    <s v="NULL"/>
    <s v="NULL"/>
    <s v="NULL"/>
    <s v="NULL"/>
    <n v="500000"/>
    <n v="0.15609999999999999"/>
    <n v="0.1361"/>
    <s v="NULL"/>
    <s v="NULL"/>
  </r>
  <r>
    <x v="51"/>
    <x v="6"/>
    <n v="10472078521"/>
    <s v="CHALLCO TERAN CELESTINA"/>
    <n v="47207852"/>
    <n v="10269181"/>
    <s v="CDD PRE APROBADO"/>
    <s v="B34669"/>
    <n v="174734.078125"/>
    <d v="2025-06-27T00:00:00"/>
    <n v="16.5"/>
    <s v="TIENDAS"/>
    <s v="TIENDAS"/>
    <s v="Recurrente Aprobado CD"/>
    <n v="202506"/>
    <n v="195509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2"/>
    <x v="0"/>
    <n v="20522737730"/>
    <s v="IMPORT Y EXPORT SPEICHER"/>
    <s v="."/>
    <n v="10271712"/>
    <s v="Recurrente Aprobado Agil"/>
    <s v="B30745"/>
    <n v="233650.203125"/>
    <d v="2025-09-25T00:00:00"/>
    <n v="18"/>
    <s v="TIENDAS"/>
    <s v="TIENDAS"/>
    <s v="Recurrente Ágil CEM"/>
    <n v="202509"/>
    <n v="250012.5"/>
    <s v="B30745"/>
    <x v="14"/>
    <s v="B27274"/>
    <x v="0"/>
    <x v="0"/>
    <x v="0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53"/>
    <x v="1"/>
    <n v="20605619071"/>
    <s v="EMPRESA DE TRANSPORTES Y SERVICIOS COSTA"/>
    <s v="."/>
    <n v="10269272"/>
    <s v="CDD APROBADO"/>
    <s v="B14530"/>
    <n v="24803.2578125"/>
    <d v="2025-06-30T00:00:00"/>
    <n v="16"/>
    <s v="TLV"/>
    <s v="TLV"/>
    <s v="Nuevo Aprobado Agil CD"/>
    <n v="202506"/>
    <n v="83504.149999999994"/>
    <s v="B45750"/>
    <x v="5"/>
    <s v="B14530"/>
    <x v="5"/>
    <x v="4"/>
    <x v="0"/>
    <s v="P1"/>
    <s v="C2"/>
    <n v="1"/>
    <x v="0"/>
    <n v="0"/>
    <n v="0"/>
    <n v="1"/>
    <x v="2"/>
    <n v="0"/>
    <s v="NULL"/>
    <s v="NULL"/>
    <s v="NULL"/>
    <s v="NULL"/>
    <s v="NULL"/>
    <n v="250000"/>
    <n v="0.21"/>
    <n v="0.19"/>
    <s v="NULL"/>
    <s v="NULL"/>
  </r>
  <r>
    <x v="54"/>
    <x v="2"/>
    <n v="20608344421"/>
    <s v="REPRESENTACIONES VIRREY J E"/>
    <s v="."/>
    <n v="10267775"/>
    <s v="CDD PRE APROBADO"/>
    <s v="B30745"/>
    <n v="134056.03125"/>
    <d v="2025-05-14T00:00:00"/>
    <n v="18"/>
    <s v="TIENDAS"/>
    <s v="TIENDAS"/>
    <s v="Gestion Cartera"/>
    <n v="202505"/>
    <n v="150007.5"/>
    <s v="B30745"/>
    <x v="14"/>
    <s v="B27274"/>
    <x v="0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4329999999999999"/>
    <n v="0"/>
    <s v="NULL"/>
    <s v="NULL"/>
  </r>
  <r>
    <x v="55"/>
    <x v="4"/>
    <n v="10104433958"/>
    <s v="NINAVILCA MOLINA NILO LUIS NILO LUIS"/>
    <n v="10443395"/>
    <n v="10259761"/>
    <s v="Impulso Mixto"/>
    <s v="B33958"/>
    <n v="53532.6328125"/>
    <d v="2024-08-28T00:00:00"/>
    <n v="15.5"/>
    <s v="TLV"/>
    <s v="TLV"/>
    <s v="Impulso MyPeru Comercial"/>
    <n v="202408"/>
    <n v="53532.6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6"/>
    <x v="11"/>
    <n v="10442099451"/>
    <s v="MENDOZA ESPINOZA REQUELMER RECAREDO"/>
    <n v="44209945"/>
    <n v="10265194"/>
    <s v="CDD APROBADO"/>
    <s v="B29135"/>
    <n v="54813.17578125"/>
    <d v="2025-02-10T00:00:00"/>
    <n v="21"/>
    <s v="TLV"/>
    <s v="TLV"/>
    <s v="Nuevo Aprobado Agil CD"/>
    <n v="202502"/>
    <n v="58871.4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7"/>
    <x v="3"/>
    <n v="10447929193"/>
    <s v="AYALA QUISPE MARCELINO HONORATO"/>
    <n v="44792919"/>
    <n v="10264876"/>
    <s v="Nuevo Aprobado Ágil"/>
    <s v="B19307"/>
    <n v="27845.8046875"/>
    <d v="2025-01-28T00:00:00"/>
    <n v="18.2"/>
    <s v="TLV"/>
    <s v="TLV"/>
    <s v="Nuevo Aprobado Agil"/>
    <n v="202501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8"/>
    <x v="10"/>
    <n v="20609827948"/>
    <s v="ROCSUR TODO EN COMPUTO"/>
    <s v="."/>
    <n v="10264037"/>
    <s v="Ágil Recurrente CEM"/>
    <s v="B34489"/>
    <n v="24087.0546875"/>
    <d v="2024-12-20T00:00:00"/>
    <n v="18.879999000000002"/>
    <s v="TIENDAS"/>
    <s v="TIENDAS"/>
    <s v="Recurrente Ágil CEM"/>
    <n v="202412"/>
    <n v="130006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9"/>
    <x v="9"/>
    <n v="20605422366"/>
    <s v="ASA BOUTIQUE"/>
    <s v="."/>
    <n v="10252950"/>
    <s v="Impulso Solo"/>
    <s v="B29768"/>
    <n v="20548.361328125"/>
    <d v="2024-05-16T00:00:00"/>
    <n v="16.5"/>
    <s v="TLV"/>
    <s v="TLV"/>
    <s v="Impulso MyPeru Comercial"/>
    <n v="202405"/>
    <n v="90004.5"/>
    <s v="B29768"/>
    <x v="32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.27079999999999999"/>
    <s v="NULL"/>
    <s v="NULL"/>
  </r>
  <r>
    <x v="29"/>
    <x v="1"/>
    <n v="20534483997"/>
    <s v="INSTITUCION EDUCATIVA SUPERIOR TECNOLOGI"/>
    <s v="."/>
    <n v="10262739"/>
    <s v="Impulso Mixto"/>
    <s v="B30114"/>
    <s v="NULL"/>
    <d v="2024-11-19T00:00:00"/>
    <n v="15.5"/>
    <s v="TLV"/>
    <s v="TLV"/>
    <s v="Impulso MyPeru Comercial"/>
    <n v="202411"/>
    <n v="90004.5"/>
    <s v="B30114"/>
    <x v="8"/>
    <s v="B34489"/>
    <x v="4"/>
    <x v="4"/>
    <x v="0"/>
    <s v="P5"/>
    <s v="C1_2"/>
    <n v="1"/>
    <x v="0"/>
    <n v="1"/>
    <n v="1"/>
    <n v="1"/>
    <x v="0"/>
    <n v="242012.1"/>
    <n v="16"/>
    <d v="2026-01-28T00:00:00"/>
    <s v="Recurrente Ágil CEM"/>
    <s v="TIENDAS"/>
    <s v="CAPITAL DE TRABAJO"/>
    <n v="242600"/>
    <n v="0.21"/>
    <n v="0.19"/>
    <s v="NULL"/>
    <s v="NULL"/>
  </r>
  <r>
    <x v="60"/>
    <x v="3"/>
    <n v="20517924246"/>
    <s v="VORNAS PARIS"/>
    <s v="."/>
    <n v="10265956"/>
    <s v="Nuevo Aprobado"/>
    <s v="B22827"/>
    <n v="97312.5703125"/>
    <d v="2025-03-03T00:00:00"/>
    <n v="18"/>
    <s v="TIENDAS"/>
    <s v="VENDORS"/>
    <s v="Nuevo Pre-aprobado"/>
    <n v="202503"/>
    <n v="104005.2"/>
    <s v="B28358"/>
    <x v="33"/>
    <s v="B27274"/>
    <x v="0"/>
    <x v="3"/>
    <x v="0"/>
    <s v="P1"/>
    <s v="NULL"/>
    <n v="1"/>
    <x v="0"/>
    <n v="1"/>
    <n v="1"/>
    <n v="1"/>
    <x v="2"/>
    <n v="104005.2"/>
    <n v="18"/>
    <d v="2025-03-03T00:00:00"/>
    <s v="Nuevo Pre-aprobado"/>
    <s v="VENDORS"/>
    <s v="CAPITAL DE TRABAJO"/>
    <n v="0"/>
    <n v="0.245"/>
    <n v="0.22500000000000001"/>
    <s v="NULL"/>
    <s v="NULL"/>
  </r>
  <r>
    <x v="60"/>
    <x v="3"/>
    <n v="20517924246"/>
    <s v="VORNAS PARIS"/>
    <s v="."/>
    <n v="10265956"/>
    <s v="Nuevo Aprobado"/>
    <s v="B22827"/>
    <n v="97312.5703125"/>
    <d v="2025-03-03T00:00:00"/>
    <n v="18"/>
    <s v="TIENDAS"/>
    <s v="VENDORS"/>
    <s v="Nuevo Pre-aprobado"/>
    <n v="202503"/>
    <n v="104005.2"/>
    <s v="NULL"/>
    <x v="2"/>
    <s v="NULL"/>
    <x v="2"/>
    <x v="12"/>
    <x v="3"/>
    <s v="P1"/>
    <s v="NULL"/>
    <n v="1"/>
    <x v="0"/>
    <n v="0"/>
    <n v="0"/>
    <n v="0"/>
    <x v="1"/>
    <n v="0"/>
    <s v="NULL"/>
    <s v="NULL"/>
    <s v="NULL"/>
    <s v="NULL"/>
    <s v="NULL"/>
    <s v="NULL"/>
    <s v="NULL"/>
    <s v="NULL"/>
    <s v="TLV B"/>
    <s v="CAPITAL DE TRABAJO"/>
  </r>
  <r>
    <x v="61"/>
    <x v="12"/>
    <n v="20600180658"/>
    <s v="COIMPLE SERVICIOS GENERALES EN PROYECTO"/>
    <s v="."/>
    <n v="10194427"/>
    <s v="Reactiva"/>
    <s v="B27274"/>
    <n v="15133.690429687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2"/>
    <x v="9"/>
    <n v="20600663357"/>
    <s v="INVERSIONES KALIDA"/>
    <s v="."/>
    <n v="10185371"/>
    <s v="Reactiva"/>
    <s v="B45077"/>
    <n v="13465.44140625"/>
    <s v="NULL"/>
    <s v="NULL"/>
    <s v="NULL"/>
    <s v="NULL"/>
    <s v="NULL"/>
    <s v="NULL"/>
    <s v="NULL"/>
    <s v="B45077"/>
    <x v="34"/>
    <s v="B45083"/>
    <x v="7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.23780000000000001"/>
    <s v="NULL"/>
    <s v="NULL"/>
  </r>
  <r>
    <x v="63"/>
    <x v="6"/>
    <n v="20600748735"/>
    <s v="USA MEDIC PERU"/>
    <s v="."/>
    <n v="10271403"/>
    <s v="Recurrente Aprobado Agil"/>
    <s v="B36574"/>
    <n v="51522.75"/>
    <d v="2025-09-16T00:00:00"/>
    <n v="19"/>
    <s v="TIENDAS"/>
    <s v="TIENDAS"/>
    <s v="Recurrente Ágil CEM"/>
    <n v="202509"/>
    <n v="53402.6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4"/>
    <x v="12"/>
    <n v="20609246180"/>
    <s v="CW INGENIERIA Y MANTENIMIENTO SOCIEDAD C"/>
    <s v="."/>
    <n v="10267209"/>
    <s v="Ágil Recurrente CEM"/>
    <s v="B44121"/>
    <n v="56199.28515625"/>
    <d v="2025-04-22T00:00:00"/>
    <n v="17.200001"/>
    <s v="TIENDAS"/>
    <s v="TIENDAS"/>
    <s v="Recurrente Ágil CEM"/>
    <n v="202504"/>
    <n v="200010"/>
    <s v="B44121"/>
    <x v="35"/>
    <s v="B34489"/>
    <x v="4"/>
    <x v="1"/>
    <x v="0"/>
    <s v="P1"/>
    <s v="NULL"/>
    <n v="1"/>
    <x v="0"/>
    <n v="0"/>
    <n v="0"/>
    <n v="1"/>
    <x v="0"/>
    <n v="0"/>
    <s v="NULL"/>
    <s v="NULL"/>
    <s v="NULL"/>
    <s v="NULL"/>
    <s v="NULL"/>
    <n v="1"/>
    <n v="0.1633"/>
    <s v="NULL"/>
    <s v="NULL"/>
    <s v="NULL"/>
  </r>
  <r>
    <x v="65"/>
    <x v="12"/>
    <n v="20602569668"/>
    <s v="ALI &amp; JOTA ELECTRONIC EMPRESA INDIVIDUAL"/>
    <s v="."/>
    <n v="10266240"/>
    <s v="Recurrente Aprobado"/>
    <s v="B33894"/>
    <n v="133806.140625"/>
    <d v="2025-03-17T00:00:00"/>
    <n v="17.5"/>
    <s v="TIENDAS"/>
    <s v="TIENDAS"/>
    <s v="Recurrente Ágil CEM"/>
    <n v="202503"/>
    <n v="128535.89"/>
    <s v="B33894"/>
    <x v="36"/>
    <s v="B34489"/>
    <x v="4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883"/>
    <s v="NULL"/>
    <s v="NULL"/>
    <s v="NULL"/>
  </r>
  <r>
    <x v="66"/>
    <x v="8"/>
    <n v="10480547123"/>
    <s v="GONZALES SANCHEZ ANGHEL ESTEFANY"/>
    <n v="48054712"/>
    <n v="10249373"/>
    <s v="Impulso Mixto"/>
    <s v="B45750"/>
    <n v="84253.234375"/>
    <d v="2024-03-15T00:00:00"/>
    <n v="14.5"/>
    <s v="TIENDAS"/>
    <s v="TIENDAS"/>
    <s v="Impulso MyPeru Comercial"/>
    <n v="202403"/>
    <n v="90004.5"/>
    <s v="B45750"/>
    <x v="5"/>
    <s v="B14530"/>
    <x v="5"/>
    <x v="4"/>
    <x v="0"/>
    <s v="P1"/>
    <s v="NULL"/>
    <n v="1"/>
    <x v="1"/>
    <n v="0"/>
    <n v="0"/>
    <n v="0"/>
    <x v="0"/>
    <n v="0"/>
    <s v="NULL"/>
    <s v="NULL"/>
    <s v="NULL"/>
    <s v="NULL"/>
    <s v="NULL"/>
    <n v="200000"/>
    <n v="0.24"/>
    <n v="0.22"/>
    <s v="NULL"/>
    <s v="NULL"/>
  </r>
  <r>
    <x v="67"/>
    <x v="9"/>
    <n v="10178290423"/>
    <s v="CRUZ ZAVALETA SUMILDA ROSA"/>
    <n v="17829042"/>
    <n v="10250148"/>
    <s v="Impulso Solo"/>
    <s v="B45386"/>
    <n v="62639.04296875"/>
    <d v="2024-03-27T00:00:00"/>
    <n v="14.3"/>
    <s v="TLV"/>
    <s v="TLV"/>
    <s v="Impulso MyPeru Comercial"/>
    <n v="202403"/>
    <n v="90004.5"/>
    <s v="B45386"/>
    <x v="37"/>
    <s v="B45384"/>
    <x v="6"/>
    <x v="4"/>
    <x v="2"/>
    <s v="P1"/>
    <s v="NULL"/>
    <n v="1"/>
    <x v="1"/>
    <n v="0"/>
    <n v="0"/>
    <n v="0"/>
    <x v="2"/>
    <n v="0"/>
    <s v="NULL"/>
    <s v="NULL"/>
    <s v="NULL"/>
    <s v="NULL"/>
    <s v="NULL"/>
    <n v="300000"/>
    <n v="0.23"/>
    <n v="0.20780000000000001"/>
    <s v="NULL"/>
    <s v="NULL"/>
  </r>
  <r>
    <x v="68"/>
    <x v="11"/>
    <n v="20516523809"/>
    <s v="INGMETAL EFIO"/>
    <s v="."/>
    <n v="10156293"/>
    <s v="GIRO DE LINEA"/>
    <s v="B45079"/>
    <n v="193297.25"/>
    <d v="2025-02-27T00:00:00"/>
    <n v="15.5"/>
    <s v="TIENDAS"/>
    <s v="TIENDAS"/>
    <s v="Giro de Línea"/>
    <n v="202502"/>
    <n v="200010"/>
    <s v="B45079"/>
    <x v="17"/>
    <s v="B45083"/>
    <x v="7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69"/>
    <x v="6"/>
    <n v="20548226938"/>
    <s v="MJ NAVAL INDUSTRIA"/>
    <s v="."/>
    <n v="10242294"/>
    <s v="GIRO DE LINEA"/>
    <s v="B27596"/>
    <n v="139983.796875"/>
    <d v="2025-04-08T00:00:00"/>
    <n v="17.5"/>
    <s v="TIENDAS"/>
    <s v="TIENDAS"/>
    <s v="Giro de Línea"/>
    <n v="202504"/>
    <n v="200010"/>
    <s v="B27596"/>
    <x v="38"/>
    <s v="B13988"/>
    <x v="8"/>
    <x v="7"/>
    <x v="0"/>
    <s v="P1"/>
    <s v="NULL"/>
    <n v="1"/>
    <x v="0"/>
    <n v="0"/>
    <n v="0"/>
    <n v="1"/>
    <x v="0"/>
    <n v="0"/>
    <s v="NULL"/>
    <s v="NULL"/>
    <s v="NULL"/>
    <s v="NULL"/>
    <s v="NULL"/>
    <n v="111000"/>
    <n v="0.1938"/>
    <n v="0.17380000000000001"/>
    <s v="NULL"/>
    <s v="NULL"/>
  </r>
  <r>
    <x v="70"/>
    <x v="10"/>
    <n v="20518144872"/>
    <s v="REPRESENTACIONES TORPOCO"/>
    <s v="."/>
    <n v="10251274"/>
    <s v="Impulso Mixto"/>
    <s v="B20210"/>
    <n v="108445.8125"/>
    <d v="2024-04-22T00:00:00"/>
    <n v="12.98"/>
    <s v="TIENDAS"/>
    <s v="TIENDAS"/>
    <s v="Impulso MyPeru Comercial"/>
    <n v="202404"/>
    <n v="300015"/>
    <s v="B20210"/>
    <x v="39"/>
    <s v="B13161"/>
    <x v="9"/>
    <x v="1"/>
    <x v="0"/>
    <s v="P1"/>
    <s v="C1_1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1"/>
    <x v="4"/>
    <n v="10276676933"/>
    <s v="URIARTE SALDAÑA ABEL"/>
    <n v="27667693"/>
    <n v="10164925"/>
    <s v="GIRO DE LINEA"/>
    <s v="B30637"/>
    <n v="93241.2578125"/>
    <d v="2024-05-14T00:00:00"/>
    <n v="19.45"/>
    <s v="TIENDAS"/>
    <s v="TIENDAS"/>
    <s v="Giro de Línea"/>
    <n v="202405"/>
    <n v="93172.19"/>
    <s v="B30637"/>
    <x v="12"/>
    <s v="B14530"/>
    <x v="5"/>
    <x v="4"/>
    <x v="0"/>
    <s v="P1"/>
    <s v="NULL"/>
    <n v="1"/>
    <x v="0"/>
    <n v="0"/>
    <n v="0"/>
    <n v="1"/>
    <x v="2"/>
    <n v="0"/>
    <s v="NULL"/>
    <s v="NULL"/>
    <s v="NULL"/>
    <s v="NULL"/>
    <s v="NULL"/>
    <n v="100000"/>
    <n v="0.22"/>
    <n v="0.1968"/>
    <s v="NULL"/>
    <s v="NULL"/>
  </r>
  <r>
    <x v="72"/>
    <x v="1"/>
    <n v="20533159681"/>
    <s v="WILMART"/>
    <s v="."/>
    <n v="10148000"/>
    <s v="GIRO DE LINEA"/>
    <s v="B34489"/>
    <n v="50998.40234375"/>
    <d v="2025-10-20T00:00:00"/>
    <n v="18"/>
    <s v="TIENDAS"/>
    <s v="TIENDAS"/>
    <s v="Giro de Línea"/>
    <n v="202510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3"/>
    <x v="3"/>
    <n v="10294435391"/>
    <s v="CORONADO LLERENA YANET MAURA"/>
    <n v="29443539"/>
    <n v="10259146"/>
    <s v="Impulso Mixto"/>
    <s v="B14086"/>
    <n v="12480.919921875"/>
    <d v="2024-08-19T00:00:00"/>
    <n v="14.8"/>
    <s v="TLV"/>
    <s v="TLV"/>
    <s v="Impulso MyPeru Comercial"/>
    <n v="202408"/>
    <n v="12963.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4"/>
    <x v="0"/>
    <n v="20555123885"/>
    <s v="NETCORPORATE PERU"/>
    <s v="."/>
    <n v="10249820"/>
    <s v="Impulso Mixto"/>
    <s v="B14972"/>
    <n v="3881.25317382813"/>
    <d v="2024-03-22T00:00:00"/>
    <n v="13.9"/>
    <s v="TIENDAS"/>
    <s v="TIENDAS"/>
    <s v="Impulso MyPeru Comercial"/>
    <n v="202403"/>
    <n v="90004.5"/>
    <s v="B36343"/>
    <x v="40"/>
    <s v="B13161"/>
    <x v="9"/>
    <x v="4"/>
    <x v="0"/>
    <s v="P1"/>
    <s v="C1_1"/>
    <n v="1"/>
    <x v="0"/>
    <n v="0"/>
    <n v="0"/>
    <n v="1"/>
    <x v="0"/>
    <n v="0"/>
    <s v="NULL"/>
    <s v="NULL"/>
    <s v="NULL"/>
    <s v="NULL"/>
    <s v="NULL"/>
    <n v="296300"/>
    <n v="0.21"/>
    <n v="0.19"/>
    <s v="NULL"/>
    <s v="NULL"/>
  </r>
  <r>
    <x v="75"/>
    <x v="3"/>
    <n v="20539790332"/>
    <s v="INSTITUCION LOUIS PASTEUR"/>
    <s v="."/>
    <n v="10163262"/>
    <s v="GIRO DE LINEA"/>
    <s v="B19952"/>
    <n v="43416.90625"/>
    <d v="2024-09-27T00:00:00"/>
    <n v="18.8"/>
    <s v="TIENDAS"/>
    <s v="TIENDAS"/>
    <s v="Giro de Línea"/>
    <n v="202409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6"/>
    <x v="12"/>
    <n v="20482017925"/>
    <s v=".PRODUCTORA"/>
    <s v="."/>
    <n v="10261019"/>
    <s v="Impulso Mixto"/>
    <s v="B14534"/>
    <n v="286125.34375"/>
    <d v="2024-09-26T00:00:00"/>
    <n v="13"/>
    <s v="TIENDAS"/>
    <s v="TIENDAS"/>
    <s v="Impulso MyPeru Comercial"/>
    <n v="202409"/>
    <n v="300015"/>
    <s v="B14534"/>
    <x v="22"/>
    <s v="B14530"/>
    <x v="5"/>
    <x v="4"/>
    <x v="0"/>
    <s v="P1"/>
    <s v="NULL"/>
    <n v="1"/>
    <x v="1"/>
    <n v="0"/>
    <n v="0"/>
    <n v="0"/>
    <x v="0"/>
    <n v="0"/>
    <s v="NULL"/>
    <s v="NULL"/>
    <s v="NULL"/>
    <s v="NULL"/>
    <s v="NULL"/>
    <n v="400000"/>
    <n v="0.22"/>
    <n v="0.20330000000000001"/>
    <s v="NULL"/>
    <s v="NULL"/>
  </r>
  <r>
    <x v="77"/>
    <x v="2"/>
    <n v="10105321266"/>
    <s v="TORRES FERNANDEZ ALEX"/>
    <n v="10532126"/>
    <n v="10256969"/>
    <s v="Impulso CDI Cobertura"/>
    <s v="B13988"/>
    <n v="62944.66796875"/>
    <d v="2024-06-28T00:00:00"/>
    <n v="16"/>
    <s v="TIENDAS"/>
    <s v="TIENDAS"/>
    <s v="Impulso MyPeru Comercial"/>
    <n v="202406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8"/>
    <x v="3"/>
    <n v="20607025917"/>
    <s v="ALEX PETROLERA"/>
    <s v="."/>
    <n v="10256990"/>
    <s v="Impulso Solo"/>
    <s v="B40039"/>
    <n v="80099.9140625"/>
    <d v="2024-06-28T00:00:00"/>
    <n v="15.5"/>
    <s v="TLV"/>
    <s v="TLV"/>
    <s v="Impulso MyPeru Comercial"/>
    <n v="202406"/>
    <n v="90004.5"/>
    <s v="B40039"/>
    <x v="41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992947235"/>
    <n v="0"/>
    <n v="0"/>
    <s v="NULL"/>
    <s v="NULL"/>
  </r>
  <r>
    <x v="79"/>
    <x v="5"/>
    <n v="20607134716"/>
    <s v="FRIOIMPORTPERU"/>
    <s v="."/>
    <n v="10253763"/>
    <s v="Impulso Solo"/>
    <s v="BPECND"/>
    <n v="49594.62890625"/>
    <d v="2024-05-27T00:00:00"/>
    <n v="15.5"/>
    <s v="TLV"/>
    <s v="TLV"/>
    <s v="Impulso MyPeru Comercial"/>
    <n v="202405"/>
    <n v="80191"/>
    <s v="B44900"/>
    <x v="19"/>
    <s v="B34489"/>
    <x v="4"/>
    <x v="4"/>
    <x v="0"/>
    <s v="P1"/>
    <s v="C1_1"/>
    <n v="1"/>
    <x v="0"/>
    <n v="0"/>
    <n v="0"/>
    <n v="1"/>
    <x v="2"/>
    <n v="0"/>
    <s v="NULL"/>
    <s v="NULL"/>
    <s v="NULL"/>
    <s v="NULL"/>
    <s v="NULL"/>
    <n v="400000"/>
    <n v="0.2"/>
    <n v="0.18"/>
    <s v="NULL"/>
    <s v="NULL"/>
  </r>
  <r>
    <x v="80"/>
    <x v="10"/>
    <n v="20609450691"/>
    <s v="FRAMSA CONTRATISTAS GENERALES"/>
    <s v="."/>
    <n v="10272572"/>
    <s v="Ágil Recurrente CEM"/>
    <s v="B36343"/>
    <n v="171807.84375"/>
    <d v="2025-10-27T00:00:00"/>
    <n v="20.5"/>
    <s v="TIENDAS"/>
    <s v="TIENDAS"/>
    <s v="Recurrente Ágil CEM"/>
    <n v="202510"/>
    <n v="200010"/>
    <s v="B36343"/>
    <x v="40"/>
    <s v="B13161"/>
    <x v="9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1"/>
    <x v="6"/>
    <n v="20606476036"/>
    <s v="MAQUINARIAS Y TRANSPORTES LEONGROUP"/>
    <s v="."/>
    <n v="10253089"/>
    <s v="Impulso Solo"/>
    <s v="B14530"/>
    <n v="52177.8359375"/>
    <d v="2024-05-20T00:00:00"/>
    <n v="16.5"/>
    <s v="TLV"/>
    <s v="TLV"/>
    <s v="Impulso MyPeru Comercial"/>
    <n v="202405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2"/>
    <x v="0"/>
    <n v="20569280576"/>
    <s v="SERVICIOS AMBIENTALES NORTE VERDE S.R.L."/>
    <s v="."/>
    <n v="10265222"/>
    <s v="Nuevo Aprobado"/>
    <s v="B22760"/>
    <n v="62428.81640625"/>
    <d v="2025-02-11T00:00:00"/>
    <n v="18.200001"/>
    <s v="TLV"/>
    <s v="TLV"/>
    <s v="Nuevo Aprobado EN"/>
    <n v="202502"/>
    <n v="100005"/>
    <s v="B22760"/>
    <x v="42"/>
    <s v="B34489"/>
    <x v="4"/>
    <x v="7"/>
    <x v="0"/>
    <s v="P1"/>
    <s v="C1_1"/>
    <n v="1"/>
    <x v="1"/>
    <n v="0"/>
    <n v="0"/>
    <n v="0"/>
    <x v="0"/>
    <n v="0"/>
    <s v="NULL"/>
    <s v="NULL"/>
    <s v="NULL"/>
    <s v="NULL"/>
    <s v="NULL"/>
    <n v="200000"/>
    <n v="0.19"/>
    <n v="0.17"/>
    <s v="NULL"/>
    <s v="NULL"/>
  </r>
  <r>
    <x v="83"/>
    <x v="1"/>
    <n v="20477711619"/>
    <s v="CONFETEXTILES PER"/>
    <s v="."/>
    <n v="10274080"/>
    <s v="Nuevo Aprobado"/>
    <s v="BPECND"/>
    <n v="166429.28125"/>
    <d v="2025-12-19T00:00:00"/>
    <n v="16"/>
    <s v="TLV"/>
    <s v="TLV"/>
    <s v="Nuevo Aprobado EN"/>
    <n v="202512"/>
    <n v="190009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4"/>
    <x v="0"/>
    <n v="20611840820"/>
    <s v="SERVICIOS EN HEMODIALISIS ARABELA"/>
    <s v="."/>
    <n v="10270989"/>
    <s v="Regular Sin Campaña"/>
    <s v="B37955"/>
    <n v="128052.1796875"/>
    <d v="2025-08-29T00:00:00"/>
    <n v="20"/>
    <s v="TIENDAS"/>
    <s v="VENDORS"/>
    <s v="Gestion Cartera"/>
    <n v="202508"/>
    <n v="150007.5"/>
    <s v="B46504"/>
    <x v="0"/>
    <s v="B27274"/>
    <x v="0"/>
    <x v="0"/>
    <x v="0"/>
    <s v="P1"/>
    <s v="C2"/>
    <n v="1"/>
    <x v="0"/>
    <n v="0"/>
    <n v="0"/>
    <n v="1"/>
    <x v="0"/>
    <n v="0"/>
    <s v="NULL"/>
    <s v="NULL"/>
    <s v="NULL"/>
    <s v="NULL"/>
    <s v="NULL"/>
    <n v="0"/>
    <n v="0"/>
    <n v="0"/>
    <s v="NULL"/>
    <s v="NULL"/>
  </r>
  <r>
    <x v="85"/>
    <x v="7"/>
    <n v="10296176155"/>
    <s v="VEGA QUISPE AMADOR"/>
    <n v="29617615"/>
    <n v="10272590"/>
    <s v="Ágil Recurrente CEM"/>
    <s v="B19752"/>
    <n v="35078.5703125"/>
    <d v="2025-10-28T00:00:00"/>
    <n v="19.969999000000001"/>
    <s v="TIENDAS"/>
    <s v="TIENDAS"/>
    <s v="Recurrente Ágil CEM"/>
    <n v="202510"/>
    <n v="50002.5"/>
    <s v="B19752"/>
    <x v="43"/>
    <s v="B13988"/>
    <x v="8"/>
    <x v="1"/>
    <x v="0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6"/>
    <x v="6"/>
    <n v="10400626231"/>
    <s v="AYBAR ESCRIBA JAVIER PEDRO"/>
    <n v="40062623"/>
    <n v="10269713"/>
    <s v="CDD APROBADO"/>
    <s v="B39015"/>
    <n v="129753.96875"/>
    <d v="2025-07-17T00:00:00"/>
    <n v="15"/>
    <s v="TLV"/>
    <s v="TLV"/>
    <s v="Nuevo Aprobado Agil CD"/>
    <n v="202507"/>
    <n v="139156.95000000001"/>
    <s v="B39015"/>
    <x v="2"/>
    <s v="NULL"/>
    <x v="2"/>
    <x v="1"/>
    <x v="2"/>
    <s v="P2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7"/>
    <x v="12"/>
    <n v="20555136430"/>
    <s v="FERROBELL"/>
    <s v="."/>
    <n v="10267593"/>
    <s v="Ágil Recurrente CEM"/>
    <s v="B45078"/>
    <n v="289595.8125"/>
    <d v="2025-04-30T00:00:00"/>
    <n v="16.5"/>
    <s v="TIENDAS VIRTUALES"/>
    <s v="TIENDAS VIRTUALES"/>
    <s v="Recurrente Ágil CEM"/>
    <n v="202504"/>
    <n v="300015"/>
    <s v="B45078"/>
    <x v="44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233"/>
    <s v="NULL"/>
    <s v="NULL"/>
    <s v="NULL"/>
  </r>
  <r>
    <x v="88"/>
    <x v="8"/>
    <n v="10428341606"/>
    <s v="HUISA CORIMAYA LUZ MARINA"/>
    <n v="42834160"/>
    <n v="10266248"/>
    <s v="Nuevo Aprobado Ágil"/>
    <s v="B27909"/>
    <n v="51373.09765625"/>
    <d v="2025-03-17T00:00:00"/>
    <n v="18"/>
    <s v="TLV"/>
    <s v="TLV"/>
    <s v="Nuevo Aprobado Agil"/>
    <n v="202503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9"/>
    <x v="4"/>
    <n v="20600855892"/>
    <s v="TRUCKS PARTS DIESEL MOTOR S"/>
    <s v="."/>
    <n v="10168223"/>
    <s v="GIRO DE LINEA"/>
    <s v="B30637"/>
    <n v="111617.140625"/>
    <d v="2024-12-23T00:00:00"/>
    <n v="18.38"/>
    <s v="TIENDAS"/>
    <s v="TIENDAS"/>
    <s v="Giro de Línea"/>
    <n v="202412"/>
    <n v="120006"/>
    <s v="B30637"/>
    <x v="12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986245610"/>
    <n v="0"/>
    <n v="0"/>
    <s v="NULL"/>
    <s v="NULL"/>
  </r>
  <r>
    <x v="90"/>
    <x v="0"/>
    <n v="20487956687"/>
    <s v="CONSTRUCCIONES HJC"/>
    <s v="."/>
    <n v="10249900"/>
    <s v="Impulso Mixto"/>
    <s v="B44120"/>
    <n v="121276.7734375"/>
    <d v="2024-03-26T00:00:00"/>
    <n v="12.98"/>
    <s v="TIENDAS"/>
    <s v="TIENDAS"/>
    <s v="Impulso MyPeru Comercial"/>
    <n v="202403"/>
    <n v="300015"/>
    <s v="B44120"/>
    <x v="45"/>
    <s v="B14530"/>
    <x v="5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91"/>
    <x v="6"/>
    <n v="20608146114"/>
    <s v="CORPORACION X&amp;J"/>
    <s v="."/>
    <n v="10266975"/>
    <s v="CDD APROBADO"/>
    <s v="B30425"/>
    <n v="134131.171875"/>
    <d v="2025-04-10T00:00:00"/>
    <n v="18"/>
    <s v="TLV"/>
    <s v="TLV"/>
    <s v="Nuevo Aprobado Agil CD"/>
    <n v="202504"/>
    <n v="199009.95"/>
    <s v="B30425"/>
    <x v="46"/>
    <s v="B13988"/>
    <x v="8"/>
    <x v="7"/>
    <x v="0"/>
    <s v="P1"/>
    <s v="NULL"/>
    <n v="1"/>
    <x v="0"/>
    <n v="0"/>
    <n v="0"/>
    <n v="1"/>
    <x v="0"/>
    <n v="0"/>
    <s v="NULL"/>
    <s v="NULL"/>
    <s v="NULL"/>
    <s v="NULL"/>
    <s v="NULL"/>
    <n v="140000"/>
    <n v="0.19670000000000001"/>
    <n v="0.1767"/>
    <s v="NULL"/>
    <s v="NULL"/>
  </r>
  <r>
    <x v="92"/>
    <x v="12"/>
    <n v="20480161468"/>
    <s v="MULTIVENTAS A &amp; C S.R.L."/>
    <s v="."/>
    <n v="10264908"/>
    <s v="Nuevo Aprobado"/>
    <s v="B45374"/>
    <n v="96319.1640625"/>
    <d v="2025-01-29T00:00:00"/>
    <n v="18.200001"/>
    <s v="TLV"/>
    <s v="TLV"/>
    <s v="Nuevo Aprobado EN"/>
    <n v="202501"/>
    <n v="120006"/>
    <s v="B45374"/>
    <x v="21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283"/>
    <s v="NULL"/>
    <s v="NULL"/>
    <s v="NULL"/>
  </r>
  <r>
    <x v="93"/>
    <x v="0"/>
    <n v="10461020564"/>
    <s v="ALVARADO CASTRO MIKER PAOLO"/>
    <n v="46102056"/>
    <n v="10258728"/>
    <s v="Impulso Solo"/>
    <s v="B46358"/>
    <n v="1894.25866699219"/>
    <d v="2024-08-09T00:00:00"/>
    <n v="14.5"/>
    <s v="TLV"/>
    <s v="TLV"/>
    <s v="Impulso MyPeru Comercial"/>
    <n v="202408"/>
    <n v="46513.3"/>
    <s v="B46358"/>
    <x v="31"/>
    <s v="B13161"/>
    <x v="9"/>
    <x v="1"/>
    <x v="0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94"/>
    <x v="4"/>
    <n v="10098889103"/>
    <s v="CELEDONIO PARODI DOMITILA CECILIA"/>
    <n v="9888910"/>
    <n v="10170574"/>
    <s v="GIRO DE LINEA"/>
    <s v="B22846"/>
    <n v="22902.708984375"/>
    <d v="2024-10-28T00:00:00"/>
    <n v="17"/>
    <s v="TIENDAS"/>
    <s v="TIENDAS"/>
    <s v="Giro de Línea"/>
    <n v="202410"/>
    <n v="128006.39999999999"/>
    <s v="B22846"/>
    <x v="47"/>
    <s v="B13988"/>
    <x v="8"/>
    <x v="1"/>
    <x v="0"/>
    <s v="P2"/>
    <s v="NULL"/>
    <n v="1"/>
    <x v="1"/>
    <n v="0"/>
    <n v="0"/>
    <n v="0"/>
    <x v="2"/>
    <n v="0"/>
    <s v="NULL"/>
    <s v="NULL"/>
    <s v="NULL"/>
    <s v="NULL"/>
    <s v="NULL"/>
    <n v="990076169"/>
    <n v="0"/>
    <n v="0"/>
    <s v="NULL"/>
    <s v="NULL"/>
  </r>
  <r>
    <x v="95"/>
    <x v="7"/>
    <n v="20451512804"/>
    <s v="INGENIERIA DE ALIMENTOS NATURALES"/>
    <s v="."/>
    <n v="10271432"/>
    <s v="Nuevo NO BANK"/>
    <s v="BPECND"/>
    <n v="45224.546875"/>
    <d v="2025-09-17T00:00:00"/>
    <n v="24"/>
    <s v="TLV"/>
    <s v="TLV"/>
    <s v="Nuevo Aprobado EN"/>
    <n v="202509"/>
    <n v="50002.5"/>
    <s v="NULL"/>
    <x v="2"/>
    <s v="NULL"/>
    <x v="2"/>
    <x v="12"/>
    <x v="3"/>
    <s v="P1"/>
    <s v="C2"/>
    <n v="1"/>
    <x v="0"/>
    <n v="0"/>
    <n v="0"/>
    <n v="1"/>
    <x v="1"/>
    <n v="0"/>
    <s v="NULL"/>
    <s v="NULL"/>
    <s v="NULL"/>
    <s v="NULL"/>
    <s v="NULL"/>
    <s v="NULL"/>
    <s v="NULL"/>
    <s v="NULL"/>
    <s v="TLV C"/>
    <s v="POOL TRANSACCIONAL"/>
  </r>
  <r>
    <x v="96"/>
    <x v="6"/>
    <n v="20548434026"/>
    <s v="SOLUCIONES INFORMATICAS PERSONALIZADAS S"/>
    <s v="."/>
    <n v="10269400"/>
    <s v="CDD APROBADO"/>
    <s v="BPECND"/>
    <n v="58884.50390625"/>
    <d v="2025-07-08T00:00:00"/>
    <n v="17.25"/>
    <s v="TLV"/>
    <s v="TLV"/>
    <s v="Nuevo Aprobado Agil CD"/>
    <n v="202507"/>
    <n v="65003.2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7"/>
    <x v="2"/>
    <n v="10740903107"/>
    <s v="ULLOA CAYCHO JUNIOR UBER"/>
    <n v="74090310"/>
    <n v="10256211"/>
    <s v="Impulso Mixto"/>
    <s v="BPECND"/>
    <n v="52392.73046875"/>
    <d v="2024-06-24T00:00:00"/>
    <n v="15.4"/>
    <s v="TIENDAS"/>
    <s v="TIENDAS"/>
    <s v="Impulso MyPeru Comercial"/>
    <n v="202406"/>
    <n v="75003.75"/>
    <s v="B30094"/>
    <x v="2"/>
    <s v="NULL"/>
    <x v="2"/>
    <x v="4"/>
    <x v="2"/>
    <s v="P2"/>
    <s v="NULL"/>
    <n v="1"/>
    <x v="1"/>
    <n v="0"/>
    <n v="0"/>
    <n v="0"/>
    <x v="2"/>
    <n v="0"/>
    <s v="NULL"/>
    <s v="NULL"/>
    <s v="NULL"/>
    <s v="NULL"/>
    <s v="NULL"/>
    <n v="300000"/>
    <n v="0.21"/>
    <n v="0.19"/>
    <s v="NULL"/>
    <s v="NULL"/>
  </r>
  <r>
    <x v="97"/>
    <x v="2"/>
    <n v="10740903107"/>
    <s v="ULLOA CAYCHO JUNIOR UBER"/>
    <n v="74090310"/>
    <n v="10256211"/>
    <s v="Impulso Mixto"/>
    <s v="BPECND"/>
    <n v="52392.73046875"/>
    <d v="2024-06-24T00:00:00"/>
    <n v="15.4"/>
    <s v="TIENDAS"/>
    <s v="TIENDAS"/>
    <s v="Impulso MyPeru Comercial"/>
    <n v="202406"/>
    <n v="75003.75"/>
    <s v="B30094"/>
    <x v="48"/>
    <s v="B34489"/>
    <x v="4"/>
    <x v="4"/>
    <x v="0"/>
    <s v="P2"/>
    <s v="NULL"/>
    <n v="1"/>
    <x v="1"/>
    <n v="0"/>
    <n v="0"/>
    <n v="0"/>
    <x v="2"/>
    <n v="0"/>
    <s v="NULL"/>
    <s v="NULL"/>
    <s v="NULL"/>
    <s v="NULL"/>
    <s v="NULL"/>
    <n v="300000"/>
    <n v="0.21"/>
    <n v="0.19"/>
    <s v="NULL"/>
    <s v="NULL"/>
  </r>
  <r>
    <x v="98"/>
    <x v="11"/>
    <n v="20603209487"/>
    <s v="AUTOMOTRIZ FERNANDEZ S.A.C."/>
    <s v="."/>
    <n v="10257949"/>
    <s v="Impulso Solo"/>
    <s v="BPECND"/>
    <n v="44498.73828125"/>
    <d v="2024-07-25T00:00:00"/>
    <n v="15.5"/>
    <s v="TLV"/>
    <s v="TLV"/>
    <s v="Impulso MyPeru Comercial"/>
    <n v="202407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9"/>
    <x v="7"/>
    <n v="20603038071"/>
    <s v="E W D TECNOLOGIAS DE LA INFORMATICA Y NE"/>
    <s v="."/>
    <n v="10262245"/>
    <s v="Impulso Mixto"/>
    <s v="B45374"/>
    <n v="69888.078125"/>
    <d v="2024-10-31T00:00:00"/>
    <n v="14.9"/>
    <s v="TLV"/>
    <s v="TLV"/>
    <s v="Impulso MyPeru Comercial"/>
    <n v="202410"/>
    <n v="90004.5"/>
    <s v="B45374"/>
    <x v="21"/>
    <s v="B45384"/>
    <x v="6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0"/>
    <x v="4"/>
    <n v="20569169462"/>
    <s v="CENTRO MEDICO SILVA E.I.R.L."/>
    <s v="."/>
    <n v="10258245"/>
    <s v="Impulso Mixto"/>
    <s v="BPECND"/>
    <n v="33711.83984375"/>
    <d v="2024-07-30T00:00:00"/>
    <n v="14.8"/>
    <s v="TLV"/>
    <s v="TLV"/>
    <s v="Impulso MyPeru Comercial"/>
    <n v="202407"/>
    <n v="35001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1"/>
    <x v="10"/>
    <n v="20606999012"/>
    <s v="R Y D GRUPO EMPRESARIAL"/>
    <s v="."/>
    <n v="10270218"/>
    <s v="CDD APROBADO"/>
    <s v="B27274"/>
    <n v="171589.359375"/>
    <d v="2025-08-07T00:00:00"/>
    <n v="15"/>
    <s v="TLV"/>
    <s v="TLV"/>
    <s v="Nuevo Aprobado Agil CD"/>
    <n v="202508"/>
    <n v="232092.6"/>
    <s v="B14327"/>
    <x v="49"/>
    <s v="B27274"/>
    <x v="0"/>
    <x v="5"/>
    <x v="0"/>
    <s v="P1"/>
    <s v="C1_2"/>
    <n v="1"/>
    <x v="1"/>
    <n v="0"/>
    <n v="0"/>
    <n v="0"/>
    <x v="2"/>
    <n v="0"/>
    <s v="NULL"/>
    <s v="NULL"/>
    <s v="NULL"/>
    <s v="NULL"/>
    <s v="NULL"/>
    <n v="250000"/>
    <n v="0.21"/>
    <n v="0.19"/>
    <s v="NULL"/>
    <s v="NULL"/>
  </r>
  <r>
    <x v="102"/>
    <x v="0"/>
    <n v="20608526286"/>
    <s v="BLIYM EMPRESA INDIVIDUAL DE RESPONSABILI"/>
    <s v="."/>
    <n v="10267237"/>
    <s v="Nuevo pre Aprobado"/>
    <s v="B34669"/>
    <n v="95664.3359375"/>
    <d v="2025-04-22T00:00:00"/>
    <n v="18"/>
    <s v="TIENDAS"/>
    <s v="VENDORS"/>
    <s v="Nuevo Pre-aprobado"/>
    <n v="202504"/>
    <n v="136006.79999999999"/>
    <s v="B34669"/>
    <x v="7"/>
    <s v="B34489"/>
    <x v="4"/>
    <x v="4"/>
    <x v="0"/>
    <s v="P1"/>
    <s v="C2"/>
    <n v="1"/>
    <x v="0"/>
    <n v="0"/>
    <n v="0"/>
    <n v="1"/>
    <x v="0"/>
    <n v="0"/>
    <s v="NULL"/>
    <s v="NULL"/>
    <s v="NULL"/>
    <s v="NULL"/>
    <s v="NULL"/>
    <n v="68500"/>
    <n v="0.21"/>
    <n v="0.17"/>
    <s v="NULL"/>
    <s v="NULL"/>
  </r>
  <r>
    <x v="103"/>
    <x v="7"/>
    <n v="20605271007"/>
    <s v="SAN ISIDRO BELLAVISTA E.I.R.L."/>
    <s v="."/>
    <n v="10264385"/>
    <s v="Impulso Mixto"/>
    <s v="B45373"/>
    <n v="76653.328125"/>
    <d v="2024-12-30T00:00:00"/>
    <n v="14"/>
    <s v="TLV"/>
    <s v="TLV"/>
    <s v="Impulso MyPeru Comercial"/>
    <n v="202412"/>
    <n v="90004.5"/>
    <s v="B45373"/>
    <x v="13"/>
    <s v="B45384"/>
    <x v="6"/>
    <x v="4"/>
    <x v="2"/>
    <s v="P1"/>
    <s v="C2"/>
    <n v="1"/>
    <x v="0"/>
    <n v="0"/>
    <n v="0"/>
    <n v="0"/>
    <x v="0"/>
    <n v="0"/>
    <s v="NULL"/>
    <s v="NULL"/>
    <s v="NULL"/>
    <s v="NULL"/>
    <s v="NULL"/>
    <n v="60200"/>
    <n v="0.21"/>
    <n v="0.19"/>
    <s v="NULL"/>
    <s v="NULL"/>
  </r>
  <r>
    <x v="104"/>
    <x v="1"/>
    <n v="20544539907"/>
    <s v="LOGISTICS FREIGHT FORWARDING"/>
    <s v="."/>
    <n v="10265791"/>
    <s v="Nuevo NO BANK"/>
    <s v="BPECND"/>
    <n v="11271.9140625"/>
    <d v="2025-02-27T00:00:00"/>
    <n v="21.700001"/>
    <s v="TLV"/>
    <s v="TLV"/>
    <s v="Nuevo Aprobado EN"/>
    <n v="202502"/>
    <n v="30001.5"/>
    <s v="B45373"/>
    <x v="13"/>
    <s v="B45384"/>
    <x v="6"/>
    <x v="5"/>
    <x v="2"/>
    <s v="P5"/>
    <s v="C3"/>
    <n v="1"/>
    <x v="0"/>
    <n v="0"/>
    <n v="0"/>
    <n v="0"/>
    <x v="2"/>
    <n v="0"/>
    <s v="NULL"/>
    <s v="NULL"/>
    <s v="NULL"/>
    <s v="NULL"/>
    <s v="NULL"/>
    <n v="50000"/>
    <n v="0.22170000000000001"/>
    <n v="0.20169999999999999"/>
    <s v="NULL"/>
    <s v="NULL"/>
  </r>
  <r>
    <x v="105"/>
    <x v="1"/>
    <n v="20602235646"/>
    <s v="DELEXPORT"/>
    <s v="."/>
    <n v="10265714"/>
    <s v="CDD APROBADO"/>
    <s v="B45869"/>
    <n v="183304.359375"/>
    <d v="2025-02-26T00:00:00"/>
    <n v="13"/>
    <s v="TLV"/>
    <s v="TLV"/>
    <s v="Nuevo Aprobado Agil CD"/>
    <n v="202502"/>
    <n v="250012.5"/>
    <s v="B45869"/>
    <x v="50"/>
    <s v="B14821"/>
    <x v="3"/>
    <x v="5"/>
    <x v="0"/>
    <s v="P1"/>
    <s v="C1_2"/>
    <n v="1"/>
    <x v="1"/>
    <n v="0"/>
    <n v="0"/>
    <n v="0"/>
    <x v="0"/>
    <n v="0"/>
    <s v="NULL"/>
    <s v="NULL"/>
    <s v="NULL"/>
    <s v="NULL"/>
    <s v="NULL"/>
    <n v="130000"/>
    <n v="0.26169999999999999"/>
    <n v="0.2417"/>
    <s v="NULL"/>
    <s v="NULL"/>
  </r>
  <r>
    <x v="106"/>
    <x v="7"/>
    <n v="20605458212"/>
    <s v="DYVAG PERU E.I.R.L."/>
    <s v="."/>
    <n v="10266634"/>
    <s v="Nuevo pre Aprobado"/>
    <s v="B30094"/>
    <n v="64311.8984375"/>
    <d v="2025-03-27T00:00:00"/>
    <n v="18"/>
    <s v="TIENDAS"/>
    <s v="VENDORS"/>
    <s v="Nuevo Pre-aprobado"/>
    <n v="202503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7"/>
    <x v="9"/>
    <n v="10293129679"/>
    <s v="ROMERO CASTILLO HUGO WALTER"/>
    <n v="29312967"/>
    <n v="10267574"/>
    <s v="Nuevo Aprobado"/>
    <s v="B33170"/>
    <n v="50002.50390625"/>
    <d v="2025-04-30T00:00:00"/>
    <n v="22"/>
    <s v="TLV"/>
    <s v="TLV"/>
    <s v="Nuevo Aprobado EN"/>
    <n v="202504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8"/>
    <x v="7"/>
    <n v="20607916684"/>
    <s v="INVERSIONES Y DISTRIBUCIONES RAMOS S &amp; A"/>
    <s v="."/>
    <n v="10265738"/>
    <s v="Nuevo pre Aprobado"/>
    <s v="B45374"/>
    <n v="82122.6328125"/>
    <d v="2025-02-26T00:00:00"/>
    <n v="17"/>
    <s v="TIENDAS"/>
    <s v="TIENDAS"/>
    <s v="Nuevo Pre-aprobado"/>
    <n v="202502"/>
    <n v="140007"/>
    <s v="B45374"/>
    <x v="21"/>
    <s v="B45384"/>
    <x v="6"/>
    <x v="4"/>
    <x v="2"/>
    <s v="P1"/>
    <s v="C1_1"/>
    <n v="1"/>
    <x v="0"/>
    <n v="0"/>
    <n v="0"/>
    <n v="1"/>
    <x v="0"/>
    <n v="0"/>
    <s v="NULL"/>
    <s v="NULL"/>
    <s v="NULL"/>
    <s v="NULL"/>
    <s v="NULL"/>
    <n v="400000"/>
    <n v="0.21"/>
    <n v="0.19"/>
    <s v="NULL"/>
    <s v="NULL"/>
  </r>
  <r>
    <x v="109"/>
    <x v="5"/>
    <n v="20546048072"/>
    <s v="MENATEX"/>
    <s v="."/>
    <n v="10266192"/>
    <s v="Regular Sin Campaña"/>
    <s v="B36574"/>
    <n v="247616.90625"/>
    <d v="2025-03-14T00:00:00"/>
    <n v="14.5"/>
    <s v="TIENDAS"/>
    <s v="TIENDAS"/>
    <s v="Gestion Cartera"/>
    <n v="202503"/>
    <n v="300015"/>
    <s v="B36574"/>
    <x v="51"/>
    <s v="B13161"/>
    <x v="9"/>
    <x v="4"/>
    <x v="0"/>
    <s v="P1"/>
    <s v="C1_1"/>
    <n v="1"/>
    <x v="0"/>
    <n v="0"/>
    <n v="0"/>
    <n v="1"/>
    <x v="0"/>
    <n v="0"/>
    <s v="NULL"/>
    <s v="NULL"/>
    <s v="NULL"/>
    <s v="NULL"/>
    <s v="NULL"/>
    <n v="140800"/>
    <n v="0.18"/>
    <n v="0.16"/>
    <s v="NULL"/>
    <s v="NULL"/>
  </r>
  <r>
    <x v="110"/>
    <x v="8"/>
    <n v="20600011813"/>
    <s v="PIEZITAS IMPORT"/>
    <s v="."/>
    <n v="10262994"/>
    <s v="CT Garantía"/>
    <s v="B27693"/>
    <n v="323239.875"/>
    <d v="2024-11-25T00:00:00"/>
    <n v="11.9"/>
    <s v="TIENDAS"/>
    <s v="TIENDAS"/>
    <s v="NULL"/>
    <n v="202411"/>
    <n v="400020"/>
    <s v="B27693"/>
    <x v="52"/>
    <s v="B27274"/>
    <x v="0"/>
    <x v="6"/>
    <x v="0"/>
    <s v="P1"/>
    <s v="NULL"/>
    <n v="1"/>
    <x v="0"/>
    <n v="0"/>
    <n v="0"/>
    <n v="1"/>
    <x v="0"/>
    <n v="0"/>
    <s v="NULL"/>
    <s v="NULL"/>
    <s v="NULL"/>
    <s v="NULL"/>
    <s v="NULL"/>
    <n v="120000"/>
    <n v="0.21"/>
    <n v="0.19"/>
    <s v="NULL"/>
    <s v="NULL"/>
  </r>
  <r>
    <x v="111"/>
    <x v="7"/>
    <n v="20554910549"/>
    <s v="GUES DATA"/>
    <s v="."/>
    <n v="10268132"/>
    <s v="Nuevo Aprobado"/>
    <s v="B37955"/>
    <n v="116880.265625"/>
    <d v="2025-05-26T00:00:00"/>
    <n v="17"/>
    <s v="TLV"/>
    <s v="TLV"/>
    <s v="Nuevo Aprobado EN"/>
    <n v="202505"/>
    <n v="150007.5"/>
    <s v="B37955"/>
    <x v="53"/>
    <s v="B27274"/>
    <x v="0"/>
    <x v="4"/>
    <x v="0"/>
    <s v="P1"/>
    <s v="C1_2"/>
    <n v="1"/>
    <x v="0"/>
    <n v="0"/>
    <n v="0"/>
    <n v="1"/>
    <x v="0"/>
    <n v="0"/>
    <s v="NULL"/>
    <s v="NULL"/>
    <s v="NULL"/>
    <s v="NULL"/>
    <s v="NULL"/>
    <n v="250000"/>
    <n v="0.26379999999999998"/>
    <n v="0.24379999999999999"/>
    <s v="NULL"/>
    <s v="NULL"/>
  </r>
  <r>
    <x v="112"/>
    <x v="9"/>
    <n v="20555229101"/>
    <s v="COLOR´S &amp; TENDENCIA INNOVATION TEXTILE"/>
    <s v="."/>
    <n v="10264394"/>
    <s v="Regular Sin Campaña"/>
    <s v="B36343"/>
    <n v="298671.8125"/>
    <d v="2024-12-30T00:00:00"/>
    <n v="16"/>
    <s v="TIENDAS"/>
    <s v="TIENDAS"/>
    <s v="NULL"/>
    <n v="202412"/>
    <n v="300015"/>
    <s v="B36343"/>
    <x v="40"/>
    <s v="B13161"/>
    <x v="9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.23780000000000001"/>
    <s v="NULL"/>
    <s v="NULL"/>
  </r>
  <r>
    <x v="113"/>
    <x v="3"/>
    <n v="20604823910"/>
    <s v="LA QUE MANDA ES LA SAZON"/>
    <s v="."/>
    <n v="10264764"/>
    <s v="Nuevo pre Aprobado"/>
    <s v="B28358"/>
    <n v="117098.515625"/>
    <d v="2025-01-23T00:00:00"/>
    <n v="21.200001"/>
    <s v="TIENDAS"/>
    <s v="TIENDAS"/>
    <s v="Nuevo Pre-aprobado"/>
    <n v="202501"/>
    <n v="120006"/>
    <s v="B28358"/>
    <x v="33"/>
    <s v="B27274"/>
    <x v="0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114"/>
    <x v="6"/>
    <n v="20601363802"/>
    <s v="MULTISERVICIOS LIFER &amp; EB S.A.C."/>
    <s v="."/>
    <n v="10271453"/>
    <s v="Ágil Recurrente CEM"/>
    <s v="B25972"/>
    <n v="3402.6484375"/>
    <d v="2025-09-17T00:00:00"/>
    <n v="23.219999000000001"/>
    <s v="TIENDAS"/>
    <s v="TIENDAS"/>
    <s v="Recurrente Ágil CEM"/>
    <n v="202509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5"/>
    <x v="7"/>
    <n v="20392676083"/>
    <s v="TRANSPORTES LD ROJAS"/>
    <s v="."/>
    <n v="10271182"/>
    <s v="Regular Sin Campaña"/>
    <s v="B27596"/>
    <n v="139169.28125"/>
    <d v="2025-09-10T00:00:00"/>
    <n v="16"/>
    <s v="TIENDAS"/>
    <s v="VENDORS"/>
    <s v="Gestion Cartera"/>
    <n v="202509"/>
    <n v="150007.5"/>
    <s v="B27596"/>
    <x v="38"/>
    <s v="B13988"/>
    <x v="8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16"/>
    <x v="7"/>
    <n v="20602271774"/>
    <s v="CIRUJANOS A TU SERVICIO"/>
    <s v="."/>
    <n v="10271478"/>
    <s v="CDD APROBADO"/>
    <s v="B46366"/>
    <n v="162995.78125"/>
    <d v="2025-09-18T00:00:00"/>
    <n v="14"/>
    <s v="TLV"/>
    <s v="TLV"/>
    <s v="Nuevo Aprobado Agil CD"/>
    <n v="202509"/>
    <n v="170795"/>
    <s v="B46366"/>
    <x v="30"/>
    <s v="B45083"/>
    <x v="7"/>
    <x v="1"/>
    <x v="2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17"/>
    <x v="0"/>
    <n v="20514431362"/>
    <s v="CGI CONTRATISTAS GENERALES S.A.C."/>
    <s v="."/>
    <n v="10271600"/>
    <s v="Ágil Recurrente CEM"/>
    <s v="B45631"/>
    <n v="222871.21875"/>
    <d v="2025-09-22T00:00:00"/>
    <n v="16.8"/>
    <s v="TIENDAS"/>
    <s v="TIENDAS"/>
    <s v="Recurrente Ágil CEM"/>
    <n v="202509"/>
    <n v="250012.5"/>
    <s v="B45631"/>
    <x v="54"/>
    <s v="B27274"/>
    <x v="0"/>
    <x v="0"/>
    <x v="0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18"/>
    <x v="5"/>
    <n v="20553205191"/>
    <s v="YOUROUTLET PERU"/>
    <s v="."/>
    <n v="10268631"/>
    <s v="Ágil Recurrente CEM"/>
    <s v="B14327"/>
    <n v="267204.375"/>
    <d v="2025-06-12T00:00:00"/>
    <n v="15.5"/>
    <s v="TIENDAS"/>
    <s v="TIENDAS"/>
    <s v="Recurrente Ágil CEM"/>
    <n v="202506"/>
    <n v="300015"/>
    <s v="B14327"/>
    <x v="49"/>
    <s v="B27274"/>
    <x v="0"/>
    <x v="7"/>
    <x v="0"/>
    <s v="P1"/>
    <s v="C2"/>
    <n v="1"/>
    <x v="0"/>
    <n v="0"/>
    <n v="0"/>
    <n v="1"/>
    <x v="0"/>
    <n v="0"/>
    <s v="NULL"/>
    <s v="NULL"/>
    <s v="NULL"/>
    <s v="NULL"/>
    <s v="NULL"/>
    <n v="43000"/>
    <n v="0.19"/>
    <n v="0.17"/>
    <s v="NULL"/>
    <s v="NULL"/>
  </r>
  <r>
    <x v="119"/>
    <x v="6"/>
    <n v="20487461106"/>
    <s v="SEIRE S.A.C."/>
    <s v="."/>
    <n v="10268663"/>
    <s v="Nuevo Aprobado"/>
    <s v="B45076"/>
    <n v="34137.484375"/>
    <d v="2025-06-13T00:00:00"/>
    <n v="18"/>
    <s v="TLV"/>
    <s v="TLV"/>
    <s v="Nuevo Aprobado EN"/>
    <n v="202506"/>
    <n v="39886.949999999997"/>
    <s v="B45076"/>
    <x v="18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20"/>
    <x v="8"/>
    <n v="10463959442"/>
    <s v="ROLDAN MORENO EFRAIN AURELIANO"/>
    <n v="46395944"/>
    <n v="10267461"/>
    <s v="Regular Sin Campaña"/>
    <s v="B25972"/>
    <n v="93071.3359375"/>
    <d v="2025-04-29T00:00:00"/>
    <n v="18"/>
    <s v="TIENDAS"/>
    <s v="VENDORS"/>
    <s v="Gestion Cartera"/>
    <n v="202504"/>
    <n v="100005"/>
    <s v="B25972"/>
    <x v="55"/>
    <s v="B14530"/>
    <x v="5"/>
    <x v="1"/>
    <x v="0"/>
    <s v="P2"/>
    <s v="NULL"/>
    <n v="1"/>
    <x v="1"/>
    <n v="0"/>
    <n v="0"/>
    <n v="0"/>
    <x v="0"/>
    <n v="0"/>
    <s v="NULL"/>
    <s v="NULL"/>
    <s v="NULL"/>
    <s v="NULL"/>
    <s v="NULL"/>
    <n v="1"/>
    <n v="0.21279999999999999"/>
    <n v="0"/>
    <s v="NULL"/>
    <s v="NULL"/>
  </r>
  <r>
    <x v="85"/>
    <x v="12"/>
    <n v="10296176155"/>
    <s v="VEGA QUISPE AMADOR"/>
    <n v="29617615"/>
    <n v="10263715"/>
    <s v="Impulso Mixto"/>
    <s v="B16475"/>
    <n v="48199.60546875"/>
    <d v="2024-12-13T00:00:00"/>
    <n v="16.200001"/>
    <s v="TLV"/>
    <s v="TLV"/>
    <s v="Impulso MyPeru Comercial"/>
    <n v="202412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21"/>
    <x v="9"/>
    <n v="20601590299"/>
    <s v="TORRECID DO BRASIL FRITAS ESMALTES E COR"/>
    <s v="."/>
    <n v="10262088"/>
    <s v="Impulso Solo"/>
    <s v="B27035"/>
    <n v="50002.50390625"/>
    <d v="2024-10-28T00:00:00"/>
    <n v="16.829999999999998"/>
    <s v="TLV"/>
    <s v="TLV"/>
    <s v="Impulso MyPeru Comercial"/>
    <n v="202410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22"/>
    <x v="7"/>
    <n v="20603960093"/>
    <s v="HERMANAS GELATO"/>
    <s v="."/>
    <n v="10262142"/>
    <s v="Impulso Solo"/>
    <s v="B45631"/>
    <n v="70118.9453125"/>
    <d v="2024-10-28T00:00:00"/>
    <n v="16.5"/>
    <s v="TIENDAS"/>
    <s v="TIENDAS"/>
    <s v="Impulso MyPeru Comercial"/>
    <n v="202410"/>
    <n v="90004.5"/>
    <s v="B45631"/>
    <x v="54"/>
    <s v="B27274"/>
    <x v="0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23"/>
    <x v="11"/>
    <n v="20609161036"/>
    <s v="MUNNAY CENTRO MEDICO E.I.R.L."/>
    <s v="."/>
    <n v="10255388"/>
    <s v="Impulso Solo"/>
    <s v="B33958"/>
    <n v="51165.99609375"/>
    <d v="2024-06-18T00:00:00"/>
    <n v="15.5"/>
    <s v="TLV"/>
    <s v="TLV"/>
    <s v="Impulso MyPeru Comercial"/>
    <n v="202406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24"/>
    <x v="1"/>
    <n v="20601200601"/>
    <s v="CENTRO DE ODONTOPEDIATRIA DIAZ"/>
    <s v="."/>
    <n v="10272480"/>
    <s v="Nuevo Aprobado"/>
    <s v="B45372"/>
    <n v="89245.5625"/>
    <d v="2025-10-23T00:00:00"/>
    <n v="17"/>
    <s v="TIENDAS VIRTUALES"/>
    <s v="TIENDAS VIRTUALES"/>
    <s v="Nuevo Aprobado EN"/>
    <n v="202510"/>
    <n v="100005"/>
    <s v="B45372"/>
    <x v="56"/>
    <s v="B45384"/>
    <x v="6"/>
    <x v="1"/>
    <x v="2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125"/>
    <x v="6"/>
    <n v="20568570520"/>
    <s v="INVERSIONES IRWIN EMPRESA INDIVIDUAL DE"/>
    <s v="."/>
    <n v="10270338"/>
    <s v="Nuevo Aprobado Ágil"/>
    <s v="B45371"/>
    <n v="45073.125"/>
    <d v="2025-08-13T00:00:00"/>
    <n v="18.7"/>
    <s v="TLV"/>
    <s v="VENDORS"/>
    <s v="Nuevo Aprobado Agil"/>
    <n v="202508"/>
    <n v="50002.5"/>
    <s v="B45371"/>
    <x v="15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26"/>
    <x v="5"/>
    <n v="20606077433"/>
    <s v="KEMACH WELDING E.I.R.L"/>
    <s v="."/>
    <n v="10257427"/>
    <s v="Impulso Solo"/>
    <s v="B45869"/>
    <n v="63012.76953125"/>
    <d v="2024-07-17T00:00:00"/>
    <n v="16.399999999999999"/>
    <s v="TLV"/>
    <s v="TLV"/>
    <s v="Impulso MyPeru Comercial"/>
    <n v="202407"/>
    <n v="90004.5"/>
    <s v="B45869"/>
    <x v="50"/>
    <s v="B14821"/>
    <x v="3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27"/>
    <x v="10"/>
    <n v="20522148823"/>
    <s v="NIZARE Y CIA S.R.L."/>
    <s v="."/>
    <n v="10265909"/>
    <s v="Regular Sin Campaña"/>
    <s v="B27880"/>
    <n v="75814.984375"/>
    <d v="2025-02-28T00:00:00"/>
    <n v="17.5"/>
    <s v="TIENDAS"/>
    <s v="VENDORS"/>
    <s v="Gestion Cartera"/>
    <n v="202502"/>
    <n v="130006.5"/>
    <s v="B27880"/>
    <x v="6"/>
    <s v="B14821"/>
    <x v="3"/>
    <x v="5"/>
    <x v="0"/>
    <s v="P1"/>
    <s v="C1_2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128"/>
    <x v="6"/>
    <n v="10703495406"/>
    <s v="PALACIOS TORRES SERGIO GABRIEL"/>
    <n v="70349540"/>
    <n v="10263050"/>
    <s v="Impulso Solo"/>
    <s v="B24783"/>
    <n v="25209.529296875"/>
    <d v="2024-11-26T00:00:00"/>
    <n v="14.8"/>
    <s v="TLV"/>
    <s v="TLV"/>
    <s v="Impulso MyPeru Comercial"/>
    <n v="202411"/>
    <n v="90004.5"/>
    <s v="B24783"/>
    <x v="24"/>
    <s v="B45083"/>
    <x v="7"/>
    <x v="4"/>
    <x v="2"/>
    <s v="P2"/>
    <s v="NULL"/>
    <n v="1"/>
    <x v="1"/>
    <n v="0"/>
    <n v="0"/>
    <n v="0"/>
    <x v="0"/>
    <n v="0"/>
    <s v="NULL"/>
    <s v="NULL"/>
    <s v="NULL"/>
    <s v="NULL"/>
    <s v="NULL"/>
    <n v="200000"/>
    <n v="0.22670000000000001"/>
    <n v="0.20669999999999999"/>
    <s v="NULL"/>
    <s v="NULL"/>
  </r>
  <r>
    <x v="129"/>
    <x v="6"/>
    <n v="20602439152"/>
    <s v="AGREGADOS ALVAREZ"/>
    <s v="."/>
    <n v="10261097"/>
    <s v="Impulso Mixto"/>
    <s v="B44900"/>
    <n v="264060.71875"/>
    <d v="2024-09-27T00:00:00"/>
    <n v="13.49"/>
    <s v="TLV"/>
    <s v="TLV"/>
    <s v="Impulso MyPeru Comercial"/>
    <n v="202409"/>
    <n v="300015"/>
    <s v="B44900"/>
    <x v="19"/>
    <s v="B34489"/>
    <x v="4"/>
    <x v="0"/>
    <x v="0"/>
    <s v="P1"/>
    <s v="NULL"/>
    <n v="1"/>
    <x v="1"/>
    <n v="0"/>
    <n v="0"/>
    <n v="0"/>
    <x v="0"/>
    <n v="0"/>
    <s v="NULL"/>
    <s v="NULL"/>
    <s v="NULL"/>
    <s v="NULL"/>
    <s v="NULL"/>
    <n v="0"/>
    <n v="0"/>
    <n v="0.20169999999999999"/>
    <s v="NULL"/>
    <s v="NULL"/>
  </r>
  <r>
    <x v="130"/>
    <x v="4"/>
    <n v="10804905532"/>
    <s v="HORNA VILLARREAL CARLOS HERNAN"/>
    <n v="80490553"/>
    <n v="10259828"/>
    <s v="Impulso Mixto"/>
    <s v="B33958"/>
    <n v="15000.7626953125"/>
    <d v="2024-08-28T00:00:00"/>
    <n v="15.5"/>
    <s v="TLV"/>
    <s v="TLV"/>
    <s v="Impulso MyPeru Comercial"/>
    <n v="202408"/>
    <n v="15000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31"/>
    <x v="1"/>
    <n v="20612056707"/>
    <s v="FERRETERIA 360"/>
    <s v="."/>
    <n v="10272396"/>
    <s v="Ágil Recurrente CEM"/>
    <s v="B45750"/>
    <n v="72345.515625"/>
    <d v="2025-10-21T00:00:00"/>
    <n v="19"/>
    <s v="TIENDAS VIRTUALES"/>
    <s v="TIENDAS VIRTUALES"/>
    <s v="Recurrente Ágil CEM"/>
    <n v="202510"/>
    <n v="85004.25"/>
    <s v="B45750"/>
    <x v="5"/>
    <s v="B14530"/>
    <x v="5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132"/>
    <x v="2"/>
    <n v="10020481663"/>
    <s v="PAJA LUNA VILMA"/>
    <n v="2048166"/>
    <n v="10254537"/>
    <s v="Impulso Solo"/>
    <s v="B33958"/>
    <n v="51421.69921875"/>
    <d v="2024-05-31T00:00:00"/>
    <n v="14.7"/>
    <s v="TLV"/>
    <s v="TLV"/>
    <s v="Impulso MyPeru Comercial"/>
    <n v="202405"/>
    <n v="78273.899999999994"/>
    <s v="B45079"/>
    <x v="17"/>
    <s v="B45083"/>
    <x v="7"/>
    <x v="4"/>
    <x v="2"/>
    <s v="P2"/>
    <s v="NULL"/>
    <n v="1"/>
    <x v="1"/>
    <n v="0"/>
    <n v="0"/>
    <n v="0"/>
    <x v="2"/>
    <n v="0"/>
    <s v="NULL"/>
    <s v="NULL"/>
    <s v="NULL"/>
    <s v="NULL"/>
    <s v="NULL"/>
    <n v="200000"/>
    <n v="0.25"/>
    <n v="0.23330000000000001"/>
    <s v="NULL"/>
    <s v="NULL"/>
  </r>
  <r>
    <x v="133"/>
    <x v="7"/>
    <n v="20608434659"/>
    <s v="J &amp; M IMPORTACIONES METAL"/>
    <s v="."/>
    <n v="10273596"/>
    <s v="CT Garantía"/>
    <s v="BPECND"/>
    <n v="915495.3125"/>
    <d v="2025-11-28T00:00:00"/>
    <n v="11.8"/>
    <s v="TIENDAS"/>
    <s v="VENDORS"/>
    <s v="Gestion Cartera"/>
    <n v="202511"/>
    <n v="924846.2"/>
    <s v="B34669"/>
    <x v="7"/>
    <s v="B34489"/>
    <x v="4"/>
    <x v="1"/>
    <x v="0"/>
    <s v="P1"/>
    <s v="C3"/>
    <n v="1"/>
    <x v="0"/>
    <n v="1"/>
    <n v="1"/>
    <n v="1"/>
    <x v="2"/>
    <n v="924846.2"/>
    <n v="11.8"/>
    <d v="2025-11-28T00:00:00"/>
    <s v="Gestion Cartera"/>
    <s v="VENDORS"/>
    <s v="CAPITAL DE TRABAJO"/>
    <s v="NULL"/>
    <s v="NULL"/>
    <s v="NULL"/>
    <s v="NULL"/>
    <s v="NULL"/>
  </r>
  <r>
    <x v="134"/>
    <x v="0"/>
    <n v="20558224763"/>
    <s v="FILM TUNING"/>
    <s v="."/>
    <n v="10269583"/>
    <s v="Nuevo Aprobado"/>
    <s v="B45240"/>
    <n v="64998.99609375"/>
    <d v="2025-07-14T00:00:00"/>
    <n v="21.6"/>
    <s v="TIENDAS VIRTUALES"/>
    <s v="TIENDAS VIRTUALES"/>
    <s v="Nuevo Aprobado EN"/>
    <n v="202507"/>
    <n v="102924.1"/>
    <s v="B45240"/>
    <x v="57"/>
    <s v="B45083"/>
    <x v="7"/>
    <x v="1"/>
    <x v="2"/>
    <s v="P1"/>
    <s v="C1_1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135"/>
    <x v="11"/>
    <n v="20214791103"/>
    <s v="MADIMEL"/>
    <s v="."/>
    <n v="10266814"/>
    <s v="CT PERIODO DE GRACIA PARCIAL"/>
    <s v="BPECND"/>
    <n v="20684.994140625"/>
    <d v="2025-03-31T00:00:00"/>
    <n v="20.48"/>
    <s v="TLV"/>
    <s v="VENDORS"/>
    <s v="Impulso MyPeru Comercial"/>
    <n v="202503"/>
    <n v="60403"/>
    <s v="B45439"/>
    <x v="2"/>
    <s v="NULL"/>
    <x v="2"/>
    <x v="13"/>
    <x v="2"/>
    <s v="P1"/>
    <s v="NULL"/>
    <n v="1"/>
    <x v="1"/>
    <n v="0"/>
    <n v="0"/>
    <n v="0"/>
    <x v="2"/>
    <n v="0"/>
    <s v="NULL"/>
    <s v="NULL"/>
    <s v="NULL"/>
    <s v="NULL"/>
    <s v="NULL"/>
    <n v="600000"/>
    <n v="0.17899999999999999"/>
    <n v="0.159"/>
    <s v="NULL"/>
    <s v="NULL"/>
  </r>
  <r>
    <x v="136"/>
    <x v="8"/>
    <n v="20604093555"/>
    <s v="COUNTRY CLUB TIABAYA SOCIEDAD ANONIMA CE"/>
    <s v="."/>
    <n v="10267121"/>
    <s v="CDD PRE APROBADO"/>
    <s v="B33894"/>
    <n v="280399.59375"/>
    <d v="2025-04-16T00:00:00"/>
    <n v="16"/>
    <s v="TIENDAS"/>
    <s v="TIENDAS"/>
    <s v="Recurrente Aprobado CD"/>
    <n v="202504"/>
    <n v="300015"/>
    <s v="B33894"/>
    <x v="36"/>
    <s v="B34489"/>
    <x v="4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0380000000000001"/>
    <n v="0"/>
    <s v="NULL"/>
    <s v="NULL"/>
  </r>
  <r>
    <x v="137"/>
    <x v="11"/>
    <n v="10223031728"/>
    <s v="Q SSHO TEAGUA ZAR OHMAR"/>
    <n v="22303172"/>
    <n v="10265726"/>
    <s v="CDD APROBADO"/>
    <s v="B11277"/>
    <n v="61309.25390625"/>
    <d v="2025-02-26T00:00:00"/>
    <n v="16.7"/>
    <s v="TLV"/>
    <s v="TLV"/>
    <s v="Nuevo Aprobado Agil CD"/>
    <n v="202502"/>
    <n v="72606.44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38"/>
    <x v="6"/>
    <n v="20602167748"/>
    <s v="SERVICE &amp; CATERING MI DIVINO NIÑO"/>
    <s v="."/>
    <n v="10235463"/>
    <s v="Nuevo pre Aprobado"/>
    <s v="B28664"/>
    <n v="9206.021484375"/>
    <d v="2023-03-24T00:00:00"/>
    <n v="22.9"/>
    <s v="TIENDAS"/>
    <s v="TIENDAS"/>
    <s v="Nuevo Pre-aprobado"/>
    <n v="202303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39"/>
    <x v="2"/>
    <n v="10401098807"/>
    <s v="RONDON MEDINA ALEX NESTOR"/>
    <n v="40109880"/>
    <n v="10250782"/>
    <s v="Impulso CDI Cobertura"/>
    <s v="BPECND"/>
    <n v="52337.58203125"/>
    <d v="2024-04-12T00:00:00"/>
    <n v="14.2"/>
    <s v="TIENDAS"/>
    <s v="TIENDAS"/>
    <s v="Impulso MyPeru Comercial"/>
    <n v="202404"/>
    <n v="85004.2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40"/>
    <x v="12"/>
    <n v="20552283610"/>
    <s v="VERTICE IT"/>
    <s v="."/>
    <n v="10191375"/>
    <s v="Reactiva"/>
    <s v="B45076"/>
    <n v="11373.220703125"/>
    <s v="NULL"/>
    <s v="NULL"/>
    <s v="NULL"/>
    <s v="NULL"/>
    <s v="NULL"/>
    <s v="NULL"/>
    <s v="NULL"/>
    <s v="B45076"/>
    <x v="58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283"/>
    <s v="NULL"/>
    <s v="NULL"/>
    <s v="NULL"/>
  </r>
  <r>
    <x v="141"/>
    <x v="8"/>
    <n v="20477613951"/>
    <s v="INVERSIONES Y NEGOCIACIONES RODRIVAL"/>
    <s v="."/>
    <n v="10203161"/>
    <s v="Reactiva"/>
    <s v="B24783"/>
    <n v="14336.712890625"/>
    <s v="NULL"/>
    <s v="NULL"/>
    <s v="NULL"/>
    <s v="NULL"/>
    <s v="NULL"/>
    <s v="NULL"/>
    <s v="NULL"/>
    <s v="B24783"/>
    <x v="24"/>
    <s v="B45083"/>
    <x v="7"/>
    <x v="1"/>
    <x v="2"/>
    <s v="P1"/>
    <s v="NULL"/>
    <n v="1"/>
    <x v="0"/>
    <n v="0"/>
    <n v="0"/>
    <n v="1"/>
    <x v="0"/>
    <n v="0"/>
    <s v="NULL"/>
    <s v="NULL"/>
    <s v="NULL"/>
    <s v="NULL"/>
    <s v="NULL"/>
    <n v="1"/>
    <n v="0.2238"/>
    <s v="NULL"/>
    <s v="NULL"/>
    <s v="NULL"/>
  </r>
  <r>
    <x v="142"/>
    <x v="4"/>
    <n v="20606489308"/>
    <s v="DELTA B &amp; M SERVICIOS GENERALES"/>
    <s v="."/>
    <n v="10264958"/>
    <s v="Nuevo pre Aprobado"/>
    <s v="B30637"/>
    <n v="30200.341796875"/>
    <d v="2025-01-30T00:00:00"/>
    <n v="19.200001"/>
    <s v="TIENDAS"/>
    <s v="TIENDAS"/>
    <s v="Nuevo Pre-aprobado"/>
    <n v="202501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43"/>
    <x v="5"/>
    <n v="20608805401"/>
    <s v="CLÍNICA VETERINARIA MI MASCOTA"/>
    <s v="."/>
    <n v="10253023"/>
    <s v="Impulso Mixto"/>
    <s v="B37981"/>
    <n v="55849.7890625"/>
    <d v="2024-05-16T00:00:00"/>
    <n v="16.5"/>
    <s v="TLV"/>
    <s v="TLV"/>
    <s v="Impulso MyPeru Comercial"/>
    <n v="202405"/>
    <n v="90004.5"/>
    <s v="B37981"/>
    <x v="4"/>
    <s v="B34489"/>
    <x v="4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44"/>
    <x v="11"/>
    <n v="10180567254"/>
    <s v="GARCIA VALENCIA ELADIO MAXIMO"/>
    <n v="18056725"/>
    <n v="10250181"/>
    <s v="Impulso Mixto"/>
    <s v="BPECND"/>
    <n v="22112.62109375"/>
    <d v="2024-03-27T00:00:00"/>
    <n v="15"/>
    <s v="TIENDAS"/>
    <s v="TIENDAS"/>
    <s v="Impulso MyPeru Comercial"/>
    <n v="202403"/>
    <n v="30001.5"/>
    <s v="B45386"/>
    <x v="2"/>
    <s v="NULL"/>
    <x v="2"/>
    <x v="4"/>
    <x v="2"/>
    <s v="P1"/>
    <s v="NULL"/>
    <n v="1"/>
    <x v="0"/>
    <n v="0"/>
    <n v="0"/>
    <n v="1"/>
    <x v="2"/>
    <n v="0"/>
    <s v="NULL"/>
    <s v="NULL"/>
    <s v="NULL"/>
    <s v="NULL"/>
    <s v="NULL"/>
    <n v="100000"/>
    <n v="0.22"/>
    <n v="0.20200000000000001"/>
    <s v="NULL"/>
    <s v="NULL"/>
  </r>
  <r>
    <x v="145"/>
    <x v="5"/>
    <n v="10709214140"/>
    <s v="TIBURCIO LEON JUAN MANUEL"/>
    <n v="70921414"/>
    <n v="10251355"/>
    <s v="Impulso CDI Cobertura"/>
    <s v="B27596"/>
    <n v="172181.78125"/>
    <d v="2024-04-23T00:00:00"/>
    <n v="13.7"/>
    <s v="TIENDAS"/>
    <s v="TIENDAS"/>
    <s v="Impulso MyPeru Comercial"/>
    <n v="202404"/>
    <n v="300015"/>
    <s v="B27596"/>
    <x v="38"/>
    <s v="B13988"/>
    <x v="8"/>
    <x v="4"/>
    <x v="0"/>
    <s v="P1"/>
    <s v="C3"/>
    <n v="1"/>
    <x v="0"/>
    <n v="0"/>
    <n v="0"/>
    <n v="1"/>
    <x v="0"/>
    <n v="0"/>
    <s v="NULL"/>
    <s v="NULL"/>
    <s v="NULL"/>
    <s v="NULL"/>
    <s v="NULL"/>
    <n v="200000"/>
    <n v="0.22"/>
    <n v="0.2"/>
    <s v="NULL"/>
    <s v="NULL"/>
  </r>
  <r>
    <x v="146"/>
    <x v="12"/>
    <n v="20601830338"/>
    <s v="INGECORP SEGURIDAD E INGENIERIA"/>
    <s v="."/>
    <n v="10256107"/>
    <s v="Impulso Mixto"/>
    <s v="B20210"/>
    <n v="3508.1171875"/>
    <d v="2024-06-24T00:00:00"/>
    <n v="15.4"/>
    <s v="TIENDAS"/>
    <s v="TIENDAS"/>
    <s v="Impulso MyPeru Comercial"/>
    <n v="202406"/>
    <n v="90004.5"/>
    <s v="B20210"/>
    <x v="39"/>
    <s v="B13161"/>
    <x v="9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0330000000000001"/>
    <s v="NULL"/>
    <s v="NULL"/>
    <s v="NULL"/>
  </r>
  <r>
    <x v="147"/>
    <x v="4"/>
    <n v="20506439133"/>
    <s v="HAPPY BOY IMPORT"/>
    <s v="."/>
    <n v="10244024"/>
    <s v="GIRO DE LINEA"/>
    <s v="B30940"/>
    <n v="12749.041015625"/>
    <d v="2023-09-20T00:00:00"/>
    <n v="21.45"/>
    <s v="TIENDAS"/>
    <s v="TIENDAS"/>
    <s v="Recurrente Ágil CEM"/>
    <n v="202309"/>
    <n v="200010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48"/>
    <x v="7"/>
    <n v="20451813324"/>
    <s v="DECATHLON SPORT PERU"/>
    <s v="."/>
    <n v="10172372"/>
    <s v="GIRO DE LINEA"/>
    <s v="B14972"/>
    <n v="41082.6328125"/>
    <d v="2025-07-07T00:00:00"/>
    <n v="16"/>
    <s v="TIENDAS"/>
    <s v="TIENDAS"/>
    <s v="Giro de Línea"/>
    <n v="202507"/>
    <n v="120006"/>
    <s v="B46358"/>
    <x v="31"/>
    <s v="B13161"/>
    <x v="9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90"/>
    <x v="0"/>
    <n v="20487956687"/>
    <s v="CONSTRUCCIONES HJC"/>
    <s v="."/>
    <n v="10260724"/>
    <s v="GIRO DE LINEA"/>
    <s v="B44120"/>
    <n v="169940.265625"/>
    <d v="2025-09-09T00:00:00"/>
    <n v="19"/>
    <s v="TIENDAS"/>
    <s v="TIENDAS"/>
    <s v="Giro de Línea"/>
    <n v="202509"/>
    <n v="81504.05"/>
    <s v="B44120"/>
    <x v="45"/>
    <s v="B14530"/>
    <x v="5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49"/>
    <x v="2"/>
    <n v="10167693861"/>
    <s v="QUIÑONES QUISPE ROSENDO LIRIO"/>
    <n v="16769386"/>
    <n v="10254971"/>
    <s v="Impulso Mixto"/>
    <s v="B45389"/>
    <n v="62844.02734375"/>
    <d v="2024-06-12T00:00:00"/>
    <n v="15.4"/>
    <s v="TIENDAS"/>
    <s v="TIENDAS"/>
    <s v="Impulso MyPeru Comercial"/>
    <n v="202406"/>
    <n v="90004.5"/>
    <s v="B45389"/>
    <x v="16"/>
    <s v="B45384"/>
    <x v="6"/>
    <x v="1"/>
    <x v="2"/>
    <s v="P2"/>
    <s v="NULL"/>
    <n v="1"/>
    <x v="1"/>
    <n v="0"/>
    <n v="0"/>
    <n v="0"/>
    <x v="0"/>
    <n v="0"/>
    <s v="NULL"/>
    <s v="NULL"/>
    <s v="NULL"/>
    <s v="NULL"/>
    <s v="NULL"/>
    <n v="1"/>
    <n v="0.2843"/>
    <s v="NULL"/>
    <s v="NULL"/>
    <s v="NULL"/>
  </r>
  <r>
    <x v="150"/>
    <x v="2"/>
    <n v="10455511556"/>
    <s v="FUN LEYVA CYNTHIA PIERINA"/>
    <n v="45551155"/>
    <n v="10255459"/>
    <s v="Impulso Mixto"/>
    <s v="B33958"/>
    <n v="27938.943359375"/>
    <d v="2024-06-18T00:00:00"/>
    <n v="15.5"/>
    <s v="TLV"/>
    <s v="TLV"/>
    <s v="Impulso MyPeru Comercial"/>
    <n v="202406"/>
    <n v="40002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51"/>
    <x v="3"/>
    <n v="10074737051"/>
    <s v="NINA COAQUIRA ALEJANDRINA"/>
    <n v="7473705"/>
    <n v="10176037"/>
    <s v="GIRO DE LINEA"/>
    <s v="BPECND"/>
    <n v="13557.587890625"/>
    <d v="2024-05-09T00:00:00"/>
    <n v="19.45"/>
    <s v="TIENDAS"/>
    <s v="TIENDAS"/>
    <s v="Giro de Línea"/>
    <n v="202405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52"/>
    <x v="5"/>
    <n v="20511388300"/>
    <s v="PLASTICOS LIRA"/>
    <s v="."/>
    <n v="10251679"/>
    <s v="Impulso CDI Cobertura"/>
    <s v="B25939"/>
    <n v="103307.6640625"/>
    <d v="2024-04-25T00:00:00"/>
    <n v="13.7"/>
    <s v="TIENDAS"/>
    <s v="TIENDAS"/>
    <s v="Impulso MyPeru Comercial"/>
    <n v="202404"/>
    <n v="180009"/>
    <s v="B25939"/>
    <x v="23"/>
    <s v="B13988"/>
    <x v="8"/>
    <x v="4"/>
    <x v="0"/>
    <s v="P1"/>
    <s v="C1_2"/>
    <n v="1"/>
    <x v="0"/>
    <n v="0"/>
    <n v="1"/>
    <n v="1"/>
    <x v="0"/>
    <n v="0"/>
    <s v="NULL"/>
    <s v="NULL"/>
    <s v="NULL"/>
    <s v="NULL"/>
    <s v="NULL"/>
    <n v="250000"/>
    <n v="0.19"/>
    <n v="0.17"/>
    <s v="NULL"/>
    <s v="NULL"/>
  </r>
  <r>
    <x v="153"/>
    <x v="12"/>
    <n v="20610628231"/>
    <s v="MERCADO PERU E.I.R.L."/>
    <s v="."/>
    <n v="10265512"/>
    <s v="CDD APROBADO"/>
    <s v="BPECND"/>
    <n v="30461.73046875"/>
    <d v="2025-02-20T00:00:00"/>
    <n v="21"/>
    <s v="TLV"/>
    <s v="TLV"/>
    <s v="Nuevo Aprobado Agil CD"/>
    <n v="202502"/>
    <n v="37951.8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54"/>
    <x v="0"/>
    <n v="20487869440"/>
    <s v="NEGOCIOS TROTAMUNDO"/>
    <s v="."/>
    <n v="10156525"/>
    <s v="GIRO DE LINEA"/>
    <s v="B19952"/>
    <n v="87494.6015625"/>
    <d v="2025-10-17T00:00:00"/>
    <n v="16.3"/>
    <s v="TIENDAS VIRTUALES"/>
    <s v="TIENDAS VIRTUALES"/>
    <s v="Giro de Línea"/>
    <n v="202510"/>
    <n v="90004.5"/>
    <s v="NULL"/>
    <x v="2"/>
    <s v="NULL"/>
    <x v="2"/>
    <x v="12"/>
    <x v="3"/>
    <s v="P1"/>
    <s v="C2"/>
    <n v="1"/>
    <x v="0"/>
    <n v="0"/>
    <n v="0"/>
    <n v="1"/>
    <x v="1"/>
    <n v="0"/>
    <s v="NULL"/>
    <s v="NULL"/>
    <s v="NULL"/>
    <s v="NULL"/>
    <s v="NULL"/>
    <s v="NULL"/>
    <s v="NULL"/>
    <s v="NULL"/>
    <s v="TLV C"/>
    <s v="POOL TRANSACCIONAL"/>
  </r>
  <r>
    <x v="155"/>
    <x v="6"/>
    <n v="10266017940"/>
    <s v="LINARES ORTIZ WILDER NATIVIDAD"/>
    <n v="26601794"/>
    <n v="10269870"/>
    <s v="CDD APROBADO"/>
    <s v="BPECND"/>
    <n v="63307.84375"/>
    <d v="2025-07-24T00:00:00"/>
    <n v="18.489999999999998"/>
    <s v="TLV"/>
    <s v="TLV"/>
    <s v="Nuevo Aprobado Agil CD"/>
    <n v="202507"/>
    <n v="84453.9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56"/>
    <x v="10"/>
    <n v="20555612819"/>
    <s v="AJ CARGO"/>
    <s v="."/>
    <n v="10270714"/>
    <s v="CDD APROBADO"/>
    <s v="B45869"/>
    <n v="193165.671875"/>
    <d v="2025-08-26T00:00:00"/>
    <n v="17"/>
    <s v="TLV"/>
    <s v="TLV"/>
    <s v="Nuevo Aprobado Agil CD"/>
    <n v="202508"/>
    <n v="223341.15"/>
    <s v="B45869"/>
    <x v="50"/>
    <s v="B14821"/>
    <x v="3"/>
    <x v="5"/>
    <x v="0"/>
    <s v="P1"/>
    <s v="C1_1"/>
    <n v="1"/>
    <x v="1"/>
    <n v="0"/>
    <n v="0"/>
    <n v="0"/>
    <x v="0"/>
    <n v="0"/>
    <s v="NULL"/>
    <s v="NULL"/>
    <s v="NULL"/>
    <s v="NULL"/>
    <s v="NULL"/>
    <n v="500000"/>
    <n v="0.21"/>
    <n v="0.19"/>
    <s v="NULL"/>
    <s v="NULL"/>
  </r>
  <r>
    <x v="157"/>
    <x v="7"/>
    <n v="20552831765"/>
    <s v="INVERSIONES &amp; PROYECTOS LUDAM"/>
    <s v="."/>
    <n v="10264858"/>
    <s v="Nuevo Aprobado"/>
    <s v="B28007"/>
    <n v="801.86578369140602"/>
    <d v="2025-01-28T00:00:00"/>
    <n v="21.5"/>
    <s v="TLV"/>
    <s v="VENDORS"/>
    <s v="Nuevo Aprobado EN"/>
    <n v="202501"/>
    <n v="20001"/>
    <s v="B28007"/>
    <x v="20"/>
    <s v="B13988"/>
    <x v="8"/>
    <x v="1"/>
    <x v="0"/>
    <s v="P1"/>
    <s v="C2"/>
    <n v="1"/>
    <x v="0"/>
    <n v="0"/>
    <n v="1"/>
    <n v="1"/>
    <x v="0"/>
    <n v="0"/>
    <s v="NULL"/>
    <s v="NULL"/>
    <s v="NULL"/>
    <s v="NULL"/>
    <s v="NULL"/>
    <n v="1"/>
    <n v="1"/>
    <s v="NULL"/>
    <s v="NULL"/>
    <s v="NULL"/>
  </r>
  <r>
    <x v="158"/>
    <x v="7"/>
    <n v="20608748343"/>
    <s v="ESTETICA SIEMPRE BELLA"/>
    <s v="."/>
    <n v="10264864"/>
    <s v="Nuevo Aprobado Ágil"/>
    <s v="B45374"/>
    <n v="26244.78125"/>
    <d v="2025-01-28T00:00:00"/>
    <n v="18.200001"/>
    <s v="TLV"/>
    <s v="TLV"/>
    <s v="Nuevo Aprobado EN"/>
    <n v="202501"/>
    <n v="130006.5"/>
    <s v="B45374"/>
    <x v="21"/>
    <s v="B45384"/>
    <x v="6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59"/>
    <x v="6"/>
    <n v="20602632955"/>
    <s v="PSA IMPORTACIONES"/>
    <s v="."/>
    <n v="10270604"/>
    <s v="CDD APROBADO"/>
    <s v="B45372"/>
    <n v="89980.640625"/>
    <d v="2025-08-22T00:00:00"/>
    <n v="16"/>
    <s v="TIENDAS VIRTUALES"/>
    <s v="TIENDAS VIRTUALES"/>
    <s v="Nuevo Aprobado Agil CD"/>
    <n v="202508"/>
    <n v="100005"/>
    <s v="B45372"/>
    <x v="56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60"/>
    <x v="8"/>
    <n v="10806602120"/>
    <s v="ROMUALDO CHACA JAZMIN"/>
    <n v="80660212"/>
    <n v="10267403"/>
    <s v="CDD APROBADO"/>
    <s v="B30114"/>
    <n v="195109.5625"/>
    <d v="2025-04-28T00:00:00"/>
    <n v="16.8"/>
    <s v="TLV"/>
    <s v="TLV"/>
    <s v="Nuevo Aprobado Agil CD"/>
    <n v="202504"/>
    <n v="208907.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61"/>
    <x v="9"/>
    <n v="20521322404"/>
    <s v="MANIOBRAS PACHECO"/>
    <s v="."/>
    <n v="10264846"/>
    <s v="Renov. Linea"/>
    <s v="B22846"/>
    <n v="73121.203125"/>
    <d v="2025-01-28T00:00:00"/>
    <n v="21.33"/>
    <s v="TIENDAS"/>
    <s v="TIENDAS"/>
    <s v="Recurrente Ágil CEM"/>
    <n v="202501"/>
    <n v="77596.89"/>
    <s v="B22846"/>
    <x v="47"/>
    <s v="B13988"/>
    <x v="8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.27079999999999999"/>
    <s v="NULL"/>
    <s v="NULL"/>
  </r>
  <r>
    <x v="162"/>
    <x v="2"/>
    <n v="20518171683"/>
    <s v="INTERNACIONAL NEW STAR VELOCY"/>
    <s v="."/>
    <n v="10139112"/>
    <s v="GIRO DE LINEA"/>
    <s v="B14972"/>
    <n v="22914.294921875"/>
    <d v="2024-11-22T00:00:00"/>
    <n v="18.5"/>
    <s v="TIENDAS"/>
    <s v="TIENDAS"/>
    <s v="Giro de Línea"/>
    <n v="202411"/>
    <n v="38501.9"/>
    <s v="B14972"/>
    <x v="25"/>
    <s v="B13161"/>
    <x v="9"/>
    <x v="6"/>
    <x v="0"/>
    <s v="P1"/>
    <s v="NULL"/>
    <n v="1"/>
    <x v="0"/>
    <n v="0"/>
    <n v="0"/>
    <n v="1"/>
    <x v="0"/>
    <n v="0"/>
    <s v="NULL"/>
    <s v="NULL"/>
    <s v="NULL"/>
    <s v="NULL"/>
    <s v="NULL"/>
    <n v="55000"/>
    <n v="0.21"/>
    <n v="0.19"/>
    <s v="NULL"/>
    <s v="NULL"/>
  </r>
  <r>
    <x v="163"/>
    <x v="7"/>
    <n v="20549898069"/>
    <s v="CONFECCIONES PALMEREZZI"/>
    <s v="."/>
    <n v="10148923"/>
    <s v="GIRO DE LINEA"/>
    <s v="B19952"/>
    <n v="120005.984375"/>
    <d v="2025-11-28T00:00:00"/>
    <n v="18"/>
    <s v="TIENDAS"/>
    <s v="TIENDAS"/>
    <s v="Giro de Línea"/>
    <n v="202511"/>
    <n v="120006"/>
    <s v="B46504"/>
    <x v="0"/>
    <s v="B27274"/>
    <x v="0"/>
    <x v="6"/>
    <x v="0"/>
    <s v="P1"/>
    <s v="C2"/>
    <n v="1"/>
    <x v="0"/>
    <n v="1"/>
    <n v="1"/>
    <n v="1"/>
    <x v="2"/>
    <n v="120006"/>
    <n v="18"/>
    <d v="2025-11-28T00:00:00"/>
    <s v="Giro de Línea"/>
    <s v="TIENDAS"/>
    <s v="CAPITAL DE TRABAJO"/>
    <s v="NULL"/>
    <s v="NULL"/>
    <s v="NULL"/>
    <s v="NULL"/>
    <s v="NULL"/>
  </r>
  <r>
    <x v="164"/>
    <x v="10"/>
    <n v="20455268525"/>
    <s v="INDUSTRIAS TEKMISUR DEL PERU"/>
    <s v="."/>
    <n v="10272244"/>
    <s v="Nuevo Aprobado"/>
    <s v="B33894"/>
    <n v="238960.84375"/>
    <d v="2025-10-15T00:00:00"/>
    <n v="15.5"/>
    <s v="TIENDAS"/>
    <s v="TIENDAS"/>
    <s v="Nuevo Pre-aprobado"/>
    <n v="202510"/>
    <n v="300015"/>
    <s v="B33894"/>
    <x v="36"/>
    <s v="B34489"/>
    <x v="4"/>
    <x v="5"/>
    <x v="0"/>
    <s v="P1"/>
    <s v="C1_2"/>
    <n v="1"/>
    <x v="0"/>
    <n v="0"/>
    <n v="0"/>
    <n v="1"/>
    <x v="0"/>
    <n v="0"/>
    <s v="NULL"/>
    <s v="NULL"/>
    <s v="NULL"/>
    <s v="NULL"/>
    <s v="NULL"/>
    <n v="90000"/>
    <n v="0.21"/>
    <n v="0.19"/>
    <s v="NULL"/>
    <s v="NULL"/>
  </r>
  <r>
    <x v="165"/>
    <x v="0"/>
    <n v="10408606921"/>
    <s v="MORALES YACTAYO JESUS ALBERTO"/>
    <n v="40860692"/>
    <n v="10268521"/>
    <s v="Nuevo Aprobado"/>
    <s v="B45371"/>
    <n v="23057.298828125"/>
    <d v="2025-06-09T00:00:00"/>
    <n v="20"/>
    <s v="TLV"/>
    <s v="TLV"/>
    <s v="Nuevo Aprobado EN"/>
    <n v="202506"/>
    <n v="50002.5"/>
    <s v="B45371"/>
    <x v="15"/>
    <s v="B45384"/>
    <x v="6"/>
    <x v="0"/>
    <x v="2"/>
    <s v="P2"/>
    <s v="C3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66"/>
    <x v="0"/>
    <n v="20602742360"/>
    <s v="BMK MARKET"/>
    <s v="."/>
    <n v="10268340"/>
    <s v="Nuevo pre Aprobado"/>
    <s v="B25972"/>
    <n v="139076.65625"/>
    <d v="2025-05-30T00:00:00"/>
    <n v="18"/>
    <s v="TIENDAS"/>
    <s v="TIENDAS"/>
    <s v="Nuevo Pre-aprobado"/>
    <n v="202505"/>
    <n v="200010"/>
    <s v="B45750"/>
    <x v="5"/>
    <s v="B14530"/>
    <x v="5"/>
    <x v="0"/>
    <x v="0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67"/>
    <x v="1"/>
    <n v="20603092440"/>
    <s v="NEGOCIOS PARIS INT"/>
    <s v="."/>
    <n v="10268385"/>
    <s v="Nuevo Aprobado"/>
    <s v="B14530"/>
    <n v="223227.640625"/>
    <d v="2025-05-30T00:00:00"/>
    <n v="17"/>
    <s v="TLV"/>
    <s v="TLV"/>
    <s v="Nuevo Aprobado EN"/>
    <n v="202505"/>
    <n v="300015"/>
    <s v="B46884"/>
    <x v="59"/>
    <s v="B14530"/>
    <x v="5"/>
    <x v="1"/>
    <x v="0"/>
    <s v="P1"/>
    <s v="C1_2"/>
    <n v="1"/>
    <x v="0"/>
    <n v="0"/>
    <n v="0"/>
    <n v="1"/>
    <x v="0"/>
    <n v="0"/>
    <s v="NULL"/>
    <s v="NULL"/>
    <s v="NULL"/>
    <s v="NULL"/>
    <s v="NULL"/>
    <n v="1"/>
    <n v="1"/>
    <n v="0.24"/>
    <s v="NULL"/>
    <s v="NULL"/>
  </r>
  <r>
    <x v="168"/>
    <x v="10"/>
    <n v="20602613471"/>
    <s v="SERVICIOS GENERALES ASURCONGA S.R.L."/>
    <s v="."/>
    <n v="10266794"/>
    <s v="Nuevo Aprobado"/>
    <s v="B14530"/>
    <n v="49227.98046875"/>
    <d v="2025-03-31T00:00:00"/>
    <n v="20.5"/>
    <s v="TLV"/>
    <s v="TLV"/>
    <s v="Nuevo Aprobado EN"/>
    <n v="202503"/>
    <n v="102005.1"/>
    <s v="B29768"/>
    <x v="32"/>
    <s v="B14530"/>
    <x v="5"/>
    <x v="5"/>
    <x v="0"/>
    <s v="P1"/>
    <s v="C2"/>
    <n v="1"/>
    <x v="1"/>
    <n v="0"/>
    <n v="0"/>
    <n v="0"/>
    <x v="2"/>
    <n v="0"/>
    <s v="NULL"/>
    <s v="NULL"/>
    <s v="NULL"/>
    <s v="NULL"/>
    <s v="NULL"/>
    <n v="250000"/>
    <n v="0.21"/>
    <n v="0.19"/>
    <s v="NULL"/>
    <s v="NULL"/>
  </r>
  <r>
    <x v="169"/>
    <x v="0"/>
    <n v="20609461790"/>
    <s v="VIVA SOLAR"/>
    <s v="."/>
    <n v="10265164"/>
    <s v="Nuevo pre Aprobado"/>
    <s v="B37955"/>
    <n v="74899.1875"/>
    <d v="2025-02-06T00:00:00"/>
    <n v="18"/>
    <s v="TIENDAS"/>
    <s v="TIENDAS"/>
    <s v="Nuevo Pre-aprobado"/>
    <n v="202502"/>
    <n v="120006"/>
    <s v="B45749"/>
    <x v="9"/>
    <s v="B27274"/>
    <x v="0"/>
    <x v="7"/>
    <x v="0"/>
    <s v="P1"/>
    <s v="C2"/>
    <n v="1"/>
    <x v="0"/>
    <n v="0"/>
    <n v="0"/>
    <n v="1"/>
    <x v="0"/>
    <n v="0"/>
    <s v="NULL"/>
    <s v="NULL"/>
    <s v="NULL"/>
    <s v="NULL"/>
    <s v="NULL"/>
    <n v="106000"/>
    <n v="0.19620000000000001"/>
    <n v="0.1762"/>
    <s v="NULL"/>
    <s v="NULL"/>
  </r>
  <r>
    <x v="170"/>
    <x v="3"/>
    <n v="10426288350"/>
    <s v="BAZAN JAMANCA GIANCARLO"/>
    <n v="42628835"/>
    <n v="10264598"/>
    <s v="Nuevo Aprobado"/>
    <s v="B23842"/>
    <n v="55844.30859375"/>
    <d v="2025-01-16T00:00:00"/>
    <n v="23.200001"/>
    <s v="TLV"/>
    <s v="VENDORS"/>
    <s v="Nuevo Aprobado EN"/>
    <n v="202501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71"/>
    <x v="2"/>
    <n v="20477646027"/>
    <s v="OFTALMO LENTES"/>
    <s v="."/>
    <n v="10269342"/>
    <s v="Nuevo Aprobado Ágil"/>
    <s v="B19952"/>
    <n v="96484.2890625"/>
    <d v="2025-07-04T00:00:00"/>
    <n v="19"/>
    <s v="TLV"/>
    <s v="TLV"/>
    <s v="Nuevo Aprobado Agil"/>
    <n v="202507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72"/>
    <x v="5"/>
    <n v="20545436893"/>
    <s v="FITO LIVE"/>
    <s v="."/>
    <n v="10266653"/>
    <s v="Nuevo NO BANK"/>
    <s v="B45076"/>
    <n v="34924.71875"/>
    <d v="2025-03-28T00:00:00"/>
    <n v="21"/>
    <s v="TLV"/>
    <s v="TLV"/>
    <s v="Nuevo Aprobado EN"/>
    <n v="202503"/>
    <n v="50002.5"/>
    <s v="B45076"/>
    <x v="18"/>
    <s v="B45083"/>
    <x v="7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73"/>
    <x v="2"/>
    <n v="20602130062"/>
    <s v="NEUTRONIC S.A.C."/>
    <s v="."/>
    <n v="10265113"/>
    <s v="CDD APROBADO"/>
    <s v="B45389"/>
    <n v="185481.265625"/>
    <d v="2025-01-31T00:00:00"/>
    <n v="13"/>
    <s v="TLV"/>
    <s v="TLV"/>
    <s v="Nuevo Aprobado Agil CD"/>
    <n v="202501"/>
    <n v="240012"/>
    <s v="B45389"/>
    <x v="16"/>
    <s v="B45384"/>
    <x v="6"/>
    <x v="4"/>
    <x v="2"/>
    <s v="P1"/>
    <s v="NULL"/>
    <n v="1"/>
    <x v="1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174"/>
    <x v="5"/>
    <n v="20455787808"/>
    <s v="GRUPO INFINITI"/>
    <s v="."/>
    <n v="10265746"/>
    <s v="GIRO DE LINEA"/>
    <s v="B44121"/>
    <n v="97439.1640625"/>
    <d v="2025-02-26T00:00:00"/>
    <n v="17.799999"/>
    <s v="TIENDAS"/>
    <s v="TIENDAS"/>
    <s v="Recurrente Ágil CEM"/>
    <n v="202502"/>
    <n v="140007"/>
    <s v="B44121"/>
    <x v="35"/>
    <s v="B34489"/>
    <x v="4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75"/>
    <x v="7"/>
    <n v="10460888692"/>
    <s v="OBANDO TAVARA JOSE MILAGROS"/>
    <n v="46088869"/>
    <n v="10265010"/>
    <s v="CDD APROBADO"/>
    <s v="B39015"/>
    <n v="30779.951171875"/>
    <d v="2025-01-30T00:00:00"/>
    <n v="20.89"/>
    <s v="TLV"/>
    <s v="TLV"/>
    <s v="Nuevo Aprobado Agil CD"/>
    <n v="202501"/>
    <n v="58020.4"/>
    <s v="B39015"/>
    <x v="60"/>
    <s v="B45083"/>
    <x v="7"/>
    <x v="4"/>
    <x v="2"/>
    <s v="P1"/>
    <s v="C3"/>
    <n v="1"/>
    <x v="0"/>
    <n v="0"/>
    <n v="1"/>
    <n v="1"/>
    <x v="0"/>
    <n v="0"/>
    <s v="NULL"/>
    <s v="NULL"/>
    <s v="NULL"/>
    <s v="NULL"/>
    <s v="NULL"/>
    <n v="200000"/>
    <n v="0.22889999999999999"/>
    <n v="0.2089"/>
    <s v="NULL"/>
    <s v="NULL"/>
  </r>
  <r>
    <x v="176"/>
    <x v="7"/>
    <n v="10181544223"/>
    <s v="ROJAS ARQUEROS ANA LUISA"/>
    <n v="18154422"/>
    <n v="10255702"/>
    <s v="Impulso CDI Cobertura"/>
    <s v="B46403"/>
    <n v="51674.6796875"/>
    <d v="2024-06-20T00:00:00"/>
    <n v="13.8"/>
    <s v="TIENDAS"/>
    <s v="TIENDAS"/>
    <s v="Impulso MyPeru Comercial"/>
    <n v="202406"/>
    <n v="90005.5"/>
    <s v="B46403"/>
    <x v="61"/>
    <s v="B14821"/>
    <x v="3"/>
    <x v="1"/>
    <x v="0"/>
    <s v="P2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77"/>
    <x v="1"/>
    <n v="20480881631"/>
    <s v="COMERCIAL NUEVO AMANECER I"/>
    <s v="."/>
    <n v="10132232"/>
    <s v="GIRO DE LINEA"/>
    <s v="B14530"/>
    <n v="76198.1328125"/>
    <d v="2024-11-21T00:00:00"/>
    <n v="18.5"/>
    <s v="TIENDAS"/>
    <s v="TIENDAS"/>
    <s v="Giro de Línea"/>
    <n v="202411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78"/>
    <x v="0"/>
    <n v="20609057204"/>
    <s v="J&amp;J FERRECENTRO S.A.C."/>
    <s v="."/>
    <n v="10255093"/>
    <s v="Impulso CDI Cobertura"/>
    <s v="BPECND"/>
    <n v="34363.16796875"/>
    <d v="2024-06-13T00:00:00"/>
    <n v="15.7"/>
    <s v="TIENDAS"/>
    <s v="TIENDAS"/>
    <s v="Impulso MyPeru Comercial"/>
    <n v="202406"/>
    <n v="64003.199999999997"/>
    <s v="B46504"/>
    <x v="0"/>
    <s v="B27274"/>
    <x v="0"/>
    <x v="4"/>
    <x v="0"/>
    <s v="P1"/>
    <s v="C2"/>
    <n v="1"/>
    <x v="0"/>
    <n v="0"/>
    <n v="1"/>
    <n v="1"/>
    <x v="2"/>
    <n v="0"/>
    <s v="NULL"/>
    <s v="NULL"/>
    <s v="NULL"/>
    <s v="NULL"/>
    <s v="NULL"/>
    <n v="250000"/>
    <n v="0.22220000000000001"/>
    <n v="0.20219999999999999"/>
    <s v="NULL"/>
    <s v="NULL"/>
  </r>
  <r>
    <x v="179"/>
    <x v="10"/>
    <n v="20601422698"/>
    <s v="INVERSIONES TURISTICAS ITUR SOCIEDAD ANO"/>
    <s v="."/>
    <n v="10273469"/>
    <s v="Nuevo Aprobado"/>
    <s v="B30094"/>
    <n v="179564.5625"/>
    <d v="2025-11-26T00:00:00"/>
    <n v="17"/>
    <s v="TIENDAS"/>
    <s v="VENDORS"/>
    <s v="Nuevo Pre-aprobado"/>
    <n v="202511"/>
    <n v="250012.5"/>
    <s v="B30094"/>
    <x v="48"/>
    <s v="B34489"/>
    <x v="4"/>
    <x v="4"/>
    <x v="0"/>
    <s v="P1"/>
    <s v="C1_2"/>
    <n v="1"/>
    <x v="0"/>
    <n v="0"/>
    <n v="0"/>
    <n v="1"/>
    <x v="0"/>
    <n v="0"/>
    <s v="NULL"/>
    <s v="NULL"/>
    <s v="NULL"/>
    <s v="NULL"/>
    <s v="NULL"/>
    <n v="140600"/>
    <n v="0.21"/>
    <n v="0.19"/>
    <s v="NULL"/>
    <s v="NULL"/>
  </r>
  <r>
    <x v="180"/>
    <x v="10"/>
    <n v="20602806023"/>
    <s v="GROBDI SOCIEDAD ANONIMA CERRADA-GROBDI"/>
    <s v="."/>
    <n v="10274494"/>
    <s v="Ágil Recurrente CEM"/>
    <s v="B14972"/>
    <n v="75003.7421875"/>
    <d v="2026-01-13T00:00:00"/>
    <n v="19"/>
    <s v="TIENDAS"/>
    <s v="TIENDAS"/>
    <s v="Recurrente Ágil CEM"/>
    <n v="202601"/>
    <n v="75003.75"/>
    <s v="B14972"/>
    <x v="25"/>
    <s v="B13161"/>
    <x v="9"/>
    <x v="8"/>
    <x v="0"/>
    <s v="P1"/>
    <s v="C1_2"/>
    <n v="1"/>
    <x v="1"/>
    <n v="0"/>
    <n v="0"/>
    <n v="0"/>
    <x v="0"/>
    <n v="0"/>
    <s v="NULL"/>
    <s v="NULL"/>
    <s v="NULL"/>
    <s v="NULL"/>
    <s v="NULL"/>
    <n v="250000"/>
    <n v="0.26090000000000002"/>
    <n v="0.2409"/>
    <s v="NULL"/>
    <s v="NULL"/>
  </r>
  <r>
    <x v="181"/>
    <x v="0"/>
    <n v="20610982884"/>
    <s v="CONLATOR"/>
    <s v="."/>
    <n v="10272912"/>
    <s v="Recurrente Aprobado Agil"/>
    <s v="B33894"/>
    <n v="237513.453125"/>
    <d v="2025-11-06T00:00:00"/>
    <n v="16"/>
    <s v="TIENDAS"/>
    <s v="TIENDAS"/>
    <s v="Recurrente Ágil CEM"/>
    <n v="202511"/>
    <n v="250012.5"/>
    <s v="B33894"/>
    <x v="36"/>
    <s v="B34489"/>
    <x v="4"/>
    <x v="1"/>
    <x v="0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82"/>
    <x v="4"/>
    <n v="20548328692"/>
    <s v="COPIADORAS IMPORT"/>
    <s v="."/>
    <n v="10255318"/>
    <s v="Impulso CDI Cobertura"/>
    <s v="B30425"/>
    <n v="105443.7109375"/>
    <d v="2024-06-17T00:00:00"/>
    <n v="14.6"/>
    <s v="TIENDAS"/>
    <s v="TIENDAS"/>
    <s v="Impulso MyPeru Comercial"/>
    <n v="202406"/>
    <n v="113715.65"/>
    <s v="B30425"/>
    <x v="46"/>
    <s v="B13988"/>
    <x v="8"/>
    <x v="1"/>
    <x v="0"/>
    <s v="P1"/>
    <s v="NULL"/>
    <n v="1"/>
    <x v="1"/>
    <n v="0"/>
    <n v="0"/>
    <n v="0"/>
    <x v="2"/>
    <n v="0"/>
    <s v="NULL"/>
    <s v="NULL"/>
    <s v="NULL"/>
    <s v="NULL"/>
    <s v="NULL"/>
    <n v="996463574"/>
    <n v="0"/>
    <n v="0"/>
    <s v="NULL"/>
    <s v="NULL"/>
  </r>
  <r>
    <x v="183"/>
    <x v="9"/>
    <n v="10455159321"/>
    <s v="CHECCA VILCA GLORIA SOLEDAD"/>
    <n v="45515932"/>
    <n v="10249430"/>
    <s v="Impulso Mixto"/>
    <s v="B33958"/>
    <n v="10420.3984375"/>
    <d v="2024-03-15T00:00:00"/>
    <n v="13.8"/>
    <s v="TLV"/>
    <s v="TLV"/>
    <s v="Impulso MyPeru Comercial"/>
    <n v="202403"/>
    <n v="14998.7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84"/>
    <x v="2"/>
    <n v="20605161732"/>
    <s v="EBE GLOBAL SOLUTIONS"/>
    <s v="."/>
    <n v="10254795"/>
    <s v="Impulso Mixto"/>
    <s v="B45386"/>
    <n v="34943.05078125"/>
    <d v="2024-06-06T00:00:00"/>
    <n v="15.7"/>
    <s v="TIENDAS"/>
    <s v="TIENDAS"/>
    <s v="Impulso MyPeru Comercial"/>
    <n v="202406"/>
    <n v="50002.5"/>
    <s v="B45386"/>
    <x v="27"/>
    <s v="B45384"/>
    <x v="6"/>
    <x v="1"/>
    <x v="2"/>
    <s v="P1"/>
    <s v="NULL"/>
    <n v="1"/>
    <x v="0"/>
    <n v="0"/>
    <n v="1"/>
    <n v="1"/>
    <x v="0"/>
    <n v="0"/>
    <s v="NULL"/>
    <s v="NULL"/>
    <s v="NULL"/>
    <s v="NULL"/>
    <s v="NULL"/>
    <n v="1"/>
    <n v="0.30830000000000002"/>
    <s v="NULL"/>
    <s v="NULL"/>
    <s v="NULL"/>
  </r>
  <r>
    <x v="185"/>
    <x v="1"/>
    <n v="20606569123"/>
    <s v="UMBRELLA SCIENTIFIC"/>
    <s v="."/>
    <n v="10253282"/>
    <s v="Impulso Mixto"/>
    <s v="B46402"/>
    <n v="27787.611328125"/>
    <d v="2024-05-22T00:00:00"/>
    <n v="14.9"/>
    <s v="TLV"/>
    <s v="TLV"/>
    <s v="Impulso MyPeru Comercial"/>
    <n v="202405"/>
    <n v="61603.05"/>
    <s v="B46402"/>
    <x v="62"/>
    <s v="B13988"/>
    <x v="1"/>
    <x v="4"/>
    <x v="0"/>
    <s v="P5"/>
    <s v="C1_1"/>
    <n v="1"/>
    <x v="0"/>
    <n v="1"/>
    <n v="1"/>
    <n v="1"/>
    <x v="0"/>
    <n v="256612.8"/>
    <n v="16"/>
    <d v="2026-01-13T00:00:00"/>
    <s v="Recurrente Ágil CEM"/>
    <s v="TIENDAS"/>
    <s v="CAPITAL DE TRABAJO"/>
    <n v="256600"/>
    <n v="0.21"/>
    <n v="0.19"/>
    <s v="NULL"/>
    <s v="NULL"/>
  </r>
  <r>
    <x v="186"/>
    <x v="3"/>
    <n v="20455580022"/>
    <s v="RIQUEZAS GASTRONOMICAS PERU E.I.R.L."/>
    <s v="."/>
    <n v="10264649"/>
    <s v="Nuevo pre Aprobado"/>
    <s v="B34669"/>
    <n v="92745.3828125"/>
    <d v="2025-01-20T00:00:00"/>
    <n v="17.5"/>
    <s v="TIENDAS"/>
    <s v="TIENDAS"/>
    <s v="Nuevo Pre-aprobado"/>
    <n v="202501"/>
    <n v="100005"/>
    <s v="B34669"/>
    <x v="7"/>
    <s v="B34489"/>
    <x v="4"/>
    <x v="1"/>
    <x v="0"/>
    <s v="P1"/>
    <s v="NULL"/>
    <n v="1"/>
    <x v="1"/>
    <n v="0"/>
    <n v="0"/>
    <n v="0"/>
    <x v="2"/>
    <n v="0"/>
    <s v="NULL"/>
    <s v="NULL"/>
    <s v="NULL"/>
    <s v="NULL"/>
    <s v="NULL"/>
    <n v="959650595"/>
    <n v="0"/>
    <n v="0"/>
    <s v="NULL"/>
    <s v="NULL"/>
  </r>
  <r>
    <x v="187"/>
    <x v="2"/>
    <n v="20604427381"/>
    <s v="NEGOCIOS Y SERVICIOS PARTY CIX"/>
    <s v="."/>
    <n v="10264969"/>
    <s v="Nuevo Aprobado Ágil"/>
    <s v="B30637"/>
    <n v="63934.75390625"/>
    <d v="2025-01-30T00:00:00"/>
    <n v="17"/>
    <s v="TLV"/>
    <s v="TLV"/>
    <s v="Nuevo Aprobado Agil"/>
    <n v="202501"/>
    <n v="81704.05"/>
    <s v="B30637"/>
    <x v="12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7829999999999999"/>
    <n v="0"/>
    <s v="NULL"/>
    <s v="NULL"/>
  </r>
  <r>
    <x v="188"/>
    <x v="5"/>
    <n v="20553606340"/>
    <s v="INVERSIONES ANGEL TORRES"/>
    <s v="."/>
    <n v="10155202"/>
    <s v="GIRO DE LINEA"/>
    <s v="B13161"/>
    <n v="18456.861328125"/>
    <d v="2024-07-24T00:00:00"/>
    <n v="19"/>
    <s v="TIENDAS"/>
    <s v="TIENDAS"/>
    <s v="Giro de Línea"/>
    <n v="202407"/>
    <n v="250012.5"/>
    <s v="B36343"/>
    <x v="40"/>
    <s v="B13161"/>
    <x v="9"/>
    <x v="6"/>
    <x v="0"/>
    <s v="P1"/>
    <s v="C1_1"/>
    <n v="1"/>
    <x v="0"/>
    <n v="0"/>
    <n v="0"/>
    <n v="1"/>
    <x v="0"/>
    <n v="0"/>
    <s v="NULL"/>
    <s v="NULL"/>
    <s v="NULL"/>
    <s v="NULL"/>
    <s v="NULL"/>
    <n v="195400"/>
    <n v="0.21"/>
    <n v="0.19"/>
    <s v="NULL"/>
    <s v="NULL"/>
  </r>
  <r>
    <x v="189"/>
    <x v="10"/>
    <n v="10409354977"/>
    <s v="VILLAFUERTE PUYEN MARIO ROBERTO"/>
    <n v="40935497"/>
    <n v="10272835"/>
    <s v="Nuevo Aprobado"/>
    <s v="B13304"/>
    <n v="75842.5234375"/>
    <d v="2025-10-31T00:00:00"/>
    <n v="18"/>
    <s v="TLV"/>
    <s v="TLV"/>
    <s v="Nuevo Aprobado EN"/>
    <n v="202510"/>
    <n v="84476.2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90"/>
    <x v="9"/>
    <n v="10432795638"/>
    <s v="DEL AGUILA RAMIREZ SARITA ARODITA"/>
    <n v="43279563"/>
    <n v="10263208"/>
    <s v="Impulso Solo"/>
    <s v="B27801"/>
    <n v="30001.48828125"/>
    <d v="2024-11-28T00:00:00"/>
    <n v="14.5"/>
    <s v="TLV"/>
    <s v="TLV"/>
    <s v="Impulso MyPeru Comercial"/>
    <n v="202411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91"/>
    <x v="5"/>
    <n v="20603123108"/>
    <s v="MAXITIENDA"/>
    <s v="."/>
    <n v="10267696"/>
    <s v="Nuevo Aprobado Ágil"/>
    <s v="B30425"/>
    <n v="52036.12109375"/>
    <d v="2025-05-12T00:00:00"/>
    <n v="18"/>
    <s v="TLV"/>
    <s v="VENDORS"/>
    <s v="Nuevo Aprobado Agil"/>
    <n v="202505"/>
    <n v="120006"/>
    <s v="B30425"/>
    <x v="46"/>
    <s v="B13988"/>
    <x v="8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92"/>
    <x v="8"/>
    <n v="20601363861"/>
    <s v="CORPORACION MABANO"/>
    <s v="."/>
    <n v="10266973"/>
    <s v="Nuevo Aprobado"/>
    <s v="BPECND"/>
    <n v="85019.9921875"/>
    <d v="2025-04-10T00:00:00"/>
    <n v="18"/>
    <s v="TLV"/>
    <s v="TLV"/>
    <s v="Nuevo Aprobado EN"/>
    <n v="202504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93"/>
    <x v="4"/>
    <n v="10091932666"/>
    <s v="SALINAS MARTINEZ MARGARITA CECILIA"/>
    <n v="9193266"/>
    <n v="10173458"/>
    <s v="GIRO DE LINEA"/>
    <s v="B30114"/>
    <n v="154279.96875"/>
    <d v="2025-09-16T00:00:00"/>
    <n v="16"/>
    <s v="TIENDAS"/>
    <s v="TIENDAS"/>
    <s v="Giro de Línea"/>
    <n v="202509"/>
    <n v="180007.95"/>
    <s v="B30114"/>
    <x v="8"/>
    <s v="B34489"/>
    <x v="4"/>
    <x v="1"/>
    <x v="0"/>
    <s v="P2"/>
    <s v="NULL"/>
    <n v="1"/>
    <x v="1"/>
    <n v="0"/>
    <n v="0"/>
    <n v="0"/>
    <x v="2"/>
    <n v="0"/>
    <s v="NULL"/>
    <s v="NULL"/>
    <s v="NULL"/>
    <s v="NULL"/>
    <s v="NULL"/>
    <n v="947927364"/>
    <n v="0"/>
    <n v="0"/>
    <s v="NULL"/>
    <s v="NULL"/>
  </r>
  <r>
    <x v="194"/>
    <x v="10"/>
    <n v="20560035684"/>
    <s v="MARCELL WORLD"/>
    <s v="."/>
    <n v="10275839"/>
    <s v="Regular Sin Campaña"/>
    <s v="B14534"/>
    <n v="120006"/>
    <d v="2026-02-17T00:00:00"/>
    <n v="17"/>
    <s v="TIENDAS"/>
    <s v="TIENDAS"/>
    <s v="Nuevo Pre-aprobado"/>
    <n v="202602"/>
    <n v="120006"/>
    <s v="B14534"/>
    <x v="22"/>
    <s v="B14530"/>
    <x v="5"/>
    <x v="3"/>
    <x v="0"/>
    <s v="P1"/>
    <s v="C3"/>
    <n v="1"/>
    <x v="0"/>
    <n v="1"/>
    <n v="1"/>
    <n v="1"/>
    <x v="0"/>
    <n v="120006"/>
    <n v="17"/>
    <d v="2026-02-17T00:00:00"/>
    <s v="Nuevo Pre-aprobado"/>
    <s v="TIENDAS"/>
    <s v="CAPITAL DE TRABAJO"/>
    <n v="400000"/>
    <n v="0.25290000000000001"/>
    <n v="0.2329"/>
    <s v="NULL"/>
    <s v="NULL"/>
  </r>
  <r>
    <x v="195"/>
    <x v="0"/>
    <n v="10099028543"/>
    <s v="GUADALUPE OROSCO IVAN"/>
    <n v="9902854"/>
    <n v="10257332"/>
    <s v="Impulso Mixto"/>
    <s v="B23695"/>
    <n v="11522.34375"/>
    <d v="2024-07-16T00:00:00"/>
    <n v="14.8"/>
    <s v="TLV"/>
    <s v="TLV"/>
    <s v="Impulso MyPeru Comercial"/>
    <n v="202407"/>
    <n v="2000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96"/>
    <x v="7"/>
    <n v="20603658621"/>
    <s v="CCPQ SUMINISTROS Y SERVICIOS"/>
    <s v="."/>
    <n v="10270019"/>
    <s v="CDD APROBADO"/>
    <s v="B45385"/>
    <n v="123026.171875"/>
    <d v="2025-07-30T00:00:00"/>
    <n v="14"/>
    <s v="TLV"/>
    <s v="TLV"/>
    <s v="Nuevo Aprobado Agil CD"/>
    <n v="202507"/>
    <n v="132006.6"/>
    <s v="B45385"/>
    <x v="63"/>
    <s v="B45384"/>
    <x v="6"/>
    <x v="0"/>
    <x v="2"/>
    <s v="P1"/>
    <s v="C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97"/>
    <x v="12"/>
    <n v="20488631242"/>
    <s v="ADM DE SERV MED Y LAB SANTA FE"/>
    <s v="."/>
    <n v="10164577"/>
    <s v="GIRO DE LINEA"/>
    <s v="B40039"/>
    <n v="13799.455078125"/>
    <d v="2026-01-16T00:00:00"/>
    <n v="19"/>
    <s v="TIENDAS VIRTUALES"/>
    <s v="TIENDAS VIRTUALES"/>
    <s v="Giro de Línea"/>
    <n v="202601"/>
    <n v="58502.9"/>
    <s v="B40039"/>
    <x v="41"/>
    <s v="B14530"/>
    <x v="5"/>
    <x v="7"/>
    <x v="0"/>
    <s v="P1"/>
    <s v="NULL"/>
    <n v="1"/>
    <x v="0"/>
    <n v="0"/>
    <n v="1"/>
    <n v="1"/>
    <x v="0"/>
    <n v="0"/>
    <s v="NULL"/>
    <s v="NULL"/>
    <s v="NULL"/>
    <s v="NULL"/>
    <s v="NULL"/>
    <n v="53000"/>
    <n v="0.24"/>
    <n v="0.2233"/>
    <s v="NULL"/>
    <s v="NULL"/>
  </r>
  <r>
    <x v="198"/>
    <x v="11"/>
    <n v="20513676183"/>
    <s v="VM COMMERCE"/>
    <s v="."/>
    <n v="10263485"/>
    <s v="Impulso Solo"/>
    <s v="B45079"/>
    <n v="88004.4140625"/>
    <d v="2024-12-03T00:00:00"/>
    <n v="14.5"/>
    <s v="TLV"/>
    <s v="TLV"/>
    <s v="Impulso MyPeru Comercial"/>
    <n v="202412"/>
    <n v="88004.4"/>
    <s v="B45079"/>
    <x v="17"/>
    <s v="B45083"/>
    <x v="7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199"/>
    <x v="10"/>
    <n v="20602565280"/>
    <s v="D GEMINIS INVERSIONES"/>
    <s v="."/>
    <n v="10270005"/>
    <s v="Nuevo Aprobado"/>
    <s v="B43714"/>
    <n v="120059.1796875"/>
    <d v="2025-07-25T00:00:00"/>
    <n v="16"/>
    <s v="TIENDAS"/>
    <s v="TIENDAS"/>
    <s v="Nuevo Pre-aprobado"/>
    <n v="202507"/>
    <n v="300015"/>
    <s v="B43714"/>
    <x v="64"/>
    <s v="B14821"/>
    <x v="3"/>
    <x v="5"/>
    <x v="0"/>
    <s v="P1"/>
    <s v="C2"/>
    <n v="1"/>
    <x v="1"/>
    <n v="0"/>
    <n v="0"/>
    <n v="0"/>
    <x v="0"/>
    <n v="0"/>
    <s v="NULL"/>
    <s v="NULL"/>
    <s v="NULL"/>
    <s v="NULL"/>
    <s v="NULL"/>
    <n v="90000"/>
    <n v="0.18890000000000001"/>
    <n v="0.16889999999999999"/>
    <s v="NULL"/>
    <s v="NULL"/>
  </r>
  <r>
    <x v="29"/>
    <x v="1"/>
    <n v="20534483997"/>
    <s v="INSTITUCION EDUCATIVA SUPERIOR TECNOLOGI"/>
    <s v="."/>
    <n v="10270553"/>
    <s v="CDD PRE APROBADO"/>
    <s v="B30114"/>
    <n v="149901.203125"/>
    <d v="2025-08-20T00:00:00"/>
    <n v="17"/>
    <s v="TIENDAS VIRTUALES"/>
    <s v="TIENDAS VIRTUALES"/>
    <s v="Gestion Cartera"/>
    <n v="202508"/>
    <n v="202010.1"/>
    <s v="B30114"/>
    <x v="8"/>
    <s v="B34489"/>
    <x v="4"/>
    <x v="4"/>
    <x v="0"/>
    <s v="P5"/>
    <s v="C1_2"/>
    <n v="1"/>
    <x v="0"/>
    <n v="1"/>
    <n v="1"/>
    <n v="1"/>
    <x v="0"/>
    <n v="242012.1"/>
    <n v="16"/>
    <d v="2026-01-28T00:00:00"/>
    <s v="Recurrente Ágil CEM"/>
    <s v="TIENDAS"/>
    <s v="CAPITAL DE TRABAJO"/>
    <n v="242600"/>
    <n v="0.21"/>
    <n v="0.19"/>
    <s v="NULL"/>
    <s v="NULL"/>
  </r>
  <r>
    <x v="200"/>
    <x v="1"/>
    <n v="20603074387"/>
    <s v="KATCE PETS"/>
    <s v="."/>
    <n v="10256352"/>
    <s v="Impulso Mixto"/>
    <s v="B37955"/>
    <n v="3794.46752929688"/>
    <d v="2024-06-25T00:00:00"/>
    <n v="14.7"/>
    <s v="TIENDAS"/>
    <s v="TIENDAS"/>
    <s v="Impulso MyPeru Comercial"/>
    <n v="202406"/>
    <n v="90004.5"/>
    <s v="B37955"/>
    <x v="53"/>
    <s v="B27274"/>
    <x v="0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201"/>
    <x v="12"/>
    <n v="20559263797"/>
    <s v="MODA TQM S.A.C."/>
    <s v="."/>
    <n v="10254564"/>
    <s v="Impulso Mixto"/>
    <s v="BPECND"/>
    <n v="43814.078125"/>
    <d v="2024-05-31T00:00:00"/>
    <n v="15.5"/>
    <s v="TLV"/>
    <s v="TLV"/>
    <s v="Impulso MyPeru Comercial"/>
    <n v="202405"/>
    <n v="59402.95"/>
    <s v="B45372"/>
    <x v="56"/>
    <s v="B45384"/>
    <x v="6"/>
    <x v="4"/>
    <x v="2"/>
    <s v="P1"/>
    <s v="NULL"/>
    <n v="1"/>
    <x v="1"/>
    <n v="0"/>
    <n v="0"/>
    <n v="0"/>
    <x v="2"/>
    <n v="0"/>
    <s v="NULL"/>
    <s v="NULL"/>
    <s v="NULL"/>
    <s v="NULL"/>
    <s v="NULL"/>
    <n v="400000"/>
    <n v="0.2"/>
    <n v="0.18"/>
    <s v="NULL"/>
    <s v="NULL"/>
  </r>
  <r>
    <x v="202"/>
    <x v="12"/>
    <n v="20563648113"/>
    <s v="CONFECCIONES SUKER JEANS SAC"/>
    <s v="."/>
    <n v="10168509"/>
    <s v="GIRO DE LINEA"/>
    <s v="B45375"/>
    <n v="111836.171875"/>
    <d v="2025-04-14T00:00:00"/>
    <n v="18.600000000000001"/>
    <s v="ECOSISTEMAS"/>
    <s v="ECOSISTEMAS"/>
    <s v="Giro de Línea"/>
    <n v="202504"/>
    <n v="120006"/>
    <s v="B45375"/>
    <x v="65"/>
    <s v="B45384"/>
    <x v="6"/>
    <x v="4"/>
    <x v="2"/>
    <s v="P1"/>
    <s v="NULL"/>
    <n v="1"/>
    <x v="1"/>
    <n v="0"/>
    <n v="0"/>
    <n v="0"/>
    <x v="0"/>
    <n v="0"/>
    <s v="NULL"/>
    <s v="NULL"/>
    <s v="NULL"/>
    <s v="NULL"/>
    <s v="NULL"/>
    <n v="400000"/>
    <n v="0.2"/>
    <n v="0.18"/>
    <s v="NULL"/>
    <s v="NULL"/>
  </r>
  <r>
    <x v="203"/>
    <x v="6"/>
    <n v="10431098976"/>
    <s v="VALENZUELA CABANILLAS RENAN"/>
    <n v="43109897"/>
    <n v="10261274"/>
    <s v="Impulso Solo"/>
    <s v="B44120"/>
    <n v="1345.28283691406"/>
    <d v="2024-09-30T00:00:00"/>
    <n v="15.5"/>
    <s v="TLV"/>
    <s v="TLV"/>
    <s v="Impulso MyPeru Comercial"/>
    <n v="202409"/>
    <n v="34801.699999999997"/>
    <s v="B44120"/>
    <x v="45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04"/>
    <x v="6"/>
    <n v="20478061863"/>
    <s v="OFICOM SYSTEMS EIRL"/>
    <s v="."/>
    <n v="10264844"/>
    <s v="Ágil Recurrente CEM"/>
    <s v="B45869"/>
    <n v="112130.4609375"/>
    <d v="2025-01-28T00:00:00"/>
    <n v="16"/>
    <s v="TIENDAS"/>
    <s v="TIENDAS"/>
    <s v="Recurrente Ágil CEM"/>
    <n v="202501"/>
    <n v="160008"/>
    <s v="B45869"/>
    <x v="50"/>
    <s v="B14821"/>
    <x v="3"/>
    <x v="4"/>
    <x v="0"/>
    <s v="P1"/>
    <s v="NULL"/>
    <n v="1"/>
    <x v="0"/>
    <n v="0"/>
    <n v="1"/>
    <n v="1"/>
    <x v="0"/>
    <n v="0"/>
    <s v="NULL"/>
    <s v="NULL"/>
    <s v="NULL"/>
    <s v="NULL"/>
    <s v="NULL"/>
    <n v="219900"/>
    <n v="0.21"/>
    <n v="0.19"/>
    <s v="NULL"/>
    <s v="NULL"/>
  </r>
  <r>
    <x v="205"/>
    <x v="9"/>
    <n v="20601010446"/>
    <s v="AVI COROPUNA EIRL"/>
    <s v="."/>
    <n v="10262540"/>
    <s v="Impulso Solo"/>
    <s v="B22931"/>
    <n v="70003.484375"/>
    <d v="2024-11-12T00:00:00"/>
    <n v="15.7"/>
    <s v="TLV"/>
    <s v="TLV"/>
    <s v="Impulso MyPeru Comercial"/>
    <n v="202411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06"/>
    <x v="10"/>
    <n v="20607797782"/>
    <s v="CLINICA MEDICA AL TA"/>
    <s v="."/>
    <n v="10257854"/>
    <s v="Impulso Solo"/>
    <s v="B22760"/>
    <n v="46990.12890625"/>
    <d v="2024-07-24T00:00:00"/>
    <n v="15.5"/>
    <s v="TLV"/>
    <s v="TLV"/>
    <s v="Impulso MyPeru Comercial"/>
    <n v="202407"/>
    <n v="90004.5"/>
    <s v="B22760"/>
    <x v="42"/>
    <s v="B34489"/>
    <x v="4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07"/>
    <x v="6"/>
    <n v="20605420398"/>
    <s v="GRUPO ALAHNA"/>
    <s v="."/>
    <n v="10261875"/>
    <s v="Impulso Mixto"/>
    <s v="B14534"/>
    <n v="70015.421875"/>
    <d v="2024-10-22T00:00:00"/>
    <n v="16.200001"/>
    <s v="TLV"/>
    <s v="TLV"/>
    <s v="Impulso MyPeru Comercial"/>
    <n v="202410"/>
    <n v="90004.5"/>
    <s v="B14534"/>
    <x v="22"/>
    <s v="B14530"/>
    <x v="5"/>
    <x v="4"/>
    <x v="0"/>
    <s v="P1"/>
    <s v="NULL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208"/>
    <x v="8"/>
    <n v="20603305486"/>
    <s v="DISTRIBUCIONES E IMPORTACIONES V Y D"/>
    <s v="."/>
    <n v="10255167"/>
    <s v="Impulso Mixto"/>
    <s v="B45374"/>
    <n v="66305.6875"/>
    <d v="2024-06-14T00:00:00"/>
    <n v="15"/>
    <s v="TIENDAS"/>
    <s v="TIENDAS"/>
    <s v="Impulso MyPeru Comercial"/>
    <n v="202406"/>
    <n v="90004.5"/>
    <s v="B45374"/>
    <x v="21"/>
    <s v="B45384"/>
    <x v="6"/>
    <x v="4"/>
    <x v="2"/>
    <s v="P1"/>
    <s v="NULL"/>
    <n v="1"/>
    <x v="0"/>
    <n v="0"/>
    <n v="0"/>
    <n v="1"/>
    <x v="0"/>
    <n v="0"/>
    <s v="NULL"/>
    <s v="NULL"/>
    <s v="NULL"/>
    <s v="NULL"/>
    <s v="NULL"/>
    <n v="250000"/>
    <n v="0.26"/>
    <n v="0.24"/>
    <s v="NULL"/>
    <s v="NULL"/>
  </r>
  <r>
    <x v="209"/>
    <x v="12"/>
    <n v="20477767169"/>
    <s v="PROFESSIONAL QUALITY SOCIEDAD COMERCIAL"/>
    <s v="."/>
    <n v="10258233"/>
    <s v="Impulso Mixto"/>
    <s v="B14972"/>
    <n v="73323.015625"/>
    <d v="2024-07-30T00:00:00"/>
    <n v="15.5"/>
    <s v="TLV"/>
    <s v="TLV"/>
    <s v="Impulso MyPeru Comercial"/>
    <n v="202407"/>
    <n v="90004.5"/>
    <s v="B14972"/>
    <x v="25"/>
    <s v="B13161"/>
    <x v="9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4929999999999999"/>
    <s v="NULL"/>
    <s v="NULL"/>
    <s v="NULL"/>
  </r>
  <r>
    <x v="210"/>
    <x v="4"/>
    <n v="20520647831"/>
    <s v="MULTIPLAS FORTALEZA"/>
    <s v="."/>
    <n v="10252002"/>
    <s v="Impulso CDI Cobertura"/>
    <s v="B27596"/>
    <n v="204671.234375"/>
    <d v="2024-04-29T00:00:00"/>
    <n v="14.9"/>
    <s v="TIENDAS"/>
    <s v="TIENDAS"/>
    <s v="Impulso MyPeru Comercial"/>
    <n v="202404"/>
    <n v="240012"/>
    <s v="B27596"/>
    <x v="38"/>
    <s v="B13988"/>
    <x v="8"/>
    <x v="1"/>
    <x v="0"/>
    <s v="P1"/>
    <s v="NULL"/>
    <n v="1"/>
    <x v="1"/>
    <n v="0"/>
    <n v="0"/>
    <n v="0"/>
    <x v="2"/>
    <n v="0"/>
    <s v="NULL"/>
    <s v="NULL"/>
    <s v="NULL"/>
    <s v="NULL"/>
    <s v="NULL"/>
    <n v="946553401"/>
    <n v="0"/>
    <n v="0"/>
    <s v="NULL"/>
    <s v="NULL"/>
  </r>
  <r>
    <x v="211"/>
    <x v="1"/>
    <n v="20608692623"/>
    <s v="UNIVERSAL LOGISTICA"/>
    <s v="."/>
    <n v="10270532"/>
    <s v="GIRO DE LINEA"/>
    <s v="B43714"/>
    <n v="139325.015625"/>
    <d v="2026-03-24T00:00:00"/>
    <n v="14.3"/>
    <s v="TIENDAS"/>
    <s v="TIENDAS"/>
    <s v="Giro de Línea"/>
    <n v="202603"/>
    <n v="232611.6"/>
    <s v="B43714"/>
    <x v="64"/>
    <s v="B14821"/>
    <x v="3"/>
    <x v="4"/>
    <x v="0"/>
    <s v="P5"/>
    <s v="C1_2"/>
    <n v="1"/>
    <x v="0"/>
    <n v="1"/>
    <n v="1"/>
    <n v="1"/>
    <x v="0"/>
    <n v="80304"/>
    <n v="19"/>
    <d v="2026-01-08T00:00:00"/>
    <s v="Recurrente Ágil CEM"/>
    <s v="TIENDAS"/>
    <s v="CAPITAL DE TRABAJO"/>
    <n v="80300"/>
    <n v="0.21"/>
    <n v="0.19"/>
    <s v="NULL"/>
    <s v="NULL"/>
  </r>
  <r>
    <x v="212"/>
    <x v="1"/>
    <n v="10451325511"/>
    <s v="VARGAS ALCCA ALFREDO"/>
    <n v="45132551"/>
    <n v="10271125"/>
    <s v="CDD APROBADO"/>
    <s v="B44121"/>
    <n v="117255.9765625"/>
    <d v="2025-09-08T00:00:00"/>
    <n v="14.4"/>
    <s v="TLV"/>
    <s v="TLV"/>
    <s v="Nuevo Aprobado Agil CD"/>
    <n v="202509"/>
    <n v="129006.45"/>
    <s v="B37981"/>
    <x v="4"/>
    <s v="B34489"/>
    <x v="4"/>
    <x v="10"/>
    <x v="0"/>
    <s v="P5"/>
    <s v="C3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213"/>
    <x v="1"/>
    <n v="20606320516"/>
    <s v="GRUPO LIDER FERRETERO"/>
    <s v="."/>
    <n v="10268036"/>
    <s v="Ágil Recurrente CEM"/>
    <s v="B14534"/>
    <n v="175404.265625"/>
    <d v="2025-05-22T00:00:00"/>
    <n v="17"/>
    <s v="TIENDAS"/>
    <s v="TIENDAS"/>
    <s v="Recurrente Ágil CEM"/>
    <n v="202505"/>
    <n v="250012.5"/>
    <s v="B14534"/>
    <x v="22"/>
    <s v="B14530"/>
    <x v="5"/>
    <x v="1"/>
    <x v="0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214"/>
    <x v="11"/>
    <n v="10432248521"/>
    <s v="MARQUINA CAMPOS ANDRE ROALD HERBERT"/>
    <n v="43224852"/>
    <n v="10249913"/>
    <s v="Impulso Solo"/>
    <s v="B14530"/>
    <n v="66388.984375"/>
    <d v="2024-03-25T00:00:00"/>
    <n v="15.5"/>
    <s v="TLV"/>
    <s v="TLV"/>
    <s v="Impulso MyPeru Comercial"/>
    <n v="202403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15"/>
    <x v="2"/>
    <n v="20524223377"/>
    <s v="VELTRAC ENTRETENIMIENTO Y COMUNICACION"/>
    <s v="."/>
    <n v="10204062"/>
    <s v="Reactiva"/>
    <s v="B37955"/>
    <n v="18278.63671875"/>
    <s v="NULL"/>
    <s v="NULL"/>
    <s v="NULL"/>
    <s v="NULL"/>
    <s v="NULL"/>
    <s v="NULL"/>
    <s v="NULL"/>
    <s v="B37955"/>
    <x v="53"/>
    <s v="B27274"/>
    <x v="0"/>
    <x v="4"/>
    <x v="0"/>
    <s v="P1"/>
    <s v="NULL"/>
    <n v="1"/>
    <x v="0"/>
    <n v="0"/>
    <n v="0"/>
    <n v="1"/>
    <x v="0"/>
    <n v="0"/>
    <s v="NULL"/>
    <s v="NULL"/>
    <s v="NULL"/>
    <s v="NULL"/>
    <s v="NULL"/>
    <n v="400000"/>
    <n v="0.21"/>
    <n v="0.19"/>
    <s v="NULL"/>
    <s v="NULL"/>
  </r>
  <r>
    <x v="216"/>
    <x v="3"/>
    <n v="20601506697"/>
    <s v="CORPORACION BJJ MONTALBAN"/>
    <s v="."/>
    <n v="10206732"/>
    <s v="Reactiva"/>
    <s v="B19952"/>
    <n v="16713.31445312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17"/>
    <x v="8"/>
    <n v="20521190494"/>
    <s v="PC CITY"/>
    <s v="."/>
    <n v="10175630"/>
    <s v="GIRO DE LINEA"/>
    <s v="B45389"/>
    <n v="86008.5625"/>
    <d v="2025-10-23T00:00:00"/>
    <n v="16"/>
    <s v="TIENDAS VIRTUALES"/>
    <s v="TIENDAS VIRTUALES"/>
    <s v="Giro de Línea"/>
    <n v="202510"/>
    <n v="146007.29999999999"/>
    <s v="B45389"/>
    <x v="16"/>
    <s v="B45384"/>
    <x v="6"/>
    <x v="6"/>
    <x v="2"/>
    <s v="P1"/>
    <s v="NULL"/>
    <n v="1"/>
    <x v="0"/>
    <n v="0"/>
    <n v="0"/>
    <n v="1"/>
    <x v="0"/>
    <n v="0"/>
    <s v="NULL"/>
    <s v="NULL"/>
    <s v="NULL"/>
    <s v="NULL"/>
    <s v="NULL"/>
    <n v="52000"/>
    <n v="0.21"/>
    <n v="0.19"/>
    <s v="NULL"/>
    <s v="NULL"/>
  </r>
  <r>
    <x v="218"/>
    <x v="0"/>
    <n v="20601327440"/>
    <s v="JEDATEX"/>
    <s v="."/>
    <n v="10248567"/>
    <s v="Impulso Solo"/>
    <s v="B36574"/>
    <n v="3938.70263671875"/>
    <d v="2024-02-28T00:00:00"/>
    <n v="13.9"/>
    <s v="TIENDAS"/>
    <s v="TIENDAS"/>
    <s v="Impulso MyPeru Comercial"/>
    <n v="202402"/>
    <n v="90004.5"/>
    <s v="B36574"/>
    <x v="51"/>
    <s v="B13161"/>
    <x v="9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19"/>
    <x v="11"/>
    <n v="10453530669"/>
    <s v="VASQUEZ DELGADO JHONNY"/>
    <n v="45353066"/>
    <n v="10252173"/>
    <s v="Impulso CDI Cobertura"/>
    <s v="B30637"/>
    <n v="69962.7421875"/>
    <d v="2024-04-30T00:00:00"/>
    <n v="16"/>
    <s v="TIENDAS"/>
    <s v="TIENDAS"/>
    <s v="Impulso MyPeru Comercial"/>
    <n v="202404"/>
    <n v="90004.5"/>
    <s v="B30637"/>
    <x v="12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220"/>
    <x v="10"/>
    <n v="20602303595"/>
    <s v="UNIDAD ONCOLOGICA MOLECULAR PERUANA"/>
    <s v="."/>
    <n v="10249716"/>
    <s v="Impulso Mixto"/>
    <s v="B14821"/>
    <n v="222340.875"/>
    <d v="2024-03-20T00:00:00"/>
    <n v="12.5"/>
    <s v="TIENDAS"/>
    <s v="TIENDAS"/>
    <s v="Impulso MyPeru Comercial"/>
    <n v="202403"/>
    <n v="300015"/>
    <s v="B43714"/>
    <x v="64"/>
    <s v="B14821"/>
    <x v="3"/>
    <x v="5"/>
    <x v="0"/>
    <s v="P1"/>
    <s v="C1_2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221"/>
    <x v="3"/>
    <n v="20448390676"/>
    <s v="DISTRIBUCIONES DE GRUPO PERU"/>
    <s v="."/>
    <n v="10259619"/>
    <s v="Impulso Mixto"/>
    <s v="B44121"/>
    <n v="86650.9609375"/>
    <d v="2024-08-27T00:00:00"/>
    <n v="14.7"/>
    <s v="TIENDAS"/>
    <s v="TIENDAS"/>
    <s v="Impulso MyPeru Comercial"/>
    <n v="202408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21"/>
    <x v="3"/>
    <n v="20448390676"/>
    <s v="DISTRIBUCIONES DE GRUPO PERU"/>
    <s v="."/>
    <n v="10246824"/>
    <s v="Nuevo pre Aprobado"/>
    <s v="B44121"/>
    <n v="139538.9375"/>
    <d v="2023-12-22T00:00:00"/>
    <n v="19.440000000000001"/>
    <s v="TIENDAS"/>
    <s v="TIENDAS"/>
    <s v="Nuevo Pre-aprobado"/>
    <n v="202312"/>
    <n v="22001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22"/>
    <x v="12"/>
    <n v="20541378180"/>
    <s v="CORPORACION HUANCAYO"/>
    <s v="."/>
    <n v="10174871"/>
    <s v="GIRO DE LINEA"/>
    <s v="B35209"/>
    <n v="18355.84765625"/>
    <d v="2024-07-18T00:00:00"/>
    <n v="21.9"/>
    <s v="TIENDAS"/>
    <s v="TIENDAS"/>
    <s v="Giro de Línea"/>
    <n v="202407"/>
    <n v="200010"/>
    <s v="B35209"/>
    <x v="26"/>
    <s v="B27274"/>
    <x v="0"/>
    <x v="4"/>
    <x v="0"/>
    <s v="P1"/>
    <s v="NULL"/>
    <n v="1"/>
    <x v="0"/>
    <n v="0"/>
    <n v="0"/>
    <n v="1"/>
    <x v="0"/>
    <n v="0"/>
    <s v="NULL"/>
    <s v="NULL"/>
    <s v="NULL"/>
    <s v="NULL"/>
    <s v="NULL"/>
    <n v="400000"/>
    <n v="0.21"/>
    <n v="0.1883"/>
    <s v="NULL"/>
    <s v="NULL"/>
  </r>
  <r>
    <x v="223"/>
    <x v="10"/>
    <n v="20601171644"/>
    <s v="ATINI"/>
    <s v="."/>
    <n v="10259664"/>
    <s v="Impulso Mixto"/>
    <s v="B30094"/>
    <n v="76044.0625"/>
    <d v="2024-08-27T00:00:00"/>
    <n v="15"/>
    <s v="TIENDAS"/>
    <s v="TIENDAS"/>
    <s v="Impulso MyPeru Comercial"/>
    <n v="202408"/>
    <n v="90004.5"/>
    <s v="B30094"/>
    <x v="48"/>
    <s v="B34489"/>
    <x v="4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24"/>
    <x v="11"/>
    <n v="20605092749"/>
    <s v="KRISTALL JOYERIA"/>
    <s v="."/>
    <n v="10260039"/>
    <s v="Impulso Mixto"/>
    <s v="B45083"/>
    <n v="86745.03125"/>
    <d v="2024-09-05T00:00:00"/>
    <n v="14.5"/>
    <s v="TLV"/>
    <s v="TLV"/>
    <s v="Impulso MyPeru Comercial"/>
    <n v="202409"/>
    <n v="90004.5"/>
    <s v="B45439"/>
    <x v="2"/>
    <s v="NULL"/>
    <x v="2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225"/>
    <x v="8"/>
    <n v="20371703137"/>
    <s v="J &amp; R SOLUCIONES INTEGRALES"/>
    <s v="."/>
    <n v="10157063"/>
    <s v="GIRO DE LINEA"/>
    <s v="B25939"/>
    <n v="155390.546875"/>
    <d v="2025-01-09T00:00:00"/>
    <n v="15"/>
    <s v="TIENDAS"/>
    <s v="TIENDAS"/>
    <s v="Giro de Línea"/>
    <n v="202501"/>
    <n v="200010"/>
    <s v="B25939"/>
    <x v="23"/>
    <s v="B13988"/>
    <x v="8"/>
    <x v="6"/>
    <x v="0"/>
    <s v="P1"/>
    <s v="NULL"/>
    <n v="1"/>
    <x v="0"/>
    <n v="0"/>
    <n v="0"/>
    <n v="1"/>
    <x v="0"/>
    <n v="0"/>
    <s v="NULL"/>
    <s v="NULL"/>
    <s v="NULL"/>
    <s v="NULL"/>
    <s v="NULL"/>
    <n v="36900"/>
    <n v="0.21"/>
    <n v="0.19"/>
    <s v="NULL"/>
    <s v="NULL"/>
  </r>
  <r>
    <x v="226"/>
    <x v="5"/>
    <n v="20547163541"/>
    <s v="AUTEK INGENIERIA Y SERVICIOS"/>
    <s v="."/>
    <n v="10157678"/>
    <s v="GIRO DE LINEA"/>
    <s v="B22846"/>
    <n v="57279.21875"/>
    <d v="2026-04-14T00:00:00"/>
    <n v="17.5"/>
    <s v="TIENDAS"/>
    <s v="TIENDAS"/>
    <s v="Giro de Línea"/>
    <n v="202604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27"/>
    <x v="9"/>
    <n v="20609432684"/>
    <s v="COMERCIAL FAJARDO SUR"/>
    <s v="."/>
    <n v="10265570"/>
    <s v="Nuevo pre Aprobado"/>
    <s v="B22931"/>
    <n v="127186.625"/>
    <d v="2025-02-21T00:00:00"/>
    <n v="18"/>
    <s v="TIENDAS"/>
    <s v="VENDORS"/>
    <s v="Nuevo Pre-aprobado"/>
    <n v="202502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31"/>
    <x v="1"/>
    <n v="20612056707"/>
    <s v="FERRETERIA 360"/>
    <s v="."/>
    <n v="10265183"/>
    <s v="Nuevo NO BANK"/>
    <s v="B45750"/>
    <n v="21200.126953125"/>
    <d v="2025-02-07T00:00:00"/>
    <n v="21"/>
    <s v="TLV"/>
    <s v="TLV"/>
    <s v="Nuevo Aprobado EN"/>
    <n v="202502"/>
    <n v="50002.5"/>
    <s v="B45750"/>
    <x v="5"/>
    <s v="B14530"/>
    <x v="5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228"/>
    <x v="8"/>
    <n v="20522891739"/>
    <s v="INVERSIONES J K &amp; M A"/>
    <s v="."/>
    <n v="10253537"/>
    <s v="Impulso Mixto"/>
    <s v="B14821"/>
    <n v="208388.453125"/>
    <d v="2024-05-24T00:00:00"/>
    <n v="13.6"/>
    <s v="TIENDAS"/>
    <s v="TIENDAS"/>
    <s v="Impulso MyPeru Comercial"/>
    <n v="202405"/>
    <n v="300015"/>
    <s v="B37395"/>
    <x v="66"/>
    <s v="B14821"/>
    <x v="3"/>
    <x v="1"/>
    <x v="0"/>
    <s v="P1"/>
    <s v="NULL"/>
    <n v="1"/>
    <x v="0"/>
    <n v="0"/>
    <n v="0"/>
    <n v="1"/>
    <x v="0"/>
    <n v="0"/>
    <s v="NULL"/>
    <s v="NULL"/>
    <s v="NULL"/>
    <s v="NULL"/>
    <s v="NULL"/>
    <n v="1"/>
    <n v="0.1963"/>
    <s v="NULL"/>
    <s v="NULL"/>
    <s v="NULL"/>
  </r>
  <r>
    <x v="229"/>
    <x v="5"/>
    <n v="20605563962"/>
    <s v="INDUSTRIAS EXIM"/>
    <s v="."/>
    <n v="10270142"/>
    <s v="CDD APROBADO"/>
    <s v="BPECND"/>
    <n v="166014.546875"/>
    <d v="2025-07-31T00:00:00"/>
    <n v="15"/>
    <s v="TLV"/>
    <s v="TLV"/>
    <s v="Nuevo Aprobado Agil CD"/>
    <n v="202507"/>
    <n v="169651.8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30"/>
    <x v="6"/>
    <n v="20608493337"/>
    <s v="CALZADOS CLARITA"/>
    <s v="."/>
    <n v="10269019"/>
    <s v="Nuevo pre Aprobado"/>
    <s v="B46366"/>
    <n v="41268.62109375"/>
    <d v="2025-06-25T00:00:00"/>
    <n v="18"/>
    <s v="TIENDAS VIRTUALES"/>
    <s v="VENDORS"/>
    <s v="Nuevo Pre-aprobado"/>
    <n v="202506"/>
    <n v="100005"/>
    <s v="B46366"/>
    <x v="30"/>
    <s v="B45083"/>
    <x v="7"/>
    <x v="4"/>
    <x v="2"/>
    <s v="P1"/>
    <s v="NULL"/>
    <n v="1"/>
    <x v="0"/>
    <n v="0"/>
    <n v="1"/>
    <n v="1"/>
    <x v="0"/>
    <n v="0"/>
    <s v="NULL"/>
    <s v="NULL"/>
    <s v="NULL"/>
    <s v="NULL"/>
    <s v="NULL"/>
    <n v="100000"/>
    <n v="0.21"/>
    <n v="0.19"/>
    <s v="NULL"/>
    <s v="NULL"/>
  </r>
  <r>
    <x v="231"/>
    <x v="10"/>
    <n v="20107121146"/>
    <s v="COMERCIO MINERO INDUSTRIAL"/>
    <s v="."/>
    <n v="10270071"/>
    <s v="Nuevo Aprobado Ágil"/>
    <s v="B45869"/>
    <n v="62425.51171875"/>
    <d v="2025-07-31T00:00:00"/>
    <n v="17"/>
    <s v="TLV"/>
    <s v="TLV"/>
    <s v="Nuevo Aprobado Agil"/>
    <n v="202507"/>
    <n v="80004"/>
    <s v="B45869"/>
    <x v="50"/>
    <s v="B14821"/>
    <x v="3"/>
    <x v="5"/>
    <x v="0"/>
    <s v="P1"/>
    <s v="C2"/>
    <n v="1"/>
    <x v="1"/>
    <n v="0"/>
    <n v="0"/>
    <n v="0"/>
    <x v="0"/>
    <n v="0"/>
    <s v="NULL"/>
    <s v="NULL"/>
    <s v="NULL"/>
    <s v="NULL"/>
    <s v="NULL"/>
    <n v="250000"/>
    <n v="0.21190000000000001"/>
    <n v="0.19189999999999999"/>
    <s v="NULL"/>
    <s v="NULL"/>
  </r>
  <r>
    <x v="232"/>
    <x v="5"/>
    <n v="20603464509"/>
    <s v="P &amp; M ELECTRIC"/>
    <s v="."/>
    <n v="10267471"/>
    <s v="Nuevo Aprobado"/>
    <s v="B43903"/>
    <n v="82265.4765625"/>
    <d v="2025-04-29T00:00:00"/>
    <n v="21"/>
    <s v="TLV"/>
    <s v="TLV"/>
    <s v="Nuevo Aprobado EN"/>
    <n v="202504"/>
    <n v="102005.1"/>
    <s v="B43903"/>
    <x v="67"/>
    <s v="B14821"/>
    <x v="3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33"/>
    <x v="9"/>
    <n v="20601237858"/>
    <s v="SANZ CONTADORES E &amp; M"/>
    <s v="."/>
    <n v="10265519"/>
    <s v="Regular Sin Campaña"/>
    <s v="B45373"/>
    <n v="159901.09375"/>
    <d v="2025-02-20T00:00:00"/>
    <n v="17.5"/>
    <s v="TIENDAS"/>
    <s v="VENDORS"/>
    <s v="Gestion Cartera"/>
    <n v="202502"/>
    <n v="171208.55"/>
    <s v="B45373"/>
    <x v="68"/>
    <s v="B45384"/>
    <x v="6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234"/>
    <x v="8"/>
    <n v="10167033143"/>
    <s v="BECERRA COBA EDGAR YANNETTY"/>
    <n v="16703314"/>
    <n v="10146226"/>
    <s v="GIRO DE LINEA"/>
    <s v="B14530"/>
    <n v="123446.7421875"/>
    <d v="2025-01-24T00:00:00"/>
    <n v="18.7"/>
    <s v="TIENDAS"/>
    <s v="TIENDAS"/>
    <s v="Giro de Línea"/>
    <n v="202501"/>
    <n v="150007.5"/>
    <s v="B40039"/>
    <x v="41"/>
    <s v="B14530"/>
    <x v="5"/>
    <x v="4"/>
    <x v="0"/>
    <s v="P2"/>
    <s v="NULL"/>
    <n v="1"/>
    <x v="0"/>
    <n v="0"/>
    <n v="0"/>
    <n v="1"/>
    <x v="0"/>
    <n v="0"/>
    <s v="NULL"/>
    <s v="NULL"/>
    <s v="NULL"/>
    <s v="NULL"/>
    <s v="NULL"/>
    <n v="200000"/>
    <n v="0.25"/>
    <n v="0.23"/>
    <s v="NULL"/>
    <s v="NULL"/>
  </r>
  <r>
    <x v="235"/>
    <x v="2"/>
    <n v="20607167355"/>
    <s v="PROYECTO SANDY SALCEDO S.A.C."/>
    <s v="."/>
    <n v="10248186"/>
    <s v="Impulso Mixto"/>
    <s v="B35209"/>
    <n v="48384.60546875"/>
    <d v="2024-02-20T00:00:00"/>
    <n v="16"/>
    <s v="TLV"/>
    <s v="TLV"/>
    <s v="Impulso MyPeru Comercial"/>
    <n v="202402"/>
    <n v="90004.5"/>
    <s v="B35209"/>
    <x v="26"/>
    <s v="B27274"/>
    <x v="0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30830000000000002"/>
    <s v="NULL"/>
    <s v="NULL"/>
    <s v="NULL"/>
  </r>
  <r>
    <x v="236"/>
    <x v="2"/>
    <n v="20603528108"/>
    <s v="SIMULADORES Y MAQUETAS MEDICAS"/>
    <s v="."/>
    <n v="10269977"/>
    <s v="Nuevo NO BANK"/>
    <s v="BPECND"/>
    <n v="200010.015625"/>
    <d v="2025-07-25T00:00:00"/>
    <n v="19"/>
    <s v="TLV"/>
    <s v="TLV"/>
    <s v="Nuevo Aprobado EN"/>
    <n v="202507"/>
    <n v="200010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37"/>
    <x v="2"/>
    <n v="20487453936"/>
    <s v="DISTRIBUCIONES CONEY"/>
    <s v="."/>
    <n v="10268868"/>
    <s v="CDD APROBADO"/>
    <s v="B14534"/>
    <n v="125164.7734375"/>
    <d v="2025-06-20T00:00:00"/>
    <n v="15"/>
    <s v="TLV"/>
    <s v="TLV"/>
    <s v="Nuevo Aprobado Agil CD"/>
    <n v="202506"/>
    <n v="135006.75"/>
    <s v="B14534"/>
    <x v="22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613"/>
    <s v="NULL"/>
    <s v="NULL"/>
    <s v="NULL"/>
  </r>
  <r>
    <x v="238"/>
    <x v="1"/>
    <n v="10414006057"/>
    <s v="RIVERA PINTO CLEMENTE SALVADOR"/>
    <n v="41400605"/>
    <n v="10268056"/>
    <s v="CDD APROBADO"/>
    <s v="B14530"/>
    <n v="82259.0859375"/>
    <d v="2025-05-22T00:00:00"/>
    <n v="16.010000000000002"/>
    <s v="TLV"/>
    <s v="TLV"/>
    <s v="Nuevo Aprobado Agil CD"/>
    <n v="202505"/>
    <n v="100400"/>
    <s v="B46884"/>
    <x v="59"/>
    <s v="B14530"/>
    <x v="5"/>
    <x v="1"/>
    <x v="0"/>
    <s v="P5"/>
    <s v="C3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239"/>
    <x v="1"/>
    <n v="10420321941"/>
    <s v="ILDEFONSO TARAZONA LADY MABEL"/>
    <n v="42032194"/>
    <n v="10255783"/>
    <s v="Impulso CDI Cobertura"/>
    <s v="B25939"/>
    <n v="44432.73828125"/>
    <d v="2024-06-21T00:00:00"/>
    <n v="15"/>
    <s v="TIENDAS"/>
    <s v="TIENDAS"/>
    <s v="Impulso MyPeru Comercial"/>
    <n v="202406"/>
    <n v="90004.5"/>
    <s v="B25939"/>
    <x v="23"/>
    <s v="B13988"/>
    <x v="1"/>
    <x v="1"/>
    <x v="0"/>
    <s v="P5"/>
    <s v="C3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240"/>
    <x v="0"/>
    <n v="10452469681"/>
    <s v="PEDRAZA AYQUIPA BENIGNO"/>
    <n v="45246968"/>
    <n v="10264190"/>
    <s v="Impulso Mixto"/>
    <s v="B45374"/>
    <n v="48841.65625"/>
    <d v="2024-12-24T00:00:00"/>
    <n v="14.5"/>
    <s v="TLV"/>
    <s v="TLV"/>
    <s v="Impulso MyPeru Comercial"/>
    <n v="202412"/>
    <n v="60003"/>
    <s v="B45374"/>
    <x v="21"/>
    <s v="B45384"/>
    <x v="6"/>
    <x v="0"/>
    <x v="2"/>
    <s v="P1"/>
    <s v="C3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241"/>
    <x v="3"/>
    <n v="20609334402"/>
    <s v="MIUBEL MAQUINARIAS SOCIEDAD COMERCIAL DE"/>
    <s v="."/>
    <n v="10264487"/>
    <s v="Nuevo Aprobado"/>
    <s v="BPECND"/>
    <n v="45067.91015625"/>
    <d v="2025-01-09T00:00:00"/>
    <n v="21"/>
    <s v="TLV"/>
    <s v="TLV"/>
    <s v="Nuevo Aprobado EN"/>
    <n v="202501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42"/>
    <x v="7"/>
    <n v="20555553626"/>
    <s v="EQUIPOS PROIN"/>
    <s v="."/>
    <n v="10264704"/>
    <s v="Ágil Recurrente CEM"/>
    <s v="B46358"/>
    <n v="61798.63671875"/>
    <d v="2025-01-22T00:00:00"/>
    <n v="18"/>
    <s v="TIENDAS"/>
    <s v="TIENDAS"/>
    <s v="Recurrente Ágil CEM"/>
    <n v="202501"/>
    <n v="130006.5"/>
    <s v="B46358"/>
    <x v="31"/>
    <s v="B13161"/>
    <x v="9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43"/>
    <x v="9"/>
    <n v="20544260970"/>
    <s v="ENVAPERU"/>
    <s v="."/>
    <n v="10157352"/>
    <s v="GIRO DE LINEA"/>
    <s v="B26031"/>
    <n v="134919.078125"/>
    <d v="2024-10-03T00:00:00"/>
    <n v="17.899999999999999"/>
    <s v="TIENDAS"/>
    <s v="TIENDAS"/>
    <s v="Giro de Línea"/>
    <n v="202410"/>
    <n v="18000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44"/>
    <x v="1"/>
    <n v="20600807448"/>
    <s v="COLEGIO LA ALBORADA"/>
    <s v="."/>
    <n v="10270863"/>
    <s v="Recurrente Aprobado Agil"/>
    <s v="B30745"/>
    <n v="128867.5078125"/>
    <d v="2025-08-28T00:00:00"/>
    <n v="18"/>
    <s v="TIENDAS"/>
    <s v="TIENDAS"/>
    <s v="Recurrente Ágil CEM"/>
    <n v="202508"/>
    <n v="150007.5"/>
    <s v="B30745"/>
    <x v="14"/>
    <s v="B27274"/>
    <x v="0"/>
    <x v="5"/>
    <x v="0"/>
    <s v="P5"/>
    <s v="C1_2"/>
    <n v="1"/>
    <x v="0"/>
    <n v="0"/>
    <n v="0"/>
    <n v="1"/>
    <x v="0"/>
    <n v="0"/>
    <s v="NULL"/>
    <s v="NULL"/>
    <s v="NULL"/>
    <s v="NULL"/>
    <s v="NULL"/>
    <n v="50000"/>
    <n v="0.21"/>
    <n v="0.19"/>
    <s v="NULL"/>
    <s v="NULL"/>
  </r>
  <r>
    <x v="245"/>
    <x v="12"/>
    <n v="20602132600"/>
    <s v="G &amp; E TAIKI"/>
    <s v="."/>
    <n v="10267076"/>
    <s v="Nuevo Aprobado"/>
    <s v="BPECND"/>
    <n v="66305.953125"/>
    <d v="2025-04-15T00:00:00"/>
    <n v="18.200001"/>
    <s v="TLV"/>
    <s v="TLV"/>
    <s v="Nuevo Aprobado EN"/>
    <n v="202504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46"/>
    <x v="12"/>
    <n v="20603907389"/>
    <s v="PIECHI PERU"/>
    <s v="."/>
    <n v="10267268"/>
    <s v="Nuevo Aprobado"/>
    <s v="BPECND"/>
    <n v="58629.55859375"/>
    <d v="2025-04-23T00:00:00"/>
    <n v="18"/>
    <s v="TLV"/>
    <s v="TLV"/>
    <s v="Nuevo Aprobado EN"/>
    <n v="202504"/>
    <n v="6050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47"/>
    <x v="12"/>
    <n v="20610099310"/>
    <s v="NEGOCIOS YEFRI E.I.R.L"/>
    <s v="."/>
    <n v="10267534"/>
    <s v="Nuevo NO BANK"/>
    <s v="BPECND"/>
    <n v="35258.44921875"/>
    <d v="2025-04-30T00:00:00"/>
    <n v="24"/>
    <s v="TLV"/>
    <s v="TLV"/>
    <s v="Nuevo Aprobado EN"/>
    <n v="202504"/>
    <n v="36801.80000000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48"/>
    <x v="0"/>
    <n v="20604493006"/>
    <s v="JM DISTRIBUCIONES &amp; SEGURIDAD INDUSTRIAL"/>
    <s v="."/>
    <n v="10273745"/>
    <s v="Ágil Recurrente CEM"/>
    <s v="B27596"/>
    <n v="150007.484375"/>
    <d v="2025-12-05T00:00:00"/>
    <n v="16"/>
    <s v="TIENDAS"/>
    <s v="TIENDAS"/>
    <s v="Recurrente Ágil CEM"/>
    <n v="202512"/>
    <n v="150007.5"/>
    <s v="B27596"/>
    <x v="38"/>
    <s v="B46727"/>
    <x v="10"/>
    <x v="4"/>
    <x v="0"/>
    <s v="P1"/>
    <s v="C2"/>
    <n v="1"/>
    <x v="0"/>
    <n v="1"/>
    <n v="1"/>
    <n v="1"/>
    <x v="0"/>
    <n v="150007.5"/>
    <n v="16"/>
    <d v="2025-12-05T00:00:00"/>
    <s v="Recurrente Ágil CEM"/>
    <s v="TIENDAS"/>
    <s v="CAPITAL DE TRABAJO"/>
    <n v="250000"/>
    <n v="0.21"/>
    <n v="0.19"/>
    <s v="NULL"/>
    <s v="NULL"/>
  </r>
  <r>
    <x v="249"/>
    <x v="9"/>
    <n v="10756521875"/>
    <s v="SERVA ORIHUELA YANELA YULISSA"/>
    <n v="75652187"/>
    <n v="10249626"/>
    <s v="Impulso Mixto"/>
    <s v="B20321"/>
    <n v="62553.72265625"/>
    <d v="2024-03-19T00:00:00"/>
    <n v="13.8"/>
    <s v="TLV"/>
    <s v="TLV"/>
    <s v="Impulso MyPeru Comercial"/>
    <n v="202403"/>
    <n v="90004.5"/>
    <s v="B45078"/>
    <x v="44"/>
    <s v="B45083"/>
    <x v="7"/>
    <x v="4"/>
    <x v="2"/>
    <s v="P2"/>
    <s v="NULL"/>
    <n v="1"/>
    <x v="1"/>
    <n v="0"/>
    <n v="0"/>
    <n v="0"/>
    <x v="2"/>
    <n v="0"/>
    <s v="NULL"/>
    <s v="NULL"/>
    <s v="NULL"/>
    <s v="NULL"/>
    <s v="NULL"/>
    <n v="200000"/>
    <n v="0.2"/>
    <n v="0.17780000000000001"/>
    <s v="NULL"/>
    <s v="NULL"/>
  </r>
  <r>
    <x v="250"/>
    <x v="10"/>
    <n v="10410040498"/>
    <s v="CASTAÑEDA MONTAÑEZ RICHARD GEORGE"/>
    <n v="41004049"/>
    <n v="10249162"/>
    <s v="Impulso Mixto"/>
    <s v="B12887"/>
    <n v="20716.48828125"/>
    <d v="2024-03-12T00:00:00"/>
    <n v="14.6"/>
    <s v="TLV"/>
    <s v="TLV"/>
    <s v="Impulso MyPeru Comercial"/>
    <n v="202403"/>
    <n v="75603.75"/>
    <s v="NULL"/>
    <x v="2"/>
    <s v="NULL"/>
    <x v="2"/>
    <x v="12"/>
    <x v="3"/>
    <s v="P2"/>
    <s v="C3"/>
    <n v="1"/>
    <x v="0"/>
    <n v="0"/>
    <n v="0"/>
    <n v="1"/>
    <x v="1"/>
    <n v="0"/>
    <s v="NULL"/>
    <s v="NULL"/>
    <s v="NULL"/>
    <s v="NULL"/>
    <s v="NULL"/>
    <s v="NULL"/>
    <s v="NULL"/>
    <s v="NULL"/>
    <s v="TLV C"/>
    <s v="POOL TRANSACCIONAL"/>
  </r>
  <r>
    <x v="250"/>
    <x v="10"/>
    <n v="10410040498"/>
    <s v="CASTAÑEDA MONTAÑEZ RICHARD GEORGE"/>
    <n v="41004049"/>
    <n v="10249162"/>
    <s v="Impulso Mixto"/>
    <s v="B12887"/>
    <n v="20716.48828125"/>
    <d v="2024-03-12T00:00:00"/>
    <n v="14.6"/>
    <s v="TLV"/>
    <s v="TLV"/>
    <s v="Impulso MyPeru Comercial"/>
    <n v="202403"/>
    <n v="75603.75"/>
    <s v="B30155"/>
    <x v="69"/>
    <s v="B45384"/>
    <x v="6"/>
    <x v="5"/>
    <x v="2"/>
    <s v="P2"/>
    <s v="C3"/>
    <n v="1"/>
    <x v="0"/>
    <n v="0"/>
    <n v="0"/>
    <n v="1"/>
    <x v="2"/>
    <n v="0"/>
    <s v="NULL"/>
    <s v="NULL"/>
    <s v="NULL"/>
    <s v="NULL"/>
    <s v="NULL"/>
    <n v="250000"/>
    <n v="0.22589999999999999"/>
    <n v="0.2059"/>
    <s v="NULL"/>
    <s v="NULL"/>
  </r>
  <r>
    <x v="251"/>
    <x v="7"/>
    <n v="20523691261"/>
    <s v="TEXTILES FARTEX"/>
    <s v="."/>
    <n v="10248605"/>
    <s v="Impulso Mixto"/>
    <s v="B14821"/>
    <n v="3887.61767578125"/>
    <d v="2024-02-28T00:00:00"/>
    <n v="15"/>
    <s v="TLV"/>
    <s v="TLV"/>
    <s v="Impulso MyPeru Comercial"/>
    <n v="202402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52"/>
    <x v="1"/>
    <n v="20609640198"/>
    <s v="ENVIROSOLUTION SAC"/>
    <s v="."/>
    <n v="10265201"/>
    <s v="Ágil Recurrente CEM"/>
    <s v="B14534"/>
    <n v="104967.4140625"/>
    <d v="2025-02-10T00:00:00"/>
    <n v="17.879999000000002"/>
    <s v="TIENDAS"/>
    <s v="TIENDAS"/>
    <s v="Recurrente Ágil CEM"/>
    <n v="202502"/>
    <n v="180009"/>
    <s v="B14534"/>
    <x v="22"/>
    <s v="B14530"/>
    <x v="5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253"/>
    <x v="7"/>
    <n v="10074574519"/>
    <s v="DIAZ PACHECO CARLOS OSWALDO"/>
    <n v="7457451"/>
    <n v="10271602"/>
    <s v="Nuevo Aprobado"/>
    <s v="B33958"/>
    <n v="67858.84375"/>
    <d v="2025-09-23T00:00:00"/>
    <n v="19"/>
    <s v="TLV"/>
    <s v="TLV"/>
    <s v="Nuevo Aprobado EN"/>
    <n v="202509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54"/>
    <x v="7"/>
    <n v="20604561290"/>
    <s v="CAPITAL BROKERS S.A.C."/>
    <s v="."/>
    <n v="10269645"/>
    <s v="Regular Sin Campaña"/>
    <s v="B45386"/>
    <n v="102777.484375"/>
    <d v="2025-07-16T00:00:00"/>
    <n v="18.5"/>
    <s v="TIENDAS VIRTUALES"/>
    <s v="TIENDAS VIRTUALES"/>
    <s v="Gestion Cartera"/>
    <n v="202507"/>
    <n v="120006"/>
    <s v="B45386"/>
    <x v="27"/>
    <s v="B45384"/>
    <x v="6"/>
    <x v="0"/>
    <x v="2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255"/>
    <x v="7"/>
    <n v="20534882182"/>
    <s v="SOTO LEON CONTADORES"/>
    <s v="."/>
    <n v="10267923"/>
    <s v="CDD APROBADO"/>
    <s v="B22760"/>
    <n v="185405.890625"/>
    <d v="2025-05-19T00:00:00"/>
    <n v="15"/>
    <s v="TLV"/>
    <s v="TLV"/>
    <s v="Nuevo Aprobado Agil CD"/>
    <n v="202505"/>
    <n v="215198.75"/>
    <s v="B22760"/>
    <x v="42"/>
    <s v="B34489"/>
    <x v="4"/>
    <x v="4"/>
    <x v="0"/>
    <s v="P1"/>
    <s v="C1_2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256"/>
    <x v="10"/>
    <n v="20611036010"/>
    <s v="GRUPO LIANA"/>
    <s v="."/>
    <n v="10269071"/>
    <s v="CDD APROBADO"/>
    <s v="B46175"/>
    <n v="12167.8466796875"/>
    <d v="2025-06-26T00:00:00"/>
    <n v="18"/>
    <s v="TLV"/>
    <s v="TLV"/>
    <s v="Nuevo Aprobado Agil CD"/>
    <n v="202506"/>
    <n v="92372.6"/>
    <s v="B46175"/>
    <x v="70"/>
    <s v="B14530"/>
    <x v="5"/>
    <x v="11"/>
    <x v="0"/>
    <s v="P1"/>
    <s v="C1_1"/>
    <n v="1"/>
    <x v="0"/>
    <n v="0"/>
    <n v="1"/>
    <n v="1"/>
    <x v="0"/>
    <n v="0"/>
    <s v="NULL"/>
    <s v="NULL"/>
    <s v="NULL"/>
    <s v="NULL"/>
    <s v="NULL"/>
    <n v="500000"/>
    <n v="0.22"/>
    <n v="0.2"/>
    <s v="NULL"/>
    <s v="NULL"/>
  </r>
  <r>
    <x v="257"/>
    <x v="7"/>
    <n v="10407166227"/>
    <s v="SAAVEDRA NUÑEZ RUSBEL ELISEO"/>
    <n v="40716622"/>
    <n v="10264891"/>
    <s v="Nuevo Aprobado"/>
    <s v="B45373"/>
    <n v="38113.48046875"/>
    <d v="2025-01-28T00:00:00"/>
    <n v="21.200001"/>
    <s v="TLV"/>
    <s v="VENDORS"/>
    <s v="Nuevo Aprobado EN"/>
    <n v="202501"/>
    <n v="60003"/>
    <s v="B45373"/>
    <x v="13"/>
    <s v="B45384"/>
    <x v="6"/>
    <x v="4"/>
    <x v="2"/>
    <s v="P1"/>
    <s v="C3"/>
    <n v="1"/>
    <x v="0"/>
    <n v="0"/>
    <n v="0"/>
    <n v="1"/>
    <x v="0"/>
    <n v="0"/>
    <s v="NULL"/>
    <s v="NULL"/>
    <s v="NULL"/>
    <s v="NULL"/>
    <s v="NULL"/>
    <n v="300000"/>
    <n v="0.23200000000000001"/>
    <n v="0.21199999999999999"/>
    <s v="NULL"/>
    <s v="NULL"/>
  </r>
  <r>
    <x v="258"/>
    <x v="0"/>
    <n v="20570793633"/>
    <s v="SERVICIOS GENERALES GAMARUNI S.R.L."/>
    <s v="."/>
    <n v="10263172"/>
    <s v="Impulso Mixto"/>
    <s v="B44120"/>
    <n v="69778.3828125"/>
    <d v="2024-11-27T00:00:00"/>
    <n v="14.5"/>
    <s v="TLV"/>
    <s v="TLV"/>
    <s v="Impulso MyPeru Comercial"/>
    <n v="202411"/>
    <n v="90004.5"/>
    <s v="B44120"/>
    <x v="45"/>
    <s v="B14530"/>
    <x v="5"/>
    <x v="4"/>
    <x v="0"/>
    <s v="P1"/>
    <s v="C2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259"/>
    <x v="6"/>
    <n v="20604226342"/>
    <s v="ABASTECIMIENTO DE PRODUCTOS Y SERVICIOS"/>
    <s v="."/>
    <n v="10268235"/>
    <s v="Nuevo NO BANK"/>
    <s v="B45373"/>
    <n v="103494.546875"/>
    <d v="2025-05-28T00:00:00"/>
    <n v="20"/>
    <s v="TLV"/>
    <s v="TLV"/>
    <s v="Nuevo Aprobado EN"/>
    <n v="202505"/>
    <n v="120006"/>
    <s v="B45373"/>
    <x v="13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60"/>
    <x v="3"/>
    <n v="20513165332"/>
    <s v="KENAT DEL PERU"/>
    <s v="."/>
    <n v="10264889"/>
    <s v="Nuevo Aprobado Ágil"/>
    <s v="BPECND"/>
    <n v="140880.875"/>
    <d v="2025-01-29T00:00:00"/>
    <n v="19.200001"/>
    <s v="TLV"/>
    <s v="VENDORS"/>
    <s v="Nuevo Aprobado Agil"/>
    <n v="202501"/>
    <n v="146007.2999999999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61"/>
    <x v="10"/>
    <n v="10446148619"/>
    <s v="PEREZ CASTRO MERY VERONICA"/>
    <n v="44614861"/>
    <n v="10269685"/>
    <s v="Nuevo Aprobado"/>
    <s v="B33958"/>
    <n v="13020.85546875"/>
    <d v="2025-07-17T00:00:00"/>
    <n v="24"/>
    <s v="TLV"/>
    <s v="TLV"/>
    <s v="Nuevo Aprobado EN"/>
    <n v="202507"/>
    <n v="20001"/>
    <s v="B30155"/>
    <x v="69"/>
    <s v="B45384"/>
    <x v="6"/>
    <x v="5"/>
    <x v="2"/>
    <s v="P2"/>
    <s v="C3"/>
    <n v="1"/>
    <x v="0"/>
    <n v="0"/>
    <n v="0"/>
    <n v="0"/>
    <x v="2"/>
    <n v="0"/>
    <s v="NULL"/>
    <s v="NULL"/>
    <s v="NULL"/>
    <s v="NULL"/>
    <s v="NULL"/>
    <n v="50000"/>
    <n v="0.21890000000000001"/>
    <n v="0.19889999999999999"/>
    <s v="NULL"/>
    <s v="NULL"/>
  </r>
  <r>
    <x v="262"/>
    <x v="1"/>
    <n v="20511341761"/>
    <s v="TECNO INGENIERIA INDUSTRIAL"/>
    <s v="."/>
    <n v="10268147"/>
    <s v="Nuevo Aprobado"/>
    <s v="B37426"/>
    <n v="188080.3125"/>
    <d v="2025-05-26T00:00:00"/>
    <n v="17"/>
    <s v="TLV"/>
    <s v="TLV"/>
    <s v="Nuevo Aprobado EN"/>
    <n v="202505"/>
    <n v="230011.5"/>
    <s v="B37426"/>
    <x v="71"/>
    <s v="B14821"/>
    <x v="3"/>
    <x v="4"/>
    <x v="0"/>
    <s v="P5"/>
    <s v="C1_2"/>
    <n v="1"/>
    <x v="0"/>
    <n v="1"/>
    <n v="1"/>
    <n v="1"/>
    <x v="0"/>
    <n v="150007.5"/>
    <n v="16"/>
    <d v="2026-01-12T00:00:00"/>
    <s v="Recurrente Ágil CEM"/>
    <s v="TIENDAS"/>
    <s v="CAPITAL DE TRABAJO"/>
    <n v="169900"/>
    <n v="0.21"/>
    <n v="0.19"/>
    <s v="NULL"/>
    <s v="NULL"/>
  </r>
  <r>
    <x v="263"/>
    <x v="0"/>
    <n v="20603408609"/>
    <s v="PEREZ &amp; PEREZ SOCIEDAD ANONIMA CERRADA -"/>
    <s v="."/>
    <n v="10266766"/>
    <s v="Nuevo Aprobado"/>
    <s v="BPECND"/>
    <n v="26729.359375"/>
    <d v="2025-03-31T00:00:00"/>
    <n v="18.5"/>
    <s v="TLV"/>
    <s v="TLV"/>
    <s v="Nuevo Aprobado EN"/>
    <n v="202503"/>
    <n v="40002"/>
    <s v="NULL"/>
    <x v="2"/>
    <s v="NULL"/>
    <x v="2"/>
    <x v="12"/>
    <x v="3"/>
    <s v="P1"/>
    <s v="C1_1"/>
    <n v="1"/>
    <x v="0"/>
    <n v="0"/>
    <n v="0"/>
    <n v="1"/>
    <x v="1"/>
    <n v="0"/>
    <s v="NULL"/>
    <s v="NULL"/>
    <s v="NULL"/>
    <s v="NULL"/>
    <s v="NULL"/>
    <s v="NULL"/>
    <s v="NULL"/>
    <s v="NULL"/>
    <s v="TLV C"/>
    <s v="POOL TRANSACCIONAL"/>
  </r>
  <r>
    <x v="264"/>
    <x v="10"/>
    <n v="10428485519"/>
    <s v="MOGOLLON TARAZONA PAUL BRADY"/>
    <n v="42848551"/>
    <n v="10272278"/>
    <s v="Ágil Recurrente CEM"/>
    <s v="B19752"/>
    <n v="160497.9375"/>
    <d v="2025-10-16T00:00:00"/>
    <n v="20.67"/>
    <s v="TIENDAS"/>
    <s v="TIENDAS"/>
    <s v="Recurrente Ágil CEM"/>
    <n v="202510"/>
    <n v="200010"/>
    <s v="B19752"/>
    <x v="43"/>
    <s v="B13988"/>
    <x v="1"/>
    <x v="9"/>
    <x v="0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265"/>
    <x v="9"/>
    <n v="20494997283"/>
    <s v="CARLOS VASQUEZ ARTE &amp; PUBLICIDAD EIRL"/>
    <s v="."/>
    <n v="10154040"/>
    <s v="GIRO DE LINEA"/>
    <s v="B37426"/>
    <n v="34291.30078125"/>
    <d v="2025-01-27T00:00:00"/>
    <n v="19"/>
    <s v="TIENDAS"/>
    <s v="TIENDAS"/>
    <s v="Giro de Línea"/>
    <n v="202501"/>
    <n v="38001.9"/>
    <s v="B37426"/>
    <x v="71"/>
    <s v="B14821"/>
    <x v="3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.27079999999999999"/>
    <s v="NULL"/>
    <s v="NULL"/>
  </r>
  <r>
    <x v="266"/>
    <x v="0"/>
    <n v="10450778830"/>
    <s v="SILVA PEREZ LINDA KAREN"/>
    <n v="45077883"/>
    <n v="10262918"/>
    <s v="Impulso Solo"/>
    <s v="B23647"/>
    <n v="44311.6953125"/>
    <d v="2024-11-21T00:00:00"/>
    <n v="15.5"/>
    <s v="TLV"/>
    <s v="TLV"/>
    <s v="Impulso MyPeru Comercial"/>
    <n v="202411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67"/>
    <x v="11"/>
    <n v="20607664715"/>
    <s v=".CORPORACION FERREMAT &amp; NEGOCIOS GENERAL"/>
    <s v="."/>
    <n v="10266263"/>
    <s v="Regular Sin Campaña"/>
    <s v="BPECND"/>
    <n v="192787.15625"/>
    <d v="2025-03-18T00:00:00"/>
    <n v="16"/>
    <s v="TIENDAS"/>
    <s v="TIENDAS"/>
    <s v="Gestion Cartera"/>
    <n v="202503"/>
    <n v="200010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68"/>
    <x v="5"/>
    <n v="20543142485"/>
    <s v="MERCURIO CONSULTORES ASOCIADOS"/>
    <s v="."/>
    <n v="10268612"/>
    <s v="CDD APROBADO"/>
    <s v="BPECND"/>
    <n v="62595.609375"/>
    <d v="2025-06-11T00:00:00"/>
    <n v="15"/>
    <s v="TLV"/>
    <s v="TLV"/>
    <s v="Nuevo Aprobado Agil CD"/>
    <n v="202506"/>
    <n v="82004.10000000000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69"/>
    <x v="9"/>
    <n v="20607697036"/>
    <s v="CARROCERIAS FAC BUS"/>
    <s v="."/>
    <n v="10265626"/>
    <s v="Nuevo pre Aprobado"/>
    <s v="B45374"/>
    <n v="93180.0390625"/>
    <d v="2025-02-24T00:00:00"/>
    <n v="19"/>
    <s v="TIENDAS"/>
    <s v="VENDORS"/>
    <s v="Nuevo Pre-aprobado"/>
    <n v="202502"/>
    <n v="100005"/>
    <s v="B45374"/>
    <x v="72"/>
    <s v="B45384"/>
    <x v="6"/>
    <x v="1"/>
    <x v="2"/>
    <s v="P1"/>
    <s v="NULL"/>
    <n v="1"/>
    <x v="0"/>
    <n v="0"/>
    <n v="0"/>
    <n v="0"/>
    <x v="2"/>
    <n v="0"/>
    <s v="NULL"/>
    <s v="NULL"/>
    <s v="NULL"/>
    <s v="NULL"/>
    <s v="NULL"/>
    <n v="0"/>
    <n v="0"/>
    <n v="0"/>
    <s v="NULL"/>
    <s v="NULL"/>
  </r>
  <r>
    <x v="270"/>
    <x v="9"/>
    <n v="10428628891"/>
    <s v="TAME VILCA CESAR ANTONIO"/>
    <n v="42862889"/>
    <n v="10262345"/>
    <s v="Impulso Mixto"/>
    <s v="B33958"/>
    <n v="34001.69140625"/>
    <d v="2024-11-05T00:00:00"/>
    <n v="15.2"/>
    <s v="TLV"/>
    <s v="TLV"/>
    <s v="Impulso MyPeru Comercial"/>
    <n v="202411"/>
    <n v="34001.699999999997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71"/>
    <x v="0"/>
    <n v="10258187933"/>
    <s v="ANCAJIMA MACALUPU JOSE MARIANO"/>
    <n v="25818793"/>
    <n v="10259731"/>
    <s v="Impulso CDI Cobertura"/>
    <s v="B45440"/>
    <n v="59331.08984375"/>
    <d v="2024-08-28T00:00:00"/>
    <n v="15.7"/>
    <s v="TIENDAS"/>
    <s v="TIENDAS"/>
    <s v="Impulso MyPeru Comercial"/>
    <n v="202408"/>
    <n v="90004.5"/>
    <s v="B45440"/>
    <x v="73"/>
    <s v="B45083"/>
    <x v="7"/>
    <x v="7"/>
    <x v="2"/>
    <s v="P2"/>
    <s v="C3"/>
    <n v="1"/>
    <x v="1"/>
    <n v="0"/>
    <n v="0"/>
    <n v="0"/>
    <x v="0"/>
    <n v="0"/>
    <s v="NULL"/>
    <s v="NULL"/>
    <s v="NULL"/>
    <s v="NULL"/>
    <s v="NULL"/>
    <n v="52000"/>
    <n v="0.21920000000000001"/>
    <n v="0.19919999999999999"/>
    <s v="NULL"/>
    <s v="NULL"/>
  </r>
  <r>
    <x v="272"/>
    <x v="1"/>
    <n v="20555116242"/>
    <s v="F Y S PROYECTOS ELECTRICOS GENERALES Y C"/>
    <s v="."/>
    <n v="10270189"/>
    <s v="Nuevo Aprobado"/>
    <s v="B45372"/>
    <n v="18897"/>
    <d v="2025-08-05T00:00:00"/>
    <n v="25"/>
    <s v="TLV"/>
    <s v="TLV"/>
    <s v="Nuevo Aprobado EN"/>
    <n v="202508"/>
    <n v="25001.25"/>
    <s v="B45372"/>
    <x v="56"/>
    <s v="B45384"/>
    <x v="6"/>
    <x v="0"/>
    <x v="2"/>
    <s v="P5"/>
    <s v="C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273"/>
    <x v="8"/>
    <n v="20604435502"/>
    <s v="DISTRIBUIDORA WILMAR E.I.R.L."/>
    <s v="."/>
    <n v="10265380"/>
    <s v="Nuevo pre Aprobado"/>
    <s v="B45374"/>
    <n v="119943.375"/>
    <d v="2025-02-17T00:00:00"/>
    <n v="18.5"/>
    <s v="TIENDAS"/>
    <s v="TIENDAS"/>
    <s v="Nuevo Pre-aprobado"/>
    <n v="202502"/>
    <n v="150007.5"/>
    <s v="B45374"/>
    <x v="21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0380000000000001"/>
    <s v="NULL"/>
    <s v="NULL"/>
    <s v="NULL"/>
  </r>
  <r>
    <x v="274"/>
    <x v="5"/>
    <n v="20608135538"/>
    <s v="J &amp; R LOGISTICA Y SOLUCIONES GENERALES"/>
    <s v="."/>
    <n v="10263339"/>
    <s v="Impulso Solo"/>
    <s v="B45440"/>
    <n v="76881.5625"/>
    <d v="2024-11-29T00:00:00"/>
    <n v="16.5"/>
    <s v="TLV"/>
    <s v="TLV"/>
    <s v="Impulso MyPeru Comercial"/>
    <n v="202411"/>
    <n v="90004.5"/>
    <s v="B45440"/>
    <x v="73"/>
    <s v="B45083"/>
    <x v="7"/>
    <x v="1"/>
    <x v="2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75"/>
    <x v="1"/>
    <n v="20607041891"/>
    <s v="IGLOBAL GROUP E.I.R.L."/>
    <s v="."/>
    <n v="10260661"/>
    <s v="Regular Sin Campaña"/>
    <s v="B33503"/>
    <n v="56292.1796875"/>
    <d v="2024-09-20T00:00:00"/>
    <n v="20"/>
    <s v="TIENDAS"/>
    <s v="TIENDAS"/>
    <s v="NULL"/>
    <n v="202409"/>
    <n v="133506.65"/>
    <s v="B33503"/>
    <x v="10"/>
    <s v="B14821"/>
    <x v="3"/>
    <x v="1"/>
    <x v="0"/>
    <s v="P1"/>
    <s v="C2"/>
    <n v="1"/>
    <x v="0"/>
    <n v="0"/>
    <n v="0"/>
    <n v="1"/>
    <x v="0"/>
    <n v="0"/>
    <s v="NULL"/>
    <s v="NULL"/>
    <s v="NULL"/>
    <s v="NULL"/>
    <s v="NULL"/>
    <n v="1"/>
    <n v="1"/>
    <n v="0.24"/>
    <s v="NULL"/>
    <s v="NULL"/>
  </r>
  <r>
    <x v="251"/>
    <x v="7"/>
    <n v="20523691261"/>
    <s v="TEXTILES FARTEX"/>
    <s v="."/>
    <n v="10272778"/>
    <s v="Recurrente Aprobado Agil"/>
    <s v="B14821"/>
    <n v="46502.8125"/>
    <d v="2025-10-31T00:00:00"/>
    <n v="19"/>
    <s v="TIENDAS"/>
    <s v="TIENDAS"/>
    <s v="Recurrente Ágil CEM"/>
    <n v="202510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76"/>
    <x v="7"/>
    <n v="20608826697"/>
    <s v="CORPORACION RETAIL ML"/>
    <s v="."/>
    <n v="10268201"/>
    <s v="Regular Sin Campaña"/>
    <s v="B43903"/>
    <n v="247922.078125"/>
    <d v="2025-05-27T00:00:00"/>
    <n v="17"/>
    <s v="TIENDAS"/>
    <s v="VENDORS"/>
    <s v="Gestion Cartera"/>
    <n v="202505"/>
    <n v="300015"/>
    <s v="B43903"/>
    <x v="67"/>
    <s v="B14821"/>
    <x v="3"/>
    <x v="0"/>
    <x v="0"/>
    <s v="P1"/>
    <s v="C2"/>
    <n v="1"/>
    <x v="1"/>
    <n v="0"/>
    <n v="0"/>
    <n v="0"/>
    <x v="0"/>
    <n v="0"/>
    <s v="NULL"/>
    <s v="NULL"/>
    <s v="NULL"/>
    <s v="NULL"/>
    <s v="NULL"/>
    <n v="0"/>
    <n v="0"/>
    <n v="0.19"/>
    <s v="NULL"/>
    <s v="NULL"/>
  </r>
  <r>
    <x v="277"/>
    <x v="6"/>
    <n v="20605861076"/>
    <s v="GAFASPERFECT"/>
    <s v="."/>
    <n v="10256530"/>
    <s v="Impulso Solo"/>
    <s v="B33503"/>
    <n v="39795.234375"/>
    <d v="2024-06-26T00:00:00"/>
    <n v="14.7"/>
    <s v="TIENDAS"/>
    <s v="TIENDAS"/>
    <s v="Impulso MyPeru Comercial"/>
    <n v="202406"/>
    <n v="90004.5"/>
    <s v="B33503"/>
    <x v="10"/>
    <s v="B14821"/>
    <x v="3"/>
    <x v="4"/>
    <x v="0"/>
    <s v="P1"/>
    <s v="NULL"/>
    <n v="1"/>
    <x v="1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278"/>
    <x v="1"/>
    <n v="20547528574"/>
    <s v="MAKING CONNEXION"/>
    <s v="."/>
    <n v="10257232"/>
    <s v="Impulso Mixto"/>
    <s v="B28573"/>
    <n v="47860.9609375"/>
    <d v="2024-07-15T00:00:00"/>
    <n v="13.4"/>
    <s v="TIENDAS"/>
    <s v="TIENDAS"/>
    <s v="Impulso MyPeru Comercial"/>
    <n v="202407"/>
    <n v="90004.5"/>
    <s v="B28573"/>
    <x v="74"/>
    <s v="B13161"/>
    <x v="9"/>
    <x v="4"/>
    <x v="0"/>
    <s v="P5"/>
    <s v="C1_1"/>
    <n v="1"/>
    <x v="0"/>
    <n v="0"/>
    <n v="1"/>
    <n v="1"/>
    <x v="0"/>
    <n v="0"/>
    <s v="NULL"/>
    <s v="NULL"/>
    <s v="NULL"/>
    <s v="NULL"/>
    <s v="NULL"/>
    <n v="500000"/>
    <n v="0.21"/>
    <n v="0.19"/>
    <s v="NULL"/>
    <s v="NULL"/>
  </r>
  <r>
    <x v="279"/>
    <x v="5"/>
    <n v="10076048717"/>
    <s v="CHILQUILLO FLORES JOHN ANGEL"/>
    <n v="7604871"/>
    <n v="10257960"/>
    <s v="Impulso CDI Cobertura"/>
    <s v="B13559"/>
    <n v="54030.5390625"/>
    <d v="2024-07-25T00:00:00"/>
    <n v="15"/>
    <s v="TIENDAS"/>
    <s v="TIENDAS"/>
    <s v="Impulso MyPeru Comercial"/>
    <n v="202407"/>
    <n v="77463.850000000006"/>
    <s v="B27596"/>
    <x v="38"/>
    <s v="B13988"/>
    <x v="8"/>
    <x v="7"/>
    <x v="0"/>
    <s v="P2"/>
    <s v="C3"/>
    <n v="1"/>
    <x v="0"/>
    <n v="0"/>
    <n v="0"/>
    <n v="1"/>
    <x v="2"/>
    <n v="0"/>
    <s v="NULL"/>
    <s v="NULL"/>
    <s v="NULL"/>
    <s v="NULL"/>
    <s v="NULL"/>
    <n v="83000"/>
    <n v="0.25"/>
    <n v="0.23"/>
    <s v="NULL"/>
    <s v="NULL"/>
  </r>
  <r>
    <x v="280"/>
    <x v="11"/>
    <n v="20525128751"/>
    <s v="ADRIANCANV SAC"/>
    <s v="."/>
    <n v="10266444"/>
    <s v="Nuevo Aprobado"/>
    <s v="BPECND"/>
    <n v="222207.453125"/>
    <d v="2025-03-21T00:00:00"/>
    <n v="15"/>
    <s v="TIENDAS"/>
    <s v="TIENDAS"/>
    <s v="Nuevo Pre-aprobado"/>
    <n v="202503"/>
    <n v="280014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81"/>
    <x v="6"/>
    <n v="10426120602"/>
    <s v="GARCIA GONZALES JULIO CESAR"/>
    <n v="42612060"/>
    <n v="10195950"/>
    <s v="Reactiva"/>
    <s v="B45372"/>
    <n v="633.18377685546898"/>
    <s v="NULL"/>
    <s v="NULL"/>
    <s v="NULL"/>
    <s v="NULL"/>
    <s v="NULL"/>
    <s v="NULL"/>
    <s v="NULL"/>
    <s v="B45372"/>
    <x v="56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82"/>
    <x v="5"/>
    <n v="20333453721"/>
    <s v="CENTRO DE MEDICINA HIPERBARICA"/>
    <s v="."/>
    <n v="10268736"/>
    <s v="Ágil Recurrente CEM"/>
    <s v="B28573"/>
    <n v="356460.6875"/>
    <d v="2025-06-17T00:00:00"/>
    <n v="16"/>
    <s v="TIENDAS"/>
    <s v="TIENDAS"/>
    <s v="Recurrente Ágil CEM"/>
    <n v="202506"/>
    <n v="400020"/>
    <s v="B28573"/>
    <x v="74"/>
    <s v="B13161"/>
    <x v="9"/>
    <x v="1"/>
    <x v="0"/>
    <s v="P1"/>
    <s v="C1_1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83"/>
    <x v="12"/>
    <n v="20602081461"/>
    <s v="TRANSMASUR"/>
    <s v="."/>
    <n v="10267437"/>
    <s v="Regular Sin Campaña"/>
    <s v="B34669"/>
    <n v="231822.375"/>
    <d v="2025-04-28T00:00:00"/>
    <n v="17"/>
    <s v="TIENDAS"/>
    <s v="TIENDAS"/>
    <s v="Gestion Cartera"/>
    <n v="202504"/>
    <n v="240012"/>
    <s v="B34669"/>
    <x v="7"/>
    <s v="B34489"/>
    <x v="4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883"/>
    <s v="NULL"/>
    <s v="NULL"/>
    <s v="NULL"/>
  </r>
  <r>
    <x v="284"/>
    <x v="1"/>
    <n v="20605724591"/>
    <s v="FERRELECTRIC ROLO S EMPRESA INDIVIDUAL D"/>
    <s v="."/>
    <n v="10247526"/>
    <s v="Ágil Recurrente CEM"/>
    <s v="B34489"/>
    <n v="11773.53125"/>
    <d v="2024-01-25T00:00:00"/>
    <n v="18.600000000000001"/>
    <s v="TIENDAS"/>
    <s v="TIENDAS"/>
    <s v="Recurrente Ágil CEM"/>
    <n v="202401"/>
    <n v="240012"/>
    <s v="B46527"/>
    <x v="75"/>
    <s v="B34489"/>
    <x v="4"/>
    <x v="5"/>
    <x v="0"/>
    <s v="P5"/>
    <s v="C2"/>
    <n v="1"/>
    <x v="0"/>
    <n v="0"/>
    <n v="0"/>
    <n v="1"/>
    <x v="2"/>
    <n v="0"/>
    <s v="NULL"/>
    <s v="NULL"/>
    <s v="NULL"/>
    <s v="NULL"/>
    <s v="NULL"/>
    <n v="250000"/>
    <n v="0.21"/>
    <n v="0.19"/>
    <s v="NULL"/>
    <s v="NULL"/>
  </r>
  <r>
    <x v="285"/>
    <x v="0"/>
    <n v="20600999339"/>
    <s v="MULTISERVICIOS AUTOMOTRIZ UNIGAS E.I.R.L"/>
    <s v="."/>
    <n v="10272347"/>
    <s v="Nuevo Aprobado Ágil"/>
    <s v="BPECND"/>
    <n v="104214.9609375"/>
    <d v="2025-10-17T00:00:00"/>
    <n v="17"/>
    <s v="TLV"/>
    <s v="VENDORS"/>
    <s v="Nuevo Aprobado Agil"/>
    <n v="202510"/>
    <n v="112305.6000000000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86"/>
    <x v="6"/>
    <n v="20608475029"/>
    <s v="IMPORTACIONES OVERLAND AUTOMOTRIZ EMPRES"/>
    <s v="."/>
    <n v="10248579"/>
    <s v="Impulso Solo"/>
    <s v="B46527"/>
    <n v="40815.8671875"/>
    <d v="2024-02-28T00:00:00"/>
    <n v="16"/>
    <s v="TLV"/>
    <s v="TLV"/>
    <s v="Impulso MyPeru Comercial"/>
    <n v="202402"/>
    <n v="90004.5"/>
    <s v="B46527"/>
    <x v="75"/>
    <s v="B34489"/>
    <x v="4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87"/>
    <x v="7"/>
    <n v="20487947262"/>
    <s v="ENERGICENTRO SUPER BATTERY S.A.C."/>
    <s v="."/>
    <n v="10248745"/>
    <s v="Impulso Mixto"/>
    <s v="B45372"/>
    <n v="36780.58203125"/>
    <d v="2024-02-28T00:00:00"/>
    <n v="15"/>
    <s v="TLV"/>
    <s v="TLV"/>
    <s v="Impulso MyPeru Comercial"/>
    <n v="202402"/>
    <n v="90004.5"/>
    <s v="B45372"/>
    <x v="56"/>
    <s v="B45384"/>
    <x v="6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88"/>
    <x v="12"/>
    <n v="10438279895"/>
    <s v="LAURA VARGAS WILSON"/>
    <n v="43827989"/>
    <n v="10250243"/>
    <s v="Impulso Mixto"/>
    <s v="B33958"/>
    <n v="37639.9140625"/>
    <d v="2024-03-27T00:00:00"/>
    <n v="14.6"/>
    <s v="TLV"/>
    <s v="TLV"/>
    <s v="Impulso MyPeru Comercial"/>
    <n v="202403"/>
    <n v="57309.85"/>
    <s v="B45374"/>
    <x v="21"/>
    <s v="B45384"/>
    <x v="6"/>
    <x v="4"/>
    <x v="2"/>
    <s v="P2"/>
    <s v="NULL"/>
    <n v="1"/>
    <x v="1"/>
    <n v="0"/>
    <n v="0"/>
    <n v="0"/>
    <x v="2"/>
    <n v="0"/>
    <s v="NULL"/>
    <s v="NULL"/>
    <s v="NULL"/>
    <s v="NULL"/>
    <s v="NULL"/>
    <n v="300000"/>
    <n v="0.24"/>
    <n v="0.2223"/>
    <s v="NULL"/>
    <s v="NULL"/>
  </r>
  <r>
    <x v="289"/>
    <x v="12"/>
    <n v="20600398815"/>
    <s v="GRUPO C P Q  CONSTRUCCIONES GENERALES"/>
    <s v="."/>
    <n v="10251171"/>
    <s v="Impulso CDI Cobertura"/>
    <s v="B40039"/>
    <n v="150444.859375"/>
    <d v="2024-04-19T00:00:00"/>
    <n v="14"/>
    <s v="TIENDAS"/>
    <s v="TIENDAS"/>
    <s v="Impulso MyPeru Comercial"/>
    <n v="202404"/>
    <n v="216270.8"/>
    <s v="B40039"/>
    <x v="41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0330000000000001"/>
    <n v="0"/>
    <s v="NULL"/>
    <s v="NULL"/>
  </r>
  <r>
    <x v="290"/>
    <x v="0"/>
    <n v="20317074043"/>
    <s v="DISTRIBUIDORA PADU"/>
    <s v="."/>
    <n v="10274056"/>
    <s v="Recurrente Aprobado Agil"/>
    <s v="B30094"/>
    <n v="168608.40625"/>
    <d v="2025-12-19T00:00:00"/>
    <n v="17"/>
    <s v="TIENDAS"/>
    <s v="TIENDAS"/>
    <s v="Recurrente Ágil CEM"/>
    <n v="202512"/>
    <n v="168608.4"/>
    <s v="B30094"/>
    <x v="48"/>
    <s v="B34489"/>
    <x v="4"/>
    <x v="4"/>
    <x v="0"/>
    <s v="P1"/>
    <s v="C1_1"/>
    <n v="1"/>
    <x v="0"/>
    <n v="1"/>
    <n v="1"/>
    <n v="1"/>
    <x v="0"/>
    <n v="168608.4"/>
    <n v="17"/>
    <d v="2025-12-19T00:00:00"/>
    <s v="Recurrente Ágil CEM"/>
    <s v="TIENDAS"/>
    <s v="CAPITAL DE TRABAJO"/>
    <n v="168600"/>
    <n v="0.21"/>
    <n v="0.19"/>
    <s v="NULL"/>
    <s v="NULL"/>
  </r>
  <r>
    <x v="291"/>
    <x v="1"/>
    <n v="20553159068"/>
    <s v="INGENIERIA METALICA ASBEL"/>
    <s v="."/>
    <n v="10274418"/>
    <s v="Nuevo pre Aprobado"/>
    <s v="B45240"/>
    <n v="18354.177734375"/>
    <d v="2026-01-09T00:00:00"/>
    <n v="16"/>
    <s v="TIENDAS VIRTUALES"/>
    <s v="TIENDAS VIRTUALES"/>
    <s v="Nuevo Pre-aprobado"/>
    <n v="202601"/>
    <n v="50002.5"/>
    <s v="B45240"/>
    <x v="57"/>
    <s v="B45083"/>
    <x v="7"/>
    <x v="3"/>
    <x v="2"/>
    <s v="P1"/>
    <s v="C3"/>
    <n v="1"/>
    <x v="0"/>
    <n v="1"/>
    <n v="1"/>
    <n v="1"/>
    <x v="2"/>
    <n v="50002.5"/>
    <n v="16"/>
    <d v="2026-01-09T00:00:00"/>
    <s v="Nuevo Pre-aprobado"/>
    <s v="TIENDAS VIRTUALES"/>
    <s v="CAPITAL DE TRABAJO"/>
    <n v="350000"/>
    <n v="0.22800000000000001"/>
    <n v="0.20799999999999999"/>
    <s v="NULL"/>
    <s v="NULL"/>
  </r>
  <r>
    <x v="292"/>
    <x v="6"/>
    <n v="10004135054"/>
    <s v="MEJIA QUISPE ESPERANZA"/>
    <n v="413505"/>
    <n v="10162455"/>
    <s v="GIRO DE LINEA"/>
    <s v="B29768"/>
    <n v="105658.96875"/>
    <d v="2025-02-19T00:00:00"/>
    <n v="16.68"/>
    <s v="TIENDAS"/>
    <s v="TIENDAS"/>
    <s v="Giro de Línea"/>
    <n v="202502"/>
    <n v="150007.5"/>
    <s v="B29768"/>
    <x v="32"/>
    <s v="B14530"/>
    <x v="5"/>
    <x v="14"/>
    <x v="0"/>
    <s v="P2"/>
    <s v="NULL"/>
    <n v="1"/>
    <x v="0"/>
    <n v="0"/>
    <n v="0"/>
    <n v="1"/>
    <x v="0"/>
    <n v="0"/>
    <s v="NULL"/>
    <s v="NULL"/>
    <s v="NULL"/>
    <s v="NULL"/>
    <s v="NULL"/>
    <n v="150000"/>
    <n v="0.23569999999999999"/>
    <n v="0.2157"/>
    <s v="NULL"/>
    <s v="NULL"/>
  </r>
  <r>
    <x v="293"/>
    <x v="3"/>
    <n v="20601224306"/>
    <s v="CORPORATION SPIRIT CASTLE SOCIEDAD ANONI"/>
    <s v="."/>
    <n v="10265275"/>
    <s v="Nuevo Aprobado"/>
    <s v="BPECND"/>
    <n v="61400.7421875"/>
    <d v="2025-02-12T00:00:00"/>
    <n v="18.5"/>
    <s v="TLV"/>
    <s v="VENDORS"/>
    <s v="Nuevo Aprobado EN"/>
    <n v="202502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94"/>
    <x v="3"/>
    <n v="10167525763"/>
    <s v="REQUEJO SUAREZ YORCITO CASTINALDO"/>
    <n v="16752576"/>
    <n v="10265402"/>
    <s v="Regular Sin Campaña"/>
    <s v="B36715"/>
    <n v="46249.1875"/>
    <d v="2025-02-17T00:00:00"/>
    <n v="25"/>
    <s v="TIENDAS"/>
    <s v="VENDORS"/>
    <s v="Gestion Cartera"/>
    <n v="202502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95"/>
    <x v="11"/>
    <n v="20610226320"/>
    <s v="INVERSIONES &amp; CONSTRUCTORA ZAVALA EMPRES"/>
    <s v="."/>
    <n v="10265646"/>
    <s v="Regular Sin Campaña"/>
    <s v="BPECND"/>
    <n v="90204.0859375"/>
    <d v="2025-02-25T00:00:00"/>
    <n v="19"/>
    <s v="TIENDAS"/>
    <s v="VENDORS"/>
    <s v="Gestion Cartera"/>
    <n v="202502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96"/>
    <x v="0"/>
    <n v="20571335540"/>
    <s v="DISEÑO Y CONSTRUCCIONES METALICAS ALEXAN"/>
    <s v="."/>
    <n v="10263284"/>
    <s v="Impulso Solo"/>
    <s v="B33958"/>
    <n v="54305.421875"/>
    <d v="2024-11-28T00:00:00"/>
    <n v="14.8"/>
    <s v="TLV"/>
    <s v="TLV"/>
    <s v="Impulso MyPeru Comercial"/>
    <n v="202411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18"/>
    <x v="0"/>
    <n v="20601327440"/>
    <s v="JEDATEX"/>
    <s v="."/>
    <n v="10272019"/>
    <s v="Recurrente Aprobado Agil"/>
    <s v="B36574"/>
    <n v="366909.3125"/>
    <d v="2025-10-06T00:00:00"/>
    <n v="16.5"/>
    <s v="TIENDAS"/>
    <s v="TIENDAS"/>
    <s v="Recurrente Ágil CEM"/>
    <n v="202510"/>
    <n v="224486.9"/>
    <s v="B36574"/>
    <x v="51"/>
    <s v="B13161"/>
    <x v="9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97"/>
    <x v="5"/>
    <n v="20604502510"/>
    <s v="REENCAUCHADORA DIRESUR S.R.L."/>
    <s v="."/>
    <n v="10270183"/>
    <s v="Ágil Recurrente CEM"/>
    <s v="B44121"/>
    <n v="228013.3125"/>
    <d v="2025-08-04T00:00:00"/>
    <n v="16"/>
    <s v="TIENDAS"/>
    <s v="TIENDAS"/>
    <s v="Recurrente Ágil CEM"/>
    <n v="202508"/>
    <n v="240012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98"/>
    <x v="7"/>
    <n v="10400833066"/>
    <s v="FLORES GONZALES INGRID LUZMILA"/>
    <n v="40083306"/>
    <n v="10269291"/>
    <s v="CDD APROBADO"/>
    <s v="B45389"/>
    <n v="73540.7890625"/>
    <d v="2025-06-30T00:00:00"/>
    <n v="17.5"/>
    <s v="TLV"/>
    <s v="TLV"/>
    <s v="Nuevo Aprobado Agil CD"/>
    <n v="202506"/>
    <n v="92004.6"/>
    <s v="B45389"/>
    <x v="16"/>
    <s v="B45384"/>
    <x v="6"/>
    <x v="1"/>
    <x v="2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99"/>
    <x v="5"/>
    <n v="20608403435"/>
    <s v="PRESS CAPITAL"/>
    <s v="."/>
    <n v="10269116"/>
    <s v="Nuevo pre Aprobado"/>
    <s v="B27274"/>
    <n v="24035.3359375"/>
    <d v="2025-06-26T00:00:00"/>
    <n v="20.5"/>
    <s v="TIENDAS"/>
    <s v="VENDORS"/>
    <s v="Nuevo Pre-aprobado"/>
    <n v="202506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00"/>
    <x v="6"/>
    <n v="20478112107"/>
    <s v="FABETEX DEL PERU"/>
    <s v="."/>
    <n v="10177614"/>
    <s v="GIRO DE LINEA"/>
    <s v="B36343"/>
    <n v="159543.9375"/>
    <d v="2025-07-17T00:00:00"/>
    <n v="16"/>
    <s v="TIENDAS"/>
    <s v="TIENDAS"/>
    <s v="Giro de Línea"/>
    <n v="202507"/>
    <n v="112775.6"/>
    <s v="B36343"/>
    <x v="40"/>
    <s v="B13161"/>
    <x v="9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11"/>
    <x v="1"/>
    <n v="20608692623"/>
    <s v="UNIVERSAL LOGISTICA"/>
    <s v="."/>
    <n v="10250221"/>
    <s v="Impulso Mixto"/>
    <s v="B43714"/>
    <n v="3928.76635742188"/>
    <d v="2024-03-27T00:00:00"/>
    <n v="14.6"/>
    <s v="TLV"/>
    <s v="TLV"/>
    <s v="Impulso MyPeru Comercial"/>
    <n v="202403"/>
    <n v="90004.5"/>
    <s v="B43714"/>
    <x v="64"/>
    <s v="B14821"/>
    <x v="3"/>
    <x v="4"/>
    <x v="0"/>
    <s v="P5"/>
    <s v="C1_2"/>
    <n v="1"/>
    <x v="0"/>
    <n v="1"/>
    <n v="1"/>
    <n v="1"/>
    <x v="0"/>
    <n v="80304"/>
    <n v="19"/>
    <d v="2026-01-08T00:00:00"/>
    <s v="Recurrente Ágil CEM"/>
    <s v="TIENDAS"/>
    <s v="CAPITAL DE TRABAJO"/>
    <n v="80300"/>
    <n v="0.21"/>
    <n v="0.19"/>
    <s v="NULL"/>
    <s v="NULL"/>
  </r>
  <r>
    <x v="219"/>
    <x v="11"/>
    <n v="10453530669"/>
    <s v="VASQUEZ DELGADO JHONNY"/>
    <n v="45353066"/>
    <n v="10240395"/>
    <s v="Ágil Recurrente CEM"/>
    <s v="B30637"/>
    <n v="762.12298583984398"/>
    <d v="2023-06-22T00:00:00"/>
    <n v="23.6"/>
    <s v="TIENDAS"/>
    <s v="TIENDAS"/>
    <s v="Recurrente Ágil CEM"/>
    <n v="202306"/>
    <n v="70003.5"/>
    <s v="B30637"/>
    <x v="12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301"/>
    <x v="10"/>
    <n v="20610122460"/>
    <s v="HOLDING HUAUYA"/>
    <s v="."/>
    <n v="10271356"/>
    <s v="Ágil Recurrente CEM"/>
    <s v="B14821"/>
    <n v="79168.0390625"/>
    <d v="2025-09-15T00:00:00"/>
    <n v="25"/>
    <s v="TIENDAS"/>
    <s v="TIENDAS"/>
    <s v="Recurrente Ágil CEM"/>
    <n v="202509"/>
    <n v="90004.5"/>
    <s v="B30973"/>
    <x v="11"/>
    <s v="B14821"/>
    <x v="3"/>
    <x v="5"/>
    <x v="0"/>
    <s v="P1"/>
    <s v="C2"/>
    <n v="1"/>
    <x v="1"/>
    <n v="0"/>
    <n v="0"/>
    <n v="0"/>
    <x v="0"/>
    <n v="0"/>
    <s v="NULL"/>
    <s v="NULL"/>
    <s v="NULL"/>
    <s v="NULL"/>
    <s v="NULL"/>
    <n v="50000"/>
    <n v="0.21"/>
    <n v="0.19"/>
    <s v="NULL"/>
    <s v="NULL"/>
  </r>
  <r>
    <x v="302"/>
    <x v="10"/>
    <n v="20497671702"/>
    <s v="COMPANIA SEMILLERA MONTOYA FAKHYE"/>
    <s v="."/>
    <n v="10269444"/>
    <s v="CDD APROBADO"/>
    <s v="B33894"/>
    <n v="100738.7734375"/>
    <d v="2025-07-09T00:00:00"/>
    <n v="15"/>
    <s v="TLV"/>
    <s v="TLV"/>
    <s v="Nuevo Aprobado Agil CD"/>
    <n v="202507"/>
    <n v="120206.3"/>
    <s v="B33894"/>
    <x v="36"/>
    <s v="B34489"/>
    <x v="4"/>
    <x v="5"/>
    <x v="0"/>
    <s v="P1"/>
    <s v="C1_1"/>
    <n v="1"/>
    <x v="1"/>
    <n v="0"/>
    <n v="0"/>
    <n v="0"/>
    <x v="0"/>
    <n v="0"/>
    <s v="NULL"/>
    <s v="NULL"/>
    <s v="NULL"/>
    <s v="NULL"/>
    <s v="NULL"/>
    <n v="500000"/>
    <n v="0.21"/>
    <n v="0.19"/>
    <s v="NULL"/>
    <s v="NULL"/>
  </r>
  <r>
    <x v="303"/>
    <x v="10"/>
    <n v="10422063761"/>
    <s v="QUISPE ZARATE LEONARDA CHANA"/>
    <n v="42206376"/>
    <n v="10267790"/>
    <s v="CDD APROBADO"/>
    <s v="B45079"/>
    <n v="60238.7578125"/>
    <d v="2025-05-14T00:00:00"/>
    <n v="16"/>
    <s v="TLV"/>
    <s v="TLV"/>
    <s v="Nuevo Aprobado Agil CD"/>
    <n v="202505"/>
    <n v="76003.8"/>
    <s v="B45079"/>
    <x v="17"/>
    <s v="B45083"/>
    <x v="7"/>
    <x v="1"/>
    <x v="2"/>
    <s v="P2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304"/>
    <x v="7"/>
    <n v="20554288163"/>
    <s v="ED IMPORT"/>
    <s v="."/>
    <n v="10268085"/>
    <s v="Nuevo Aprobado"/>
    <s v="B46503"/>
    <n v="64090.27734375"/>
    <d v="2025-05-23T00:00:00"/>
    <n v="23.6"/>
    <s v="TLV"/>
    <s v="TLV"/>
    <s v="Nuevo Aprobado EN"/>
    <n v="202505"/>
    <n v="150007.5"/>
    <s v="B46503"/>
    <x v="1"/>
    <s v="B13988"/>
    <x v="8"/>
    <x v="1"/>
    <x v="0"/>
    <s v="P1"/>
    <s v="C1_2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305"/>
    <x v="9"/>
    <n v="10198845952"/>
    <s v="PEREZ RUIZ LUZ AUREA"/>
    <n v="19884595"/>
    <n v="10268194"/>
    <s v="CDD APROBADO"/>
    <s v="BPECND"/>
    <n v="115005.734375"/>
    <d v="2025-05-27T00:00:00"/>
    <n v="16"/>
    <s v="TLV"/>
    <s v="TLV"/>
    <s v="Nuevo Aprobado Agil CD"/>
    <n v="202505"/>
    <n v="115005.75"/>
    <s v="B26854"/>
    <x v="76"/>
    <s v="B14058"/>
    <x v="11"/>
    <x v="15"/>
    <x v="3"/>
    <s v="P2"/>
    <s v="NULL"/>
    <n v="1"/>
    <x v="0"/>
    <n v="1"/>
    <n v="1"/>
    <n v="1"/>
    <x v="1"/>
    <n v="115005.75"/>
    <n v="16"/>
    <d v="2025-05-27T00:00:00"/>
    <s v="Nuevo Aprobado Agil CD"/>
    <s v="TLV"/>
    <s v="COMPRA DE DEUDA"/>
    <n v="120000"/>
    <n v="0.246"/>
    <n v="0.22600000000000001"/>
    <s v="TLV B"/>
    <s v="COMPRA DEUDA"/>
  </r>
  <r>
    <x v="306"/>
    <x v="1"/>
    <n v="20606853310"/>
    <s v="MARVAS RACING"/>
    <s v="."/>
    <n v="10264074"/>
    <s v="Impulso Solo"/>
    <s v="B13161"/>
    <n v="32913.01953125"/>
    <d v="2024-12-23T00:00:00"/>
    <n v="15.5"/>
    <s v="TLV"/>
    <s v="TLV"/>
    <s v="Impulso MyPeru Comercial"/>
    <n v="202412"/>
    <n v="90004.5"/>
    <s v="B28573"/>
    <x v="74"/>
    <s v="B13161"/>
    <x v="9"/>
    <x v="5"/>
    <x v="0"/>
    <s v="P5"/>
    <s v="C2"/>
    <n v="1"/>
    <x v="0"/>
    <n v="0"/>
    <n v="0"/>
    <n v="1"/>
    <x v="2"/>
    <n v="0"/>
    <s v="NULL"/>
    <s v="NULL"/>
    <s v="NULL"/>
    <s v="NULL"/>
    <s v="NULL"/>
    <n v="250000"/>
    <n v="0.22270000000000001"/>
    <n v="0.20269999999999999"/>
    <s v="NULL"/>
    <s v="NULL"/>
  </r>
  <r>
    <x v="307"/>
    <x v="4"/>
    <n v="20601619319"/>
    <s v="ELECFRIO"/>
    <s v="."/>
    <n v="10251213"/>
    <s v="Impulso CDI Cobertura"/>
    <s v="B35703"/>
    <n v="52953.765625"/>
    <d v="2024-04-19T00:00:00"/>
    <n v="16"/>
    <s v="TIENDAS"/>
    <s v="TIENDAS"/>
    <s v="Impulso MyPeru Comercial"/>
    <n v="202404"/>
    <n v="62003.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08"/>
    <x v="6"/>
    <n v="20601669413"/>
    <s v="J H L INVERSIONES"/>
    <s v="."/>
    <n v="10270962"/>
    <s v="Recurrente Aprobado Agil"/>
    <s v="B30637"/>
    <n v="51986.203125"/>
    <d v="2025-08-29T00:00:00"/>
    <n v="19"/>
    <s v="TIENDAS"/>
    <s v="TIENDAS"/>
    <s v="Recurrente Ágil CEM"/>
    <n v="202508"/>
    <n v="56102.8"/>
    <s v="B30637"/>
    <x v="12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309"/>
    <x v="5"/>
    <n v="20537837919"/>
    <s v="FILCAMGRAF"/>
    <s v="."/>
    <n v="10256933"/>
    <s v="Impulso Mixto"/>
    <s v="B14821"/>
    <n v="59137.6484375"/>
    <d v="2024-06-28T00:00:00"/>
    <n v="14.5"/>
    <s v="TLV"/>
    <s v="TLV"/>
    <s v="Impulso MyPeru Comercial"/>
    <n v="202406"/>
    <n v="90004.5"/>
    <s v="B33503"/>
    <x v="10"/>
    <s v="B14821"/>
    <x v="3"/>
    <x v="4"/>
    <x v="0"/>
    <s v="P1"/>
    <s v="C1_1"/>
    <n v="1"/>
    <x v="1"/>
    <n v="0"/>
    <n v="0"/>
    <n v="0"/>
    <x v="0"/>
    <n v="0"/>
    <s v="NULL"/>
    <s v="NULL"/>
    <s v="NULL"/>
    <s v="NULL"/>
    <s v="NULL"/>
    <n v="400000"/>
    <n v="0.18"/>
    <n v="0.16"/>
    <s v="NULL"/>
    <s v="NULL"/>
  </r>
  <r>
    <x v="310"/>
    <x v="6"/>
    <n v="10416274105"/>
    <s v="BERNILLA DE LA CRUZ LUIS BRAULIO"/>
    <n v="41627410"/>
    <n v="10255664"/>
    <s v="Impulso Mixto"/>
    <s v="B33958"/>
    <n v="30935.51953125"/>
    <d v="2024-06-19T00:00:00"/>
    <n v="15.5"/>
    <s v="TLV"/>
    <s v="TLV"/>
    <s v="Impulso MyPeru Comercial"/>
    <n v="202406"/>
    <n v="50002.5"/>
    <s v="NULL"/>
    <x v="2"/>
    <s v="NULL"/>
    <x v="2"/>
    <x v="4"/>
    <x v="2"/>
    <s v="P2"/>
    <s v="NULL"/>
    <n v="1"/>
    <x v="1"/>
    <n v="0"/>
    <n v="0"/>
    <n v="0"/>
    <x v="2"/>
    <n v="0"/>
    <s v="NULL"/>
    <s v="NULL"/>
    <s v="NULL"/>
    <s v="NULL"/>
    <s v="NULL"/>
    <n v="300000"/>
    <n v="0.21"/>
    <n v="0.19"/>
    <s v="NULL"/>
    <s v="NULL"/>
  </r>
  <r>
    <x v="138"/>
    <x v="6"/>
    <n v="20602167748"/>
    <s v="SERVICE &amp; CATERING MI DIVINO NIÑO"/>
    <s v="."/>
    <n v="10253933"/>
    <s v="Impulso CDI Cobertura"/>
    <s v="B28664"/>
    <n v="9004.5"/>
    <d v="2024-05-28T00:00:00"/>
    <n v="16.899999999999999"/>
    <s v="TIENDAS"/>
    <s v="TIENDAS"/>
    <s v="Impulso MyPeru Comercial"/>
    <n v="202405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11"/>
    <x v="12"/>
    <n v="20511922900"/>
    <s v="FERRETERIA SAGRADO CORAZON DE JESUS"/>
    <s v="."/>
    <n v="10156027"/>
    <s v="GIRO DE LINEA"/>
    <s v="B22846"/>
    <n v="172024.25"/>
    <d v="2025-12-01T00:00:00"/>
    <n v="15"/>
    <s v="TIENDAS"/>
    <s v="TIENDAS"/>
    <s v="Giro de Línea"/>
    <n v="202512"/>
    <n v="200010"/>
    <s v="B22846"/>
    <x v="47"/>
    <s v="B13988"/>
    <x v="8"/>
    <x v="4"/>
    <x v="0"/>
    <s v="P1"/>
    <s v="NULL"/>
    <n v="1"/>
    <x v="0"/>
    <n v="0"/>
    <n v="0"/>
    <n v="1"/>
    <x v="0"/>
    <n v="0"/>
    <s v="NULL"/>
    <s v="NULL"/>
    <s v="NULL"/>
    <s v="NULL"/>
    <s v="NULL"/>
    <n v="400000"/>
    <n v="0.2"/>
    <n v="0.18"/>
    <s v="NULL"/>
    <s v="NULL"/>
  </r>
  <r>
    <x v="312"/>
    <x v="1"/>
    <n v="20608685066"/>
    <s v="CORPORACIóN ELECTRO PRODUCTOS"/>
    <s v="."/>
    <n v="10259052"/>
    <s v="Impulso CDI Cobertura"/>
    <s v="BPECND"/>
    <n v="32655.318359375"/>
    <d v="2024-08-16T00:00:00"/>
    <n v="15.7"/>
    <s v="TIENDAS"/>
    <s v="TIENDAS"/>
    <s v="Impulso MyPeru Comercial"/>
    <n v="202408"/>
    <n v="56502.8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13"/>
    <x v="1"/>
    <n v="20505524030"/>
    <s v="F S F R SUNSHINE TEKNISISTEMAS DE SERVIC"/>
    <s v="."/>
    <n v="10259404"/>
    <s v="Impulso CDI Cobertura"/>
    <s v="B27274"/>
    <n v="34288.37890625"/>
    <d v="2024-08-23T00:00:00"/>
    <n v="16.700001"/>
    <s v="TIENDAS"/>
    <s v="TIENDAS"/>
    <s v="Impulso MyPeru Comercial"/>
    <n v="202408"/>
    <n v="55202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14"/>
    <x v="5"/>
    <n v="10013200284"/>
    <s v="GORDILLO PEREZ ANDRES"/>
    <n v="1320028"/>
    <n v="10258958"/>
    <s v="Impulso Solo"/>
    <s v="B34489"/>
    <n v="66380.9609375"/>
    <d v="2024-08-15T00:00:00"/>
    <n v="15.5"/>
    <s v="TLV"/>
    <s v="TLV"/>
    <s v="Impulso MyPeru Comercial"/>
    <n v="202408"/>
    <n v="90004.5"/>
    <s v="B44900"/>
    <x v="19"/>
    <s v="B34489"/>
    <x v="4"/>
    <x v="4"/>
    <x v="0"/>
    <s v="P2"/>
    <s v="C3"/>
    <n v="1"/>
    <x v="0"/>
    <n v="0"/>
    <n v="0"/>
    <n v="1"/>
    <x v="0"/>
    <n v="0"/>
    <s v="NULL"/>
    <s v="NULL"/>
    <s v="NULL"/>
    <s v="NULL"/>
    <s v="NULL"/>
    <n v="300000"/>
    <n v="0.18"/>
    <n v="0.16"/>
    <s v="NULL"/>
    <s v="NULL"/>
  </r>
  <r>
    <x v="54"/>
    <x v="2"/>
    <n v="20608344421"/>
    <s v="REPRESENTACIONES VIRREY J E"/>
    <s v="."/>
    <n v="10254078"/>
    <s v="Impulso Mixto"/>
    <s v="B30745"/>
    <n v="7167.384765625"/>
    <d v="2024-05-29T00:00:00"/>
    <n v="15.9"/>
    <s v="TIENDAS"/>
    <s v="TIENDAS"/>
    <s v="Impulso MyPeru Comercial"/>
    <n v="202405"/>
    <n v="90004.5"/>
    <s v="B30745"/>
    <x v="14"/>
    <s v="B27274"/>
    <x v="0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4329999999999999"/>
    <n v="0"/>
    <s v="NULL"/>
    <s v="NULL"/>
  </r>
  <r>
    <x v="315"/>
    <x v="1"/>
    <n v="20602336965"/>
    <s v="COLOR Y PRECISION S.A.C"/>
    <s v="."/>
    <n v="10271298"/>
    <s v="Ágil Recurrente CEM"/>
    <s v="B36343"/>
    <n v="128257.7734375"/>
    <d v="2025-09-12T00:00:00"/>
    <n v="17.2"/>
    <s v="TIENDAS"/>
    <s v="TIENDAS"/>
    <s v="Recurrente Ágil CEM"/>
    <n v="202509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16"/>
    <x v="8"/>
    <n v="20539982835"/>
    <s v="DECORACIONES Y ESTILO MAYO"/>
    <s v="."/>
    <n v="10253048"/>
    <s v="Impulso Solo"/>
    <s v="B14534"/>
    <n v="3565.2177734375"/>
    <d v="2024-05-20T00:00:00"/>
    <n v="17.899999999999999"/>
    <s v="TIENDAS"/>
    <s v="TIENDAS"/>
    <s v="Impulso MyPeru Comercial"/>
    <n v="202405"/>
    <n v="89964.45"/>
    <s v="B44120"/>
    <x v="45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8579999999999999"/>
    <s v="NULL"/>
    <s v="NULL"/>
    <s v="NULL"/>
  </r>
  <r>
    <x v="317"/>
    <x v="0"/>
    <n v="20612469033"/>
    <s v="GTH CAPITALS AQP"/>
    <s v="."/>
    <n v="10271492"/>
    <s v="Nuevo NO BANK"/>
    <s v="B45386"/>
    <n v="54298.75"/>
    <d v="2025-09-18T00:00:00"/>
    <n v="23.9"/>
    <s v="TLV"/>
    <s v="TLV"/>
    <s v="Nuevo Aprobado EN"/>
    <n v="202509"/>
    <n v="63603.15"/>
    <s v="B45386"/>
    <x v="27"/>
    <s v="B45384"/>
    <x v="6"/>
    <x v="0"/>
    <x v="2"/>
    <s v="P1"/>
    <s v="C2"/>
    <n v="1"/>
    <x v="0"/>
    <n v="0"/>
    <n v="1"/>
    <n v="1"/>
    <x v="0"/>
    <n v="0"/>
    <s v="NULL"/>
    <s v="NULL"/>
    <s v="NULL"/>
    <s v="NULL"/>
    <s v="NULL"/>
    <n v="0"/>
    <n v="0"/>
    <n v="0"/>
    <s v="NULL"/>
    <s v="NULL"/>
  </r>
  <r>
    <x v="318"/>
    <x v="2"/>
    <n v="20603601042"/>
    <s v="RAYO WHITE RAYWHI"/>
    <s v="."/>
    <n v="10268285"/>
    <s v="CDD APROBADO"/>
    <s v="B28573"/>
    <n v="222075.375"/>
    <d v="2025-05-29T00:00:00"/>
    <n v="15"/>
    <s v="TLV"/>
    <s v="TLV"/>
    <s v="Nuevo Aprobado Agil CD"/>
    <n v="202505"/>
    <n v="253012.65"/>
    <s v="B28573"/>
    <x v="74"/>
    <s v="B13161"/>
    <x v="9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7829999999999999"/>
    <s v="NULL"/>
    <s v="NULL"/>
    <s v="NULL"/>
  </r>
  <r>
    <x v="319"/>
    <x v="1"/>
    <n v="20611288353"/>
    <s v="INVERSIONES EDLY"/>
    <s v="."/>
    <n v="10265329"/>
    <s v="Nuevo pre Aprobado"/>
    <s v="B36574"/>
    <n v="22336.755859375"/>
    <d v="2025-02-13T00:00:00"/>
    <n v="16.5"/>
    <s v="TIENDAS"/>
    <s v="VENDORS"/>
    <s v="Nuevo Pre-aprobado"/>
    <n v="202502"/>
    <n v="250012.5"/>
    <s v="B36574"/>
    <x v="51"/>
    <s v="B13161"/>
    <x v="9"/>
    <x v="5"/>
    <x v="0"/>
    <s v="P1"/>
    <s v="C2"/>
    <n v="1"/>
    <x v="1"/>
    <n v="0"/>
    <n v="0"/>
    <n v="0"/>
    <x v="0"/>
    <n v="0"/>
    <s v="NULL"/>
    <s v="NULL"/>
    <s v="NULL"/>
    <s v="NULL"/>
    <s v="NULL"/>
    <n v="75000"/>
    <n v="0.21"/>
    <n v="0.19"/>
    <s v="NULL"/>
    <s v="NULL"/>
  </r>
  <r>
    <x v="320"/>
    <x v="6"/>
    <n v="20601180627"/>
    <s v="CONSORCIO TEXTIL PRINCESAS"/>
    <s v="."/>
    <n v="10271312"/>
    <s v="Nuevo Aprobado"/>
    <s v="B36343"/>
    <n v="145069.484375"/>
    <d v="2025-09-12T00:00:00"/>
    <n v="16"/>
    <s v="TIENDAS"/>
    <s v="TIENDAS"/>
    <s v="Nuevo Pre-aprobado"/>
    <n v="202509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21"/>
    <x v="9"/>
    <n v="20609334917"/>
    <s v="WRAPDETAIL"/>
    <s v="."/>
    <n v="10266384"/>
    <s v="Nuevo NO BANK"/>
    <s v="BPECND"/>
    <n v="45112.8046875"/>
    <d v="2025-03-20T00:00:00"/>
    <n v="21"/>
    <s v="TLV"/>
    <s v="TLV"/>
    <s v="Nuevo Aprobado EN"/>
    <n v="202503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22"/>
    <x v="8"/>
    <n v="20604299005"/>
    <s v="INGENIERIA, SERVICIOS ELECTRICOS, MANTEN"/>
    <s v="."/>
    <n v="10268865"/>
    <s v="Nuevo NO BANK"/>
    <s v="BPECND"/>
    <n v="14302.5859375"/>
    <d v="2025-06-20T00:00:00"/>
    <n v="28.1"/>
    <s v="TLV"/>
    <s v="TLV"/>
    <s v="Nuevo Aprobado EN"/>
    <n v="202506"/>
    <n v="15000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23"/>
    <x v="1"/>
    <n v="20548385068"/>
    <s v="DISEÑO &amp; INGENIERIA DE ACEROS DEL PERU S"/>
    <s v="."/>
    <n v="10266038"/>
    <s v="Nuevo Aprobado"/>
    <s v="B45440"/>
    <n v="12475.607421875"/>
    <d v="2025-03-10T00:00:00"/>
    <n v="20.5"/>
    <s v="TLV"/>
    <s v="TLV"/>
    <s v="Nuevo Aprobado EN"/>
    <n v="202503"/>
    <n v="26001.3"/>
    <s v="B45440"/>
    <x v="73"/>
    <s v="B45083"/>
    <x v="7"/>
    <x v="0"/>
    <x v="2"/>
    <s v="P5"/>
    <s v="C1_1"/>
    <n v="1"/>
    <x v="0"/>
    <n v="0"/>
    <n v="0"/>
    <n v="0"/>
    <x v="0"/>
    <n v="0"/>
    <s v="NULL"/>
    <s v="NULL"/>
    <s v="NULL"/>
    <s v="NULL"/>
    <s v="NULL"/>
    <n v="0"/>
    <n v="0"/>
    <n v="0.19"/>
    <s v="NULL"/>
    <s v="NULL"/>
  </r>
  <r>
    <x v="324"/>
    <x v="1"/>
    <n v="20547652585"/>
    <s v="DEL VALLE INGENIERIA E.I.R.L."/>
    <s v="."/>
    <n v="10262553"/>
    <s v="Impulso Mixto"/>
    <s v="B25939"/>
    <n v="53994.1171875"/>
    <d v="2024-11-13T00:00:00"/>
    <n v="15.7"/>
    <s v="TLV"/>
    <s v="TLV"/>
    <s v="Impulso MyPeru Comercial"/>
    <n v="202411"/>
    <n v="77203.850000000006"/>
    <s v="B25939"/>
    <x v="23"/>
    <s v="B13988"/>
    <x v="1"/>
    <x v="5"/>
    <x v="0"/>
    <s v="P1"/>
    <s v="C2"/>
    <n v="1"/>
    <x v="0"/>
    <n v="0"/>
    <n v="0"/>
    <n v="1"/>
    <x v="0"/>
    <n v="0"/>
    <s v="NULL"/>
    <s v="NULL"/>
    <s v="NULL"/>
    <s v="NULL"/>
    <s v="NULL"/>
    <n v="50000"/>
    <n v="0.21"/>
    <n v="0.19"/>
    <s v="NULL"/>
    <s v="NULL"/>
  </r>
  <r>
    <x v="325"/>
    <x v="6"/>
    <n v="20609163306"/>
    <s v="TECNOLOG A LED ELECTRONICS"/>
    <s v="."/>
    <n v="10272331"/>
    <s v="CDD APROBADO"/>
    <s v="BPECND"/>
    <n v="77003.8671875"/>
    <d v="2025-10-17T00:00:00"/>
    <n v="19"/>
    <s v="TLV"/>
    <s v="TLV"/>
    <s v="Nuevo Aprobado Agil CD"/>
    <n v="202510"/>
    <n v="77003.850000000006"/>
    <s v="B25604"/>
    <x v="77"/>
    <s v="B28616"/>
    <x v="12"/>
    <x v="15"/>
    <x v="3"/>
    <s v="P1"/>
    <s v="NULL"/>
    <n v="1"/>
    <x v="0"/>
    <n v="1"/>
    <n v="1"/>
    <n v="1"/>
    <x v="1"/>
    <n v="77003.850000000006"/>
    <n v="19"/>
    <d v="2025-10-17T00:00:00"/>
    <s v="Nuevo Aprobado Agil CD"/>
    <s v="TLV"/>
    <s v="COMPRA DE DEUDA"/>
    <n v="105000"/>
    <n v="0.219"/>
    <n v="0.19900000000000001"/>
    <s v="TLV B"/>
    <s v="COMPRA DEUDA"/>
  </r>
  <r>
    <x v="326"/>
    <x v="10"/>
    <n v="20600042204"/>
    <s v="A &amp; B HNOS"/>
    <s v="."/>
    <n v="10272839"/>
    <s v="Nuevo Aprobado"/>
    <s v="B34489"/>
    <n v="134170.375"/>
    <d v="2025-10-31T00:00:00"/>
    <n v="17"/>
    <s v="TLV"/>
    <s v="TLV"/>
    <s v="Nuevo Aprobado EN"/>
    <n v="202510"/>
    <n v="157197.85"/>
    <s v="B22760"/>
    <x v="42"/>
    <s v="B34489"/>
    <x v="4"/>
    <x v="8"/>
    <x v="0"/>
    <s v="P1"/>
    <s v="C1_1"/>
    <n v="1"/>
    <x v="1"/>
    <n v="0"/>
    <n v="0"/>
    <n v="0"/>
    <x v="2"/>
    <n v="0"/>
    <s v="NULL"/>
    <s v="NULL"/>
    <s v="NULL"/>
    <s v="NULL"/>
    <s v="NULL"/>
    <n v="500000"/>
    <n v="0.21"/>
    <n v="0.19"/>
    <s v="NULL"/>
    <s v="NULL"/>
  </r>
  <r>
    <x v="327"/>
    <x v="5"/>
    <n v="20606627689"/>
    <s v="JTG MAQUINARIAS"/>
    <s v="."/>
    <n v="10267702"/>
    <s v="Regular Sin Campaña"/>
    <s v="B25939"/>
    <n v="68647.5625"/>
    <d v="2025-05-12T00:00:00"/>
    <n v="19"/>
    <s v="TIENDAS"/>
    <s v="TIENDAS"/>
    <s v="Gestion Cartera"/>
    <n v="202505"/>
    <n v="100005"/>
    <s v="B25939"/>
    <x v="23"/>
    <s v="B13988"/>
    <x v="8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328"/>
    <x v="10"/>
    <n v="20604879036"/>
    <s v="ARRIBASPLATA COMPAÑIA"/>
    <s v="."/>
    <n v="10268439"/>
    <s v="CDD APROBADO"/>
    <s v="B45750"/>
    <n v="101774.3984375"/>
    <d v="2025-06-05T00:00:00"/>
    <n v="17.82"/>
    <s v="TLV"/>
    <s v="TLV"/>
    <s v="Nuevo Aprobado Agil CD"/>
    <n v="202506"/>
    <n v="124206.2"/>
    <s v="B45750"/>
    <x v="5"/>
    <s v="B14530"/>
    <x v="5"/>
    <x v="11"/>
    <x v="0"/>
    <s v="P1"/>
    <s v="C1_1"/>
    <n v="1"/>
    <x v="0"/>
    <n v="0"/>
    <n v="1"/>
    <n v="1"/>
    <x v="0"/>
    <n v="0"/>
    <s v="NULL"/>
    <s v="NULL"/>
    <s v="NULL"/>
    <s v="NULL"/>
    <s v="NULL"/>
    <n v="500000"/>
    <n v="0.22"/>
    <n v="0.2"/>
    <s v="NULL"/>
    <s v="NULL"/>
  </r>
  <r>
    <x v="329"/>
    <x v="6"/>
    <n v="10475737437"/>
    <s v="SAIRA VILLARAN JOHEL LEONEL"/>
    <n v="47573743"/>
    <n v="10271266"/>
    <s v="Nuevo Aprobado"/>
    <s v="BPECND"/>
    <n v="28611.224609375"/>
    <d v="2025-09-12T00:00:00"/>
    <n v="28"/>
    <s v="TLV"/>
    <s v="TLV"/>
    <s v="Nuevo Aprobado EN"/>
    <n v="202509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46"/>
    <x v="12"/>
    <n v="20601830338"/>
    <s v="INGECORP SEGURIDAD E INGENIERIA"/>
    <s v="."/>
    <n v="10267204"/>
    <s v="Ágil Recurrente CEM"/>
    <s v="B20210"/>
    <n v="185882.75"/>
    <d v="2025-04-22T00:00:00"/>
    <n v="18"/>
    <s v="TIENDAS"/>
    <s v="TIENDAS"/>
    <s v="Recurrente Ágil CEM"/>
    <n v="202504"/>
    <n v="200010"/>
    <s v="B20210"/>
    <x v="39"/>
    <s v="B13161"/>
    <x v="9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0330000000000001"/>
    <s v="NULL"/>
    <s v="NULL"/>
    <s v="NULL"/>
  </r>
  <r>
    <x v="330"/>
    <x v="7"/>
    <n v="20540087751"/>
    <s v="MAKSERVICES TRUJILLO S.A.C."/>
    <s v="."/>
    <n v="10269715"/>
    <s v="Nuevo Aprobado"/>
    <s v="B25972"/>
    <n v="238875.578125"/>
    <d v="2025-07-17T00:00:00"/>
    <n v="15"/>
    <s v="TIENDAS"/>
    <s v="TIENDAS"/>
    <s v="Nuevo Pre-aprobado"/>
    <n v="202507"/>
    <n v="300015"/>
    <s v="B25972"/>
    <x v="55"/>
    <s v="B14530"/>
    <x v="5"/>
    <x v="1"/>
    <x v="0"/>
    <s v="P1"/>
    <s v="C1_2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331"/>
    <x v="1"/>
    <n v="20604470944"/>
    <s v="CFBD"/>
    <s v="."/>
    <n v="10266588"/>
    <s v="CT Garantía Sin Campaña"/>
    <s v="B46504"/>
    <n v="383354.46875"/>
    <d v="2025-03-26T00:00:00"/>
    <n v="13.5"/>
    <s v="TIENDAS"/>
    <s v="TIENDAS"/>
    <s v="Gestion Cartera"/>
    <n v="202503"/>
    <n v="278571.18"/>
    <s v="B46504"/>
    <x v="0"/>
    <s v="B27274"/>
    <x v="0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332"/>
    <x v="2"/>
    <n v="20512812504"/>
    <s v="LACTEUS"/>
    <s v="."/>
    <n v="10248412"/>
    <s v="Impulso Mixto"/>
    <s v="B14327"/>
    <n v="48090.38671875"/>
    <d v="2024-02-27T00:00:00"/>
    <n v="14.5"/>
    <s v="TIENDAS"/>
    <s v="TIENDAS"/>
    <s v="Impulso MyPeru Comercial"/>
    <n v="202402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0"/>
    <x v="8"/>
    <n v="20600011813"/>
    <s v="PIEZITAS IMPORT"/>
    <s v="."/>
    <n v="10249266"/>
    <s v="Impulso Mixto"/>
    <s v="B27693"/>
    <n v="52394.6484375"/>
    <d v="2024-03-13T00:00:00"/>
    <n v="14.5"/>
    <s v="TIENDAS"/>
    <s v="TIENDAS"/>
    <s v="Impulso MyPeru Comercial"/>
    <n v="202403"/>
    <n v="85004.25"/>
    <s v="B27693"/>
    <x v="52"/>
    <s v="B27274"/>
    <x v="0"/>
    <x v="6"/>
    <x v="0"/>
    <s v="P1"/>
    <s v="NULL"/>
    <n v="1"/>
    <x v="0"/>
    <n v="0"/>
    <n v="0"/>
    <n v="1"/>
    <x v="0"/>
    <n v="0"/>
    <s v="NULL"/>
    <s v="NULL"/>
    <s v="NULL"/>
    <s v="NULL"/>
    <s v="NULL"/>
    <n v="120000"/>
    <n v="0.21"/>
    <n v="0.19"/>
    <s v="NULL"/>
    <s v="NULL"/>
  </r>
  <r>
    <x v="333"/>
    <x v="4"/>
    <n v="10083344232"/>
    <s v="FLORES MELGAR MARCOS LUIS"/>
    <n v="8334423"/>
    <n v="10245728"/>
    <s v="Ágil Recurrente CEM"/>
    <s v="BPECND"/>
    <n v="18669.63671875"/>
    <d v="2023-11-15T00:00:00"/>
    <n v="19.2"/>
    <s v="TIENDAS"/>
    <s v="TIENDAS"/>
    <s v="Recurrente Ágil CEM"/>
    <n v="202311"/>
    <n v="40002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34"/>
    <x v="10"/>
    <n v="10478770389"/>
    <s v="YLLESCA CAMPOS VICTOR WALTER"/>
    <n v="47877038"/>
    <n v="10261148"/>
    <s v="Impulso Mixto"/>
    <s v="BPECND"/>
    <n v="40739.16015625"/>
    <d v="2024-09-27T00:00:00"/>
    <n v="14.8"/>
    <s v="TLV"/>
    <s v="TLV"/>
    <s v="Impulso MyPeru Comercial"/>
    <n v="202409"/>
    <n v="65956.25"/>
    <s v="NULL"/>
    <x v="2"/>
    <s v="NULL"/>
    <x v="2"/>
    <x v="12"/>
    <x v="3"/>
    <s v="P2"/>
    <s v="C3"/>
    <n v="1"/>
    <x v="0"/>
    <n v="0"/>
    <n v="0"/>
    <n v="0"/>
    <x v="1"/>
    <n v="0"/>
    <s v="NULL"/>
    <s v="NULL"/>
    <s v="NULL"/>
    <s v="NULL"/>
    <s v="NULL"/>
    <s v="NULL"/>
    <s v="NULL"/>
    <s v="NULL"/>
    <s v="TLV C"/>
    <s v="POOL TRANSACCIONAL"/>
  </r>
  <r>
    <x v="334"/>
    <x v="10"/>
    <n v="10478770389"/>
    <s v="YLLESCA CAMPOS VICTOR WALTER"/>
    <n v="47877038"/>
    <n v="10261148"/>
    <s v="Impulso Mixto"/>
    <s v="BPECND"/>
    <n v="40739.16015625"/>
    <d v="2024-09-27T00:00:00"/>
    <n v="14.8"/>
    <s v="TLV"/>
    <s v="TLV"/>
    <s v="Impulso MyPeru Comercial"/>
    <n v="202409"/>
    <n v="65956.25"/>
    <s v="B45374"/>
    <x v="21"/>
    <s v="B45384"/>
    <x v="6"/>
    <x v="7"/>
    <x v="2"/>
    <s v="P2"/>
    <s v="C3"/>
    <n v="1"/>
    <x v="0"/>
    <n v="0"/>
    <n v="0"/>
    <n v="0"/>
    <x v="2"/>
    <n v="0"/>
    <s v="NULL"/>
    <s v="NULL"/>
    <s v="NULL"/>
    <s v="NULL"/>
    <s v="NULL"/>
    <n v="39000"/>
    <n v="0.2409"/>
    <n v="0.22090000000000001"/>
    <s v="NULL"/>
    <s v="NULL"/>
  </r>
  <r>
    <x v="335"/>
    <x v="5"/>
    <n v="10272940121"/>
    <s v="FERNANDEZ LLANOS MARTHA YOMAR"/>
    <n v="27294012"/>
    <n v="10258165"/>
    <s v="Impulso CDI Cobertura"/>
    <s v="BPECND"/>
    <n v="49064.65625"/>
    <d v="2024-07-30T00:00:00"/>
    <n v="15.7"/>
    <s v="TIENDAS"/>
    <s v="TIENDAS"/>
    <s v="Impulso MyPeru Comercial"/>
    <n v="202407"/>
    <n v="70213.5"/>
    <s v="NULL"/>
    <x v="2"/>
    <s v="NULL"/>
    <x v="2"/>
    <x v="4"/>
    <x v="2"/>
    <s v="P1"/>
    <s v="C3"/>
    <n v="1"/>
    <x v="0"/>
    <n v="0"/>
    <n v="0"/>
    <n v="0"/>
    <x v="2"/>
    <n v="0"/>
    <s v="NULL"/>
    <s v="NULL"/>
    <s v="NULL"/>
    <s v="NULL"/>
    <s v="NULL"/>
    <n v="200000"/>
    <n v="0.26"/>
    <n v="0.24"/>
    <s v="NULL"/>
    <s v="NULL"/>
  </r>
  <r>
    <x v="336"/>
    <x v="9"/>
    <n v="20609908832"/>
    <s v="TRANSPORTE Y TURISMO MIGUELITO`S S.A.C."/>
    <s v="."/>
    <n v="10265011"/>
    <s v="Nuevo pre Aprobado"/>
    <s v="B14534"/>
    <n v="42997.5078125"/>
    <d v="2025-01-30T00:00:00"/>
    <n v="19.200001"/>
    <s v="TIENDAS"/>
    <s v="TIENDAS"/>
    <s v="Nuevo Pre-aprobado"/>
    <n v="202501"/>
    <n v="50002.5"/>
    <s v="B14534"/>
    <x v="22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.27079999999999999"/>
    <s v="NULL"/>
    <s v="NULL"/>
  </r>
  <r>
    <x v="337"/>
    <x v="1"/>
    <n v="20605579486"/>
    <s v="NUTRICLINICA M.R."/>
    <s v="."/>
    <n v="10269992"/>
    <s v="Nuevo NO BANK"/>
    <s v="B13161"/>
    <n v="23391.529296875"/>
    <d v="2025-07-25T00:00:00"/>
    <n v="22"/>
    <s v="TLV"/>
    <s v="TLV"/>
    <s v="Nuevo Aprobado EN"/>
    <n v="202507"/>
    <n v="70003.5"/>
    <s v="B28573"/>
    <x v="74"/>
    <s v="B13161"/>
    <x v="9"/>
    <x v="11"/>
    <x v="0"/>
    <s v="P1"/>
    <s v="C2"/>
    <n v="1"/>
    <x v="1"/>
    <n v="0"/>
    <n v="0"/>
    <n v="0"/>
    <x v="2"/>
    <n v="0"/>
    <s v="NULL"/>
    <s v="NULL"/>
    <s v="NULL"/>
    <s v="NULL"/>
    <s v="NULL"/>
    <n v="500000"/>
    <n v="0.22"/>
    <n v="0.2"/>
    <s v="NULL"/>
    <s v="NULL"/>
  </r>
  <r>
    <x v="338"/>
    <x v="1"/>
    <n v="20602058264"/>
    <s v="IMPLEMAX S.A.C."/>
    <s v="."/>
    <n v="10270087"/>
    <s v="Ágil Recurrente CEM"/>
    <s v="B37955"/>
    <n v="82054.140625"/>
    <d v="2025-07-31T00:00:00"/>
    <n v="19"/>
    <s v="TIENDAS"/>
    <s v="TIENDAS"/>
    <s v="Recurrente Ágil CEM"/>
    <n v="202507"/>
    <n v="100005"/>
    <s v="B37955"/>
    <x v="53"/>
    <s v="B27274"/>
    <x v="0"/>
    <x v="5"/>
    <x v="0"/>
    <s v="P5"/>
    <s v="C1_2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339"/>
    <x v="5"/>
    <n v="10310450257"/>
    <s v="CENTENO HUAMANI RUBEN"/>
    <n v="31045025"/>
    <n v="10136478"/>
    <s v="GIRO DE LINEA"/>
    <s v="B30094"/>
    <n v="53687.14453125"/>
    <d v="2024-11-20T00:00:00"/>
    <n v="17"/>
    <s v="TIENDAS"/>
    <s v="TIENDAS"/>
    <s v="Giro de Línea"/>
    <n v="202411"/>
    <n v="150007.5"/>
    <s v="B30094"/>
    <x v="48"/>
    <s v="B34489"/>
    <x v="4"/>
    <x v="1"/>
    <x v="0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340"/>
    <x v="0"/>
    <n v="20605414193"/>
    <s v="SARA TEXTILES CHINCHERO"/>
    <s v="."/>
    <n v="10264897"/>
    <s v="Nuevo Aprobado Ágil"/>
    <s v="B37981"/>
    <n v="85165.21875"/>
    <d v="2025-01-29T00:00:00"/>
    <n v="18.2"/>
    <s v="TLV"/>
    <s v="TLV"/>
    <s v="Nuevo Aprobado Agil"/>
    <n v="202501"/>
    <n v="146007.29999999999"/>
    <s v="B30114"/>
    <x v="8"/>
    <s v="B34489"/>
    <x v="4"/>
    <x v="4"/>
    <x v="0"/>
    <s v="P1"/>
    <s v="C1_2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341"/>
    <x v="6"/>
    <n v="20606056401"/>
    <s v="LIFE TREE"/>
    <s v="."/>
    <n v="10252836"/>
    <s v="Impulso Solo"/>
    <s v="B36289"/>
    <n v="51867.47265625"/>
    <d v="2024-05-15T00:00:00"/>
    <n v="14.9"/>
    <s v="TIENDAS"/>
    <s v="TIENDAS"/>
    <s v="Impulso MyPeru Comercial"/>
    <n v="202405"/>
    <n v="90004.5"/>
    <s v="B46503"/>
    <x v="1"/>
    <s v="B13988"/>
    <x v="8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342"/>
    <x v="10"/>
    <n v="20601718929"/>
    <s v="EMCAPSAC SOCIEDAD ANONIMA CERRADA"/>
    <s v="."/>
    <n v="10267852"/>
    <s v="Ágil Recurrente CEM"/>
    <s v="B46504"/>
    <n v="211632.890625"/>
    <d v="2025-05-16T00:00:00"/>
    <n v="16.2"/>
    <s v="TIENDAS"/>
    <s v="TIENDAS"/>
    <s v="Recurrente Ágil CEM"/>
    <n v="202505"/>
    <n v="387358.83"/>
    <s v="B46504"/>
    <x v="0"/>
    <s v="B27274"/>
    <x v="0"/>
    <x v="5"/>
    <x v="0"/>
    <s v="P1"/>
    <s v="C1_2"/>
    <n v="1"/>
    <x v="0"/>
    <n v="0"/>
    <n v="0"/>
    <n v="1"/>
    <x v="0"/>
    <n v="0"/>
    <s v="NULL"/>
    <s v="NULL"/>
    <s v="NULL"/>
    <s v="NULL"/>
    <s v="NULL"/>
    <n v="120000"/>
    <n v="0.21"/>
    <n v="0.19"/>
    <s v="NULL"/>
    <s v="NULL"/>
  </r>
  <r>
    <x v="343"/>
    <x v="7"/>
    <n v="10457099121"/>
    <s v="OBREGON BERNAL DAISY GABRIELA"/>
    <n v="45709912"/>
    <n v="10261373"/>
    <s v="Impulso Solo"/>
    <s v="B45870"/>
    <n v="29959.251953125"/>
    <d v="2024-10-04T00:00:00"/>
    <n v="14.5"/>
    <s v="TLV"/>
    <s v="TLV"/>
    <s v="Impulso MyPeru Comercial"/>
    <n v="202410"/>
    <n v="90004.5"/>
    <s v="B45870"/>
    <x v="78"/>
    <s v="B13161"/>
    <x v="9"/>
    <x v="1"/>
    <x v="0"/>
    <s v="P2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344"/>
    <x v="1"/>
    <n v="20600753488"/>
    <s v="INVERSIONES PISHUPYACUN"/>
    <s v="."/>
    <n v="10273960"/>
    <s v="Nuevo Aprobado"/>
    <s v="B22760"/>
    <n v="337277.28125"/>
    <d v="2025-12-16T00:00:00"/>
    <n v="15"/>
    <s v="TIENDAS"/>
    <s v="TIENDAS"/>
    <s v="Nuevo Pre-aprobado"/>
    <n v="202512"/>
    <n v="350017.5"/>
    <s v="B22760"/>
    <x v="42"/>
    <s v="B34489"/>
    <x v="4"/>
    <x v="1"/>
    <x v="0"/>
    <s v="P5"/>
    <s v="C3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345"/>
    <x v="6"/>
    <n v="20514504262"/>
    <s v="MIDIFA"/>
    <s v="."/>
    <n v="10260306"/>
    <s v="Impulso Mixto"/>
    <s v="B45375"/>
    <n v="66278.078125"/>
    <d v="2024-09-13T00:00:00"/>
    <n v="14.5"/>
    <s v="TLV"/>
    <s v="TLV"/>
    <s v="Impulso MyPeru Comercial"/>
    <n v="202409"/>
    <n v="90004.5"/>
    <s v="B45375"/>
    <x v="65"/>
    <s v="B45384"/>
    <x v="6"/>
    <x v="1"/>
    <x v="2"/>
    <s v="P1"/>
    <s v="NULL"/>
    <n v="1"/>
    <x v="0"/>
    <n v="0"/>
    <n v="0"/>
    <n v="0"/>
    <x v="0"/>
    <n v="0"/>
    <s v="NULL"/>
    <s v="NULL"/>
    <s v="NULL"/>
    <s v="NULL"/>
    <s v="NULL"/>
    <n v="1"/>
    <n v="1"/>
    <s v="NULL"/>
    <s v="NULL"/>
    <s v="NULL"/>
  </r>
  <r>
    <x v="346"/>
    <x v="6"/>
    <n v="20602841465"/>
    <s v="TOYOAGRO S.A.C."/>
    <s v="."/>
    <n v="10253500"/>
    <s v="Impulso CDI Cobertura"/>
    <s v="B28664"/>
    <n v="9004.5"/>
    <d v="2024-05-24T00:00:00"/>
    <n v="17.899999999999999"/>
    <s v="TIENDAS"/>
    <s v="TIENDAS"/>
    <s v="Impulso MyPeru Comercial"/>
    <n v="202405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47"/>
    <x v="6"/>
    <n v="10425900515"/>
    <s v="PALACIOS VALENTIN JACOB MOISES"/>
    <n v="42590051"/>
    <n v="10264825"/>
    <s v="Nuevo Aprobado"/>
    <s v="B22989"/>
    <n v="17973.224609375"/>
    <d v="2025-01-27T00:00:00"/>
    <n v="24"/>
    <s v="TLV"/>
    <s v="TLV"/>
    <s v="Nuevo Aprobado EN"/>
    <n v="202501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48"/>
    <x v="12"/>
    <n v="10005148621"/>
    <s v="CHAMBILLA PAYE EDWIN RUBEN"/>
    <n v="514862"/>
    <n v="10251690"/>
    <s v="Impulso CDI Cobertura"/>
    <s v="BPECND"/>
    <n v="62866.14453125"/>
    <d v="2024-04-25T00:00:00"/>
    <n v="15.5"/>
    <s v="TIENDAS"/>
    <s v="TIENDAS"/>
    <s v="Impulso MyPeru Comercial"/>
    <n v="202404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49"/>
    <x v="4"/>
    <n v="20607675741"/>
    <s v="INVERSIONES TEJEIRA H &amp; D S.A.C."/>
    <s v="."/>
    <n v="10243085"/>
    <s v="Nuevo pre Aprobado"/>
    <s v="B26031"/>
    <n v="12892.591796875"/>
    <d v="2023-08-25T00:00:00"/>
    <n v="21"/>
    <s v="TIENDAS"/>
    <s v="TIENDAS"/>
    <s v="Nuevo Pre-aprobado"/>
    <n v="202308"/>
    <n v="200010"/>
    <s v="B26031"/>
    <x v="79"/>
    <s v="B13161"/>
    <x v="9"/>
    <x v="4"/>
    <x v="0"/>
    <s v="P1"/>
    <s v="NULL"/>
    <n v="1"/>
    <x v="1"/>
    <n v="0"/>
    <n v="0"/>
    <n v="0"/>
    <x v="2"/>
    <n v="0"/>
    <s v="NULL"/>
    <s v="NULL"/>
    <s v="NULL"/>
    <s v="NULL"/>
    <s v="NULL"/>
    <n v="224445"/>
    <n v="0.18"/>
    <n v="0.1628"/>
    <s v="NULL"/>
    <s v="NULL"/>
  </r>
  <r>
    <x v="350"/>
    <x v="5"/>
    <n v="20520929909"/>
    <s v="NADIA"/>
    <s v="."/>
    <n v="10182502"/>
    <s v="Reactiva"/>
    <s v="B45366"/>
    <n v="4081.5180664062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51"/>
    <x v="8"/>
    <n v="10094664646"/>
    <s v="OLIVEROS CARRANZA JUAN CARLOS"/>
    <n v="9466464"/>
    <n v="10201858"/>
    <s v="Reactiva"/>
    <s v="B10755"/>
    <n v="11766.485351562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52"/>
    <x v="8"/>
    <n v="20473933293"/>
    <s v="PROMAQ TRADE"/>
    <s v="."/>
    <n v="10172466"/>
    <s v="GIRO DE LINEA"/>
    <s v="B44120"/>
    <n v="125915.90625"/>
    <d v="2025-01-29T00:00:00"/>
    <n v="19.93"/>
    <s v="TIENDAS"/>
    <s v="TIENDAS"/>
    <s v="Giro de Línea"/>
    <n v="202501"/>
    <n v="180009"/>
    <s v="B44120"/>
    <x v="45"/>
    <s v="B14530"/>
    <x v="5"/>
    <x v="6"/>
    <x v="0"/>
    <s v="P1"/>
    <s v="NULL"/>
    <n v="1"/>
    <x v="0"/>
    <n v="0"/>
    <n v="0"/>
    <n v="1"/>
    <x v="0"/>
    <n v="0"/>
    <s v="NULL"/>
    <s v="NULL"/>
    <s v="NULL"/>
    <s v="NULL"/>
    <s v="NULL"/>
    <n v="24900"/>
    <n v="0.21"/>
    <n v="0.19"/>
    <s v="NULL"/>
    <s v="NULL"/>
  </r>
  <r>
    <x v="353"/>
    <x v="5"/>
    <n v="20480109466"/>
    <s v="REPRESENTACIONES EMERPLAST"/>
    <s v="."/>
    <n v="10176398"/>
    <s v="GIRO DE LINEA"/>
    <s v="B20210"/>
    <n v="165706.28125"/>
    <d v="2025-11-20T00:00:00"/>
    <n v="16"/>
    <s v="TIENDAS"/>
    <s v="TIENDAS"/>
    <s v="Giro de Línea"/>
    <n v="202511"/>
    <n v="170008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54"/>
    <x v="9"/>
    <n v="20393749513"/>
    <s v="YANDO"/>
    <s v="."/>
    <n v="10264765"/>
    <s v="Nuevo Aprobado"/>
    <s v="BPECND"/>
    <n v="38463.59375"/>
    <d v="2025-01-23T00:00:00"/>
    <n v="18.200001"/>
    <s v="TLV"/>
    <s v="TLV"/>
    <s v="Nuevo Aprobado EN"/>
    <n v="202501"/>
    <n v="45002.2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55"/>
    <x v="5"/>
    <n v="20606054131"/>
    <s v="PRISA SOLUTIONS S.A.C."/>
    <s v="."/>
    <n v="10265217"/>
    <s v="Regular Sin Campaña"/>
    <s v="B33503"/>
    <n v="59395.8515625"/>
    <d v="2025-02-10T00:00:00"/>
    <n v="18"/>
    <s v="TIENDAS"/>
    <s v="TIENDAS"/>
    <s v="Gestion Cartera"/>
    <n v="202502"/>
    <n v="80004"/>
    <s v="B33503"/>
    <x v="10"/>
    <s v="B14821"/>
    <x v="3"/>
    <x v="4"/>
    <x v="0"/>
    <s v="P1"/>
    <s v="C2"/>
    <n v="1"/>
    <x v="0"/>
    <n v="0"/>
    <n v="0"/>
    <n v="1"/>
    <x v="0"/>
    <n v="0"/>
    <s v="NULL"/>
    <s v="NULL"/>
    <s v="NULL"/>
    <s v="NULL"/>
    <s v="NULL"/>
    <n v="78700"/>
    <n v="0.21"/>
    <n v="0.19"/>
    <s v="NULL"/>
    <s v="NULL"/>
  </r>
  <r>
    <x v="356"/>
    <x v="9"/>
    <n v="20520912682"/>
    <s v="CONSULTORES Y CONSTRUCTORES DE PROYECTOS"/>
    <s v="."/>
    <n v="10241858"/>
    <s v="Ágil Recurrente CEM"/>
    <s v="B43903"/>
    <n v="12909.611328125"/>
    <d v="2023-07-19T00:00:00"/>
    <n v="21"/>
    <s v="TIENDAS"/>
    <s v="TIENDAS"/>
    <s v="Recurrente Ágil CEM"/>
    <n v="202307"/>
    <n v="130006.5"/>
    <s v="B43903"/>
    <x v="67"/>
    <s v="B14821"/>
    <x v="3"/>
    <x v="4"/>
    <x v="0"/>
    <s v="P1"/>
    <s v="NULL"/>
    <n v="1"/>
    <x v="0"/>
    <n v="0"/>
    <n v="0"/>
    <n v="1"/>
    <x v="2"/>
    <n v="0"/>
    <s v="NULL"/>
    <s v="NULL"/>
    <s v="NULL"/>
    <s v="NULL"/>
    <s v="NULL"/>
    <n v="400000"/>
    <n v="0.2"/>
    <n v="0.17780000000000001"/>
    <s v="NULL"/>
    <s v="NULL"/>
  </r>
  <r>
    <x v="357"/>
    <x v="4"/>
    <n v="20557730509"/>
    <s v="TEXTIL NOLBERTO"/>
    <s v="."/>
    <n v="10165639"/>
    <s v="GIRO DE LINEA"/>
    <s v="B43714"/>
    <n v="70003.5"/>
    <d v="2025-01-29T00:00:00"/>
    <n v="18"/>
    <s v="TIENDAS"/>
    <s v="TIENDAS"/>
    <s v="Giro de Línea"/>
    <n v="202501"/>
    <n v="70003.5"/>
    <s v="B43714"/>
    <x v="64"/>
    <s v="B14821"/>
    <x v="3"/>
    <x v="4"/>
    <x v="0"/>
    <s v="P1"/>
    <s v="NULL"/>
    <n v="1"/>
    <x v="0"/>
    <n v="0"/>
    <n v="0"/>
    <n v="1"/>
    <x v="2"/>
    <n v="0"/>
    <s v="NULL"/>
    <s v="NULL"/>
    <s v="NULL"/>
    <s v="NULL"/>
    <s v="NULL"/>
    <n v="180000"/>
    <n v="0.21"/>
    <n v="0.1888"/>
    <s v="NULL"/>
    <s v="NULL"/>
  </r>
  <r>
    <x v="358"/>
    <x v="4"/>
    <n v="20473731828"/>
    <s v="COMPUTO NACIONAL"/>
    <s v="."/>
    <n v="10168450"/>
    <s v="GIRO DE LINEA"/>
    <s v="B20210"/>
    <n v="231445.015625"/>
    <d v="2025-01-22T00:00:00"/>
    <n v="17.329999999999998"/>
    <s v="TIENDAS"/>
    <s v="TIENDAS"/>
    <s v="Giro de Línea"/>
    <n v="202501"/>
    <n v="77443.85000000000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59"/>
    <x v="0"/>
    <n v="10257751401"/>
    <s v="TINEO CARBAJAL DE POLAR DARCY"/>
    <n v="25775140"/>
    <n v="10263866"/>
    <s v="Ágil Recurrente CEM"/>
    <s v="B33503"/>
    <n v="1245.92980957031"/>
    <d v="2024-12-17T00:00:00"/>
    <n v="21.4"/>
    <s v="TIENDAS"/>
    <s v="TIENDAS"/>
    <s v="Recurrente Ágil CEM"/>
    <n v="202412"/>
    <n v="30001.5"/>
    <s v="B33503"/>
    <x v="10"/>
    <s v="B14821"/>
    <x v="3"/>
    <x v="4"/>
    <x v="0"/>
    <s v="P1"/>
    <s v="C3"/>
    <n v="1"/>
    <x v="0"/>
    <n v="0"/>
    <n v="0"/>
    <n v="1"/>
    <x v="0"/>
    <n v="0"/>
    <s v="NULL"/>
    <s v="NULL"/>
    <s v="NULL"/>
    <s v="NULL"/>
    <s v="NULL"/>
    <n v="200000"/>
    <n v="0.23419999999999999"/>
    <n v="0.2142"/>
    <s v="NULL"/>
    <s v="NULL"/>
  </r>
  <r>
    <x v="360"/>
    <x v="8"/>
    <n v="20546147054"/>
    <s v="DISPLAY INDUSTRIAL E.I.R.L"/>
    <s v="."/>
    <n v="10254206"/>
    <s v="Impulso Mixto"/>
    <s v="B27274"/>
    <n v="62669.18359375"/>
    <d v="2024-05-30T00:00:00"/>
    <n v="14.5"/>
    <s v="TLV"/>
    <s v="TLV"/>
    <s v="Impulso MyPeru Comercial"/>
    <n v="202405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61"/>
    <x v="10"/>
    <n v="10466545223"/>
    <s v="VASQUEZ CESPEDES ESTEFANIA"/>
    <n v="46654522"/>
    <n v="10273943"/>
    <s v="CDD APROBADO"/>
    <s v="B13492"/>
    <n v="86497.1328125"/>
    <d v="2025-12-16T00:00:00"/>
    <n v="16.5"/>
    <s v="TLV"/>
    <s v="TLV"/>
    <s v="Nuevo Aprobado Agil CD"/>
    <n v="202512"/>
    <n v="96004.80000000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62"/>
    <x v="10"/>
    <n v="10316803895"/>
    <s v="MACEDO DEXTRE MAURO FELIX"/>
    <n v="31680389"/>
    <n v="10251753"/>
    <s v="Impulso Mixto"/>
    <s v="BPECND"/>
    <n v="12827.037109375"/>
    <d v="2024-04-26T00:00:00"/>
    <n v="15.5"/>
    <s v="TLV"/>
    <s v="TLV"/>
    <s v="Impulso MyPeru Comercial"/>
    <n v="202404"/>
    <n v="35001.75"/>
    <s v="B45373"/>
    <x v="13"/>
    <s v="B45384"/>
    <x v="6"/>
    <x v="5"/>
    <x v="2"/>
    <s v="P2"/>
    <s v="C3"/>
    <n v="1"/>
    <x v="1"/>
    <n v="0"/>
    <n v="0"/>
    <n v="0"/>
    <x v="2"/>
    <n v="0"/>
    <s v="NULL"/>
    <s v="NULL"/>
    <s v="NULL"/>
    <s v="NULL"/>
    <s v="NULL"/>
    <n v="250000"/>
    <n v="0.24390000000000001"/>
    <n v="0.22389999999999999"/>
    <s v="NULL"/>
    <s v="NULL"/>
  </r>
  <r>
    <x v="363"/>
    <x v="1"/>
    <n v="20608065432"/>
    <s v="INKA ECO INMOBILIARIA"/>
    <s v="."/>
    <n v="10272369"/>
    <s v="Nuevo Aprobado"/>
    <s v="B28358"/>
    <n v="67955.4296875"/>
    <d v="2025-10-20T00:00:00"/>
    <n v="17"/>
    <s v="TIENDAS VIRTUALES"/>
    <s v="TIENDAS VIRTUALES"/>
    <s v="Nuevo Aprobado EN"/>
    <n v="202510"/>
    <n v="80004"/>
    <s v="B28358"/>
    <x v="80"/>
    <s v="B45384"/>
    <x v="6"/>
    <x v="0"/>
    <x v="2"/>
    <s v="P1"/>
    <s v="C1_2"/>
    <n v="1"/>
    <x v="0"/>
    <n v="0"/>
    <n v="0"/>
    <n v="0"/>
    <x v="0"/>
    <n v="0"/>
    <s v="NULL"/>
    <s v="NULL"/>
    <s v="NULL"/>
    <s v="NULL"/>
    <s v="NULL"/>
    <n v="0"/>
    <n v="0"/>
    <n v="0"/>
    <s v="NULL"/>
    <s v="NULL"/>
  </r>
  <r>
    <x v="364"/>
    <x v="2"/>
    <n v="10782911592"/>
    <s v="PONTE LAYME MARCO ANTONIO"/>
    <n v="78291159"/>
    <n v="10265235"/>
    <s v="Regular Sin Campaña"/>
    <s v="B43903"/>
    <n v="58409.51171875"/>
    <d v="2025-02-11T00:00:00"/>
    <n v="20"/>
    <s v="TIENDAS"/>
    <s v="VENDORS"/>
    <s v="Gestion Cartera"/>
    <n v="202502"/>
    <n v="70003.5"/>
    <s v="B30973"/>
    <x v="11"/>
    <s v="B14821"/>
    <x v="3"/>
    <x v="1"/>
    <x v="0"/>
    <s v="P2"/>
    <s v="NULL"/>
    <n v="1"/>
    <x v="1"/>
    <n v="0"/>
    <n v="0"/>
    <n v="0"/>
    <x v="0"/>
    <n v="0"/>
    <s v="NULL"/>
    <s v="NULL"/>
    <s v="NULL"/>
    <s v="NULL"/>
    <s v="NULL"/>
    <n v="1"/>
    <n v="0.2843"/>
    <s v="NULL"/>
    <s v="NULL"/>
    <s v="NULL"/>
  </r>
  <r>
    <x v="365"/>
    <x v="10"/>
    <n v="20521174294"/>
    <s v="FERRETERIA ANCIETA"/>
    <s v="."/>
    <n v="10253290"/>
    <s v="Impulso CDI Cobertura"/>
    <s v="B33503"/>
    <n v="36877.0859375"/>
    <d v="2024-05-27T00:00:00"/>
    <n v="15.5"/>
    <s v="TIENDAS"/>
    <s v="TIENDAS"/>
    <s v="Impulso MyPeru Comercial"/>
    <n v="202405"/>
    <n v="90004.5"/>
    <s v="B33503"/>
    <x v="10"/>
    <s v="B14821"/>
    <x v="3"/>
    <x v="9"/>
    <x v="0"/>
    <s v="P1"/>
    <s v="C1_1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366"/>
    <x v="8"/>
    <n v="10035707391"/>
    <s v="CARRASCO SANCARRANCO JUDITH"/>
    <n v="3570739"/>
    <n v="10266247"/>
    <s v="CDD APROBADO"/>
    <s v="B33958"/>
    <n v="35739.52734375"/>
    <d v="2025-03-17T00:00:00"/>
    <n v="20"/>
    <s v="TLV"/>
    <s v="TLV"/>
    <s v="Nuevo Aprobado Agil CD"/>
    <n v="202503"/>
    <n v="52002.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67"/>
    <x v="4"/>
    <n v="20571422272"/>
    <s v="ODONTOLANDIA"/>
    <s v="."/>
    <n v="10265332"/>
    <s v="Nuevo pre Aprobado"/>
    <s v="BPECND"/>
    <n v="80003.984375"/>
    <d v="2025-02-13T00:00:00"/>
    <n v="21"/>
    <s v="TIENDAS"/>
    <s v="TIENDAS"/>
    <s v="Nuevo Pre-aprobado"/>
    <n v="202502"/>
    <n v="80004"/>
    <s v="B30637"/>
    <x v="12"/>
    <s v="B14530"/>
    <x v="5"/>
    <x v="3"/>
    <x v="0"/>
    <s v="P1"/>
    <s v="NULL"/>
    <n v="1"/>
    <x v="0"/>
    <n v="1"/>
    <n v="1"/>
    <n v="1"/>
    <x v="2"/>
    <n v="80004"/>
    <n v="21"/>
    <d v="2025-02-13T00:00:00"/>
    <s v="Nuevo Pre-aprobado"/>
    <s v="TIENDAS"/>
    <s v="CAPITAL DE TRABAJO"/>
    <n v="0"/>
    <n v="0.255"/>
    <n v="0.23499999999999999"/>
    <s v="NULL"/>
    <s v="NULL"/>
  </r>
  <r>
    <x v="368"/>
    <x v="5"/>
    <n v="20527588741"/>
    <s v="NEBRIS@ SYSTEM"/>
    <s v="."/>
    <n v="10161017"/>
    <s v="GIRO DE LINEA"/>
    <s v="B45076"/>
    <n v="144413.65625"/>
    <d v="2025-07-31T00:00:00"/>
    <n v="14"/>
    <s v="TIENDAS VIRTUALES"/>
    <s v="TIENDAS VIRTUALES"/>
    <s v="Giro de Línea"/>
    <n v="202507"/>
    <n v="165008.25"/>
    <s v="B45076"/>
    <x v="18"/>
    <s v="B45083"/>
    <x v="7"/>
    <x v="1"/>
    <x v="2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242"/>
    <x v="7"/>
    <n v="20555553626"/>
    <s v="EQUIPOS PROIN"/>
    <s v="."/>
    <n v="10162971"/>
    <s v="GIRO DE LINEA"/>
    <s v="B46358"/>
    <n v="3328.57568359375"/>
    <d v="2024-03-05T00:00:00"/>
    <n v="20"/>
    <s v="TIENDAS"/>
    <s v="TIENDAS"/>
    <s v="Giro de Línea"/>
    <n v="202403"/>
    <n v="37372.85"/>
    <s v="B46358"/>
    <x v="31"/>
    <s v="B13161"/>
    <x v="9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369"/>
    <x v="10"/>
    <n v="20520801180"/>
    <s v="PROSUB"/>
    <s v="."/>
    <n v="10271770"/>
    <s v="Nuevo Aprobado Ágil"/>
    <s v="B45749"/>
    <n v="145772.875"/>
    <d v="2025-09-26T00:00:00"/>
    <n v="17"/>
    <s v="TIENDAS"/>
    <s v="TIENDAS"/>
    <s v="Nuevo Aprobado Agil"/>
    <n v="202509"/>
    <n v="170008.5"/>
    <s v="B45749"/>
    <x v="9"/>
    <s v="B27274"/>
    <x v="0"/>
    <x v="4"/>
    <x v="0"/>
    <s v="P1"/>
    <s v="C1_1"/>
    <n v="1"/>
    <x v="0"/>
    <n v="0"/>
    <n v="0"/>
    <n v="1"/>
    <x v="0"/>
    <n v="0"/>
    <s v="NULL"/>
    <s v="NULL"/>
    <s v="NULL"/>
    <s v="NULL"/>
    <s v="NULL"/>
    <n v="500000"/>
    <n v="0.21"/>
    <n v="0.19"/>
    <s v="NULL"/>
    <s v="NULL"/>
  </r>
  <r>
    <x v="370"/>
    <x v="6"/>
    <n v="10198635761"/>
    <s v="DIAZ MORALES SANTIAGO"/>
    <n v="19863576"/>
    <n v="10266496"/>
    <s v="CDD APROBADO"/>
    <s v="B45373"/>
    <n v="196615.21875"/>
    <d v="2025-03-25T00:00:00"/>
    <n v="14.3"/>
    <s v="TLV"/>
    <s v="TLV"/>
    <s v="Nuevo Aprobado Agil CD"/>
    <n v="202503"/>
    <n v="266802.95"/>
    <s v="B45373"/>
    <x v="13"/>
    <s v="B45384"/>
    <x v="6"/>
    <x v="4"/>
    <x v="2"/>
    <s v="P1"/>
    <s v="NULL"/>
    <n v="1"/>
    <x v="1"/>
    <n v="0"/>
    <n v="0"/>
    <n v="0"/>
    <x v="0"/>
    <n v="0"/>
    <s v="NULL"/>
    <s v="NULL"/>
    <s v="NULL"/>
    <s v="NULL"/>
    <s v="NULL"/>
    <n v="200000"/>
    <n v="0.22670000000000001"/>
    <n v="0.20669999999999999"/>
    <s v="NULL"/>
    <s v="NULL"/>
  </r>
  <r>
    <x v="371"/>
    <x v="8"/>
    <n v="20602294367"/>
    <s v=" TSUNADE EXPRESS"/>
    <s v="."/>
    <n v="10250015"/>
    <s v="Impulso Mixto"/>
    <s v="B36289"/>
    <n v="55396.02734375"/>
    <d v="2024-03-26T00:00:00"/>
    <n v="14.2"/>
    <s v="TLV"/>
    <s v="TLV"/>
    <s v="Impulso MyPeru Comercial"/>
    <n v="202403"/>
    <n v="90004.5"/>
    <s v="B36289"/>
    <x v="81"/>
    <s v="B13988"/>
    <x v="8"/>
    <x v="4"/>
    <x v="0"/>
    <s v="P1"/>
    <s v="NULL"/>
    <n v="1"/>
    <x v="0"/>
    <n v="0"/>
    <n v="0"/>
    <n v="1"/>
    <x v="0"/>
    <n v="0"/>
    <s v="NULL"/>
    <s v="NULL"/>
    <s v="NULL"/>
    <s v="NULL"/>
    <s v="NULL"/>
    <n v="400000"/>
    <n v="0.23"/>
    <n v="0.21"/>
    <s v="NULL"/>
    <s v="NULL"/>
  </r>
  <r>
    <x v="372"/>
    <x v="6"/>
    <n v="20605096132"/>
    <s v="METALES CALIXTO E.I.R.L."/>
    <s v="."/>
    <n v="10269546"/>
    <s v="CDD APROBADO"/>
    <s v="B36093"/>
    <n v="127283.1953125"/>
    <d v="2025-07-11T00:00:00"/>
    <n v="14"/>
    <s v="TLV"/>
    <s v="TLV"/>
    <s v="Nuevo Aprobado Agil CD"/>
    <n v="202507"/>
    <n v="143182.15"/>
    <s v="B36093"/>
    <x v="2"/>
    <s v="NULL"/>
    <x v="2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373"/>
    <x v="11"/>
    <n v="20605384154"/>
    <s v="BETPERU DE JORJAR"/>
    <s v="."/>
    <n v="10265265"/>
    <s v="Nuevo pre Aprobado"/>
    <s v="B40039"/>
    <n v="117466.34375"/>
    <d v="2025-02-12T00:00:00"/>
    <n v="22.5"/>
    <s v="TIENDAS"/>
    <s v="TIENDAS"/>
    <s v="Nuevo Pre-aprobado"/>
    <n v="202502"/>
    <n v="130006.5"/>
    <s v="B40039"/>
    <x v="41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374"/>
    <x v="8"/>
    <n v="10448547723"/>
    <s v="CONTRERAS BECERRA ERLITA DEL ROCIO"/>
    <n v="44854772"/>
    <n v="10260706"/>
    <s v="Ágil Recurrente CEM"/>
    <s v="B45439"/>
    <n v="38205.90234375"/>
    <d v="2024-09-23T00:00:00"/>
    <n v="24.700001"/>
    <s v="TIENDAS"/>
    <s v="TIENDAS"/>
    <s v="Recurrente Ágil CEM"/>
    <n v="202409"/>
    <n v="70003.5"/>
    <s v="B45439"/>
    <x v="29"/>
    <s v="B45083"/>
    <x v="7"/>
    <x v="1"/>
    <x v="2"/>
    <s v="P3"/>
    <s v="NULL"/>
    <n v="1"/>
    <x v="1"/>
    <n v="0"/>
    <n v="0"/>
    <n v="0"/>
    <x v="0"/>
    <n v="0"/>
    <s v="NULL"/>
    <s v="NULL"/>
    <s v="NULL"/>
    <s v="NULL"/>
    <s v="NULL"/>
    <n v="1"/>
    <n v="0.23280000000000001"/>
    <s v="NULL"/>
    <s v="NULL"/>
    <s v="NULL"/>
  </r>
  <r>
    <x v="375"/>
    <x v="2"/>
    <n v="10472364958"/>
    <s v="PEREZ PAJARES OSCAR EDUARDO"/>
    <n v="47236495"/>
    <n v="10252662"/>
    <s v="Impulso Mixto"/>
    <s v="B18129"/>
    <n v="38533.83203125"/>
    <d v="2024-05-08T00:00:00"/>
    <n v="14.7"/>
    <s v="TLV"/>
    <s v="TLV"/>
    <s v="Impulso MyPeru Comercial"/>
    <n v="202405"/>
    <n v="58655.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76"/>
    <x v="4"/>
    <n v="10296056907"/>
    <s v="QUISPE ROSAS HERMELINDA"/>
    <n v="29605690"/>
    <n v="10166191"/>
    <s v="GIRO DE LINEA"/>
    <s v="B35702"/>
    <n v="48767.3515625"/>
    <d v="2024-11-25T00:00:00"/>
    <n v="18.899999999999999"/>
    <s v="TIENDAS"/>
    <s v="TIENDAS"/>
    <s v="Giro de Línea"/>
    <n v="202411"/>
    <n v="52364.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77"/>
    <x v="5"/>
    <n v="20610116117"/>
    <s v="IMPORTACIONES CJ-AGURT"/>
    <s v="."/>
    <n v="10271965"/>
    <s v="Nuevo pre Aprobado"/>
    <s v="BPECND"/>
    <n v="120005.9921875"/>
    <d v="2025-09-30T00:00:00"/>
    <n v="17"/>
    <s v="TIENDAS"/>
    <s v="VENDORS"/>
    <s v="Nuevo Pre-aprobado"/>
    <n v="202509"/>
    <n v="120006"/>
    <s v="B37426"/>
    <x v="71"/>
    <s v="B14821"/>
    <x v="3"/>
    <x v="3"/>
    <x v="0"/>
    <s v="P1"/>
    <s v="C2"/>
    <n v="1"/>
    <x v="0"/>
    <n v="1"/>
    <n v="1"/>
    <n v="1"/>
    <x v="2"/>
    <n v="120006"/>
    <n v="17"/>
    <d v="2025-09-30T00:00:00"/>
    <s v="Nuevo Pre-aprobado"/>
    <s v="VENDORS"/>
    <s v="CAPITAL DE TRABAJO"/>
    <n v="180000"/>
    <n v="0.3"/>
    <n v="0.28000000000000003"/>
    <s v="NULL"/>
    <s v="NULL"/>
  </r>
  <r>
    <x v="378"/>
    <x v="8"/>
    <n v="10449011304"/>
    <s v="ROCA AGUILAR GIAN CARLOS"/>
    <n v="44901130"/>
    <n v="10267377"/>
    <s v="Nuevo Aprobado"/>
    <s v="B33958"/>
    <n v="54316.39453125"/>
    <d v="2025-04-25T00:00:00"/>
    <n v="18"/>
    <s v="TLV"/>
    <s v="TLV"/>
    <s v="Nuevo Aprobado EN"/>
    <n v="202504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79"/>
    <x v="2"/>
    <n v="10086805320"/>
    <s v="TANTALEAN CABRERA GRACIELA"/>
    <n v="8680532"/>
    <n v="10266216"/>
    <s v="CDD APROBADO"/>
    <s v="B45439"/>
    <n v="148629.5"/>
    <d v="2025-03-17T00:00:00"/>
    <n v="14"/>
    <s v="TLV"/>
    <s v="TLV"/>
    <s v="Nuevo Aprobado Agil CD"/>
    <n v="202503"/>
    <n v="168008.4"/>
    <s v="B45439"/>
    <x v="29"/>
    <s v="B45083"/>
    <x v="7"/>
    <x v="4"/>
    <x v="2"/>
    <s v="P2"/>
    <s v="NULL"/>
    <n v="1"/>
    <x v="1"/>
    <n v="0"/>
    <n v="0"/>
    <n v="0"/>
    <x v="0"/>
    <n v="0"/>
    <s v="NULL"/>
    <s v="NULL"/>
    <s v="NULL"/>
    <s v="NULL"/>
    <s v="NULL"/>
    <n v="300000"/>
    <n v="0.21"/>
    <n v="0.19"/>
    <s v="NULL"/>
    <s v="NULL"/>
  </r>
  <r>
    <x v="323"/>
    <x v="1"/>
    <n v="20548385068"/>
    <s v="DISEÑO &amp; INGENIERIA DE ACEROS DEL PERU S"/>
    <s v="."/>
    <n v="10272862"/>
    <s v="Ágil Recurrente CEM"/>
    <s v="B45440"/>
    <n v="58656.4140625"/>
    <d v="2025-11-03T00:00:00"/>
    <n v="19"/>
    <s v="TIENDAS"/>
    <s v="TIENDAS"/>
    <s v="Recurrente Ágil CEM"/>
    <n v="202511"/>
    <n v="70003.5"/>
    <s v="B45440"/>
    <x v="73"/>
    <s v="B45083"/>
    <x v="7"/>
    <x v="0"/>
    <x v="2"/>
    <s v="P5"/>
    <s v="C1_1"/>
    <n v="1"/>
    <x v="0"/>
    <n v="0"/>
    <n v="0"/>
    <n v="0"/>
    <x v="0"/>
    <n v="0"/>
    <s v="NULL"/>
    <s v="NULL"/>
    <s v="NULL"/>
    <s v="NULL"/>
    <s v="NULL"/>
    <n v="0"/>
    <n v="0"/>
    <n v="0.19"/>
    <s v="NULL"/>
    <s v="NULL"/>
  </r>
  <r>
    <x v="380"/>
    <x v="1"/>
    <n v="20508284684"/>
    <s v="H Y D CHEMICALS"/>
    <s v="."/>
    <n v="10270627"/>
    <s v="Nuevo Aprobado"/>
    <s v="B30973"/>
    <n v="75119.359375"/>
    <d v="2025-08-22T00:00:00"/>
    <n v="18"/>
    <s v="TLV"/>
    <s v="VENDORS"/>
    <s v="Nuevo Aprobado EN"/>
    <n v="202508"/>
    <n v="100005"/>
    <s v="B30973"/>
    <x v="11"/>
    <s v="B14821"/>
    <x v="3"/>
    <x v="5"/>
    <x v="0"/>
    <s v="P5"/>
    <s v="C2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381"/>
    <x v="8"/>
    <n v="10082816114"/>
    <s v="VELASQUEZ CENTENO HONORATA"/>
    <n v="8281611"/>
    <n v="10266239"/>
    <s v="Recurrente Aprobado"/>
    <s v="B45440"/>
    <n v="79755.7421875"/>
    <d v="2025-03-17T00:00:00"/>
    <n v="16.200001"/>
    <s v="TIENDAS"/>
    <s v="TIENDAS"/>
    <s v="Recurrente Aprobado"/>
    <n v="202503"/>
    <n v="100005"/>
    <s v="B45440"/>
    <x v="73"/>
    <s v="B45083"/>
    <x v="7"/>
    <x v="1"/>
    <x v="2"/>
    <s v="P2"/>
    <s v="NULL"/>
    <n v="1"/>
    <x v="1"/>
    <n v="0"/>
    <n v="0"/>
    <n v="0"/>
    <x v="0"/>
    <n v="0"/>
    <s v="NULL"/>
    <s v="NULL"/>
    <s v="NULL"/>
    <s v="NULL"/>
    <s v="NULL"/>
    <n v="1"/>
    <n v="0.1898"/>
    <s v="NULL"/>
    <s v="NULL"/>
    <s v="NULL"/>
  </r>
  <r>
    <x v="382"/>
    <x v="0"/>
    <n v="10408446614"/>
    <s v="BENITES ESPINOZA VICTOR MANUEL"/>
    <n v="40844661"/>
    <n v="10264809"/>
    <s v="Nuevo Aprobado"/>
    <s v="BPECND"/>
    <n v="16298.0732421875"/>
    <d v="2025-01-27T00:00:00"/>
    <n v="18.5"/>
    <s v="TLV"/>
    <s v="TLV"/>
    <s v="Nuevo Aprobado EN"/>
    <n v="202501"/>
    <n v="34001.699999999997"/>
    <s v="B34669"/>
    <x v="7"/>
    <s v="B34489"/>
    <x v="4"/>
    <x v="4"/>
    <x v="0"/>
    <s v="P1"/>
    <s v="C3"/>
    <n v="1"/>
    <x v="1"/>
    <n v="0"/>
    <n v="0"/>
    <n v="0"/>
    <x v="2"/>
    <n v="0"/>
    <s v="NULL"/>
    <s v="NULL"/>
    <s v="NULL"/>
    <s v="NULL"/>
    <s v="NULL"/>
    <n v="300000"/>
    <n v="0.21"/>
    <n v="0.19"/>
    <s v="NULL"/>
    <s v="NULL"/>
  </r>
  <r>
    <x v="383"/>
    <x v="11"/>
    <n v="20535554111"/>
    <s v="SERVICIO DE TAPICERIA SAIRITUPA E.I.R.L."/>
    <s v="."/>
    <n v="10249115"/>
    <s v="Impulso Mixto"/>
    <s v="B33958"/>
    <n v="53153.40625"/>
    <d v="2024-03-11T00:00:00"/>
    <n v="14.6"/>
    <s v="TLV"/>
    <s v="TLV"/>
    <s v="Impulso MyPeru Comercial"/>
    <n v="202403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83"/>
    <x v="12"/>
    <n v="20535554111"/>
    <s v="SERVICIO DE TAPICERIA SAIRITUPA E.I.R.L."/>
    <s v="."/>
    <n v="10249115"/>
    <s v="Impulso Mixto"/>
    <s v="B33958"/>
    <n v="12268.744140625"/>
    <d v="2024-03-11T00:00:00"/>
    <n v="14.6"/>
    <s v="TLV"/>
    <s v="TLV"/>
    <s v="Impulso MyPeru Comercial"/>
    <n v="202403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84"/>
    <x v="1"/>
    <n v="10296516436"/>
    <s v="TAPIA MENDOZA ANGIE CATHERINE"/>
    <n v="29651643"/>
    <n v="10249035"/>
    <s v="Impulso Mixto"/>
    <s v="B34489"/>
    <n v="18191.103515625"/>
    <d v="2024-03-11T00:00:00"/>
    <n v="14.2"/>
    <s v="TLV"/>
    <s v="TLV"/>
    <s v="Impulso MyPeru Comercial"/>
    <n v="202403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59"/>
    <x v="0"/>
    <n v="10257751401"/>
    <s v="TINEO CARBAJAL DE POLAR DARCY"/>
    <n v="25775140"/>
    <n v="10249805"/>
    <s v="Impulso Mixto"/>
    <s v="B33503"/>
    <n v="36527.125"/>
    <d v="2024-03-22T00:00:00"/>
    <n v="13.8"/>
    <s v="TLV"/>
    <s v="TLV"/>
    <s v="Impulso MyPeru Comercial"/>
    <n v="202403"/>
    <n v="90004.5"/>
    <s v="B33503"/>
    <x v="10"/>
    <s v="B14821"/>
    <x v="3"/>
    <x v="4"/>
    <x v="0"/>
    <s v="P1"/>
    <s v="C3"/>
    <n v="1"/>
    <x v="0"/>
    <n v="0"/>
    <n v="0"/>
    <n v="1"/>
    <x v="0"/>
    <n v="0"/>
    <s v="NULL"/>
    <s v="NULL"/>
    <s v="NULL"/>
    <s v="NULL"/>
    <s v="NULL"/>
    <n v="200000"/>
    <n v="0.23419999999999999"/>
    <n v="0.2142"/>
    <s v="NULL"/>
    <s v="NULL"/>
  </r>
  <r>
    <x v="385"/>
    <x v="8"/>
    <n v="10402386563"/>
    <s v="FARFAN CCORI NORMA"/>
    <n v="40238656"/>
    <n v="10265291"/>
    <s v="Nuevo Aprobado Ágil"/>
    <s v="B13100"/>
    <n v="46734.37890625"/>
    <d v="2025-02-13T00:00:00"/>
    <n v="18.5"/>
    <s v="TLV"/>
    <s v="TLV"/>
    <s v="Nuevo Aprobado Agil"/>
    <n v="202502"/>
    <n v="57002.8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9"/>
    <x v="7"/>
    <n v="10422969212"/>
    <s v="MELGAREJO ECHEVARRIA EDIL NAISER"/>
    <n v="42296921"/>
    <n v="10270449"/>
    <s v="CDD PRE APROBADO"/>
    <s v="B45371"/>
    <n v="85905.0859375"/>
    <d v="2025-08-18T00:00:00"/>
    <n v="16"/>
    <s v="TIENDAS VIRTUALES"/>
    <s v="TIENDAS VIRTUALES"/>
    <s v="Recurrente Aprobado CD"/>
    <n v="202508"/>
    <n v="92004.6"/>
    <s v="B45371"/>
    <x v="15"/>
    <s v="B45384"/>
    <x v="6"/>
    <x v="1"/>
    <x v="2"/>
    <s v="P1"/>
    <s v="C3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9"/>
    <x v="1"/>
    <n v="20601953405"/>
    <s v="INVERSIONES MULTIPLES VIVANCO E.I.R.L."/>
    <s v="."/>
    <n v="10269163"/>
    <s v="Recurrente Aprobado Agil"/>
    <s v="B30114"/>
    <n v="156373.421875"/>
    <d v="2025-06-27T00:00:00"/>
    <n v="15"/>
    <s v="TIENDAS VIRTUALES"/>
    <s v="TIENDAS VIRTUALES"/>
    <s v="Recurrente Ágil CEM"/>
    <n v="202506"/>
    <n v="200010"/>
    <s v="B30114"/>
    <x v="8"/>
    <s v="B34489"/>
    <x v="4"/>
    <x v="5"/>
    <x v="0"/>
    <s v="P5"/>
    <s v="C1_2"/>
    <n v="1"/>
    <x v="0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386"/>
    <x v="7"/>
    <n v="20101602860"/>
    <s v="SOROBAN"/>
    <s v="."/>
    <n v="10271613"/>
    <s v="Nuevo Aprobado"/>
    <s v="B24783"/>
    <n v="38184.72265625"/>
    <d v="2025-09-23T00:00:00"/>
    <n v="18"/>
    <s v="TIENDAS VIRTUALES"/>
    <s v="TIENDAS VIRTUALES"/>
    <s v="Nuevo Aprobado EN"/>
    <n v="202509"/>
    <n v="40002"/>
    <s v="B45240"/>
    <x v="2"/>
    <s v="NULL"/>
    <x v="2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387"/>
    <x v="0"/>
    <n v="20603704267"/>
    <s v="OUTDOOR BRANDS"/>
    <s v="."/>
    <n v="10270443"/>
    <s v="Recurrente Aprobado Agil"/>
    <s v="B43903"/>
    <n v="230623.171875"/>
    <d v="2025-08-18T00:00:00"/>
    <n v="17"/>
    <s v="TIENDAS"/>
    <s v="TIENDAS"/>
    <s v="Recurrente Ágil CEM"/>
    <n v="202508"/>
    <n v="255512.75"/>
    <s v="B43903"/>
    <x v="67"/>
    <s v="B14821"/>
    <x v="3"/>
    <x v="0"/>
    <x v="0"/>
    <s v="P1"/>
    <s v="C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388"/>
    <x v="5"/>
    <n v="10412901822"/>
    <s v="CERVANTES NINA CESAR"/>
    <n v="41290182"/>
    <n v="10267962"/>
    <s v="Nuevo Aprobado"/>
    <s v="B45389"/>
    <n v="56005.59375"/>
    <d v="2025-05-20T00:00:00"/>
    <n v="18.200001"/>
    <s v="TLV"/>
    <s v="TLV"/>
    <s v="Nuevo Aprobado EN"/>
    <n v="202505"/>
    <n v="70003.5"/>
    <s v="B45389"/>
    <x v="16"/>
    <s v="B45384"/>
    <x v="6"/>
    <x v="1"/>
    <x v="2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389"/>
    <x v="0"/>
    <n v="20568308396"/>
    <s v="MOL GROUP COMPANY"/>
    <s v="."/>
    <n v="10270355"/>
    <s v="Recurrente Aprobado Agil"/>
    <s v="B22760"/>
    <n v="54244.6171875"/>
    <d v="2025-08-13T00:00:00"/>
    <n v="21"/>
    <s v="TIENDAS"/>
    <s v="TIENDAS"/>
    <s v="Recurrente Ágil CEM"/>
    <n v="202508"/>
    <n v="60003"/>
    <s v="B22760"/>
    <x v="42"/>
    <s v="B34489"/>
    <x v="4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390"/>
    <x v="6"/>
    <n v="20605131485"/>
    <s v="GENERATING WORK"/>
    <s v="."/>
    <n v="10258675"/>
    <s v="Impulso Solo"/>
    <s v="B14327"/>
    <n v="62716.78125"/>
    <d v="2024-08-07T00:00:00"/>
    <n v="14.8"/>
    <s v="TLV"/>
    <s v="TLV"/>
    <s v="Impulso MyPeru Comercial"/>
    <n v="202408"/>
    <n v="90004.5"/>
    <s v="B14327"/>
    <x v="49"/>
    <s v="B27274"/>
    <x v="0"/>
    <x v="4"/>
    <x v="0"/>
    <s v="P1"/>
    <s v="NULL"/>
    <n v="1"/>
    <x v="0"/>
    <n v="0"/>
    <n v="1"/>
    <n v="1"/>
    <x v="0"/>
    <n v="0"/>
    <s v="NULL"/>
    <s v="NULL"/>
    <s v="NULL"/>
    <s v="NULL"/>
    <s v="NULL"/>
    <n v="250000"/>
    <n v="0.23"/>
    <n v="0.21"/>
    <s v="NULL"/>
    <s v="NULL"/>
  </r>
  <r>
    <x v="391"/>
    <x v="8"/>
    <n v="20557930770"/>
    <s v="PEQCONSULTORES S.R.L."/>
    <s v="."/>
    <n v="10249303"/>
    <s v="Impulso Mixto"/>
    <s v="B27693"/>
    <n v="3664.22534179688"/>
    <d v="2024-03-14T00:00:00"/>
    <n v="14.2"/>
    <s v="TLV"/>
    <s v="TLV"/>
    <s v="Impulso MyPeru Comercial"/>
    <n v="202403"/>
    <n v="90004.5"/>
    <s v="B27693"/>
    <x v="52"/>
    <s v="B27274"/>
    <x v="0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0380000000000001"/>
    <n v="0"/>
    <s v="NULL"/>
    <s v="NULL"/>
  </r>
  <r>
    <x v="392"/>
    <x v="2"/>
    <n v="20601081831"/>
    <s v="MAHUFERLIZ"/>
    <s v="."/>
    <n v="10265267"/>
    <s v="Nuevo Aprobado Ágil"/>
    <s v="B45373"/>
    <n v="101523.75"/>
    <d v="2025-02-12T00:00:00"/>
    <n v="18.2"/>
    <s v="TLV"/>
    <s v="TLV"/>
    <s v="Nuevo Aprobado Agil"/>
    <n v="202502"/>
    <n v="130006.5"/>
    <s v="B45373"/>
    <x v="13"/>
    <s v="B45384"/>
    <x v="6"/>
    <x v="4"/>
    <x v="2"/>
    <s v="P1"/>
    <s v="NULL"/>
    <n v="1"/>
    <x v="0"/>
    <n v="0"/>
    <n v="0"/>
    <n v="1"/>
    <x v="0"/>
    <n v="0"/>
    <s v="NULL"/>
    <s v="NULL"/>
    <s v="NULL"/>
    <s v="NULL"/>
    <s v="NULL"/>
    <n v="400000"/>
    <n v="0.21"/>
    <n v="0.19"/>
    <s v="NULL"/>
    <s v="NULL"/>
  </r>
  <r>
    <x v="393"/>
    <x v="7"/>
    <n v="20603483848"/>
    <s v="GLOBAL SOLUTIONS IMPORT"/>
    <s v="."/>
    <n v="10264826"/>
    <s v="Nuevo Aprobado"/>
    <s v="B45374"/>
    <n v="53279.328125"/>
    <d v="2025-01-27T00:00:00"/>
    <n v="18.200001"/>
    <s v="TLV"/>
    <s v="TLV"/>
    <s v="Nuevo Aprobado EN"/>
    <n v="202501"/>
    <n v="80004"/>
    <s v="B45374"/>
    <x v="21"/>
    <s v="B45384"/>
    <x v="6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394"/>
    <x v="10"/>
    <n v="20606668881"/>
    <s v="INVERSIONES EVAHER"/>
    <s v="."/>
    <n v="10269912"/>
    <s v="Regular Sin Campaña"/>
    <s v="B46727"/>
    <n v="45974.03515625"/>
    <d v="2025-07-24T00:00:00"/>
    <n v="20"/>
    <s v="TIENDAS VIRTUALES"/>
    <s v="VENDORS"/>
    <s v="Gestion Cartera"/>
    <n v="202507"/>
    <n v="125006.2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95"/>
    <x v="1"/>
    <n v="20606970405"/>
    <s v="LEES TRAVEL"/>
    <s v="."/>
    <n v="10271042"/>
    <s v="Nuevo NO BANK"/>
    <s v="B13161"/>
    <n v="40301.59765625"/>
    <d v="2025-09-04T00:00:00"/>
    <n v="22"/>
    <s v="TIENDAS VIRTUALES"/>
    <s v="TIENDAS VIRTUALES"/>
    <s v="Nuevo Aprobado EN"/>
    <n v="202509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96"/>
    <x v="12"/>
    <n v="20541797824"/>
    <s v="DISTRIBUIDORA COMERCIAL Y SERVICIOS GENE"/>
    <s v="."/>
    <n v="10268561"/>
    <s v="Nuevo Aprobado Ágil"/>
    <s v="BPECND"/>
    <n v="75503.75"/>
    <d v="2025-06-10T00:00:00"/>
    <n v="19"/>
    <s v="TLV"/>
    <s v="TLV"/>
    <s v="Nuevo Aprobado Agil"/>
    <n v="202506"/>
    <n v="75503.75"/>
    <s v="B39015"/>
    <x v="82"/>
    <s v="B28616"/>
    <x v="12"/>
    <x v="16"/>
    <x v="3"/>
    <s v="P1"/>
    <s v="NULL"/>
    <n v="1"/>
    <x v="0"/>
    <n v="1"/>
    <n v="1"/>
    <n v="1"/>
    <x v="1"/>
    <n v="75503.75"/>
    <n v="19"/>
    <d v="2025-06-10T00:00:00"/>
    <s v="Nuevo Aprobado Agil"/>
    <s v="TLV"/>
    <s v="CAPITAL DE TRABAJO"/>
    <n v="75500"/>
    <n v="0.21"/>
    <n v="0.19"/>
    <s v="TLV B"/>
    <s v="CAPITAL DE TRABAJO"/>
  </r>
  <r>
    <x v="397"/>
    <x v="12"/>
    <n v="20605735062"/>
    <s v="YB PROYECTOS INVERSIONES"/>
    <s v="."/>
    <n v="10267783"/>
    <s v="Nuevo NO BANK"/>
    <s v="BPECND"/>
    <n v="39049.6640625"/>
    <d v="2025-05-14T00:00:00"/>
    <n v="24.1"/>
    <s v="TLV"/>
    <s v="TLV"/>
    <s v="Nuevo Aprobado EN"/>
    <n v="202505"/>
    <n v="41002.05000000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98"/>
    <x v="7"/>
    <n v="20600889240"/>
    <s v="JHADE TEXTILE CORPORATION"/>
    <s v="."/>
    <n v="10266190"/>
    <s v="Regular Sin Campaña"/>
    <s v="B36289"/>
    <n v="112192.328125"/>
    <d v="2025-03-14T00:00:00"/>
    <n v="17"/>
    <s v="TIENDAS"/>
    <s v="VENDORS"/>
    <s v="Gestion Cartera"/>
    <n v="202503"/>
    <n v="150007.5"/>
    <s v="B36289"/>
    <x v="81"/>
    <s v="B13988"/>
    <x v="8"/>
    <x v="0"/>
    <x v="0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399"/>
    <x v="9"/>
    <n v="10471913478"/>
    <s v="AGUIRRE DE LA VEGA IDEL"/>
    <n v="47191347"/>
    <n v="10267038"/>
    <s v="CDD APROBADO"/>
    <s v="B33958"/>
    <n v="119064.0234375"/>
    <d v="2025-04-14T00:00:00"/>
    <n v="16"/>
    <s v="TLV"/>
    <s v="TLV"/>
    <s v="Nuevo Aprobado Agil CD"/>
    <n v="202504"/>
    <n v="129093.9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00"/>
    <x v="10"/>
    <n v="20110008601"/>
    <s v="FT LAMINADOS"/>
    <s v="."/>
    <n v="10155821"/>
    <s v="GIRO DE LINEA"/>
    <s v="B27274"/>
    <n v="66132.21875"/>
    <d v="2025-08-07T00:00:00"/>
    <n v="17.5"/>
    <s v="TIENDAS"/>
    <s v="TIENDAS"/>
    <s v="Giro de Línea"/>
    <n v="202508"/>
    <n v="80989"/>
    <s v="B45749"/>
    <x v="9"/>
    <s v="B27274"/>
    <x v="0"/>
    <x v="7"/>
    <x v="0"/>
    <s v="P1"/>
    <s v="C1_2"/>
    <n v="1"/>
    <x v="1"/>
    <n v="0"/>
    <n v="0"/>
    <n v="0"/>
    <x v="0"/>
    <n v="0"/>
    <s v="NULL"/>
    <s v="NULL"/>
    <s v="NULL"/>
    <s v="NULL"/>
    <s v="NULL"/>
    <n v="151000"/>
    <n v="0.19589999999999999"/>
    <n v="0.1759"/>
    <s v="NULL"/>
    <s v="NULL"/>
  </r>
  <r>
    <x v="401"/>
    <x v="5"/>
    <n v="20607574155"/>
    <s v="3R INMOBILIARIA"/>
    <s v="."/>
    <n v="10269848"/>
    <s v="CDD APROBADO"/>
    <s v="B45077"/>
    <n v="231432.34375"/>
    <d v="2025-07-22T00:00:00"/>
    <n v="17"/>
    <s v="TIENDAS VIRTUALES"/>
    <s v="TIENDAS VIRTUALES"/>
    <s v="Nuevo Aprobado Agil CD"/>
    <n v="202507"/>
    <n v="241938.55"/>
    <s v="B46366"/>
    <x v="83"/>
    <s v="B45083"/>
    <x v="7"/>
    <x v="1"/>
    <x v="2"/>
    <s v="P1"/>
    <s v="C1_1"/>
    <n v="1"/>
    <x v="0"/>
    <n v="0"/>
    <n v="0"/>
    <n v="0"/>
    <x v="0"/>
    <n v="0"/>
    <s v="NULL"/>
    <s v="NULL"/>
    <s v="NULL"/>
    <s v="NULL"/>
    <s v="NULL"/>
    <n v="1"/>
    <n v="1"/>
    <s v="NULL"/>
    <s v="NULL"/>
    <s v="NULL"/>
  </r>
  <r>
    <x v="402"/>
    <x v="8"/>
    <n v="20491401771"/>
    <s v="M W COURIER"/>
    <s v="."/>
    <n v="10257846"/>
    <s v="Impulso Mixto"/>
    <s v="B45371"/>
    <n v="46572.765625"/>
    <d v="2024-07-24T00:00:00"/>
    <n v="15.5"/>
    <s v="TLV"/>
    <s v="TLV"/>
    <s v="Impulso MyPeru Comercial"/>
    <n v="202407"/>
    <n v="60003"/>
    <s v="B45371"/>
    <x v="15"/>
    <s v="B45384"/>
    <x v="6"/>
    <x v="4"/>
    <x v="2"/>
    <s v="P1"/>
    <s v="NULL"/>
    <n v="1"/>
    <x v="0"/>
    <n v="0"/>
    <n v="1"/>
    <n v="1"/>
    <x v="0"/>
    <n v="0"/>
    <s v="NULL"/>
    <s v="NULL"/>
    <s v="NULL"/>
    <s v="NULL"/>
    <s v="NULL"/>
    <n v="60000"/>
    <n v="0.27"/>
    <n v="0.25"/>
    <s v="NULL"/>
    <s v="NULL"/>
  </r>
  <r>
    <x v="403"/>
    <x v="2"/>
    <n v="10481089943"/>
    <s v="ESCOBAR HINOSTROZA FRANKLIN IVAN"/>
    <n v="48108994"/>
    <n v="10258092"/>
    <s v="Impulso Mixto"/>
    <s v="B45375"/>
    <n v="66228.0859375"/>
    <d v="2024-07-25T00:00:00"/>
    <n v="14.5"/>
    <s v="TLV"/>
    <s v="TLV"/>
    <s v="Impulso MyPeru Comercial"/>
    <n v="202407"/>
    <n v="90004.5"/>
    <s v="B45375"/>
    <x v="65"/>
    <s v="B45384"/>
    <x v="6"/>
    <x v="4"/>
    <x v="2"/>
    <s v="P2"/>
    <s v="NULL"/>
    <n v="1"/>
    <x v="1"/>
    <n v="0"/>
    <n v="0"/>
    <n v="0"/>
    <x v="0"/>
    <n v="0"/>
    <s v="NULL"/>
    <s v="NULL"/>
    <s v="NULL"/>
    <s v="NULL"/>
    <s v="NULL"/>
    <n v="200000"/>
    <n v="0.24"/>
    <n v="0.21629999999999999"/>
    <s v="NULL"/>
    <s v="NULL"/>
  </r>
  <r>
    <x v="404"/>
    <x v="0"/>
    <n v="20606753820"/>
    <s v="INCUBADORA SANTA SOFIA SOCIEDAD ANONIMA"/>
    <s v="."/>
    <n v="10267966"/>
    <s v="Nuevo Aprobado"/>
    <s v="B45079"/>
    <n v="65204.1640625"/>
    <d v="2025-05-20T00:00:00"/>
    <n v="17"/>
    <s v="TLV"/>
    <s v="TLV"/>
    <s v="Nuevo Aprobado EN"/>
    <n v="202505"/>
    <n v="102005.1"/>
    <s v="B45079"/>
    <x v="17"/>
    <s v="B45083"/>
    <x v="7"/>
    <x v="4"/>
    <x v="2"/>
    <s v="P1"/>
    <s v="C1_2"/>
    <n v="1"/>
    <x v="0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405"/>
    <x v="1"/>
    <n v="20612069019"/>
    <s v="THE BLESSED SUIT S.A.C."/>
    <s v="."/>
    <n v="10265788"/>
    <s v="Nuevo Aprobado"/>
    <s v="BPECND"/>
    <n v="28874.630859375"/>
    <d v="2025-02-27T00:00:00"/>
    <n v="20"/>
    <s v="TLV"/>
    <s v="TLV"/>
    <s v="Nuevo Aprobado EN"/>
    <n v="202502"/>
    <n v="60003"/>
    <s v="B45373"/>
    <x v="13"/>
    <s v="B45384"/>
    <x v="6"/>
    <x v="4"/>
    <x v="2"/>
    <s v="P5"/>
    <s v="C2"/>
    <n v="1"/>
    <x v="0"/>
    <n v="0"/>
    <n v="1"/>
    <n v="1"/>
    <x v="2"/>
    <n v="0"/>
    <s v="NULL"/>
    <s v="NULL"/>
    <s v="NULL"/>
    <s v="NULL"/>
    <s v="NULL"/>
    <n v="60000"/>
    <n v="0.22270000000000001"/>
    <n v="0.20269999999999999"/>
    <s v="NULL"/>
    <s v="NULL"/>
  </r>
  <r>
    <x v="406"/>
    <x v="9"/>
    <n v="10481019872"/>
    <s v="SHUAN ESPINOZA ALICIA MARIA"/>
    <n v="48101987"/>
    <n v="10265481"/>
    <s v="CDD APROBADO"/>
    <s v="B33958"/>
    <n v="122400.703125"/>
    <d v="2025-02-20T00:00:00"/>
    <n v="14"/>
    <s v="TLV"/>
    <s v="TLV"/>
    <s v="Nuevo Aprobado Agil CD"/>
    <n v="202502"/>
    <n v="144457.2000000000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07"/>
    <x v="9"/>
    <n v="10419517807"/>
    <s v="GARAY BALVIN SAUL MILTON"/>
    <n v="41951780"/>
    <n v="10170103"/>
    <s v="GIRO DE LINEA"/>
    <s v="B27274"/>
    <n v="111203.1796875"/>
    <d v="2025-11-10T00:00:00"/>
    <n v="19"/>
    <s v="TIENDAS"/>
    <s v="TIENDAS"/>
    <s v="Giro de Línea"/>
    <n v="202511"/>
    <n v="18000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08"/>
    <x v="7"/>
    <n v="20606717742"/>
    <s v="INVERPETS"/>
    <s v="."/>
    <n v="10264912"/>
    <s v="Nuevo pre Aprobado"/>
    <s v="B30114"/>
    <n v="53444.83984375"/>
    <d v="2025-01-29T00:00:00"/>
    <n v="19.200001"/>
    <s v="TIENDAS"/>
    <s v="TIENDAS"/>
    <s v="Nuevo Pre-aprobado"/>
    <n v="202501"/>
    <n v="100005"/>
    <s v="B30114"/>
    <x v="8"/>
    <s v="B34489"/>
    <x v="4"/>
    <x v="4"/>
    <x v="0"/>
    <s v="P1"/>
    <s v="C2"/>
    <n v="1"/>
    <x v="0"/>
    <n v="0"/>
    <n v="0"/>
    <n v="1"/>
    <x v="0"/>
    <n v="0"/>
    <s v="NULL"/>
    <s v="NULL"/>
    <s v="NULL"/>
    <s v="NULL"/>
    <s v="NULL"/>
    <n v="250000"/>
    <n v="0.21199999999999999"/>
    <n v="0.192"/>
    <s v="NULL"/>
    <s v="NULL"/>
  </r>
  <r>
    <x v="409"/>
    <x v="12"/>
    <n v="20511608865"/>
    <s v="SAMMYTEC"/>
    <s v="."/>
    <n v="10265504"/>
    <s v="Ágil Recurrente CEM"/>
    <s v="B27274"/>
    <n v="49652.0390625"/>
    <d v="2025-02-20T00:00:00"/>
    <n v="22.98"/>
    <s v="TIENDAS"/>
    <s v="TIENDAS"/>
    <s v="Recurrente Ágil CEM"/>
    <n v="202502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10"/>
    <x v="5"/>
    <n v="20609551250"/>
    <s v="CORPORACION EL GUAPO EMPRESA INDIVIDUAL"/>
    <s v="."/>
    <n v="10270788"/>
    <s v="Nuevo pre Aprobado"/>
    <s v="B35209"/>
    <n v="180008.984375"/>
    <d v="2025-08-27T00:00:00"/>
    <n v="18"/>
    <s v="TIENDAS"/>
    <s v="TIENDAS"/>
    <s v="Nuevo Pre-aprobado"/>
    <n v="202508"/>
    <n v="180009"/>
    <s v="B35209"/>
    <x v="26"/>
    <s v="B27274"/>
    <x v="0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11"/>
    <x v="1"/>
    <n v="20600794028"/>
    <s v="NEGOCIACIONES COMERCIALES SAN FRANCISCO"/>
    <s v="."/>
    <n v="10260842"/>
    <s v="Impulso Mixto"/>
    <s v="B33503"/>
    <n v="43252.59765625"/>
    <d v="2024-09-25T00:00:00"/>
    <n v="15.5"/>
    <s v="TLV"/>
    <s v="TLV"/>
    <s v="Impulso MyPeru Comercial"/>
    <n v="202409"/>
    <n v="65603.25"/>
    <s v="B33503"/>
    <x v="10"/>
    <s v="B14821"/>
    <x v="3"/>
    <x v="11"/>
    <x v="0"/>
    <s v="P1"/>
    <s v="C1_1"/>
    <n v="1"/>
    <x v="0"/>
    <n v="0"/>
    <n v="1"/>
    <n v="1"/>
    <x v="0"/>
    <n v="0"/>
    <s v="NULL"/>
    <s v="NULL"/>
    <s v="NULL"/>
    <s v="NULL"/>
    <s v="NULL"/>
    <n v="500000"/>
    <n v="0.22"/>
    <n v="0.2"/>
    <s v="NULL"/>
    <s v="NULL"/>
  </r>
  <r>
    <x v="412"/>
    <x v="1"/>
    <n v="20513057106"/>
    <s v="CHR INTERNATIONAL LOGISTIC SERVICE EIRL"/>
    <s v="."/>
    <n v="10273113"/>
    <s v="Nuevo Aprobado Ágil"/>
    <s v="B13161"/>
    <n v="157620.5"/>
    <d v="2025-11-14T00:00:00"/>
    <n v="15"/>
    <s v="TLV"/>
    <s v="TLV"/>
    <s v="Nuevo Aprobado Agil"/>
    <n v="202511"/>
    <n v="170008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13"/>
    <x v="12"/>
    <n v="20603598254"/>
    <s v="PSV CONSULTORES"/>
    <s v="."/>
    <n v="10259592"/>
    <s v="Impulso Solo"/>
    <s v="B30745"/>
    <n v="80142.7421875"/>
    <d v="2024-08-27T00:00:00"/>
    <n v="15.7"/>
    <s v="TIENDAS"/>
    <s v="TIENDAS"/>
    <s v="Impulso MyPeru Comercial"/>
    <n v="202408"/>
    <n v="90004.5"/>
    <s v="B30745"/>
    <x v="14"/>
    <s v="B27274"/>
    <x v="0"/>
    <x v="4"/>
    <x v="0"/>
    <s v="P1"/>
    <s v="NULL"/>
    <n v="1"/>
    <x v="0"/>
    <n v="0"/>
    <n v="0"/>
    <n v="1"/>
    <x v="0"/>
    <n v="0"/>
    <s v="NULL"/>
    <s v="NULL"/>
    <s v="NULL"/>
    <s v="NULL"/>
    <s v="NULL"/>
    <n v="150000"/>
    <n v="0.24"/>
    <n v="0.2233"/>
    <s v="NULL"/>
    <s v="NULL"/>
  </r>
  <r>
    <x v="414"/>
    <x v="4"/>
    <n v="10400926684"/>
    <s v="ROMERO RODRIGUEZ OLIVIA ADINSONS"/>
    <n v="40092668"/>
    <n v="10257303"/>
    <s v="Impulso CDI Cobertura"/>
    <s v="B8606"/>
    <n v="86763.1875"/>
    <d v="2024-07-16T00:00:00"/>
    <n v="15"/>
    <s v="TIENDAS"/>
    <s v="TIENDAS"/>
    <s v="Impulso MyPeru Comercial"/>
    <n v="202407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15"/>
    <x v="6"/>
    <n v="20512574999"/>
    <s v="G &amp; P SOLUTION GENERALES"/>
    <s v="."/>
    <n v="10265995"/>
    <s v="GIRO DE LINEA"/>
    <s v="B45869"/>
    <n v="76555.4609375"/>
    <d v="2025-03-06T00:00:00"/>
    <n v="16"/>
    <s v="TIENDAS"/>
    <s v="TIENDAS"/>
    <s v="Recurrente Ágil CEM"/>
    <n v="202503"/>
    <n v="120006"/>
    <s v="B45869"/>
    <x v="50"/>
    <s v="B14821"/>
    <x v="3"/>
    <x v="4"/>
    <x v="0"/>
    <s v="P1"/>
    <s v="NULL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416"/>
    <x v="3"/>
    <n v="20565704622"/>
    <s v="GRUPO TESEN"/>
    <s v="."/>
    <n v="10210735"/>
    <s v="Reactiva"/>
    <s v="BPECND"/>
    <n v="25752.1835937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50"/>
    <x v="5"/>
    <n v="20520929909"/>
    <s v="NADIA"/>
    <s v="."/>
    <n v="10188619"/>
    <s v="Reactiva"/>
    <s v="B45366"/>
    <n v="8892.95117187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17"/>
    <x v="12"/>
    <n v="10178024693"/>
    <s v="VASQUEZ TORRES FERNANDO"/>
    <n v="17802469"/>
    <n v="10210882"/>
    <s v="CRECER COFIDE"/>
    <s v="B19952"/>
    <n v="14857.8046875"/>
    <s v="NULL"/>
    <s v="NULL"/>
    <s v="NULL"/>
    <s v="NULL"/>
    <s v="NULL"/>
    <s v="NULL"/>
    <s v="NULL"/>
    <s v="B24783"/>
    <x v="24"/>
    <s v="B45083"/>
    <x v="7"/>
    <x v="4"/>
    <x v="2"/>
    <s v="P2"/>
    <s v="NULL"/>
    <n v="1"/>
    <x v="1"/>
    <n v="0"/>
    <n v="0"/>
    <n v="0"/>
    <x v="2"/>
    <n v="0"/>
    <s v="NULL"/>
    <s v="NULL"/>
    <s v="NULL"/>
    <s v="NULL"/>
    <s v="NULL"/>
    <n v="200000"/>
    <n v="0.23"/>
    <n v="0.20730000000000001"/>
    <s v="NULL"/>
    <s v="NULL"/>
  </r>
  <r>
    <x v="418"/>
    <x v="10"/>
    <n v="20562791991"/>
    <s v="G MOTOR S"/>
    <s v="."/>
    <n v="10177127"/>
    <s v="GIRO DE LINEA"/>
    <s v="B27880"/>
    <n v="143768.765625"/>
    <d v="2025-10-23T00:00:00"/>
    <n v="16"/>
    <s v="TIENDAS"/>
    <s v="TIENDAS"/>
    <s v="Giro de Línea"/>
    <n v="202510"/>
    <n v="180009"/>
    <s v="B27880"/>
    <x v="6"/>
    <s v="B14821"/>
    <x v="3"/>
    <x v="8"/>
    <x v="0"/>
    <s v="P1"/>
    <s v="C1_1"/>
    <n v="1"/>
    <x v="1"/>
    <n v="0"/>
    <n v="0"/>
    <n v="0"/>
    <x v="0"/>
    <n v="0"/>
    <s v="NULL"/>
    <s v="NULL"/>
    <s v="NULL"/>
    <s v="NULL"/>
    <s v="NULL"/>
    <n v="500000"/>
    <n v="0.21"/>
    <n v="0.19"/>
    <s v="NULL"/>
    <s v="NULL"/>
  </r>
  <r>
    <x v="419"/>
    <x v="10"/>
    <n v="20602657800"/>
    <s v="JKD &amp; M TRANSPORTE Y CONSTRUCCION"/>
    <s v="."/>
    <n v="10274586"/>
    <s v="Nuevo Aprobado"/>
    <s v="B24783"/>
    <n v="183212.828125"/>
    <d v="2026-01-15T00:00:00"/>
    <n v="17"/>
    <s v="TLV"/>
    <s v="VENDORS"/>
    <s v="Nuevo Aprobado EN"/>
    <n v="202601"/>
    <n v="190009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20"/>
    <x v="10"/>
    <n v="20514129828"/>
    <s v="FULL SERVICIOS SULLCAPUMA S.A.C."/>
    <s v="."/>
    <n v="10273463"/>
    <s v="Recurrente Aprobado Agil"/>
    <s v="BPECND"/>
    <n v="122501.984375"/>
    <d v="2025-11-26T00:00:00"/>
    <n v="19"/>
    <s v="TIENDAS"/>
    <s v="TIENDAS"/>
    <s v="Recurrente Ágil CEM"/>
    <n v="202511"/>
    <n v="130006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21"/>
    <x v="2"/>
    <n v="10401500737"/>
    <s v="CORDOVA MUÑOZ RAMIRO"/>
    <n v="40150073"/>
    <n v="10268717"/>
    <s v="CDD APROBADO"/>
    <s v="B45076"/>
    <n v="73864.5"/>
    <d v="2025-06-16T00:00:00"/>
    <n v="16.97"/>
    <s v="TLV"/>
    <s v="TLV"/>
    <s v="Nuevo Aprobado Agil CD"/>
    <n v="202506"/>
    <n v="82004.100000000006"/>
    <s v="B45076"/>
    <x v="18"/>
    <s v="B45083"/>
    <x v="7"/>
    <x v="1"/>
    <x v="2"/>
    <s v="P2"/>
    <s v="NULL"/>
    <n v="1"/>
    <x v="1"/>
    <n v="0"/>
    <n v="0"/>
    <n v="0"/>
    <x v="0"/>
    <n v="0"/>
    <s v="NULL"/>
    <s v="NULL"/>
    <s v="NULL"/>
    <s v="NULL"/>
    <s v="NULL"/>
    <n v="1"/>
    <n v="0.20830000000000001"/>
    <s v="NULL"/>
    <s v="NULL"/>
    <s v="NULL"/>
  </r>
  <r>
    <x v="422"/>
    <x v="0"/>
    <n v="20534733420"/>
    <s v="JOSUF TRADING"/>
    <s v="."/>
    <n v="10267369"/>
    <s v="Regular Sin Campaña"/>
    <s v="B27596"/>
    <n v="108838.3515625"/>
    <d v="2025-04-25T00:00:00"/>
    <n v="15"/>
    <s v="TIENDAS"/>
    <s v="TIENDAS"/>
    <s v="Gestion Cartera"/>
    <n v="202504"/>
    <n v="250012.5"/>
    <s v="B27596"/>
    <x v="38"/>
    <s v="B46727"/>
    <x v="10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23"/>
    <x v="10"/>
    <n v="20455487677"/>
    <s v="SERVIPRODUT AVP"/>
    <s v="."/>
    <n v="10157825"/>
    <s v="GIRO DE LINEA"/>
    <s v="B37955"/>
    <n v="89714.578125"/>
    <d v="2025-02-20T00:00:00"/>
    <n v="14"/>
    <s v="TIENDAS"/>
    <s v="TIENDAS"/>
    <s v="Giro de Línea"/>
    <n v="202502"/>
    <n v="155007.75"/>
    <s v="B37955"/>
    <x v="53"/>
    <s v="B27274"/>
    <x v="0"/>
    <x v="5"/>
    <x v="0"/>
    <s v="P1"/>
    <s v="C2"/>
    <n v="1"/>
    <x v="0"/>
    <n v="0"/>
    <n v="0"/>
    <n v="1"/>
    <x v="0"/>
    <n v="0"/>
    <s v="NULL"/>
    <s v="NULL"/>
    <s v="NULL"/>
    <s v="NULL"/>
    <s v="NULL"/>
    <n v="130000"/>
    <n v="0.26090000000000002"/>
    <n v="0.2409"/>
    <s v="NULL"/>
    <s v="NULL"/>
  </r>
  <r>
    <x v="424"/>
    <x v="11"/>
    <n v="20600071531"/>
    <s v="INVERSIONES ALMARO"/>
    <s v="."/>
    <n v="10249567"/>
    <s v="Impulso Sin Campaña"/>
    <s v="B19044"/>
    <n v="54187.3984375"/>
    <d v="2024-03-19T00:00:00"/>
    <n v="15"/>
    <s v="TIENDAS"/>
    <s v="TIENDAS"/>
    <s v="Impulso MyPeru Comercial"/>
    <n v="202403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25"/>
    <x v="1"/>
    <n v="10229854416"/>
    <s v="PONCE CONDEZO MARISOL"/>
    <n v="22985441"/>
    <n v="10160266"/>
    <s v="GIRO DE LINEA"/>
    <s v="B30973"/>
    <n v="26884.681640625"/>
    <d v="2025-02-12T00:00:00"/>
    <n v="16"/>
    <s v="TIENDAS"/>
    <s v="TIENDAS"/>
    <s v="Giro de Línea"/>
    <n v="202502"/>
    <n v="150007.5"/>
    <s v="B30973"/>
    <x v="11"/>
    <s v="B14821"/>
    <x v="3"/>
    <x v="1"/>
    <x v="0"/>
    <s v="P5"/>
    <s v="C3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426"/>
    <x v="4"/>
    <n v="20519495954"/>
    <s v="HUAQUIPACO CONSULTORES &amp; EJECUTORES SOCI"/>
    <s v="."/>
    <n v="10263650"/>
    <s v="Impulso Mixto"/>
    <s v="BPECND"/>
    <n v="40002.0078125"/>
    <d v="2024-12-11T00:00:00"/>
    <n v="14.5"/>
    <s v="TLV"/>
    <s v="TLV"/>
    <s v="Impulso MyPeru Comercial"/>
    <n v="202412"/>
    <n v="40002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27"/>
    <x v="8"/>
    <n v="20563333554"/>
    <s v="ACUMULADORES PERUANOS CCD"/>
    <s v="."/>
    <n v="10249581"/>
    <s v="Impulso Solo"/>
    <s v="B36289"/>
    <n v="256344.703125"/>
    <d v="2024-03-19T00:00:00"/>
    <n v="13.2"/>
    <s v="TIENDAS"/>
    <s v="TIENDAS"/>
    <s v="Impulso MyPeru Comercial"/>
    <n v="202403"/>
    <n v="300015"/>
    <s v="B36289"/>
    <x v="81"/>
    <s v="B13988"/>
    <x v="8"/>
    <x v="7"/>
    <x v="0"/>
    <s v="P1"/>
    <s v="NULL"/>
    <n v="1"/>
    <x v="0"/>
    <n v="0"/>
    <n v="0"/>
    <n v="1"/>
    <x v="0"/>
    <n v="0"/>
    <s v="NULL"/>
    <s v="NULL"/>
    <s v="NULL"/>
    <s v="NULL"/>
    <s v="NULL"/>
    <n v="82000"/>
    <n v="0.19"/>
    <n v="0.17"/>
    <s v="NULL"/>
    <s v="NULL"/>
  </r>
  <r>
    <x v="428"/>
    <x v="9"/>
    <n v="20538266109"/>
    <s v="GRUPO FIX SOLUCIONES"/>
    <s v="."/>
    <n v="10246003"/>
    <s v="Ágil Recurrente CEM"/>
    <s v="B37395"/>
    <n v="53224.9609375"/>
    <d v="2023-11-24T00:00:00"/>
    <n v="19.2"/>
    <s v="TIENDAS"/>
    <s v="TIENDAS"/>
    <s v="Recurrente Ágil CEM"/>
    <n v="202311"/>
    <n v="168008.4"/>
    <s v="B37395"/>
    <x v="66"/>
    <s v="B14821"/>
    <x v="3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.27079999999999999"/>
    <s v="NULL"/>
    <s v="NULL"/>
  </r>
  <r>
    <x v="429"/>
    <x v="2"/>
    <n v="20478065699"/>
    <s v="SERVICIOS YACILA"/>
    <s v="."/>
    <n v="10259113"/>
    <s v="Impulso Mixto"/>
    <s v="B30425"/>
    <n v="16726.41796875"/>
    <d v="2024-08-19T00:00:00"/>
    <n v="14.5"/>
    <s v="TLV"/>
    <s v="TLV"/>
    <s v="Impulso MyPeru Comercial"/>
    <n v="202408"/>
    <n v="90004.5"/>
    <s v="B45870"/>
    <x v="78"/>
    <s v="B13161"/>
    <x v="9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613"/>
    <n v="0"/>
    <s v="NULL"/>
    <s v="NULL"/>
  </r>
  <r>
    <x v="430"/>
    <x v="6"/>
    <n v="20552886314"/>
    <s v="JOB M &amp; M"/>
    <s v="."/>
    <n v="10255720"/>
    <s v="Impulso CDI Cobertura"/>
    <s v="B45371"/>
    <n v="42220.57421875"/>
    <d v="2024-06-21T00:00:00"/>
    <n v="15.4"/>
    <s v="TLV"/>
    <s v="TLV"/>
    <s v="Impulso MyPeru Comercial"/>
    <n v="202406"/>
    <n v="68293.399999999994"/>
    <s v="B45371"/>
    <x v="15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31"/>
    <x v="0"/>
    <n v="20606258403"/>
    <s v="MOUS IMPORT"/>
    <s v="."/>
    <n v="10273431"/>
    <s v="Nuevo pre Aprobado"/>
    <s v="B33894"/>
    <n v="174250.515625"/>
    <d v="2025-11-25T00:00:00"/>
    <n v="17"/>
    <s v="TIENDAS"/>
    <s v="TIENDAS"/>
    <s v="Nuevo Pre-aprobado"/>
    <n v="202511"/>
    <n v="180009"/>
    <s v="B33894"/>
    <x v="36"/>
    <s v="B34489"/>
    <x v="4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32"/>
    <x v="6"/>
    <n v="10468881808"/>
    <s v="CORCINO TORRES HEVERO ERNESTO"/>
    <n v="46888180"/>
    <n v="10271530"/>
    <s v="CDD PRE APROBADO"/>
    <s v="B36574"/>
    <n v="144622.9375"/>
    <d v="2025-09-19T00:00:00"/>
    <n v="16"/>
    <s v="TIENDAS"/>
    <s v="TIENDAS"/>
    <s v="Gestion Cartera"/>
    <n v="202509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33"/>
    <x v="6"/>
    <n v="10180722021"/>
    <s v="PINO BLANCO LADISLAO"/>
    <n v="18072202"/>
    <n v="10270299"/>
    <s v="CDD APROBADO"/>
    <s v="B45374"/>
    <n v="174436.84375"/>
    <d v="2025-08-12T00:00:00"/>
    <n v="15"/>
    <s v="TLV"/>
    <s v="TLV"/>
    <s v="Nuevo Aprobado Agil CD"/>
    <n v="202508"/>
    <n v="300015"/>
    <s v="B45374"/>
    <x v="21"/>
    <s v="B45384"/>
    <x v="6"/>
    <x v="1"/>
    <x v="2"/>
    <s v="P2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33"/>
    <x v="0"/>
    <n v="10180722021"/>
    <s v="PINO BLANCO LADISLAO"/>
    <n v="18072202"/>
    <n v="10270299"/>
    <s v="CDD APROBADO"/>
    <s v="B45374"/>
    <n v="13173.173828125"/>
    <d v="2025-08-12T00:00:00"/>
    <n v="15"/>
    <s v="TLV"/>
    <s v="TLV"/>
    <s v="Nuevo Aprobado Agil CD"/>
    <n v="202508"/>
    <n v="300015"/>
    <s v="B45374"/>
    <x v="21"/>
    <s v="B45384"/>
    <x v="6"/>
    <x v="1"/>
    <x v="2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34"/>
    <x v="7"/>
    <n v="20555077085"/>
    <s v="TENTACIONES AL PASO"/>
    <s v="."/>
    <n v="10266736"/>
    <s v="Ágil Recurrente CEM"/>
    <s v="B45870"/>
    <n v="185318.1875"/>
    <d v="2025-03-31T00:00:00"/>
    <n v="14.16"/>
    <s v="TIENDAS"/>
    <s v="TIENDAS"/>
    <s v="Recurrente Ágil CEM"/>
    <n v="202503"/>
    <n v="250012.5"/>
    <s v="B45870"/>
    <x v="78"/>
    <s v="B13161"/>
    <x v="9"/>
    <x v="4"/>
    <x v="0"/>
    <s v="P1"/>
    <s v="C1_1"/>
    <n v="1"/>
    <x v="0"/>
    <n v="0"/>
    <n v="0"/>
    <n v="1"/>
    <x v="0"/>
    <n v="0"/>
    <s v="NULL"/>
    <s v="NULL"/>
    <s v="NULL"/>
    <s v="NULL"/>
    <s v="NULL"/>
    <n v="400000"/>
    <n v="0.21"/>
    <n v="0.19"/>
    <s v="NULL"/>
    <s v="NULL"/>
  </r>
  <r>
    <x v="435"/>
    <x v="10"/>
    <n v="20603102372"/>
    <s v="M&amp;C COMPANY"/>
    <s v="."/>
    <n v="10273020"/>
    <s v="Nuevo Aprobado Ágil"/>
    <s v="B46884"/>
    <n v="66238.0703125"/>
    <d v="2025-11-11T00:00:00"/>
    <n v="15"/>
    <s v="TLV"/>
    <s v="TLV"/>
    <s v="Nuevo Aprobado Agil"/>
    <n v="202511"/>
    <n v="74403.7"/>
    <s v="B46884"/>
    <x v="59"/>
    <s v="B14530"/>
    <x v="5"/>
    <x v="9"/>
    <x v="0"/>
    <s v="P1"/>
    <s v="C1_1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436"/>
    <x v="10"/>
    <n v="20543082300"/>
    <s v="MS SANTOS"/>
    <s v="."/>
    <n v="10269396"/>
    <s v="Nuevo Aprobado Ágil"/>
    <s v="B14821"/>
    <n v="125954.3515625"/>
    <d v="2025-07-08T00:00:00"/>
    <n v="17"/>
    <s v="TLV"/>
    <s v="TLV"/>
    <s v="Nuevo Aprobado Agil"/>
    <n v="202507"/>
    <n v="170008.5"/>
    <s v="B45869"/>
    <x v="50"/>
    <s v="B14821"/>
    <x v="3"/>
    <x v="5"/>
    <x v="0"/>
    <s v="P1"/>
    <s v="C2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437"/>
    <x v="9"/>
    <n v="20605668853"/>
    <s v="TRANSPORTES BRYMA"/>
    <s v="."/>
    <n v="10266884"/>
    <s v="CDD APROBADO"/>
    <s v="BPECND"/>
    <n v="175108.75"/>
    <d v="2025-04-07T00:00:00"/>
    <n v="18"/>
    <s v="TLV"/>
    <s v="TLV"/>
    <s v="Nuevo Aprobado Agil CD"/>
    <n v="202504"/>
    <n v="18000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38"/>
    <x v="5"/>
    <n v="20601011809"/>
    <s v="ISAM CONSULTING"/>
    <s v="."/>
    <n v="10265093"/>
    <s v="CT PERIODO DE GRACIA PARCIAL"/>
    <s v="B45373"/>
    <n v="65421.08984375"/>
    <d v="2025-01-31T00:00:00"/>
    <n v="17"/>
    <s v="TLV"/>
    <s v="TLV"/>
    <s v="Impulso MyPeru Comercial"/>
    <n v="202501"/>
    <n v="80004"/>
    <s v="B45373"/>
    <x v="13"/>
    <s v="B45384"/>
    <x v="6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39"/>
    <x v="9"/>
    <n v="20547233931"/>
    <s v="VOLTRAILER"/>
    <s v="."/>
    <n v="10228871"/>
    <s v="Nuevo Aprobado"/>
    <s v="B45372"/>
    <n v="13355.935546875"/>
    <d v="2022-09-06T00:00:00"/>
    <n v="21.9"/>
    <s v="TIENDAS"/>
    <s v="TIENDAS"/>
    <s v="NULL"/>
    <n v="202209"/>
    <n v="179509.95"/>
    <s v="B45372"/>
    <x v="84"/>
    <s v="B45384"/>
    <x v="6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440"/>
    <x v="6"/>
    <n v="20603082223"/>
    <s v="INVERSIONES FRAGANZE DI PAOLA SOCIEDAD A"/>
    <s v="."/>
    <n v="10268845"/>
    <s v="Nuevo Aprobado"/>
    <s v="B45389"/>
    <n v="80325.375"/>
    <d v="2025-06-19T00:00:00"/>
    <n v="21.5"/>
    <s v="TLV"/>
    <s v="TLV"/>
    <s v="Nuevo Aprobado EN"/>
    <n v="202506"/>
    <n v="100005"/>
    <s v="B45389"/>
    <x v="16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41"/>
    <x v="7"/>
    <n v="10400930851"/>
    <s v="CONDORI CHAMBI LEONOR"/>
    <n v="40093085"/>
    <n v="10267649"/>
    <s v="Nuevo Aprobado"/>
    <s v="B45440"/>
    <n v="42840.51953125"/>
    <d v="2025-05-08T00:00:00"/>
    <n v="23.1"/>
    <s v="TLV"/>
    <s v="TLV"/>
    <s v="Nuevo Aprobado EN"/>
    <n v="202505"/>
    <n v="61003.05"/>
    <s v="B45440"/>
    <x v="73"/>
    <s v="B45083"/>
    <x v="7"/>
    <x v="4"/>
    <x v="2"/>
    <s v="P2"/>
    <s v="C3"/>
    <n v="1"/>
    <x v="1"/>
    <n v="0"/>
    <n v="0"/>
    <n v="0"/>
    <x v="0"/>
    <n v="0"/>
    <s v="NULL"/>
    <s v="NULL"/>
    <s v="NULL"/>
    <s v="NULL"/>
    <s v="NULL"/>
    <n v="200000"/>
    <n v="0.251"/>
    <n v="0.23100000000000001"/>
    <s v="NULL"/>
    <s v="NULL"/>
  </r>
  <r>
    <x v="442"/>
    <x v="11"/>
    <n v="10423912311"/>
    <s v="ESPINOZA MENEZ EDWIN MARTIN"/>
    <n v="42391231"/>
    <n v="10267036"/>
    <s v="CDD APROBADO"/>
    <s v="B13364"/>
    <n v="106005.3046875"/>
    <d v="2025-04-14T00:00:00"/>
    <n v="15"/>
    <s v="TLV"/>
    <s v="TLV"/>
    <s v="Nuevo Aprobado Agil CD"/>
    <n v="202504"/>
    <n v="106005.3"/>
    <s v="B17364"/>
    <x v="85"/>
    <s v="B14058"/>
    <x v="11"/>
    <x v="15"/>
    <x v="3"/>
    <s v="P2"/>
    <s v="NULL"/>
    <n v="1"/>
    <x v="0"/>
    <n v="1"/>
    <n v="1"/>
    <n v="1"/>
    <x v="1"/>
    <n v="106005.3"/>
    <n v="15"/>
    <d v="2025-04-14T00:00:00"/>
    <s v="Nuevo Aprobado Agil CD"/>
    <s v="TLV"/>
    <s v="COMPRA DE DEUDA"/>
    <n v="106000"/>
    <n v="0.24"/>
    <n v="0.23499999999999999"/>
    <s v="TLV B"/>
    <s v="COMPRA DEUDA"/>
  </r>
  <r>
    <x v="443"/>
    <x v="9"/>
    <n v="20452552800"/>
    <s v="EMPRESA DE TRANSPORTES PACHURRO"/>
    <s v="."/>
    <n v="10264357"/>
    <s v="Impulso Solo"/>
    <s v="B29500"/>
    <n v="90004.5"/>
    <d v="2024-12-30T00:00:00"/>
    <n v="15.7"/>
    <s v="TLV"/>
    <s v="TLV"/>
    <s v="Impulso MyPeru Comercial"/>
    <n v="202412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44"/>
    <x v="2"/>
    <n v="20607959111"/>
    <s v="JJ &amp; NINA'S INVERSIONES E.I.R.L."/>
    <s v="."/>
    <n v="10251561"/>
    <s v="Impulso CDI Cobertura"/>
    <s v="B44120"/>
    <n v="89601.5"/>
    <d v="2024-04-24T00:00:00"/>
    <n v="14.9"/>
    <s v="TIENDAS"/>
    <s v="TIENDAS"/>
    <s v="Impulso MyPeru Comercial"/>
    <n v="202404"/>
    <n v="145117.25"/>
    <s v="B44120"/>
    <x v="45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573"/>
    <s v="NULL"/>
    <s v="NULL"/>
    <s v="NULL"/>
  </r>
  <r>
    <x v="445"/>
    <x v="0"/>
    <n v="20604567581"/>
    <s v="VIZGAL INGENIEROS S.A.C."/>
    <s v="."/>
    <n v="10272422"/>
    <s v="Recurrente Aprobado Agil"/>
    <s v="B39478"/>
    <n v="193745.921875"/>
    <d v="2025-10-22T00:00:00"/>
    <n v="16"/>
    <s v="TIENDAS"/>
    <s v="TIENDAS"/>
    <s v="Recurrente Ágil CEM"/>
    <n v="202510"/>
    <n v="200010"/>
    <s v="B33894"/>
    <x v="36"/>
    <s v="B34489"/>
    <x v="4"/>
    <x v="0"/>
    <x v="0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446"/>
    <x v="7"/>
    <n v="20515236521"/>
    <s v="DOLY FASHION"/>
    <s v="."/>
    <n v="10270838"/>
    <s v="Nuevo Aprobado"/>
    <s v="B20210"/>
    <n v="79662.9140625"/>
    <d v="2025-08-28T00:00:00"/>
    <n v="17"/>
    <s v="TIENDAS"/>
    <s v="TIENDAS"/>
    <s v="Nuevo Pre-aprobado"/>
    <n v="202508"/>
    <n v="200010"/>
    <s v="B20210"/>
    <x v="39"/>
    <s v="B13161"/>
    <x v="9"/>
    <x v="4"/>
    <x v="0"/>
    <s v="P1"/>
    <s v="C2"/>
    <n v="1"/>
    <x v="0"/>
    <n v="0"/>
    <n v="0"/>
    <n v="1"/>
    <x v="0"/>
    <n v="0"/>
    <s v="NULL"/>
    <s v="NULL"/>
    <s v="NULL"/>
    <s v="NULL"/>
    <s v="NULL"/>
    <n v="400000"/>
    <n v="0.21"/>
    <n v="0.19"/>
    <s v="NULL"/>
    <s v="NULL"/>
  </r>
  <r>
    <x v="447"/>
    <x v="5"/>
    <n v="20535614891"/>
    <s v="ERGOSISTEM"/>
    <s v="."/>
    <n v="10267123"/>
    <s v="Ágil Recurrente CEM"/>
    <s v="B43903"/>
    <n v="169047.328125"/>
    <d v="2025-04-16T00:00:00"/>
    <n v="16.28"/>
    <s v="TIENDAS"/>
    <s v="TIENDAS"/>
    <s v="Recurrente Ágil CEM"/>
    <n v="202504"/>
    <n v="200010"/>
    <s v="B43903"/>
    <x v="67"/>
    <s v="B14821"/>
    <x v="3"/>
    <x v="4"/>
    <x v="0"/>
    <s v="P1"/>
    <s v="C1_1"/>
    <n v="1"/>
    <x v="0"/>
    <n v="0"/>
    <n v="0"/>
    <n v="1"/>
    <x v="0"/>
    <n v="0"/>
    <s v="NULL"/>
    <s v="NULL"/>
    <s v="NULL"/>
    <s v="NULL"/>
    <s v="NULL"/>
    <n v="400000"/>
    <n v="0.18"/>
    <n v="0.16"/>
    <s v="NULL"/>
    <s v="NULL"/>
  </r>
  <r>
    <x v="448"/>
    <x v="6"/>
    <n v="20533266259"/>
    <s v="SISTEMA DE RIEGO TECNIFICADO DEL VALLE S"/>
    <s v="."/>
    <n v="10176110"/>
    <s v="GIRO DE LINEA"/>
    <s v="B45389"/>
    <n v="94185.4140625"/>
    <d v="2024-11-12T00:00:00"/>
    <n v="17.5"/>
    <s v="TIENDAS"/>
    <s v="TIENDAS"/>
    <s v="Giro de Línea"/>
    <n v="202411"/>
    <n v="150007.5"/>
    <s v="B45389"/>
    <x v="16"/>
    <s v="B45384"/>
    <x v="6"/>
    <x v="4"/>
    <x v="2"/>
    <s v="P1"/>
    <s v="NULL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449"/>
    <x v="3"/>
    <n v="10293721900"/>
    <s v="CALLATA CASANI MARTHA ELIZABETH"/>
    <n v="29372190"/>
    <n v="10252143"/>
    <s v="Impulso Mixto"/>
    <s v="B12279"/>
    <n v="20997.466796875"/>
    <d v="2024-04-30T00:00:00"/>
    <n v="15.5"/>
    <s v="TLV"/>
    <s v="TLV"/>
    <s v="Impulso MyPeru Comercial"/>
    <n v="202404"/>
    <n v="27039.35"/>
    <s v="B28358"/>
    <x v="33"/>
    <s v="B27274"/>
    <x v="0"/>
    <x v="4"/>
    <x v="0"/>
    <s v="P1"/>
    <s v="NULL"/>
    <n v="1"/>
    <x v="0"/>
    <n v="0"/>
    <n v="0"/>
    <n v="1"/>
    <x v="2"/>
    <n v="0"/>
    <s v="NULL"/>
    <s v="NULL"/>
    <s v="NULL"/>
    <s v="NULL"/>
    <s v="NULL"/>
    <n v="70000"/>
    <n v="0.26"/>
    <n v="0.23699999999999999"/>
    <s v="NULL"/>
    <s v="NULL"/>
  </r>
  <r>
    <x v="450"/>
    <x v="10"/>
    <n v="10433835269"/>
    <s v="DIAZ CASTRO YERSON JAMES"/>
    <n v="43383526"/>
    <n v="10265395"/>
    <s v="CDD APROBADO"/>
    <s v="B13161"/>
    <n v="55902.484375"/>
    <d v="2025-02-17T00:00:00"/>
    <n v="27"/>
    <s v="TLV"/>
    <s v="TLV"/>
    <s v="Nuevo Aprobado Agil CD"/>
    <n v="202502"/>
    <n v="168483.4"/>
    <s v="B46358"/>
    <x v="31"/>
    <s v="B13161"/>
    <x v="9"/>
    <x v="4"/>
    <x v="0"/>
    <s v="P2"/>
    <s v="C3"/>
    <n v="1"/>
    <x v="0"/>
    <n v="0"/>
    <n v="1"/>
    <n v="1"/>
    <x v="2"/>
    <n v="0"/>
    <s v="NULL"/>
    <s v="NULL"/>
    <s v="NULL"/>
    <s v="NULL"/>
    <s v="NULL"/>
    <n v="250000"/>
    <n v="0.21890000000000001"/>
    <n v="0.19889999999999999"/>
    <s v="NULL"/>
    <s v="NULL"/>
  </r>
  <r>
    <x v="451"/>
    <x v="12"/>
    <n v="10470127495"/>
    <s v="VELA HOYOS NIXON JAMER"/>
    <n v="47012749"/>
    <n v="10265843"/>
    <s v="Nuevo Aprobado"/>
    <s v="B9750"/>
    <n v="53725.87109375"/>
    <d v="2025-02-28T00:00:00"/>
    <n v="17"/>
    <s v="TLV"/>
    <s v="TLV"/>
    <s v="Nuevo Aprobado EN"/>
    <n v="202502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52"/>
    <x v="9"/>
    <n v="20605190112"/>
    <s v="DISTRIBUIDOR AR"/>
    <s v="."/>
    <n v="10266223"/>
    <s v="CDD APROBADO"/>
    <s v="BPECND"/>
    <n v="158982"/>
    <d v="2025-03-17T00:00:00"/>
    <n v="13"/>
    <s v="TLV"/>
    <s v="TLV"/>
    <s v="Nuevo Aprobado Agil CD"/>
    <n v="202503"/>
    <n v="166758.2999999999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53"/>
    <x v="0"/>
    <n v="20491817101"/>
    <s v="HORIZONTE CARGO EXPRESS"/>
    <s v="."/>
    <n v="10273014"/>
    <s v="Nuevo Aprobado"/>
    <s v="BPECND"/>
    <n v="161561.484375"/>
    <d v="2025-11-11T00:00:00"/>
    <n v="17"/>
    <s v="TLV"/>
    <s v="TLV"/>
    <s v="Nuevo Aprobado EN"/>
    <n v="202511"/>
    <n v="170008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54"/>
    <x v="5"/>
    <n v="20552835671"/>
    <s v="LOGISTICA DE TRANSPORTE DAMJEL"/>
    <s v="."/>
    <n v="10269552"/>
    <s v="CDD PRE APROBADO"/>
    <s v="B28007"/>
    <n v="222923.453125"/>
    <d v="2025-07-14T00:00:00"/>
    <n v="15"/>
    <s v="TIENDAS"/>
    <s v="VENDORS"/>
    <s v="Recurrente Aprobado CD"/>
    <n v="202507"/>
    <n v="251495.02"/>
    <s v="B28007"/>
    <x v="20"/>
    <s v="B13988"/>
    <x v="8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55"/>
    <x v="0"/>
    <n v="20491386011"/>
    <s v="D TODO FUMIGADORAS"/>
    <s v="."/>
    <n v="10266253"/>
    <s v="Ágil Recurrente CEM"/>
    <s v="B14327"/>
    <n v="165702.140625"/>
    <d v="2025-03-17T00:00:00"/>
    <n v="17.5"/>
    <s v="TIENDAS"/>
    <s v="TIENDAS"/>
    <s v="Recurrente Ágil CEM"/>
    <n v="202503"/>
    <n v="166595.03"/>
    <s v="B14327"/>
    <x v="49"/>
    <s v="B27274"/>
    <x v="0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56"/>
    <x v="2"/>
    <n v="20478198575"/>
    <s v="INVERSIONES &amp; PUBLICIDAD DEL SUR"/>
    <s v="."/>
    <n v="10265405"/>
    <s v="Nuevo NO BANK"/>
    <s v="B45076"/>
    <n v="20724.396484375"/>
    <d v="2025-02-18T00:00:00"/>
    <n v="20.200001"/>
    <s v="TLV"/>
    <s v="TLV"/>
    <s v="Nuevo Aprobado EN"/>
    <n v="202502"/>
    <n v="39601.949999999997"/>
    <s v="B45076"/>
    <x v="18"/>
    <s v="B45083"/>
    <x v="7"/>
    <x v="4"/>
    <x v="2"/>
    <s v="P1"/>
    <s v="NULL"/>
    <n v="1"/>
    <x v="0"/>
    <n v="0"/>
    <n v="1"/>
    <n v="1"/>
    <x v="0"/>
    <n v="0"/>
    <s v="NULL"/>
    <s v="NULL"/>
    <s v="NULL"/>
    <s v="NULL"/>
    <s v="NULL"/>
    <n v="400000"/>
    <n v="0.28999999999999998"/>
    <n v="0.27"/>
    <s v="NULL"/>
    <s v="NULL"/>
  </r>
  <r>
    <x v="93"/>
    <x v="0"/>
    <n v="10461020564"/>
    <s v="ALVARADO CASTRO MIKER PAOLO"/>
    <n v="46102056"/>
    <n v="10272710"/>
    <s v="Ágil Recurrente CEM"/>
    <s v="B46358"/>
    <n v="77357.2734375"/>
    <d v="2025-10-30T00:00:00"/>
    <n v="21"/>
    <s v="TIENDAS"/>
    <s v="TIENDAS"/>
    <s v="Recurrente Ágil CEM"/>
    <n v="202510"/>
    <n v="80004"/>
    <s v="B46358"/>
    <x v="31"/>
    <s v="B13161"/>
    <x v="9"/>
    <x v="1"/>
    <x v="0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57"/>
    <x v="1"/>
    <n v="20605331913"/>
    <s v="AGROINDUSTRIAS JHONELLY"/>
    <s v="."/>
    <n v="10269443"/>
    <s v="CDD APROBADO"/>
    <s v="B34669"/>
    <n v="67602.1328125"/>
    <d v="2025-07-09T00:00:00"/>
    <n v="38.5"/>
    <s v="TLV"/>
    <s v="TLV"/>
    <s v="Nuevo Aprobado Agil CD"/>
    <n v="202507"/>
    <n v="83609.149999999994"/>
    <s v="B34669"/>
    <x v="7"/>
    <s v="B34489"/>
    <x v="4"/>
    <x v="1"/>
    <x v="0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458"/>
    <x v="1"/>
    <n v="10283073713"/>
    <s v="ANTEZANA MENDOZA RODOLFO PAULINO"/>
    <n v="28307371"/>
    <n v="10272774"/>
    <s v="Nuevo Aprobado"/>
    <s v="B24553"/>
    <n v="31962.146484375"/>
    <d v="2025-10-31T00:00:00"/>
    <n v="21.9"/>
    <s v="TLV"/>
    <s v="TLV"/>
    <s v="Nuevo Aprobado EN"/>
    <n v="202510"/>
    <n v="43102.1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59"/>
    <x v="3"/>
    <n v="20600181816"/>
    <s v="AUTOZENTRUM SERVICIOS AUTOMOTRICES"/>
    <s v="."/>
    <n v="10166689"/>
    <s v="GIRO DE LINEA"/>
    <s v="B28384"/>
    <n v="99559.625"/>
    <d v="2025-02-06T00:00:00"/>
    <n v="18.28"/>
    <s v="TIENDAS"/>
    <s v="TIENDAS"/>
    <s v="Giro de Línea"/>
    <n v="202502"/>
    <n v="12000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60"/>
    <x v="9"/>
    <n v="20528154795"/>
    <s v="REPRESENTACIONES LOPEZ"/>
    <s v="."/>
    <n v="10157293"/>
    <s v="GIRO DE LINEA"/>
    <s v="B29768"/>
    <n v="120671.7578125"/>
    <d v="2025-07-07T00:00:00"/>
    <n v="17"/>
    <s v="TIENDAS"/>
    <s v="TIENDAS"/>
    <s v="Giro de Línea"/>
    <n v="202507"/>
    <n v="200010"/>
    <s v="B29768"/>
    <x v="32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.27079999999999999"/>
    <s v="NULL"/>
    <s v="NULL"/>
  </r>
  <r>
    <x v="461"/>
    <x v="0"/>
    <n v="10447104470"/>
    <s v="HUAMANI GARCIA REBECA"/>
    <n v="44710447"/>
    <n v="10150854"/>
    <s v="GIRO DE LINEA"/>
    <s v="B46175"/>
    <n v="10992.806640625"/>
    <d v="2024-12-24T00:00:00"/>
    <n v="20.28"/>
    <s v="TIENDAS"/>
    <s v="TIENDAS"/>
    <s v="Giro de Línea"/>
    <n v="202412"/>
    <n v="20001"/>
    <s v="B46175"/>
    <x v="70"/>
    <s v="B14530"/>
    <x v="5"/>
    <x v="4"/>
    <x v="0"/>
    <s v="P2"/>
    <s v="C3"/>
    <n v="1"/>
    <x v="1"/>
    <n v="0"/>
    <n v="0"/>
    <n v="0"/>
    <x v="0"/>
    <n v="0"/>
    <s v="NULL"/>
    <s v="NULL"/>
    <s v="NULL"/>
    <s v="NULL"/>
    <s v="NULL"/>
    <n v="200000"/>
    <n v="0.2412"/>
    <n v="0.22120000000000001"/>
    <s v="NULL"/>
    <s v="NULL"/>
  </r>
  <r>
    <x v="462"/>
    <x v="1"/>
    <n v="20602370802"/>
    <s v="LICORERIA &amp; DISTRIBUCIONES OVAL BLACK"/>
    <s v="."/>
    <n v="10267863"/>
    <s v="Ágil Recurrente CEM"/>
    <s v="B14530"/>
    <n v="21419.9609375"/>
    <d v="2025-05-16T00:00:00"/>
    <n v="16"/>
    <s v="TIENDAS"/>
    <s v="TIENDAS"/>
    <s v="Recurrente Ágil CEM"/>
    <n v="202505"/>
    <n v="25001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63"/>
    <x v="8"/>
    <n v="20602508049"/>
    <s v="T&amp;E INGENIERIA Y SERVICIOS"/>
    <s v="."/>
    <n v="10269124"/>
    <s v="CDD APROBADO"/>
    <s v="BPECND"/>
    <n v="163308.140625"/>
    <d v="2025-06-26T00:00:00"/>
    <n v="13.5"/>
    <s v="TLV"/>
    <s v="TLV"/>
    <s v="Nuevo Aprobado Agil CD"/>
    <n v="202506"/>
    <n v="163308.1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64"/>
    <x v="9"/>
    <n v="10715349588"/>
    <s v="CASTAÑEDA PULIDO SERGIO MARTIN JESUS"/>
    <n v="71534958"/>
    <n v="10266798"/>
    <s v="Nuevo pre Aprobado"/>
    <s v="B18301"/>
    <n v="37719.64453125"/>
    <d v="2025-03-31T00:00:00"/>
    <n v="26"/>
    <s v="TIENDAS"/>
    <s v="TIENDAS"/>
    <s v="Nuevo Pre-aprobado"/>
    <n v="202503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24"/>
    <x v="10"/>
    <n v="20600071531"/>
    <s v="INVERSIONES ALMARO"/>
    <s v="."/>
    <n v="10271632"/>
    <s v="Ágil Recurrente CEM"/>
    <s v="B22760"/>
    <n v="116819.59375"/>
    <d v="2025-09-23T00:00:00"/>
    <n v="17"/>
    <s v="TIENDAS"/>
    <s v="TIENDAS"/>
    <s v="Recurrente Ágil CEM"/>
    <n v="202509"/>
    <n v="136006.79999999999"/>
    <s v="B22760"/>
    <x v="42"/>
    <s v="B34489"/>
    <x v="4"/>
    <x v="5"/>
    <x v="0"/>
    <s v="P1"/>
    <s v="C1_2"/>
    <n v="1"/>
    <x v="1"/>
    <n v="0"/>
    <n v="0"/>
    <n v="0"/>
    <x v="0"/>
    <n v="0"/>
    <s v="NULL"/>
    <s v="NULL"/>
    <s v="NULL"/>
    <s v="NULL"/>
    <s v="NULL"/>
    <n v="50000"/>
    <n v="0.21"/>
    <n v="0.19"/>
    <s v="NULL"/>
    <s v="NULL"/>
  </r>
  <r>
    <x v="465"/>
    <x v="9"/>
    <n v="20479107221"/>
    <s v="RODMI"/>
    <s v="."/>
    <n v="10130263"/>
    <s v="GIRO DE LINEA"/>
    <s v="B22846"/>
    <n v="52729.29296875"/>
    <d v="2024-11-26T00:00:00"/>
    <n v="17"/>
    <s v="TIENDAS"/>
    <s v="TIENDAS"/>
    <s v="Giro de Línea"/>
    <n v="202411"/>
    <n v="70003.5"/>
    <s v="B22846"/>
    <x v="47"/>
    <s v="B13988"/>
    <x v="8"/>
    <x v="4"/>
    <x v="0"/>
    <s v="P1"/>
    <s v="NULL"/>
    <n v="1"/>
    <x v="0"/>
    <n v="0"/>
    <n v="0"/>
    <n v="1"/>
    <x v="2"/>
    <n v="0"/>
    <s v="NULL"/>
    <s v="NULL"/>
    <s v="NULL"/>
    <s v="NULL"/>
    <s v="NULL"/>
    <n v="250000"/>
    <n v="0.24"/>
    <n v="0.21779999999999999"/>
    <s v="NULL"/>
    <s v="NULL"/>
  </r>
  <r>
    <x v="213"/>
    <x v="1"/>
    <n v="20606320516"/>
    <s v="GRUPO LIDER FERRETERO"/>
    <s v="."/>
    <n v="10271782"/>
    <s v="Recurrente Aprobado Agil"/>
    <s v="B14534"/>
    <n v="158587.953125"/>
    <d v="2025-09-26T00:00:00"/>
    <n v="19"/>
    <s v="TIENDAS"/>
    <s v="TIENDAS"/>
    <s v="Recurrente Ágil CEM"/>
    <n v="202509"/>
    <n v="177008.85"/>
    <s v="B14534"/>
    <x v="22"/>
    <s v="B14530"/>
    <x v="5"/>
    <x v="1"/>
    <x v="0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466"/>
    <x v="0"/>
    <n v="20606594446"/>
    <s v="IH INVESTMENT GROUP"/>
    <s v="."/>
    <n v="10263440"/>
    <s v="Impulso Solo"/>
    <s v="B45371"/>
    <n v="3500.0576171875"/>
    <d v="2024-11-29T00:00:00"/>
    <n v="14.5"/>
    <s v="TLV"/>
    <s v="TLV"/>
    <s v="Impulso MyPeru Comercial"/>
    <n v="202411"/>
    <n v="90004.5"/>
    <s v="B45371"/>
    <x v="15"/>
    <s v="B45384"/>
    <x v="6"/>
    <x v="1"/>
    <x v="2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67"/>
    <x v="0"/>
    <n v="20602202012"/>
    <s v="SERVICIOS GENERALES REPAC"/>
    <s v="."/>
    <n v="10269256"/>
    <s v="Nuevo Aprobado Ágil"/>
    <s v="B35209"/>
    <n v="233499.953125"/>
    <d v="2025-06-30T00:00:00"/>
    <n v="16"/>
    <s v="TIENDAS"/>
    <s v="VENDORS"/>
    <s v="Nuevo Pre-aprobado"/>
    <n v="202506"/>
    <n v="300015"/>
    <s v="B35209"/>
    <x v="26"/>
    <s v="B27274"/>
    <x v="0"/>
    <x v="4"/>
    <x v="0"/>
    <s v="P1"/>
    <s v="C1_2"/>
    <n v="1"/>
    <x v="0"/>
    <n v="0"/>
    <n v="0"/>
    <n v="1"/>
    <x v="0"/>
    <n v="0"/>
    <s v="NULL"/>
    <s v="NULL"/>
    <s v="NULL"/>
    <s v="NULL"/>
    <s v="NULL"/>
    <n v="250000"/>
    <n v="0.26119999999999999"/>
    <n v="0.2412"/>
    <s v="NULL"/>
    <s v="NULL"/>
  </r>
  <r>
    <x v="468"/>
    <x v="5"/>
    <n v="10735192952"/>
    <s v="ANAYA EGUIZABAL JORGE ESTEBAN"/>
    <n v="73519295"/>
    <n v="10269340"/>
    <s v="CDD APROBADO"/>
    <s v="B27801"/>
    <n v="47766.078125"/>
    <d v="2025-07-03T00:00:00"/>
    <n v="20.5"/>
    <s v="TLV"/>
    <s v="TLV"/>
    <s v="Nuevo Aprobado Agil CD"/>
    <n v="202507"/>
    <n v="62678.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69"/>
    <x v="2"/>
    <n v="20525779778"/>
    <s v="POLMAR VENTAS Y SERVICIOS E.I.R.L"/>
    <s v="."/>
    <n v="10264711"/>
    <s v="Nuevo Aprobado"/>
    <s v="BPECND"/>
    <n v="33438.625"/>
    <d v="2025-01-22T00:00:00"/>
    <n v="19"/>
    <s v="TLV"/>
    <s v="TLV"/>
    <s v="Nuevo Aprobado EN"/>
    <n v="202501"/>
    <n v="45002.2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70"/>
    <x v="5"/>
    <n v="10430112401"/>
    <s v="JUSTO MACHADO JOSE MANUEL"/>
    <n v="43011240"/>
    <n v="10269641"/>
    <s v="CDD APROBADO"/>
    <s v="B9331"/>
    <n v="53877.9609375"/>
    <d v="2025-07-16T00:00:00"/>
    <n v="32"/>
    <s v="TLV"/>
    <s v="TLV"/>
    <s v="Nuevo Aprobado Agil CD"/>
    <n v="202507"/>
    <n v="57502.8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71"/>
    <x v="5"/>
    <n v="20551588603"/>
    <s v="TRANSPORTES EXPRESO JIREH E.I.R.L."/>
    <s v="."/>
    <n v="10269787"/>
    <s v="Ágil Recurrente CEM"/>
    <s v="B37426"/>
    <n v="371427.4375"/>
    <d v="2025-07-21T00:00:00"/>
    <n v="16"/>
    <s v="TIENDAS"/>
    <s v="TIENDAS"/>
    <s v="Recurrente Ágil CEM"/>
    <n v="202507"/>
    <n v="324437.59000000003"/>
    <s v="B37426"/>
    <x v="71"/>
    <s v="B14821"/>
    <x v="3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72"/>
    <x v="0"/>
    <n v="10407680907"/>
    <s v="QUISPE ANCCO PABLO"/>
    <n v="40768090"/>
    <n v="10264557"/>
    <s v="Nuevo Aprobado"/>
    <s v="B33958"/>
    <n v="14329.40625"/>
    <d v="2025-01-14T00:00:00"/>
    <n v="24.200001"/>
    <s v="TLV"/>
    <s v="VENDORS"/>
    <s v="Nuevo Aprobado EN"/>
    <n v="202501"/>
    <n v="33473.65"/>
    <s v="B45869"/>
    <x v="50"/>
    <s v="B14821"/>
    <x v="3"/>
    <x v="4"/>
    <x v="0"/>
    <s v="P2"/>
    <s v="C3"/>
    <n v="1"/>
    <x v="0"/>
    <n v="0"/>
    <n v="0"/>
    <n v="1"/>
    <x v="2"/>
    <n v="0"/>
    <s v="NULL"/>
    <s v="NULL"/>
    <s v="NULL"/>
    <s v="NULL"/>
    <s v="NULL"/>
    <n v="200000"/>
    <n v="0.25819999999999999"/>
    <n v="0.2382"/>
    <s v="NULL"/>
    <s v="NULL"/>
  </r>
  <r>
    <x v="473"/>
    <x v="1"/>
    <n v="20545265711"/>
    <s v="SOLUCIONES EMPRESARIALES NEGOIDEAS"/>
    <s v="."/>
    <n v="10256884"/>
    <s v="Impulso CDI Cobertura"/>
    <s v="B46358"/>
    <n v="74026.4375"/>
    <d v="2024-06-28T00:00:00"/>
    <n v="17.700001"/>
    <s v="TIENDAS"/>
    <s v="TIENDAS"/>
    <s v="Impulso MyPeru Comercial"/>
    <n v="202406"/>
    <n v="90004.5"/>
    <s v="B46358"/>
    <x v="31"/>
    <s v="B13161"/>
    <x v="9"/>
    <x v="1"/>
    <x v="0"/>
    <s v="P5"/>
    <s v="C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474"/>
    <x v="2"/>
    <n v="10702699598"/>
    <s v="MAZZINI HUAPAYA JOSELYN ROXANA"/>
    <n v="70269959"/>
    <n v="10261826"/>
    <s v="Impulso Mixto"/>
    <s v="B10695"/>
    <n v="39681.578125"/>
    <d v="2024-10-21T00:00:00"/>
    <n v="14.5"/>
    <s v="TLV"/>
    <s v="TLV"/>
    <s v="Impulso MyPeru Comercial"/>
    <n v="202410"/>
    <n v="46582.3"/>
    <s v="B45373"/>
    <x v="13"/>
    <s v="B45384"/>
    <x v="6"/>
    <x v="4"/>
    <x v="2"/>
    <s v="P3"/>
    <s v="NULL"/>
    <n v="1"/>
    <x v="1"/>
    <n v="0"/>
    <n v="0"/>
    <n v="0"/>
    <x v="2"/>
    <n v="0"/>
    <s v="NULL"/>
    <s v="NULL"/>
    <s v="NULL"/>
    <s v="NULL"/>
    <s v="NULL"/>
    <n v="200000"/>
    <n v="0.27"/>
    <n v="0.24729999999999999"/>
    <s v="NULL"/>
    <s v="NULL"/>
  </r>
  <r>
    <x v="475"/>
    <x v="7"/>
    <n v="20610909371"/>
    <s v="CLINICA DENTAL ENDOMOLAR"/>
    <s v="."/>
    <n v="10261599"/>
    <s v="Impulso Mixto"/>
    <s v="BPECND"/>
    <n v="51842.98046875"/>
    <d v="2024-10-16T00:00:00"/>
    <n v="16.700001"/>
    <s v="TLV"/>
    <s v="TLV"/>
    <s v="Impulso MyPeru Comercial"/>
    <n v="202410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76"/>
    <x v="7"/>
    <s v="."/>
    <s v="GUILLINTA BARRUETO JHONNATHAN DREIK"/>
    <n v="48959538"/>
    <n v="10256525"/>
    <s v="Nuevo Aprobado"/>
    <s v="B33958"/>
    <n v="11418.39453125"/>
    <d v="2024-06-26T00:00:00"/>
    <n v="21"/>
    <s v="TLV"/>
    <s v="TLV"/>
    <s v="Nuevo Aprobado EN"/>
    <n v="202406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77"/>
    <x v="10"/>
    <n v="20601208017"/>
    <s v="CONSTRUCTORES Y MAQUINARIAS H &amp; C S.A.C."/>
    <s v="."/>
    <n v="10271592"/>
    <s v="Ágil Recurrente CEM"/>
    <s v="B34489"/>
    <n v="86206.21875"/>
    <d v="2025-09-22T00:00:00"/>
    <n v="19"/>
    <s v="TIENDAS"/>
    <s v="TIENDAS"/>
    <s v="Recurrente Ágil CEM"/>
    <n v="202509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78"/>
    <x v="6"/>
    <n v="20601568064"/>
    <s v="ENTRE BRASAS Y FOGONES"/>
    <s v="."/>
    <n v="10272556"/>
    <s v="Nuevo Aprobado Ágil"/>
    <s v="B45373"/>
    <n v="122906.09375"/>
    <d v="2025-10-27T00:00:00"/>
    <n v="15"/>
    <s v="TIENDAS VIRTUALES"/>
    <s v="TIENDAS VIRTUALES"/>
    <s v="Nuevo Aprobado Agil"/>
    <n v="202510"/>
    <n v="122906.1"/>
    <s v="B45373"/>
    <x v="13"/>
    <s v="B45384"/>
    <x v="6"/>
    <x v="16"/>
    <x v="2"/>
    <s v="P1"/>
    <s v="NULL"/>
    <n v="1"/>
    <x v="0"/>
    <n v="1"/>
    <n v="1"/>
    <n v="1"/>
    <x v="2"/>
    <n v="122906.1"/>
    <n v="15"/>
    <d v="2025-10-27T00:00:00"/>
    <s v="Nuevo Aprobado Agil"/>
    <s v="TIENDAS VIRTUALES"/>
    <s v="CAPITAL DE TRABAJO"/>
    <n v="122900"/>
    <n v="0.21"/>
    <n v="0.19"/>
    <s v="NULL"/>
    <s v="NULL"/>
  </r>
  <r>
    <x v="479"/>
    <x v="5"/>
    <n v="10707876404"/>
    <s v="LOPEZ DIAZ CYNTHIA SOLEDAD"/>
    <n v="70787640"/>
    <n v="10267714"/>
    <s v="CDD APROBADO"/>
    <s v="B44120"/>
    <n v="84011.71875"/>
    <d v="2025-05-12T00:00:00"/>
    <n v="21"/>
    <s v="TLV"/>
    <s v="TLV"/>
    <s v="Nuevo Aprobado Agil CD"/>
    <n v="202505"/>
    <n v="97704.85"/>
    <s v="B44120"/>
    <x v="45"/>
    <s v="B14530"/>
    <x v="5"/>
    <x v="1"/>
    <x v="0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80"/>
    <x v="0"/>
    <n v="20611309679"/>
    <s v="RAVE SPORT"/>
    <s v="."/>
    <n v="10268552"/>
    <s v="CDD APROBADO"/>
    <s v="B36093"/>
    <n v="49948.18359375"/>
    <d v="2025-06-10T00:00:00"/>
    <n v="17.5"/>
    <s v="TLV"/>
    <s v="TLV"/>
    <s v="Nuevo Aprobado Agil CD"/>
    <n v="202506"/>
    <n v="72003.600000000006"/>
    <s v="B36093"/>
    <x v="86"/>
    <s v="B45083"/>
    <x v="7"/>
    <x v="0"/>
    <x v="2"/>
    <s v="P1"/>
    <s v="C1_1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481"/>
    <x v="8"/>
    <n v="20556196380"/>
    <s v="MAS SPORT"/>
    <s v="."/>
    <n v="10267483"/>
    <s v="CDD APROBADO"/>
    <s v="B45083"/>
    <n v="44938.72265625"/>
    <d v="2025-04-29T00:00:00"/>
    <n v="15"/>
    <s v="TLV"/>
    <s v="TLV"/>
    <s v="Nuevo Aprobado Agil CD"/>
    <n v="202504"/>
    <n v="505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82"/>
    <x v="11"/>
    <n v="10108781551"/>
    <s v="JANAMPA VALENCIA YOLANDA"/>
    <n v="10878155"/>
    <n v="10248399"/>
    <s v="Impulso Solo"/>
    <s v="B23200"/>
    <n v="15657.8154296875"/>
    <d v="2024-02-23T00:00:00"/>
    <n v="15"/>
    <s v="TLV"/>
    <s v="TLV"/>
    <s v="Impulso MyPeru Comercial"/>
    <n v="202402"/>
    <n v="22446.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83"/>
    <x v="2"/>
    <n v="10174320701"/>
    <s v="RAMOS GUILLERMO DE ELERA ESTELA"/>
    <n v="17432070"/>
    <n v="10176154"/>
    <s v="CDD P1"/>
    <s v="B44120"/>
    <n v="23211.3046875"/>
    <s v="NULL"/>
    <s v="NULL"/>
    <s v="NULL"/>
    <s v="NULL"/>
    <s v="NULL"/>
    <s v="NULL"/>
    <s v="NULL"/>
    <s v="B44120"/>
    <x v="45"/>
    <s v="B14530"/>
    <x v="5"/>
    <x v="7"/>
    <x v="0"/>
    <s v="P2"/>
    <s v="NULL"/>
    <n v="1"/>
    <x v="0"/>
    <n v="0"/>
    <n v="0"/>
    <n v="0"/>
    <x v="0"/>
    <n v="0"/>
    <s v="NULL"/>
    <s v="NULL"/>
    <s v="NULL"/>
    <s v="NULL"/>
    <s v="NULL"/>
    <n v="136000"/>
    <n v="0.24"/>
    <n v="0.2233"/>
    <s v="NULL"/>
    <s v="NULL"/>
  </r>
  <r>
    <x v="144"/>
    <x v="11"/>
    <n v="10180567254"/>
    <s v="GARCIA VALENCIA ELADIO MAXIMO"/>
    <n v="18056725"/>
    <n v="10200920"/>
    <s v="Reactiva"/>
    <s v="BPECND"/>
    <n v="6725.58056640625"/>
    <s v="NULL"/>
    <s v="NULL"/>
    <s v="NULL"/>
    <s v="NULL"/>
    <s v="NULL"/>
    <s v="NULL"/>
    <s v="NULL"/>
    <s v="B45386"/>
    <x v="2"/>
    <s v="NULL"/>
    <x v="2"/>
    <x v="4"/>
    <x v="2"/>
    <s v="P1"/>
    <s v="NULL"/>
    <n v="1"/>
    <x v="0"/>
    <n v="0"/>
    <n v="0"/>
    <n v="1"/>
    <x v="2"/>
    <n v="0"/>
    <s v="NULL"/>
    <s v="NULL"/>
    <s v="NULL"/>
    <s v="NULL"/>
    <s v="NULL"/>
    <n v="100000"/>
    <n v="0.22"/>
    <n v="0.20200000000000001"/>
    <s v="NULL"/>
    <s v="NULL"/>
  </r>
  <r>
    <x v="484"/>
    <x v="5"/>
    <n v="20600289358"/>
    <s v="CONSORCIO S &amp; K INVERSIONES"/>
    <s v="."/>
    <n v="10157610"/>
    <s v="GIRO DE LINEA"/>
    <s v="B27274"/>
    <n v="52554.328125"/>
    <d v="2025-02-28T00:00:00"/>
    <n v="17"/>
    <s v="TIENDAS"/>
    <s v="TIENDAS"/>
    <s v="Giro de Línea"/>
    <n v="202502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85"/>
    <x v="1"/>
    <n v="20546655807"/>
    <s v="COLD AIR PERU"/>
    <s v="."/>
    <n v="10273192"/>
    <s v="Ágil Recurrente CEM"/>
    <s v="B25939"/>
    <n v="295801.375"/>
    <d v="2025-11-18T00:00:00"/>
    <n v="20"/>
    <s v="TIENDAS"/>
    <s v="TIENDAS"/>
    <s v="Recurrente Ágil CEM"/>
    <n v="202511"/>
    <n v="199923.59"/>
    <s v="B25939"/>
    <x v="23"/>
    <s v="B13988"/>
    <x v="1"/>
    <x v="1"/>
    <x v="0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486"/>
    <x v="12"/>
    <n v="20600476301"/>
    <s v="EMPRESA DE TRANSPORTES Y COMERCIALIZADOR"/>
    <s v="."/>
    <n v="10266373"/>
    <s v="Nuevo NO BANK"/>
    <s v="B36690"/>
    <n v="53623.6484375"/>
    <d v="2025-03-20T00:00:00"/>
    <n v="19.5"/>
    <s v="TLV"/>
    <s v="TLV"/>
    <s v="Nuevo Aprobado EN"/>
    <n v="202503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87"/>
    <x v="7"/>
    <n v="10442340493"/>
    <s v="ACHIRCANA SOTELO ELARTH FERNANDO"/>
    <n v="44234049"/>
    <n v="10266377"/>
    <s v="Nuevo Aprobado"/>
    <s v="B33894"/>
    <n v="42389.9453125"/>
    <d v="2025-03-20T00:00:00"/>
    <n v="19"/>
    <s v="TIENDAS"/>
    <s v="VENDORS"/>
    <s v="Nuevo Pre-aprobado"/>
    <n v="202503"/>
    <n v="60003"/>
    <s v="B33894"/>
    <x v="36"/>
    <s v="B34489"/>
    <x v="4"/>
    <x v="4"/>
    <x v="0"/>
    <s v="P1"/>
    <s v="C3"/>
    <n v="1"/>
    <x v="1"/>
    <n v="0"/>
    <n v="0"/>
    <n v="0"/>
    <x v="0"/>
    <n v="0"/>
    <s v="NULL"/>
    <s v="NULL"/>
    <s v="NULL"/>
    <s v="NULL"/>
    <s v="NULL"/>
    <n v="200000"/>
    <n v="0.24679999999999999"/>
    <n v="0.2268"/>
    <s v="NULL"/>
    <s v="NULL"/>
  </r>
  <r>
    <x v="488"/>
    <x v="3"/>
    <n v="20600454871"/>
    <s v="CORPORACION TRES ANGELES"/>
    <s v="."/>
    <n v="10137873"/>
    <s v="GIRO DE LINEA"/>
    <s v="B22846"/>
    <n v="61012.0078125"/>
    <d v="2024-09-18T00:00:00"/>
    <n v="17"/>
    <s v="TIENDAS"/>
    <s v="TIENDAS"/>
    <s v="Giro de Línea"/>
    <n v="202409"/>
    <n v="100005"/>
    <s v="B22846"/>
    <x v="47"/>
    <s v="B13988"/>
    <x v="8"/>
    <x v="1"/>
    <x v="0"/>
    <s v="P1"/>
    <s v="NULL"/>
    <n v="1"/>
    <x v="1"/>
    <n v="0"/>
    <n v="0"/>
    <n v="0"/>
    <x v="2"/>
    <n v="0"/>
    <s v="NULL"/>
    <s v="NULL"/>
    <s v="NULL"/>
    <s v="NULL"/>
    <s v="NULL"/>
    <n v="907606717"/>
    <n v="0"/>
    <n v="0"/>
    <s v="NULL"/>
    <s v="NULL"/>
  </r>
  <r>
    <x v="489"/>
    <x v="10"/>
    <n v="20601641926"/>
    <s v="CENTRO DE NEGOCIOS R Y G"/>
    <s v="."/>
    <n v="10273578"/>
    <s v="Nuevo pre Aprobado"/>
    <s v="B30425"/>
    <n v="139783.328125"/>
    <d v="2025-11-28T00:00:00"/>
    <n v="19"/>
    <s v="TIENDAS"/>
    <s v="TIENDAS"/>
    <s v="Nuevo Pre-aprobado"/>
    <n v="202511"/>
    <n v="150007.5"/>
    <s v="B30425"/>
    <x v="46"/>
    <s v="B13988"/>
    <x v="1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90"/>
    <x v="4"/>
    <n v="20609047900"/>
    <s v="COMERCIAL CHOJASZQUE"/>
    <s v="."/>
    <n v="10248236"/>
    <s v="Impulso Mixto"/>
    <s v="BPECND"/>
    <n v="69839.796875"/>
    <d v="2024-02-22T00:00:00"/>
    <n v="14.7"/>
    <s v="TIENDAS"/>
    <s v="TIENDAS"/>
    <s v="Impulso MyPeru Comercial"/>
    <n v="202402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91"/>
    <x v="11"/>
    <n v="20602162584"/>
    <s v="INVERSIONES &amp; INDUSTRIA ARENAS E.I.R.L."/>
    <s v="."/>
    <n v="10239948"/>
    <s v="Ágil Recurrente CEM"/>
    <s v="B30973"/>
    <n v="17693.912109375"/>
    <d v="2023-06-14T00:00:00"/>
    <n v="20.100000000000001"/>
    <s v="TIENDAS"/>
    <s v="TIENDAS"/>
    <s v="Recurrente Ágil CEM"/>
    <n v="202306"/>
    <n v="180009"/>
    <s v="B30973"/>
    <x v="11"/>
    <s v="B14821"/>
    <x v="3"/>
    <x v="4"/>
    <x v="0"/>
    <s v="P1"/>
    <s v="NULL"/>
    <n v="1"/>
    <x v="0"/>
    <n v="0"/>
    <n v="0"/>
    <n v="1"/>
    <x v="2"/>
    <n v="0"/>
    <s v="NULL"/>
    <s v="NULL"/>
    <s v="NULL"/>
    <s v="NULL"/>
    <s v="NULL"/>
    <n v="130000"/>
    <n v="0.25"/>
    <n v="0.23200000000000001"/>
    <s v="NULL"/>
    <s v="NULL"/>
  </r>
  <r>
    <x v="492"/>
    <x v="8"/>
    <n v="20515076141"/>
    <s v="J &amp; R GLOBAL LOGISTIC"/>
    <s v="."/>
    <n v="10252914"/>
    <s v="Impulso Solo"/>
    <s v="B19752"/>
    <n v="39594.0078125"/>
    <d v="2024-05-15T00:00:00"/>
    <n v="14.9"/>
    <s v="TLV"/>
    <s v="TLV"/>
    <s v="Impulso MyPeru Comercial"/>
    <n v="202405"/>
    <n v="56802.8"/>
    <s v="B19752"/>
    <x v="43"/>
    <s v="B13988"/>
    <x v="8"/>
    <x v="7"/>
    <x v="0"/>
    <s v="P1"/>
    <s v="NULL"/>
    <n v="1"/>
    <x v="0"/>
    <n v="0"/>
    <n v="0"/>
    <n v="1"/>
    <x v="0"/>
    <n v="0"/>
    <s v="NULL"/>
    <s v="NULL"/>
    <s v="NULL"/>
    <s v="NULL"/>
    <s v="NULL"/>
    <n v="112000"/>
    <n v="0.21"/>
    <n v="0.1888"/>
    <s v="NULL"/>
    <s v="NULL"/>
  </r>
  <r>
    <x v="493"/>
    <x v="7"/>
    <n v="20609367165"/>
    <s v="GRUPO ALMOSA S.A.C."/>
    <s v="."/>
    <n v="10250056"/>
    <s v="Impulso Mixto"/>
    <s v="B45375"/>
    <n v="27082.859375"/>
    <d v="2024-03-26T00:00:00"/>
    <n v="15"/>
    <s v="TLV"/>
    <s v="TLV"/>
    <s v="Impulso MyPeru Comercial"/>
    <n v="202403"/>
    <n v="60003"/>
    <s v="B45375"/>
    <x v="65"/>
    <s v="B45384"/>
    <x v="6"/>
    <x v="1"/>
    <x v="2"/>
    <s v="P1"/>
    <s v="C2"/>
    <n v="1"/>
    <x v="0"/>
    <n v="0"/>
    <n v="1"/>
    <n v="1"/>
    <x v="0"/>
    <n v="0"/>
    <s v="NULL"/>
    <s v="NULL"/>
    <s v="NULL"/>
    <s v="NULL"/>
    <s v="NULL"/>
    <n v="1"/>
    <n v="1"/>
    <s v="NULL"/>
    <s v="NULL"/>
    <s v="NULL"/>
  </r>
  <r>
    <x v="494"/>
    <x v="8"/>
    <n v="10274335624"/>
    <s v="GAVIDIA BUSTAMANTE MOISES"/>
    <n v="27433562"/>
    <n v="10166042"/>
    <s v="GIRO DE LINEA"/>
    <s v="B14972"/>
    <n v="103364.2734375"/>
    <d v="2025-03-07T00:00:00"/>
    <n v="16"/>
    <s v="TIENDAS"/>
    <s v="TIENDAS"/>
    <s v="Giro de Línea"/>
    <n v="202503"/>
    <n v="120006"/>
    <s v="B14972"/>
    <x v="25"/>
    <s v="B13161"/>
    <x v="9"/>
    <x v="4"/>
    <x v="0"/>
    <s v="P2"/>
    <s v="NULL"/>
    <n v="1"/>
    <x v="1"/>
    <n v="0"/>
    <n v="0"/>
    <n v="0"/>
    <x v="0"/>
    <n v="0"/>
    <s v="NULL"/>
    <s v="NULL"/>
    <s v="NULL"/>
    <s v="NULL"/>
    <s v="NULL"/>
    <n v="200000"/>
    <n v="0.25"/>
    <n v="0.23"/>
    <s v="NULL"/>
    <s v="NULL"/>
  </r>
  <r>
    <x v="495"/>
    <x v="4"/>
    <n v="10413007475"/>
    <s v="VELAZCO CHIQUE MAGDA"/>
    <n v="41300747"/>
    <n v="10245094"/>
    <s v="Ágil Recurrente CEM"/>
    <s v="BPECND"/>
    <n v="11772.466796875"/>
    <d v="2023-10-24T00:00:00"/>
    <n v="21.4"/>
    <s v="TIENDAS"/>
    <s v="TIENDAS"/>
    <s v="Recurrente Ágil CEM"/>
    <n v="202310"/>
    <n v="27501.35"/>
    <s v="B44120"/>
    <x v="45"/>
    <s v="B14530"/>
    <x v="5"/>
    <x v="7"/>
    <x v="0"/>
    <s v="P3"/>
    <s v="NULL"/>
    <n v="1"/>
    <x v="0"/>
    <n v="0"/>
    <n v="0"/>
    <n v="1"/>
    <x v="2"/>
    <n v="0"/>
    <s v="NULL"/>
    <s v="NULL"/>
    <s v="NULL"/>
    <s v="NULL"/>
    <s v="NULL"/>
    <n v="15000"/>
    <n v="0.24"/>
    <n v="0.2218"/>
    <s v="NULL"/>
    <s v="NULL"/>
  </r>
  <r>
    <x v="496"/>
    <x v="5"/>
    <n v="20607506508"/>
    <s v="INVERSIONES KEVIN CAR &amp; ASOCIADOS S.A.C."/>
    <s v="."/>
    <n v="10259364"/>
    <s v="Impulso Solo"/>
    <s v="B13988"/>
    <n v="66226.0234375"/>
    <d v="2024-08-22T00:00:00"/>
    <n v="14.5"/>
    <s v="TLV"/>
    <s v="TLV"/>
    <s v="Impulso MyPeru Comercial"/>
    <n v="202408"/>
    <n v="90004.5"/>
    <s v="B30425"/>
    <x v="46"/>
    <s v="B13988"/>
    <x v="8"/>
    <x v="4"/>
    <x v="0"/>
    <s v="P1"/>
    <s v="C1_1"/>
    <n v="1"/>
    <x v="1"/>
    <n v="0"/>
    <n v="0"/>
    <n v="0"/>
    <x v="0"/>
    <n v="0"/>
    <s v="NULL"/>
    <s v="NULL"/>
    <s v="NULL"/>
    <s v="NULL"/>
    <s v="NULL"/>
    <n v="400000"/>
    <n v="0.2"/>
    <n v="0.18"/>
    <s v="NULL"/>
    <s v="NULL"/>
  </r>
  <r>
    <x v="497"/>
    <x v="8"/>
    <n v="20549219269"/>
    <s v="PORCUPINE"/>
    <s v="."/>
    <n v="10253918"/>
    <s v="Impulso Solo"/>
    <s v="B27693"/>
    <n v="3629.12573242188"/>
    <d v="2024-05-28T00:00:00"/>
    <n v="14"/>
    <s v="TIENDAS"/>
    <s v="TIENDAS"/>
    <s v="Impulso MyPeru Comercial"/>
    <n v="202405"/>
    <n v="90004.5"/>
    <s v="B27693"/>
    <x v="52"/>
    <s v="B27274"/>
    <x v="0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8779999999999999"/>
    <s v="NULL"/>
    <s v="NULL"/>
    <s v="NULL"/>
  </r>
  <r>
    <x v="498"/>
    <x v="10"/>
    <n v="20605638768"/>
    <s v="PIZZERU"/>
    <s v="."/>
    <n v="10253329"/>
    <s v="Impulso Solo"/>
    <s v="B14327"/>
    <n v="3944.58862304688"/>
    <d v="2024-05-22T00:00:00"/>
    <n v="16.5"/>
    <s v="TLV"/>
    <s v="TLV"/>
    <s v="Impulso MyPeru Comercial"/>
    <n v="202405"/>
    <n v="90004.5"/>
    <s v="B14327"/>
    <x v="49"/>
    <s v="B27274"/>
    <x v="0"/>
    <x v="8"/>
    <x v="0"/>
    <s v="P1"/>
    <s v="C1_2"/>
    <n v="1"/>
    <x v="0"/>
    <n v="0"/>
    <n v="0"/>
    <n v="1"/>
    <x v="0"/>
    <n v="0"/>
    <s v="NULL"/>
    <s v="NULL"/>
    <s v="NULL"/>
    <s v="NULL"/>
    <s v="NULL"/>
    <n v="250000"/>
    <n v="0.26090000000000002"/>
    <n v="0.2409"/>
    <s v="NULL"/>
    <s v="NULL"/>
  </r>
  <r>
    <x v="499"/>
    <x v="10"/>
    <n v="20564341518"/>
    <s v="FACTORIA NELLY"/>
    <s v="."/>
    <n v="10271887"/>
    <s v="Nuevo pre Aprobado"/>
    <s v="B30094"/>
    <n v="280681.78125"/>
    <d v="2025-09-30T00:00:00"/>
    <n v="19.420000000000002"/>
    <s v="TIENDAS"/>
    <s v="TIENDAS"/>
    <s v="Nuevo Pre-aprobado"/>
    <n v="202509"/>
    <n v="350017.5"/>
    <s v="B30094"/>
    <x v="48"/>
    <s v="B34489"/>
    <x v="4"/>
    <x v="5"/>
    <x v="0"/>
    <s v="P1"/>
    <s v="C1_1"/>
    <n v="1"/>
    <x v="1"/>
    <n v="0"/>
    <n v="0"/>
    <n v="0"/>
    <x v="0"/>
    <n v="0"/>
    <s v="NULL"/>
    <s v="NULL"/>
    <s v="NULL"/>
    <s v="NULL"/>
    <s v="NULL"/>
    <n v="500000"/>
    <n v="0.21"/>
    <n v="0.19"/>
    <s v="NULL"/>
    <s v="NULL"/>
  </r>
  <r>
    <x v="500"/>
    <x v="11"/>
    <n v="20603617895"/>
    <s v="VASCOMDI COMPANY"/>
    <s v="."/>
    <n v="10265716"/>
    <s v="Regular Sin Campaña"/>
    <s v="B10100"/>
    <n v="241780.046875"/>
    <d v="2025-02-26T00:00:00"/>
    <n v="16"/>
    <s v="TIENDAS"/>
    <s v="VENDORS"/>
    <s v="Gestion Cartera"/>
    <n v="202502"/>
    <n v="25001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01"/>
    <x v="11"/>
    <n v="10077493901"/>
    <s v="CUTIPA QUISPE JUSTINO"/>
    <n v="7749390"/>
    <n v="10147675"/>
    <s v="GIRO DE LINEA"/>
    <s v="B35632"/>
    <n v="58310.453125"/>
    <d v="2025-06-04T00:00:00"/>
    <n v="18.78"/>
    <s v="TIENDAS"/>
    <s v="TIENDAS"/>
    <s v="Giro de Línea"/>
    <n v="202506"/>
    <n v="100005"/>
    <s v="B37426"/>
    <x v="71"/>
    <s v="B14821"/>
    <x v="3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502"/>
    <x v="1"/>
    <n v="20607585173"/>
    <s v="ARLOS SOLUCIONES E.I.R.L."/>
    <s v="."/>
    <n v="10269257"/>
    <s v="CDD APROBADO"/>
    <s v="BPECND"/>
    <n v="45153.484375"/>
    <d v="2025-06-30T00:00:00"/>
    <n v="15.9"/>
    <s v="TLV"/>
    <s v="TLV"/>
    <s v="Nuevo Aprobado Agil CD"/>
    <n v="202506"/>
    <n v="65303.2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03"/>
    <x v="2"/>
    <n v="20600049900"/>
    <s v="PRODUCTOS INDUSTRIALES VALNICK"/>
    <s v="."/>
    <n v="10259727"/>
    <s v="Impulso Mixto"/>
    <s v="B27880"/>
    <n v="73288.9609375"/>
    <d v="2024-08-28T00:00:00"/>
    <n v="15"/>
    <s v="TIENDAS"/>
    <s v="TIENDAS"/>
    <s v="Impulso MyPeru Comercial"/>
    <n v="202408"/>
    <n v="90004.5"/>
    <s v="B27880"/>
    <x v="6"/>
    <s v="B14821"/>
    <x v="3"/>
    <x v="4"/>
    <x v="0"/>
    <s v="P1"/>
    <s v="NULL"/>
    <n v="1"/>
    <x v="0"/>
    <n v="0"/>
    <n v="1"/>
    <n v="1"/>
    <x v="0"/>
    <n v="0"/>
    <s v="NULL"/>
    <s v="NULL"/>
    <s v="NULL"/>
    <s v="NULL"/>
    <s v="NULL"/>
    <n v="86400"/>
    <n v="0.27"/>
    <n v="0.25"/>
    <s v="NULL"/>
    <s v="NULL"/>
  </r>
  <r>
    <x v="504"/>
    <x v="5"/>
    <n v="10181678955"/>
    <s v="REVILLA CRUZADO JUAN JOSE"/>
    <n v="18167895"/>
    <n v="10253870"/>
    <s v="Impulso CDI Cobertura"/>
    <s v="B45389"/>
    <n v="55684.234375"/>
    <d v="2024-05-28T00:00:00"/>
    <n v="15.5"/>
    <s v="TIENDAS"/>
    <s v="TIENDAS"/>
    <s v="Impulso MyPeru Comercial"/>
    <n v="202405"/>
    <n v="90004.5"/>
    <s v="B45389"/>
    <x v="16"/>
    <s v="B45384"/>
    <x v="6"/>
    <x v="4"/>
    <x v="2"/>
    <s v="P2"/>
    <s v="C3"/>
    <n v="1"/>
    <x v="1"/>
    <n v="0"/>
    <n v="0"/>
    <n v="0"/>
    <x v="0"/>
    <n v="0"/>
    <s v="NULL"/>
    <s v="NULL"/>
    <s v="NULL"/>
    <s v="NULL"/>
    <s v="NULL"/>
    <n v="200000"/>
    <n v="0.26"/>
    <n v="0.24"/>
    <s v="NULL"/>
    <s v="NULL"/>
  </r>
  <r>
    <x v="505"/>
    <x v="11"/>
    <n v="20609015358"/>
    <s v="FERRETERIA INVERSIONES M.H.M. S.A.C."/>
    <s v="."/>
    <n v="10257438"/>
    <s v="Regular Sin Campaña"/>
    <s v="B37955"/>
    <n v="120130.7890625"/>
    <d v="2024-07-17T00:00:00"/>
    <n v="20"/>
    <s v="TIENDAS"/>
    <s v="TIENDAS"/>
    <s v="NULL"/>
    <n v="202407"/>
    <n v="180009"/>
    <s v="B37955"/>
    <x v="53"/>
    <s v="B27274"/>
    <x v="0"/>
    <x v="4"/>
    <x v="0"/>
    <s v="P1"/>
    <s v="NULL"/>
    <n v="1"/>
    <x v="0"/>
    <n v="0"/>
    <n v="0"/>
    <n v="1"/>
    <x v="2"/>
    <n v="0"/>
    <s v="NULL"/>
    <s v="NULL"/>
    <s v="NULL"/>
    <s v="NULL"/>
    <s v="NULL"/>
    <n v="122776"/>
    <n v="0.24199999999999999"/>
    <n v="0.222"/>
    <s v="NULL"/>
    <s v="NULL"/>
  </r>
  <r>
    <x v="506"/>
    <x v="2"/>
    <n v="20536763831"/>
    <s v="GLOBAL GRUPO DE INVERSIONES"/>
    <s v="."/>
    <n v="10253042"/>
    <s v="Impulso CDI Cobertura"/>
    <s v="B27596"/>
    <n v="13604.1982421875"/>
    <d v="2024-05-17T00:00:00"/>
    <n v="16"/>
    <s v="TIENDAS"/>
    <s v="TIENDAS"/>
    <s v="Impulso MyPeru Comercial"/>
    <n v="202405"/>
    <n v="17000.849999999999"/>
    <s v="B27596"/>
    <x v="38"/>
    <s v="B13988"/>
    <x v="8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30830000000000002"/>
    <s v="NULL"/>
    <s v="NULL"/>
    <s v="NULL"/>
  </r>
  <r>
    <x v="507"/>
    <x v="3"/>
    <n v="20606294205"/>
    <s v="SERVICOS GENERALES GSC E.I.R.L."/>
    <s v="."/>
    <n v="10259020"/>
    <s v="Impulso Mixto"/>
    <s v="B29768"/>
    <n v="45000.0234375"/>
    <d v="2024-08-15T00:00:00"/>
    <n v="14.5"/>
    <s v="TLV"/>
    <s v="TLV"/>
    <s v="Impulso MyPeru Comercial"/>
    <n v="202408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08"/>
    <x v="2"/>
    <n v="20608341383"/>
    <s v="SMITHVC INVERSIONES"/>
    <s v="."/>
    <n v="10260177"/>
    <s v="Impulso Mixto"/>
    <s v="B37981"/>
    <n v="73294.5859375"/>
    <d v="2024-09-11T00:00:00"/>
    <n v="14.8"/>
    <s v="TLV"/>
    <s v="TLV"/>
    <s v="Impulso MyPeru Comercial"/>
    <n v="202409"/>
    <n v="90004.5"/>
    <s v="B37981"/>
    <x v="4"/>
    <s v="B34489"/>
    <x v="4"/>
    <x v="4"/>
    <x v="0"/>
    <s v="P1"/>
    <s v="NULL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509"/>
    <x v="5"/>
    <n v="20601027438"/>
    <s v="EMPRENDE GRUPO DE GESTION EMPRESARIAL S."/>
    <s v="."/>
    <n v="10268668"/>
    <s v="Nuevo Aprobado"/>
    <s v="BPECND"/>
    <n v="51088.671875"/>
    <d v="2025-06-13T00:00:00"/>
    <n v="19"/>
    <s v="TLV"/>
    <s v="TLV"/>
    <s v="Nuevo Aprobado EN"/>
    <n v="202506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10"/>
    <x v="12"/>
    <n v="20604570787"/>
    <s v="S &amp; C SERVICIOS GENERALES LA TORREMAR"/>
    <s v="."/>
    <n v="10266098"/>
    <s v="Nuevo pre Aprobado"/>
    <s v="BPECND"/>
    <n v="122465.609375"/>
    <d v="2025-03-12T00:00:00"/>
    <n v="18"/>
    <s v="TIENDAS"/>
    <s v="VENDORS"/>
    <s v="Nuevo Pre-aprobado"/>
    <n v="202503"/>
    <n v="160008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11"/>
    <x v="5"/>
    <n v="10001030626"/>
    <s v="MAZA CHAVEZ CLODUHUALDO ALEX"/>
    <n v="103062"/>
    <n v="10256135"/>
    <s v="Impulso Mixto"/>
    <s v="B29768"/>
    <n v="42417.41796875"/>
    <d v="2024-06-24T00:00:00"/>
    <n v="15.4"/>
    <s v="TIENDAS"/>
    <s v="TIENDAS"/>
    <s v="Impulso MyPeru Comercial"/>
    <n v="202406"/>
    <n v="64403.199999999997"/>
    <s v="B29768"/>
    <x v="32"/>
    <s v="B14530"/>
    <x v="5"/>
    <x v="1"/>
    <x v="0"/>
    <s v="P2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512"/>
    <x v="7"/>
    <n v="20551547834"/>
    <s v="AALFRI"/>
    <s v="."/>
    <n v="10267826"/>
    <s v="Nuevo NO BANK"/>
    <s v="B45439"/>
    <n v="55328.43359375"/>
    <d v="2025-05-15T00:00:00"/>
    <n v="24.6"/>
    <s v="TLV"/>
    <s v="TLV"/>
    <s v="Nuevo Aprobado EN"/>
    <n v="202505"/>
    <n v="70003.5"/>
    <s v="B45439"/>
    <x v="29"/>
    <s v="B45083"/>
    <x v="7"/>
    <x v="4"/>
    <x v="2"/>
    <s v="P1"/>
    <s v="C2"/>
    <n v="1"/>
    <x v="0"/>
    <n v="0"/>
    <n v="1"/>
    <n v="1"/>
    <x v="0"/>
    <n v="0"/>
    <s v="NULL"/>
    <s v="NULL"/>
    <s v="NULL"/>
    <s v="NULL"/>
    <s v="NULL"/>
    <n v="130000"/>
    <n v="0.32879999999999998"/>
    <n v="0.30880000000000002"/>
    <s v="NULL"/>
    <s v="NULL"/>
  </r>
  <r>
    <x v="513"/>
    <x v="8"/>
    <n v="20295076781"/>
    <s v="FAMODEMM S.R.LTDA."/>
    <s v="."/>
    <n v="10265419"/>
    <s v="CDD APROBADO"/>
    <s v="B45389"/>
    <n v="85498.953125"/>
    <d v="2025-02-18T00:00:00"/>
    <n v="15"/>
    <s v="TLV"/>
    <s v="TLV"/>
    <s v="Nuevo Aprobado Agil CD"/>
    <n v="202502"/>
    <n v="115005.75"/>
    <s v="B45389"/>
    <x v="16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0380000000000001"/>
    <s v="NULL"/>
    <s v="NULL"/>
    <s v="NULL"/>
  </r>
  <r>
    <x v="514"/>
    <x v="2"/>
    <n v="20541527525"/>
    <s v="INVERSIONES TURISTICAS AMERICA LATINA"/>
    <s v="."/>
    <n v="10266497"/>
    <s v="Ágil Recurrente CEM"/>
    <s v="B39478"/>
    <n v="124184.8359375"/>
    <d v="2025-03-25T00:00:00"/>
    <n v="16"/>
    <s v="TIENDAS"/>
    <s v="TIENDAS"/>
    <s v="Recurrente Ágil CEM"/>
    <n v="202503"/>
    <n v="145007.25"/>
    <s v="B39478"/>
    <x v="87"/>
    <s v="B34489"/>
    <x v="4"/>
    <x v="4"/>
    <x v="0"/>
    <s v="P1"/>
    <s v="NULL"/>
    <n v="1"/>
    <x v="0"/>
    <n v="0"/>
    <n v="0"/>
    <n v="1"/>
    <x v="0"/>
    <n v="0"/>
    <s v="NULL"/>
    <s v="NULL"/>
    <s v="NULL"/>
    <s v="NULL"/>
    <s v="NULL"/>
    <n v="201400"/>
    <n v="0.21"/>
    <n v="0.19"/>
    <s v="NULL"/>
    <s v="NULL"/>
  </r>
  <r>
    <x v="515"/>
    <x v="0"/>
    <n v="10076427360"/>
    <s v="ANTEZANA NAPURI JORGE LUIS"/>
    <n v="7642736"/>
    <n v="10265007"/>
    <s v="CDD APROBADO"/>
    <s v="B45389"/>
    <n v="139701.609375"/>
    <d v="2025-01-30T00:00:00"/>
    <n v="18"/>
    <s v="TLV"/>
    <s v="TLV"/>
    <s v="Nuevo Aprobado Agil CD"/>
    <n v="202501"/>
    <n v="180832.7"/>
    <s v="B45389"/>
    <x v="16"/>
    <s v="B45384"/>
    <x v="6"/>
    <x v="4"/>
    <x v="2"/>
    <s v="P1"/>
    <s v="C3"/>
    <n v="1"/>
    <x v="0"/>
    <n v="0"/>
    <n v="0"/>
    <n v="0"/>
    <x v="0"/>
    <n v="0"/>
    <s v="NULL"/>
    <s v="NULL"/>
    <s v="NULL"/>
    <s v="NULL"/>
    <s v="NULL"/>
    <n v="300000"/>
    <n v="0.21"/>
    <n v="0.19"/>
    <s v="NULL"/>
    <s v="NULL"/>
  </r>
  <r>
    <x v="516"/>
    <x v="0"/>
    <n v="10445433042"/>
    <s v="AGUILAR LOYOLA LUIS ENRIQUE"/>
    <n v="44543304"/>
    <n v="10272564"/>
    <s v="Nuevo Aprobado"/>
    <s v="BPECND"/>
    <n v="47770.9453125"/>
    <d v="2025-10-27T00:00:00"/>
    <n v="18"/>
    <s v="TLV"/>
    <s v="TLV"/>
    <s v="Nuevo Aprobado EN"/>
    <n v="202510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17"/>
    <x v="10"/>
    <n v="20603721901"/>
    <s v="INVERSIONES ECA BRASIL"/>
    <s v="."/>
    <n v="10270273"/>
    <s v="Nuevo Aprobado"/>
    <s v="B46175"/>
    <n v="135334.78125"/>
    <d v="2025-08-11T00:00:00"/>
    <n v="22"/>
    <s v="TLV"/>
    <s v="TLV"/>
    <s v="Nuevo Aprobado EN"/>
    <n v="202508"/>
    <n v="236011.8"/>
    <s v="B46175"/>
    <x v="70"/>
    <s v="B14530"/>
    <x v="5"/>
    <x v="7"/>
    <x v="0"/>
    <s v="P1"/>
    <s v="C1_2"/>
    <n v="1"/>
    <x v="1"/>
    <n v="0"/>
    <n v="0"/>
    <n v="0"/>
    <x v="0"/>
    <n v="0"/>
    <s v="NULL"/>
    <s v="NULL"/>
    <s v="NULL"/>
    <s v="NULL"/>
    <s v="NULL"/>
    <n v="226000"/>
    <n v="0.26090000000000002"/>
    <n v="0.2409"/>
    <s v="NULL"/>
    <s v="NULL"/>
  </r>
  <r>
    <x v="518"/>
    <x v="5"/>
    <n v="20606641592"/>
    <s v="ULIKE"/>
    <s v="."/>
    <n v="10268514"/>
    <s v="Nuevo Aprobado Ágil"/>
    <s v="B45869"/>
    <n v="151643.890625"/>
    <d v="2025-06-09T00:00:00"/>
    <n v="17"/>
    <s v="TLV"/>
    <s v="VENDORS"/>
    <s v="Nuevo Aprobado Agil"/>
    <n v="202506"/>
    <n v="170008.5"/>
    <s v="B45869"/>
    <x v="50"/>
    <s v="B14821"/>
    <x v="3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519"/>
    <x v="12"/>
    <n v="20607289647"/>
    <s v="EMPRESA INVERSIONES CORPORATIVAS VENUS"/>
    <s v="."/>
    <n v="10266158"/>
    <s v="Nuevo pre Aprobado"/>
    <s v="BPECND"/>
    <n v="61561.26953125"/>
    <d v="2025-03-13T00:00:00"/>
    <n v="23.5"/>
    <s v="TIENDAS"/>
    <s v="VENDORS"/>
    <s v="Nuevo Pre-aprobado"/>
    <n v="202503"/>
    <n v="80004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20"/>
    <x v="8"/>
    <n v="20606954647"/>
    <s v="MOTO DRAFT PERU"/>
    <s v="."/>
    <n v="10268516"/>
    <s v="CDD APROBADO"/>
    <s v="B43714"/>
    <n v="49491.140625"/>
    <d v="2025-06-09T00:00:00"/>
    <n v="15"/>
    <s v="TLV"/>
    <s v="TLV"/>
    <s v="Nuevo Aprobado Agil CD"/>
    <n v="202506"/>
    <n v="53002.65"/>
    <s v="B43714"/>
    <x v="64"/>
    <s v="B14821"/>
    <x v="3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898"/>
    <s v="NULL"/>
    <s v="NULL"/>
    <s v="NULL"/>
  </r>
  <r>
    <x v="521"/>
    <x v="10"/>
    <n v="10200169927"/>
    <s v="PACAHUALA RAFAEL JESUS ANTONIO"/>
    <n v="20016992"/>
    <n v="10267824"/>
    <s v="CDD APROBADO"/>
    <s v="BPECND"/>
    <n v="33240.8359375"/>
    <d v="2025-05-15T00:00:00"/>
    <n v="17"/>
    <s v="TLV"/>
    <s v="TLV"/>
    <s v="Nuevo Aprobado Agil CD"/>
    <n v="202505"/>
    <n v="50097.5"/>
    <s v="B28358"/>
    <x v="80"/>
    <s v="B45384"/>
    <x v="6"/>
    <x v="5"/>
    <x v="2"/>
    <s v="P2"/>
    <s v="C3"/>
    <n v="1"/>
    <x v="1"/>
    <n v="0"/>
    <n v="0"/>
    <n v="0"/>
    <x v="2"/>
    <n v="0"/>
    <s v="NULL"/>
    <s v="NULL"/>
    <s v="NULL"/>
    <s v="NULL"/>
    <s v="NULL"/>
    <n v="250000"/>
    <n v="0.2409"/>
    <n v="0.22090000000000001"/>
    <s v="NULL"/>
    <s v="NULL"/>
  </r>
  <r>
    <x v="522"/>
    <x v="8"/>
    <n v="20600030362"/>
    <s v="MEGA INVERSIONES A &amp; E"/>
    <s v="."/>
    <n v="10268195"/>
    <s v="Nuevo Aprobado"/>
    <s v="BPECND"/>
    <n v="76986.234375"/>
    <d v="2025-05-27T00:00:00"/>
    <n v="17"/>
    <s v="TLV"/>
    <s v="TLV"/>
    <s v="Nuevo Aprobado EN"/>
    <n v="202505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23"/>
    <x v="11"/>
    <n v="10413171283"/>
    <s v="TORRES AMBROCIO MARILU ESTHER"/>
    <n v="41317128"/>
    <n v="10157677"/>
    <s v="GIRO DE LINEA"/>
    <s v="B25972"/>
    <n v="83926.265625"/>
    <d v="2024-07-03T00:00:00"/>
    <n v="20.3"/>
    <s v="TIENDAS"/>
    <s v="TIENDAS"/>
    <s v="Giro de Línea"/>
    <n v="202407"/>
    <n v="125006.25"/>
    <s v="B25972"/>
    <x v="55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244"/>
    <x v="1"/>
    <n v="20600807448"/>
    <s v="COLEGIO LA ALBORADA"/>
    <s v="."/>
    <n v="10261874"/>
    <s v="Impulso Mixto"/>
    <s v="B30745"/>
    <n v="59352.65625"/>
    <d v="2024-10-22T00:00:00"/>
    <n v="15.7"/>
    <s v="TLV"/>
    <s v="TLV"/>
    <s v="Impulso MyPeru Comercial"/>
    <n v="202410"/>
    <n v="90004.5"/>
    <s v="B30745"/>
    <x v="14"/>
    <s v="B27274"/>
    <x v="0"/>
    <x v="5"/>
    <x v="0"/>
    <s v="P5"/>
    <s v="C1_2"/>
    <n v="1"/>
    <x v="0"/>
    <n v="0"/>
    <n v="0"/>
    <n v="1"/>
    <x v="0"/>
    <n v="0"/>
    <s v="NULL"/>
    <s v="NULL"/>
    <s v="NULL"/>
    <s v="NULL"/>
    <s v="NULL"/>
    <n v="50000"/>
    <n v="0.21"/>
    <n v="0.19"/>
    <s v="NULL"/>
    <s v="NULL"/>
  </r>
  <r>
    <x v="524"/>
    <x v="8"/>
    <n v="20602935559"/>
    <s v="MOTO SERVICE S.A.C."/>
    <s v="."/>
    <n v="10262742"/>
    <s v="Impulso CDI Cobertura"/>
    <s v="B27693"/>
    <n v="83470.75"/>
    <d v="2024-11-19T00:00:00"/>
    <n v="15.5"/>
    <s v="TIENDAS"/>
    <s v="TIENDAS"/>
    <s v="Impulso MyPeru Comercial"/>
    <n v="202411"/>
    <n v="90004.5"/>
    <s v="B27693"/>
    <x v="52"/>
    <s v="B27274"/>
    <x v="0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4979999999999999"/>
    <s v="NULL"/>
    <s v="NULL"/>
    <s v="NULL"/>
  </r>
  <r>
    <x v="525"/>
    <x v="5"/>
    <n v="10027946289"/>
    <s v="COVEÑAS NUÑEZ VDA DE RIVERA ELISA NATIVI"/>
    <n v="2794628"/>
    <n v="10253171"/>
    <s v="Impulso Solo"/>
    <s v="B19952"/>
    <n v="10447.75390625"/>
    <d v="2024-05-21T00:00:00"/>
    <n v="14.9"/>
    <s v="TLV"/>
    <s v="TLV"/>
    <s v="Impulso MyPeru Comercial"/>
    <n v="202405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26"/>
    <x v="10"/>
    <n v="20603852649"/>
    <s v="SIRAMAD"/>
    <s v="."/>
    <n v="10266286"/>
    <s v="Nuevo Aprobado"/>
    <s v="B45631"/>
    <n v="56478.7421875"/>
    <d v="2025-03-18T00:00:00"/>
    <n v="17"/>
    <s v="TIENDAS"/>
    <s v="VENDORS"/>
    <s v="Nuevo Pre-aprobado"/>
    <n v="202503"/>
    <n v="135006.75"/>
    <s v="B45631"/>
    <x v="54"/>
    <s v="B27274"/>
    <x v="0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527"/>
    <x v="5"/>
    <n v="10266118207"/>
    <s v="QUISPE CHAVEZ DOMITILA"/>
    <n v="26611820"/>
    <n v="10265152"/>
    <s v="CDD APROBADO"/>
    <s v="B45440"/>
    <n v="100052.140625"/>
    <d v="2025-02-06T00:00:00"/>
    <n v="19.5"/>
    <s v="TLV"/>
    <s v="TLV"/>
    <s v="Nuevo Aprobado Agil CD"/>
    <n v="202502"/>
    <n v="118105.9"/>
    <s v="B45440"/>
    <x v="73"/>
    <s v="B45083"/>
    <x v="7"/>
    <x v="4"/>
    <x v="2"/>
    <s v="P1"/>
    <s v="C3"/>
    <n v="1"/>
    <x v="1"/>
    <n v="0"/>
    <n v="0"/>
    <n v="0"/>
    <x v="0"/>
    <n v="0"/>
    <s v="NULL"/>
    <s v="NULL"/>
    <s v="NULL"/>
    <s v="NULL"/>
    <s v="NULL"/>
    <n v="200000"/>
    <n v="0.24"/>
    <n v="0.22"/>
    <s v="NULL"/>
    <s v="NULL"/>
  </r>
  <r>
    <x v="528"/>
    <x v="8"/>
    <n v="10479098331"/>
    <s v="FERNANDEZ HURTADO HONAR"/>
    <n v="47909833"/>
    <n v="10265494"/>
    <s v="CDD APROBADO"/>
    <s v="B30637"/>
    <n v="73298.59375"/>
    <d v="2025-02-20T00:00:00"/>
    <n v="16.5"/>
    <s v="TLV"/>
    <s v="TLV"/>
    <s v="Nuevo Aprobado Agil CD"/>
    <n v="202502"/>
    <n v="121630.66"/>
    <s v="B30637"/>
    <x v="12"/>
    <s v="B14530"/>
    <x v="5"/>
    <x v="1"/>
    <x v="0"/>
    <s v="P2"/>
    <s v="NULL"/>
    <n v="1"/>
    <x v="1"/>
    <n v="0"/>
    <n v="0"/>
    <n v="0"/>
    <x v="0"/>
    <n v="0"/>
    <s v="NULL"/>
    <s v="NULL"/>
    <s v="NULL"/>
    <s v="NULL"/>
    <s v="NULL"/>
    <n v="1"/>
    <n v="0.1678"/>
    <s v="NULL"/>
    <s v="NULL"/>
    <s v="NULL"/>
  </r>
  <r>
    <x v="529"/>
    <x v="11"/>
    <n v="20492279901"/>
    <s v="J.G.O. CONSTRUCTORES ASOCIADOS SOCIEDAD"/>
    <s v="."/>
    <n v="10227616"/>
    <s v="Nuevo Aprobado"/>
    <s v="B18980"/>
    <n v="14277.337890625"/>
    <d v="2022-07-25T00:00:00"/>
    <n v="20"/>
    <s v="TLV"/>
    <s v="TLV"/>
    <s v="NULL"/>
    <n v="202207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30"/>
    <x v="10"/>
    <n v="20603000936"/>
    <s v="SMART GEO"/>
    <s v="."/>
    <n v="10271482"/>
    <s v="Nuevo Aprobado Ágil"/>
    <s v="B13161"/>
    <n v="98101.203125"/>
    <d v="2025-09-18T00:00:00"/>
    <n v="17"/>
    <s v="TLV"/>
    <s v="TLV"/>
    <s v="Nuevo Aprobado Agil"/>
    <n v="202509"/>
    <n v="120006"/>
    <s v="B28573"/>
    <x v="74"/>
    <s v="B13161"/>
    <x v="9"/>
    <x v="4"/>
    <x v="0"/>
    <s v="P1"/>
    <s v="C2"/>
    <n v="1"/>
    <x v="0"/>
    <n v="0"/>
    <n v="0"/>
    <n v="1"/>
    <x v="2"/>
    <n v="0"/>
    <s v="NULL"/>
    <s v="NULL"/>
    <s v="NULL"/>
    <s v="NULL"/>
    <s v="NULL"/>
    <n v="250000"/>
    <n v="0.21"/>
    <n v="0.19"/>
    <s v="NULL"/>
    <s v="NULL"/>
  </r>
  <r>
    <x v="531"/>
    <x v="2"/>
    <n v="20602346308"/>
    <s v="TL SOLUTIONS PERU"/>
    <s v="."/>
    <n v="10255879"/>
    <s v="Impulso Mixto"/>
    <s v="B25939"/>
    <n v="62944.66796875"/>
    <d v="2024-06-21T00:00:00"/>
    <n v="16"/>
    <s v="TIENDAS"/>
    <s v="TIENDAS"/>
    <s v="Impulso MyPeru Comercial"/>
    <n v="202406"/>
    <n v="90004.5"/>
    <s v="B25939"/>
    <x v="23"/>
    <s v="B13988"/>
    <x v="8"/>
    <x v="4"/>
    <x v="0"/>
    <s v="P1"/>
    <s v="NULL"/>
    <n v="1"/>
    <x v="0"/>
    <n v="0"/>
    <n v="0"/>
    <n v="1"/>
    <x v="0"/>
    <n v="0"/>
    <s v="NULL"/>
    <s v="NULL"/>
    <s v="NULL"/>
    <s v="NULL"/>
    <s v="NULL"/>
    <n v="400000"/>
    <n v="0.21"/>
    <n v="0.19"/>
    <s v="NULL"/>
    <s v="NULL"/>
  </r>
  <r>
    <x v="532"/>
    <x v="1"/>
    <n v="20611397233"/>
    <s v="MULTISERVICIOS FERNANDEZ HF"/>
    <s v="."/>
    <n v="10265618"/>
    <s v="Nuevo pre Aprobado"/>
    <s v="B39015"/>
    <n v="23946.720703125"/>
    <d v="2025-02-24T00:00:00"/>
    <n v="18.5"/>
    <s v="TIENDAS"/>
    <s v="TIENDAS"/>
    <s v="Nuevo Pre-aprobado"/>
    <n v="202502"/>
    <n v="50002.5"/>
    <s v="B39015"/>
    <x v="2"/>
    <s v="NULL"/>
    <x v="2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533"/>
    <x v="1"/>
    <n v="10001859655"/>
    <s v="REGALADO MEDINA LUIS MAGNO"/>
    <n v="185965"/>
    <n v="10266268"/>
    <s v="CDD APROBADO"/>
    <s v="B13161"/>
    <n v="52030.68359375"/>
    <d v="2025-03-18T00:00:00"/>
    <n v="16"/>
    <s v="TLV"/>
    <s v="TLV"/>
    <s v="Nuevo Aprobado Agil CD"/>
    <n v="202503"/>
    <n v="109841.95"/>
    <s v="B14972"/>
    <x v="25"/>
    <s v="B13161"/>
    <x v="9"/>
    <x v="5"/>
    <x v="0"/>
    <s v="P5"/>
    <s v="C3"/>
    <n v="1"/>
    <x v="1"/>
    <n v="0"/>
    <n v="0"/>
    <n v="0"/>
    <x v="2"/>
    <n v="0"/>
    <s v="NULL"/>
    <s v="NULL"/>
    <s v="NULL"/>
    <s v="NULL"/>
    <s v="NULL"/>
    <n v="200000"/>
    <n v="0.22670000000000001"/>
    <n v="0.20669999999999999"/>
    <s v="NULL"/>
    <s v="NULL"/>
  </r>
  <r>
    <x v="534"/>
    <x v="10"/>
    <n v="20124794413"/>
    <s v="CASA OMAR IMPORT Y REPRESENT"/>
    <s v="."/>
    <n v="10270215"/>
    <s v="Recurrente Aprobado Agil"/>
    <s v="B33894"/>
    <n v="188913.875"/>
    <d v="2025-08-07T00:00:00"/>
    <n v="16.5"/>
    <s v="TIENDAS"/>
    <s v="TIENDAS"/>
    <s v="Recurrente Ágil CEM"/>
    <n v="202508"/>
    <n v="271713.55"/>
    <s v="B33894"/>
    <x v="36"/>
    <s v="B34489"/>
    <x v="4"/>
    <x v="5"/>
    <x v="0"/>
    <s v="P1"/>
    <s v="C1_2"/>
    <n v="1"/>
    <x v="0"/>
    <n v="0"/>
    <n v="0"/>
    <n v="1"/>
    <x v="0"/>
    <n v="0"/>
    <s v="NULL"/>
    <s v="NULL"/>
    <s v="NULL"/>
    <s v="NULL"/>
    <s v="NULL"/>
    <n v="81500"/>
    <n v="0.21"/>
    <n v="0.19"/>
    <s v="NULL"/>
    <s v="NULL"/>
  </r>
  <r>
    <x v="535"/>
    <x v="3"/>
    <n v="20554352783"/>
    <s v="JENFARMA PERU"/>
    <s v="."/>
    <n v="10157331"/>
    <s v="GIRO DE LINEA"/>
    <s v="B36289"/>
    <n v="110694.296875"/>
    <d v="2024-08-29T00:00:00"/>
    <n v="20.5"/>
    <s v="TIENDAS"/>
    <s v="TIENDAS"/>
    <s v="Giro de Línea"/>
    <n v="202408"/>
    <n v="140007"/>
    <s v="B36289"/>
    <x v="81"/>
    <s v="B13988"/>
    <x v="8"/>
    <x v="4"/>
    <x v="0"/>
    <s v="P1"/>
    <s v="NULL"/>
    <n v="1"/>
    <x v="0"/>
    <n v="0"/>
    <n v="0"/>
    <n v="0"/>
    <x v="2"/>
    <n v="0"/>
    <s v="NULL"/>
    <s v="NULL"/>
    <s v="NULL"/>
    <s v="NULL"/>
    <s v="NULL"/>
    <n v="109993"/>
    <n v="0.22"/>
    <n v="0.20200000000000001"/>
    <s v="NULL"/>
    <s v="NULL"/>
  </r>
  <r>
    <x v="536"/>
    <x v="12"/>
    <n v="20538900240"/>
    <s v="DL NEGOCIOS PERU"/>
    <s v="."/>
    <n v="10264945"/>
    <s v="GIRO DE LINEA"/>
    <s v="B22760"/>
    <n v="199124.078125"/>
    <d v="2025-01-29T00:00:00"/>
    <n v="15"/>
    <s v="TIENDAS"/>
    <s v="TIENDAS"/>
    <s v="Recurrente Ágil CEM"/>
    <n v="202501"/>
    <n v="250012.5"/>
    <s v="B22760"/>
    <x v="42"/>
    <s v="B34489"/>
    <x v="4"/>
    <x v="4"/>
    <x v="0"/>
    <s v="P1"/>
    <s v="NULL"/>
    <n v="1"/>
    <x v="0"/>
    <n v="0"/>
    <n v="0"/>
    <n v="1"/>
    <x v="0"/>
    <n v="0"/>
    <s v="NULL"/>
    <s v="NULL"/>
    <s v="NULL"/>
    <s v="NULL"/>
    <s v="NULL"/>
    <n v="250000"/>
    <n v="0.24"/>
    <n v="0.2233"/>
    <s v="NULL"/>
    <s v="NULL"/>
  </r>
  <r>
    <x v="537"/>
    <x v="7"/>
    <n v="20545417163"/>
    <s v="HIGH DATA PC"/>
    <s v="."/>
    <n v="10265357"/>
    <s v="CT Garantía"/>
    <s v="B25939"/>
    <n v="333116.28125"/>
    <d v="2025-02-14T00:00:00"/>
    <n v="12.5"/>
    <s v="TIENDAS"/>
    <s v="TIENDAS"/>
    <s v="Gestion Cartera"/>
    <n v="202502"/>
    <n v="376018.8"/>
    <s v="B27596"/>
    <x v="38"/>
    <s v="B13988"/>
    <x v="8"/>
    <x v="6"/>
    <x v="0"/>
    <s v="P1"/>
    <s v="C2"/>
    <n v="1"/>
    <x v="0"/>
    <n v="0"/>
    <n v="0"/>
    <n v="1"/>
    <x v="0"/>
    <n v="0"/>
    <s v="NULL"/>
    <s v="NULL"/>
    <s v="NULL"/>
    <s v="NULL"/>
    <s v="NULL"/>
    <n v="33000"/>
    <n v="0.23380000000000001"/>
    <n v="0.21379999999999999"/>
    <s v="NULL"/>
    <s v="NULL"/>
  </r>
  <r>
    <x v="538"/>
    <x v="7"/>
    <n v="20607204722"/>
    <s v="CORPORACION CANMEZA E.I.R.L"/>
    <s v="."/>
    <n v="10265417"/>
    <s v="Nuevo Aprobado Ágil"/>
    <s v="B45439"/>
    <n v="53891.81640625"/>
    <d v="2025-02-18T00:00:00"/>
    <n v="22.5"/>
    <s v="TLV"/>
    <s v="VENDORS"/>
    <s v="Nuevo Aprobado Agil"/>
    <n v="202502"/>
    <n v="100005"/>
    <s v="B45439"/>
    <x v="29"/>
    <s v="B45083"/>
    <x v="7"/>
    <x v="4"/>
    <x v="2"/>
    <s v="P1"/>
    <s v="C2"/>
    <n v="1"/>
    <x v="0"/>
    <n v="0"/>
    <n v="1"/>
    <n v="1"/>
    <x v="0"/>
    <n v="0"/>
    <s v="NULL"/>
    <s v="NULL"/>
    <s v="NULL"/>
    <s v="NULL"/>
    <s v="NULL"/>
    <n v="250000"/>
    <n v="0.245"/>
    <n v="0.22500000000000001"/>
    <s v="NULL"/>
    <s v="NULL"/>
  </r>
  <r>
    <x v="539"/>
    <x v="5"/>
    <n v="20609894301"/>
    <s v="CUBO MAKERS"/>
    <s v="."/>
    <n v="10255587"/>
    <s v="Impulso Mixto"/>
    <s v="B44900"/>
    <n v="2005.91870117188"/>
    <d v="2024-06-19T00:00:00"/>
    <n v="15.5"/>
    <s v="TLV"/>
    <s v="TLV"/>
    <s v="Impulso MyPeru Comercial"/>
    <n v="202406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40"/>
    <x v="0"/>
    <n v="20482682694"/>
    <s v="COMERCIALIZADORA &amp; TRANSPORTES CARITO AL"/>
    <s v="."/>
    <n v="10269537"/>
    <s v="Nuevo Aprobado"/>
    <s v="B45440"/>
    <n v="10238.41796875"/>
    <d v="2025-07-11T00:00:00"/>
    <n v="19"/>
    <s v="TLV"/>
    <s v="TLV"/>
    <s v="Nuevo Aprobado EN"/>
    <n v="202507"/>
    <n v="70003.5"/>
    <s v="B45440"/>
    <x v="73"/>
    <s v="B45083"/>
    <x v="7"/>
    <x v="4"/>
    <x v="2"/>
    <s v="P1"/>
    <s v="C2"/>
    <n v="1"/>
    <x v="1"/>
    <n v="0"/>
    <n v="0"/>
    <n v="0"/>
    <x v="0"/>
    <n v="0"/>
    <s v="NULL"/>
    <s v="NULL"/>
    <s v="NULL"/>
    <s v="NULL"/>
    <s v="NULL"/>
    <n v="250000"/>
    <n v="0.22220000000000001"/>
    <n v="0.20219999999999999"/>
    <s v="NULL"/>
    <s v="NULL"/>
  </r>
  <r>
    <x v="541"/>
    <x v="7"/>
    <n v="20546145515"/>
    <s v="CORPORACION WERNER"/>
    <s v="."/>
    <n v="10264546"/>
    <s v="Nuevo Aprobado Ágil"/>
    <s v="B45373"/>
    <n v="91065.3203125"/>
    <d v="2025-01-14T00:00:00"/>
    <n v="18.2"/>
    <s v="TLV"/>
    <s v="TLV"/>
    <s v="Nuevo Aprobado Agil"/>
    <n v="202501"/>
    <n v="146007.29999999999"/>
    <s v="B45373"/>
    <x v="13"/>
    <s v="B45384"/>
    <x v="6"/>
    <x v="4"/>
    <x v="2"/>
    <s v="P1"/>
    <s v="C1_1"/>
    <n v="1"/>
    <x v="1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542"/>
    <x v="7"/>
    <n v="10256827285"/>
    <s v="VARGAS ARAUJO JULIO CESAR"/>
    <n v="25682728"/>
    <n v="10263220"/>
    <s v="Impulso Mixto"/>
    <s v="B33958"/>
    <n v="48840.6484375"/>
    <d v="2024-11-28T00:00:00"/>
    <n v="14.5"/>
    <s v="TLV"/>
    <s v="VENDORS"/>
    <s v="Impulso MyPeru Comercial"/>
    <n v="202411"/>
    <n v="60003"/>
    <s v="B37981"/>
    <x v="4"/>
    <s v="B34489"/>
    <x v="4"/>
    <x v="4"/>
    <x v="0"/>
    <s v="P2"/>
    <s v="C3"/>
    <n v="1"/>
    <x v="1"/>
    <n v="0"/>
    <n v="0"/>
    <n v="0"/>
    <x v="2"/>
    <n v="0"/>
    <s v="NULL"/>
    <s v="NULL"/>
    <s v="NULL"/>
    <s v="NULL"/>
    <s v="NULL"/>
    <n v="200000"/>
    <n v="0.24679999999999999"/>
    <n v="0.2268"/>
    <s v="NULL"/>
    <s v="NULL"/>
  </r>
  <r>
    <x v="543"/>
    <x v="8"/>
    <n v="10771667029"/>
    <s v="RAMIREZ GOMEZ STEPHANIE ALESSANDRA"/>
    <n v="77166702"/>
    <n v="10262601"/>
    <s v="Nuevo Aprobado"/>
    <s v="B45373"/>
    <n v="42915.671875"/>
    <d v="2024-11-14T00:00:00"/>
    <n v="24.5"/>
    <s v="TLV"/>
    <s v="VENDORS"/>
    <s v="NULL"/>
    <n v="202411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44"/>
    <x v="0"/>
    <n v="10428635324"/>
    <s v="SEDANO GAMARRA IVETTE"/>
    <n v="42863532"/>
    <n v="10258199"/>
    <s v="Impulso Solo"/>
    <s v="B12887"/>
    <n v="75863.1953125"/>
    <d v="2024-07-30T00:00:00"/>
    <n v="14.49"/>
    <s v="TLV"/>
    <s v="TLV"/>
    <s v="Impulso MyPeru Comercial"/>
    <n v="202407"/>
    <n v="90005.5"/>
    <s v="B22760"/>
    <x v="42"/>
    <s v="B34489"/>
    <x v="4"/>
    <x v="4"/>
    <x v="0"/>
    <s v="P2"/>
    <s v="C3"/>
    <n v="1"/>
    <x v="0"/>
    <n v="0"/>
    <n v="1"/>
    <n v="1"/>
    <x v="2"/>
    <n v="0"/>
    <s v="NULL"/>
    <s v="NULL"/>
    <s v="NULL"/>
    <s v="NULL"/>
    <s v="NULL"/>
    <n v="300000"/>
    <n v="0.21920000000000001"/>
    <n v="0.19919999999999999"/>
    <s v="NULL"/>
    <s v="NULL"/>
  </r>
  <r>
    <x v="211"/>
    <x v="1"/>
    <n v="20608692623"/>
    <s v="UNIVERSAL LOGISTICA"/>
    <s v="."/>
    <n v="10274402"/>
    <s v="Recurrente Aprobado Agil"/>
    <s v="B43714"/>
    <n v="74191.6875"/>
    <d v="2026-01-08T00:00:00"/>
    <n v="19"/>
    <s v="TIENDAS"/>
    <s v="TIENDAS"/>
    <s v="Recurrente Ágil CEM"/>
    <n v="202601"/>
    <n v="80304"/>
    <s v="B43714"/>
    <x v="64"/>
    <s v="B14821"/>
    <x v="3"/>
    <x v="4"/>
    <x v="0"/>
    <s v="P5"/>
    <s v="C1_2"/>
    <n v="1"/>
    <x v="0"/>
    <n v="1"/>
    <n v="1"/>
    <n v="1"/>
    <x v="0"/>
    <n v="80304"/>
    <n v="19"/>
    <d v="2026-01-08T00:00:00"/>
    <s v="Recurrente Ágil CEM"/>
    <s v="TIENDAS"/>
    <s v="CAPITAL DE TRABAJO"/>
    <n v="80300"/>
    <n v="0.21"/>
    <n v="0.19"/>
    <s v="NULL"/>
    <s v="NULL"/>
  </r>
  <r>
    <x v="52"/>
    <x v="0"/>
    <n v="20522737730"/>
    <s v="IMPORT Y EXPORT SPEICHER"/>
    <s v="."/>
    <n v="10262706"/>
    <s v="Impulso Solo"/>
    <s v="B30745"/>
    <n v="3527.98803710938"/>
    <d v="2024-11-19T00:00:00"/>
    <n v="15.5"/>
    <s v="TLV"/>
    <s v="TLV"/>
    <s v="Impulso MyPeru Comercial"/>
    <n v="202411"/>
    <n v="90004.5"/>
    <s v="B30745"/>
    <x v="14"/>
    <s v="B27274"/>
    <x v="0"/>
    <x v="0"/>
    <x v="0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545"/>
    <x v="1"/>
    <n v="20610648160"/>
    <s v="DIAMETRAL 360 SAC"/>
    <s v="."/>
    <n v="10261452"/>
    <s v="Impulso Mixto"/>
    <s v="BPECND"/>
    <n v="29982.8359375"/>
    <d v="2024-10-11T00:00:00"/>
    <n v="17.200001"/>
    <s v="TLV"/>
    <s v="TLV"/>
    <s v="Impulso MyPeru Comercial"/>
    <n v="202410"/>
    <n v="45242.2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77"/>
    <x v="10"/>
    <n v="20601208017"/>
    <s v="CONSTRUCTORES Y MAQUINARIAS H &amp; C S.A.C."/>
    <s v="."/>
    <n v="10259393"/>
    <s v="Impulso CDI Cobertura"/>
    <s v="B34489"/>
    <n v="47924.96875"/>
    <d v="2024-08-23T00:00:00"/>
    <n v="13.8"/>
    <s v="TIENDAS"/>
    <s v="TIENDAS"/>
    <s v="Impulso MyPeru Comercial"/>
    <n v="202408"/>
    <n v="90005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46"/>
    <x v="7"/>
    <n v="20455363277"/>
    <s v="CONFIABILIDAD"/>
    <s v="."/>
    <n v="10271562"/>
    <s v="CDD PRE APROBADO"/>
    <s v="B46366"/>
    <n v="231715.265625"/>
    <d v="2025-09-19T00:00:00"/>
    <n v="14.5"/>
    <s v="TIENDAS VIRTUALES"/>
    <s v="TIENDAS VIRTUALES"/>
    <s v="Gestion Cartera"/>
    <n v="202509"/>
    <n v="250012.5"/>
    <s v="B46366"/>
    <x v="30"/>
    <s v="B45083"/>
    <x v="7"/>
    <x v="0"/>
    <x v="2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547"/>
    <x v="7"/>
    <n v="20611525070"/>
    <s v="YIS-LU IMPORTACIONES E.I.R.L"/>
    <s v="."/>
    <n v="10265671"/>
    <s v="Regular Sin Campaña"/>
    <s v="B45373"/>
    <n v="70338.6875"/>
    <d v="2025-02-25T00:00:00"/>
    <n v="18"/>
    <s v="TIENDAS"/>
    <s v="VENDORS"/>
    <s v="Gestion Cartera"/>
    <n v="202502"/>
    <n v="100005"/>
    <s v="B45373"/>
    <x v="13"/>
    <s v="B45384"/>
    <x v="6"/>
    <x v="1"/>
    <x v="2"/>
    <s v="P1"/>
    <s v="C1_2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548"/>
    <x v="3"/>
    <n v="20601281091"/>
    <s v="SHB GRUPO"/>
    <s v="."/>
    <n v="10199207"/>
    <s v="Reactiva"/>
    <s v="B19952"/>
    <n v="20860.320312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49"/>
    <x v="5"/>
    <n v="20559205592"/>
    <s v="MAMA ROSA PRODUCCIONES"/>
    <s v="."/>
    <n v="10193950"/>
    <s v="Reactiva"/>
    <s v="B19952"/>
    <n v="12927.13476562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50"/>
    <x v="4"/>
    <n v="20486741784"/>
    <s v="CENTRO ELECTRONICO CONMAQUEL INGENIEROS"/>
    <s v="."/>
    <n v="10172310"/>
    <s v="GIRO DE LINEA"/>
    <s v="BPECND"/>
    <n v="85560.2578125"/>
    <d v="2024-10-24T00:00:00"/>
    <n v="17"/>
    <s v="TIENDAS"/>
    <s v="TIENDAS"/>
    <s v="Giro de Línea"/>
    <n v="202410"/>
    <n v="100005"/>
    <s v="B19044"/>
    <x v="88"/>
    <s v="B34489"/>
    <x v="4"/>
    <x v="7"/>
    <x v="0"/>
    <s v="P1"/>
    <s v="NULL"/>
    <n v="1"/>
    <x v="0"/>
    <n v="0"/>
    <n v="0"/>
    <n v="1"/>
    <x v="2"/>
    <n v="0"/>
    <s v="NULL"/>
    <s v="NULL"/>
    <s v="NULL"/>
    <s v="NULL"/>
    <s v="NULL"/>
    <n v="155000"/>
    <n v="0.22"/>
    <n v="0.20280000000000001"/>
    <s v="NULL"/>
    <s v="NULL"/>
  </r>
  <r>
    <x v="551"/>
    <x v="1"/>
    <n v="20601798060"/>
    <s v="ROMASA OPERADOR LOGISTICO"/>
    <s v="."/>
    <n v="10271108"/>
    <s v="Recurrente Aprobado Agil"/>
    <s v="B27880"/>
    <n v="199913.109375"/>
    <d v="2025-09-08T00:00:00"/>
    <n v="15"/>
    <s v="TIENDAS VIRTUALES"/>
    <s v="TIENDAS VIRTUALES"/>
    <s v="Recurrente Ágil CEM"/>
    <n v="202509"/>
    <n v="250012.5"/>
    <s v="B27880"/>
    <x v="6"/>
    <s v="B14821"/>
    <x v="3"/>
    <x v="10"/>
    <x v="0"/>
    <s v="P5"/>
    <s v="C1_1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552"/>
    <x v="7"/>
    <n v="20570706331"/>
    <s v="RADIADORES ALVITES"/>
    <s v="."/>
    <n v="10269863"/>
    <s v="Nuevo Aprobado Ágil"/>
    <s v="B45373"/>
    <n v="93968.8984375"/>
    <d v="2025-07-22T00:00:00"/>
    <n v="17"/>
    <s v="TLV"/>
    <s v="TLV"/>
    <s v="Nuevo Aprobado Agil"/>
    <n v="202507"/>
    <n v="120006"/>
    <s v="B45373"/>
    <x v="13"/>
    <s v="B45384"/>
    <x v="6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553"/>
    <x v="7"/>
    <n v="10447216189"/>
    <s v="ORE ALFARO ANGELICA ROXANA"/>
    <n v="44721618"/>
    <n v="10251922"/>
    <s v="Impulso CDI Cobertura"/>
    <s v="B8978"/>
    <n v="38028.2890625"/>
    <d v="2024-04-29T00:00:00"/>
    <n v="15"/>
    <s v="TLV"/>
    <s v="TLV"/>
    <s v="Impulso MyPeru Comercial"/>
    <n v="202404"/>
    <n v="71033.5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9"/>
    <x v="6"/>
    <n v="20548226938"/>
    <s v="MJ NAVAL INDUSTRIA"/>
    <s v="."/>
    <n v="10255446"/>
    <s v="Impulso Solo"/>
    <s v="B27596"/>
    <n v="14920.994140625"/>
    <d v="2024-06-18T00:00:00"/>
    <n v="15.4"/>
    <s v="TIENDAS"/>
    <s v="TIENDAS"/>
    <s v="Impulso MyPeru Comercial"/>
    <n v="202406"/>
    <n v="90004.5"/>
    <s v="B27596"/>
    <x v="38"/>
    <s v="B13988"/>
    <x v="8"/>
    <x v="7"/>
    <x v="0"/>
    <s v="P1"/>
    <s v="NULL"/>
    <n v="1"/>
    <x v="0"/>
    <n v="0"/>
    <n v="0"/>
    <n v="1"/>
    <x v="0"/>
    <n v="0"/>
    <s v="NULL"/>
    <s v="NULL"/>
    <s v="NULL"/>
    <s v="NULL"/>
    <s v="NULL"/>
    <n v="111000"/>
    <n v="0.1938"/>
    <n v="0.17380000000000001"/>
    <s v="NULL"/>
    <s v="NULL"/>
  </r>
  <r>
    <x v="554"/>
    <x v="0"/>
    <n v="20548513163"/>
    <s v="AUTOPARTES SANTA MARIA IMPORT"/>
    <s v="."/>
    <n v="10170721"/>
    <s v="GIRO DE LINEA"/>
    <s v="B45631"/>
    <n v="129384.5625"/>
    <d v="2025-04-08T00:00:00"/>
    <n v="16"/>
    <s v="TIENDAS"/>
    <s v="TIENDAS"/>
    <s v="Giro de Línea"/>
    <n v="202504"/>
    <n v="184009.2"/>
    <s v="B45631"/>
    <x v="54"/>
    <s v="B27274"/>
    <x v="0"/>
    <x v="6"/>
    <x v="0"/>
    <s v="P1"/>
    <s v="C2"/>
    <n v="1"/>
    <x v="0"/>
    <n v="0"/>
    <n v="0"/>
    <n v="1"/>
    <x v="0"/>
    <n v="0"/>
    <s v="NULL"/>
    <s v="NULL"/>
    <s v="NULL"/>
    <s v="NULL"/>
    <s v="NULL"/>
    <n v="47300"/>
    <n v="0.21"/>
    <n v="0.19"/>
    <s v="NULL"/>
    <s v="NULL"/>
  </r>
  <r>
    <x v="555"/>
    <x v="5"/>
    <n v="20533154299"/>
    <s v="ALQUILERES Y SERVICIOS BRAYANCITO R."/>
    <s v="."/>
    <n v="10251517"/>
    <s v="Impulso Mixto"/>
    <s v="B33894"/>
    <n v="57415.66015625"/>
    <d v="2024-04-24T00:00:00"/>
    <n v="13.8"/>
    <s v="TLV"/>
    <s v="TLV"/>
    <s v="Impulso MyPeru Comercial"/>
    <n v="202404"/>
    <n v="100005"/>
    <s v="B33894"/>
    <x v="36"/>
    <s v="B34489"/>
    <x v="4"/>
    <x v="4"/>
    <x v="0"/>
    <s v="P1"/>
    <s v="C1_1"/>
    <n v="1"/>
    <x v="0"/>
    <n v="0"/>
    <n v="0"/>
    <n v="1"/>
    <x v="0"/>
    <n v="0"/>
    <s v="NULL"/>
    <s v="NULL"/>
    <s v="NULL"/>
    <s v="NULL"/>
    <s v="NULL"/>
    <n v="400000"/>
    <n v="0.17"/>
    <n v="0.15"/>
    <s v="NULL"/>
    <s v="NULL"/>
  </r>
  <r>
    <x v="556"/>
    <x v="8"/>
    <n v="20606739011"/>
    <s v="PODALE E.I.R.L"/>
    <s v="."/>
    <n v="10255732"/>
    <s v="Impulso Solo"/>
    <s v="B30094"/>
    <n v="66552.2734375"/>
    <d v="2024-06-20T00:00:00"/>
    <n v="16.399999999999999"/>
    <s v="TLV"/>
    <s v="TLV"/>
    <s v="Impulso MyPeru Comercial"/>
    <n v="202406"/>
    <n v="90004.5"/>
    <s v="b30094"/>
    <x v="48"/>
    <s v="B34489"/>
    <x v="4"/>
    <x v="4"/>
    <x v="0"/>
    <s v="P1"/>
    <s v="NULL"/>
    <n v="1"/>
    <x v="0"/>
    <n v="0"/>
    <n v="1"/>
    <n v="1"/>
    <x v="0"/>
    <n v="0"/>
    <s v="NULL"/>
    <s v="NULL"/>
    <s v="NULL"/>
    <s v="NULL"/>
    <s v="NULL"/>
    <n v="250000"/>
    <n v="0.25"/>
    <n v="0.23"/>
    <s v="NULL"/>
    <s v="NULL"/>
  </r>
  <r>
    <x v="557"/>
    <x v="7"/>
    <n v="10424780907"/>
    <s v="CABRERA ARTEGA LUIS MIGUEL"/>
    <n v="42478090"/>
    <n v="10249258"/>
    <s v="Impulso Solo"/>
    <s v="B45375"/>
    <n v="32027.392578125"/>
    <d v="2024-03-13T00:00:00"/>
    <n v="14.3"/>
    <s v="TLV"/>
    <s v="TLV"/>
    <s v="Impulso MyPeru Comercial"/>
    <n v="202403"/>
    <n v="90004.5"/>
    <s v="B45375"/>
    <x v="65"/>
    <s v="B45384"/>
    <x v="6"/>
    <x v="1"/>
    <x v="2"/>
    <s v="P2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558"/>
    <x v="2"/>
    <n v="20602506054"/>
    <s v="CORPORACION MAXMOTORS"/>
    <s v="."/>
    <n v="10222557"/>
    <s v="GIRO DE LINEA"/>
    <s v="B27274"/>
    <n v="10518.2158203125"/>
    <d v="2025-01-30T00:00:00"/>
    <n v="15.5"/>
    <s v="TIENDAS"/>
    <s v="TIENDAS"/>
    <s v="Ecosistemas Corporativos"/>
    <n v="202501"/>
    <n v="12000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59"/>
    <x v="6"/>
    <n v="20501534014"/>
    <s v="GRUPO TCA INTERNACIONAL S.R.L"/>
    <s v="."/>
    <n v="10271537"/>
    <s v="Nuevo Aprobado Ágil"/>
    <s v="BPECND"/>
    <n v="96428.609375"/>
    <d v="2025-09-19T00:00:00"/>
    <n v="17.12"/>
    <s v="TLV"/>
    <s v="VENDORS"/>
    <s v="Nuevo Aprobado Agil"/>
    <n v="202509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60"/>
    <x v="9"/>
    <n v="10068139363"/>
    <s v="HUAMAN OCHOA PAUL RICHARD"/>
    <n v="6813936"/>
    <n v="10267296"/>
    <s v="CDD APROBADO"/>
    <s v="B27334"/>
    <n v="83731.015625"/>
    <d v="2025-04-24T00:00:00"/>
    <n v="18"/>
    <s v="TLV"/>
    <s v="VENDORS"/>
    <s v="Nuevo Aprobado Agil CD"/>
    <n v="202504"/>
    <n v="107015.3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61"/>
    <x v="6"/>
    <n v="20566238412"/>
    <s v="OPTICAL SERVICES PERU"/>
    <s v="."/>
    <n v="10265487"/>
    <s v="Nuevo Aprobado Ágil"/>
    <s v="B46403"/>
    <n v="70427.6796875"/>
    <d v="2025-02-20T00:00:00"/>
    <n v="18.5"/>
    <s v="TLV"/>
    <s v="VENDORS"/>
    <s v="Nuevo Aprobado Agil"/>
    <n v="202502"/>
    <n v="100005"/>
    <s v="B46403"/>
    <x v="61"/>
    <s v="B14821"/>
    <x v="3"/>
    <x v="4"/>
    <x v="0"/>
    <s v="P1"/>
    <s v="NULL"/>
    <n v="1"/>
    <x v="0"/>
    <n v="0"/>
    <n v="1"/>
    <n v="1"/>
    <x v="0"/>
    <n v="0"/>
    <s v="NULL"/>
    <s v="NULL"/>
    <s v="NULL"/>
    <s v="NULL"/>
    <s v="NULL"/>
    <n v="400000"/>
    <n v="0.21"/>
    <n v="0.19"/>
    <s v="NULL"/>
    <s v="NULL"/>
  </r>
  <r>
    <x v="562"/>
    <x v="9"/>
    <n v="20607749338"/>
    <s v="INVERSIONES COMERCIALES KAMIYADI IMPORT,"/>
    <s v="."/>
    <n v="10264562"/>
    <s v="Nuevo Aprobado Ágil"/>
    <s v="BPECND"/>
    <n v="30321.91796875"/>
    <d v="2025-01-14T00:00:00"/>
    <n v="19.200001"/>
    <s v="TLV"/>
    <s v="TLV"/>
    <s v="Nuevo Aprobado Agil"/>
    <n v="202501"/>
    <n v="47102.3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63"/>
    <x v="7"/>
    <n v="20456215026"/>
    <s v="MAFAC DEL SUR"/>
    <s v="."/>
    <n v="10268665"/>
    <s v="CDD APROBADO"/>
    <s v="B45439"/>
    <n v="122726.6171875"/>
    <d v="2025-06-13T00:00:00"/>
    <n v="17.700001"/>
    <s v="TLV"/>
    <s v="TLV"/>
    <s v="Nuevo Aprobado Agil CD"/>
    <n v="202506"/>
    <n v="138006.9"/>
    <s v="B45439"/>
    <x v="29"/>
    <s v="B45083"/>
    <x v="7"/>
    <x v="4"/>
    <x v="2"/>
    <s v="P1"/>
    <s v="C1_2"/>
    <n v="1"/>
    <x v="0"/>
    <n v="0"/>
    <n v="0"/>
    <n v="0"/>
    <x v="0"/>
    <n v="0"/>
    <s v="NULL"/>
    <s v="NULL"/>
    <s v="NULL"/>
    <s v="NULL"/>
    <s v="NULL"/>
    <n v="130000"/>
    <n v="0.26379999999999998"/>
    <n v="0.24379999999999999"/>
    <s v="NULL"/>
    <s v="NULL"/>
  </r>
  <r>
    <x v="564"/>
    <x v="5"/>
    <n v="20448805809"/>
    <s v="GRUPO SUR MOVIL"/>
    <s v="."/>
    <n v="10267468"/>
    <s v="CDD APROBADO"/>
    <s v="B36343"/>
    <n v="60499.51953125"/>
    <d v="2025-04-29T00:00:00"/>
    <n v="16.16"/>
    <s v="TLV"/>
    <s v="TLV"/>
    <s v="Nuevo Aprobado Agil CD"/>
    <n v="202504"/>
    <n v="85104.25"/>
    <s v="B36343"/>
    <x v="40"/>
    <s v="B13161"/>
    <x v="9"/>
    <x v="4"/>
    <x v="0"/>
    <s v="P1"/>
    <s v="C1_1"/>
    <n v="1"/>
    <x v="1"/>
    <n v="0"/>
    <n v="0"/>
    <n v="0"/>
    <x v="0"/>
    <n v="0"/>
    <s v="NULL"/>
    <s v="NULL"/>
    <s v="NULL"/>
    <s v="NULL"/>
    <s v="NULL"/>
    <n v="400000"/>
    <n v="0.18"/>
    <n v="0.16"/>
    <s v="NULL"/>
    <s v="NULL"/>
  </r>
  <r>
    <x v="565"/>
    <x v="6"/>
    <n v="20555745614"/>
    <s v="INTERNATIONAL ASSISTANCE PERU S.A.C. - I"/>
    <s v="."/>
    <n v="10266720"/>
    <s v="CDD APROBADO"/>
    <s v="B22846"/>
    <n v="129297.90625"/>
    <d v="2025-03-28T00:00:00"/>
    <n v="14"/>
    <s v="TLV"/>
    <s v="TLV"/>
    <s v="Nuevo Aprobado Agil CD"/>
    <n v="202503"/>
    <n v="149822.45000000001"/>
    <s v="B22846"/>
    <x v="47"/>
    <s v="B13988"/>
    <x v="8"/>
    <x v="4"/>
    <x v="0"/>
    <s v="P1"/>
    <s v="NULL"/>
    <n v="1"/>
    <x v="0"/>
    <n v="0"/>
    <n v="1"/>
    <n v="1"/>
    <x v="0"/>
    <n v="0"/>
    <s v="NULL"/>
    <s v="NULL"/>
    <s v="NULL"/>
    <s v="NULL"/>
    <s v="NULL"/>
    <n v="400000"/>
    <n v="0.21"/>
    <n v="0.19"/>
    <s v="NULL"/>
    <s v="NULL"/>
  </r>
  <r>
    <x v="566"/>
    <x v="7"/>
    <n v="20610095594"/>
    <s v="EMPRESA DE TRANSPORTE DOS GARCIA E.I.R.L"/>
    <s v="."/>
    <n v="10271021"/>
    <s v="CDD APROBADO"/>
    <s v="BPECND"/>
    <n v="140113.265625"/>
    <d v="2025-09-03T00:00:00"/>
    <n v="17"/>
    <s v="TLV"/>
    <s v="TLV"/>
    <s v="Nuevo Aprobado Agil CD"/>
    <n v="202509"/>
    <n v="150082.5"/>
    <s v="NULL"/>
    <x v="2"/>
    <s v="NULL"/>
    <x v="2"/>
    <x v="12"/>
    <x v="3"/>
    <s v="P1"/>
    <s v="C1_2"/>
    <n v="1"/>
    <x v="1"/>
    <n v="0"/>
    <n v="0"/>
    <n v="0"/>
    <x v="1"/>
    <n v="0"/>
    <s v="NULL"/>
    <s v="NULL"/>
    <s v="NULL"/>
    <s v="NULL"/>
    <s v="NULL"/>
    <s v="NULL"/>
    <s v="NULL"/>
    <s v="NULL"/>
    <s v="TLV C"/>
    <s v="POOL TRANSACCIONAL"/>
  </r>
  <r>
    <x v="567"/>
    <x v="1"/>
    <n v="20602794211"/>
    <s v="COMIENDO CON CAYETANA"/>
    <s v="."/>
    <n v="10271585"/>
    <s v="Nuevo NO BANK"/>
    <s v="B14530"/>
    <n v="82201.703125"/>
    <d v="2025-09-22T00:00:00"/>
    <n v="20"/>
    <s v="TLV"/>
    <s v="TLV"/>
    <s v="Nuevo Aprobado EN"/>
    <n v="202509"/>
    <n v="96004.80000000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68"/>
    <x v="11"/>
    <n v="20603268700"/>
    <s v="HIDRAULICA INTERNACIONAL"/>
    <s v="."/>
    <n v="10266707"/>
    <s v="Nuevo Aprobado Ágil"/>
    <s v="BPECND"/>
    <n v="110205.4921875"/>
    <d v="2025-03-28T00:00:00"/>
    <n v="17"/>
    <s v="TLV"/>
    <s v="TLV"/>
    <s v="Nuevo Aprobado Agil"/>
    <n v="202503"/>
    <n v="110205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69"/>
    <x v="1"/>
    <n v="20554976990"/>
    <s v="ARTURO MOTORS"/>
    <s v="."/>
    <n v="10270524"/>
    <s v="Recurrente Aprobado Agil"/>
    <s v="B13161"/>
    <n v="78520.546875"/>
    <d v="2025-08-20T00:00:00"/>
    <n v="19"/>
    <s v="TIENDAS VIRTUALES"/>
    <s v="TIENDAS VIRTUALES"/>
    <s v="Recurrente Ágil CEM"/>
    <n v="202508"/>
    <n v="184509.2"/>
    <s v="B20210"/>
    <x v="39"/>
    <s v="B13161"/>
    <x v="9"/>
    <x v="4"/>
    <x v="0"/>
    <s v="P5"/>
    <s v="C1_2"/>
    <n v="1"/>
    <x v="0"/>
    <n v="0"/>
    <n v="1"/>
    <n v="1"/>
    <x v="2"/>
    <n v="0"/>
    <s v="NULL"/>
    <s v="NULL"/>
    <s v="NULL"/>
    <s v="NULL"/>
    <s v="NULL"/>
    <n v="67100"/>
    <n v="0.21"/>
    <n v="0.19"/>
    <s v="NULL"/>
    <s v="NULL"/>
  </r>
  <r>
    <x v="570"/>
    <x v="5"/>
    <n v="20608047191"/>
    <s v="ABRASIVOS Y PERNOS"/>
    <s v="."/>
    <n v="10268905"/>
    <s v="Nuevo pre Aprobado"/>
    <s v="B13988"/>
    <n v="160722.484375"/>
    <d v="2025-06-20T00:00:00"/>
    <n v="18"/>
    <s v="TIENDAS"/>
    <s v="TIENDAS"/>
    <s v="Nuevo Pre-aprobado"/>
    <n v="202506"/>
    <n v="18000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71"/>
    <x v="10"/>
    <n v="10083190430"/>
    <s v="SALINAS GAMARRA OLINDA NELLY"/>
    <n v="8319043"/>
    <n v="10262575"/>
    <s v="Impulso Solo"/>
    <s v="B45375"/>
    <n v="26568.78125"/>
    <d v="2024-11-13T00:00:00"/>
    <n v="17.899999999999999"/>
    <s v="TLV"/>
    <s v="TLV"/>
    <s v="Impulso MyPeru Comercial"/>
    <n v="202411"/>
    <n v="40002"/>
    <s v="B45375"/>
    <x v="65"/>
    <s v="B45384"/>
    <x v="6"/>
    <x v="5"/>
    <x v="2"/>
    <s v="P2"/>
    <s v="C3"/>
    <n v="1"/>
    <x v="1"/>
    <n v="0"/>
    <n v="0"/>
    <n v="0"/>
    <x v="0"/>
    <n v="0"/>
    <s v="NULL"/>
    <s v="NULL"/>
    <s v="NULL"/>
    <s v="NULL"/>
    <s v="NULL"/>
    <n v="50000"/>
    <n v="0.21"/>
    <n v="0.19"/>
    <s v="NULL"/>
    <s v="NULL"/>
  </r>
  <r>
    <x v="572"/>
    <x v="5"/>
    <n v="10296653077"/>
    <s v="MITA YAURI ENMA CORINA"/>
    <n v="29665307"/>
    <n v="10256532"/>
    <s v="Impulso Mixto"/>
    <s v="BPECND"/>
    <n v="19764.912109375"/>
    <d v="2024-06-26T00:00:00"/>
    <n v="15.5"/>
    <s v="TLV"/>
    <s v="TLV"/>
    <s v="Impulso MyPeru Comercial"/>
    <n v="202406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73"/>
    <x v="5"/>
    <n v="20605227857"/>
    <s v="SUMINISTROS CROSEL"/>
    <s v="."/>
    <n v="10257975"/>
    <s v="Impulso Mixto"/>
    <s v="B45083"/>
    <n v="41851.73828125"/>
    <d v="2024-07-25T00:00:00"/>
    <n v="15"/>
    <s v="TIENDAS"/>
    <s v="TIENDAS"/>
    <s v="Impulso MyPeru Comercial"/>
    <n v="202407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74"/>
    <x v="5"/>
    <n v="20604770565"/>
    <s v="INVERSIONES YHODERLY SOCIEDAD ANONIMA CE"/>
    <s v="."/>
    <n v="10262272"/>
    <s v="Impulso Solo"/>
    <s v="B45374"/>
    <n v="76648.9375"/>
    <d v="2024-10-31T00:00:00"/>
    <n v="14"/>
    <s v="TIENDAS"/>
    <s v="TIENDAS"/>
    <s v="Impulso MyPeru Comercial"/>
    <n v="202410"/>
    <n v="90004.5"/>
    <s v="B45374"/>
    <x v="21"/>
    <s v="B45384"/>
    <x v="6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575"/>
    <x v="12"/>
    <n v="20608007149"/>
    <s v="SALUD IMASS"/>
    <s v="."/>
    <n v="10264602"/>
    <s v="Nuevo Aprobado"/>
    <s v="B45374"/>
    <n v="74686.71875"/>
    <d v="2025-01-16T00:00:00"/>
    <n v="18.200001"/>
    <s v="TLV"/>
    <s v="TLV"/>
    <s v="Nuevo Aprobado EN"/>
    <n v="202501"/>
    <n v="100005"/>
    <s v="B45374"/>
    <x v="21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1883"/>
    <s v="NULL"/>
    <s v="NULL"/>
    <s v="NULL"/>
  </r>
  <r>
    <x v="576"/>
    <x v="6"/>
    <n v="10215258926"/>
    <s v="HUAMANI PACHECO WALTER ANDRES"/>
    <n v="21525892"/>
    <n v="10264680"/>
    <s v="Nuevo Aprobado"/>
    <s v="B45374"/>
    <n v="3333.37329101563"/>
    <d v="2025-01-21T00:00:00"/>
    <n v="24.200001"/>
    <s v="TLV"/>
    <s v="TLV"/>
    <s v="Nuevo Aprobado EN"/>
    <n v="202501"/>
    <n v="60003"/>
    <s v="B45374"/>
    <x v="21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577"/>
    <x v="7"/>
    <n v="10730030474"/>
    <s v="ENEQUE MANDUJANO JOHN MANUEL"/>
    <n v="73003047"/>
    <n v="10255420"/>
    <s v="Impulso CDI Cobertura"/>
    <s v="B35209"/>
    <n v="57778.96875"/>
    <d v="2024-06-18T00:00:00"/>
    <n v="16.700001"/>
    <s v="TIENDAS"/>
    <s v="TIENDAS"/>
    <s v="Impulso MyPeru Comercial"/>
    <n v="202406"/>
    <n v="89984.45"/>
    <s v="B35209"/>
    <x v="26"/>
    <s v="B27274"/>
    <x v="0"/>
    <x v="1"/>
    <x v="0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578"/>
    <x v="0"/>
    <n v="20485956698"/>
    <s v="INVERSIONES CHIONG SCRL"/>
    <s v="."/>
    <n v="10271839"/>
    <s v="Nuevo Aprobado Ágil"/>
    <s v="BPECND"/>
    <n v="106999.6953125"/>
    <d v="2025-09-29T00:00:00"/>
    <n v="17"/>
    <s v="TLV"/>
    <s v="TLV"/>
    <s v="Nuevo Aprobado Agil"/>
    <n v="202509"/>
    <n v="120006"/>
    <s v="NULL"/>
    <x v="2"/>
    <s v="NULL"/>
    <x v="2"/>
    <x v="12"/>
    <x v="3"/>
    <s v="P1"/>
    <s v="C2"/>
    <n v="1"/>
    <x v="0"/>
    <n v="0"/>
    <n v="0"/>
    <n v="1"/>
    <x v="1"/>
    <n v="0"/>
    <s v="NULL"/>
    <s v="NULL"/>
    <s v="NULL"/>
    <s v="NULL"/>
    <s v="NULL"/>
    <s v="NULL"/>
    <s v="NULL"/>
    <s v="NULL"/>
    <s v="TLV C"/>
    <s v="POOL TRANSACCIONAL"/>
  </r>
  <r>
    <x v="579"/>
    <x v="0"/>
    <n v="20605514881"/>
    <s v="OPTICAS INTEGRALES"/>
    <s v="."/>
    <n v="10270814"/>
    <s v="CDD APROBADO"/>
    <s v="B45375"/>
    <n v="250588.390625"/>
    <d v="2025-08-28T00:00:00"/>
    <n v="15.5"/>
    <s v="TIENDAS VIRTUALES"/>
    <s v="VENDORS"/>
    <s v="Nuevo Aprobado Agil CD"/>
    <n v="202508"/>
    <n v="281014.05"/>
    <s v="B45375"/>
    <x v="65"/>
    <s v="B45384"/>
    <x v="6"/>
    <x v="0"/>
    <x v="2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580"/>
    <x v="3"/>
    <n v="20524086019"/>
    <s v="ALIMAC"/>
    <s v="."/>
    <n v="10160072"/>
    <s v="GIRO DE LINEA"/>
    <s v="BPECND"/>
    <n v="160475.078125"/>
    <d v="2024-11-28T00:00:00"/>
    <n v="16"/>
    <s v="TIENDAS"/>
    <s v="TIENDAS"/>
    <s v="Giro de Línea"/>
    <n v="202411"/>
    <n v="18000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81"/>
    <x v="6"/>
    <n v="20607216101"/>
    <s v="OMEGA LABELS"/>
    <s v="."/>
    <n v="10255173"/>
    <s v="Impulso Solo"/>
    <s v="B20210"/>
    <n v="55661.71484375"/>
    <d v="2024-06-14T00:00:00"/>
    <n v="15.5"/>
    <s v="TLV"/>
    <s v="TLV"/>
    <s v="Impulso MyPeru Comercial"/>
    <n v="202406"/>
    <n v="90004.5"/>
    <s v="B20210"/>
    <x v="39"/>
    <s v="B13161"/>
    <x v="9"/>
    <x v="1"/>
    <x v="0"/>
    <s v="P1"/>
    <s v="NULL"/>
    <n v="1"/>
    <x v="0"/>
    <n v="0"/>
    <n v="1"/>
    <n v="1"/>
    <x v="0"/>
    <n v="0"/>
    <s v="NULL"/>
    <s v="NULL"/>
    <s v="NULL"/>
    <s v="NULL"/>
    <s v="NULL"/>
    <n v="1"/>
    <n v="1"/>
    <s v="NULL"/>
    <s v="NULL"/>
    <s v="NULL"/>
  </r>
  <r>
    <x v="582"/>
    <x v="0"/>
    <n v="20515479261"/>
    <s v="NET CONSULTORES"/>
    <s v="."/>
    <n v="10264441"/>
    <s v="Nuevo Aprobado"/>
    <s v="B45389"/>
    <n v="41905.03125"/>
    <d v="2025-01-06T00:00:00"/>
    <n v="18.200001"/>
    <s v="TLV"/>
    <s v="TLV"/>
    <s v="Nuevo Aprobado EN"/>
    <n v="202501"/>
    <n v="100005"/>
    <s v="B45389"/>
    <x v="16"/>
    <s v="B45384"/>
    <x v="6"/>
    <x v="0"/>
    <x v="2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583"/>
    <x v="10"/>
    <n v="20606417170"/>
    <s v="INVERSIONES CHANG KEY"/>
    <s v="."/>
    <n v="10272246"/>
    <s v="CDD APROBADO"/>
    <s v="B45079"/>
    <n v="76132.0625"/>
    <d v="2025-10-15T00:00:00"/>
    <n v="14"/>
    <s v="TLV"/>
    <s v="TLV"/>
    <s v="Nuevo Aprobado Agil CD"/>
    <n v="202510"/>
    <n v="97417.25"/>
    <s v="B45079"/>
    <x v="17"/>
    <s v="B45083"/>
    <x v="7"/>
    <x v="9"/>
    <x v="2"/>
    <s v="P1"/>
    <s v="C1_1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584"/>
    <x v="7"/>
    <n v="20482587608"/>
    <s v="LABORATORIO INDA S.A.C."/>
    <s v="."/>
    <n v="10267302"/>
    <s v="CDD APROBADO"/>
    <s v="B45371"/>
    <n v="110650.6171875"/>
    <d v="2025-04-24T00:00:00"/>
    <n v="16"/>
    <s v="TLV"/>
    <s v="TLV"/>
    <s v="Nuevo Aprobado Agil CD"/>
    <n v="202504"/>
    <n v="127656.35"/>
    <s v="B45371"/>
    <x v="15"/>
    <s v="B45384"/>
    <x v="6"/>
    <x v="4"/>
    <x v="2"/>
    <s v="P1"/>
    <s v="C1_2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585"/>
    <x v="8"/>
    <n v="20604628149"/>
    <s v="JL CORNIVELL GESTION ARTE Y RESTAURACION"/>
    <s v="."/>
    <n v="10265666"/>
    <s v="CDD APROBADO"/>
    <s v="B45077"/>
    <n v="23493.791015625"/>
    <d v="2025-02-25T00:00:00"/>
    <n v="18.5"/>
    <s v="TLV"/>
    <s v="TLV"/>
    <s v="Nuevo Aprobado Agil CD"/>
    <n v="202502"/>
    <n v="43372.15"/>
    <s v="B45077"/>
    <x v="89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1479999999999999"/>
    <s v="NULL"/>
    <s v="NULL"/>
    <s v="NULL"/>
  </r>
  <r>
    <x v="586"/>
    <x v="8"/>
    <n v="20601992532"/>
    <s v="AITALULI MEDICAL S.A.C."/>
    <s v="."/>
    <n v="10264561"/>
    <s v="Nuevo Aprobado Ágil"/>
    <s v="B45374"/>
    <n v="78177.953125"/>
    <d v="2025-01-14T00:00:00"/>
    <n v="19.200001"/>
    <s v="TLV"/>
    <s v="TLV"/>
    <s v="Nuevo Aprobado EN"/>
    <n v="202501"/>
    <n v="100005"/>
    <s v="B45374"/>
    <x v="21"/>
    <s v="B45384"/>
    <x v="6"/>
    <x v="1"/>
    <x v="2"/>
    <s v="P1"/>
    <s v="NULL"/>
    <n v="1"/>
    <x v="0"/>
    <n v="0"/>
    <n v="0"/>
    <n v="1"/>
    <x v="0"/>
    <n v="0"/>
    <s v="NULL"/>
    <s v="NULL"/>
    <s v="NULL"/>
    <s v="NULL"/>
    <s v="NULL"/>
    <n v="1"/>
    <n v="0.2238"/>
    <n v="0"/>
    <s v="NULL"/>
    <s v="NULL"/>
  </r>
  <r>
    <x v="587"/>
    <x v="8"/>
    <n v="20601553148"/>
    <s v="ECONOVENDING S.A.C."/>
    <s v="."/>
    <n v="10269560"/>
    <s v="CDD APROBADO"/>
    <s v="BPECND"/>
    <n v="283264.5"/>
    <d v="2025-07-14T00:00:00"/>
    <n v="16.5"/>
    <s v="TLV"/>
    <s v="TLV"/>
    <s v="Nuevo Aprobado Agil CD"/>
    <n v="202507"/>
    <n v="283264.52"/>
    <s v="B32116"/>
    <x v="90"/>
    <s v="B14058"/>
    <x v="11"/>
    <x v="15"/>
    <x v="3"/>
    <s v="P1"/>
    <s v="NULL"/>
    <n v="1"/>
    <x v="0"/>
    <n v="1"/>
    <n v="1"/>
    <n v="1"/>
    <x v="1"/>
    <n v="283264.52"/>
    <n v="16.5"/>
    <d v="2025-07-14T00:00:00"/>
    <s v="Nuevo Aprobado Agil CD"/>
    <s v="TLV"/>
    <s v="COMPRA DE DEUDA"/>
    <n v="300000"/>
    <n v="0.23"/>
    <n v="0.21"/>
    <s v="TLV B"/>
    <s v="COMPRA DEUDA"/>
  </r>
  <r>
    <x v="588"/>
    <x v="2"/>
    <n v="20603480474"/>
    <s v="AMERICA TIC E.I.R.L."/>
    <s v="."/>
    <n v="10267478"/>
    <s v="Nuevo NO BANK"/>
    <s v="BPECND"/>
    <n v="40326.18359375"/>
    <d v="2025-04-29T00:00:00"/>
    <n v="21"/>
    <s v="TLV"/>
    <s v="TLV"/>
    <s v="Nuevo Aprobado EN"/>
    <n v="202504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89"/>
    <x v="4"/>
    <n v="20607711641"/>
    <s v="AYVAR"/>
    <s v="."/>
    <n v="10264489"/>
    <s v="Nuevo Aprobado Ágil"/>
    <s v="BPECND"/>
    <n v="59712.3125"/>
    <d v="2025-01-09T00:00:00"/>
    <n v="18.2"/>
    <s v="TLV"/>
    <s v="TLV"/>
    <s v="Nuevo Aprobado Agil"/>
    <n v="202501"/>
    <n v="64703.199999999997"/>
    <s v="B44121"/>
    <x v="35"/>
    <s v="B34489"/>
    <x v="4"/>
    <x v="7"/>
    <x v="0"/>
    <s v="P1"/>
    <s v="NULL"/>
    <n v="1"/>
    <x v="0"/>
    <n v="0"/>
    <n v="0"/>
    <n v="1"/>
    <x v="2"/>
    <n v="0"/>
    <s v="NULL"/>
    <s v="NULL"/>
    <s v="NULL"/>
    <s v="NULL"/>
    <s v="NULL"/>
    <n v="179000"/>
    <n v="0.18"/>
    <n v="0.1628"/>
    <s v="NULL"/>
    <s v="NULL"/>
  </r>
  <r>
    <x v="245"/>
    <x v="5"/>
    <n v="20602132600"/>
    <s v="G &amp; E TAIKI"/>
    <s v="."/>
    <n v="10271075"/>
    <s v="Recurrente Aprobado Agil"/>
    <s v="B30425"/>
    <n v="264791.90625"/>
    <d v="2025-09-05T00:00:00"/>
    <n v="18"/>
    <s v="TIENDAS"/>
    <s v="TIENDAS"/>
    <s v="Recurrente Ágil CEM"/>
    <n v="202509"/>
    <n v="266013.3"/>
    <s v="B30425"/>
    <x v="46"/>
    <s v="B13988"/>
    <x v="8"/>
    <x v="4"/>
    <x v="0"/>
    <s v="P1"/>
    <s v="C1_1"/>
    <n v="1"/>
    <x v="0"/>
    <n v="1"/>
    <n v="1"/>
    <n v="1"/>
    <x v="0"/>
    <n v="266013.3"/>
    <n v="18"/>
    <d v="2025-09-05T00:00:00"/>
    <s v="Recurrente Ágil CEM"/>
    <s v="TIENDAS"/>
    <s v="CAPITAL DE TRABAJO"/>
    <n v="266000"/>
    <n v="0.21"/>
    <n v="0.19"/>
    <s v="NULL"/>
    <s v="NULL"/>
  </r>
  <r>
    <x v="590"/>
    <x v="7"/>
    <n v="20563663694"/>
    <s v="KADMIEL ASOCIADOS"/>
    <s v="."/>
    <n v="10271147"/>
    <s v="Nuevo Aprobado"/>
    <s v="BPECND"/>
    <n v="46552.234375"/>
    <d v="2025-09-09T00:00:00"/>
    <n v="20.6"/>
    <s v="TLV"/>
    <s v="TLV"/>
    <s v="Nuevo Aprobado EN"/>
    <n v="202509"/>
    <n v="50002.5"/>
    <s v="NULL"/>
    <x v="2"/>
    <s v="NULL"/>
    <x v="2"/>
    <x v="12"/>
    <x v="3"/>
    <s v="P1"/>
    <s v="C1_2"/>
    <n v="1"/>
    <x v="0"/>
    <n v="0"/>
    <n v="0"/>
    <n v="1"/>
    <x v="1"/>
    <n v="0"/>
    <s v="NULL"/>
    <s v="NULL"/>
    <s v="NULL"/>
    <s v="NULL"/>
    <s v="NULL"/>
    <s v="NULL"/>
    <s v="NULL"/>
    <s v="NULL"/>
    <s v="TLV C"/>
    <s v="POOL TRANSACCIONAL"/>
  </r>
  <r>
    <x v="591"/>
    <x v="4"/>
    <n v="20550135605"/>
    <s v="IMPORTACIONES KLUM S.A.C."/>
    <s v="."/>
    <n v="10263366"/>
    <s v="Impulso Mixto"/>
    <s v="B36574"/>
    <n v="41617.2421875"/>
    <d v="2024-11-29T00:00:00"/>
    <n v="14.5"/>
    <s v="TLV"/>
    <s v="TLV"/>
    <s v="Impulso MyPeru Comercial"/>
    <n v="202411"/>
    <n v="90004.5"/>
    <s v="B36574"/>
    <x v="51"/>
    <s v="B13161"/>
    <x v="9"/>
    <x v="1"/>
    <x v="0"/>
    <s v="P1"/>
    <s v="NULL"/>
    <n v="1"/>
    <x v="1"/>
    <n v="0"/>
    <n v="0"/>
    <n v="0"/>
    <x v="2"/>
    <n v="0"/>
    <s v="NULL"/>
    <s v="NULL"/>
    <s v="NULL"/>
    <s v="NULL"/>
    <s v="NULL"/>
    <n v="949745331"/>
    <n v="0"/>
    <n v="0"/>
    <s v="NULL"/>
    <s v="NULL"/>
  </r>
  <r>
    <x v="592"/>
    <x v="6"/>
    <n v="20608135309"/>
    <s v="ANALYTIA CONSULTING"/>
    <s v="."/>
    <n v="10266285"/>
    <s v="Nuevo NO BANK"/>
    <s v="B39015"/>
    <n v="32401.85546875"/>
    <d v="2025-03-18T00:00:00"/>
    <n v="23"/>
    <s v="TLV"/>
    <s v="TLV"/>
    <s v="Nuevo Aprobado EN"/>
    <n v="202503"/>
    <n v="50002.5"/>
    <s v="B39015"/>
    <x v="2"/>
    <s v="NULL"/>
    <x v="2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593"/>
    <x v="7"/>
    <n v="10178559309"/>
    <s v="JARA ARENAS EDITHA ESMELDA"/>
    <n v="17855930"/>
    <n v="10162654"/>
    <s v="GIRO DE LINEA"/>
    <s v="B46366"/>
    <n v="12364.1923828125"/>
    <d v="2024-10-15T00:00:00"/>
    <n v="20"/>
    <s v="TIENDAS"/>
    <s v="TIENDAS"/>
    <s v="Giro de Línea"/>
    <n v="202410"/>
    <n v="40002"/>
    <s v="B46366"/>
    <x v="30"/>
    <s v="B45083"/>
    <x v="7"/>
    <x v="1"/>
    <x v="2"/>
    <s v="P2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594"/>
    <x v="0"/>
    <n v="10479980816"/>
    <s v="GONZALES TOLEDO JOSE LUIS"/>
    <n v="47998081"/>
    <n v="10269352"/>
    <s v="Nuevo pre Aprobado"/>
    <s v="B36289"/>
    <n v="52718.35546875"/>
    <d v="2025-07-04T00:00:00"/>
    <n v="22"/>
    <s v="TIENDAS"/>
    <s v="TIENDAS"/>
    <s v="Nuevo Pre-aprobado"/>
    <n v="202507"/>
    <n v="70003.5"/>
    <s v="B36289"/>
    <x v="81"/>
    <s v="B46727"/>
    <x v="10"/>
    <x v="0"/>
    <x v="0"/>
    <s v="P1"/>
    <s v="C3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595"/>
    <x v="5"/>
    <n v="10167468158"/>
    <s v="BENITES MIO EDWARD NORBERTO"/>
    <n v="16746815"/>
    <n v="10266322"/>
    <s v="Nuevo Aprobado"/>
    <s v="B45750"/>
    <n v="28475.513671875"/>
    <d v="2025-03-19T00:00:00"/>
    <n v="18"/>
    <s v="TLV"/>
    <s v="TLV"/>
    <s v="Nuevo Aprobado EN"/>
    <n v="202503"/>
    <n v="70003.5"/>
    <s v="B45750"/>
    <x v="5"/>
    <s v="B14530"/>
    <x v="5"/>
    <x v="4"/>
    <x v="0"/>
    <s v="P2"/>
    <s v="C3"/>
    <n v="1"/>
    <x v="0"/>
    <n v="0"/>
    <n v="0"/>
    <n v="1"/>
    <x v="0"/>
    <n v="0"/>
    <s v="NULL"/>
    <s v="NULL"/>
    <s v="NULL"/>
    <s v="NULL"/>
    <s v="NULL"/>
    <n v="87500"/>
    <n v="0.24"/>
    <n v="0.22"/>
    <s v="NULL"/>
    <s v="NULL"/>
  </r>
  <r>
    <x v="447"/>
    <x v="5"/>
    <n v="20535614891"/>
    <s v="ERGOSISTEM"/>
    <s v="."/>
    <n v="10265394"/>
    <s v="Ágil Recurrente CEM"/>
    <s v="B43903"/>
    <n v="139752.015625"/>
    <d v="2025-02-17T00:00:00"/>
    <n v="16.280000999999999"/>
    <s v="TIENDAS"/>
    <s v="TIENDAS"/>
    <s v="Recurrente Ágil CEM"/>
    <n v="202502"/>
    <n v="200010"/>
    <s v="B43903"/>
    <x v="67"/>
    <s v="B14821"/>
    <x v="3"/>
    <x v="4"/>
    <x v="0"/>
    <s v="P1"/>
    <s v="C1_1"/>
    <n v="1"/>
    <x v="0"/>
    <n v="0"/>
    <n v="0"/>
    <n v="1"/>
    <x v="0"/>
    <n v="0"/>
    <s v="NULL"/>
    <s v="NULL"/>
    <s v="NULL"/>
    <s v="NULL"/>
    <s v="NULL"/>
    <n v="400000"/>
    <n v="0.18"/>
    <n v="0.16"/>
    <s v="NULL"/>
    <s v="NULL"/>
  </r>
  <r>
    <x v="200"/>
    <x v="1"/>
    <n v="20603074387"/>
    <s v="KATCE PETS"/>
    <s v="."/>
    <n v="10272263"/>
    <s v="Ágil Recurrente CEM"/>
    <s v="B37955"/>
    <n v="116371.484375"/>
    <d v="2025-10-15T00:00:00"/>
    <n v="18"/>
    <s v="TIENDAS"/>
    <s v="TIENDAS"/>
    <s v="Recurrente Ágil CEM"/>
    <n v="202510"/>
    <n v="160008"/>
    <s v="B37955"/>
    <x v="53"/>
    <s v="B27274"/>
    <x v="0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596"/>
    <x v="1"/>
    <n v="20549902431"/>
    <s v="CLIMATECH"/>
    <s v="."/>
    <n v="10270186"/>
    <s v="Nuevo Aprobado Ágil"/>
    <s v="B45076"/>
    <n v="26435.134765625"/>
    <d v="2025-08-05T00:00:00"/>
    <n v="19"/>
    <s v="TLV"/>
    <s v="TLV"/>
    <s v="Nuevo Aprobado EN"/>
    <n v="202508"/>
    <n v="50002.5"/>
    <s v="B45076"/>
    <x v="18"/>
    <s v="B45083"/>
    <x v="7"/>
    <x v="4"/>
    <x v="2"/>
    <s v="P5"/>
    <s v="C2"/>
    <n v="1"/>
    <x v="0"/>
    <n v="0"/>
    <n v="0"/>
    <n v="1"/>
    <x v="0"/>
    <n v="0"/>
    <s v="NULL"/>
    <s v="NULL"/>
    <s v="NULL"/>
    <s v="NULL"/>
    <s v="NULL"/>
    <n v="130000"/>
    <n v="0.26169999999999999"/>
    <n v="0.2417"/>
    <s v="NULL"/>
    <s v="NULL"/>
  </r>
  <r>
    <x v="597"/>
    <x v="10"/>
    <n v="20538012778"/>
    <s v="INVERSIONES ALIMENTARIAS Y SERVICIOS MUL"/>
    <s v="."/>
    <n v="10142907"/>
    <s v="GIRO DE LINEA"/>
    <s v="B28007"/>
    <n v="39131.27734375"/>
    <d v="2025-08-19T00:00:00"/>
    <n v="18"/>
    <s v="TIENDAS"/>
    <s v="TIENDAS"/>
    <s v="Giro de Línea"/>
    <n v="202508"/>
    <n v="50002.5"/>
    <s v="B46402"/>
    <x v="62"/>
    <s v="B13988"/>
    <x v="1"/>
    <x v="5"/>
    <x v="0"/>
    <s v="P1"/>
    <s v="C1_2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598"/>
    <x v="10"/>
    <n v="10434429531"/>
    <s v="CRUZ VILLAR ALLAN PAUL"/>
    <n v="43442953"/>
    <n v="10258482"/>
    <s v="Impulso Mixto"/>
    <s v="B45372"/>
    <n v="26712.509765625"/>
    <d v="2024-07-31T00:00:00"/>
    <n v="14.5"/>
    <s v="TLV"/>
    <s v="TLV"/>
    <s v="Impulso MyPeru Comercial"/>
    <n v="202407"/>
    <n v="50002.5"/>
    <s v="B45372"/>
    <x v="56"/>
    <s v="B45384"/>
    <x v="6"/>
    <x v="5"/>
    <x v="2"/>
    <s v="P1"/>
    <s v="C3"/>
    <n v="1"/>
    <x v="0"/>
    <n v="0"/>
    <n v="0"/>
    <n v="1"/>
    <x v="0"/>
    <n v="0"/>
    <s v="NULL"/>
    <s v="NULL"/>
    <s v="NULL"/>
    <s v="NULL"/>
    <s v="NULL"/>
    <n v="50000"/>
    <n v="0.25090000000000001"/>
    <n v="0.23089999999999999"/>
    <s v="NULL"/>
    <s v="NULL"/>
  </r>
  <r>
    <x v="599"/>
    <x v="2"/>
    <n v="20482544119"/>
    <s v="GRUPO EDUCATIVO LATINOS"/>
    <s v="."/>
    <n v="10261111"/>
    <s v="Impulso Mixto"/>
    <s v="B45439"/>
    <n v="59634.63671875"/>
    <d v="2024-09-27T00:00:00"/>
    <n v="14.5"/>
    <s v="TLV"/>
    <s v="TLV"/>
    <s v="Impulso MyPeru Comercial"/>
    <n v="202409"/>
    <n v="70003.5"/>
    <s v="B45439"/>
    <x v="29"/>
    <s v="B45083"/>
    <x v="7"/>
    <x v="4"/>
    <x v="2"/>
    <s v="P1"/>
    <s v="NULL"/>
    <n v="1"/>
    <x v="0"/>
    <n v="0"/>
    <n v="1"/>
    <n v="1"/>
    <x v="0"/>
    <n v="0"/>
    <s v="NULL"/>
    <s v="NULL"/>
    <s v="NULL"/>
    <s v="NULL"/>
    <s v="NULL"/>
    <n v="105900"/>
    <n v="0.21"/>
    <n v="0.19"/>
    <s v="NULL"/>
    <s v="NULL"/>
  </r>
  <r>
    <x v="600"/>
    <x v="8"/>
    <n v="20548662835"/>
    <s v="GRANJA AVICOLA EBENEZER"/>
    <s v="."/>
    <n v="10177104"/>
    <s v="GIRO DE LINEA"/>
    <s v="B45440"/>
    <n v="56816.921875"/>
    <d v="2024-10-15T00:00:00"/>
    <n v="20"/>
    <s v="TIENDAS"/>
    <s v="TIENDAS"/>
    <s v="Giro de Línea"/>
    <n v="202410"/>
    <n v="100005"/>
    <s v="B45440"/>
    <x v="73"/>
    <s v="B45083"/>
    <x v="7"/>
    <x v="1"/>
    <x v="2"/>
    <s v="P1"/>
    <s v="NULL"/>
    <n v="1"/>
    <x v="0"/>
    <n v="0"/>
    <n v="0"/>
    <n v="0"/>
    <x v="0"/>
    <n v="0"/>
    <s v="NULL"/>
    <s v="NULL"/>
    <s v="NULL"/>
    <s v="NULL"/>
    <s v="NULL"/>
    <n v="1"/>
    <n v="0.20380000000000001"/>
    <s v="NULL"/>
    <s v="NULL"/>
    <s v="NULL"/>
  </r>
  <r>
    <x v="601"/>
    <x v="6"/>
    <n v="20611020776"/>
    <s v="ABASTECIMIENTO EDUCATIVO DIDEL"/>
    <s v="."/>
    <n v="10269156"/>
    <s v="Regular Sin Campaña"/>
    <s v="B45440"/>
    <n v="38685.05859375"/>
    <d v="2025-06-27T00:00:00"/>
    <n v="23"/>
    <s v="TIENDAS VIRTUALES"/>
    <s v="TIENDAS VIRTUALES"/>
    <s v="Gestion Cartera"/>
    <n v="202506"/>
    <n v="50002.5"/>
    <s v="B45440"/>
    <x v="73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602"/>
    <x v="2"/>
    <n v="10198104511"/>
    <s v="LLOCLLA PARADO ANGELINO"/>
    <n v="19810451"/>
    <n v="10260867"/>
    <s v="Impulso Mixto"/>
    <s v="B13464"/>
    <n v="53690.74609375"/>
    <d v="2024-09-25T00:00:00"/>
    <n v="14.5"/>
    <s v="TLV"/>
    <s v="TLV"/>
    <s v="Impulso MyPeru Comercial"/>
    <n v="202409"/>
    <n v="63026.15"/>
    <s v="B27596"/>
    <x v="38"/>
    <s v="B13988"/>
    <x v="8"/>
    <x v="4"/>
    <x v="0"/>
    <s v="P4"/>
    <s v="NULL"/>
    <n v="1"/>
    <x v="1"/>
    <n v="0"/>
    <n v="0"/>
    <n v="0"/>
    <x v="2"/>
    <n v="0"/>
    <s v="NULL"/>
    <s v="NULL"/>
    <s v="NULL"/>
    <s v="NULL"/>
    <s v="NULL"/>
    <n v="200000"/>
    <n v="0.25"/>
    <n v="0.23330000000000001"/>
    <s v="NULL"/>
    <s v="NULL"/>
  </r>
  <r>
    <x v="602"/>
    <x v="2"/>
    <n v="10198104511"/>
    <s v="LLOCLLA PARADO ANGELINO"/>
    <n v="19810451"/>
    <n v="10260867"/>
    <s v="Impulso Mixto"/>
    <s v="B13464"/>
    <n v="53690.74609375"/>
    <d v="2024-09-25T00:00:00"/>
    <n v="14.5"/>
    <s v="TLV"/>
    <s v="TLV"/>
    <s v="Impulso MyPeru Comercial"/>
    <n v="202409"/>
    <n v="63026.15"/>
    <s v="B27596"/>
    <x v="2"/>
    <s v="NULL"/>
    <x v="2"/>
    <x v="4"/>
    <x v="2"/>
    <s v="P4"/>
    <s v="NULL"/>
    <n v="1"/>
    <x v="1"/>
    <n v="0"/>
    <n v="0"/>
    <n v="0"/>
    <x v="2"/>
    <n v="0"/>
    <s v="NULL"/>
    <s v="NULL"/>
    <s v="NULL"/>
    <s v="NULL"/>
    <s v="NULL"/>
    <n v="200000"/>
    <n v="0.25"/>
    <n v="0.23330000000000001"/>
    <s v="NULL"/>
    <s v="NULL"/>
  </r>
  <r>
    <x v="603"/>
    <x v="1"/>
    <n v="20549226044"/>
    <s v="TELTEX PERU"/>
    <s v="."/>
    <n v="10263803"/>
    <s v="Impulso Mixto"/>
    <s v="B27274"/>
    <n v="1904.37939453125"/>
    <d v="2024-12-16T00:00:00"/>
    <n v="16.200001"/>
    <s v="TLV"/>
    <s v="TLV"/>
    <s v="Impulso MyPeru Comercial"/>
    <n v="202412"/>
    <n v="48802.400000000001"/>
    <s v="B45631"/>
    <x v="54"/>
    <s v="B27274"/>
    <x v="0"/>
    <x v="10"/>
    <x v="0"/>
    <s v="P5"/>
    <s v="C1_1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604"/>
    <x v="7"/>
    <n v="20195425729"/>
    <s v="CONFECCIONES LANDI"/>
    <s v="."/>
    <n v="10259905"/>
    <s v="Impulso CDI Cobertura"/>
    <s v="B25972"/>
    <n v="117199.0546875"/>
    <d v="2024-08-29T00:00:00"/>
    <n v="13.48"/>
    <s v="TIENDAS"/>
    <s v="TIENDAS"/>
    <s v="Impulso MyPeru Comercial"/>
    <n v="202408"/>
    <n v="168608.4"/>
    <s v="B25972"/>
    <x v="55"/>
    <s v="B14530"/>
    <x v="5"/>
    <x v="4"/>
    <x v="0"/>
    <s v="P1"/>
    <s v="C1_1"/>
    <n v="1"/>
    <x v="0"/>
    <n v="0"/>
    <n v="0"/>
    <n v="1"/>
    <x v="0"/>
    <n v="0"/>
    <s v="NULL"/>
    <s v="NULL"/>
    <s v="NULL"/>
    <s v="NULL"/>
    <s v="NULL"/>
    <n v="400000"/>
    <n v="0.21"/>
    <n v="0.19"/>
    <s v="NULL"/>
    <s v="NULL"/>
  </r>
  <r>
    <x v="605"/>
    <x v="12"/>
    <n v="20203348780"/>
    <s v="GRAFICA INDUSTRIAL ALARCON"/>
    <s v="."/>
    <n v="10257136"/>
    <s v="Ágil Recurrente CEM"/>
    <s v="B28007"/>
    <n v="10866.537109375"/>
    <d v="2024-07-11T00:00:00"/>
    <n v="19.899999999999999"/>
    <s v="TIENDAS"/>
    <s v="TIENDAS"/>
    <s v="Recurrente Ágil CEM"/>
    <n v="202407"/>
    <n v="120006"/>
    <s v="B28007"/>
    <x v="20"/>
    <s v="B13988"/>
    <x v="8"/>
    <x v="4"/>
    <x v="0"/>
    <s v="P1"/>
    <s v="NULL"/>
    <n v="1"/>
    <x v="0"/>
    <n v="0"/>
    <n v="0"/>
    <n v="1"/>
    <x v="0"/>
    <n v="0"/>
    <s v="NULL"/>
    <s v="NULL"/>
    <s v="NULL"/>
    <s v="NULL"/>
    <s v="NULL"/>
    <n v="378441"/>
    <n v="0.2"/>
    <n v="0.18"/>
    <s v="NULL"/>
    <s v="NULL"/>
  </r>
  <r>
    <x v="606"/>
    <x v="7"/>
    <n v="10329523352"/>
    <s v="GARCIA LLAURY MARIA GIOVANNA"/>
    <n v="32952335"/>
    <n v="10255023"/>
    <s v="Impulso CDI Cobertura"/>
    <s v="B11082"/>
    <n v="13271.5283203125"/>
    <d v="2024-06-12T00:00:00"/>
    <n v="15.4"/>
    <s v="TIENDAS"/>
    <s v="TIENDAS"/>
    <s v="Impulso MyPeru Comercial"/>
    <n v="202406"/>
    <n v="75003.75"/>
    <s v="B33894"/>
    <x v="36"/>
    <s v="B34489"/>
    <x v="4"/>
    <x v="4"/>
    <x v="0"/>
    <s v="P2"/>
    <s v="C3"/>
    <n v="1"/>
    <x v="0"/>
    <n v="0"/>
    <n v="0"/>
    <n v="0"/>
    <x v="2"/>
    <n v="0"/>
    <s v="NULL"/>
    <s v="NULL"/>
    <s v="NULL"/>
    <s v="NULL"/>
    <s v="NULL"/>
    <n v="200000"/>
    <n v="0.23680000000000001"/>
    <n v="0.21679999999999999"/>
    <s v="NULL"/>
    <s v="NULL"/>
  </r>
  <r>
    <x v="607"/>
    <x v="11"/>
    <n v="20606367334"/>
    <s v="PROFESSIONAL FLUID HANDLING S.A.C."/>
    <s v="."/>
    <n v="10257582"/>
    <s v="Impulso CDI Cobertura"/>
    <s v="B33894"/>
    <n v="80089.828125"/>
    <d v="2024-07-24T00:00:00"/>
    <n v="15.4"/>
    <s v="TIENDAS"/>
    <s v="TIENDAS"/>
    <s v="Impulso MyPeru Comercial"/>
    <n v="202407"/>
    <n v="90004.5"/>
    <s v="B33894"/>
    <x v="36"/>
    <s v="B34489"/>
    <x v="4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608"/>
    <x v="3"/>
    <n v="20491854058"/>
    <s v="DIAGNOSTICS TEST"/>
    <s v="."/>
    <n v="10253970"/>
    <s v="Impulso CDI Cobertura"/>
    <s v="B19752"/>
    <n v="124031.734375"/>
    <d v="2024-05-28T00:00:00"/>
    <n v="16.899999999999999"/>
    <s v="TIENDAS"/>
    <s v="TIENDAS"/>
    <s v="Impulso MyPeru Comercial"/>
    <n v="202405"/>
    <n v="139056.95000000001"/>
    <s v="B19752"/>
    <x v="43"/>
    <s v="B13988"/>
    <x v="8"/>
    <x v="1"/>
    <x v="0"/>
    <s v="P1"/>
    <s v="NULL"/>
    <n v="1"/>
    <x v="1"/>
    <n v="0"/>
    <n v="0"/>
    <n v="0"/>
    <x v="2"/>
    <n v="0"/>
    <s v="NULL"/>
    <s v="NULL"/>
    <s v="NULL"/>
    <s v="NULL"/>
    <s v="NULL"/>
    <n v="982495171"/>
    <n v="0"/>
    <n v="0"/>
    <s v="NULL"/>
    <s v="NULL"/>
  </r>
  <r>
    <x v="609"/>
    <x v="10"/>
    <n v="20566397481"/>
    <s v="INTENCONS CONSULTING"/>
    <s v="."/>
    <n v="10254502"/>
    <s v="Impulso Solo"/>
    <s v="BPECND"/>
    <n v="23123.029296875"/>
    <d v="2024-05-31T00:00:00"/>
    <n v="15.5"/>
    <s v="TLV"/>
    <s v="TLV"/>
    <s v="Impulso MyPeru Comercial"/>
    <n v="202405"/>
    <n v="90004.5"/>
    <s v="NULL"/>
    <x v="2"/>
    <s v="NULL"/>
    <x v="2"/>
    <x v="12"/>
    <x v="3"/>
    <s v="P1"/>
    <s v="C2"/>
    <n v="1"/>
    <x v="0"/>
    <n v="0"/>
    <n v="0"/>
    <n v="0"/>
    <x v="1"/>
    <n v="0"/>
    <s v="NULL"/>
    <s v="NULL"/>
    <s v="NULL"/>
    <s v="NULL"/>
    <s v="NULL"/>
    <s v="NULL"/>
    <s v="NULL"/>
    <s v="NULL"/>
    <s v="TLV C"/>
    <s v="POOL TRANSACCIONAL"/>
  </r>
  <r>
    <x v="610"/>
    <x v="6"/>
    <n v="20553383022"/>
    <s v="INVERSIONES PARNEU S.A.C"/>
    <s v="."/>
    <n v="10267608"/>
    <s v="CDD APROBADO"/>
    <s v="B36093"/>
    <n v="126326.890625"/>
    <d v="2025-05-05T00:00:00"/>
    <n v="15"/>
    <s v="TLV"/>
    <s v="TLV"/>
    <s v="Nuevo Aprobado Agil CD"/>
    <n v="202505"/>
    <n v="142607.1"/>
    <s v="B36093"/>
    <x v="2"/>
    <s v="NULL"/>
    <x v="2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611"/>
    <x v="8"/>
    <n v="10435611937"/>
    <s v="JIMENEZ OGOÑA CARLOS ALBERTO"/>
    <n v="43561193"/>
    <n v="10266356"/>
    <s v="CDD APROBADO"/>
    <s v="B44120"/>
    <n v="191616.515625"/>
    <d v="2025-03-20T00:00:00"/>
    <n v="17"/>
    <s v="TLV"/>
    <s v="TLV"/>
    <s v="Nuevo Aprobado Agil CD"/>
    <n v="202503"/>
    <n v="240012"/>
    <s v="B44120"/>
    <x v="45"/>
    <s v="B14530"/>
    <x v="5"/>
    <x v="1"/>
    <x v="0"/>
    <s v="P2"/>
    <s v="NULL"/>
    <n v="1"/>
    <x v="1"/>
    <n v="0"/>
    <n v="0"/>
    <n v="0"/>
    <x v="0"/>
    <n v="0"/>
    <s v="NULL"/>
    <s v="NULL"/>
    <s v="NULL"/>
    <s v="NULL"/>
    <s v="NULL"/>
    <n v="1"/>
    <n v="0.1678"/>
    <s v="NULL"/>
    <s v="NULL"/>
    <s v="NULL"/>
  </r>
  <r>
    <x v="612"/>
    <x v="6"/>
    <n v="20603885652"/>
    <s v="DOMSAR SERVICIOS MULTIPLES"/>
    <s v="."/>
    <n v="10265019"/>
    <s v="Nuevo Aprobado"/>
    <s v="B45374"/>
    <n v="70459.234375"/>
    <d v="2025-01-30T00:00:00"/>
    <n v="17"/>
    <s v="TLV"/>
    <s v="TLV"/>
    <s v="Nuevo Aprobado EN"/>
    <n v="202501"/>
    <n v="100005"/>
    <s v="B45374"/>
    <x v="21"/>
    <s v="B45384"/>
    <x v="6"/>
    <x v="1"/>
    <x v="2"/>
    <s v="P1"/>
    <s v="NULL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613"/>
    <x v="5"/>
    <n v="20509902900"/>
    <s v="INMOBILIARIA CONSTRUCTORA FINANCIERA Y D"/>
    <s v="."/>
    <n v="10200624"/>
    <s v="Reactiva"/>
    <s v="BPECND"/>
    <n v="67390.82812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14"/>
    <x v="4"/>
    <n v="20542016214"/>
    <s v="PROVIFER"/>
    <s v="."/>
    <n v="10144855"/>
    <s v="GIRO DE LINEA"/>
    <s v="B18980"/>
    <n v="30673.091796875"/>
    <s v="NULL"/>
    <s v="NULL"/>
    <s v="NULL"/>
    <s v="NULL"/>
    <s v="NULL"/>
    <s v="NULL"/>
    <s v="NULL"/>
    <s v="B40039"/>
    <x v="41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982051831"/>
    <n v="0"/>
    <n v="0"/>
    <s v="NULL"/>
    <s v="NULL"/>
  </r>
  <r>
    <x v="615"/>
    <x v="3"/>
    <n v="20602865119"/>
    <s v=" R &amp; E PROYECTOS Y SERVICIOS"/>
    <s v="."/>
    <n v="10196453"/>
    <s v="Reactiva"/>
    <s v="B19952"/>
    <n v="11019.8828125"/>
    <s v="NULL"/>
    <s v="NULL"/>
    <s v="NULL"/>
    <s v="NULL"/>
    <s v="NULL"/>
    <s v="NULL"/>
    <s v="NULL"/>
    <s v="B26031"/>
    <x v="79"/>
    <s v="B13161"/>
    <x v="9"/>
    <x v="4"/>
    <x v="0"/>
    <s v="P1"/>
    <s v="NULL"/>
    <n v="1"/>
    <x v="0"/>
    <n v="0"/>
    <n v="0"/>
    <n v="0"/>
    <x v="2"/>
    <n v="0"/>
    <s v="NULL"/>
    <s v="NULL"/>
    <s v="NULL"/>
    <s v="NULL"/>
    <s v="NULL"/>
    <n v="200000"/>
    <n v="0.22"/>
    <n v="0.20200000000000001"/>
    <s v="NULL"/>
    <s v="NULL"/>
  </r>
  <r>
    <x v="616"/>
    <x v="0"/>
    <n v="20518966881"/>
    <s v="DIKEL"/>
    <s v="."/>
    <n v="10267598"/>
    <s v="GIRO DE LINEA"/>
    <s v="B28573"/>
    <n v="399664.53125"/>
    <d v="2025-12-19T00:00:00"/>
    <n v="19"/>
    <s v="TIENDAS"/>
    <s v="TIENDAS"/>
    <s v="Giro de Línea"/>
    <n v="202512"/>
    <n v="400020"/>
    <s v="B28573"/>
    <x v="74"/>
    <s v="B13161"/>
    <x v="9"/>
    <x v="4"/>
    <x v="0"/>
    <s v="P1"/>
    <s v="C1_2"/>
    <n v="1"/>
    <x v="0"/>
    <n v="1"/>
    <n v="1"/>
    <n v="1"/>
    <x v="0"/>
    <n v="400020"/>
    <n v="19"/>
    <d v="2025-12-19T00:00:00"/>
    <s v="Recurrente Ágil CEM"/>
    <s v="TIENDAS"/>
    <s v="CAPITAL DE TRABAJO"/>
    <n v="400000"/>
    <n v="0.21"/>
    <n v="0.19"/>
    <s v="NULL"/>
    <s v="NULL"/>
  </r>
  <r>
    <x v="617"/>
    <x v="10"/>
    <n v="20607271268"/>
    <s v="INDUSTRIA QUIMICA Y DESARROLLO SQG DEL P"/>
    <s v="."/>
    <n v="10255841"/>
    <s v="Impulso Solo"/>
    <s v="B27274"/>
    <n v="40911.640625"/>
    <d v="2024-06-20T00:00:00"/>
    <n v="16.399999999999999"/>
    <s v="TLV"/>
    <s v="TLV"/>
    <s v="Impulso MyPeru Comercial"/>
    <n v="202406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18"/>
    <x v="12"/>
    <n v="20608912241"/>
    <s v="CENTRO INTEGRAL Y ESPECIALIDADES PSICOLO"/>
    <s v="."/>
    <n v="10248801"/>
    <s v="Impulso Mixto"/>
    <s v="BPECND"/>
    <n v="18740.650390625"/>
    <d v="2024-02-29T00:00:00"/>
    <n v="16"/>
    <s v="TLV"/>
    <s v="TLV"/>
    <s v="Impulso MyPeru Comercial"/>
    <n v="202402"/>
    <n v="30238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19"/>
    <x v="9"/>
    <n v="10473432507"/>
    <s v="ASCENCIO VELIZ LUIS JACINTO"/>
    <n v="47343250"/>
    <n v="10164043"/>
    <s v="GIRO DE LINEA"/>
    <s v="B45082"/>
    <n v="61723.94921875"/>
    <d v="2024-11-08T00:00:00"/>
    <n v="17.899999999999999"/>
    <s v="TIENDAS"/>
    <s v="TIENDAS"/>
    <s v="Giro de Línea"/>
    <n v="202411"/>
    <n v="79003.95"/>
    <s v="B45082"/>
    <x v="91"/>
    <s v="B45083"/>
    <x v="7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.2858"/>
    <s v="NULL"/>
    <s v="NULL"/>
  </r>
  <r>
    <x v="620"/>
    <x v="7"/>
    <n v="20505026439"/>
    <s v="REPUESTOS SUDAMERICA"/>
    <s v="."/>
    <n v="10272560"/>
    <s v="Nuevo Aprobado Ágil"/>
    <s v="BPECND"/>
    <n v="163975.765625"/>
    <d v="2025-10-27T00:00:00"/>
    <n v="18"/>
    <s v="TLV"/>
    <s v="TLV"/>
    <s v="Nuevo Aprobado Agil"/>
    <n v="202510"/>
    <n v="170008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21"/>
    <x v="1"/>
    <n v="20530305059"/>
    <s v="SERVICIOS GENERALES Y DISTRIBUIDORA DE"/>
    <s v="."/>
    <n v="10255097"/>
    <s v="Impulso Solo"/>
    <s v="B14530"/>
    <n v="3792.70581054688"/>
    <d v="2024-06-13T00:00:00"/>
    <n v="14.5"/>
    <s v="TLV"/>
    <s v="TLV"/>
    <s v="Impulso MyPeru Comercial"/>
    <n v="202406"/>
    <n v="90004.5"/>
    <s v="B46175"/>
    <x v="70"/>
    <s v="B14530"/>
    <x v="5"/>
    <x v="4"/>
    <x v="0"/>
    <s v="P5"/>
    <s v="C1_2"/>
    <n v="1"/>
    <x v="0"/>
    <n v="0"/>
    <n v="0"/>
    <n v="1"/>
    <x v="2"/>
    <n v="0"/>
    <s v="NULL"/>
    <s v="NULL"/>
    <s v="NULL"/>
    <s v="NULL"/>
    <s v="NULL"/>
    <n v="85500"/>
    <n v="0.26169999999999999"/>
    <n v="0.2417"/>
    <s v="NULL"/>
    <s v="NULL"/>
  </r>
  <r>
    <x v="424"/>
    <x v="11"/>
    <n v="20600071531"/>
    <s v="INVERSIONES ALMARO"/>
    <s v="."/>
    <n v="10248007"/>
    <s v="Nuevo pre Aprobado"/>
    <s v="B19044"/>
    <n v="61731.47265625"/>
    <d v="2024-02-12T00:00:00"/>
    <n v="22.299999"/>
    <s v="TIENDAS"/>
    <s v="TIENDAS"/>
    <s v="Nuevo Pre-aprobado"/>
    <n v="202402"/>
    <n v="12000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22"/>
    <x v="4"/>
    <n v="10440032040"/>
    <s v="MANCHEGO AMADO MARIA INES"/>
    <n v="44003204"/>
    <n v="10244294"/>
    <s v="Ágil Recurrente CEM"/>
    <s v="B34669"/>
    <n v="12845.5263671875"/>
    <d v="2023-09-26T00:00:00"/>
    <n v="22.95"/>
    <s v="TIENDAS"/>
    <s v="TIENDAS"/>
    <s v="Recurrente Ágil CEM"/>
    <n v="202309"/>
    <n v="100005"/>
    <s v="B34669"/>
    <x v="7"/>
    <s v="B34489"/>
    <x v="4"/>
    <x v="4"/>
    <x v="0"/>
    <s v="P2"/>
    <s v="NULL"/>
    <n v="1"/>
    <x v="1"/>
    <n v="0"/>
    <n v="0"/>
    <n v="0"/>
    <x v="2"/>
    <n v="0"/>
    <s v="NULL"/>
    <s v="NULL"/>
    <s v="NULL"/>
    <s v="NULL"/>
    <s v="NULL"/>
    <n v="100000"/>
    <n v="0.23"/>
    <n v="0.21179999999999999"/>
    <s v="NULL"/>
    <s v="NULL"/>
  </r>
  <r>
    <x v="623"/>
    <x v="6"/>
    <n v="20603753365"/>
    <s v="COMPUWORK PROVEEDOR GENERAL"/>
    <s v="."/>
    <n v="10268901"/>
    <s v="Regular Sin Campaña"/>
    <s v="B30094"/>
    <n v="128301.5390625"/>
    <d v="2025-06-20T00:00:00"/>
    <n v="17.5"/>
    <s v="TIENDAS"/>
    <s v="VENDORS"/>
    <s v="Gestion Cartera"/>
    <n v="202506"/>
    <n v="150007.5"/>
    <s v="B30094"/>
    <x v="48"/>
    <s v="B34489"/>
    <x v="4"/>
    <x v="1"/>
    <x v="0"/>
    <s v="P1"/>
    <s v="NULL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624"/>
    <x v="2"/>
    <n v="20297675649"/>
    <s v="INNOVACIONES MEDICAS"/>
    <s v="."/>
    <n v="10257444"/>
    <s v="Impulso CDI Cobertura"/>
    <s v="B43903"/>
    <n v="183962.53125"/>
    <d v="2024-07-18T00:00:00"/>
    <n v="14.49"/>
    <s v="TIENDAS"/>
    <s v="TIENDAS"/>
    <s v="Impulso MyPeru Comercial"/>
    <n v="202407"/>
    <n v="250012.5"/>
    <s v="B43903"/>
    <x v="67"/>
    <s v="B14821"/>
    <x v="3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613"/>
    <n v="0"/>
    <s v="NULL"/>
    <s v="NULL"/>
  </r>
  <r>
    <x v="625"/>
    <x v="4"/>
    <n v="20393029774"/>
    <s v="THERA KIDS"/>
    <s v="."/>
    <n v="10259889"/>
    <s v="Impulso Mixto"/>
    <s v="B19952"/>
    <n v="90004.5"/>
    <d v="2024-08-29T00:00:00"/>
    <n v="15.7"/>
    <s v="TIENDAS"/>
    <s v="TIENDAS"/>
    <s v="Impulso MyPeru Comercial"/>
    <n v="202408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26"/>
    <x v="7"/>
    <n v="10778219609"/>
    <s v="CERQUERA ROJAS CLARA"/>
    <n v="77821960"/>
    <n v="10270421"/>
    <s v="Nuevo Aprobado Ágil"/>
    <s v="B45375"/>
    <n v="49429.60546875"/>
    <d v="2025-08-15T00:00:00"/>
    <n v="20.700001"/>
    <s v="TLV"/>
    <s v="TLV"/>
    <s v="Nuevo Aprobado Agil"/>
    <n v="202508"/>
    <n v="60003"/>
    <s v="B45375"/>
    <x v="65"/>
    <s v="B45384"/>
    <x v="6"/>
    <x v="1"/>
    <x v="2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497"/>
    <x v="8"/>
    <n v="20549219269"/>
    <s v="PORCUPINE"/>
    <s v="."/>
    <n v="10267484"/>
    <s v="GIRO DE LINEA"/>
    <s v="B27693"/>
    <n v="185572.640625"/>
    <d v="2025-09-29T00:00:00"/>
    <n v="15"/>
    <s v="TIENDAS"/>
    <s v="TIENDAS"/>
    <s v="Giro de Línea"/>
    <n v="202509"/>
    <n v="123006.15"/>
    <s v="B27693"/>
    <x v="52"/>
    <s v="B27274"/>
    <x v="0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8779999999999999"/>
    <s v="NULL"/>
    <s v="NULL"/>
    <s v="NULL"/>
  </r>
  <r>
    <x v="627"/>
    <x v="6"/>
    <n v="20605999311"/>
    <s v="FRITECSA INVERSIONES JS S.A.C."/>
    <s v="."/>
    <n v="10266412"/>
    <s v="Nuevo pre Aprobado"/>
    <s v="B46403"/>
    <n v="118523.71875"/>
    <d v="2025-03-21T00:00:00"/>
    <n v="17"/>
    <s v="TIENDAS"/>
    <s v="TIENDAS"/>
    <s v="Nuevo Pre-aprobado"/>
    <n v="202503"/>
    <n v="160008"/>
    <s v="B46403"/>
    <x v="61"/>
    <s v="B14821"/>
    <x v="3"/>
    <x v="4"/>
    <x v="0"/>
    <s v="P1"/>
    <s v="NULL"/>
    <n v="1"/>
    <x v="0"/>
    <n v="0"/>
    <n v="0"/>
    <n v="1"/>
    <x v="0"/>
    <n v="0"/>
    <s v="NULL"/>
    <s v="NULL"/>
    <s v="NULL"/>
    <s v="NULL"/>
    <s v="NULL"/>
    <n v="200000"/>
    <n v="0.21"/>
    <n v="0.19"/>
    <s v="NULL"/>
    <s v="NULL"/>
  </r>
  <r>
    <x v="628"/>
    <x v="0"/>
    <n v="10456842581"/>
    <s v="MONTALVO DIAZ EBER FRANCO"/>
    <n v="45684258"/>
    <n v="10266345"/>
    <s v="Nuevo Aprobado"/>
    <s v="B45371"/>
    <n v="32005.40234375"/>
    <d v="2025-03-19T00:00:00"/>
    <n v="18.5"/>
    <s v="TLV"/>
    <s v="TLV"/>
    <s v="Nuevo Aprobado EN"/>
    <n v="202503"/>
    <n v="60003"/>
    <s v="B45371"/>
    <x v="15"/>
    <s v="B45384"/>
    <x v="6"/>
    <x v="4"/>
    <x v="2"/>
    <s v="P1"/>
    <s v="C3"/>
    <n v="1"/>
    <x v="0"/>
    <n v="0"/>
    <n v="0"/>
    <n v="1"/>
    <x v="0"/>
    <n v="0"/>
    <s v="NULL"/>
    <s v="NULL"/>
    <s v="NULL"/>
    <s v="NULL"/>
    <s v="NULL"/>
    <n v="50000"/>
    <n v="0.21920000000000001"/>
    <n v="0.19919999999999999"/>
    <s v="NULL"/>
    <s v="NULL"/>
  </r>
  <r>
    <x v="629"/>
    <x v="0"/>
    <n v="10100770071"/>
    <s v="HEREDIA AGUIRRE MARCIAL"/>
    <n v="10077007"/>
    <n v="10264902"/>
    <s v="Nuevo Aprobado"/>
    <s v="B39015"/>
    <n v="20203.154296875"/>
    <d v="2025-01-29T00:00:00"/>
    <n v="19.200001"/>
    <s v="TLV"/>
    <s v="TLV"/>
    <s v="Nuevo Aprobado EN"/>
    <n v="202501"/>
    <n v="42002.1"/>
    <s v="B39015"/>
    <x v="60"/>
    <s v="B45083"/>
    <x v="7"/>
    <x v="4"/>
    <x v="2"/>
    <s v="P1"/>
    <s v="C3"/>
    <n v="1"/>
    <x v="1"/>
    <n v="0"/>
    <n v="0"/>
    <n v="0"/>
    <x v="0"/>
    <n v="0"/>
    <s v="NULL"/>
    <s v="NULL"/>
    <s v="NULL"/>
    <s v="NULL"/>
    <s v="NULL"/>
    <n v="200000"/>
    <n v="0.2412"/>
    <n v="0.22120000000000001"/>
    <s v="NULL"/>
    <s v="NULL"/>
  </r>
  <r>
    <x v="630"/>
    <x v="9"/>
    <n v="20603696990"/>
    <s v="GAVREL COMPANY"/>
    <s v="."/>
    <n v="10243214"/>
    <s v="Ágil Recurrente CEM"/>
    <s v="B26031"/>
    <n v="127543.1015625"/>
    <d v="2023-08-31T00:00:00"/>
    <n v="19"/>
    <s v="TIENDAS"/>
    <s v="TIENDAS"/>
    <s v="Recurrente Ágil CEM"/>
    <n v="202308"/>
    <n v="250012.5"/>
    <s v="B26031"/>
    <x v="79"/>
    <s v="B13161"/>
    <x v="9"/>
    <x v="7"/>
    <x v="0"/>
    <s v="P1"/>
    <s v="NULL"/>
    <n v="1"/>
    <x v="0"/>
    <n v="0"/>
    <n v="0"/>
    <n v="1"/>
    <x v="2"/>
    <n v="0"/>
    <s v="NULL"/>
    <s v="NULL"/>
    <s v="NULL"/>
    <s v="NULL"/>
    <s v="NULL"/>
    <n v="300000"/>
    <n v="0.22"/>
    <n v="0.20280000000000001"/>
    <s v="NULL"/>
    <s v="NULL"/>
  </r>
  <r>
    <x v="631"/>
    <x v="5"/>
    <n v="20601909163"/>
    <s v="DROGGSA"/>
    <s v="."/>
    <n v="10269785"/>
    <s v="CDD APROBADO"/>
    <s v="B45385"/>
    <n v="240418.734375"/>
    <d v="2025-07-21T00:00:00"/>
    <n v="13"/>
    <s v="TIENDAS VIRTUALES"/>
    <s v="TIENDAS VIRTUALES"/>
    <s v="Nuevo Aprobado Agil CD"/>
    <n v="202507"/>
    <n v="267758.84000000003"/>
    <s v="B45385"/>
    <x v="63"/>
    <s v="B45384"/>
    <x v="6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632"/>
    <x v="0"/>
    <n v="10052306405"/>
    <s v="ACOSTA COMETIVOS JOEL"/>
    <n v="5230640"/>
    <n v="10267114"/>
    <s v="CDD APROBADO"/>
    <s v="B45240"/>
    <n v="94716.4765625"/>
    <d v="2025-04-16T00:00:00"/>
    <n v="15"/>
    <s v="TLV"/>
    <s v="TLV"/>
    <s v="Nuevo Aprobado Agil CD"/>
    <n v="202504"/>
    <n v="135488.25"/>
    <s v="B45240"/>
    <x v="57"/>
    <s v="B45083"/>
    <x v="7"/>
    <x v="4"/>
    <x v="2"/>
    <s v="P2"/>
    <s v="C3"/>
    <n v="1"/>
    <x v="1"/>
    <n v="0"/>
    <n v="0"/>
    <n v="0"/>
    <x v="0"/>
    <n v="0"/>
    <s v="NULL"/>
    <s v="NULL"/>
    <s v="NULL"/>
    <s v="NULL"/>
    <s v="NULL"/>
    <n v="300000"/>
    <n v="0.21"/>
    <n v="0.19"/>
    <s v="NULL"/>
    <s v="NULL"/>
  </r>
  <r>
    <x v="633"/>
    <x v="0"/>
    <n v="10463036450"/>
    <s v="DIAZ BADA ERCELINDA MEDALIS"/>
    <n v="46303645"/>
    <n v="10254743"/>
    <s v="Impulso Solo"/>
    <s v="B28137"/>
    <n v="33180.265625"/>
    <d v="2024-06-05T00:00:00"/>
    <n v="14.9"/>
    <s v="TLV"/>
    <s v="TLV"/>
    <s v="Impulso MyPeru Comercial"/>
    <n v="202406"/>
    <n v="62003.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34"/>
    <x v="5"/>
    <n v="20605078134"/>
    <s v="LIMA HIGHLIGHTS TOURS"/>
    <s v="."/>
    <n v="10267854"/>
    <s v="Ágil Recurrente CEM"/>
    <s v="B30425"/>
    <n v="80123.1328125"/>
    <d v="2025-05-16T00:00:00"/>
    <n v="20"/>
    <s v="TIENDAS"/>
    <s v="TIENDAS"/>
    <s v="Recurrente Ágil CEM"/>
    <n v="202505"/>
    <n v="100005"/>
    <s v="B30425"/>
    <x v="46"/>
    <s v="B13988"/>
    <x v="8"/>
    <x v="4"/>
    <x v="0"/>
    <s v="P1"/>
    <s v="C1_1"/>
    <n v="1"/>
    <x v="0"/>
    <n v="0"/>
    <n v="0"/>
    <n v="1"/>
    <x v="0"/>
    <n v="0"/>
    <s v="NULL"/>
    <s v="NULL"/>
    <s v="NULL"/>
    <s v="NULL"/>
    <s v="NULL"/>
    <n v="171000"/>
    <n v="0.21"/>
    <n v="0.19"/>
    <s v="NULL"/>
    <s v="NULL"/>
  </r>
  <r>
    <x v="308"/>
    <x v="6"/>
    <n v="20601669413"/>
    <s v="J H L INVERSIONES"/>
    <s v="."/>
    <n v="10266181"/>
    <s v="Recurrente Aprobado"/>
    <s v="B30637"/>
    <n v="87517.6640625"/>
    <d v="2025-03-14T00:00:00"/>
    <n v="16.5"/>
    <s v="TIENDAS"/>
    <s v="TIENDAS"/>
    <s v="Recurrente Ágil CEM"/>
    <n v="202503"/>
    <n v="200010"/>
    <s v="B30637"/>
    <x v="12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635"/>
    <x v="10"/>
    <n v="10075185711"/>
    <s v="ROSAS CONDORI BASILIO"/>
    <n v="7518571"/>
    <n v="10145385"/>
    <s v="GIRO DE LINEA"/>
    <s v="B27880"/>
    <n v="11105.85546875"/>
    <d v="2026-05-06T00:00:00"/>
    <n v="18"/>
    <s v="TIENDAS"/>
    <s v="TIENDAS"/>
    <s v="Giro de Línea"/>
    <n v="202605"/>
    <n v="150007.5"/>
    <s v="B27880"/>
    <x v="6"/>
    <s v="B14821"/>
    <x v="3"/>
    <x v="5"/>
    <x v="0"/>
    <s v="P2"/>
    <s v="C3"/>
    <n v="1"/>
    <x v="0"/>
    <n v="0"/>
    <n v="0"/>
    <n v="1"/>
    <x v="0"/>
    <n v="0"/>
    <s v="NULL"/>
    <s v="NULL"/>
    <s v="NULL"/>
    <s v="NULL"/>
    <s v="NULL"/>
    <n v="250000"/>
    <n v="0.22589999999999999"/>
    <n v="0.2059"/>
    <s v="NULL"/>
    <s v="NULL"/>
  </r>
  <r>
    <x v="636"/>
    <x v="7"/>
    <n v="10214807918"/>
    <s v="CAHUA HUAMAN ANGEL BERNABE"/>
    <n v="21480791"/>
    <n v="10152084"/>
    <s v="GIRO DE LINEA"/>
    <s v="B37981"/>
    <n v="22743.66015625"/>
    <d v="2024-03-05T00:00:00"/>
    <n v="19.8"/>
    <s v="TIENDAS"/>
    <s v="TIENDAS"/>
    <s v="Giro de Línea"/>
    <n v="202403"/>
    <n v="94204.7"/>
    <s v="B37981"/>
    <x v="4"/>
    <s v="B34489"/>
    <x v="4"/>
    <x v="7"/>
    <x v="0"/>
    <s v="P1"/>
    <s v="C3"/>
    <n v="1"/>
    <x v="0"/>
    <n v="0"/>
    <n v="0"/>
    <n v="1"/>
    <x v="0"/>
    <n v="0"/>
    <s v="NULL"/>
    <s v="NULL"/>
    <s v="NULL"/>
    <s v="NULL"/>
    <s v="NULL"/>
    <n v="161000"/>
    <n v="0.218"/>
    <n v="0.19800000000000001"/>
    <s v="NULL"/>
    <s v="NULL"/>
  </r>
  <r>
    <x v="637"/>
    <x v="1"/>
    <n v="20153430366"/>
    <s v="RQF ELECTRO SERVICE"/>
    <s v="."/>
    <n v="10262027"/>
    <s v="Nuevo Aprobado Ágil"/>
    <s v="B13161"/>
    <n v="60801.859375"/>
    <d v="2024-10-24T00:00:00"/>
    <n v="19.5"/>
    <s v="TLV"/>
    <s v="TLV"/>
    <s v="Nuevo Aprobado Agil"/>
    <n v="202410"/>
    <n v="145507.2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38"/>
    <x v="8"/>
    <n v="10458400712"/>
    <s v="QUISPE SANGA ALEXANDER JHON"/>
    <n v="45840071"/>
    <n v="10256658"/>
    <s v="Impulso Mixto"/>
    <s v="B25774"/>
    <n v="10400.2265625"/>
    <d v="2024-06-27T00:00:00"/>
    <n v="15.5"/>
    <s v="TLV"/>
    <s v="TLV"/>
    <s v="Impulso MyPeru Comercial"/>
    <n v="202406"/>
    <n v="14094.7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39"/>
    <x v="0"/>
    <n v="20428728573"/>
    <s v="J J CH IMPORT"/>
    <s v="."/>
    <n v="10259780"/>
    <s v="Regular Sin Campaña"/>
    <s v="B14972"/>
    <n v="75521.078125"/>
    <d v="2024-08-28T00:00:00"/>
    <n v="21.299999"/>
    <s v="TIENDAS"/>
    <s v="TIENDAS"/>
    <s v="NULL"/>
    <n v="202408"/>
    <n v="200010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40"/>
    <x v="6"/>
    <n v="20604960518"/>
    <s v="CLIMAPOWER"/>
    <s v="."/>
    <n v="10254009"/>
    <s v="Ágil Recurrente CEM"/>
    <s v="B14821"/>
    <n v="19087.68359375"/>
    <d v="2024-05-28T00:00:00"/>
    <n v="22.450001"/>
    <s v="TIENDAS"/>
    <s v="TIENDAS"/>
    <s v="Recurrente Ágil CEM"/>
    <n v="202405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41"/>
    <x v="3"/>
    <n v="20607935417"/>
    <s v="PLUS LATAM GROUP"/>
    <s v="."/>
    <n v="10266075"/>
    <s v="Nuevo pre Aprobado"/>
    <s v="B37395"/>
    <n v="85123.1640625"/>
    <d v="2025-03-11T00:00:00"/>
    <n v="19.200001"/>
    <s v="TIENDAS"/>
    <s v="TIENDAS"/>
    <s v="Nuevo Pre-aprobado"/>
    <n v="202503"/>
    <n v="120006"/>
    <s v="B37395"/>
    <x v="66"/>
    <s v="B14821"/>
    <x v="3"/>
    <x v="3"/>
    <x v="0"/>
    <s v="P1"/>
    <s v="NULL"/>
    <n v="1"/>
    <x v="0"/>
    <n v="1"/>
    <n v="1"/>
    <n v="1"/>
    <x v="2"/>
    <n v="120006"/>
    <n v="19.200001"/>
    <d v="2025-03-11T00:00:00"/>
    <s v="Nuevo Pre-aprobado"/>
    <s v="TIENDAS"/>
    <s v="CAPITAL DE TRABAJO"/>
    <n v="0"/>
    <n v="0.21199999999999999"/>
    <n v="0.192"/>
    <s v="NULL"/>
    <s v="NULL"/>
  </r>
  <r>
    <x v="642"/>
    <x v="5"/>
    <n v="20601427436"/>
    <s v="OPTICAS L &amp; M ASOCIADOS"/>
    <s v="."/>
    <n v="10264436"/>
    <s v="Ágil Recurrente CEM"/>
    <s v="B13988"/>
    <n v="140615.609375"/>
    <d v="2025-01-03T00:00:00"/>
    <n v="18"/>
    <s v="TIENDAS"/>
    <s v="TIENDAS"/>
    <s v="Recurrente Ágil CEM"/>
    <n v="202501"/>
    <n v="200010"/>
    <s v="B19752"/>
    <x v="43"/>
    <s v="B13988"/>
    <x v="8"/>
    <x v="4"/>
    <x v="0"/>
    <s v="P1"/>
    <s v="C1_2"/>
    <n v="1"/>
    <x v="0"/>
    <n v="0"/>
    <n v="0"/>
    <n v="1"/>
    <x v="0"/>
    <n v="0"/>
    <s v="NULL"/>
    <s v="NULL"/>
    <s v="NULL"/>
    <s v="NULL"/>
    <s v="NULL"/>
    <n v="83600"/>
    <n v="0.21"/>
    <n v="0.19"/>
    <s v="NULL"/>
    <s v="NULL"/>
  </r>
  <r>
    <x v="643"/>
    <x v="3"/>
    <n v="10472191689"/>
    <s v="LEON LUCANO JONATHAN MARTIN"/>
    <n v="47219168"/>
    <n v="10265323"/>
    <s v="CDD APROBADO"/>
    <s v="B12279"/>
    <n v="71674.8828125"/>
    <d v="2025-02-13T00:00:00"/>
    <n v="15"/>
    <s v="TLV"/>
    <s v="TLV"/>
    <s v="Nuevo Aprobado Agil CD"/>
    <n v="202502"/>
    <n v="74368.7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03"/>
    <x v="6"/>
    <n v="10431098976"/>
    <s v="VALENZUELA CABANILLAS RENAN"/>
    <n v="43109897"/>
    <n v="10269860"/>
    <s v="Ágil Recurrente CEM"/>
    <s v="B44120"/>
    <n v="160529.40625"/>
    <d v="2025-07-22T00:00:00"/>
    <n v="16.5"/>
    <s v="TIENDAS"/>
    <s v="TIENDAS"/>
    <s v="Recurrente Ágil CEM"/>
    <n v="202507"/>
    <n v="180009"/>
    <s v="B44120"/>
    <x v="45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644"/>
    <x v="8"/>
    <n v="20607073504"/>
    <s v="A &amp; V CR NEGOCIACIONES E INVERSIONES E.I"/>
    <s v="."/>
    <n v="10266903"/>
    <s v="Nuevo Aprobado"/>
    <s v="BPECND"/>
    <n v="86762.328125"/>
    <d v="2025-04-07T00:00:00"/>
    <n v="18.5"/>
    <s v="TLV"/>
    <s v="TLV"/>
    <s v="Nuevo Aprobado EN"/>
    <n v="202504"/>
    <n v="102005.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45"/>
    <x v="12"/>
    <n v="10296446187"/>
    <s v="URQUIZO AHUMADA EDUARDO ABDIAS"/>
    <n v="29644618"/>
    <n v="10267001"/>
    <s v="CDD APROBADO"/>
    <s v="B12607"/>
    <n v="63056.6328125"/>
    <d v="2025-04-11T00:00:00"/>
    <n v="17"/>
    <s v="TLV"/>
    <s v="TLV"/>
    <s v="Nuevo Aprobado Agil CD"/>
    <n v="202504"/>
    <n v="70004.0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46"/>
    <x v="1"/>
    <n v="20607183512"/>
    <s v="IMPORT  &amp; EXPORT CHIZA S.A.C."/>
    <s v="."/>
    <n v="10266303"/>
    <s v="Nuevo pre Aprobado"/>
    <s v="B14821"/>
    <n v="65553.0546875"/>
    <d v="2025-03-19T00:00:00"/>
    <n v="21"/>
    <s v="TIENDAS"/>
    <s v="TIENDAS"/>
    <s v="Nuevo Pre-aprobado"/>
    <n v="202503"/>
    <n v="104005.2"/>
    <s v="B43714"/>
    <x v="64"/>
    <s v="B14821"/>
    <x v="3"/>
    <x v="11"/>
    <x v="0"/>
    <s v="P5"/>
    <s v="C1_2"/>
    <n v="1"/>
    <x v="0"/>
    <n v="0"/>
    <n v="1"/>
    <n v="1"/>
    <x v="0"/>
    <n v="0"/>
    <s v="NULL"/>
    <s v="NULL"/>
    <s v="NULL"/>
    <s v="NULL"/>
    <s v="NULL"/>
    <n v="500000"/>
    <n v="0.22"/>
    <n v="0.2"/>
    <s v="NULL"/>
    <s v="NULL"/>
  </r>
  <r>
    <x v="647"/>
    <x v="11"/>
    <n v="20462351268"/>
    <s v="ABS INGENIEROS S.A.C."/>
    <s v="."/>
    <n v="10265615"/>
    <s v="Nuevo Aprobado Ágil"/>
    <s v="BPECND"/>
    <n v="83617.0546875"/>
    <d v="2025-02-24T00:00:00"/>
    <n v="18.2"/>
    <s v="TLV"/>
    <s v="TLV"/>
    <s v="Nuevo Aprobado Agil"/>
    <n v="202502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48"/>
    <x v="9"/>
    <n v="20610140123"/>
    <s v="ATELPA E.I.R.L."/>
    <s v="."/>
    <n v="10265208"/>
    <s v="Nuevo NO BANK"/>
    <s v="BPECND"/>
    <n v="34106.046875"/>
    <d v="2025-02-10T00:00:00"/>
    <n v="21"/>
    <s v="TLV"/>
    <s v="TLV"/>
    <s v="Nuevo Aprobado EN"/>
    <n v="202502"/>
    <n v="40002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49"/>
    <x v="5"/>
    <n v="10011586061"/>
    <s v="RAMIREZ RAMIREZ NESTOR EDUARDO"/>
    <n v="1158606"/>
    <n v="10264629"/>
    <s v="Nuevo Aprobado"/>
    <s v="B25972"/>
    <n v="35654.66796875"/>
    <d v="2025-01-17T00:00:00"/>
    <n v="23.200001"/>
    <s v="TIENDAS"/>
    <s v="TIENDAS"/>
    <s v="Nuevo Pre-aprobado"/>
    <n v="202501"/>
    <n v="50002.5"/>
    <s v="B25972"/>
    <x v="55"/>
    <s v="B14530"/>
    <x v="5"/>
    <x v="1"/>
    <x v="0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650"/>
    <x v="9"/>
    <n v="20607413291"/>
    <s v="EYM ENVIOS PUENTE"/>
    <s v="."/>
    <n v="10264984"/>
    <s v="Nuevo pre Aprobado"/>
    <s v="B28007"/>
    <n v="30136.158203125"/>
    <d v="2025-01-30T00:00:00"/>
    <n v="22"/>
    <s v="TIENDAS"/>
    <s v="TIENDAS"/>
    <s v="Nuevo Pre-aprobado"/>
    <n v="202501"/>
    <n v="35001.75"/>
    <s v="B28007"/>
    <x v="20"/>
    <s v="B13988"/>
    <x v="8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.27079999999999999"/>
    <s v="NULL"/>
    <s v="NULL"/>
  </r>
  <r>
    <x v="262"/>
    <x v="1"/>
    <n v="20511341761"/>
    <s v="TECNO INGENIERIA INDUSTRIAL"/>
    <s v="."/>
    <n v="10274469"/>
    <s v="Recurrente Aprobado Agil"/>
    <s v="B37426"/>
    <n v="75394.78125"/>
    <d v="2026-01-12T00:00:00"/>
    <n v="16"/>
    <s v="TIENDAS"/>
    <s v="TIENDAS"/>
    <s v="Recurrente Ágil CEM"/>
    <n v="202601"/>
    <n v="150007.5"/>
    <s v="B37426"/>
    <x v="71"/>
    <s v="B14821"/>
    <x v="3"/>
    <x v="4"/>
    <x v="0"/>
    <s v="P5"/>
    <s v="C1_2"/>
    <n v="1"/>
    <x v="0"/>
    <n v="1"/>
    <n v="1"/>
    <n v="1"/>
    <x v="0"/>
    <n v="150007.5"/>
    <n v="16"/>
    <d v="2026-01-12T00:00:00"/>
    <s v="Recurrente Ágil CEM"/>
    <s v="TIENDAS"/>
    <s v="CAPITAL DE TRABAJO"/>
    <n v="169900"/>
    <n v="0.21"/>
    <n v="0.19"/>
    <s v="NULL"/>
    <s v="NULL"/>
  </r>
  <r>
    <x v="651"/>
    <x v="12"/>
    <n v="20609574977"/>
    <s v="SERVICIOS BASILEA EMPRESA INDIVIDUAL DE"/>
    <s v="."/>
    <n v="10266439"/>
    <s v="Nuevo pre Aprobado"/>
    <s v="BPECND"/>
    <n v="25616.169921875"/>
    <d v="2025-03-21T00:00:00"/>
    <n v="22.5"/>
    <s v="TIENDAS"/>
    <s v="TIENDAS"/>
    <s v="Nuevo Pre-aprobado"/>
    <n v="202503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52"/>
    <x v="12"/>
    <n v="10419215258"/>
    <s v="LARREATEGUI ARANDA DIOMER ISAEL"/>
    <n v="41921525"/>
    <n v="10267356"/>
    <s v="CDD APROBADO"/>
    <s v="B8606"/>
    <n v="114505.9921875"/>
    <d v="2025-04-25T00:00:00"/>
    <n v="16"/>
    <s v="TLV"/>
    <s v="TLV"/>
    <s v="Nuevo Aprobado Agil CD"/>
    <n v="202504"/>
    <n v="123056.1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53"/>
    <x v="5"/>
    <n v="20608036998"/>
    <s v="COMERCIAL RACEJO SOCIEDAD ANÓNIMA CERRAD"/>
    <s v="."/>
    <n v="10267611"/>
    <s v="Nuevo pre Aprobado"/>
    <s v="B27596"/>
    <n v="67069.3046875"/>
    <d v="2025-05-05T00:00:00"/>
    <n v="17.5"/>
    <s v="TIENDAS"/>
    <s v="VENDORS"/>
    <s v="Nuevo Pre-aprobado"/>
    <n v="202505"/>
    <n v="104005.2"/>
    <s v="B27596"/>
    <x v="38"/>
    <s v="B13988"/>
    <x v="8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654"/>
    <x v="7"/>
    <n v="20606682442"/>
    <s v="PERUIMS SOCIEDAD ANONIMA CERRADA"/>
    <s v="."/>
    <n v="10271448"/>
    <s v="Regular Sin Campaña"/>
    <s v="B19752"/>
    <n v="211077.921875"/>
    <d v="2025-09-17T00:00:00"/>
    <n v="17"/>
    <s v="TIENDAS"/>
    <s v="VENDORS"/>
    <s v="Gestion Cartera"/>
    <n v="202509"/>
    <n v="250012.5"/>
    <s v="B19752"/>
    <x v="43"/>
    <s v="B13988"/>
    <x v="8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655"/>
    <x v="5"/>
    <n v="10105866777"/>
    <s v="VENTO PICKMAN ALEJANDRO DAVID"/>
    <n v="10586677"/>
    <n v="10269728"/>
    <s v="CDD APROBADO"/>
    <s v="B11678"/>
    <n v="120157.53125"/>
    <d v="2025-07-18T00:00:00"/>
    <n v="17.25"/>
    <s v="TLV"/>
    <s v="TLV"/>
    <s v="Nuevo Aprobado Agil CD"/>
    <n v="202507"/>
    <n v="135476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56"/>
    <x v="10"/>
    <n v="20550899575"/>
    <s v="GASTEGRAF"/>
    <s v="."/>
    <n v="10162724"/>
    <s v="GIRO DE LINEA"/>
    <s v="B36343"/>
    <n v="115375.9375"/>
    <d v="2025-07-07T00:00:00"/>
    <n v="16"/>
    <s v="TIENDAS"/>
    <s v="TIENDAS"/>
    <s v="Giro de Línea"/>
    <n v="202507"/>
    <n v="155007.75"/>
    <s v="B36343"/>
    <x v="40"/>
    <s v="B13161"/>
    <x v="9"/>
    <x v="5"/>
    <x v="0"/>
    <s v="P1"/>
    <s v="C1_2"/>
    <n v="1"/>
    <x v="1"/>
    <n v="0"/>
    <n v="0"/>
    <n v="0"/>
    <x v="0"/>
    <n v="0"/>
    <s v="NULL"/>
    <s v="NULL"/>
    <s v="NULL"/>
    <s v="NULL"/>
    <s v="NULL"/>
    <n v="500000"/>
    <n v="0.21"/>
    <n v="0.19"/>
    <s v="NULL"/>
    <s v="NULL"/>
  </r>
  <r>
    <x v="657"/>
    <x v="5"/>
    <n v="10021690941"/>
    <s v="CONDORI MOLLEAPAZA NATIVIDAD CLARA"/>
    <n v="2169094"/>
    <n v="10268211"/>
    <s v="CDD APROBADO"/>
    <s v="B45371"/>
    <n v="29512.314453125"/>
    <d v="2025-05-27T00:00:00"/>
    <n v="15"/>
    <s v="TLV"/>
    <s v="TLV"/>
    <s v="Nuevo Aprobado Agil CD"/>
    <n v="202505"/>
    <n v="58002.9"/>
    <s v="B45371"/>
    <x v="15"/>
    <s v="B45384"/>
    <x v="6"/>
    <x v="1"/>
    <x v="2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658"/>
    <x v="1"/>
    <n v="20477384073"/>
    <s v="INVERSIONES GENERALES JAMITOS"/>
    <s v="."/>
    <n v="10271663"/>
    <s v="Ágil Recurrente CEM"/>
    <s v="B25972"/>
    <n v="130153.6328125"/>
    <d v="2025-09-24T00:00:00"/>
    <n v="15"/>
    <s v="TIENDAS"/>
    <s v="TIENDAS"/>
    <s v="Recurrente Ágil CEM"/>
    <n v="202509"/>
    <n v="145807.25"/>
    <s v="B25972"/>
    <x v="55"/>
    <s v="B14530"/>
    <x v="5"/>
    <x v="10"/>
    <x v="0"/>
    <s v="P5"/>
    <s v="C1_1"/>
    <n v="1"/>
    <x v="0"/>
    <n v="0"/>
    <n v="0"/>
    <n v="1"/>
    <x v="0"/>
    <n v="0"/>
    <s v="NULL"/>
    <s v="NULL"/>
    <s v="NULL"/>
    <s v="NULL"/>
    <s v="NULL"/>
    <n v="0"/>
    <n v="0"/>
    <n v="0"/>
    <s v="NULL"/>
    <s v="NULL"/>
  </r>
  <r>
    <x v="659"/>
    <x v="7"/>
    <n v="10102664316"/>
    <s v="GONZALES MORALES RENZO ALFREDO"/>
    <n v="10266431"/>
    <n v="10271699"/>
    <s v="CDD PRE APROBADO"/>
    <s v="B45870"/>
    <n v="181695.015625"/>
    <d v="2025-09-24T00:00:00"/>
    <n v="17"/>
    <s v="TIENDAS"/>
    <s v="TIENDAS"/>
    <s v="Gestion Cartera"/>
    <n v="202509"/>
    <n v="195009.75"/>
    <s v="B45870"/>
    <x v="78"/>
    <s v="B13161"/>
    <x v="9"/>
    <x v="1"/>
    <x v="0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660"/>
    <x v="7"/>
    <n v="20605276840"/>
    <s v="V&amp;C INVESTMENTS"/>
    <s v="."/>
    <n v="10268957"/>
    <s v="Nuevo pre Aprobado"/>
    <s v="B46403"/>
    <n v="89839.8671875"/>
    <d v="2025-06-23T00:00:00"/>
    <n v="17"/>
    <s v="TIENDAS"/>
    <s v="TIENDAS"/>
    <s v="Nuevo Pre-aprobado"/>
    <n v="202506"/>
    <n v="120006"/>
    <s v="B46403"/>
    <x v="61"/>
    <s v="B14821"/>
    <x v="3"/>
    <x v="0"/>
    <x v="0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661"/>
    <x v="8"/>
    <n v="20557233629"/>
    <s v="C Y N SERVICIOS GENERALES"/>
    <s v="."/>
    <n v="10266649"/>
    <s v="Regular Sin Campaña"/>
    <s v="B45631"/>
    <n v="80543.3828125"/>
    <d v="2025-03-27T00:00:00"/>
    <n v="18"/>
    <s v="TIENDAS"/>
    <s v="TIENDAS"/>
    <s v="Gestion Cartera"/>
    <n v="202503"/>
    <n v="90004.5"/>
    <s v="B45631"/>
    <x v="54"/>
    <s v="B27274"/>
    <x v="0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0380000000000001"/>
    <s v="NULL"/>
    <s v="NULL"/>
    <s v="NULL"/>
  </r>
  <r>
    <x v="662"/>
    <x v="5"/>
    <n v="20600918991"/>
    <s v="ASCENSORES &amp; SERVICIOS PERU"/>
    <s v="."/>
    <n v="10140426"/>
    <s v="GIRO DE LINEA"/>
    <s v="B44900"/>
    <n v="85501.6328125"/>
    <d v="2024-12-17T00:00:00"/>
    <n v="18"/>
    <s v="TIENDAS"/>
    <s v="TIENDAS"/>
    <s v="Giro de Línea"/>
    <n v="202412"/>
    <n v="120006"/>
    <s v="B44900"/>
    <x v="19"/>
    <s v="B34489"/>
    <x v="4"/>
    <x v="4"/>
    <x v="0"/>
    <s v="P1"/>
    <s v="C1_1"/>
    <n v="1"/>
    <x v="0"/>
    <n v="0"/>
    <n v="0"/>
    <n v="1"/>
    <x v="0"/>
    <n v="0"/>
    <s v="NULL"/>
    <s v="NULL"/>
    <s v="NULL"/>
    <s v="NULL"/>
    <s v="NULL"/>
    <n v="400000"/>
    <n v="0.18379999999999999"/>
    <n v="0.1638"/>
    <s v="NULL"/>
    <s v="NULL"/>
  </r>
  <r>
    <x v="381"/>
    <x v="8"/>
    <n v="10082816114"/>
    <s v="VELASQUEZ CENTENO HONORATA"/>
    <n v="8281611"/>
    <n v="10173142"/>
    <s v="GIRO DE LINEA"/>
    <s v="B45440"/>
    <n v="3462.73828125"/>
    <d v="2024-11-20T00:00:00"/>
    <n v="17.899999999999999"/>
    <s v="TIENDAS"/>
    <s v="TIENDAS"/>
    <s v="Giro de Línea"/>
    <n v="202411"/>
    <n v="120006"/>
    <s v="B45440"/>
    <x v="73"/>
    <s v="B45083"/>
    <x v="7"/>
    <x v="1"/>
    <x v="2"/>
    <s v="P2"/>
    <s v="NULL"/>
    <n v="1"/>
    <x v="1"/>
    <n v="0"/>
    <n v="0"/>
    <n v="0"/>
    <x v="0"/>
    <n v="0"/>
    <s v="NULL"/>
    <s v="NULL"/>
    <s v="NULL"/>
    <s v="NULL"/>
    <s v="NULL"/>
    <n v="1"/>
    <n v="0.1898"/>
    <s v="NULL"/>
    <s v="NULL"/>
    <s v="NULL"/>
  </r>
  <r>
    <x v="663"/>
    <x v="1"/>
    <n v="10100303863"/>
    <s v="BARUA LUYO LIDIA GRACIELA"/>
    <n v="10030386"/>
    <n v="10261562"/>
    <s v="Impulso Mixto"/>
    <s v="B24743"/>
    <n v="32502.130859375"/>
    <d v="2024-10-15T00:00:00"/>
    <n v="16.200001"/>
    <s v="TLV"/>
    <s v="TLV"/>
    <s v="Impulso MyPeru Comercial"/>
    <n v="202410"/>
    <n v="49212.45"/>
    <s v="B45373"/>
    <x v="13"/>
    <s v="B45384"/>
    <x v="6"/>
    <x v="4"/>
    <x v="2"/>
    <s v="P5"/>
    <s v="C3"/>
    <n v="1"/>
    <x v="0"/>
    <n v="0"/>
    <n v="1"/>
    <n v="1"/>
    <x v="2"/>
    <n v="0"/>
    <s v="NULL"/>
    <s v="NULL"/>
    <s v="NULL"/>
    <s v="NULL"/>
    <s v="NULL"/>
    <n v="200000"/>
    <n v="0.2447"/>
    <n v="0.22470000000000001"/>
    <s v="NULL"/>
    <s v="NULL"/>
  </r>
  <r>
    <x v="664"/>
    <x v="6"/>
    <n v="20606186038"/>
    <s v="JORAGRO E.I.R.L."/>
    <s v="."/>
    <n v="10259564"/>
    <s v="Impulso Solo"/>
    <s v="B22760"/>
    <n v="47098.125"/>
    <d v="2024-08-26T00:00:00"/>
    <n v="14.8"/>
    <s v="TLV"/>
    <s v="TLV"/>
    <s v="Impulso MyPeru Comercial"/>
    <n v="202408"/>
    <n v="63939.15"/>
    <s v="B22760"/>
    <x v="42"/>
    <s v="B34489"/>
    <x v="4"/>
    <x v="0"/>
    <x v="0"/>
    <s v="P1"/>
    <s v="NULL"/>
    <n v="1"/>
    <x v="0"/>
    <n v="0"/>
    <n v="1"/>
    <n v="1"/>
    <x v="0"/>
    <n v="0"/>
    <s v="NULL"/>
    <s v="NULL"/>
    <s v="NULL"/>
    <s v="NULL"/>
    <s v="NULL"/>
    <n v="0"/>
    <n v="0"/>
    <n v="0.19"/>
    <s v="NULL"/>
    <s v="NULL"/>
  </r>
  <r>
    <x v="658"/>
    <x v="1"/>
    <n v="20477384073"/>
    <s v="INVERSIONES GENERALES JAMITOS"/>
    <s v="."/>
    <n v="10267090"/>
    <s v="CDD PRE APROBADO"/>
    <s v="B25972"/>
    <n v="226371.28125"/>
    <d v="2025-04-15T00:00:00"/>
    <n v="15"/>
    <s v="TIENDAS"/>
    <s v="TIENDAS"/>
    <s v="Recurrente Aprobado CD"/>
    <n v="202504"/>
    <n v="287014.34999999998"/>
    <s v="B25972"/>
    <x v="55"/>
    <s v="B14530"/>
    <x v="5"/>
    <x v="10"/>
    <x v="0"/>
    <s v="P5"/>
    <s v="C1_1"/>
    <n v="1"/>
    <x v="0"/>
    <n v="0"/>
    <n v="0"/>
    <n v="1"/>
    <x v="0"/>
    <n v="0"/>
    <s v="NULL"/>
    <s v="NULL"/>
    <s v="NULL"/>
    <s v="NULL"/>
    <s v="NULL"/>
    <n v="0"/>
    <n v="0"/>
    <n v="0"/>
    <s v="NULL"/>
    <s v="NULL"/>
  </r>
  <r>
    <x v="665"/>
    <x v="2"/>
    <n v="20546285104"/>
    <s v="SERVICIOS Y TRANSPORTES BRALONSO S.R.L."/>
    <s v="."/>
    <n v="10267821"/>
    <s v="Nuevo Aprobado Ágil"/>
    <s v="B13988"/>
    <n v="151574.21875"/>
    <d v="2025-05-15T00:00:00"/>
    <n v="17"/>
    <s v="TLV"/>
    <s v="TLV"/>
    <s v="Nuevo Aprobado Agil"/>
    <n v="202505"/>
    <n v="170008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66"/>
    <x v="7"/>
    <n v="10056459419"/>
    <s v="BAUTISTA AZAHUANCHE MARIA JACOBA"/>
    <n v="5645941"/>
    <n v="10271509"/>
    <s v="Nuevo Aprobado"/>
    <s v="BPECND"/>
    <n v="42349.87109375"/>
    <d v="2025-09-18T00:00:00"/>
    <n v="21"/>
    <s v="TLV"/>
    <s v="TLV"/>
    <s v="Nuevo Aprobado EN"/>
    <n v="202509"/>
    <n v="50002.5"/>
    <s v="NULL"/>
    <x v="2"/>
    <s v="NULL"/>
    <x v="2"/>
    <x v="12"/>
    <x v="3"/>
    <s v="P2"/>
    <s v="C3"/>
    <n v="1"/>
    <x v="0"/>
    <n v="0"/>
    <n v="0"/>
    <n v="0"/>
    <x v="1"/>
    <n v="0"/>
    <s v="NULL"/>
    <s v="NULL"/>
    <s v="NULL"/>
    <s v="NULL"/>
    <s v="NULL"/>
    <s v="NULL"/>
    <s v="NULL"/>
    <s v="NULL"/>
    <s v="TLV C"/>
    <s v="POOL TRANSACCIONAL"/>
  </r>
  <r>
    <x v="667"/>
    <x v="0"/>
    <n v="20610538143"/>
    <s v="MULTISERVICIOS JB"/>
    <s v="."/>
    <n v="10270016"/>
    <s v="Nuevo NO BANK"/>
    <s v="BPECND"/>
    <n v="40342.14453125"/>
    <d v="2025-07-30T00:00:00"/>
    <n v="24"/>
    <s v="TLV"/>
    <s v="TLV"/>
    <s v="Nuevo Aprobado EN"/>
    <n v="202507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68"/>
    <x v="0"/>
    <n v="10076180844"/>
    <s v="AZA DEL ALCAZAR OMAYRA CLEMENCIA"/>
    <n v="7618084"/>
    <n v="10259519"/>
    <s v="Impulso Mixto"/>
    <s v="B45389"/>
    <n v="36991.7890625"/>
    <d v="2024-08-26T00:00:00"/>
    <n v="14.7"/>
    <s v="TIENDAS"/>
    <s v="TIENDAS"/>
    <s v="Impulso MyPeru Comercial"/>
    <n v="202408"/>
    <n v="60003"/>
    <s v="B45389"/>
    <x v="16"/>
    <s v="B45384"/>
    <x v="6"/>
    <x v="0"/>
    <x v="2"/>
    <s v="P2"/>
    <s v="C3"/>
    <n v="1"/>
    <x v="0"/>
    <n v="0"/>
    <n v="1"/>
    <n v="1"/>
    <x v="0"/>
    <n v="0"/>
    <s v="NULL"/>
    <s v="NULL"/>
    <s v="NULL"/>
    <s v="NULL"/>
    <s v="NULL"/>
    <n v="0"/>
    <n v="0"/>
    <n v="0.19"/>
    <s v="NULL"/>
    <s v="NULL"/>
  </r>
  <r>
    <x v="669"/>
    <x v="6"/>
    <n v="20611028203"/>
    <s v="CATRINA GROUP"/>
    <s v="."/>
    <n v="10258058"/>
    <s v="Impulso Solo"/>
    <s v="B29768"/>
    <n v="59271.4140625"/>
    <d v="2024-07-25T00:00:00"/>
    <n v="15.5"/>
    <s v="TLV"/>
    <s v="TLV"/>
    <s v="Impulso MyPeru Comercial"/>
    <n v="202407"/>
    <n v="90004.5"/>
    <s v="B29768"/>
    <x v="32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670"/>
    <x v="10"/>
    <n v="10040660653"/>
    <s v="MAURICIO MUÑOZ SOLINA JANE"/>
    <n v="4066065"/>
    <n v="10256130"/>
    <s v="Impulso CDI Cobertura"/>
    <s v="B30973"/>
    <n v="37422.9453125"/>
    <d v="2024-06-24T00:00:00"/>
    <n v="15.3"/>
    <s v="TIENDAS"/>
    <s v="TIENDAS"/>
    <s v="Impulso MyPeru Comercial"/>
    <n v="202406"/>
    <n v="105245.25"/>
    <s v="B30973"/>
    <x v="11"/>
    <s v="B14821"/>
    <x v="3"/>
    <x v="5"/>
    <x v="0"/>
    <s v="P2"/>
    <s v="C3"/>
    <n v="1"/>
    <x v="1"/>
    <n v="0"/>
    <n v="0"/>
    <n v="0"/>
    <x v="0"/>
    <n v="0"/>
    <s v="NULL"/>
    <s v="NULL"/>
    <s v="NULL"/>
    <s v="NULL"/>
    <s v="NULL"/>
    <n v="250000"/>
    <n v="0.22589999999999999"/>
    <n v="0.2059"/>
    <s v="NULL"/>
    <s v="NULL"/>
  </r>
  <r>
    <x v="671"/>
    <x v="7"/>
    <n v="20600455321"/>
    <s v="SOLUCION EMPRESARIAL G.Z. PERU"/>
    <s v="."/>
    <n v="10255529"/>
    <s v="Impulso CDI Cobertura"/>
    <s v="B46527"/>
    <n v="52044.3984375"/>
    <d v="2024-06-19T00:00:00"/>
    <n v="15.7"/>
    <s v="TLV"/>
    <s v="TLV"/>
    <s v="Impulso MyPeru Comercial"/>
    <n v="202406"/>
    <n v="90004.5"/>
    <s v="B46527"/>
    <x v="75"/>
    <s v="B34489"/>
    <x v="4"/>
    <x v="4"/>
    <x v="0"/>
    <s v="P1"/>
    <s v="C2"/>
    <n v="1"/>
    <x v="0"/>
    <n v="0"/>
    <n v="0"/>
    <n v="1"/>
    <x v="0"/>
    <n v="0"/>
    <s v="NULL"/>
    <s v="NULL"/>
    <s v="NULL"/>
    <s v="NULL"/>
    <s v="NULL"/>
    <n v="250000"/>
    <n v="0.2127"/>
    <n v="0.19270000000000001"/>
    <s v="NULL"/>
    <s v="NULL"/>
  </r>
  <r>
    <x v="672"/>
    <x v="5"/>
    <n v="20609064138"/>
    <s v="LA BOMBA MARKET"/>
    <s v="."/>
    <n v="10261512"/>
    <s v="Impulso Mixto"/>
    <s v="B22760"/>
    <n v="73348.7578125"/>
    <d v="2024-10-14T00:00:00"/>
    <n v="15"/>
    <s v="TIENDAS"/>
    <s v="TIENDAS"/>
    <s v="Impulso MyPeru Comercial"/>
    <n v="202410"/>
    <n v="90004.5"/>
    <s v="B22760"/>
    <x v="42"/>
    <s v="B34489"/>
    <x v="4"/>
    <x v="1"/>
    <x v="0"/>
    <s v="P1"/>
    <s v="C1_2"/>
    <n v="1"/>
    <x v="0"/>
    <n v="0"/>
    <n v="1"/>
    <n v="1"/>
    <x v="0"/>
    <n v="0"/>
    <s v="NULL"/>
    <s v="NULL"/>
    <s v="NULL"/>
    <s v="NULL"/>
    <s v="NULL"/>
    <n v="1"/>
    <n v="1"/>
    <s v="NULL"/>
    <s v="NULL"/>
    <s v="NULL"/>
  </r>
  <r>
    <x v="673"/>
    <x v="10"/>
    <n v="20559822281"/>
    <s v="ASESORIA &amp; SERVICIOS GRAFICOS S.R.L."/>
    <s v="."/>
    <n v="10259977"/>
    <s v="Impulso Mixto"/>
    <s v="BPECND"/>
    <n v="1255.41809082031"/>
    <d v="2024-09-03T00:00:00"/>
    <n v="15.5"/>
    <s v="TLV"/>
    <s v="TLV"/>
    <s v="Impulso MyPeru Comercial"/>
    <n v="202409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74"/>
    <x v="10"/>
    <n v="20603538049"/>
    <s v="EMINCS ASIEL B &amp; M"/>
    <s v="."/>
    <n v="10272293"/>
    <s v="Regular Sin Campaña"/>
    <s v="B34489"/>
    <n v="128626.7109375"/>
    <d v="2025-10-16T00:00:00"/>
    <n v="19"/>
    <s v="TIENDAS"/>
    <s v="TIENDAS"/>
    <s v="Gestion Cartera"/>
    <n v="202510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85"/>
    <x v="1"/>
    <n v="20546655807"/>
    <s v="COLD AIR PERU"/>
    <s v="."/>
    <n v="10264369"/>
    <s v="Impulso Solo"/>
    <s v="B25939"/>
    <n v="3478.97021484375"/>
    <d v="2024-12-30T00:00:00"/>
    <n v="15.5"/>
    <s v="TIENDAS"/>
    <s v="TIENDAS"/>
    <s v="Impulso MyPeru Comercial"/>
    <n v="202412"/>
    <n v="90004.5"/>
    <s v="B25939"/>
    <x v="23"/>
    <s v="B13988"/>
    <x v="1"/>
    <x v="1"/>
    <x v="0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675"/>
    <x v="7"/>
    <n v="20602163831"/>
    <s v="BOTICAS JAENFARMA"/>
    <s v="."/>
    <n v="10258145"/>
    <s v="Impulso CDI Cobertura"/>
    <s v="B44120"/>
    <n v="59252.66015625"/>
    <d v="2024-07-30T00:00:00"/>
    <n v="15.4"/>
    <s v="TIENDAS"/>
    <s v="TIENDAS"/>
    <s v="Impulso MyPeru Comercial"/>
    <n v="202407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76"/>
    <x v="3"/>
    <n v="10417760542"/>
    <s v="HUACCACHI GONZALES ZENILDA"/>
    <n v="41776054"/>
    <n v="10256128"/>
    <s v="Impulso Solo"/>
    <s v="B37981"/>
    <n v="266502.53125"/>
    <d v="2024-06-24T00:00:00"/>
    <n v="13.6"/>
    <s v="TIENDAS"/>
    <s v="TIENDAS"/>
    <s v="Impulso MyPeru Comercial"/>
    <n v="202406"/>
    <n v="300015"/>
    <s v="B37981"/>
    <x v="4"/>
    <s v="B34489"/>
    <x v="4"/>
    <x v="1"/>
    <x v="0"/>
    <s v="P1"/>
    <s v="NULL"/>
    <n v="1"/>
    <x v="1"/>
    <n v="0"/>
    <n v="0"/>
    <n v="0"/>
    <x v="2"/>
    <n v="0"/>
    <s v="NULL"/>
    <s v="NULL"/>
    <s v="NULL"/>
    <s v="NULL"/>
    <s v="NULL"/>
    <n v="942057558"/>
    <n v="0"/>
    <n v="0"/>
    <s v="NULL"/>
    <s v="NULL"/>
  </r>
  <r>
    <x v="677"/>
    <x v="1"/>
    <n v="20612025844"/>
    <s v="PLANNING MANAGEMENT AND ADVISORY SERVICE"/>
    <s v="."/>
    <n v="10274196"/>
    <s v="Nuevo NO BANK"/>
    <s v="BPECND"/>
    <n v="30001.505859375"/>
    <d v="2025-12-24T00:00:00"/>
    <n v="19"/>
    <s v="TLV"/>
    <s v="TLV"/>
    <s v="Nuevo Aprobado EN"/>
    <n v="202512"/>
    <n v="30001.5"/>
    <s v="NULL"/>
    <x v="2"/>
    <s v="NULL"/>
    <x v="2"/>
    <x v="17"/>
    <x v="3"/>
    <s v="P2"/>
    <s v="C3"/>
    <n v="1"/>
    <x v="0"/>
    <n v="0"/>
    <n v="0"/>
    <n v="0"/>
    <x v="1"/>
    <n v="0"/>
    <s v="NULL"/>
    <s v="NULL"/>
    <s v="NULL"/>
    <s v="NULL"/>
    <s v="NULL"/>
    <n v="200000"/>
    <n v="0.2407"/>
    <n v="0.22070000000000001"/>
    <s v="TLV C"/>
    <s v="POOL TRANSACCIONAL"/>
  </r>
  <r>
    <x v="678"/>
    <x v="11"/>
    <n v="20602992099"/>
    <s v="CETPRO TRES ASES E.I.R.L."/>
    <s v="."/>
    <n v="10261930"/>
    <s v="Impulso Mixto"/>
    <s v="BPECND"/>
    <n v="75003.734375"/>
    <d v="2024-10-23T00:00:00"/>
    <n v="15"/>
    <s v="TIENDAS"/>
    <s v="TIENDAS"/>
    <s v="Impulso MyPeru Comercial"/>
    <n v="202410"/>
    <n v="75003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85"/>
    <x v="1"/>
    <n v="20606569123"/>
    <s v="UMBRELLA SCIENTIFIC"/>
    <s v="."/>
    <n v="10274515"/>
    <s v="Recurrente Aprobado Agil"/>
    <s v="B46402"/>
    <n v="158542.625"/>
    <d v="2026-01-13T00:00:00"/>
    <n v="16"/>
    <s v="TIENDAS"/>
    <s v="TIENDAS"/>
    <s v="Recurrente Ágil CEM"/>
    <n v="202601"/>
    <n v="256612.8"/>
    <s v="B46402"/>
    <x v="62"/>
    <s v="B13988"/>
    <x v="1"/>
    <x v="4"/>
    <x v="0"/>
    <s v="P5"/>
    <s v="C1_1"/>
    <n v="1"/>
    <x v="0"/>
    <n v="1"/>
    <n v="1"/>
    <n v="1"/>
    <x v="0"/>
    <n v="256612.8"/>
    <n v="16"/>
    <d v="2026-01-13T00:00:00"/>
    <s v="Recurrente Ágil CEM"/>
    <s v="TIENDAS"/>
    <s v="CAPITAL DE TRABAJO"/>
    <n v="256600"/>
    <n v="0.21"/>
    <n v="0.19"/>
    <s v="NULL"/>
    <s v="NULL"/>
  </r>
  <r>
    <x v="679"/>
    <x v="1"/>
    <n v="20605427813"/>
    <s v="ESCUELA DE POSGRADO EN INGENIERIA TECNO"/>
    <s v="."/>
    <n v="10265735"/>
    <s v="Nuevo NO BANK"/>
    <s v="B34489"/>
    <n v="14487.51171875"/>
    <d v="2025-02-26T00:00:00"/>
    <n v="21"/>
    <s v="TLV"/>
    <s v="TLV"/>
    <s v="Nuevo Aprobado EN"/>
    <n v="202502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80"/>
    <x v="12"/>
    <n v="10720825690"/>
    <s v="QUISPE CALLA GILBERTO"/>
    <n v="72082569"/>
    <n v="10250071"/>
    <s v="Impulso Mixto"/>
    <s v="B22931"/>
    <n v="58967.85546875"/>
    <d v="2024-03-26T00:00:00"/>
    <n v="13.8"/>
    <s v="TLV"/>
    <s v="TLV"/>
    <s v="Impulso MyPeru Comercial"/>
    <n v="202403"/>
    <n v="90004.5"/>
    <s v="B45371"/>
    <x v="15"/>
    <s v="B45384"/>
    <x v="6"/>
    <x v="4"/>
    <x v="2"/>
    <s v="P2"/>
    <s v="NULL"/>
    <n v="1"/>
    <x v="1"/>
    <n v="0"/>
    <n v="0"/>
    <n v="0"/>
    <x v="2"/>
    <n v="0"/>
    <s v="NULL"/>
    <s v="NULL"/>
    <s v="NULL"/>
    <s v="NULL"/>
    <s v="NULL"/>
    <n v="200000"/>
    <n v="0.23"/>
    <n v="0.21229999999999999"/>
    <s v="NULL"/>
    <s v="NULL"/>
  </r>
  <r>
    <x v="681"/>
    <x v="8"/>
    <n v="20523262816"/>
    <s v="CCAPA TECNOLOGIAS DE INFORMACION"/>
    <s v="."/>
    <n v="10229085"/>
    <s v="GIRO DE LINEA"/>
    <s v="B30973"/>
    <n v="102738.6015625"/>
    <d v="2025-05-26T00:00:00"/>
    <n v="19"/>
    <s v="TIENDAS"/>
    <s v="TIENDAS"/>
    <s v="Giro de Línea"/>
    <n v="202505"/>
    <n v="107005.35"/>
    <s v="B30973"/>
    <x v="11"/>
    <s v="B14821"/>
    <x v="3"/>
    <x v="4"/>
    <x v="0"/>
    <s v="P1"/>
    <s v="NULL"/>
    <n v="1"/>
    <x v="0"/>
    <n v="0"/>
    <n v="0"/>
    <n v="1"/>
    <x v="0"/>
    <n v="0"/>
    <s v="NULL"/>
    <s v="NULL"/>
    <s v="NULL"/>
    <s v="NULL"/>
    <s v="NULL"/>
    <n v="250000"/>
    <n v="0.24"/>
    <n v="0.22"/>
    <s v="NULL"/>
    <s v="NULL"/>
  </r>
  <r>
    <x v="682"/>
    <x v="11"/>
    <n v="10239520508"/>
    <s v="FARFAN VARGAS RAUL JESUS"/>
    <n v="23952050"/>
    <n v="10184157"/>
    <s v="Reactiva"/>
    <s v="B39478"/>
    <n v="14800.768554687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83"/>
    <x v="4"/>
    <n v="20478035358"/>
    <s v="GREEN HOME"/>
    <s v="."/>
    <n v="10211040"/>
    <s v="Reactiva"/>
    <s v="BPECND"/>
    <n v="43606.0585937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84"/>
    <x v="9"/>
    <n v="20600482611"/>
    <s v="FIDE IMPORTACIONES"/>
    <s v="."/>
    <n v="10222869"/>
    <s v="GIRO DE LINEA"/>
    <s v="B27274"/>
    <n v="115040.328125"/>
    <d v="2025-01-20T00:00:00"/>
    <n v="16"/>
    <s v="TIENDAS"/>
    <s v="TIENDAS"/>
    <s v="Giro de Línea"/>
    <n v="202501"/>
    <n v="150007.5"/>
    <s v="B36574"/>
    <x v="51"/>
    <s v="B13161"/>
    <x v="9"/>
    <x v="4"/>
    <x v="0"/>
    <s v="P1"/>
    <s v="NULL"/>
    <n v="1"/>
    <x v="1"/>
    <n v="0"/>
    <n v="0"/>
    <n v="0"/>
    <x v="2"/>
    <n v="0"/>
    <s v="NULL"/>
    <s v="NULL"/>
    <s v="NULL"/>
    <s v="NULL"/>
    <s v="NULL"/>
    <n v="250000"/>
    <n v="0.22"/>
    <n v="0.20280000000000001"/>
    <s v="NULL"/>
    <s v="NULL"/>
  </r>
  <r>
    <x v="685"/>
    <x v="12"/>
    <n v="20558185687"/>
    <s v="D Y G COMERCIAL MAYORISTA"/>
    <s v="."/>
    <n v="10169736"/>
    <s v="GIRO DE LINEA"/>
    <s v="B44900"/>
    <n v="106396.6484375"/>
    <d v="2024-10-04T00:00:00"/>
    <n v="18.8"/>
    <s v="TIENDAS"/>
    <s v="TIENDAS"/>
    <s v="Giro de Línea"/>
    <n v="202410"/>
    <n v="150007.5"/>
    <s v="B44900"/>
    <x v="19"/>
    <s v="B34489"/>
    <x v="4"/>
    <x v="7"/>
    <x v="0"/>
    <s v="P1"/>
    <s v="NULL"/>
    <n v="1"/>
    <x v="0"/>
    <n v="0"/>
    <n v="0"/>
    <n v="1"/>
    <x v="0"/>
    <n v="0"/>
    <s v="NULL"/>
    <s v="NULL"/>
    <s v="NULL"/>
    <s v="NULL"/>
    <s v="NULL"/>
    <n v="156000"/>
    <n v="0.21"/>
    <n v="0.1883"/>
    <s v="NULL"/>
    <s v="NULL"/>
  </r>
  <r>
    <x v="686"/>
    <x v="6"/>
    <n v="10004995835"/>
    <s v="TORRES HUARAYA OTILIA MIRTHA"/>
    <n v="499583"/>
    <n v="10149291"/>
    <s v="GIRO DE LINEA"/>
    <s v="B29768"/>
    <n v="46610.40234375"/>
    <d v="2025-01-09T00:00:00"/>
    <n v="18.73"/>
    <s v="TIENDAS"/>
    <s v="TIENDAS"/>
    <s v="Giro de Línea"/>
    <n v="202501"/>
    <n v="70003.5"/>
    <s v="B29768"/>
    <x v="32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687"/>
    <x v="0"/>
    <n v="20607131962"/>
    <s v="CRYSTEL LOGISTICS GROUP"/>
    <s v="."/>
    <n v="10269145"/>
    <s v="Nuevo pre Aprobado"/>
    <s v="B37955"/>
    <n v="67417.15625"/>
    <d v="2025-06-27T00:00:00"/>
    <n v="18"/>
    <s v="TIENDAS"/>
    <s v="TIENDAS"/>
    <s v="Nuevo Pre-aprobado"/>
    <n v="202506"/>
    <n v="90004.5"/>
    <s v="B30745"/>
    <x v="14"/>
    <s v="B27274"/>
    <x v="0"/>
    <x v="4"/>
    <x v="0"/>
    <s v="P1"/>
    <s v="C1_2"/>
    <n v="1"/>
    <x v="0"/>
    <n v="0"/>
    <n v="0"/>
    <n v="1"/>
    <x v="0"/>
    <n v="0"/>
    <s v="NULL"/>
    <s v="NULL"/>
    <s v="NULL"/>
    <s v="NULL"/>
    <s v="NULL"/>
    <n v="100000"/>
    <n v="0.26119999999999999"/>
    <n v="0.2412"/>
    <s v="NULL"/>
    <s v="NULL"/>
  </r>
  <r>
    <x v="688"/>
    <x v="12"/>
    <n v="20600646436"/>
    <s v="SERVICIOS TRAUMATOLOGICOS N ROJAS"/>
    <s v="."/>
    <n v="10261893"/>
    <s v="Impulso Solo"/>
    <s v="B11084"/>
    <n v="83476.546875"/>
    <d v="2024-10-22T00:00:00"/>
    <n v="15"/>
    <s v="TIENDAS"/>
    <s v="TIENDAS"/>
    <s v="Impulso MyPeru Comercial"/>
    <n v="202410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89"/>
    <x v="6"/>
    <n v="20608129856"/>
    <s v="DISTRIBUCIONES DON LUCHO EMPRESA INDIVID"/>
    <s v="."/>
    <n v="10261910"/>
    <s v="Nuevo Aprobado"/>
    <s v="B30425"/>
    <n v="29300.6015625"/>
    <d v="2024-10-22T00:00:00"/>
    <n v="18.200001"/>
    <s v="TLV"/>
    <s v="TLV"/>
    <s v="NULL"/>
    <n v="202410"/>
    <n v="50002.5"/>
    <s v="B30425"/>
    <x v="46"/>
    <s v="B13988"/>
    <x v="8"/>
    <x v="4"/>
    <x v="0"/>
    <s v="P1"/>
    <s v="NULL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690"/>
    <x v="5"/>
    <n v="20608902229"/>
    <s v="BUILD LOGISTIC E.I.R.L."/>
    <s v="."/>
    <n v="10250843"/>
    <s v="Impulso CDI Cobertura"/>
    <s v="B45083"/>
    <n v="38170.9375"/>
    <d v="2024-04-15T00:00:00"/>
    <n v="15"/>
    <s v="TLV"/>
    <s v="TLV"/>
    <s v="Impulso MyPeru Comercial"/>
    <n v="202404"/>
    <n v="66183.3"/>
    <s v="B46366"/>
    <x v="83"/>
    <s v="B45083"/>
    <x v="7"/>
    <x v="4"/>
    <x v="2"/>
    <s v="P1"/>
    <s v="C1_2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691"/>
    <x v="1"/>
    <n v="20604304807"/>
    <s v="CORPORACION PIAZZA"/>
    <s v="."/>
    <n v="10251206"/>
    <s v="Impulso CDI Cobertura"/>
    <s v="B27880"/>
    <n v="71107.015625"/>
    <d v="2024-04-19T00:00:00"/>
    <n v="14"/>
    <s v="TIENDAS"/>
    <s v="TIENDAS"/>
    <s v="Impulso MyPeru Comercial"/>
    <n v="202404"/>
    <n v="174918.7"/>
    <s v="B27880"/>
    <x v="6"/>
    <s v="B14821"/>
    <x v="3"/>
    <x v="1"/>
    <x v="0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77"/>
    <x v="2"/>
    <n v="10105321266"/>
    <s v="TORRES FERNANDEZ ALEX"/>
    <n v="10532126"/>
    <n v="10248671"/>
    <s v="Ágil Recurrente CEM"/>
    <s v="B13988"/>
    <n v="47.634300231933601"/>
    <d v="2024-02-28T00:00:00"/>
    <n v="19.799999"/>
    <s v="TIENDAS"/>
    <s v="TIENDAS"/>
    <s v="Recurrente Ágil CEM"/>
    <n v="202402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92"/>
    <x v="9"/>
    <n v="10419725621"/>
    <s v="MARTINEZ CHOQUE WALTER ELEODORO"/>
    <n v="41972562"/>
    <n v="10249585"/>
    <s v="Impulso Mixto"/>
    <s v="B22931"/>
    <n v="62621.63671875"/>
    <d v="2024-03-19T00:00:00"/>
    <n v="14.2"/>
    <s v="TLV"/>
    <s v="TLV"/>
    <s v="Impulso MyPeru Comercial"/>
    <n v="202403"/>
    <n v="90004.5"/>
    <s v="B45077"/>
    <x v="34"/>
    <s v="B45083"/>
    <x v="7"/>
    <x v="4"/>
    <x v="2"/>
    <s v="P2"/>
    <s v="NULL"/>
    <n v="1"/>
    <x v="1"/>
    <n v="0"/>
    <n v="0"/>
    <n v="0"/>
    <x v="2"/>
    <n v="0"/>
    <s v="NULL"/>
    <s v="NULL"/>
    <s v="NULL"/>
    <s v="NULL"/>
    <s v="NULL"/>
    <n v="200000"/>
    <n v="0.23"/>
    <n v="0.20780000000000001"/>
    <s v="NULL"/>
    <s v="NULL"/>
  </r>
  <r>
    <x v="693"/>
    <x v="3"/>
    <n v="20454332009"/>
    <s v="CB DENT EIRL."/>
    <s v="."/>
    <n v="10262362"/>
    <s v="Ágil Recurrente CEM"/>
    <s v="B44121"/>
    <n v="59659.56640625"/>
    <d v="2024-11-05T00:00:00"/>
    <n v="22.8"/>
    <s v="TIENDAS"/>
    <s v="TIENDAS"/>
    <s v="Recurrente Ágil CEM"/>
    <n v="202411"/>
    <n v="100005"/>
    <s v="B44121"/>
    <x v="35"/>
    <s v="B34489"/>
    <x v="4"/>
    <x v="1"/>
    <x v="0"/>
    <s v="P1"/>
    <s v="NULL"/>
    <n v="1"/>
    <x v="1"/>
    <n v="0"/>
    <n v="0"/>
    <n v="0"/>
    <x v="2"/>
    <n v="0"/>
    <s v="NULL"/>
    <s v="NULL"/>
    <s v="NULL"/>
    <s v="NULL"/>
    <s v="NULL"/>
    <n v="956285168"/>
    <n v="0"/>
    <n v="0"/>
    <s v="NULL"/>
    <s v="NULL"/>
  </r>
  <r>
    <x v="694"/>
    <x v="8"/>
    <n v="10800260456"/>
    <s v="ICHPAS TAPIA EDWIN"/>
    <n v="80026045"/>
    <n v="10157625"/>
    <s v="GIRO DE LINEA"/>
    <s v="B45389"/>
    <n v="37927.23046875"/>
    <d v="2025-10-15T00:00:00"/>
    <n v="17"/>
    <s v="TIENDAS VIRTUALES"/>
    <s v="TIENDAS VIRTUALES"/>
    <s v="Giro de Línea"/>
    <n v="202510"/>
    <n v="70003.5"/>
    <s v="B45389"/>
    <x v="16"/>
    <s v="B45384"/>
    <x v="6"/>
    <x v="4"/>
    <x v="2"/>
    <s v="P3"/>
    <s v="NULL"/>
    <n v="1"/>
    <x v="1"/>
    <n v="0"/>
    <n v="0"/>
    <n v="0"/>
    <x v="0"/>
    <n v="0"/>
    <s v="NULL"/>
    <s v="NULL"/>
    <s v="NULL"/>
    <s v="NULL"/>
    <s v="NULL"/>
    <n v="300000"/>
    <n v="0.28000000000000003"/>
    <n v="0.26"/>
    <s v="NULL"/>
    <s v="NULL"/>
  </r>
  <r>
    <x v="695"/>
    <x v="6"/>
    <n v="20514364584"/>
    <s v="INTERNACIONAL MARVEL SPORT"/>
    <s v="."/>
    <n v="10160410"/>
    <s v="GIRO DE LINEA"/>
    <s v="B36574"/>
    <n v="17708.99609375"/>
    <d v="2024-11-27T00:00:00"/>
    <n v="16.5"/>
    <s v="TIENDAS"/>
    <s v="TIENDAS"/>
    <s v="Giro de Línea"/>
    <n v="202411"/>
    <n v="146318.01"/>
    <s v="B36574"/>
    <x v="51"/>
    <s v="B13161"/>
    <x v="9"/>
    <x v="6"/>
    <x v="0"/>
    <s v="P1"/>
    <s v="NULL"/>
    <n v="1"/>
    <x v="0"/>
    <n v="0"/>
    <n v="0"/>
    <n v="1"/>
    <x v="0"/>
    <n v="0"/>
    <s v="NULL"/>
    <s v="NULL"/>
    <s v="NULL"/>
    <s v="NULL"/>
    <s v="NULL"/>
    <n v="164800"/>
    <n v="0.21"/>
    <n v="0.19"/>
    <s v="NULL"/>
    <s v="NULL"/>
  </r>
  <r>
    <x v="696"/>
    <x v="9"/>
    <n v="20608154851"/>
    <s v="IMPORTACIONES Y DISTRIBUCIONES REGALADO"/>
    <s v="."/>
    <n v="10250978"/>
    <s v="Impulso Mixto"/>
    <s v="B14530"/>
    <n v="220257.890625"/>
    <d v="2024-04-17T00:00:00"/>
    <n v="13.5"/>
    <s v="TIENDAS"/>
    <s v="TIENDAS"/>
    <s v="Impulso MyPeru Comercial"/>
    <n v="202404"/>
    <n v="300015"/>
    <s v="B44120"/>
    <x v="45"/>
    <s v="B14530"/>
    <x v="5"/>
    <x v="4"/>
    <x v="0"/>
    <s v="P1"/>
    <s v="NULL"/>
    <n v="1"/>
    <x v="1"/>
    <n v="0"/>
    <n v="0"/>
    <n v="0"/>
    <x v="2"/>
    <n v="0"/>
    <s v="NULL"/>
    <s v="NULL"/>
    <s v="NULL"/>
    <s v="NULL"/>
    <s v="NULL"/>
    <n v="250000"/>
    <n v="0.22"/>
    <n v="0.20280000000000001"/>
    <s v="NULL"/>
    <s v="NULL"/>
  </r>
  <r>
    <x v="365"/>
    <x v="10"/>
    <n v="20521174294"/>
    <s v="FERRETERIA ANCIETA"/>
    <s v="."/>
    <n v="10176166"/>
    <s v="GIRO DE LINEA"/>
    <s v="B33503"/>
    <n v="106355.140625"/>
    <d v="2025-11-12T00:00:00"/>
    <n v="20.98"/>
    <s v="TIENDAS"/>
    <s v="TIENDAS"/>
    <s v="Giro de Línea"/>
    <n v="202511"/>
    <n v="113005.65"/>
    <s v="B33503"/>
    <x v="10"/>
    <s v="B14821"/>
    <x v="3"/>
    <x v="9"/>
    <x v="0"/>
    <s v="P1"/>
    <s v="C1_1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301"/>
    <x v="10"/>
    <n v="20610122460"/>
    <s v="HOLDING HUAUYA"/>
    <s v="."/>
    <n v="10273775"/>
    <s v="Recurrente Aprobado Agil"/>
    <s v="B14821"/>
    <n v="18092.576171875"/>
    <d v="2025-12-10T00:00:00"/>
    <n v="24.120000999999998"/>
    <s v="TIENDAS"/>
    <s v="TIENDAS"/>
    <s v="Recurrente Ágil CEM"/>
    <n v="202512"/>
    <n v="20001"/>
    <s v="B30973"/>
    <x v="11"/>
    <s v="B14821"/>
    <x v="3"/>
    <x v="5"/>
    <x v="0"/>
    <s v="P1"/>
    <s v="C2"/>
    <n v="1"/>
    <x v="1"/>
    <n v="0"/>
    <n v="0"/>
    <n v="0"/>
    <x v="0"/>
    <n v="0"/>
    <s v="NULL"/>
    <s v="NULL"/>
    <s v="NULL"/>
    <s v="NULL"/>
    <s v="NULL"/>
    <n v="50000"/>
    <n v="0.21"/>
    <n v="0.19"/>
    <s v="NULL"/>
    <s v="NULL"/>
  </r>
  <r>
    <x v="697"/>
    <x v="6"/>
    <n v="20550258782"/>
    <s v="DIGITAL PERU IMPORTRONIC"/>
    <s v="."/>
    <n v="10246218"/>
    <s v="GIRO DE LINEA"/>
    <s v="B45749"/>
    <n v="185063.609375"/>
    <d v="2025-02-28T00:00:00"/>
    <n v="15.5"/>
    <s v="TIENDAS"/>
    <s v="TIENDAS"/>
    <s v="Giro de Línea"/>
    <n v="202502"/>
    <n v="250012.5"/>
    <s v="B45749"/>
    <x v="9"/>
    <s v="B27274"/>
    <x v="0"/>
    <x v="6"/>
    <x v="0"/>
    <s v="P1"/>
    <s v="NULL"/>
    <n v="1"/>
    <x v="0"/>
    <n v="0"/>
    <n v="0"/>
    <n v="1"/>
    <x v="0"/>
    <n v="0"/>
    <s v="NULL"/>
    <s v="NULL"/>
    <s v="NULL"/>
    <s v="NULL"/>
    <s v="NULL"/>
    <n v="55200"/>
    <n v="0.21"/>
    <n v="0.19"/>
    <s v="NULL"/>
    <s v="NULL"/>
  </r>
  <r>
    <x v="698"/>
    <x v="5"/>
    <n v="20605686827"/>
    <s v="TRANSPORTE Y TURISMO DEIRYEAN"/>
    <s v="."/>
    <n v="10250584"/>
    <s v="Impulso CDI Cobertura"/>
    <s v="B5465"/>
    <n v="41864.09375"/>
    <d v="2024-04-09T00:00:00"/>
    <n v="14.5"/>
    <s v="TLV"/>
    <s v="TLV"/>
    <s v="Impulso MyPeru Comercial"/>
    <n v="202404"/>
    <n v="72723.600000000006"/>
    <s v="NULL"/>
    <x v="2"/>
    <s v="NULL"/>
    <x v="2"/>
    <x v="4"/>
    <x v="2"/>
    <s v="P1"/>
    <s v="C2"/>
    <n v="1"/>
    <x v="0"/>
    <n v="0"/>
    <n v="0"/>
    <n v="0"/>
    <x v="2"/>
    <n v="0"/>
    <s v="NULL"/>
    <s v="NULL"/>
    <s v="NULL"/>
    <s v="NULL"/>
    <s v="NULL"/>
    <n v="130000"/>
    <n v="0.31"/>
    <n v="0.28999999999999998"/>
    <s v="NULL"/>
    <s v="NULL"/>
  </r>
  <r>
    <x v="699"/>
    <x v="11"/>
    <n v="20600301030"/>
    <s v="INCAPRODEX S.A.C."/>
    <s v="."/>
    <n v="10265938"/>
    <s v="CDD APROBADO"/>
    <s v="BPECND"/>
    <n v="59947.2265625"/>
    <d v="2025-03-03T00:00:00"/>
    <n v="21"/>
    <s v="TLV"/>
    <s v="TLV"/>
    <s v="Nuevo Aprobado Agil CD"/>
    <n v="202503"/>
    <n v="63003.1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00"/>
    <x v="12"/>
    <n v="10296805349"/>
    <s v="GAMERO AQUEPUCHO FERNANDO RENZO"/>
    <n v="29680534"/>
    <n v="10175107"/>
    <s v="GIRO DE LINEA"/>
    <s v="B45439"/>
    <n v="78890.609375"/>
    <d v="2025-08-28T00:00:00"/>
    <n v="17"/>
    <s v="TIENDAS VIRTUALES"/>
    <s v="TIENDAS VIRTUALES"/>
    <s v="Giro de Línea"/>
    <n v="202508"/>
    <n v="150007.5"/>
    <s v="B45439"/>
    <x v="29"/>
    <s v="B45083"/>
    <x v="7"/>
    <x v="4"/>
    <x v="2"/>
    <s v="P2"/>
    <s v="NULL"/>
    <n v="1"/>
    <x v="1"/>
    <n v="0"/>
    <n v="0"/>
    <n v="0"/>
    <x v="0"/>
    <n v="0"/>
    <s v="NULL"/>
    <s v="NULL"/>
    <s v="NULL"/>
    <s v="NULL"/>
    <s v="NULL"/>
    <n v="300000"/>
    <n v="0.22"/>
    <n v="0.1973"/>
    <s v="NULL"/>
    <s v="NULL"/>
  </r>
  <r>
    <x v="701"/>
    <x v="2"/>
    <n v="20539632427"/>
    <s v="KITSS IMPORT"/>
    <s v="."/>
    <n v="10220654"/>
    <s v="GIRO DE LINEA"/>
    <s v="B14972"/>
    <n v="113592.3828125"/>
    <d v="2025-01-15T00:00:00"/>
    <n v="16"/>
    <s v="TIENDAS"/>
    <s v="TIENDAS"/>
    <s v="Giro de Línea"/>
    <n v="202501"/>
    <n v="145007.25"/>
    <s v="B14972"/>
    <x v="25"/>
    <s v="B13161"/>
    <x v="9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973"/>
    <n v="0"/>
    <s v="NULL"/>
    <s v="NULL"/>
  </r>
  <r>
    <x v="702"/>
    <x v="2"/>
    <n v="10083195628"/>
    <s v="ORTIZ ROLDAN BENEDICTA"/>
    <n v="8319562"/>
    <n v="10270201"/>
    <s v="Recurrente Aprobado Agil"/>
    <s v="B14534"/>
    <n v="50002.50390625"/>
    <d v="2025-08-05T00:00:00"/>
    <n v="23.33"/>
    <s v="TIENDAS"/>
    <s v="TIENDAS"/>
    <s v="Recurrente Ágil CEM"/>
    <n v="202508"/>
    <n v="50002.5"/>
    <s v="B14534"/>
    <x v="22"/>
    <s v="B14530"/>
    <x v="5"/>
    <x v="4"/>
    <x v="0"/>
    <s v="P3"/>
    <s v="NULL"/>
    <n v="1"/>
    <x v="0"/>
    <n v="1"/>
    <n v="1"/>
    <n v="1"/>
    <x v="0"/>
    <n v="50002.5"/>
    <n v="23.33"/>
    <d v="2025-08-05T00:00:00"/>
    <s v="Recurrente Ágil CEM"/>
    <s v="TIENDAS"/>
    <s v="CAPITAL DE TRABAJO"/>
    <n v="50000"/>
    <n v="0.25"/>
    <n v="0.23330000000000001"/>
    <s v="NULL"/>
    <s v="NULL"/>
  </r>
  <r>
    <x v="703"/>
    <x v="6"/>
    <n v="20606671360"/>
    <s v="FERRETERIA INDUSTRIAL &amp; SERVICIOS MIKITA"/>
    <s v="."/>
    <n v="10266160"/>
    <s v="Nuevo pre Aprobado"/>
    <s v="B27596"/>
    <n v="105939.2890625"/>
    <d v="2025-03-13T00:00:00"/>
    <n v="19"/>
    <s v="TIENDAS"/>
    <s v="VENDORS"/>
    <s v="Nuevo Pre-aprobado"/>
    <n v="202503"/>
    <n v="150007.5"/>
    <s v="B27596"/>
    <x v="38"/>
    <s v="B13988"/>
    <x v="8"/>
    <x v="4"/>
    <x v="0"/>
    <s v="P1"/>
    <s v="NULL"/>
    <n v="1"/>
    <x v="0"/>
    <n v="0"/>
    <n v="0"/>
    <n v="1"/>
    <x v="0"/>
    <n v="0"/>
    <s v="NULL"/>
    <s v="NULL"/>
    <s v="NULL"/>
    <s v="NULL"/>
    <s v="NULL"/>
    <n v="130000"/>
    <n v="0.27"/>
    <n v="0.25"/>
    <s v="NULL"/>
    <s v="NULL"/>
  </r>
  <r>
    <x v="704"/>
    <x v="8"/>
    <n v="20601195781"/>
    <s v="ZYME S.A.C"/>
    <s v="."/>
    <n v="10266309"/>
    <s v="Nuevo NO BANK"/>
    <s v="BPECND"/>
    <n v="39989.921875"/>
    <d v="2025-03-19T00:00:00"/>
    <n v="19"/>
    <s v="TLV"/>
    <s v="TLV"/>
    <s v="Nuevo Aprobado EN"/>
    <n v="202503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05"/>
    <x v="9"/>
    <n v="20548737274"/>
    <s v="NUTRI ORGANICOS"/>
    <s v="."/>
    <n v="10226475"/>
    <s v="Pasivero"/>
    <s v="B18980"/>
    <n v="13192.765625"/>
    <d v="2022-06-20T00:00:00"/>
    <n v="20.2"/>
    <s v="TLV"/>
    <s v="TLV"/>
    <s v="NULL"/>
    <n v="202206"/>
    <n v="39101.949999999997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06"/>
    <x v="12"/>
    <n v="20609556634"/>
    <s v="MADERERA FERRETERIA Y SERVICIOS E.I.R.L."/>
    <s v="."/>
    <n v="10257288"/>
    <s v="Impulso CDI Cobertura"/>
    <s v="BPECND"/>
    <n v="42672.84765625"/>
    <d v="2024-07-16T00:00:00"/>
    <n v="15.7"/>
    <s v="TIENDAS"/>
    <s v="TIENDAS"/>
    <s v="Impulso MyPeru Comercial"/>
    <n v="202407"/>
    <n v="52362.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07"/>
    <x v="4"/>
    <n v="20601444373"/>
    <s v="GLOBAL SYSTEM INDUSTRY"/>
    <s v="."/>
    <n v="10164859"/>
    <s v="GIRO DE LINEA"/>
    <s v="B35703"/>
    <n v="71139.03125"/>
    <d v="2025-11-06T00:00:00"/>
    <n v="17.5"/>
    <s v="TIENDAS"/>
    <s v="TIENDAS"/>
    <s v="Giro de Línea"/>
    <n v="202511"/>
    <n v="153007.6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08"/>
    <x v="7"/>
    <n v="10418880452"/>
    <s v="MACEDO QUIÑONES RAUL EDUARDO"/>
    <n v="41888045"/>
    <n v="10267019"/>
    <s v="CDD APROBADO"/>
    <s v="B30094"/>
    <n v="111203.09375"/>
    <d v="2025-04-11T00:00:00"/>
    <n v="17.559999999999999"/>
    <s v="TLV"/>
    <s v="TLV"/>
    <s v="Nuevo Aprobado Agil CD"/>
    <n v="202504"/>
    <n v="131806.5499999999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09"/>
    <x v="6"/>
    <n v="10075314944"/>
    <s v="ALVARADO GONZALES ROCKY ALONZO"/>
    <n v="7531494"/>
    <n v="10265433"/>
    <s v="Nuevo Aprobado"/>
    <s v="B36343"/>
    <n v="49390.1875"/>
    <d v="2025-02-18T00:00:00"/>
    <n v="18.5"/>
    <s v="TLV"/>
    <s v="TLV"/>
    <s v="Nuevo Aprobado EN"/>
    <n v="202502"/>
    <n v="70003.5"/>
    <s v="B36343"/>
    <x v="40"/>
    <s v="B13161"/>
    <x v="9"/>
    <x v="4"/>
    <x v="0"/>
    <s v="P2"/>
    <s v="NULL"/>
    <n v="1"/>
    <x v="0"/>
    <n v="0"/>
    <n v="0"/>
    <n v="1"/>
    <x v="0"/>
    <n v="0"/>
    <s v="NULL"/>
    <s v="NULL"/>
    <s v="NULL"/>
    <s v="NULL"/>
    <s v="NULL"/>
    <n v="73100"/>
    <n v="0.21"/>
    <n v="0.19"/>
    <s v="NULL"/>
    <s v="NULL"/>
  </r>
  <r>
    <x v="710"/>
    <x v="12"/>
    <n v="20566102278"/>
    <s v="ALCOM PERU INGENIERIA"/>
    <s v="."/>
    <n v="10262929"/>
    <s v="CT Garantía"/>
    <s v="B13161"/>
    <n v="456096.53125"/>
    <d v="2024-11-21T00:00:00"/>
    <n v="12.9"/>
    <s v="TIENDAS"/>
    <s v="TIENDAS"/>
    <s v="NULL"/>
    <n v="202411"/>
    <n v="500025"/>
    <s v="B14972"/>
    <x v="25"/>
    <s v="B13161"/>
    <x v="9"/>
    <x v="6"/>
    <x v="0"/>
    <s v="P1"/>
    <s v="NULL"/>
    <n v="1"/>
    <x v="0"/>
    <n v="0"/>
    <n v="0"/>
    <n v="1"/>
    <x v="0"/>
    <n v="0"/>
    <s v="NULL"/>
    <s v="NULL"/>
    <s v="NULL"/>
    <s v="NULL"/>
    <s v="NULL"/>
    <n v="150000"/>
    <n v="0.2"/>
    <n v="0.18"/>
    <s v="NULL"/>
    <s v="NULL"/>
  </r>
  <r>
    <x v="711"/>
    <x v="3"/>
    <n v="20609421615"/>
    <s v="INVERSIONES 3CA"/>
    <s v="."/>
    <n v="10266227"/>
    <s v="Nuevo NO BANK"/>
    <s v="BPECND"/>
    <n v="20001.017578125"/>
    <d v="2025-03-17T00:00:00"/>
    <n v="20"/>
    <s v="TLV"/>
    <s v="TLV"/>
    <s v="Nuevo Aprobado EN"/>
    <n v="202503"/>
    <n v="20001"/>
    <s v="B39499"/>
    <x v="92"/>
    <s v="B17470"/>
    <x v="13"/>
    <x v="17"/>
    <x v="3"/>
    <s v="P2"/>
    <s v="NULL"/>
    <n v="1"/>
    <x v="0"/>
    <n v="1"/>
    <n v="1"/>
    <n v="1"/>
    <x v="1"/>
    <n v="20001"/>
    <n v="20"/>
    <d v="2025-03-17T00:00:00"/>
    <s v="Nuevo Aprobado EN"/>
    <s v="TLV"/>
    <s v="CAPITAL DE TRABAJO"/>
    <n v="50000"/>
    <n v="0.25"/>
    <n v="0.23"/>
    <s v="TLV B"/>
    <s v="CAPITAL DE TRABAJO"/>
  </r>
  <r>
    <x v="712"/>
    <x v="10"/>
    <n v="20611705906"/>
    <s v="INVERSIONES CALIMEL"/>
    <s v="."/>
    <n v="10275256"/>
    <s v="Nuevo Aprobado"/>
    <s v="BPECND"/>
    <n v="79999.9453125"/>
    <d v="2026-01-30T00:00:00"/>
    <n v="17"/>
    <s v="TLV"/>
    <s v="TLV"/>
    <s v="Nuevo Aprobado Crecer"/>
    <n v="202601"/>
    <n v="79999.95"/>
    <s v="B39469"/>
    <x v="93"/>
    <s v="B28616"/>
    <x v="12"/>
    <x v="18"/>
    <x v="3"/>
    <s v="P1"/>
    <s v="C1_1"/>
    <n v="1"/>
    <x v="0"/>
    <n v="0"/>
    <n v="1"/>
    <n v="1"/>
    <x v="1"/>
    <n v="0"/>
    <s v="NULL"/>
    <s v="NULL"/>
    <s v="NULL"/>
    <s v="NULL"/>
    <s v="NULL"/>
    <n v="300000"/>
    <n v="0.22"/>
    <n v="0.2"/>
    <s v="TLV B"/>
    <s v="CRECER"/>
  </r>
  <r>
    <x v="713"/>
    <x v="4"/>
    <n v="20454938730"/>
    <s v="DISTRIBUIDORA Y SERVICIOS COMERCIALES M"/>
    <s v="."/>
    <n v="10252756"/>
    <s v="Impulso Mixto"/>
    <s v="B34669"/>
    <n v="266725.5"/>
    <d v="2024-05-10T00:00:00"/>
    <n v="13.7"/>
    <s v="TIENDAS"/>
    <s v="TIENDAS"/>
    <s v="Impulso MyPeru Comercial"/>
    <n v="202405"/>
    <n v="300015"/>
    <s v="B34669"/>
    <x v="7"/>
    <s v="B34489"/>
    <x v="4"/>
    <x v="1"/>
    <x v="0"/>
    <s v="P1"/>
    <s v="NULL"/>
    <n v="1"/>
    <x v="1"/>
    <n v="0"/>
    <n v="0"/>
    <n v="0"/>
    <x v="2"/>
    <n v="0"/>
    <s v="NULL"/>
    <s v="NULL"/>
    <s v="NULL"/>
    <s v="NULL"/>
    <s v="NULL"/>
    <n v="982672469"/>
    <n v="0"/>
    <n v="0"/>
    <s v="NULL"/>
    <s v="NULL"/>
  </r>
  <r>
    <x v="714"/>
    <x v="12"/>
    <n v="20603493991"/>
    <s v="NEGOCIOS AZURIN E.I.R.L."/>
    <s v="."/>
    <n v="10266544"/>
    <s v="Nuevo Aprobado"/>
    <s v="BPECND"/>
    <n v="60424.71484375"/>
    <d v="2025-03-26T00:00:00"/>
    <n v="20"/>
    <s v="TLV"/>
    <s v="TLV"/>
    <s v="Nuevo Aprobado EN"/>
    <n v="202503"/>
    <n v="66676.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15"/>
    <x v="10"/>
    <n v="20515632124"/>
    <s v="AYASTA INGENIEROS"/>
    <s v="."/>
    <n v="10249187"/>
    <s v="Ágil Recurrente CEM"/>
    <s v="B19752"/>
    <n v="28587.048828125"/>
    <d v="2024-03-12T00:00:00"/>
    <n v="17.799999"/>
    <s v="TIENDAS"/>
    <s v="TIENDAS"/>
    <s v="Recurrente Ágil CEM"/>
    <n v="202403"/>
    <n v="150007.5"/>
    <s v="B19752"/>
    <x v="43"/>
    <s v="B13988"/>
    <x v="1"/>
    <x v="1"/>
    <x v="0"/>
    <s v="P1"/>
    <s v="C1_2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716"/>
    <x v="10"/>
    <n v="10454354040"/>
    <s v="CAMPOS LOZADA MARISOL"/>
    <n v="45435404"/>
    <n v="10249052"/>
    <s v="Impulso Mixto"/>
    <s v="B35265"/>
    <n v="20536.021484375"/>
    <d v="2024-03-08T00:00:00"/>
    <n v="14.6"/>
    <s v="TLV"/>
    <s v="TLV"/>
    <s v="Impulso MyPeru Comercial"/>
    <n v="202403"/>
    <n v="64003.199999999997"/>
    <s v="NULL"/>
    <x v="2"/>
    <s v="NULL"/>
    <x v="2"/>
    <x v="12"/>
    <x v="3"/>
    <s v="P3"/>
    <s v="C3"/>
    <n v="1"/>
    <x v="0"/>
    <n v="0"/>
    <n v="0"/>
    <n v="1"/>
    <x v="1"/>
    <n v="0"/>
    <s v="NULL"/>
    <s v="NULL"/>
    <s v="NULL"/>
    <s v="NULL"/>
    <s v="NULL"/>
    <s v="NULL"/>
    <s v="NULL"/>
    <s v="NULL"/>
    <s v="TLV C"/>
    <s v="POOL TRANSACCIONAL"/>
  </r>
  <r>
    <x v="716"/>
    <x v="10"/>
    <n v="10454354040"/>
    <s v="CAMPOS LOZADA MARISOL"/>
    <n v="45435404"/>
    <n v="10249052"/>
    <s v="Impulso Mixto"/>
    <s v="B35265"/>
    <n v="20536.021484375"/>
    <d v="2024-03-08T00:00:00"/>
    <n v="14.6"/>
    <s v="TLV"/>
    <s v="TLV"/>
    <s v="Impulso MyPeru Comercial"/>
    <n v="202403"/>
    <n v="64003.199999999997"/>
    <s v="B45440"/>
    <x v="73"/>
    <s v="B45083"/>
    <x v="7"/>
    <x v="4"/>
    <x v="2"/>
    <s v="P3"/>
    <s v="C3"/>
    <n v="1"/>
    <x v="0"/>
    <n v="0"/>
    <n v="1"/>
    <n v="1"/>
    <x v="2"/>
    <n v="0"/>
    <s v="NULL"/>
    <s v="NULL"/>
    <s v="NULL"/>
    <s v="NULL"/>
    <s v="NULL"/>
    <n v="250000"/>
    <n v="0.25090000000000001"/>
    <n v="0.23089999999999999"/>
    <s v="NULL"/>
    <s v="NULL"/>
  </r>
  <r>
    <x v="717"/>
    <x v="9"/>
    <n v="10437999169"/>
    <s v="FERNANDEZ BECERRA JOY NATALY"/>
    <n v="43799916"/>
    <n v="10252405"/>
    <s v="Impulso Mixto"/>
    <s v="B36289"/>
    <n v="69864.3203125"/>
    <d v="2024-05-06T00:00:00"/>
    <n v="15.5"/>
    <s v="TLV"/>
    <s v="TLV"/>
    <s v="Impulso MyPeru Comercial"/>
    <n v="202405"/>
    <n v="90004.5"/>
    <s v="B36289"/>
    <x v="81"/>
    <s v="B13988"/>
    <x v="8"/>
    <x v="4"/>
    <x v="0"/>
    <s v="P1"/>
    <s v="NULL"/>
    <n v="1"/>
    <x v="0"/>
    <n v="0"/>
    <n v="0"/>
    <n v="1"/>
    <x v="2"/>
    <n v="0"/>
    <s v="NULL"/>
    <s v="NULL"/>
    <s v="NULL"/>
    <s v="NULL"/>
    <s v="NULL"/>
    <n v="200000"/>
    <n v="0.26"/>
    <n v="0.23780000000000001"/>
    <s v="NULL"/>
    <s v="NULL"/>
  </r>
  <r>
    <x v="718"/>
    <x v="11"/>
    <n v="20454137214"/>
    <s v="ARTE &amp; TEXTIL SOCIEDAD ANONIMA CERRADA"/>
    <s v="."/>
    <n v="10264755"/>
    <s v="Ágil Recurrente CEM"/>
    <s v="B27693"/>
    <n v="89003.46875"/>
    <d v="2025-01-23T00:00:00"/>
    <n v="16"/>
    <s v="TIENDAS"/>
    <s v="TIENDAS"/>
    <s v="Recurrente Ágil CEM"/>
    <n v="202501"/>
    <n v="100005"/>
    <s v="B27693"/>
    <x v="52"/>
    <s v="B27274"/>
    <x v="0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719"/>
    <x v="11"/>
    <n v="10423136770"/>
    <s v="CALDERON VILLAFUERTE JOSE ALBERTO"/>
    <n v="42313677"/>
    <n v="10263298"/>
    <s v="Impulso Solo"/>
    <s v="B33958"/>
    <n v="60003.01171875"/>
    <d v="2024-11-28T00:00:00"/>
    <n v="15.5"/>
    <s v="TLV"/>
    <s v="TLV"/>
    <s v="Impulso MyPeru Comercial"/>
    <n v="202411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20"/>
    <x v="11"/>
    <n v="10104833123"/>
    <s v="CUENCA SILVESTRE DUSTIN ANGEL"/>
    <n v="10483312"/>
    <n v="10262313"/>
    <s v="Ágil Recurrente CEM"/>
    <s v="B45083"/>
    <n v="41160.95703125"/>
    <d v="2024-10-31T00:00:00"/>
    <n v="20"/>
    <s v="TIENDAS"/>
    <s v="TIENDAS"/>
    <s v="Recurrente Ágil CEM"/>
    <n v="202410"/>
    <n v="50002.5"/>
    <s v="B45389"/>
    <x v="2"/>
    <s v="NULL"/>
    <x v="2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721"/>
    <x v="10"/>
    <n v="10459501598"/>
    <s v="RIOS PANTOJA RAFAEL EDUARDO"/>
    <n v="45950159"/>
    <n v="10267942"/>
    <s v="CDD PRE APROBADO"/>
    <s v="B45750"/>
    <n v="96774.7421875"/>
    <d v="2025-05-20T00:00:00"/>
    <n v="20"/>
    <s v="TIENDAS"/>
    <s v="TIENDAS"/>
    <s v="Recurrente Aprobado CD"/>
    <n v="202505"/>
    <n v="120756"/>
    <s v="B45750"/>
    <x v="5"/>
    <s v="B14530"/>
    <x v="5"/>
    <x v="5"/>
    <x v="0"/>
    <s v="P1"/>
    <s v="C2"/>
    <n v="1"/>
    <x v="1"/>
    <n v="0"/>
    <n v="0"/>
    <n v="0"/>
    <x v="0"/>
    <n v="0"/>
    <s v="NULL"/>
    <s v="NULL"/>
    <s v="NULL"/>
    <s v="NULL"/>
    <s v="NULL"/>
    <n v="50000"/>
    <n v="0.22589999999999999"/>
    <n v="0.2059"/>
    <s v="NULL"/>
    <s v="NULL"/>
  </r>
  <r>
    <x v="722"/>
    <x v="4"/>
    <n v="10277194541"/>
    <s v="JIMENEZ JIMENEZ YSABEL PETRONILA"/>
    <n v="27719454"/>
    <n v="10264323"/>
    <s v="Nuevo Aprobado Ágil"/>
    <s v="B33958"/>
    <n v="38586.0703125"/>
    <d v="2024-12-27T00:00:00"/>
    <n v="18.2"/>
    <s v="TLV"/>
    <s v="TLV"/>
    <s v="Nuevo Aprobado Agil"/>
    <n v="202412"/>
    <n v="39801.949999999997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23"/>
    <x v="8"/>
    <n v="20608950738"/>
    <s v="TECHPAYMENTS DEL PERU S.A.C"/>
    <s v="."/>
    <n v="10269082"/>
    <s v="Nuevo pre Aprobado"/>
    <s v="B43714"/>
    <n v="60002.984375"/>
    <d v="2025-06-26T00:00:00"/>
    <n v="21"/>
    <s v="TIENDAS"/>
    <s v="TIENDAS"/>
    <s v="Nuevo Pre-aprobado"/>
    <n v="202506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34"/>
    <x v="10"/>
    <n v="20124794413"/>
    <s v="CASA OMAR IMPORT Y REPRESENT"/>
    <s v="."/>
    <n v="10262359"/>
    <s v="Impulso Solo"/>
    <s v="B33894"/>
    <n v="7326.0869140625"/>
    <d v="2024-11-05T00:00:00"/>
    <n v="14.9"/>
    <s v="TLV"/>
    <s v="TLV"/>
    <s v="Impulso MyPeru Comercial"/>
    <n v="202411"/>
    <n v="90004.5"/>
    <s v="B33894"/>
    <x v="36"/>
    <s v="B34489"/>
    <x v="4"/>
    <x v="5"/>
    <x v="0"/>
    <s v="P1"/>
    <s v="C1_2"/>
    <n v="1"/>
    <x v="0"/>
    <n v="0"/>
    <n v="0"/>
    <n v="1"/>
    <x v="0"/>
    <n v="0"/>
    <s v="NULL"/>
    <s v="NULL"/>
    <s v="NULL"/>
    <s v="NULL"/>
    <s v="NULL"/>
    <n v="81500"/>
    <n v="0.21"/>
    <n v="0.19"/>
    <s v="NULL"/>
    <s v="NULL"/>
  </r>
  <r>
    <x v="724"/>
    <x v="1"/>
    <n v="20600116321"/>
    <s v="INGELREF S.A.C"/>
    <s v="."/>
    <n v="10257684"/>
    <s v="Impulso CDI Cobertura"/>
    <s v="B45372"/>
    <n v="30365.470703125"/>
    <d v="2024-07-24T00:00:00"/>
    <n v="17.700001"/>
    <s v="TIENDAS"/>
    <s v="TIENDAS"/>
    <s v="Impulso MyPeru Comercial"/>
    <n v="202407"/>
    <n v="68503.399999999994"/>
    <s v="B45372"/>
    <x v="56"/>
    <s v="B45384"/>
    <x v="6"/>
    <x v="4"/>
    <x v="2"/>
    <s v="P5"/>
    <s v="C3"/>
    <n v="1"/>
    <x v="0"/>
    <n v="0"/>
    <n v="1"/>
    <n v="1"/>
    <x v="0"/>
    <n v="0"/>
    <s v="NULL"/>
    <s v="NULL"/>
    <s v="NULL"/>
    <s v="NULL"/>
    <s v="NULL"/>
    <n v="250000"/>
    <n v="0.21"/>
    <n v="0.19"/>
    <s v="NULL"/>
    <s v="NULL"/>
  </r>
  <r>
    <x v="725"/>
    <x v="11"/>
    <n v="20601791332"/>
    <s v="DIAGNOSTICO ESPECIALIZADO FUTURA"/>
    <s v="."/>
    <n v="10257986"/>
    <s v="Impulso Solo"/>
    <s v="B14530"/>
    <n v="80174.6796875"/>
    <d v="2024-07-25T00:00:00"/>
    <n v="16.5"/>
    <s v="TLV"/>
    <s v="TLV"/>
    <s v="Impulso MyPeru Comercial"/>
    <n v="202407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26"/>
    <x v="1"/>
    <n v="20603077807"/>
    <s v="MULTISERVICIOS LAS HNAS FROZEN"/>
    <s v="."/>
    <n v="10270525"/>
    <s v="Nuevo Aprobado Ágil"/>
    <s v="B44120"/>
    <n v="98984.0234375"/>
    <d v="2025-08-20T00:00:00"/>
    <n v="23"/>
    <s v="TLV"/>
    <s v="VENDORS"/>
    <s v="Nuevo Aprobado Agil"/>
    <n v="202508"/>
    <n v="120006"/>
    <s v="B44120"/>
    <x v="45"/>
    <s v="B14530"/>
    <x v="5"/>
    <x v="5"/>
    <x v="0"/>
    <s v="P5"/>
    <s v="C1_2"/>
    <n v="1"/>
    <x v="1"/>
    <n v="0"/>
    <n v="0"/>
    <n v="0"/>
    <x v="0"/>
    <n v="0"/>
    <s v="NULL"/>
    <s v="NULL"/>
    <s v="NULL"/>
    <s v="NULL"/>
    <s v="NULL"/>
    <n v="130000"/>
    <n v="0.26169999999999999"/>
    <n v="0.2417"/>
    <s v="NULL"/>
    <s v="NULL"/>
  </r>
  <r>
    <x v="727"/>
    <x v="1"/>
    <n v="20364240954"/>
    <s v="INDUSTRIAL LOS NEVADOS EMPRESA INDIVIDUA"/>
    <s v="."/>
    <n v="10268099"/>
    <s v="Nuevo pre Aprobado"/>
    <s v="B37426"/>
    <n v="112629.6171875"/>
    <d v="2025-05-23T00:00:00"/>
    <n v="20"/>
    <s v="TIENDAS"/>
    <s v="VENDORS"/>
    <s v="Nuevo Pre-aprobado"/>
    <n v="202505"/>
    <n v="150007.5"/>
    <s v="B37426"/>
    <x v="71"/>
    <s v="B14821"/>
    <x v="3"/>
    <x v="7"/>
    <x v="0"/>
    <s v="P5"/>
    <s v="C2"/>
    <n v="1"/>
    <x v="0"/>
    <n v="0"/>
    <n v="0"/>
    <n v="1"/>
    <x v="0"/>
    <n v="0"/>
    <s v="NULL"/>
    <s v="NULL"/>
    <s v="NULL"/>
    <s v="NULL"/>
    <s v="NULL"/>
    <n v="86000"/>
    <n v="0.19670000000000001"/>
    <n v="0.1767"/>
    <s v="NULL"/>
    <s v="NULL"/>
  </r>
  <r>
    <x v="728"/>
    <x v="5"/>
    <n v="20611606614"/>
    <s v="CHALLGUA  RESTOBAR   E.I.R.L."/>
    <s v="."/>
    <n v="10262645"/>
    <s v="Pasivero"/>
    <s v="B45385"/>
    <n v="34051.8046875"/>
    <d v="2024-11-15T00:00:00"/>
    <n v="21.5"/>
    <s v="TLV"/>
    <s v="TLV"/>
    <s v="NULL"/>
    <n v="202411"/>
    <n v="54002.7"/>
    <s v="B45385"/>
    <x v="63"/>
    <s v="B45384"/>
    <x v="6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29"/>
    <x v="12"/>
    <n v="20603141769"/>
    <s v="TOROLONCCO S.A.C."/>
    <s v="."/>
    <n v="10268429"/>
    <s v="Nuevo Aprobado Ágil"/>
    <s v="BPECND"/>
    <n v="120006.0078125"/>
    <d v="2025-06-04T00:00:00"/>
    <n v="18"/>
    <s v="TLV"/>
    <s v="TLV"/>
    <s v="Nuevo Aprobado Agil"/>
    <n v="202506"/>
    <n v="120006"/>
    <s v="B39472"/>
    <x v="94"/>
    <s v="B14058"/>
    <x v="11"/>
    <x v="16"/>
    <x v="3"/>
    <s v="P1"/>
    <s v="NULL"/>
    <n v="1"/>
    <x v="0"/>
    <n v="1"/>
    <n v="1"/>
    <n v="1"/>
    <x v="1"/>
    <n v="120006"/>
    <n v="18"/>
    <d v="2025-06-04T00:00:00"/>
    <s v="Nuevo Aprobado Agil"/>
    <s v="TLV"/>
    <s v="CAPITAL DE TRABAJO"/>
    <n v="170000"/>
    <n v="0.2"/>
    <n v="0.18"/>
    <s v="TLV B"/>
    <s v="CAPITAL DE TRABAJO"/>
  </r>
  <r>
    <x v="70"/>
    <x v="10"/>
    <n v="20518144872"/>
    <s v="REPRESENTACIONES TORPOCO"/>
    <s v="."/>
    <n v="10267589"/>
    <s v="CT Garantía"/>
    <s v="B20210"/>
    <n v="964178.5"/>
    <d v="2025-04-30T00:00:00"/>
    <n v="12"/>
    <s v="TIENDAS"/>
    <s v="TIENDAS"/>
    <s v="Gestion Cartera"/>
    <n v="202504"/>
    <n v="1024051.2"/>
    <s v="B20210"/>
    <x v="39"/>
    <s v="B13161"/>
    <x v="9"/>
    <x v="1"/>
    <x v="0"/>
    <s v="P1"/>
    <s v="C1_1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30"/>
    <x v="0"/>
    <n v="20501981380"/>
    <s v="TECNICA PLASTICA"/>
    <s v="."/>
    <n v="10163598"/>
    <s v="GIRO DE LINEA"/>
    <s v="B45372"/>
    <n v="82912.78125"/>
    <d v="2025-07-07T00:00:00"/>
    <n v="14.5"/>
    <s v="TIENDAS VIRTUALES"/>
    <s v="TIENDAS VIRTUALES"/>
    <s v="Giro de Línea"/>
    <n v="202507"/>
    <n v="96304.8"/>
    <s v="B45372"/>
    <x v="56"/>
    <s v="B45384"/>
    <x v="6"/>
    <x v="4"/>
    <x v="2"/>
    <s v="P1"/>
    <s v="C1_1"/>
    <n v="1"/>
    <x v="1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731"/>
    <x v="2"/>
    <n v="20608046535"/>
    <s v="RN PACIFIC COMPANY SOCIEDAD ANONIMA CERR"/>
    <s v="."/>
    <n v="10267163"/>
    <s v="Regular Sin Campaña"/>
    <s v="B34669"/>
    <n v="40060.24609375"/>
    <d v="2025-04-16T00:00:00"/>
    <n v="20"/>
    <s v="TIENDAS"/>
    <s v="VENDORS"/>
    <s v="Gestion Cartera"/>
    <n v="202504"/>
    <n v="50002.5"/>
    <s v="B34669"/>
    <x v="7"/>
    <s v="B34489"/>
    <x v="4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6929999999999998"/>
    <s v="NULL"/>
    <s v="NULL"/>
    <s v="NULL"/>
  </r>
  <r>
    <x v="732"/>
    <x v="6"/>
    <n v="20607056146"/>
    <s v="MUEBLES CAMPOSANO"/>
    <s v="."/>
    <n v="10260405"/>
    <s v="Impulso CDI Cobertura"/>
    <s v="B30114"/>
    <n v="66778.59375"/>
    <d v="2024-09-17T00:00:00"/>
    <n v="17.700001"/>
    <s v="TIENDAS"/>
    <s v="TIENDAS"/>
    <s v="Impulso MyPeru Comercial"/>
    <n v="202409"/>
    <n v="90004.5"/>
    <s v="B30114"/>
    <x v="8"/>
    <s v="B34489"/>
    <x v="4"/>
    <x v="4"/>
    <x v="0"/>
    <s v="P1"/>
    <s v="NULL"/>
    <n v="1"/>
    <x v="0"/>
    <n v="0"/>
    <n v="0"/>
    <n v="1"/>
    <x v="0"/>
    <n v="0"/>
    <s v="NULL"/>
    <s v="NULL"/>
    <s v="NULL"/>
    <s v="NULL"/>
    <s v="NULL"/>
    <n v="250000"/>
    <n v="0.19"/>
    <n v="0.17"/>
    <s v="NULL"/>
    <s v="NULL"/>
  </r>
  <r>
    <x v="733"/>
    <x v="5"/>
    <n v="20608811169"/>
    <s v="TRES CORDILLERAS DEL PERU"/>
    <s v="."/>
    <n v="10270149"/>
    <s v="CDD APROBADO"/>
    <s v="BPECND"/>
    <n v="165515.046875"/>
    <d v="2025-07-31T00:00:00"/>
    <n v="15"/>
    <s v="TLV"/>
    <s v="TLV"/>
    <s v="Nuevo Aprobado Agil CD"/>
    <n v="202507"/>
    <n v="174079.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34"/>
    <x v="0"/>
    <n v="20507679499"/>
    <s v="CARGO Y SERVICIOS RENPA"/>
    <s v="."/>
    <n v="10264199"/>
    <s v="Nuevo Aprobado"/>
    <s v="B45439"/>
    <n v="10877.859375"/>
    <d v="2024-12-24T00:00:00"/>
    <n v="19.200001"/>
    <s v="TLV"/>
    <s v="TLV"/>
    <s v="NULL"/>
    <n v="202412"/>
    <n v="120006"/>
    <s v="B45439"/>
    <x v="29"/>
    <s v="B45083"/>
    <x v="7"/>
    <x v="4"/>
    <x v="2"/>
    <s v="P1"/>
    <s v="C1_2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735"/>
    <x v="1"/>
    <n v="20514602949"/>
    <s v="SUMIKO SALON Y SPA E.I.R.L."/>
    <s v="."/>
    <n v="10259704"/>
    <s v="Impulso CDI Cobertura"/>
    <s v="BPECND"/>
    <n v="41688.69140625"/>
    <d v="2024-08-27T00:00:00"/>
    <n v="15"/>
    <s v="TIENDAS"/>
    <s v="TIENDAS"/>
    <s v="Impulso MyPeru Comercial"/>
    <n v="202408"/>
    <n v="67503.35000000000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32"/>
    <x v="6"/>
    <n v="10468881808"/>
    <s v="CORCINO TORRES HEVERO ERNESTO"/>
    <n v="46888180"/>
    <n v="10259552"/>
    <s v="Impulso Mixto"/>
    <s v="B36574"/>
    <n v="1199.90283203125"/>
    <d v="2024-08-26T00:00:00"/>
    <n v="14.5"/>
    <s v="TLV"/>
    <s v="TLV"/>
    <s v="Impulso MyPeru Comercial"/>
    <n v="202408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36"/>
    <x v="1"/>
    <n v="20607274810"/>
    <s v="INNOVA SOLAR"/>
    <s v="."/>
    <n v="10254154"/>
    <s v="Impulso Mixto"/>
    <s v="B34489"/>
    <n v="44611.1328125"/>
    <d v="2024-05-30T00:00:00"/>
    <n v="16"/>
    <s v="TIENDAS"/>
    <s v="TIENDAS"/>
    <s v="Impulso MyPeru Comercial"/>
    <n v="202405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37"/>
    <x v="0"/>
    <n v="20600934083"/>
    <s v="DISTRIBUCIONES LEO PLAST"/>
    <s v="."/>
    <n v="10259822"/>
    <s v="Impulso Mixto"/>
    <s v="B30094"/>
    <n v="55471.98046875"/>
    <d v="2024-08-28T00:00:00"/>
    <n v="14.5"/>
    <s v="TLV"/>
    <s v="TLV"/>
    <s v="Impulso MyPeru Comercial"/>
    <n v="202408"/>
    <n v="90004.5"/>
    <s v="B30094"/>
    <x v="48"/>
    <s v="B34489"/>
    <x v="4"/>
    <x v="4"/>
    <x v="0"/>
    <s v="P1"/>
    <s v="C1_2"/>
    <n v="1"/>
    <x v="1"/>
    <n v="0"/>
    <n v="0"/>
    <n v="0"/>
    <x v="0"/>
    <n v="0"/>
    <s v="NULL"/>
    <s v="NULL"/>
    <s v="NULL"/>
    <s v="NULL"/>
    <s v="NULL"/>
    <n v="130000"/>
    <n v="0.26119999999999999"/>
    <n v="0.2412"/>
    <s v="NULL"/>
    <s v="NULL"/>
  </r>
  <r>
    <x v="738"/>
    <x v="2"/>
    <n v="20601814898"/>
    <s v="YATS TRANSPORT S.A.C."/>
    <s v="."/>
    <n v="10265960"/>
    <s v="Nuevo Aprobado Ágil"/>
    <s v="B45374"/>
    <n v="23008.71484375"/>
    <d v="2025-03-03T00:00:00"/>
    <n v="16.5"/>
    <s v="TLV"/>
    <s v="VENDORS"/>
    <s v="Nuevo Aprobado Agil"/>
    <n v="202503"/>
    <n v="44302.2"/>
    <s v="B45374"/>
    <x v="21"/>
    <s v="B45384"/>
    <x v="6"/>
    <x v="4"/>
    <x v="2"/>
    <s v="P1"/>
    <s v="NULL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739"/>
    <x v="10"/>
    <n v="20603322283"/>
    <s v="INJOS FASHION CONFECCIONES S.A.C."/>
    <s v="."/>
    <n v="10250463"/>
    <s v="Impulso Mixto"/>
    <s v="B13161"/>
    <n v="32766.439453125"/>
    <d v="2024-04-08T00:00:00"/>
    <n v="14.3"/>
    <s v="TLV"/>
    <s v="TLV"/>
    <s v="Impulso MyPeru Comercial"/>
    <n v="202404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50"/>
    <x v="5"/>
    <n v="20520929909"/>
    <s v="NADIA"/>
    <s v="."/>
    <n v="10149258"/>
    <s v="GIRO DE LINEA"/>
    <s v="B45366"/>
    <n v="17536.0273437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40"/>
    <x v="10"/>
    <n v="20608928431"/>
    <s v="ORANGE INDUSTRIES"/>
    <s v="."/>
    <n v="10274805"/>
    <s v="CRECER COFIDE"/>
    <s v="B22846"/>
    <n v="337264.28125"/>
    <s v="NULL"/>
    <s v="NULL"/>
    <s v="NULL"/>
    <s v="NULL"/>
    <s v="NULL"/>
    <s v="NULL"/>
    <s v="NULL"/>
    <s v="B22846"/>
    <x v="47"/>
    <s v="B13988"/>
    <x v="1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41"/>
    <x v="1"/>
    <n v="20604291373"/>
    <s v="YR GRUPO LA FLORENCIA SOCIEDAD COMERCIAL"/>
    <s v="."/>
    <n v="10273455"/>
    <s v="Nuevo Aprobado Ágil"/>
    <s v="B34489"/>
    <n v="105267.984375"/>
    <d v="2025-11-25T00:00:00"/>
    <n v="15"/>
    <s v="TLV"/>
    <s v="VENDORS"/>
    <s v="Nuevo Aprobado EN"/>
    <n v="202511"/>
    <n v="108905.4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42"/>
    <x v="11"/>
    <n v="20609255529"/>
    <s v="FIME REPUESTOS INDUSTRIALES"/>
    <s v="."/>
    <n v="10265676"/>
    <s v="CDD APROBADO"/>
    <s v="BPECND"/>
    <n v="148098.5"/>
    <d v="2025-02-25T00:00:00"/>
    <n v="14"/>
    <s v="TLV"/>
    <s v="TLV"/>
    <s v="Nuevo Aprobado Agil CD"/>
    <n v="202502"/>
    <n v="153187.6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43"/>
    <x v="1"/>
    <n v="20608572741"/>
    <s v="CORPORACION EHC S.A.C."/>
    <s v="."/>
    <n v="10263630"/>
    <s v="Impulso CDI Cobertura"/>
    <s v="B43714"/>
    <n v="37218.86328125"/>
    <d v="2024-12-11T00:00:00"/>
    <n v="18.899999999999999"/>
    <s v="TIENDAS"/>
    <s v="TIENDAS"/>
    <s v="Impulso MyPeru Comercial"/>
    <n v="202412"/>
    <n v="50002.5"/>
    <s v="B43714"/>
    <x v="64"/>
    <s v="B14821"/>
    <x v="3"/>
    <x v="5"/>
    <x v="0"/>
    <s v="P5"/>
    <s v="C2"/>
    <n v="1"/>
    <x v="0"/>
    <n v="0"/>
    <n v="0"/>
    <n v="1"/>
    <x v="0"/>
    <n v="0"/>
    <s v="NULL"/>
    <s v="NULL"/>
    <s v="NULL"/>
    <s v="NULL"/>
    <s v="NULL"/>
    <n v="50000"/>
    <n v="0.32669999999999999"/>
    <n v="0.30669999999999997"/>
    <s v="NULL"/>
    <s v="NULL"/>
  </r>
  <r>
    <x v="744"/>
    <x v="1"/>
    <n v="20601487005"/>
    <s v="CONSORCIO &amp; SERVICIOS JR"/>
    <s v="."/>
    <n v="10274533"/>
    <s v="Nuevo Aprobado"/>
    <s v="BPECND"/>
    <n v="49999.4375"/>
    <d v="2026-01-14T00:00:00"/>
    <n v="20"/>
    <s v="TLV"/>
    <s v="TLV"/>
    <s v="Nuevo Aprobado Crecer"/>
    <n v="202601"/>
    <n v="49999.45"/>
    <s v="B38109"/>
    <x v="95"/>
    <s v="B28616"/>
    <x v="12"/>
    <x v="18"/>
    <x v="3"/>
    <s v="P1"/>
    <s v="C2"/>
    <n v="1"/>
    <x v="0"/>
    <n v="1"/>
    <n v="1"/>
    <n v="1"/>
    <x v="1"/>
    <n v="49999.45"/>
    <n v="20"/>
    <d v="2026-01-14T00:00:00"/>
    <s v="Nuevo Aprobado Crecer"/>
    <s v="TLV"/>
    <s v="FONDO CRECER"/>
    <n v="300000"/>
    <n v="0.22"/>
    <n v="0.2"/>
    <s v="TLV B"/>
    <s v="CAPITAL DE TRABAJO"/>
  </r>
  <r>
    <x v="745"/>
    <x v="1"/>
    <n v="20547754400"/>
    <s v="PIZATEC"/>
    <s v="."/>
    <n v="10256841"/>
    <s v="Impulso Solo"/>
    <s v="B27596"/>
    <n v="44531.62109375"/>
    <d v="2024-06-28T00:00:00"/>
    <n v="15.5"/>
    <s v="TLV"/>
    <s v="TLV"/>
    <s v="Impulso MyPeru Comercial"/>
    <n v="202406"/>
    <n v="90004.5"/>
    <s v="B27596"/>
    <x v="38"/>
    <s v="B13988"/>
    <x v="1"/>
    <x v="1"/>
    <x v="0"/>
    <s v="P5"/>
    <s v="C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746"/>
    <x v="10"/>
    <n v="10075146235"/>
    <s v="ACCOSTUPA FRANCO DEMETRIO"/>
    <n v="7514623"/>
    <n v="10155987"/>
    <s v="GIRO DE LINEA"/>
    <s v="B13161"/>
    <n v="83427.9140625"/>
    <d v="2024-11-18T00:00:00"/>
    <n v="18.899999999999999"/>
    <s v="TIENDAS"/>
    <s v="TIENDAS"/>
    <s v="Giro de Línea"/>
    <n v="202411"/>
    <n v="180009"/>
    <s v="B20210"/>
    <x v="39"/>
    <s v="B13161"/>
    <x v="9"/>
    <x v="6"/>
    <x v="0"/>
    <s v="P1"/>
    <s v="C3"/>
    <n v="1"/>
    <x v="0"/>
    <n v="0"/>
    <n v="0"/>
    <n v="1"/>
    <x v="0"/>
    <n v="0"/>
    <s v="NULL"/>
    <s v="NULL"/>
    <s v="NULL"/>
    <s v="NULL"/>
    <s v="NULL"/>
    <n v="96600"/>
    <n v="0.21"/>
    <n v="0.19"/>
    <s v="NULL"/>
    <s v="NULL"/>
  </r>
  <r>
    <x v="747"/>
    <x v="2"/>
    <n v="20603008627"/>
    <s v="GAVAL GRUAS Y MAQUINARIAS"/>
    <s v="."/>
    <n v="10256018"/>
    <s v="Impulso Mixto"/>
    <s v="B24783"/>
    <n v="62861.984375"/>
    <d v="2024-06-24T00:00:00"/>
    <n v="15.5"/>
    <s v="TLV"/>
    <s v="TLV"/>
    <s v="Impulso MyPeru Comercial"/>
    <n v="202406"/>
    <n v="90004.5"/>
    <s v="B24783"/>
    <x v="24"/>
    <s v="B45083"/>
    <x v="7"/>
    <x v="1"/>
    <x v="2"/>
    <s v="P1"/>
    <s v="NULL"/>
    <n v="1"/>
    <x v="0"/>
    <n v="0"/>
    <n v="1"/>
    <n v="1"/>
    <x v="0"/>
    <n v="0"/>
    <s v="NULL"/>
    <s v="NULL"/>
    <s v="NULL"/>
    <s v="NULL"/>
    <s v="NULL"/>
    <n v="1"/>
    <n v="0.18729999999999999"/>
    <s v="NULL"/>
    <s v="NULL"/>
    <s v="NULL"/>
  </r>
  <r>
    <x v="748"/>
    <x v="3"/>
    <n v="20601961416"/>
    <s v="ILUMINACIONES ESTRELLA"/>
    <s v="."/>
    <n v="10168215"/>
    <s v="GIRO DE LINEA"/>
    <s v="B14537"/>
    <n v="99626.6875"/>
    <d v="2025-03-31T00:00:00"/>
    <n v="15"/>
    <s v="TIENDAS"/>
    <s v="TIENDAS"/>
    <s v="Giro de Línea"/>
    <n v="202503"/>
    <n v="120006"/>
    <s v="B36343"/>
    <x v="40"/>
    <s v="B13161"/>
    <x v="9"/>
    <x v="6"/>
    <x v="0"/>
    <s v="P1"/>
    <s v="NULL"/>
    <n v="1"/>
    <x v="0"/>
    <n v="1"/>
    <n v="1"/>
    <n v="1"/>
    <x v="2"/>
    <n v="120006"/>
    <n v="15"/>
    <d v="2025-03-31T00:00:00"/>
    <s v="Giro de Línea"/>
    <s v="TIENDAS"/>
    <s v="CAPITAL DE TRABAJO"/>
    <n v="120000"/>
    <n v="0.21"/>
    <n v="0.18679999999999999"/>
    <s v="NULL"/>
    <s v="NULL"/>
  </r>
  <r>
    <x v="749"/>
    <x v="1"/>
    <n v="20603397887"/>
    <s v="INVERSIONES IVES"/>
    <s v="."/>
    <n v="10272523"/>
    <s v="Nuevo Aprobado"/>
    <s v="B14534"/>
    <n v="271075.625"/>
    <d v="2025-10-24T00:00:00"/>
    <n v="17"/>
    <s v="TIENDAS"/>
    <s v="TIENDAS"/>
    <s v="Nuevo Pre-aprobado"/>
    <n v="202510"/>
    <n v="300015"/>
    <s v="B14534"/>
    <x v="22"/>
    <s v="B14530"/>
    <x v="5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750"/>
    <x v="6"/>
    <n v="20605174401"/>
    <s v="BALPER EXPORT IMPORT"/>
    <s v="."/>
    <n v="10248700"/>
    <s v="Impulso Solo"/>
    <s v="B30425"/>
    <n v="3845.49169921875"/>
    <d v="2024-02-28T00:00:00"/>
    <n v="15.9"/>
    <s v="TLV"/>
    <s v="TLV"/>
    <s v="Impulso MyPeru Comercial"/>
    <n v="202402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51"/>
    <x v="10"/>
    <n v="10182048386"/>
    <s v="SANCHEZ YBAÑEZ IRIS NILDA"/>
    <n v="18204838"/>
    <n v="10248269"/>
    <s v="Impulso Solo"/>
    <s v="B45374"/>
    <n v="65959.6015625"/>
    <d v="2024-02-23T00:00:00"/>
    <n v="14.5"/>
    <s v="TIENDAS"/>
    <s v="TIENDAS"/>
    <s v="Impulso MyPeru Comercial"/>
    <n v="202402"/>
    <n v="90004.5"/>
    <s v="B45374"/>
    <x v="21"/>
    <s v="B45384"/>
    <x v="6"/>
    <x v="5"/>
    <x v="2"/>
    <s v="P2"/>
    <s v="C3"/>
    <n v="1"/>
    <x v="1"/>
    <n v="0"/>
    <n v="0"/>
    <n v="0"/>
    <x v="0"/>
    <n v="0"/>
    <s v="NULL"/>
    <s v="NULL"/>
    <s v="NULL"/>
    <s v="NULL"/>
    <s v="NULL"/>
    <n v="250000"/>
    <n v="0.2339"/>
    <n v="0.21390000000000001"/>
    <s v="NULL"/>
    <s v="NULL"/>
  </r>
  <r>
    <x v="750"/>
    <x v="6"/>
    <n v="20605174401"/>
    <s v="BALPER EXPORT IMPORT"/>
    <s v="."/>
    <n v="10271199"/>
    <s v="Ágil Recurrente CEM"/>
    <s v="B30425"/>
    <n v="142599.109375"/>
    <d v="2025-09-10T00:00:00"/>
    <n v="18"/>
    <s v="TIENDAS"/>
    <s v="TIENDAS"/>
    <s v="Recurrente Ágil CEM"/>
    <n v="202509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52"/>
    <x v="10"/>
    <n v="20550178169"/>
    <s v="AQUACIF"/>
    <s v="."/>
    <n v="10269755"/>
    <s v="Ágil Recurrente CEM"/>
    <s v="B27880"/>
    <n v="148519.84375"/>
    <d v="2025-07-18T00:00:00"/>
    <n v="18"/>
    <s v="TIENDAS"/>
    <s v="TIENDAS"/>
    <s v="Recurrente Ágil CEM"/>
    <n v="202507"/>
    <n v="200010"/>
    <s v="B27880"/>
    <x v="6"/>
    <s v="B14821"/>
    <x v="3"/>
    <x v="4"/>
    <x v="0"/>
    <s v="P1"/>
    <s v="C1_2"/>
    <n v="1"/>
    <x v="0"/>
    <n v="0"/>
    <n v="1"/>
    <n v="1"/>
    <x v="0"/>
    <n v="0"/>
    <s v="NULL"/>
    <s v="NULL"/>
    <s v="NULL"/>
    <s v="NULL"/>
    <s v="NULL"/>
    <n v="500000"/>
    <n v="0.21"/>
    <n v="0.19"/>
    <s v="NULL"/>
    <s v="NULL"/>
  </r>
  <r>
    <x v="753"/>
    <x v="10"/>
    <n v="10432017147"/>
    <s v="FLORES GUTIERREZ FRANKLIN"/>
    <n v="43201714"/>
    <n v="10269897"/>
    <s v="Nuevo Aprobado"/>
    <s v="B34489"/>
    <n v="70492.4765625"/>
    <d v="2025-07-24T00:00:00"/>
    <n v="22"/>
    <s v="TLV"/>
    <s v="VENDORS"/>
    <s v="Nuevo Aprobado EN"/>
    <n v="202507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54"/>
    <x v="5"/>
    <n v="20545727430"/>
    <s v="CONSORCIO ELECTROMERCADER"/>
    <s v="."/>
    <n v="10253420"/>
    <s v="Impulso Solo"/>
    <s v="B14972"/>
    <n v="256434.5625"/>
    <d v="2024-05-23T00:00:00"/>
    <n v="13.2"/>
    <s v="TIENDAS"/>
    <s v="TIENDAS"/>
    <s v="Impulso MyPeru Comercial"/>
    <n v="202405"/>
    <n v="300015"/>
    <s v="B14972"/>
    <x v="25"/>
    <s v="B13161"/>
    <x v="9"/>
    <x v="4"/>
    <x v="0"/>
    <s v="P1"/>
    <s v="C1_1"/>
    <n v="1"/>
    <x v="0"/>
    <n v="0"/>
    <n v="0"/>
    <n v="1"/>
    <x v="0"/>
    <n v="0"/>
    <s v="NULL"/>
    <s v="NULL"/>
    <s v="NULL"/>
    <s v="NULL"/>
    <s v="NULL"/>
    <n v="400000"/>
    <n v="0.21049999999999999"/>
    <n v="0.19"/>
    <s v="NULL"/>
    <s v="NULL"/>
  </r>
  <r>
    <x v="755"/>
    <x v="0"/>
    <n v="20434822891"/>
    <s v="EMPRESA DE SEGURIDAD Y SERVICIOS RADAY S"/>
    <s v="."/>
    <n v="10270993"/>
    <s v="CDD APROBADO"/>
    <s v="B45385"/>
    <n v="141088.640625"/>
    <d v="2025-08-29T00:00:00"/>
    <n v="15"/>
    <s v="TLV"/>
    <s v="TLV"/>
    <s v="Nuevo Aprobado Agil CD"/>
    <n v="202508"/>
    <n v="151232.54999999999"/>
    <s v="B45385"/>
    <x v="63"/>
    <s v="B45384"/>
    <x v="6"/>
    <x v="1"/>
    <x v="2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56"/>
    <x v="5"/>
    <n v="20454047657"/>
    <s v="ANDREA JEANS S.R.L."/>
    <s v="."/>
    <n v="10268037"/>
    <s v="Nuevo Aprobado"/>
    <s v="B34489"/>
    <n v="119765.0703125"/>
    <d v="2025-05-22T00:00:00"/>
    <n v="17"/>
    <s v="TLV"/>
    <s v="VENDORS"/>
    <s v="Nuevo Aprobado EN"/>
    <n v="202505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57"/>
    <x v="8"/>
    <n v="20606262656"/>
    <s v="BARBAROS.PE"/>
    <s v="."/>
    <n v="10268607"/>
    <s v="CDD APROBADO"/>
    <s v="B45439"/>
    <n v="289086.65625"/>
    <d v="2025-06-11T00:00:00"/>
    <n v="15"/>
    <s v="TLV"/>
    <s v="TLV"/>
    <s v="Nuevo Aprobado Agil CD"/>
    <n v="202506"/>
    <n v="300015"/>
    <s v="B45439"/>
    <x v="29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1638"/>
    <s v="NULL"/>
    <s v="NULL"/>
    <s v="NULL"/>
  </r>
  <r>
    <x v="758"/>
    <x v="3"/>
    <n v="20504460429"/>
    <s v="SPORTFISHING PERU"/>
    <s v="."/>
    <n v="10265620"/>
    <s v="Ágil Recurrente CEM"/>
    <s v="B37955"/>
    <n v="110005.484375"/>
    <d v="2025-02-24T00:00:00"/>
    <n v="18"/>
    <s v="TIENDAS"/>
    <s v="TIENDAS"/>
    <s v="Recurrente Ágil CEM"/>
    <n v="202502"/>
    <n v="110005.5"/>
    <s v="B24523"/>
    <x v="96"/>
    <s v="B27274"/>
    <x v="0"/>
    <x v="1"/>
    <x v="0"/>
    <s v="P1"/>
    <s v="NULL"/>
    <n v="1"/>
    <x v="1"/>
    <n v="0"/>
    <n v="0"/>
    <n v="0"/>
    <x v="2"/>
    <n v="0"/>
    <s v="NULL"/>
    <s v="NULL"/>
    <s v="NULL"/>
    <s v="NULL"/>
    <s v="NULL"/>
    <n v="989255689"/>
    <n v="0"/>
    <n v="0"/>
    <s v="NULL"/>
    <s v="NULL"/>
  </r>
  <r>
    <x v="759"/>
    <x v="2"/>
    <n v="20608127080"/>
    <s v="COSTA SEVICHANA PERU S.A.C."/>
    <s v="."/>
    <n v="10266991"/>
    <s v="Nuevo NO BANK"/>
    <s v="BPECND"/>
    <n v="40389.70703125"/>
    <d v="2025-04-10T00:00:00"/>
    <n v="26"/>
    <s v="TLV"/>
    <s v="TLV"/>
    <s v="Nuevo Aprobado EN"/>
    <n v="202504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60"/>
    <x v="5"/>
    <n v="20602752942"/>
    <s v="DJC PRODUCCIONES S.A.C."/>
    <s v="."/>
    <n v="10249324"/>
    <s v="Impulso Mixto"/>
    <s v="B45083"/>
    <n v="26735.37890625"/>
    <d v="2024-03-14T00:00:00"/>
    <n v="14.6"/>
    <s v="TLV"/>
    <s v="TLV"/>
    <s v="Impulso MyPeru Comercial"/>
    <n v="202403"/>
    <n v="50002.5"/>
    <s v="B46366"/>
    <x v="83"/>
    <s v="B45083"/>
    <x v="7"/>
    <x v="4"/>
    <x v="2"/>
    <s v="P1"/>
    <s v="C2"/>
    <n v="1"/>
    <x v="0"/>
    <n v="0"/>
    <n v="1"/>
    <n v="1"/>
    <x v="0"/>
    <n v="0"/>
    <s v="NULL"/>
    <s v="NULL"/>
    <s v="NULL"/>
    <s v="NULL"/>
    <s v="NULL"/>
    <n v="250000"/>
    <n v="0.23"/>
    <n v="0.21"/>
    <s v="NULL"/>
    <s v="NULL"/>
  </r>
  <r>
    <x v="761"/>
    <x v="10"/>
    <n v="20600604008"/>
    <s v="INTERNEX PERU E.I.R.L."/>
    <s v="."/>
    <n v="10271609"/>
    <s v="CDD APROBADO"/>
    <s v="B34489"/>
    <n v="89783.15625"/>
    <d v="2025-09-23T00:00:00"/>
    <n v="19"/>
    <s v="TLV"/>
    <s v="TLV"/>
    <s v="Nuevo Aprobado Agil CD"/>
    <n v="202509"/>
    <n v="109094.4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62"/>
    <x v="0"/>
    <n v="20606854791"/>
    <s v="SERVINCA EXPORT"/>
    <s v="."/>
    <n v="10270311"/>
    <s v="Regular Sin Campaña"/>
    <s v="B45372"/>
    <n v="90892.515625"/>
    <d v="2025-08-12T00:00:00"/>
    <n v="22"/>
    <s v="TIENDAS VIRTUALES"/>
    <s v="TIENDAS VIRTUALES"/>
    <s v="Gestion Cartera"/>
    <n v="202508"/>
    <n v="150007.5"/>
    <s v="B45372"/>
    <x v="56"/>
    <s v="B45384"/>
    <x v="6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63"/>
    <x v="7"/>
    <n v="20604802050"/>
    <s v="LABORATORIO Y DENTAL D Y A FLORES"/>
    <s v="."/>
    <n v="10271082"/>
    <s v="CDD APROBADO"/>
    <s v="B45375"/>
    <n v="286127.28125"/>
    <d v="2025-09-05T00:00:00"/>
    <n v="13"/>
    <s v="TIENDAS VIRTUALES"/>
    <s v="TIENDAS VIRTUALES"/>
    <s v="Nuevo Aprobado Agil CD"/>
    <n v="202509"/>
    <n v="300015"/>
    <s v="B45375"/>
    <x v="65"/>
    <s v="B45384"/>
    <x v="6"/>
    <x v="1"/>
    <x v="2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64"/>
    <x v="7"/>
    <n v="20611899603"/>
    <s v="GRUPO EMEDHY"/>
    <s v="."/>
    <n v="10267791"/>
    <s v="CDD APROBADO"/>
    <s v="B36093"/>
    <n v="132696.21875"/>
    <d v="2025-05-14T00:00:00"/>
    <n v="20.96"/>
    <s v="TLV"/>
    <s v="TLV"/>
    <s v="Nuevo Aprobado Agil CD"/>
    <n v="202505"/>
    <n v="169008.45"/>
    <s v="B36093"/>
    <x v="86"/>
    <s v="B45083"/>
    <x v="7"/>
    <x v="1"/>
    <x v="2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65"/>
    <x v="6"/>
    <n v="20603491450"/>
    <s v="WE TRAVEL"/>
    <s v="."/>
    <n v="10264010"/>
    <s v="Impulso Mixto"/>
    <s v="B39478"/>
    <n v="59692.10546875"/>
    <d v="2024-12-20T00:00:00"/>
    <n v="15.2"/>
    <s v="TLV"/>
    <s v="TLV"/>
    <s v="Impulso MyPeru Comercial"/>
    <n v="202412"/>
    <n v="70003.5"/>
    <s v="B39478"/>
    <x v="87"/>
    <s v="B34489"/>
    <x v="4"/>
    <x v="1"/>
    <x v="0"/>
    <s v="P1"/>
    <s v="NULL"/>
    <n v="1"/>
    <x v="0"/>
    <n v="0"/>
    <n v="1"/>
    <n v="1"/>
    <x v="0"/>
    <n v="0"/>
    <s v="NULL"/>
    <s v="NULL"/>
    <s v="NULL"/>
    <s v="NULL"/>
    <s v="NULL"/>
    <n v="1"/>
    <n v="1"/>
    <s v="NULL"/>
    <s v="NULL"/>
    <s v="NULL"/>
  </r>
  <r>
    <x v="766"/>
    <x v="0"/>
    <n v="20601509131"/>
    <s v="GLOBAL DENIM EXPORT CORPORATION"/>
    <s v="."/>
    <n v="10255959"/>
    <s v="Impulso Solo"/>
    <s v="B30973"/>
    <n v="14731.6884765625"/>
    <d v="2024-06-21T00:00:00"/>
    <n v="16"/>
    <s v="TIENDAS"/>
    <s v="TIENDAS"/>
    <s v="Impulso MyPeru Comercial"/>
    <n v="202406"/>
    <n v="90004.5"/>
    <s v="B45869"/>
    <x v="50"/>
    <s v="B14821"/>
    <x v="3"/>
    <x v="0"/>
    <x v="0"/>
    <s v="P1"/>
    <s v="C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767"/>
    <x v="5"/>
    <n v="20508622326"/>
    <s v="CORPORACION SLIN"/>
    <s v="."/>
    <n v="10267732"/>
    <s v="Nuevo Aprobado Ágil"/>
    <s v="B45083"/>
    <n v="100841.1875"/>
    <d v="2025-05-13T00:00:00"/>
    <n v="16"/>
    <s v="TIENDAS VIRTUALES"/>
    <s v="VENDORS"/>
    <s v="Nuevo Aprobado Agil"/>
    <n v="202505"/>
    <n v="170008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68"/>
    <x v="3"/>
    <n v="20604217271"/>
    <s v="SERVILIGHTING PERU SOCIEDAD ANONIMA CERR"/>
    <s v="."/>
    <n v="10265053"/>
    <s v="Ágil Recurrente CEM"/>
    <s v="BPECND"/>
    <n v="192785.015625"/>
    <d v="2025-01-31T00:00:00"/>
    <n v="16"/>
    <s v="TIENDAS"/>
    <s v="TIENDAS"/>
    <s v="Recurrente Ágil CEM"/>
    <n v="202501"/>
    <n v="200010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69"/>
    <x v="6"/>
    <n v="20538648729"/>
    <s v="PRODUCTOS BIOPLASTICOS"/>
    <s v="."/>
    <n v="10174426"/>
    <s v="GIRO DE LINEA"/>
    <s v="B43714"/>
    <n v="88755.078125"/>
    <d v="2026-01-23T00:00:00"/>
    <n v="15"/>
    <s v="TIENDAS"/>
    <s v="TIENDAS"/>
    <s v="Giro de Línea"/>
    <n v="202601"/>
    <n v="150007.5"/>
    <s v="B30973"/>
    <x v="11"/>
    <s v="B14821"/>
    <x v="3"/>
    <x v="6"/>
    <x v="0"/>
    <s v="P1"/>
    <s v="NULL"/>
    <n v="1"/>
    <x v="0"/>
    <n v="0"/>
    <n v="0"/>
    <n v="0"/>
    <x v="0"/>
    <n v="0"/>
    <s v="NULL"/>
    <s v="NULL"/>
    <s v="NULL"/>
    <s v="NULL"/>
    <s v="NULL"/>
    <n v="53000"/>
    <n v="0.21"/>
    <n v="0.19"/>
    <s v="NULL"/>
    <s v="NULL"/>
  </r>
  <r>
    <x v="770"/>
    <x v="0"/>
    <n v="10099073557"/>
    <s v="PINEDO PINCHI OLABINA"/>
    <n v="9907355"/>
    <n v="10261072"/>
    <s v="Impulso Mixto"/>
    <s v="B33958"/>
    <n v="13948.6474609375"/>
    <d v="2024-09-27T00:00:00"/>
    <n v="14.8"/>
    <s v="TLV"/>
    <s v="TLV"/>
    <s v="Impulso MyPeru Comercial"/>
    <n v="202409"/>
    <n v="2000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71"/>
    <x v="9"/>
    <n v="10457432068"/>
    <s v="FLORIAN CRUZ SANTA ELENA"/>
    <n v="45743206"/>
    <n v="10257990"/>
    <s v="Impulso Mixto"/>
    <s v="B45082"/>
    <n v="38373.921875"/>
    <d v="2024-07-25T00:00:00"/>
    <n v="15.5"/>
    <s v="TLV"/>
    <s v="TLV"/>
    <s v="Impulso MyPeru Comercial"/>
    <n v="202407"/>
    <n v="45002.25"/>
    <s v="B45082"/>
    <x v="91"/>
    <s v="B45083"/>
    <x v="7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.2858"/>
    <s v="NULL"/>
    <s v="NULL"/>
  </r>
  <r>
    <x v="772"/>
    <x v="2"/>
    <n v="20604579407"/>
    <s v="DISTRIBUCIONES MERCANTIL SAM E.I.R.L."/>
    <s v="."/>
    <n v="10257550"/>
    <s v="Impulso Solo"/>
    <s v="B30094"/>
    <n v="3521.12915039063"/>
    <d v="2024-07-18T00:00:00"/>
    <n v="15.5"/>
    <s v="TLV"/>
    <s v="TLV"/>
    <s v="Impulso MyPeru Comercial"/>
    <n v="202407"/>
    <n v="90004.5"/>
    <s v="B30094"/>
    <x v="48"/>
    <s v="B34489"/>
    <x v="4"/>
    <x v="4"/>
    <x v="0"/>
    <s v="P1"/>
    <s v="NULL"/>
    <n v="1"/>
    <x v="0"/>
    <n v="1"/>
    <n v="1"/>
    <n v="1"/>
    <x v="0"/>
    <n v="190009.5"/>
    <n v="17"/>
    <d v="2025-08-22T00:00:00"/>
    <s v="Recurrente Ágil CEM"/>
    <s v="TIENDAS"/>
    <s v="CAPITAL DE TRABAJO"/>
    <n v="400000"/>
    <n v="0.23"/>
    <n v="0.21"/>
    <s v="NULL"/>
    <s v="NULL"/>
  </r>
  <r>
    <x v="773"/>
    <x v="2"/>
    <n v="20478159758"/>
    <s v="PATOBLACK"/>
    <s v="."/>
    <n v="10252843"/>
    <s v="Impulso Mixto"/>
    <s v="B20210"/>
    <n v="145174.453125"/>
    <d v="2024-05-13T00:00:00"/>
    <n v="13.5"/>
    <s v="TLV"/>
    <s v="TLV"/>
    <s v="Impulso MyPeru Comercial"/>
    <n v="202405"/>
    <n v="221791.05"/>
    <s v="B20210"/>
    <x v="39"/>
    <s v="B13161"/>
    <x v="9"/>
    <x v="4"/>
    <x v="0"/>
    <s v="P1"/>
    <s v="NULL"/>
    <n v="1"/>
    <x v="0"/>
    <n v="0"/>
    <n v="0"/>
    <n v="1"/>
    <x v="0"/>
    <n v="0"/>
    <s v="NULL"/>
    <s v="NULL"/>
    <s v="NULL"/>
    <s v="NULL"/>
    <s v="NULL"/>
    <n v="400000"/>
    <n v="0.21"/>
    <n v="0.19"/>
    <s v="NULL"/>
    <s v="NULL"/>
  </r>
  <r>
    <x v="774"/>
    <x v="10"/>
    <n v="20536173286"/>
    <s v="JJF LOGIST"/>
    <s v="."/>
    <n v="10267527"/>
    <s v="CDD PRE APROBADO"/>
    <s v="B27274"/>
    <n v="261500.90625"/>
    <d v="2025-04-30T00:00:00"/>
    <n v="16.5"/>
    <s v="TIENDAS"/>
    <s v="TIENDAS"/>
    <s v="Gestion Cartera"/>
    <n v="202504"/>
    <n v="261331.9"/>
    <s v="B37955"/>
    <x v="53"/>
    <s v="B27274"/>
    <x v="0"/>
    <x v="4"/>
    <x v="0"/>
    <s v="P1"/>
    <s v="C1_2"/>
    <n v="1"/>
    <x v="0"/>
    <n v="0"/>
    <n v="1"/>
    <n v="1"/>
    <x v="0"/>
    <n v="0"/>
    <s v="NULL"/>
    <s v="NULL"/>
    <s v="NULL"/>
    <s v="NULL"/>
    <s v="NULL"/>
    <n v="138300"/>
    <n v="0.21"/>
    <n v="0.19"/>
    <s v="NULL"/>
    <s v="NULL"/>
  </r>
  <r>
    <x v="775"/>
    <x v="5"/>
    <n v="10768726308"/>
    <s v="QUEVEDO CRUZ KATHIA YENIFER"/>
    <n v="76872630"/>
    <n v="10266273"/>
    <s v="CDD APROBADO"/>
    <s v="B45371"/>
    <n v="59046.76953125"/>
    <d v="2025-03-18T00:00:00"/>
    <n v="15.1"/>
    <s v="TLV"/>
    <s v="TLV"/>
    <s v="Nuevo Aprobado Agil CD"/>
    <n v="202503"/>
    <n v="113855.65"/>
    <s v="B45371"/>
    <x v="15"/>
    <s v="B45384"/>
    <x v="6"/>
    <x v="4"/>
    <x v="2"/>
    <s v="P1"/>
    <s v="C3"/>
    <n v="1"/>
    <x v="1"/>
    <n v="0"/>
    <n v="0"/>
    <n v="0"/>
    <x v="0"/>
    <n v="0"/>
    <s v="NULL"/>
    <s v="NULL"/>
    <s v="NULL"/>
    <s v="NULL"/>
    <s v="NULL"/>
    <n v="200000"/>
    <n v="0.24"/>
    <n v="0.22"/>
    <s v="NULL"/>
    <s v="NULL"/>
  </r>
  <r>
    <x v="776"/>
    <x v="6"/>
    <n v="20603518633"/>
    <s v="JIKA MUEBLES E.I.R.L."/>
    <s v="."/>
    <n v="10266394"/>
    <s v="Nuevo NO BANK"/>
    <s v="BPECND"/>
    <n v="32126.05078125"/>
    <d v="2025-03-20T00:00:00"/>
    <n v="19"/>
    <s v="TLV"/>
    <s v="TLV"/>
    <s v="Nuevo Aprobado EN"/>
    <n v="202503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38"/>
    <x v="1"/>
    <n v="20602058264"/>
    <s v="IMPLEMAX S.A.C."/>
    <s v="."/>
    <n v="10250179"/>
    <s v="Impulso Solo"/>
    <s v="B37955"/>
    <n v="3943.87158203125"/>
    <d v="2024-03-27T00:00:00"/>
    <n v="16"/>
    <s v="TLV"/>
    <s v="TLV"/>
    <s v="Impulso MyPeru Comercial"/>
    <n v="202403"/>
    <n v="90004.5"/>
    <s v="B37955"/>
    <x v="53"/>
    <s v="B27274"/>
    <x v="0"/>
    <x v="5"/>
    <x v="0"/>
    <s v="P5"/>
    <s v="C1_2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754"/>
    <x v="5"/>
    <n v="20545727430"/>
    <s v="CONSORCIO ELECTROMERCADER"/>
    <s v="."/>
    <n v="10247534"/>
    <s v="Ágil Recurrente CEM"/>
    <s v="B14972"/>
    <n v="59670.98828125"/>
    <d v="2024-01-25T00:00:00"/>
    <n v="18.5"/>
    <s v="TIENDAS"/>
    <s v="TIENDAS"/>
    <s v="Recurrente Ágil CEM"/>
    <n v="202401"/>
    <n v="133640.99"/>
    <s v="B14972"/>
    <x v="25"/>
    <s v="B13161"/>
    <x v="9"/>
    <x v="4"/>
    <x v="0"/>
    <s v="P1"/>
    <s v="C1_1"/>
    <n v="1"/>
    <x v="0"/>
    <n v="0"/>
    <n v="0"/>
    <n v="1"/>
    <x v="0"/>
    <n v="0"/>
    <s v="NULL"/>
    <s v="NULL"/>
    <s v="NULL"/>
    <s v="NULL"/>
    <s v="NULL"/>
    <n v="400000"/>
    <n v="0.21049999999999999"/>
    <n v="0.19"/>
    <s v="NULL"/>
    <s v="NULL"/>
  </r>
  <r>
    <x v="777"/>
    <x v="0"/>
    <n v="10098864151"/>
    <s v="ALVARADO ESPINOZA CESAR"/>
    <n v="9886415"/>
    <n v="10266195"/>
    <s v="Nuevo Aprobado Ágil"/>
    <s v="B10734"/>
    <n v="22148.953125"/>
    <d v="2025-03-14T00:00:00"/>
    <n v="18"/>
    <s v="TLV"/>
    <s v="TLV"/>
    <s v="Nuevo Aprobado Agil"/>
    <n v="202503"/>
    <n v="33301.65"/>
    <s v="B22846"/>
    <x v="47"/>
    <s v="B46727"/>
    <x v="10"/>
    <x v="4"/>
    <x v="0"/>
    <s v="P2"/>
    <s v="C3"/>
    <n v="1"/>
    <x v="1"/>
    <n v="0"/>
    <n v="0"/>
    <n v="0"/>
    <x v="2"/>
    <n v="0"/>
    <s v="NULL"/>
    <s v="NULL"/>
    <s v="NULL"/>
    <s v="NULL"/>
    <s v="NULL"/>
    <n v="300000"/>
    <n v="0.2102"/>
    <n v="0.19020000000000001"/>
    <s v="NULL"/>
    <s v="NULL"/>
  </r>
  <r>
    <x v="778"/>
    <x v="2"/>
    <n v="20600017871"/>
    <s v="RC SUMINISTROS &amp; HIDRAULICOS EIRL"/>
    <s v="."/>
    <n v="10266615"/>
    <s v="Nuevo Aprobado"/>
    <s v="B45439"/>
    <n v="82141.2421875"/>
    <d v="2025-03-27T00:00:00"/>
    <n v="20"/>
    <s v="TLV"/>
    <s v="TLV"/>
    <s v="Nuevo Aprobado EN"/>
    <n v="202503"/>
    <n v="102005.1"/>
    <s v="B45439"/>
    <x v="29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823"/>
    <n v="0"/>
    <s v="NULL"/>
    <s v="NULL"/>
  </r>
  <r>
    <x v="779"/>
    <x v="8"/>
    <n v="20606351161"/>
    <s v="ENSUEÑO CASA COMERCIAL"/>
    <s v="."/>
    <n v="10268303"/>
    <s v="Nuevo NO BANK"/>
    <s v="BPECND"/>
    <n v="39824.80078125"/>
    <d v="2025-05-29T00:00:00"/>
    <n v="22.6"/>
    <s v="TLV"/>
    <s v="TLV"/>
    <s v="Nuevo Aprobado EN"/>
    <n v="202505"/>
    <n v="41002.05000000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80"/>
    <x v="10"/>
    <n v="10449191621"/>
    <s v="HERRERA IDROGO JOSE LUIS"/>
    <n v="44919162"/>
    <n v="10268275"/>
    <s v="CDD APROBADO"/>
    <s v="B14530"/>
    <n v="133411.515625"/>
    <d v="2025-05-29T00:00:00"/>
    <n v="14"/>
    <s v="TLV"/>
    <s v="TLV"/>
    <s v="Nuevo Aprobado Agil CD"/>
    <n v="202505"/>
    <n v="163883.15"/>
    <s v="B45750"/>
    <x v="5"/>
    <s v="B14530"/>
    <x v="5"/>
    <x v="5"/>
    <x v="0"/>
    <s v="P2"/>
    <s v="C3"/>
    <n v="1"/>
    <x v="1"/>
    <n v="0"/>
    <n v="0"/>
    <n v="0"/>
    <x v="2"/>
    <n v="0"/>
    <s v="NULL"/>
    <s v="NULL"/>
    <s v="NULL"/>
    <s v="NULL"/>
    <s v="NULL"/>
    <n v="250000"/>
    <n v="0.21890000000000001"/>
    <n v="0.19889999999999999"/>
    <s v="NULL"/>
    <s v="NULL"/>
  </r>
  <r>
    <x v="781"/>
    <x v="1"/>
    <n v="20601045819"/>
    <s v="REP BEAUTE"/>
    <s v="."/>
    <n v="10268947"/>
    <s v="CDD APROBADO"/>
    <s v="B44121"/>
    <n v="257765.21875"/>
    <d v="2025-06-23T00:00:00"/>
    <n v="15"/>
    <s v="TLV"/>
    <s v="TLV"/>
    <s v="Nuevo Aprobado Agil CD"/>
    <n v="202506"/>
    <n v="298014.90000000002"/>
    <s v="B44900"/>
    <x v="19"/>
    <s v="B34489"/>
    <x v="4"/>
    <x v="5"/>
    <x v="0"/>
    <s v="P5"/>
    <s v="C1_2"/>
    <n v="1"/>
    <x v="0"/>
    <n v="0"/>
    <n v="0"/>
    <n v="1"/>
    <x v="0"/>
    <n v="0"/>
    <s v="NULL"/>
    <s v="NULL"/>
    <s v="NULL"/>
    <s v="NULL"/>
    <s v="NULL"/>
    <n v="130000"/>
    <n v="0.26169999999999999"/>
    <n v="0.2417"/>
    <s v="NULL"/>
    <s v="NULL"/>
  </r>
  <r>
    <x v="782"/>
    <x v="8"/>
    <n v="20542368757"/>
    <s v="SERVICIOS GENERALES FGK"/>
    <s v="."/>
    <n v="10267835"/>
    <s v="Nuevo Aprobado Ágil"/>
    <s v="BPECND"/>
    <n v="76418.71875"/>
    <d v="2025-05-15T00:00:00"/>
    <n v="18"/>
    <s v="TLV"/>
    <s v="TLV"/>
    <s v="Nuevo Aprobado Agil"/>
    <n v="202505"/>
    <n v="82304.10000000000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83"/>
    <x v="11"/>
    <n v="10101330490"/>
    <s v="VEGA MARTINEZ ERIKA RAQUEL"/>
    <n v="10133049"/>
    <n v="10265322"/>
    <s v="CDD APROBADO"/>
    <s v="B14892"/>
    <n v="143315.046875"/>
    <d v="2025-02-13T00:00:00"/>
    <n v="16"/>
    <s v="TLV"/>
    <s v="TLV"/>
    <s v="Nuevo Aprobado Agil CD"/>
    <n v="202502"/>
    <n v="159213.6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84"/>
    <x v="4"/>
    <n v="10225160746"/>
    <s v="ASTUQUIPAN ROSALES SARA JHOVANA"/>
    <n v="22516074"/>
    <n v="10264272"/>
    <s v="Impulso Solo"/>
    <s v="B33958"/>
    <n v="30001.48828125"/>
    <d v="2024-12-27T00:00:00"/>
    <n v="16.200001"/>
    <s v="TLV"/>
    <s v="TLV"/>
    <s v="Impulso MyPeru Comercial"/>
    <n v="202412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85"/>
    <x v="10"/>
    <n v="20604187479"/>
    <s v="ALLMAN PERU"/>
    <s v="."/>
    <n v="10273512"/>
    <s v="Nuevo Aprobado Ágil"/>
    <s v="B36343"/>
    <n v="213137.546875"/>
    <d v="2025-11-27T00:00:00"/>
    <n v="14.5"/>
    <s v="TIENDAS"/>
    <s v="TIENDAS"/>
    <s v="Nuevo Pre-aprobado"/>
    <n v="202511"/>
    <n v="350017.5"/>
    <s v="B36343"/>
    <x v="40"/>
    <s v="B13161"/>
    <x v="9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86"/>
    <x v="6"/>
    <n v="20519745063"/>
    <s v="ANGELO DISTRIBUCIONES"/>
    <s v="."/>
    <n v="10269193"/>
    <s v="CDD APROBADO"/>
    <s v="B34669"/>
    <n v="279907.40625"/>
    <d v="2025-06-27T00:00:00"/>
    <n v="14"/>
    <s v="TLV"/>
    <s v="TLV"/>
    <s v="Nuevo Aprobado Agil CD"/>
    <n v="202506"/>
    <n v="30001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87"/>
    <x v="0"/>
    <n v="20605958886"/>
    <s v="PAM MEDICAL"/>
    <s v="."/>
    <n v="10270871"/>
    <s v="Nuevo NO BANK"/>
    <s v="B37955"/>
    <n v="86153.3359375"/>
    <d v="2025-08-28T00:00:00"/>
    <n v="21"/>
    <s v="TIENDAS"/>
    <s v="TIENDAS"/>
    <s v="Nuevo Pre-aprobado"/>
    <n v="202508"/>
    <n v="96004.800000000003"/>
    <s v="B30745"/>
    <x v="14"/>
    <s v="B27274"/>
    <x v="0"/>
    <x v="0"/>
    <x v="0"/>
    <s v="P1"/>
    <s v="C2"/>
    <n v="1"/>
    <x v="0"/>
    <n v="0"/>
    <n v="1"/>
    <n v="1"/>
    <x v="0"/>
    <n v="0"/>
    <s v="NULL"/>
    <s v="NULL"/>
    <s v="NULL"/>
    <s v="NULL"/>
    <s v="NULL"/>
    <n v="0"/>
    <n v="0"/>
    <n v="0"/>
    <s v="NULL"/>
    <s v="NULL"/>
  </r>
  <r>
    <x v="788"/>
    <x v="6"/>
    <n v="10465988091"/>
    <s v="MELENDEZ LOPEZ ROBINZON HONORATO"/>
    <n v="46598809"/>
    <n v="10271488"/>
    <s v="Nuevo Aprobado"/>
    <s v="B10734"/>
    <n v="47587.9375"/>
    <d v="2025-09-18T00:00:00"/>
    <n v="21"/>
    <s v="TLV"/>
    <s v="TLV"/>
    <s v="Nuevo Aprobado EN"/>
    <n v="202509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89"/>
    <x v="0"/>
    <n v="20528209107"/>
    <s v="RENOVADORA DE CALZADOS PAOLA"/>
    <s v="."/>
    <n v="10165219"/>
    <s v="GIRO DE LINEA"/>
    <s v="B29768"/>
    <n v="134683.84375"/>
    <d v="2025-11-12T00:00:00"/>
    <n v="19"/>
    <s v="TIENDAS"/>
    <s v="TIENDAS"/>
    <s v="Giro de Línea"/>
    <n v="202511"/>
    <n v="71003.55"/>
    <s v="B29768"/>
    <x v="32"/>
    <s v="B14530"/>
    <x v="5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90"/>
    <x v="2"/>
    <n v="20609398575"/>
    <s v="V &amp; O CONGREGESTION"/>
    <s v="."/>
    <n v="10244676"/>
    <s v="Ágil Recurrente CEM"/>
    <s v="B30637"/>
    <n v="17666.904296875"/>
    <d v="2023-10-12T00:00:00"/>
    <n v="19.399999999999999"/>
    <s v="TIENDAS"/>
    <s v="TIENDAS"/>
    <s v="Recurrente Ágil CEM"/>
    <n v="202310"/>
    <n v="120006"/>
    <s v="B30637"/>
    <x v="12"/>
    <s v="B14530"/>
    <x v="5"/>
    <x v="1"/>
    <x v="0"/>
    <s v="P1"/>
    <s v="NULL"/>
    <n v="1"/>
    <x v="0"/>
    <n v="0"/>
    <n v="1"/>
    <n v="1"/>
    <x v="0"/>
    <n v="0"/>
    <s v="NULL"/>
    <s v="NULL"/>
    <s v="NULL"/>
    <s v="NULL"/>
    <s v="NULL"/>
    <n v="1"/>
    <n v="0.20430000000000001"/>
    <s v="NULL"/>
    <s v="NULL"/>
    <s v="NULL"/>
  </r>
  <r>
    <x v="791"/>
    <x v="1"/>
    <n v="20600015266"/>
    <s v="CORPORACION E INVERSIONES JASUT S.A.C."/>
    <s v="."/>
    <n v="10264626"/>
    <s v="Ágil Recurrente CEM"/>
    <s v="B22760"/>
    <n v="52731.453125"/>
    <d v="2025-01-17T00:00:00"/>
    <n v="16.329999999999998"/>
    <s v="TIENDAS"/>
    <s v="TIENDAS"/>
    <s v="Recurrente Ágil CEM"/>
    <n v="202501"/>
    <n v="98004.9"/>
    <s v="B22760"/>
    <x v="42"/>
    <s v="B34489"/>
    <x v="4"/>
    <x v="5"/>
    <x v="0"/>
    <s v="P5"/>
    <s v="C1_2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792"/>
    <x v="10"/>
    <n v="20606182300"/>
    <s v="BARREAT"/>
    <s v="."/>
    <n v="10264041"/>
    <s v="Impulso Mixto"/>
    <s v="B45373"/>
    <n v="54480.46875"/>
    <d v="2024-12-20T00:00:00"/>
    <n v="15.2"/>
    <s v="TLV"/>
    <s v="TLV"/>
    <s v="Impulso MyPeru Comercial"/>
    <n v="202412"/>
    <n v="78003.899999999994"/>
    <s v="B45373"/>
    <x v="13"/>
    <s v="B45384"/>
    <x v="6"/>
    <x v="5"/>
    <x v="2"/>
    <s v="P1"/>
    <s v="C1_2"/>
    <n v="1"/>
    <x v="0"/>
    <n v="0"/>
    <n v="0"/>
    <n v="1"/>
    <x v="0"/>
    <n v="0"/>
    <s v="NULL"/>
    <s v="NULL"/>
    <s v="NULL"/>
    <s v="NULL"/>
    <s v="NULL"/>
    <n v="50000"/>
    <n v="0.26090000000000002"/>
    <n v="0.2409"/>
    <s v="NULL"/>
    <s v="NULL"/>
  </r>
  <r>
    <x v="63"/>
    <x v="6"/>
    <n v="20600748735"/>
    <s v="USA MEDIC PERU"/>
    <s v="."/>
    <n v="10268342"/>
    <s v="CDD PRE APROBADO"/>
    <s v="B36574"/>
    <n v="282460.375"/>
    <d v="2025-05-30T00:00:00"/>
    <n v="14.5"/>
    <s v="TIENDAS"/>
    <s v="TIENDAS"/>
    <s v="Gestion Cartera"/>
    <n v="202505"/>
    <n v="330566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93"/>
    <x v="2"/>
    <n v="20547236018"/>
    <s v="ALM SOLUTIONS TECNOLOGIAS DE INFORMACION"/>
    <s v="."/>
    <n v="10264129"/>
    <s v="Impulso Mixto"/>
    <s v="B45439"/>
    <n v="86818.4296875"/>
    <d v="2024-12-23T00:00:00"/>
    <n v="15.7"/>
    <s v="TLV"/>
    <s v="TLV"/>
    <s v="Impulso MyPeru Comercial"/>
    <n v="202412"/>
    <n v="90004.5"/>
    <s v="B45079"/>
    <x v="17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1973"/>
    <s v="NULL"/>
    <s v="NULL"/>
    <s v="NULL"/>
  </r>
  <r>
    <x v="794"/>
    <x v="10"/>
    <n v="20521142767"/>
    <s v="EGREL PERU SOCIEDAD ANONIMA CERRADA"/>
    <s v="."/>
    <n v="10273476"/>
    <s v="Nuevo Aprobado"/>
    <s v="BPECND"/>
    <n v="45378.21875"/>
    <d v="2025-11-26T00:00:00"/>
    <n v="20.9"/>
    <s v="TLV"/>
    <s v="TLV"/>
    <s v="Nuevo Aprobado EN"/>
    <n v="202511"/>
    <n v="50002.5"/>
    <s v="NULL"/>
    <x v="2"/>
    <s v="NULL"/>
    <x v="2"/>
    <x v="12"/>
    <x v="3"/>
    <s v="P1"/>
    <s v="C2"/>
    <n v="1"/>
    <x v="0"/>
    <n v="0"/>
    <n v="0"/>
    <n v="1"/>
    <x v="1"/>
    <n v="0"/>
    <s v="NULL"/>
    <s v="NULL"/>
    <s v="NULL"/>
    <s v="NULL"/>
    <s v="NULL"/>
    <s v="NULL"/>
    <s v="NULL"/>
    <s v="NULL"/>
    <s v="TLV C"/>
    <s v="POOL TRANSACCIONAL"/>
  </r>
  <r>
    <x v="466"/>
    <x v="0"/>
    <n v="20606594446"/>
    <s v="IH INVESTMENT GROUP"/>
    <s v="."/>
    <n v="10272690"/>
    <s v="Recurrente Aprobado Agil"/>
    <s v="B45371"/>
    <n v="195742.78125"/>
    <d v="2025-10-29T00:00:00"/>
    <n v="17"/>
    <s v="TIENDAS VIRTUALES"/>
    <s v="TIENDAS VIRTUALES"/>
    <s v="Recurrente Ágil CEM"/>
    <n v="202510"/>
    <n v="201510.05"/>
    <s v="B45371"/>
    <x v="15"/>
    <s v="B45384"/>
    <x v="6"/>
    <x v="1"/>
    <x v="2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95"/>
    <x v="7"/>
    <n v="20609625709"/>
    <s v="BAR BUSINESS PERU"/>
    <s v="."/>
    <n v="10270974"/>
    <s v="Nuevo NO BANK"/>
    <s v="BPECND"/>
    <n v="35091.984375"/>
    <d v="2025-08-29T00:00:00"/>
    <n v="21"/>
    <s v="TLV"/>
    <s v="TLV"/>
    <s v="Nuevo Aprobado EN"/>
    <n v="202508"/>
    <n v="41002.050000000003"/>
    <s v="NULL"/>
    <x v="2"/>
    <s v="NULL"/>
    <x v="2"/>
    <x v="12"/>
    <x v="3"/>
    <s v="P1"/>
    <s v="C2"/>
    <n v="1"/>
    <x v="0"/>
    <n v="0"/>
    <n v="0"/>
    <n v="0"/>
    <x v="1"/>
    <n v="0"/>
    <s v="NULL"/>
    <s v="NULL"/>
    <s v="NULL"/>
    <s v="NULL"/>
    <s v="NULL"/>
    <s v="NULL"/>
    <s v="NULL"/>
    <s v="NULL"/>
    <s v="TLV C"/>
    <s v="POOL TRANSACCIONAL"/>
  </r>
  <r>
    <x v="796"/>
    <x v="2"/>
    <n v="20455507708"/>
    <s v="HILO DENTAL"/>
    <s v="."/>
    <n v="10268260"/>
    <s v="Nuevo Aprobado"/>
    <s v="BPECND"/>
    <n v="84755.9375"/>
    <d v="2025-05-29T00:00:00"/>
    <n v="17"/>
    <s v="TLV"/>
    <s v="TLV"/>
    <s v="Nuevo Aprobado EN"/>
    <n v="202505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97"/>
    <x v="10"/>
    <n v="20608795988"/>
    <s v="INVERSIONES D CAFIO"/>
    <s v="."/>
    <n v="10268797"/>
    <s v="Nuevo pre Aprobado"/>
    <s v="B46527"/>
    <n v="117078.765625"/>
    <d v="2025-06-18T00:00:00"/>
    <n v="17"/>
    <s v="TIENDAS VIRTUALES"/>
    <s v="VENDORS"/>
    <s v="Nuevo Pre-aprobado"/>
    <n v="202506"/>
    <n v="200010"/>
    <s v="B46527"/>
    <x v="75"/>
    <s v="B34489"/>
    <x v="4"/>
    <x v="4"/>
    <x v="0"/>
    <s v="P1"/>
    <s v="C2"/>
    <n v="1"/>
    <x v="0"/>
    <n v="0"/>
    <n v="0"/>
    <n v="1"/>
    <x v="0"/>
    <n v="0"/>
    <s v="NULL"/>
    <s v="NULL"/>
    <s v="NULL"/>
    <s v="NULL"/>
    <s v="NULL"/>
    <n v="240400"/>
    <n v="0.21"/>
    <n v="0.19"/>
    <s v="NULL"/>
    <s v="NULL"/>
  </r>
  <r>
    <x v="798"/>
    <x v="10"/>
    <n v="20612030601"/>
    <s v="KAREN UCEDA S.A.C."/>
    <s v="."/>
    <n v="10267603"/>
    <s v="Regular Sin Campaña"/>
    <s v="B44120"/>
    <n v="26776.255859375"/>
    <d v="2025-05-05T00:00:00"/>
    <n v="18"/>
    <s v="TIENDAS"/>
    <s v="TIENDAS"/>
    <s v="Gestion Cartera"/>
    <n v="202505"/>
    <n v="150007.5"/>
    <s v="B44120"/>
    <x v="45"/>
    <s v="B14530"/>
    <x v="5"/>
    <x v="4"/>
    <x v="0"/>
    <s v="P1"/>
    <s v="C1_2"/>
    <n v="1"/>
    <x v="0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799"/>
    <x v="2"/>
    <n v="10445410379"/>
    <s v="CONTRERAS QUISPE AURELIA"/>
    <n v="44541037"/>
    <n v="10259421"/>
    <s v="Impulso Mixto"/>
    <s v="B24574"/>
    <n v="21703.23828125"/>
    <d v="2024-08-23T00:00:00"/>
    <n v="14.8"/>
    <s v="TLV"/>
    <s v="TLV"/>
    <s v="Impulso MyPeru Comercial"/>
    <n v="202408"/>
    <n v="28001.4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62"/>
    <x v="5"/>
    <n v="20600918991"/>
    <s v="ASCENSORES &amp; SERVICIOS PERU"/>
    <s v="."/>
    <n v="10265532"/>
    <s v="CDD PRE APROBADO"/>
    <s v="B44900"/>
    <n v="72040.25"/>
    <d v="2025-02-21T00:00:00"/>
    <n v="17"/>
    <s v="TIENDAS"/>
    <s v="TIENDAS"/>
    <s v="Recurrente Aprobado CD"/>
    <n v="202502"/>
    <n v="115405.75"/>
    <s v="B44900"/>
    <x v="19"/>
    <s v="B34489"/>
    <x v="4"/>
    <x v="4"/>
    <x v="0"/>
    <s v="P1"/>
    <s v="C1_1"/>
    <n v="1"/>
    <x v="0"/>
    <n v="0"/>
    <n v="0"/>
    <n v="1"/>
    <x v="0"/>
    <n v="0"/>
    <s v="NULL"/>
    <s v="NULL"/>
    <s v="NULL"/>
    <s v="NULL"/>
    <s v="NULL"/>
    <n v="400000"/>
    <n v="0.18379999999999999"/>
    <n v="0.1638"/>
    <s v="NULL"/>
    <s v="NULL"/>
  </r>
  <r>
    <x v="800"/>
    <x v="5"/>
    <n v="10748109396"/>
    <s v="ROJAS SALVADOR JESUS EDUARDO"/>
    <n v="74810939"/>
    <n v="10249352"/>
    <s v="Impulso Mixto"/>
    <s v="B33958"/>
    <n v="47930"/>
    <d v="2024-03-22T00:00:00"/>
    <n v="13.8"/>
    <s v="TLV"/>
    <s v="TLV"/>
    <s v="Impulso MyPeru Comercial"/>
    <n v="202403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01"/>
    <x v="1"/>
    <n v="20508894679"/>
    <s v="ABIL CORPORACION"/>
    <s v="."/>
    <n v="10263040"/>
    <s v="Regular Sin Campaña"/>
    <s v="B13988"/>
    <n v="100869.9296875"/>
    <d v="2024-11-25T00:00:00"/>
    <n v="19"/>
    <s v="TIENDAS"/>
    <s v="TIENDAS"/>
    <s v="NULL"/>
    <n v="202411"/>
    <n v="200010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02"/>
    <x v="10"/>
    <n v="10096581811"/>
    <s v="VERGARA ROJAS NOE"/>
    <n v="9658181"/>
    <n v="10274138"/>
    <s v="Nuevo pre Aprobado"/>
    <s v="B43714"/>
    <n v="38976.30859375"/>
    <d v="2025-12-22T00:00:00"/>
    <n v="22.3"/>
    <s v="TIENDAS"/>
    <s v="TIENDAS"/>
    <s v="Nuevo Pre-aprobado"/>
    <n v="202512"/>
    <n v="40002"/>
    <s v="B43714"/>
    <x v="64"/>
    <s v="B14821"/>
    <x v="3"/>
    <x v="9"/>
    <x v="0"/>
    <s v="P1"/>
    <s v="C3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740"/>
    <x v="10"/>
    <n v="20608928431"/>
    <s v="ORANGE INDUSTRIES"/>
    <s v="."/>
    <n v="10253650"/>
    <s v="Impulso Mixto"/>
    <s v="B22846"/>
    <n v="3923.40576171875"/>
    <d v="2024-05-24T00:00:00"/>
    <n v="14.5"/>
    <s v="TLV"/>
    <s v="TLV"/>
    <s v="Impulso MyPeru Comercial"/>
    <n v="202405"/>
    <n v="90004.5"/>
    <s v="B22846"/>
    <x v="47"/>
    <s v="B13988"/>
    <x v="1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03"/>
    <x v="10"/>
    <n v="10465591914"/>
    <s v="BEJAR GUZMAN FRANZ"/>
    <n v="46559191"/>
    <n v="10253875"/>
    <s v="Impulso Mixto"/>
    <s v="B30094"/>
    <n v="36876.88671875"/>
    <d v="2024-05-28T00:00:00"/>
    <n v="15.5"/>
    <s v="TLV"/>
    <s v="TLV"/>
    <s v="Impulso MyPeru Comercial"/>
    <n v="202405"/>
    <n v="90004.5"/>
    <s v="B30094"/>
    <x v="48"/>
    <s v="B34489"/>
    <x v="4"/>
    <x v="1"/>
    <x v="0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04"/>
    <x v="0"/>
    <n v="10199437823"/>
    <s v="TORRES TORRE JULIANA ERNESTINA"/>
    <n v="19943782"/>
    <n v="10265467"/>
    <s v="Regular Sin Campaña"/>
    <s v="B45373"/>
    <n v="99645.625"/>
    <d v="2025-02-19T00:00:00"/>
    <n v="16"/>
    <s v="TIENDAS"/>
    <s v="VENDORS"/>
    <s v="Gestion Cartera"/>
    <n v="202502"/>
    <n v="150007.5"/>
    <s v="B45373"/>
    <x v="13"/>
    <s v="B45384"/>
    <x v="6"/>
    <x v="4"/>
    <x v="2"/>
    <s v="P1"/>
    <s v="C3"/>
    <n v="1"/>
    <x v="1"/>
    <n v="0"/>
    <n v="0"/>
    <n v="0"/>
    <x v="0"/>
    <n v="0"/>
    <s v="NULL"/>
    <s v="NULL"/>
    <s v="NULL"/>
    <s v="NULL"/>
    <s v="NULL"/>
    <n v="200000"/>
    <n v="0.21920000000000001"/>
    <n v="0.19919999999999999"/>
    <s v="NULL"/>
    <s v="NULL"/>
  </r>
  <r>
    <x v="805"/>
    <x v="8"/>
    <n v="20538232972"/>
    <s v="IMPORTACIONES JUNIRE"/>
    <s v="."/>
    <n v="10155737"/>
    <s v="GIRO DE LINEA"/>
    <s v="B13161"/>
    <n v="26031.82812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06"/>
    <x v="5"/>
    <n v="20532522146"/>
    <s v="IMPORTADORA KONWAR SPORT"/>
    <s v="."/>
    <n v="10156708"/>
    <s v="GIRO DE LINEA"/>
    <s v="B34669"/>
    <n v="83272.2265625"/>
    <d v="2024-08-26T00:00:00"/>
    <n v="20.5"/>
    <s v="TIENDAS"/>
    <s v="TIENDAS"/>
    <s v="Giro de Línea"/>
    <n v="202408"/>
    <n v="150007.5"/>
    <s v="B34669"/>
    <x v="7"/>
    <s v="B34489"/>
    <x v="4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07"/>
    <x v="0"/>
    <n v="20603688261"/>
    <s v="TRANSPORTES JURADO RODRIGUEZ"/>
    <s v="."/>
    <n v="10268733"/>
    <s v="Nuevo Aprobado"/>
    <s v="BPECND"/>
    <n v="22288.115234375"/>
    <d v="2025-06-17T00:00:00"/>
    <n v="19.5"/>
    <s v="TLV"/>
    <s v="TLV"/>
    <s v="Nuevo Aprobado EN"/>
    <n v="202506"/>
    <n v="32001.599999999999"/>
    <s v="B45749"/>
    <x v="9"/>
    <s v="B27274"/>
    <x v="0"/>
    <x v="4"/>
    <x v="0"/>
    <s v="P1"/>
    <s v="C2"/>
    <n v="1"/>
    <x v="0"/>
    <n v="0"/>
    <n v="0"/>
    <n v="1"/>
    <x v="2"/>
    <n v="0"/>
    <s v="NULL"/>
    <s v="NULL"/>
    <s v="NULL"/>
    <s v="NULL"/>
    <s v="NULL"/>
    <n v="143000"/>
    <n v="0.21"/>
    <n v="0.17"/>
    <s v="NULL"/>
    <s v="NULL"/>
  </r>
  <r>
    <x v="808"/>
    <x v="4"/>
    <n v="20603840527"/>
    <s v="TRANSPORTES Y SERVICIOS CORCEL NEGRO S.A"/>
    <s v="."/>
    <n v="10265325"/>
    <s v="Nuevo Aprobado"/>
    <s v="BPECND"/>
    <n v="50002.4921875"/>
    <d v="2025-02-13T00:00:00"/>
    <n v="23"/>
    <s v="TLV"/>
    <s v="TLV"/>
    <s v="Nuevo Aprobado EN"/>
    <n v="202502"/>
    <n v="50002.5"/>
    <s v="B39015"/>
    <x v="82"/>
    <s v="B28616"/>
    <x v="12"/>
    <x v="17"/>
    <x v="3"/>
    <s v="P1"/>
    <s v="NULL"/>
    <n v="1"/>
    <x v="0"/>
    <n v="1"/>
    <n v="1"/>
    <n v="1"/>
    <x v="1"/>
    <n v="50002.5"/>
    <n v="23"/>
    <d v="2025-02-13T00:00:00"/>
    <s v="Nuevo Aprobado EN"/>
    <s v="TLV"/>
    <s v="CAPITAL DE TRABAJO"/>
    <n v="102000"/>
    <n v="0.27"/>
    <n v="0.25"/>
    <s v="NULL"/>
    <s v="CAPITAL DE TRABAJO"/>
  </r>
  <r>
    <x v="809"/>
    <x v="5"/>
    <n v="10413461761"/>
    <s v="AGUILAR CHOQUEVILCA DANIEL EDWARD"/>
    <n v="41346176"/>
    <n v="10153853"/>
    <s v="GIRO DE LINEA"/>
    <s v="B37955"/>
    <n v="164046.046875"/>
    <d v="2025-03-28T00:00:00"/>
    <n v="15"/>
    <s v="TIENDAS"/>
    <s v="TIENDAS"/>
    <s v="Giro de Línea"/>
    <n v="202503"/>
    <n v="200010"/>
    <s v="B37955"/>
    <x v="53"/>
    <s v="B27274"/>
    <x v="0"/>
    <x v="1"/>
    <x v="0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10"/>
    <x v="12"/>
    <n v="20487519546"/>
    <s v="TOYVA"/>
    <s v="."/>
    <n v="10249195"/>
    <s v="Impulso Mixto"/>
    <s v="B44120"/>
    <n v="26525.61328125"/>
    <d v="2024-03-12T00:00:00"/>
    <n v="14.2"/>
    <s v="TLV"/>
    <s v="TLV"/>
    <s v="Impulso MyPeru Comercial"/>
    <n v="202403"/>
    <n v="90004.5"/>
    <s v="B44120"/>
    <x v="45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0330000000000001"/>
    <s v="NULL"/>
    <s v="NULL"/>
    <s v="NULL"/>
  </r>
  <r>
    <x v="811"/>
    <x v="10"/>
    <n v="20451696000"/>
    <s v="DECOR IDEAS &amp; STYLOS"/>
    <s v="."/>
    <n v="10274545"/>
    <s v="Ágil Recurrente CEM"/>
    <s v="B46504"/>
    <n v="286757.09375"/>
    <d v="2026-01-14T00:00:00"/>
    <n v="16.799999"/>
    <s v="TIENDAS"/>
    <s v="TIENDAS"/>
    <s v="Recurrente Ágil CEM"/>
    <n v="202601"/>
    <n v="350017.5"/>
    <s v="B46504"/>
    <x v="0"/>
    <s v="B27274"/>
    <x v="0"/>
    <x v="4"/>
    <x v="0"/>
    <s v="P1"/>
    <s v="C2"/>
    <n v="1"/>
    <x v="0"/>
    <n v="0"/>
    <n v="0"/>
    <n v="1"/>
    <x v="0"/>
    <n v="0"/>
    <s v="NULL"/>
    <s v="NULL"/>
    <s v="NULL"/>
    <s v="NULL"/>
    <s v="NULL"/>
    <n v="125000"/>
    <n v="0.21"/>
    <n v="0.19"/>
    <s v="NULL"/>
    <s v="NULL"/>
  </r>
  <r>
    <x v="812"/>
    <x v="9"/>
    <n v="10430353468"/>
    <s v="SERRANO MOJONERO DE PAREJA YENI"/>
    <n v="43035346"/>
    <n v="10251772"/>
    <s v="Impulso CDI Cobertura"/>
    <s v="B19952"/>
    <n v="66185.125"/>
    <d v="2024-04-26T00:00:00"/>
    <n v="14.2"/>
    <s v="TIENDAS"/>
    <s v="TIENDAS"/>
    <s v="Impulso MyPeru Comercial"/>
    <n v="202404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13"/>
    <x v="12"/>
    <n v="20603071884"/>
    <s v="ALSOTEC S.A.C."/>
    <s v="."/>
    <n v="10246946"/>
    <s v="Nuevo Aprobado Ágil"/>
    <s v="BPECND"/>
    <n v="21530.330078125"/>
    <d v="2023-12-28T00:00:00"/>
    <n v="21.34"/>
    <s v="TLV"/>
    <s v="TLV"/>
    <s v="Nuevo Aprobado Agil"/>
    <n v="202312"/>
    <n v="304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4"/>
    <x v="9"/>
    <n v="20607281824"/>
    <s v="DISTRIBUCIONES SUDCA E.I.R.L."/>
    <s v="."/>
    <n v="10259151"/>
    <s v="Impulso Solo"/>
    <s v="B30637"/>
    <n v="3349.33178710938"/>
    <d v="2024-08-19T00:00:00"/>
    <n v="15.5"/>
    <s v="TLV"/>
    <s v="TLV"/>
    <s v="Impulso MyPeru Comercial"/>
    <n v="202408"/>
    <n v="90004.5"/>
    <s v="B30637"/>
    <x v="12"/>
    <s v="B14530"/>
    <x v="5"/>
    <x v="4"/>
    <x v="0"/>
    <s v="P1"/>
    <s v="NULL"/>
    <n v="1"/>
    <x v="0"/>
    <n v="1"/>
    <n v="1"/>
    <n v="1"/>
    <x v="2"/>
    <n v="390019.5"/>
    <n v="16"/>
    <d v="2025-05-30T00:00:00"/>
    <s v="Recurrente Ágil CEM"/>
    <s v="TIENDAS"/>
    <s v="CAPITAL DE TRABAJO"/>
    <n v="400000"/>
    <n v="0.2"/>
    <n v="0.17780000000000001"/>
    <s v="NULL"/>
    <s v="NULL"/>
  </r>
  <r>
    <x v="814"/>
    <x v="4"/>
    <n v="10444712592"/>
    <s v="LOPEZ VALENCIA MARIUSKA MEDALITH"/>
    <n v="44471259"/>
    <n v="10241419"/>
    <s v="Ágil Recurrente CEM"/>
    <s v="B19752"/>
    <n v="20524.830078125"/>
    <d v="2023-07-13T00:00:00"/>
    <n v="20.100000000000001"/>
    <s v="TIENDAS"/>
    <s v="TIENDAS"/>
    <s v="Recurrente Ágil CEM"/>
    <n v="202307"/>
    <n v="85004.25"/>
    <s v="B19752"/>
    <x v="43"/>
    <s v="B13988"/>
    <x v="8"/>
    <x v="13"/>
    <x v="0"/>
    <s v="P2"/>
    <s v="NULL"/>
    <n v="1"/>
    <x v="0"/>
    <n v="0"/>
    <n v="1"/>
    <n v="1"/>
    <x v="2"/>
    <n v="0"/>
    <s v="NULL"/>
    <s v="NULL"/>
    <s v="NULL"/>
    <s v="NULL"/>
    <s v="NULL"/>
    <n v="500000"/>
    <n v="0.17299999999999999"/>
    <n v="0.153"/>
    <s v="NULL"/>
    <s v="NULL"/>
  </r>
  <r>
    <x v="815"/>
    <x v="2"/>
    <n v="10258072290"/>
    <s v="MIRANDA ROCCA PAOLA"/>
    <n v="25807229"/>
    <n v="10248754"/>
    <s v="Impulso Mixto"/>
    <s v="B45083"/>
    <n v="2000.25402832031"/>
    <d v="2024-02-29T00:00:00"/>
    <n v="13.9"/>
    <s v="TIENDAS"/>
    <s v="TIENDAS"/>
    <s v="Impulso MyPeru Comercial"/>
    <n v="202402"/>
    <n v="32387.2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16"/>
    <x v="5"/>
    <n v="20393257645"/>
    <s v="ESTUDIO CERNA &amp; LEVEAU ABOGADOS S CIVIL"/>
    <s v="."/>
    <n v="10271146"/>
    <s v="Nuevo Aprobado Ágil"/>
    <s v="B45372"/>
    <n v="99304.9453125"/>
    <d v="2025-09-09T00:00:00"/>
    <n v="19"/>
    <s v="TIENDAS VIRTUALES"/>
    <s v="TIENDAS VIRTUALES"/>
    <s v="Nuevo Aprobado Agil"/>
    <n v="202509"/>
    <n v="99304.95"/>
    <s v="B45372"/>
    <x v="56"/>
    <s v="B45384"/>
    <x v="6"/>
    <x v="16"/>
    <x v="2"/>
    <s v="P1"/>
    <s v="C3"/>
    <n v="1"/>
    <x v="0"/>
    <n v="1"/>
    <n v="1"/>
    <n v="1"/>
    <x v="0"/>
    <n v="99304.95"/>
    <n v="19"/>
    <d v="2025-09-09T00:00:00"/>
    <s v="Nuevo Aprobado Agil"/>
    <s v="TIENDAS VIRTUALES"/>
    <s v="CAPITAL DE TRABAJO"/>
    <n v="99300"/>
    <n v="0.251"/>
    <n v="0.192"/>
    <s v="NULL"/>
    <s v="NULL"/>
  </r>
  <r>
    <x v="817"/>
    <x v="12"/>
    <n v="20609463245"/>
    <s v="DRIME HOUSE"/>
    <s v="."/>
    <n v="10267976"/>
    <s v="Nuevo pre Aprobado"/>
    <s v="B45375"/>
    <n v="137931.5"/>
    <d v="2025-05-21T00:00:00"/>
    <n v="20"/>
    <s v="TIENDAS"/>
    <s v="TIENDAS"/>
    <s v="Nuevo Pre-aprobado"/>
    <n v="202505"/>
    <n v="145007.2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18"/>
    <x v="6"/>
    <n v="20611608048"/>
    <s v="RARMAS"/>
    <s v="."/>
    <n v="10269122"/>
    <s v="Nuevo NO BANK"/>
    <s v="BPECND"/>
    <n v="25882.638671875"/>
    <d v="2025-06-26T00:00:00"/>
    <n v="26"/>
    <s v="TLV"/>
    <s v="TLV"/>
    <s v="Nuevo Aprobado EN"/>
    <n v="202506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19"/>
    <x v="8"/>
    <n v="10418595685"/>
    <s v="TORPOCO HUAMANLAZO FREDY ROLAND"/>
    <n v="41859568"/>
    <n v="10266186"/>
    <s v="Nuevo Aprobado"/>
    <s v="B24574"/>
    <n v="24120.505859375"/>
    <d v="2025-03-14T00:00:00"/>
    <n v="22"/>
    <s v="TLV"/>
    <s v="TLV"/>
    <s v="Nuevo Aprobado EN"/>
    <n v="202503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20"/>
    <x v="5"/>
    <n v="20467291883"/>
    <s v="WORLD PHARMA"/>
    <s v="."/>
    <n v="10155460"/>
    <s v="GIRO DE LINEA"/>
    <s v="B28664"/>
    <n v="8035.99951171875"/>
    <d v="2022-12-16T00:00:00"/>
    <n v="18.5"/>
    <s v="TIENDAS"/>
    <s v="TIENDAS"/>
    <s v="Giro de Línea"/>
    <n v="202212"/>
    <n v="197509.8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39"/>
    <x v="5"/>
    <n v="20609894301"/>
    <s v="CUBO MAKERS"/>
    <s v="."/>
    <n v="10270986"/>
    <s v="Recurrente Aprobado Agil"/>
    <s v="B44900"/>
    <n v="150007.515625"/>
    <d v="2025-08-29T00:00:00"/>
    <n v="17"/>
    <s v="TIENDAS"/>
    <s v="TIENDAS"/>
    <s v="Recurrente Ágil CEM"/>
    <n v="202508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462"/>
    <x v="1"/>
    <n v="20602370802"/>
    <s v="LICORERIA &amp; DISTRIBUCIONES OVAL BLACK"/>
    <s v="."/>
    <n v="10272222"/>
    <s v="Recurrente Aprobado Agil"/>
    <s v="B14530"/>
    <n v="194580.6875"/>
    <d v="2025-10-14T00:00:00"/>
    <n v="16"/>
    <s v="TIENDAS"/>
    <s v="TIENDAS"/>
    <s v="Recurrente Ágil CEM"/>
    <n v="202510"/>
    <n v="229211.4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21"/>
    <x v="2"/>
    <n v="10421221427"/>
    <s v="TURPOCO CORNEJO OLGA ELENA"/>
    <n v="42122142"/>
    <n v="10269471"/>
    <s v="Nuevo Aprobado"/>
    <s v="B8770"/>
    <n v="96632.0546875"/>
    <d v="2025-07-10T00:00:00"/>
    <n v="23.5"/>
    <s v="TLV"/>
    <s v="TLV"/>
    <s v="Nuevo Aprobado EN"/>
    <n v="202507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22"/>
    <x v="12"/>
    <n v="20607958107"/>
    <s v="L&amp;L CORPORACION Y SERVICIOS GENERALES"/>
    <s v="."/>
    <n v="10266421"/>
    <s v="Nuevo NO BANK"/>
    <s v="B45078"/>
    <n v="42633.63671875"/>
    <d v="2025-03-21T00:00:00"/>
    <n v="21"/>
    <s v="TLV"/>
    <s v="TLV"/>
    <s v="Nuevo Aprobado EN"/>
    <n v="202503"/>
    <n v="50002.5"/>
    <s v="B45078"/>
    <x v="44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4929999999999999"/>
    <s v="NULL"/>
    <s v="NULL"/>
    <s v="NULL"/>
  </r>
  <r>
    <x v="823"/>
    <x v="5"/>
    <n v="10220812630"/>
    <s v="CANTORAL ROMAN LUIS WILFREDO"/>
    <n v="22081263"/>
    <n v="10163179"/>
    <s v="GIRO DE LINEA"/>
    <s v="B14821"/>
    <n v="51611.35546875"/>
    <d v="2024-12-04T00:00:00"/>
    <n v="18.78"/>
    <s v="TIENDAS"/>
    <s v="TIENDAS"/>
    <s v="Giro de Línea"/>
    <n v="202412"/>
    <n v="77003.850000000006"/>
    <s v="B45869"/>
    <x v="50"/>
    <s v="B14821"/>
    <x v="3"/>
    <x v="14"/>
    <x v="0"/>
    <s v="P1"/>
    <s v="C3"/>
    <n v="1"/>
    <x v="1"/>
    <n v="0"/>
    <n v="0"/>
    <n v="0"/>
    <x v="0"/>
    <n v="0"/>
    <s v="NULL"/>
    <s v="NULL"/>
    <s v="NULL"/>
    <s v="NULL"/>
    <s v="NULL"/>
    <n v="77000"/>
    <n v="0.28000000000000003"/>
    <n v="0.26"/>
    <s v="NULL"/>
    <s v="NULL"/>
  </r>
  <r>
    <x v="824"/>
    <x v="5"/>
    <n v="20601895642"/>
    <s v="MAQUINARIAS ARMEVA"/>
    <s v="."/>
    <n v="10270556"/>
    <s v="Nuevo Aprobado"/>
    <s v="B10862"/>
    <n v="99788.140625"/>
    <d v="2025-08-20T00:00:00"/>
    <n v="17"/>
    <s v="TLV"/>
    <s v="TLV"/>
    <s v="Nuevo Aprobado EN"/>
    <n v="202508"/>
    <n v="105005.2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25"/>
    <x v="1"/>
    <n v="20601135893"/>
    <s v="W&amp; J TOOLS AND SERVICE"/>
    <s v="."/>
    <n v="10268397"/>
    <s v="Regular Sin Campaña"/>
    <s v="B43714"/>
    <n v="111005.203125"/>
    <d v="2025-05-30T00:00:00"/>
    <n v="16"/>
    <s v="TIENDAS"/>
    <s v="VENDORS"/>
    <s v="Gestion Cartera"/>
    <n v="202505"/>
    <n v="150007.5"/>
    <s v="B43714"/>
    <x v="64"/>
    <s v="B14821"/>
    <x v="3"/>
    <x v="5"/>
    <x v="0"/>
    <s v="P5"/>
    <s v="C1_1"/>
    <n v="1"/>
    <x v="1"/>
    <n v="0"/>
    <n v="0"/>
    <n v="0"/>
    <x v="0"/>
    <n v="0"/>
    <s v="NULL"/>
    <s v="NULL"/>
    <s v="NULL"/>
    <s v="NULL"/>
    <s v="NULL"/>
    <n v="500000"/>
    <n v="0.21"/>
    <n v="0.19"/>
    <s v="NULL"/>
    <s v="NULL"/>
  </r>
  <r>
    <x v="826"/>
    <x v="8"/>
    <n v="20519143098"/>
    <s v="BALANCEO DINAMICO INDUSTRIAL"/>
    <s v="."/>
    <n v="10261029"/>
    <s v="Ágil Recurrente CEM"/>
    <s v="B28573"/>
    <n v="123891.25"/>
    <d v="2024-09-26T00:00:00"/>
    <n v="16.100000000000001"/>
    <s v="TIENDAS"/>
    <s v="TIENDAS"/>
    <s v="Recurrente Ágil CEM"/>
    <n v="202409"/>
    <n v="200010"/>
    <s v="B14972"/>
    <x v="25"/>
    <s v="B13161"/>
    <x v="9"/>
    <x v="4"/>
    <x v="0"/>
    <s v="P1"/>
    <s v="NULL"/>
    <n v="1"/>
    <x v="0"/>
    <n v="0"/>
    <n v="0"/>
    <n v="1"/>
    <x v="0"/>
    <n v="0"/>
    <s v="NULL"/>
    <s v="NULL"/>
    <s v="NULL"/>
    <s v="NULL"/>
    <s v="NULL"/>
    <n v="260100"/>
    <n v="0.23"/>
    <n v="0.21"/>
    <s v="NULL"/>
    <s v="NULL"/>
  </r>
  <r>
    <x v="827"/>
    <x v="1"/>
    <n v="10461327678"/>
    <s v="JIMENEZ ROJAS LUIS ALBERTO"/>
    <n v="46132767"/>
    <n v="10251740"/>
    <s v="Impulso CDI Cobertura"/>
    <s v="B33503"/>
    <n v="33391.44921875"/>
    <d v="2024-04-26T00:00:00"/>
    <n v="15"/>
    <s v="TIENDAS"/>
    <s v="TIENDAS"/>
    <s v="Impulso MyPeru Comercial"/>
    <n v="202404"/>
    <n v="81714.05"/>
    <s v="B33503"/>
    <x v="10"/>
    <s v="B14821"/>
    <x v="3"/>
    <x v="5"/>
    <x v="0"/>
    <s v="P5"/>
    <s v="C3"/>
    <n v="1"/>
    <x v="1"/>
    <n v="0"/>
    <n v="0"/>
    <n v="0"/>
    <x v="0"/>
    <n v="0"/>
    <s v="NULL"/>
    <s v="NULL"/>
    <s v="NULL"/>
    <s v="NULL"/>
    <s v="NULL"/>
    <n v="200000"/>
    <n v="0.22670000000000001"/>
    <n v="0.20669999999999999"/>
    <s v="NULL"/>
    <s v="NULL"/>
  </r>
  <r>
    <x v="828"/>
    <x v="1"/>
    <n v="20516435420"/>
    <s v="PRO EDIFICAR"/>
    <s v="."/>
    <n v="10272630"/>
    <s v="Nuevo Aprobado Ágil"/>
    <s v="B13161"/>
    <n v="153223.34375"/>
    <d v="2025-10-28T00:00:00"/>
    <n v="16"/>
    <s v="TLV"/>
    <s v="TLV"/>
    <s v="Nuevo Aprobado Agil"/>
    <n v="202510"/>
    <n v="170008.5"/>
    <s v="B14972"/>
    <x v="25"/>
    <s v="B13161"/>
    <x v="9"/>
    <x v="10"/>
    <x v="0"/>
    <s v="P1"/>
    <s v="C1_1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829"/>
    <x v="0"/>
    <n v="20601721539"/>
    <s v="GRUPO HOTELERO SOLEC SOCIEDAD ANONIMA CE"/>
    <s v="."/>
    <n v="10267679"/>
    <s v="CT Garantía Sin Campaña"/>
    <s v="B20210"/>
    <n v="437551.9375"/>
    <d v="2025-05-09T00:00:00"/>
    <n v="13"/>
    <s v="TIENDAS"/>
    <s v="TIENDAS"/>
    <s v="Gestion Cartera"/>
    <n v="202505"/>
    <n v="450022.5"/>
    <s v="B20210"/>
    <x v="39"/>
    <s v="B13161"/>
    <x v="9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30"/>
    <x v="6"/>
    <n v="20609079097"/>
    <s v="CALEAND"/>
    <s v="."/>
    <n v="10264641"/>
    <s v="Ágil Recurrente"/>
    <s v="B30745"/>
    <n v="140913.875"/>
    <d v="2025-01-20T00:00:00"/>
    <n v="16"/>
    <s v="TIENDAS"/>
    <s v="TIENDAS"/>
    <s v="Recurrente Aprobado"/>
    <n v="202501"/>
    <n v="199351.95"/>
    <s v="B30745"/>
    <x v="14"/>
    <s v="B27274"/>
    <x v="0"/>
    <x v="4"/>
    <x v="0"/>
    <s v="P1"/>
    <s v="NULL"/>
    <n v="1"/>
    <x v="0"/>
    <n v="0"/>
    <n v="0"/>
    <n v="1"/>
    <x v="0"/>
    <n v="0"/>
    <s v="NULL"/>
    <s v="NULL"/>
    <s v="NULL"/>
    <s v="NULL"/>
    <s v="NULL"/>
    <n v="130000"/>
    <n v="0.26169999999999999"/>
    <n v="0.2417"/>
    <s v="NULL"/>
    <s v="NULL"/>
  </r>
  <r>
    <x v="831"/>
    <x v="3"/>
    <n v="10329163046"/>
    <s v="ALVA RAMIREZ DANIEL AUGUSTO"/>
    <n v="32916304"/>
    <n v="10255156"/>
    <s v="Impulso Solo"/>
    <s v="B23647"/>
    <n v="13282.2685546875"/>
    <d v="2024-06-13T00:00:00"/>
    <n v="15.5"/>
    <s v="TLV"/>
    <s v="TLV"/>
    <s v="Impulso MyPeru Comercial"/>
    <n v="202406"/>
    <n v="54902.7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58"/>
    <x v="3"/>
    <n v="20504460429"/>
    <s v="SPORTFISHING PERU"/>
    <s v="."/>
    <n v="10238056"/>
    <s v="Ágil Recurrente CEM"/>
    <s v="B37955"/>
    <n v="25926.70703125"/>
    <d v="2023-05-09T00:00:00"/>
    <n v="20.799990000000001"/>
    <s v="TIENDAS"/>
    <s v="TIENDAS"/>
    <s v="Recurrente Ágil CEM"/>
    <n v="202305"/>
    <n v="129006.45"/>
    <s v="B24523"/>
    <x v="96"/>
    <s v="B27274"/>
    <x v="0"/>
    <x v="1"/>
    <x v="0"/>
    <s v="P1"/>
    <s v="NULL"/>
    <n v="1"/>
    <x v="1"/>
    <n v="0"/>
    <n v="0"/>
    <n v="0"/>
    <x v="2"/>
    <n v="0"/>
    <s v="NULL"/>
    <s v="NULL"/>
    <s v="NULL"/>
    <s v="NULL"/>
    <s v="NULL"/>
    <n v="989255689"/>
    <n v="0"/>
    <n v="0"/>
    <s v="NULL"/>
    <s v="NULL"/>
  </r>
  <r>
    <x v="832"/>
    <x v="4"/>
    <n v="20601455880"/>
    <s v="2PRINT"/>
    <s v="."/>
    <n v="10261062"/>
    <s v="Impulso Mixto"/>
    <s v="B32278"/>
    <n v="40002.0078125"/>
    <d v="2024-09-27T00:00:00"/>
    <n v="14.5"/>
    <s v="TLV"/>
    <s v="TLV"/>
    <s v="Impulso MyPeru Comercial"/>
    <n v="202409"/>
    <n v="40002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33"/>
    <x v="7"/>
    <n v="10452310622"/>
    <s v="RAMOS QUISPE ULISES"/>
    <n v="45231062"/>
    <n v="10264019"/>
    <s v="Impulso Solo"/>
    <s v="B24743"/>
    <n v="32582.015625"/>
    <d v="2024-12-20T00:00:00"/>
    <n v="17.899999999999999"/>
    <s v="TLV"/>
    <s v="TLV"/>
    <s v="Impulso MyPeru Comercial"/>
    <n v="202412"/>
    <n v="39801.949999999997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34"/>
    <x v="5"/>
    <n v="10419175540"/>
    <s v="GAONA CERVANTES DIEGO SHARIFF"/>
    <n v="41917554"/>
    <n v="10258194"/>
    <s v="Impulso Solo"/>
    <s v="B12279"/>
    <n v="20953.595703125"/>
    <d v="2024-07-30T00:00:00"/>
    <n v="15.5"/>
    <s v="TLV"/>
    <s v="TLV"/>
    <s v="Impulso MyPeru Comercial"/>
    <n v="202407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35"/>
    <x v="1"/>
    <n v="20603063181"/>
    <s v="S &amp; ROMERO"/>
    <s v="."/>
    <n v="10257067"/>
    <s v="Nuevo Aprobado"/>
    <s v="B30637"/>
    <n v="36251.17578125"/>
    <d v="2024-07-05T00:00:00"/>
    <n v="18.5"/>
    <s v="TLV"/>
    <s v="TLV"/>
    <s v="NULL"/>
    <n v="202407"/>
    <n v="127920.35"/>
    <s v="B30637"/>
    <x v="12"/>
    <s v="B14530"/>
    <x v="5"/>
    <x v="1"/>
    <x v="0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836"/>
    <x v="0"/>
    <n v="20545433525"/>
    <s v="TRANSPORTES E INVERSIONES SANTA CLARA"/>
    <s v="."/>
    <n v="10255850"/>
    <s v="Impulso Solo"/>
    <s v="B30973"/>
    <n v="48146.01953125"/>
    <d v="2024-06-20T00:00:00"/>
    <n v="14.8"/>
    <s v="TLV"/>
    <s v="TLV"/>
    <s v="Impulso MyPeru Comercial"/>
    <n v="202406"/>
    <n v="90004.5"/>
    <s v="B27880"/>
    <x v="6"/>
    <s v="B14821"/>
    <x v="3"/>
    <x v="4"/>
    <x v="0"/>
    <s v="P1"/>
    <s v="C2"/>
    <n v="1"/>
    <x v="0"/>
    <n v="0"/>
    <n v="1"/>
    <n v="1"/>
    <x v="0"/>
    <n v="0"/>
    <s v="NULL"/>
    <s v="NULL"/>
    <s v="NULL"/>
    <s v="NULL"/>
    <s v="NULL"/>
    <n v="400000"/>
    <n v="0.21"/>
    <n v="0.19"/>
    <s v="NULL"/>
    <s v="NULL"/>
  </r>
  <r>
    <x v="837"/>
    <x v="10"/>
    <n v="20602306292"/>
    <s v="SEAS SERVICIOS Y TRANSPORTES E.I.R.L."/>
    <s v="."/>
    <n v="10270428"/>
    <s v="Recurrente Aprobado Agil"/>
    <s v="B45375"/>
    <n v="93139.6640625"/>
    <d v="2025-08-15T00:00:00"/>
    <n v="15"/>
    <s v="TIENDAS VIRTUALES"/>
    <s v="TIENDAS VIRTUALES"/>
    <s v="Recurrente Ágil CEM"/>
    <n v="202508"/>
    <n v="120006"/>
    <s v="B45375"/>
    <x v="65"/>
    <s v="B45384"/>
    <x v="6"/>
    <x v="5"/>
    <x v="2"/>
    <s v="P1"/>
    <s v="C1_2"/>
    <n v="1"/>
    <x v="0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838"/>
    <x v="12"/>
    <n v="20609316170"/>
    <s v="ALIV TELECOM"/>
    <s v="."/>
    <n v="10267336"/>
    <s v="Nuevo pre Aprobado"/>
    <s v="B14972"/>
    <n v="135550.109375"/>
    <d v="2025-04-25T00:00:00"/>
    <n v="17.5"/>
    <s v="TIENDAS"/>
    <s v="TIENDAS"/>
    <s v="Nuevo Pre-aprobado"/>
    <n v="202504"/>
    <n v="160008"/>
    <s v="B14972"/>
    <x v="25"/>
    <s v="B13161"/>
    <x v="9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883"/>
    <s v="NULL"/>
    <s v="NULL"/>
    <s v="NULL"/>
  </r>
  <r>
    <x v="839"/>
    <x v="12"/>
    <n v="10332400784"/>
    <s v="BOLAÑOS ESPINOZA TEODOCIO NICOLAS"/>
    <n v="33240078"/>
    <n v="10265510"/>
    <s v="CDD APROBADO"/>
    <s v="B45389"/>
    <n v="196667.84375"/>
    <d v="2025-02-20T00:00:00"/>
    <n v="17"/>
    <s v="TLV"/>
    <s v="TLV"/>
    <s v="Nuevo Aprobado Agil CD"/>
    <n v="202502"/>
    <n v="246107.7"/>
    <s v="B45389"/>
    <x v="16"/>
    <s v="B45384"/>
    <x v="6"/>
    <x v="1"/>
    <x v="2"/>
    <s v="P2"/>
    <s v="NULL"/>
    <n v="1"/>
    <x v="1"/>
    <n v="0"/>
    <n v="0"/>
    <n v="0"/>
    <x v="0"/>
    <n v="0"/>
    <s v="NULL"/>
    <s v="NULL"/>
    <s v="NULL"/>
    <s v="NULL"/>
    <s v="NULL"/>
    <n v="1"/>
    <n v="0.1973"/>
    <s v="NULL"/>
    <s v="NULL"/>
    <s v="NULL"/>
  </r>
  <r>
    <x v="840"/>
    <x v="7"/>
    <n v="20608840134"/>
    <s v="DISTRIBUIDORA CHEGNE S.A.C."/>
    <s v="."/>
    <n v="10265121"/>
    <s v="Nuevo pre Aprobado"/>
    <s v="B27596"/>
    <n v="64225.8984375"/>
    <d v="2025-01-31T00:00:00"/>
    <n v="20"/>
    <s v="TIENDAS"/>
    <s v="VENDORS"/>
    <s v="Nuevo Pre-aprobado"/>
    <n v="202501"/>
    <n v="120006"/>
    <s v="B27596"/>
    <x v="38"/>
    <s v="B13988"/>
    <x v="8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41"/>
    <x v="9"/>
    <n v="20600228111"/>
    <s v="TRANSPORTES CORI ANCA SOCIEDAD ANONIMA C"/>
    <s v="."/>
    <n v="10266947"/>
    <s v="Nuevo Aprobado Ágil"/>
    <s v="BPECND"/>
    <n v="86646.6796875"/>
    <d v="2025-04-09T00:00:00"/>
    <n v="18"/>
    <s v="TLV"/>
    <s v="TLV"/>
    <s v="Nuevo Aprobado Agil"/>
    <n v="202504"/>
    <n v="93904.6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42"/>
    <x v="7"/>
    <n v="20607585947"/>
    <s v="PHARMACEUTICAL LOGISTICS"/>
    <s v="."/>
    <n v="10264350"/>
    <s v="Ágil Recurrente"/>
    <s v="B27274"/>
    <n v="93885.9375"/>
    <d v="2024-12-30T00:00:00"/>
    <n v="17"/>
    <s v="TIENDAS"/>
    <s v="TIENDAS"/>
    <s v="Recurrente Aprobado"/>
    <n v="202412"/>
    <n v="124590.54"/>
    <s v="B35209"/>
    <x v="26"/>
    <s v="B27274"/>
    <x v="0"/>
    <x v="4"/>
    <x v="0"/>
    <s v="P1"/>
    <s v="C1_1"/>
    <n v="1"/>
    <x v="1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843"/>
    <x v="9"/>
    <n v="20608002414"/>
    <s v="MOTOSPORT PERU S.A.C."/>
    <s v="."/>
    <n v="10264668"/>
    <s v="Nuevo pre Aprobado"/>
    <s v="B14534"/>
    <n v="140670.921875"/>
    <d v="2025-01-21T00:00:00"/>
    <n v="19.200001"/>
    <s v="TIENDAS"/>
    <s v="TIENDAS"/>
    <s v="Nuevo Pre-aprobado"/>
    <n v="202501"/>
    <n v="176008.8"/>
    <s v="B14534"/>
    <x v="22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.27079999999999999"/>
    <s v="NULL"/>
    <s v="NULL"/>
  </r>
  <r>
    <x v="844"/>
    <x v="10"/>
    <n v="20601839203"/>
    <s v="GRUPO EMPRESARIAL NORCONSTRUCCION SOCIED"/>
    <s v="."/>
    <n v="10272083"/>
    <s v="Nuevo Aprobado"/>
    <s v="B14530"/>
    <n v="171049.3125"/>
    <d v="2025-10-09T00:00:00"/>
    <n v="17"/>
    <s v="TLV"/>
    <s v="TLV"/>
    <s v="Nuevo Aprobado EN"/>
    <n v="202510"/>
    <n v="200010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45"/>
    <x v="1"/>
    <n v="10430366543"/>
    <s v="PALOMINO HUAMANI BERTHA FIORELLA"/>
    <n v="43036654"/>
    <n v="10269409"/>
    <s v="Nuevo Aprobado"/>
    <s v="B30638"/>
    <n v="29146.0078125"/>
    <d v="2025-07-08T00:00:00"/>
    <n v="25"/>
    <s v="TLV"/>
    <s v="TLV"/>
    <s v="Nuevo Aprobado EN"/>
    <n v="202507"/>
    <n v="41350.05000000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46"/>
    <x v="11"/>
    <n v="10098819440"/>
    <s v="ORTIZ BERNALDO JESSENIA VILMA"/>
    <n v="9881944"/>
    <n v="10265292"/>
    <s v="CDD APROBADO"/>
    <s v="B27809"/>
    <n v="51428.61328125"/>
    <d v="2025-02-13T00:00:00"/>
    <n v="22"/>
    <s v="TLV"/>
    <s v="TLV"/>
    <s v="Nuevo Aprobado Agil CD"/>
    <n v="202502"/>
    <n v="55202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47"/>
    <x v="9"/>
    <n v="10802234878"/>
    <s v="ROMERO LIRA JOSE ALEJANDRO"/>
    <n v="80223487"/>
    <n v="10266044"/>
    <s v="Nuevo NO BANK"/>
    <s v="B10874"/>
    <n v="27062.9765625"/>
    <d v="2025-03-10T00:00:00"/>
    <n v="20"/>
    <s v="TLV"/>
    <s v="TLV"/>
    <s v="Nuevo Aprobado EN"/>
    <n v="202503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48"/>
    <x v="10"/>
    <n v="20608889095"/>
    <s v="INVERSIONES E IMPORTACIONES DH"/>
    <s v="."/>
    <n v="10271691"/>
    <s v="Nuevo NO BANK"/>
    <s v="BPECND"/>
    <n v="25478.876953125"/>
    <d v="2025-09-24T00:00:00"/>
    <n v="24"/>
    <s v="TLV"/>
    <s v="TLV"/>
    <s v="Nuevo Aprobado EN"/>
    <n v="202509"/>
    <n v="31446.55"/>
    <s v="NULL"/>
    <x v="2"/>
    <s v="NULL"/>
    <x v="2"/>
    <x v="12"/>
    <x v="3"/>
    <s v="P1"/>
    <s v="C2"/>
    <n v="1"/>
    <x v="0"/>
    <n v="0"/>
    <n v="0"/>
    <n v="0"/>
    <x v="1"/>
    <n v="0"/>
    <s v="NULL"/>
    <s v="NULL"/>
    <s v="NULL"/>
    <s v="NULL"/>
    <s v="NULL"/>
    <s v="NULL"/>
    <s v="NULL"/>
    <s v="NULL"/>
    <s v="TLV C"/>
    <s v="POOL TRANSACCIONAL"/>
  </r>
  <r>
    <x v="815"/>
    <x v="2"/>
    <n v="10258072290"/>
    <s v="MIRANDA ROCCA PAOLA"/>
    <n v="25807229"/>
    <n v="10268704"/>
    <s v="Ágil Recurrente CEM"/>
    <s v="B45083"/>
    <n v="65339.45703125"/>
    <d v="2025-06-16T00:00:00"/>
    <n v="25.13"/>
    <s v="TIENDAS VIRTUALES"/>
    <s v="TIENDAS VIRTUALES"/>
    <s v="Recurrente Ágil CEM"/>
    <n v="202506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49"/>
    <x v="8"/>
    <n v="10013277716"/>
    <s v="DELGADO MAITA JORGE ANTONIO"/>
    <n v="1327771"/>
    <n v="10267465"/>
    <s v="CDD APROBADO"/>
    <s v="B45374"/>
    <n v="196750.09375"/>
    <d v="2025-04-29T00:00:00"/>
    <n v="15"/>
    <s v="TLV"/>
    <s v="TLV"/>
    <s v="Nuevo Aprobado Agil CD"/>
    <n v="202504"/>
    <n v="211010.55"/>
    <s v="B45374"/>
    <x v="21"/>
    <s v="B45384"/>
    <x v="6"/>
    <x v="1"/>
    <x v="2"/>
    <s v="P2"/>
    <s v="NULL"/>
    <n v="1"/>
    <x v="1"/>
    <n v="0"/>
    <n v="0"/>
    <n v="0"/>
    <x v="0"/>
    <n v="0"/>
    <s v="NULL"/>
    <s v="NULL"/>
    <s v="NULL"/>
    <s v="NULL"/>
    <s v="NULL"/>
    <n v="1"/>
    <n v="0.2278"/>
    <s v="NULL"/>
    <s v="NULL"/>
    <s v="NULL"/>
  </r>
  <r>
    <x v="850"/>
    <x v="3"/>
    <n v="20478210966"/>
    <s v="FARMACIA FUNG"/>
    <s v="."/>
    <n v="10264384"/>
    <s v="Nuevo Aprobado"/>
    <s v="BPECND"/>
    <n v="45421.13671875"/>
    <d v="2024-12-30T00:00:00"/>
    <n v="24.200001"/>
    <s v="TLV"/>
    <s v="TLV"/>
    <s v="NULL"/>
    <n v="202412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51"/>
    <x v="7"/>
    <n v="20518943244"/>
    <s v="HARRYTEX"/>
    <s v="."/>
    <n v="10140931"/>
    <s v="GIRO DE LINEA"/>
    <s v="B45440"/>
    <n v="75210.125"/>
    <d v="2024-10-16T00:00:00"/>
    <n v="18"/>
    <s v="TIENDAS"/>
    <s v="TIENDAS"/>
    <s v="Giro de Línea"/>
    <n v="202410"/>
    <n v="150007.5"/>
    <s v="B45440"/>
    <x v="73"/>
    <s v="B45083"/>
    <x v="7"/>
    <x v="6"/>
    <x v="2"/>
    <s v="P1"/>
    <s v="C1_2"/>
    <n v="1"/>
    <x v="0"/>
    <n v="0"/>
    <n v="0"/>
    <n v="1"/>
    <x v="0"/>
    <n v="0"/>
    <s v="NULL"/>
    <s v="NULL"/>
    <s v="NULL"/>
    <s v="NULL"/>
    <s v="NULL"/>
    <n v="68500"/>
    <n v="0.21"/>
    <n v="0.19"/>
    <s v="NULL"/>
    <s v="NULL"/>
  </r>
  <r>
    <x v="852"/>
    <x v="0"/>
    <n v="20600708067"/>
    <s v="ARPYNET"/>
    <s v="."/>
    <n v="10272908"/>
    <s v="Nuevo Aprobado"/>
    <s v="B19952"/>
    <n v="237435.0625"/>
    <d v="2025-11-06T00:00:00"/>
    <n v="15"/>
    <s v="TLV"/>
    <s v="VENDORS"/>
    <s v="Nuevo Aprobado EN"/>
    <n v="202511"/>
    <n v="25001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53"/>
    <x v="9"/>
    <n v="20608427377"/>
    <s v="PERFILES METALICOS A &amp; R"/>
    <s v="."/>
    <n v="10267246"/>
    <s v="Nuevo pre Aprobado"/>
    <s v="B25587"/>
    <n v="96004.8046875"/>
    <d v="2025-04-23T00:00:00"/>
    <n v="20.5"/>
    <s v="TIENDAS"/>
    <s v="TIENDAS"/>
    <s v="Nuevo Pre-aprobado"/>
    <n v="202504"/>
    <n v="96004.800000000003"/>
    <s v="B36289"/>
    <x v="81"/>
    <s v="B13988"/>
    <x v="8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.2208"/>
    <s v="NULL"/>
    <s v="NULL"/>
  </r>
  <r>
    <x v="854"/>
    <x v="10"/>
    <n v="20513659769"/>
    <s v="GRUPO ABREX IMPORT EXPORT"/>
    <s v="."/>
    <n v="10266093"/>
    <s v="Nuevo Aprobado"/>
    <s v="B8770"/>
    <n v="30478.8671875"/>
    <d v="2025-03-12T00:00:00"/>
    <n v="20.5"/>
    <s v="TLV"/>
    <s v="TLV"/>
    <s v="Nuevo Aprobado EN"/>
    <n v="202503"/>
    <n v="72003.60000000000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55"/>
    <x v="6"/>
    <n v="10426788603"/>
    <s v="HUAMAN REYES ANA ROSA"/>
    <n v="42678860"/>
    <n v="10259292"/>
    <s v="Impulso Mixto"/>
    <s v="B12363"/>
    <n v="34814.64453125"/>
    <d v="2024-08-21T00:00:00"/>
    <n v="14.5"/>
    <s v="TLV"/>
    <s v="TLV"/>
    <s v="Impulso MyPeru Comercial"/>
    <n v="202408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56"/>
    <x v="7"/>
    <n v="20600177118"/>
    <s v="EMPRESA DE TRANSPORTES SANTA CRUZ DE OYO"/>
    <s v="."/>
    <n v="10271156"/>
    <s v="Nuevo Aprobado Ágil"/>
    <s v="B45440"/>
    <n v="151585.984375"/>
    <d v="2025-09-09T00:00:00"/>
    <n v="17"/>
    <s v="TLV"/>
    <s v="VENDORS"/>
    <s v="Nuevo Aprobado Agil"/>
    <n v="202509"/>
    <n v="170008.5"/>
    <s v="B45440"/>
    <x v="73"/>
    <s v="B45083"/>
    <x v="7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57"/>
    <x v="1"/>
    <n v="20600767888"/>
    <s v="LINCOLN CONTRATISTAS GENERALES"/>
    <s v="."/>
    <n v="10271960"/>
    <s v="Nuevo Aprobado"/>
    <s v="B46503"/>
    <n v="89513.7890625"/>
    <d v="2025-09-30T00:00:00"/>
    <n v="15"/>
    <s v="TLV"/>
    <s v="VENDORS"/>
    <s v="Nuevo Aprobado EN"/>
    <n v="202509"/>
    <n v="150007.5"/>
    <s v="B46503"/>
    <x v="1"/>
    <s v="B13988"/>
    <x v="1"/>
    <x v="1"/>
    <x v="0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858"/>
    <x v="10"/>
    <n v="10701762393"/>
    <s v="ROJAS ZAPATA CESAR LUIS"/>
    <n v="70176239"/>
    <n v="10269370"/>
    <s v="Nuevo Aprobado"/>
    <s v="B44900"/>
    <n v="96775.7109375"/>
    <d v="2025-07-11T00:00:00"/>
    <n v="20"/>
    <s v="TLV"/>
    <s v="TLV"/>
    <s v="Nuevo Aprobado EN"/>
    <n v="202507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59"/>
    <x v="12"/>
    <n v="20601906814"/>
    <s v="PALAIS COCKTAIL SAC"/>
    <s v="."/>
    <n v="10240456"/>
    <s v="GIRO DE LINEA"/>
    <s v="B45439"/>
    <n v="69418.953125"/>
    <d v="2025-04-29T00:00:00"/>
    <n v="19.68"/>
    <s v="TIENDAS VIRTUALES"/>
    <s v="TIENDAS VIRTUALES"/>
    <s v="Giro de Línea"/>
    <n v="202504"/>
    <n v="75003.75"/>
    <s v="B45439"/>
    <x v="29"/>
    <s v="B45083"/>
    <x v="7"/>
    <x v="1"/>
    <x v="2"/>
    <s v="P1"/>
    <s v="NULL"/>
    <n v="1"/>
    <x v="0"/>
    <n v="0"/>
    <n v="1"/>
    <n v="1"/>
    <x v="0"/>
    <n v="0"/>
    <s v="NULL"/>
    <s v="NULL"/>
    <s v="NULL"/>
    <s v="NULL"/>
    <s v="NULL"/>
    <n v="1"/>
    <n v="0.2293"/>
    <s v="NULL"/>
    <s v="NULL"/>
    <s v="NULL"/>
  </r>
  <r>
    <x v="860"/>
    <x v="5"/>
    <n v="10107398282"/>
    <s v="CORTEZ CHAVEZ ROLANDO DAVID"/>
    <n v="10739828"/>
    <n v="10265560"/>
    <s v="Nuevo Aprobado"/>
    <s v="B20846"/>
    <n v="19283.587890625"/>
    <d v="2025-02-21T00:00:00"/>
    <n v="18.5"/>
    <s v="TLV"/>
    <s v="TLV"/>
    <s v="Nuevo Aprobado EN"/>
    <n v="202502"/>
    <n v="30001.5"/>
    <s v="NULL"/>
    <x v="2"/>
    <s v="NULL"/>
    <x v="2"/>
    <x v="4"/>
    <x v="2"/>
    <s v="P2"/>
    <s v="C3"/>
    <n v="1"/>
    <x v="1"/>
    <n v="0"/>
    <n v="0"/>
    <n v="0"/>
    <x v="2"/>
    <n v="0"/>
    <s v="NULL"/>
    <s v="NULL"/>
    <s v="NULL"/>
    <s v="NULL"/>
    <s v="NULL"/>
    <n v="46500"/>
    <n v="0.27"/>
    <n v="0.25"/>
    <s v="NULL"/>
    <s v="NULL"/>
  </r>
  <r>
    <x v="861"/>
    <x v="8"/>
    <n v="20600298489"/>
    <s v="INVERSIONES FERIA DE LIBROS S.A.C."/>
    <s v="."/>
    <n v="10265877"/>
    <s v="Nuevo Aprobado Ágil"/>
    <s v="B45389"/>
    <n v="54784.1796875"/>
    <d v="2025-02-28T00:00:00"/>
    <n v="18.5"/>
    <s v="TLV"/>
    <s v="VENDORS"/>
    <s v="Nuevo Aprobado Agil"/>
    <n v="202502"/>
    <n v="90704.5"/>
    <s v="B45389"/>
    <x v="16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1638"/>
    <s v="NULL"/>
    <s v="NULL"/>
    <s v="NULL"/>
  </r>
  <r>
    <x v="862"/>
    <x v="2"/>
    <n v="10421249895"/>
    <s v="SALDAÑA TELLO JOSE ULICES"/>
    <n v="42124989"/>
    <n v="10266135"/>
    <s v="CDD APROBADO"/>
    <s v="B45374"/>
    <n v="60694.00390625"/>
    <d v="2025-03-13T00:00:00"/>
    <n v="15"/>
    <s v="TLV"/>
    <s v="TLV"/>
    <s v="Nuevo Aprobado Agil CD"/>
    <n v="202503"/>
    <n v="100976"/>
    <s v="B45374"/>
    <x v="21"/>
    <s v="B45384"/>
    <x v="6"/>
    <x v="4"/>
    <x v="2"/>
    <s v="P2"/>
    <s v="NULL"/>
    <n v="1"/>
    <x v="1"/>
    <n v="0"/>
    <n v="0"/>
    <n v="0"/>
    <x v="0"/>
    <n v="0"/>
    <s v="NULL"/>
    <s v="NULL"/>
    <s v="NULL"/>
    <s v="NULL"/>
    <s v="NULL"/>
    <n v="200000"/>
    <n v="0.22"/>
    <n v="0.20130000000000001"/>
    <s v="NULL"/>
    <s v="NULL"/>
  </r>
  <r>
    <x v="863"/>
    <x v="11"/>
    <n v="20600234693"/>
    <s v="SMART &amp; BEST ALL"/>
    <s v="."/>
    <n v="10264845"/>
    <s v="Nuevo Aprobado"/>
    <s v="BPECND"/>
    <n v="90627.7421875"/>
    <d v="2025-01-28T00:00:00"/>
    <n v="20"/>
    <s v="TLV"/>
    <s v="TLV"/>
    <s v="Nuevo Aprobado EN"/>
    <n v="202501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64"/>
    <x v="11"/>
    <n v="20549186409"/>
    <s v="INSTITUCION EDUCATIVA PRIVADA SANTA ANA"/>
    <s v="."/>
    <n v="10219272"/>
    <s v="Nuevo pre Aprobado"/>
    <s v="B28664"/>
    <n v="34780.3085937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65"/>
    <x v="5"/>
    <n v="20601517559"/>
    <s v="JALL MOTOR S"/>
    <s v="."/>
    <n v="10160769"/>
    <s v="GIRO DE LINEA"/>
    <s v="B30637"/>
    <n v="11625.6103515625"/>
    <s v="NULL"/>
    <s v="NULL"/>
    <s v="NULL"/>
    <s v="NULL"/>
    <s v="NULL"/>
    <s v="NULL"/>
    <s v="NULL"/>
    <s v="B30637"/>
    <x v="12"/>
    <s v="B14530"/>
    <x v="5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66"/>
    <x v="10"/>
    <n v="20609345994"/>
    <s v="TRANSPORTE HERMANOS ANDIAS"/>
    <s v="."/>
    <n v="10274247"/>
    <s v="CRECER COFIDE"/>
    <s v="BPECND"/>
    <n v="59404.234375"/>
    <s v="NULL"/>
    <s v="NULL"/>
    <s v="NULL"/>
    <s v="NULL"/>
    <s v="NULL"/>
    <s v="NULL"/>
    <s v="NULL"/>
    <s v="NULL"/>
    <x v="2"/>
    <s v="NULL"/>
    <x v="2"/>
    <x v="12"/>
    <x v="3"/>
    <s v="P1"/>
    <s v="C2"/>
    <n v="1"/>
    <x v="0"/>
    <n v="0"/>
    <n v="0"/>
    <n v="1"/>
    <x v="1"/>
    <n v="0"/>
    <s v="NULL"/>
    <s v="NULL"/>
    <s v="NULL"/>
    <s v="NULL"/>
    <s v="NULL"/>
    <s v="NULL"/>
    <s v="NULL"/>
    <s v="NULL"/>
    <s v="TLV C"/>
    <s v="POOL TRANSACCIONAL"/>
  </r>
  <r>
    <x v="867"/>
    <x v="4"/>
    <n v="20600884141"/>
    <s v="INVERSIONES &amp; SERVICIOS INDUSTRIALES"/>
    <s v="."/>
    <n v="10157166"/>
    <s v="GIRO DE LINEA"/>
    <s v="B25972"/>
    <n v="38202.0078125"/>
    <s v="NULL"/>
    <s v="NULL"/>
    <s v="NULL"/>
    <s v="NULL"/>
    <s v="NULL"/>
    <s v="NULL"/>
    <s v="NULL"/>
    <s v="B25972"/>
    <x v="55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954386760"/>
    <n v="0"/>
    <n v="0"/>
    <s v="NULL"/>
    <s v="NULL"/>
  </r>
  <r>
    <x v="868"/>
    <x v="6"/>
    <n v="20600657861"/>
    <s v="GNC ENERGIA Y PROYECTOS"/>
    <s v="."/>
    <n v="10206451"/>
    <s v="Reactiva"/>
    <s v="B27880"/>
    <n v="19776.48828125"/>
    <s v="NULL"/>
    <s v="NULL"/>
    <s v="NULL"/>
    <s v="NULL"/>
    <s v="NULL"/>
    <s v="NULL"/>
    <s v="NULL"/>
    <s v="B27880"/>
    <x v="6"/>
    <s v="B14821"/>
    <x v="3"/>
    <x v="1"/>
    <x v="0"/>
    <s v="P1"/>
    <s v="NULL"/>
    <n v="1"/>
    <x v="0"/>
    <n v="0"/>
    <n v="1"/>
    <n v="1"/>
    <x v="0"/>
    <n v="0"/>
    <s v="NULL"/>
    <s v="NULL"/>
    <s v="NULL"/>
    <s v="NULL"/>
    <s v="NULL"/>
    <n v="1"/>
    <n v="1"/>
    <s v="NULL"/>
    <s v="NULL"/>
    <s v="NULL"/>
  </r>
  <r>
    <x v="869"/>
    <x v="0"/>
    <n v="20602620051"/>
    <s v="F &amp; D TRANSPORT BUSINESS"/>
    <s v="."/>
    <n v="10268192"/>
    <s v="CDD APROBADO"/>
    <s v="B45374"/>
    <n v="190919.015625"/>
    <d v="2025-05-27T00:00:00"/>
    <n v="15"/>
    <s v="TLV"/>
    <s v="TLV"/>
    <s v="Nuevo Aprobado Agil CD"/>
    <n v="202505"/>
    <n v="300015"/>
    <s v="B45374"/>
    <x v="21"/>
    <s v="B45384"/>
    <x v="6"/>
    <x v="4"/>
    <x v="2"/>
    <s v="P1"/>
    <s v="C1_2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870"/>
    <x v="7"/>
    <n v="20606742348"/>
    <s v="INDUSTRIA MELAMINICA DEL NORTE S.A.C."/>
    <s v="."/>
    <n v="10266860"/>
    <s v="Nuevo Aprobado"/>
    <s v="B44120"/>
    <n v="81860.0234375"/>
    <d v="2025-04-03T00:00:00"/>
    <n v="17"/>
    <s v="TIENDAS"/>
    <s v="TIENDAS"/>
    <s v="Nuevo Pre-aprobado"/>
    <n v="202504"/>
    <n v="128006.3999999999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71"/>
    <x v="10"/>
    <n v="10443238579"/>
    <s v="QUISPE ROJAS CARLOS"/>
    <n v="44323857"/>
    <n v="10267866"/>
    <s v="Ágil Recurrente CEM"/>
    <s v="B30094"/>
    <n v="166210.484375"/>
    <d v="2025-05-16T00:00:00"/>
    <n v="17.5"/>
    <s v="TIENDAS"/>
    <s v="VENDORS"/>
    <s v="Recurrente Ágil CEM"/>
    <n v="202505"/>
    <n v="250012.5"/>
    <s v="B30094"/>
    <x v="48"/>
    <s v="B34489"/>
    <x v="4"/>
    <x v="7"/>
    <x v="0"/>
    <s v="P1"/>
    <s v="C3"/>
    <n v="1"/>
    <x v="1"/>
    <n v="0"/>
    <n v="0"/>
    <n v="0"/>
    <x v="0"/>
    <n v="0"/>
    <s v="NULL"/>
    <s v="NULL"/>
    <s v="NULL"/>
    <s v="NULL"/>
    <s v="NULL"/>
    <n v="61000"/>
    <n v="0.19"/>
    <n v="0.17"/>
    <s v="NULL"/>
    <s v="NULL"/>
  </r>
  <r>
    <x v="872"/>
    <x v="10"/>
    <n v="20607299944"/>
    <s v="GRUPO CONSORCIO VETERINARIO S.A.C."/>
    <s v="."/>
    <n v="10266267"/>
    <s v="Recurrente Aprobado"/>
    <s v="B46727"/>
    <n v="17894.765625"/>
    <d v="2025-03-18T00:00:00"/>
    <n v="16.5"/>
    <s v="TIENDAS"/>
    <s v="TIENDAS"/>
    <s v="Recurrente Ágil CEM"/>
    <n v="202503"/>
    <n v="200010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73"/>
    <x v="5"/>
    <n v="20605549447"/>
    <s v="LEGA DISTRIBUCIONES S.A.C."/>
    <s v="."/>
    <n v="10264638"/>
    <s v="Nuevo Aprobado"/>
    <s v="B45079"/>
    <n v="42416.65625"/>
    <d v="2025-01-20T00:00:00"/>
    <n v="20"/>
    <s v="TLV"/>
    <s v="TLV"/>
    <s v="Nuevo Aprobado EN"/>
    <n v="202501"/>
    <n v="72003.600000000006"/>
    <s v="B45079"/>
    <x v="17"/>
    <s v="B45083"/>
    <x v="7"/>
    <x v="1"/>
    <x v="2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74"/>
    <x v="12"/>
    <n v="20513873841"/>
    <s v="PROVEMAX"/>
    <s v="."/>
    <n v="10255694"/>
    <s v="Impulso CDI Cobertura"/>
    <s v="B36289"/>
    <n v="79566.28125"/>
    <d v="2024-06-20T00:00:00"/>
    <n v="15.3"/>
    <s v="TIENDAS"/>
    <s v="TIENDAS"/>
    <s v="Impulso MyPeru Comercial"/>
    <n v="202406"/>
    <n v="102505.1"/>
    <s v="B36289"/>
    <x v="81"/>
    <s v="B13988"/>
    <x v="8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233"/>
    <s v="NULL"/>
    <s v="NULL"/>
    <s v="NULL"/>
  </r>
  <r>
    <x v="875"/>
    <x v="6"/>
    <n v="20551769063"/>
    <s v="PERNOS TUERCAS &amp; TERCOS"/>
    <s v="."/>
    <n v="10167666"/>
    <s v="GIRO DE LINEA"/>
    <s v="B22846"/>
    <n v="124367.3671875"/>
    <d v="2024-12-27T00:00:00"/>
    <n v="17"/>
    <s v="TIENDAS"/>
    <s v="TIENDAS"/>
    <s v="Giro de Línea"/>
    <n v="202412"/>
    <n v="200010"/>
    <s v="B22846"/>
    <x v="47"/>
    <s v="B13988"/>
    <x v="8"/>
    <x v="4"/>
    <x v="0"/>
    <s v="P1"/>
    <s v="NULL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876"/>
    <x v="8"/>
    <n v="20606096021"/>
    <s v="GRUPO INTECC PERU S.A.C."/>
    <s v="."/>
    <n v="10247167"/>
    <s v="Ágil Recurrente CEM"/>
    <s v="B33503"/>
    <n v="42704.42578125"/>
    <d v="2024-01-12T00:00:00"/>
    <n v="19.5"/>
    <s v="TIENDAS"/>
    <s v="TIENDAS"/>
    <s v="Recurrente Ágil CEM"/>
    <n v="202401"/>
    <n v="102115.64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77"/>
    <x v="5"/>
    <n v="10100337156"/>
    <s v="VALLEJOS VALLEJOS REYNA"/>
    <n v="10033715"/>
    <n v="10249027"/>
    <s v="Impulso Mixto"/>
    <s v="BPECND"/>
    <n v="14724.8408203125"/>
    <d v="2024-03-11T00:00:00"/>
    <n v="14.6"/>
    <s v="TLV"/>
    <s v="TLV"/>
    <s v="Impulso MyPeru Comercial"/>
    <n v="202403"/>
    <n v="90004.5"/>
    <s v="B43714"/>
    <x v="64"/>
    <s v="B14821"/>
    <x v="3"/>
    <x v="4"/>
    <x v="0"/>
    <s v="P2"/>
    <s v="C3"/>
    <n v="1"/>
    <x v="0"/>
    <n v="0"/>
    <n v="1"/>
    <n v="1"/>
    <x v="2"/>
    <n v="0"/>
    <s v="NULL"/>
    <s v="NULL"/>
    <s v="NULL"/>
    <s v="NULL"/>
    <s v="NULL"/>
    <n v="300000"/>
    <n v="0.21"/>
    <n v="0.19"/>
    <s v="NULL"/>
    <s v="NULL"/>
  </r>
  <r>
    <x v="427"/>
    <x v="8"/>
    <n v="20563333554"/>
    <s v="ACUMULADORES PERUANOS CCD"/>
    <s v="."/>
    <n v="10245194"/>
    <s v="Ágil Recurrente CEM"/>
    <s v="B36289"/>
    <n v="11775.568359375"/>
    <d v="2023-10-26T00:00:00"/>
    <n v="17.5"/>
    <s v="TIENDAS"/>
    <s v="TIENDAS"/>
    <s v="Recurrente Ágil CEM"/>
    <n v="202310"/>
    <n v="250012.5"/>
    <s v="B36289"/>
    <x v="81"/>
    <s v="B13988"/>
    <x v="8"/>
    <x v="7"/>
    <x v="0"/>
    <s v="P1"/>
    <s v="NULL"/>
    <n v="1"/>
    <x v="0"/>
    <n v="0"/>
    <n v="0"/>
    <n v="1"/>
    <x v="0"/>
    <n v="0"/>
    <s v="NULL"/>
    <s v="NULL"/>
    <s v="NULL"/>
    <s v="NULL"/>
    <s v="NULL"/>
    <n v="82000"/>
    <n v="0.19"/>
    <n v="0.17"/>
    <s v="NULL"/>
    <s v="NULL"/>
  </r>
  <r>
    <x v="63"/>
    <x v="6"/>
    <n v="20600748735"/>
    <s v="USA MEDIC PERU"/>
    <s v="."/>
    <n v="10251777"/>
    <s v="Impulso Mixto"/>
    <s v="B36574"/>
    <n v="160015.15625"/>
    <d v="2024-04-26T00:00:00"/>
    <n v="14"/>
    <s v="TIENDAS"/>
    <s v="TIENDAS"/>
    <s v="Impulso MyPeru Comercial"/>
    <n v="202404"/>
    <n v="30001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78"/>
    <x v="6"/>
    <n v="20549367373"/>
    <s v="BONG SPEC"/>
    <s v="."/>
    <n v="10257720"/>
    <s v="Impulso Mixto"/>
    <s v="B45439"/>
    <n v="59181.265625"/>
    <d v="2024-07-24T00:00:00"/>
    <n v="15"/>
    <s v="TIENDAS"/>
    <s v="TIENDAS"/>
    <s v="Impulso MyPeru Comercial"/>
    <n v="202407"/>
    <n v="90004.5"/>
    <s v="B45439"/>
    <x v="29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79"/>
    <x v="3"/>
    <n v="20602379206"/>
    <s v="SERVICIOS ANTBER"/>
    <s v="."/>
    <n v="10249717"/>
    <s v="Impulso Solo"/>
    <s v="B37395"/>
    <n v="73327.1015625"/>
    <d v="2024-03-21T00:00:00"/>
    <n v="15"/>
    <s v="TIENDAS"/>
    <s v="TIENDAS"/>
    <s v="Impulso MyPeru Comercial"/>
    <n v="202403"/>
    <n v="90004.5"/>
    <s v="B37395"/>
    <x v="66"/>
    <s v="B14821"/>
    <x v="3"/>
    <x v="1"/>
    <x v="0"/>
    <s v="P1"/>
    <s v="NULL"/>
    <n v="1"/>
    <x v="1"/>
    <n v="0"/>
    <n v="0"/>
    <n v="0"/>
    <x v="2"/>
    <n v="0"/>
    <s v="NULL"/>
    <s v="NULL"/>
    <s v="NULL"/>
    <s v="NULL"/>
    <s v="NULL"/>
    <n v="997456911"/>
    <n v="0"/>
    <n v="0"/>
    <s v="NULL"/>
    <s v="NULL"/>
  </r>
  <r>
    <x v="880"/>
    <x v="7"/>
    <n v="20558660237"/>
    <s v="LE MONDE MAQUINARIAS"/>
    <s v="."/>
    <n v="10253587"/>
    <s v="Impulso Mixto"/>
    <s v="B44900"/>
    <n v="3767.1005859375"/>
    <d v="2024-05-27T00:00:00"/>
    <n v="16"/>
    <s v="TIENDAS"/>
    <s v="TIENDAS"/>
    <s v="Impulso MyPeru Comercial"/>
    <n v="202405"/>
    <n v="90004.5"/>
    <s v="B44900"/>
    <x v="19"/>
    <s v="B34489"/>
    <x v="4"/>
    <x v="4"/>
    <x v="0"/>
    <s v="P1"/>
    <s v="C2"/>
    <n v="1"/>
    <x v="0"/>
    <n v="0"/>
    <n v="0"/>
    <n v="1"/>
    <x v="0"/>
    <n v="0"/>
    <s v="NULL"/>
    <s v="NULL"/>
    <s v="NULL"/>
    <s v="NULL"/>
    <s v="NULL"/>
    <n v="400000"/>
    <n v="0.21"/>
    <n v="0.19"/>
    <s v="NULL"/>
    <s v="NULL"/>
  </r>
  <r>
    <x v="881"/>
    <x v="6"/>
    <n v="10247129249"/>
    <s v="CAHUANTICO ALANOCA DANIEL"/>
    <n v="24712924"/>
    <n v="10253307"/>
    <s v="Impulso Mixto"/>
    <s v="B13559"/>
    <n v="19018.361328125"/>
    <d v="2024-05-21T00:00:00"/>
    <n v="14.9"/>
    <s v="TLV"/>
    <s v="TLV"/>
    <s v="Impulso MyPeru Comercial"/>
    <n v="202405"/>
    <n v="33001.65"/>
    <s v="NULL"/>
    <x v="2"/>
    <s v="NULL"/>
    <x v="2"/>
    <x v="4"/>
    <x v="2"/>
    <s v="P2"/>
    <s v="NULL"/>
    <n v="1"/>
    <x v="0"/>
    <n v="0"/>
    <n v="0"/>
    <n v="1"/>
    <x v="2"/>
    <n v="0"/>
    <s v="NULL"/>
    <s v="NULL"/>
    <s v="NULL"/>
    <s v="NULL"/>
    <s v="NULL"/>
    <n v="200000"/>
    <n v="0.23"/>
    <n v="0.21"/>
    <s v="NULL"/>
    <s v="NULL"/>
  </r>
  <r>
    <x v="882"/>
    <x v="1"/>
    <n v="20600930436"/>
    <s v="REPRESENTACIONES SELENY"/>
    <s v="."/>
    <n v="10274952"/>
    <s v="Nuevo Aprobado Ágil"/>
    <s v="B34489"/>
    <n v="66603.3046875"/>
    <d v="2026-01-26T00:00:00"/>
    <n v="19"/>
    <s v="TIENDAS"/>
    <s v="TIENDAS"/>
    <s v="Nuevo Aprobado Agil"/>
    <n v="202601"/>
    <n v="66603.3"/>
    <s v="B44900"/>
    <x v="19"/>
    <s v="B34489"/>
    <x v="4"/>
    <x v="16"/>
    <x v="0"/>
    <s v="P1"/>
    <s v="C3"/>
    <n v="1"/>
    <x v="0"/>
    <n v="1"/>
    <n v="1"/>
    <n v="1"/>
    <x v="2"/>
    <n v="66603.3"/>
    <n v="19"/>
    <d v="2026-01-26T00:00:00"/>
    <s v="Nuevo Aprobado Agil"/>
    <s v="TIENDAS"/>
    <s v="CAPITAL DE TRABAJO"/>
    <s v="NULL"/>
    <s v="NULL"/>
    <s v="NULL"/>
    <s v="NULL"/>
    <s v="NULL"/>
  </r>
  <r>
    <x v="883"/>
    <x v="6"/>
    <n v="20540014010"/>
    <s v="JYC SOLUCIONES EN REDES INFORMATICAS"/>
    <s v="."/>
    <n v="10249612"/>
    <s v="Impulso Solo"/>
    <s v="B45750"/>
    <n v="44236.328125"/>
    <d v="2024-03-19T00:00:00"/>
    <n v="14"/>
    <s v="TIENDAS"/>
    <s v="TIENDAS"/>
    <s v="Impulso MyPeru Comercial"/>
    <n v="202403"/>
    <n v="90004.5"/>
    <s v="B45750"/>
    <x v="5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84"/>
    <x v="3"/>
    <n v="20382248831"/>
    <s v="ESTRATEGIA Y GESTION COMERCIAL SOCIEDAD"/>
    <s v="."/>
    <n v="10248238"/>
    <s v="Nuevo Aprobado"/>
    <s v="BPECND"/>
    <n v="17514.84765625"/>
    <d v="2024-02-20T00:00:00"/>
    <n v="18.200001"/>
    <s v="TLV"/>
    <s v="TLV"/>
    <s v="NULL"/>
    <n v="202402"/>
    <n v="35001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61"/>
    <x v="8"/>
    <n v="20557233629"/>
    <s v="C Y N SERVICIOS GENERALES"/>
    <s v="."/>
    <n v="10248341"/>
    <s v="Impulso Solo"/>
    <s v="B45631"/>
    <n v="82695.171875"/>
    <d v="2024-02-22T00:00:00"/>
    <n v="14.5"/>
    <s v="TIENDAS"/>
    <s v="TIENDAS"/>
    <s v="Impulso MyPeru Comercial"/>
    <n v="202402"/>
    <n v="55395.65"/>
    <s v="B45631"/>
    <x v="54"/>
    <s v="B27274"/>
    <x v="0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0380000000000001"/>
    <s v="NULL"/>
    <s v="NULL"/>
    <s v="NULL"/>
  </r>
  <r>
    <x v="885"/>
    <x v="12"/>
    <n v="20605441077"/>
    <s v="ACVET PERU"/>
    <s v="."/>
    <n v="10248655"/>
    <s v="Nuevo Aprobado"/>
    <s v="B24783"/>
    <n v="13501.041015625"/>
    <d v="2024-02-28T00:00:00"/>
    <n v="20.299999"/>
    <s v="TLV"/>
    <s v="TLV"/>
    <s v="NULL"/>
    <n v="202402"/>
    <n v="72003.600000000006"/>
    <s v="B24783"/>
    <x v="24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4829999999999999"/>
    <n v="0"/>
    <s v="NULL"/>
    <s v="NULL"/>
  </r>
  <r>
    <x v="886"/>
    <x v="0"/>
    <n v="20600445708"/>
    <s v="CORPORACIÓN V &amp; R SERVICIOS DIVERSOS E.I"/>
    <s v="."/>
    <n v="10266721"/>
    <s v="Nuevo NO BANK"/>
    <s v="B45440"/>
    <n v="16238.0771484375"/>
    <d v="2025-03-28T00:00:00"/>
    <n v="21"/>
    <s v="TLV"/>
    <s v="TLV"/>
    <s v="Nuevo Aprobado EN"/>
    <n v="202503"/>
    <n v="27301.35"/>
    <s v="B45440"/>
    <x v="73"/>
    <s v="B45083"/>
    <x v="7"/>
    <x v="0"/>
    <x v="2"/>
    <s v="P1"/>
    <s v="C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793"/>
    <x v="2"/>
    <n v="20547236018"/>
    <s v="ALM SOLUTIONS TECNOLOGIAS DE INFORMACION"/>
    <s v="."/>
    <n v="10267408"/>
    <s v="GIRO DE LINEA"/>
    <s v="B45439"/>
    <n v="78292.328125"/>
    <d v="2026-01-08T00:00:00"/>
    <n v="16"/>
    <s v="TIENDAS VIRTUALES"/>
    <s v="TIENDAS VIRTUALES"/>
    <s v="Giro de Línea"/>
    <n v="202601"/>
    <n v="54002.7"/>
    <s v="B45079"/>
    <x v="17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1973"/>
    <s v="NULL"/>
    <s v="NULL"/>
    <s v="NULL"/>
  </r>
  <r>
    <x v="887"/>
    <x v="10"/>
    <n v="20487502490"/>
    <s v="NEGOCIOS Y SERVICIOS GENERALES DAFER S.A"/>
    <s v="."/>
    <n v="10274081"/>
    <s v="CDD APROBADO"/>
    <s v="BPECND"/>
    <n v="112520.390625"/>
    <d v="2025-12-19T00:00:00"/>
    <n v="14"/>
    <s v="TLV"/>
    <s v="TLV"/>
    <s v="Nuevo Aprobado Agil CD"/>
    <n v="202512"/>
    <n v="121006.05"/>
    <s v="NULL"/>
    <x v="2"/>
    <s v="NULL"/>
    <x v="2"/>
    <x v="12"/>
    <x v="3"/>
    <s v="P1"/>
    <s v="C1_2"/>
    <n v="1"/>
    <x v="0"/>
    <n v="0"/>
    <n v="0"/>
    <n v="0"/>
    <x v="1"/>
    <n v="0"/>
    <s v="NULL"/>
    <s v="NULL"/>
    <s v="NULL"/>
    <s v="NULL"/>
    <s v="NULL"/>
    <s v="NULL"/>
    <s v="NULL"/>
    <s v="NULL"/>
    <s v="TLV C"/>
    <s v="POOL TRANSACCIONAL"/>
  </r>
  <r>
    <x v="888"/>
    <x v="10"/>
    <n v="20608221671"/>
    <s v="JNK CORPORATIVO"/>
    <s v="."/>
    <n v="10265525"/>
    <s v="CDD APROBADO"/>
    <s v="B46727"/>
    <n v="175596.546875"/>
    <d v="2025-02-20T00:00:00"/>
    <n v="14"/>
    <s v="TLV"/>
    <s v="TLV"/>
    <s v="Nuevo Aprobado Agil CD"/>
    <n v="202502"/>
    <n v="2471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89"/>
    <x v="3"/>
    <n v="20608366483"/>
    <s v="BELLUM ASESORES S.A.C."/>
    <s v="."/>
    <n v="10266297"/>
    <s v="CDD APROBADO"/>
    <s v="BPECND"/>
    <n v="87289.34375"/>
    <d v="2025-03-18T00:00:00"/>
    <n v="17.5"/>
    <s v="TLV"/>
    <s v="TLV"/>
    <s v="Nuevo Aprobado Agil CD"/>
    <n v="202503"/>
    <n v="87289.35"/>
    <s v="B28994"/>
    <x v="97"/>
    <s v="B17470"/>
    <x v="13"/>
    <x v="15"/>
    <x v="3"/>
    <s v="P1"/>
    <s v="NULL"/>
    <n v="1"/>
    <x v="0"/>
    <n v="1"/>
    <n v="1"/>
    <n v="1"/>
    <x v="1"/>
    <n v="87289.35"/>
    <n v="17.5"/>
    <d v="2025-03-18T00:00:00"/>
    <s v="Nuevo Aprobado Agil CD"/>
    <s v="TLV"/>
    <s v="COMPRA DE DEUDA"/>
    <n v="91000"/>
    <n v="0.20499999999999999"/>
    <n v="0.185"/>
    <s v="TLV B"/>
    <s v="COMPRA DEUDA"/>
  </r>
  <r>
    <x v="890"/>
    <x v="8"/>
    <n v="20604809755"/>
    <s v="NEWROAD GLOBAL INVESTING"/>
    <s v="."/>
    <n v="10264491"/>
    <s v="Nuevo Aprobado Ágil"/>
    <s v="B45440"/>
    <n v="36988.03125"/>
    <d v="2025-01-09T00:00:00"/>
    <n v="18.200001"/>
    <s v="TLV"/>
    <s v="TLV"/>
    <s v="Nuevo Aprobado EN"/>
    <n v="202501"/>
    <n v="59102.95"/>
    <s v="B45440"/>
    <x v="73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0380000000000001"/>
    <s v="NULL"/>
    <s v="NULL"/>
    <s v="NULL"/>
  </r>
  <r>
    <x v="891"/>
    <x v="0"/>
    <n v="10402243738"/>
    <s v="YUCRA QUILLUYA CIPRIANO LORENZO"/>
    <n v="40224373"/>
    <n v="10267742"/>
    <s v="CDD APROBADO"/>
    <s v="B14327"/>
    <n v="59302.60546875"/>
    <d v="2025-05-13T00:00:00"/>
    <n v="29.5"/>
    <s v="TLV"/>
    <s v="TLV"/>
    <s v="Nuevo Aprobado Agil CD"/>
    <n v="202505"/>
    <n v="77881.850000000006"/>
    <s v="B14327"/>
    <x v="49"/>
    <s v="B27274"/>
    <x v="0"/>
    <x v="4"/>
    <x v="0"/>
    <s v="P1"/>
    <s v="C3"/>
    <n v="1"/>
    <x v="0"/>
    <n v="0"/>
    <n v="0"/>
    <n v="1"/>
    <x v="0"/>
    <n v="0"/>
    <s v="NULL"/>
    <s v="NULL"/>
    <s v="NULL"/>
    <s v="NULL"/>
    <s v="NULL"/>
    <n v="200000"/>
    <n v="0.2442"/>
    <n v="0.22420000000000001"/>
    <s v="NULL"/>
    <s v="NULL"/>
  </r>
  <r>
    <x v="892"/>
    <x v="12"/>
    <n v="20542040191"/>
    <s v="IMPORTACIONES AGROVETERINARIAS JR &amp; JL"/>
    <s v="."/>
    <n v="10266500"/>
    <s v="Recurrente Aprobado"/>
    <s v="B28007"/>
    <n v="114208"/>
    <d v="2025-03-25T00:00:00"/>
    <n v="17"/>
    <s v="TIENDAS"/>
    <s v="TIENDAS"/>
    <s v="Recurrente Aprobado"/>
    <n v="202503"/>
    <n v="95198.14"/>
    <s v="B28007"/>
    <x v="20"/>
    <s v="B13988"/>
    <x v="8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0430000000000001"/>
    <s v="NULL"/>
    <s v="NULL"/>
    <s v="NULL"/>
  </r>
  <r>
    <x v="893"/>
    <x v="2"/>
    <n v="10772198537"/>
    <s v="OSORIO HUAMAN NELSON FERNANDO"/>
    <n v="77219853"/>
    <n v="10251382"/>
    <s v="Impulso CDI Cobertura"/>
    <s v="B33958"/>
    <n v="55756.98828125"/>
    <d v="2024-04-23T00:00:00"/>
    <n v="16"/>
    <s v="TIENDAS"/>
    <s v="TIENDAS"/>
    <s v="Impulso MyPeru Comercial"/>
    <n v="202404"/>
    <n v="90004.5"/>
    <s v="B37981"/>
    <x v="4"/>
    <s v="B34489"/>
    <x v="4"/>
    <x v="4"/>
    <x v="0"/>
    <s v="P2"/>
    <s v="NULL"/>
    <n v="1"/>
    <x v="1"/>
    <n v="0"/>
    <n v="0"/>
    <n v="0"/>
    <x v="2"/>
    <n v="0"/>
    <s v="NULL"/>
    <s v="NULL"/>
    <s v="NULL"/>
    <s v="NULL"/>
    <s v="NULL"/>
    <n v="300000"/>
    <n v="0.21"/>
    <n v="0.19"/>
    <s v="NULL"/>
    <s v="NULL"/>
  </r>
  <r>
    <x v="893"/>
    <x v="2"/>
    <n v="10772198537"/>
    <s v="OSORIO HUAMAN NELSON FERNANDO"/>
    <n v="77219853"/>
    <n v="10251382"/>
    <s v="Impulso CDI Cobertura"/>
    <s v="B33958"/>
    <n v="55756.98828125"/>
    <d v="2024-04-23T00:00:00"/>
    <n v="16"/>
    <s v="TIENDAS"/>
    <s v="TIENDAS"/>
    <s v="Impulso MyPeru Comercial"/>
    <n v="202404"/>
    <n v="90004.5"/>
    <s v="B37981"/>
    <x v="2"/>
    <s v="NULL"/>
    <x v="2"/>
    <x v="4"/>
    <x v="2"/>
    <s v="P2"/>
    <s v="NULL"/>
    <n v="1"/>
    <x v="1"/>
    <n v="0"/>
    <n v="0"/>
    <n v="0"/>
    <x v="2"/>
    <n v="0"/>
    <s v="NULL"/>
    <s v="NULL"/>
    <s v="NULL"/>
    <s v="NULL"/>
    <s v="NULL"/>
    <n v="300000"/>
    <n v="0.21"/>
    <n v="0.19"/>
    <s v="NULL"/>
    <s v="NULL"/>
  </r>
  <r>
    <x v="894"/>
    <x v="4"/>
    <n v="10471955910"/>
    <s v="SANTIAGO QUISPE GRAYZIE FIORELLA"/>
    <n v="47195591"/>
    <n v="10240178"/>
    <s v="Nuevo Aprobado"/>
    <s v="B33958"/>
    <n v="11186.94140625"/>
    <d v="2023-06-19T00:00:00"/>
    <n v="24.1"/>
    <s v="TLV"/>
    <s v="TLV"/>
    <s v="NULL"/>
    <n v="202306"/>
    <n v="56002.8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95"/>
    <x v="6"/>
    <n v="10464873274"/>
    <s v="CCORISE QUISPE RAMIRO"/>
    <n v="46487327"/>
    <n v="10268387"/>
    <s v="Nuevo Aprobado"/>
    <s v="B45373"/>
    <n v="52547.53515625"/>
    <d v="2025-05-30T00:00:00"/>
    <n v="17"/>
    <s v="TLV"/>
    <s v="TLV"/>
    <s v="Nuevo Aprobado EN"/>
    <n v="202505"/>
    <n v="70003.5"/>
    <s v="B45373"/>
    <x v="13"/>
    <s v="B45384"/>
    <x v="6"/>
    <x v="4"/>
    <x v="2"/>
    <s v="P1"/>
    <s v="NULL"/>
    <n v="1"/>
    <x v="1"/>
    <n v="0"/>
    <n v="0"/>
    <n v="0"/>
    <x v="0"/>
    <n v="0"/>
    <s v="NULL"/>
    <s v="NULL"/>
    <s v="NULL"/>
    <s v="NULL"/>
    <s v="NULL"/>
    <n v="300000"/>
    <n v="0.2447"/>
    <n v="0.22470000000000001"/>
    <s v="NULL"/>
    <s v="NULL"/>
  </r>
  <r>
    <x v="896"/>
    <x v="8"/>
    <n v="10267029127"/>
    <s v="PEREZ ALVARADO ARMANDO"/>
    <n v="26702912"/>
    <n v="10265115"/>
    <s v="CDD APROBADO"/>
    <s v="B38063"/>
    <n v="34705.58203125"/>
    <d v="2025-01-31T00:00:00"/>
    <n v="15"/>
    <s v="TLV"/>
    <s v="TLV"/>
    <s v="Nuevo Aprobado Agil CD"/>
    <n v="202501"/>
    <n v="42573.3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97"/>
    <x v="6"/>
    <n v="20610203851"/>
    <s v="ARMISHTOP SOCIEDAD COMERCIAL DE RESPONSA"/>
    <s v="."/>
    <n v="10267462"/>
    <s v="Nuevo NO BANK"/>
    <s v="B45373"/>
    <n v="14676.9970703125"/>
    <d v="2025-04-29T00:00:00"/>
    <n v="26"/>
    <s v="TLV"/>
    <s v="TLV"/>
    <s v="Nuevo Aprobado EN"/>
    <n v="202504"/>
    <n v="50002.5"/>
    <s v="B45373"/>
    <x v="13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898"/>
    <x v="5"/>
    <n v="20611288701"/>
    <s v="JJ KALO M28"/>
    <s v="."/>
    <n v="10268055"/>
    <s v="Nuevo NO BANK"/>
    <s v="BPECND"/>
    <n v="59899.10546875"/>
    <d v="2025-05-22T00:00:00"/>
    <n v="19.100000000000001"/>
    <s v="TLV"/>
    <s v="TLV"/>
    <s v="Nuevo Aprobado EN"/>
    <n v="202505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99"/>
    <x v="11"/>
    <n v="20600233018"/>
    <s v="DISTRIBUCIONES ELVISUR EMPRESA INDIVIDUA"/>
    <s v="."/>
    <n v="10266189"/>
    <s v="CDD APROBADO"/>
    <s v="BPECND"/>
    <n v="116497.390625"/>
    <d v="2025-03-14T00:00:00"/>
    <n v="14"/>
    <s v="TLV"/>
    <s v="TLV"/>
    <s v="Nuevo Aprobado Agil CD"/>
    <n v="202503"/>
    <n v="122711.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00"/>
    <x v="8"/>
    <n v="20454155387"/>
    <s v="FERRETERIA OLGER"/>
    <s v="."/>
    <n v="10172714"/>
    <s v="GIRO DE LINEA"/>
    <s v="B45440"/>
    <n v="47249.0390625"/>
    <d v="2026-02-18T00:00:00"/>
    <n v="17.5"/>
    <s v="TIENDAS"/>
    <s v="TIENDAS"/>
    <s v="Giro de Línea"/>
    <n v="202602"/>
    <n v="89004.45"/>
    <s v="B45440"/>
    <x v="73"/>
    <s v="B45083"/>
    <x v="7"/>
    <x v="14"/>
    <x v="2"/>
    <s v="P1"/>
    <s v="NULL"/>
    <n v="1"/>
    <x v="0"/>
    <n v="0"/>
    <n v="1"/>
    <n v="1"/>
    <x v="0"/>
    <n v="0"/>
    <s v="NULL"/>
    <s v="NULL"/>
    <s v="NULL"/>
    <s v="NULL"/>
    <s v="NULL"/>
    <n v="89000"/>
    <n v="0.23"/>
    <n v="0.21379999999999999"/>
    <s v="NULL"/>
    <s v="NULL"/>
  </r>
  <r>
    <x v="901"/>
    <x v="10"/>
    <n v="20513707089"/>
    <s v="MONTACARGAS ANGEL"/>
    <s v="."/>
    <n v="10274039"/>
    <s v="Nuevo Aprobado Ágil"/>
    <s v="B27274"/>
    <n v="119737.3671875"/>
    <d v="2025-12-18T00:00:00"/>
    <n v="19"/>
    <s v="TIENDAS"/>
    <s v="TIENDAS"/>
    <s v="Nuevo Aprobado Agil"/>
    <n v="202512"/>
    <n v="128806.3999999999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02"/>
    <x v="9"/>
    <n v="20602329063"/>
    <s v="HAPURO SOCIEDAD ANONIMA CERRADA - HAPURO"/>
    <s v="."/>
    <n v="10265683"/>
    <s v="Nuevo Aprobado"/>
    <s v="B45373"/>
    <n v="90398.5390625"/>
    <d v="2025-02-25T00:00:00"/>
    <n v="20"/>
    <s v="TIENDAS"/>
    <s v="TIENDAS"/>
    <s v="Nuevo Pre-aprobado"/>
    <n v="202502"/>
    <n v="100005"/>
    <s v="B45373"/>
    <x v="68"/>
    <s v="B45384"/>
    <x v="6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117"/>
    <x v="3"/>
    <n v="20514431362"/>
    <s v="CGI CONTRATISTAS GENERALES S.A.C."/>
    <s v="."/>
    <n v="10265991"/>
    <s v="Nuevo Aprobado Ágil"/>
    <s v="BPECND"/>
    <n v="150007.484375"/>
    <d v="2025-03-06T00:00:00"/>
    <n v="17"/>
    <s v="TLV"/>
    <s v="TLV"/>
    <s v="Nuevo Aprobado Agil"/>
    <n v="202503"/>
    <n v="150007.5"/>
    <s v="B31010"/>
    <x v="98"/>
    <s v="B14058"/>
    <x v="11"/>
    <x v="16"/>
    <x v="3"/>
    <s v="P1"/>
    <s v="NULL"/>
    <n v="1"/>
    <x v="0"/>
    <n v="1"/>
    <n v="1"/>
    <n v="1"/>
    <x v="1"/>
    <n v="150007.5"/>
    <n v="17"/>
    <d v="2025-03-06T00:00:00"/>
    <s v="Nuevo Aprobado Agil"/>
    <s v="TLV"/>
    <s v="CAPITAL DE TRABAJO"/>
    <n v="150000"/>
    <n v="0.20499999999999999"/>
    <n v="0.185"/>
    <s v="TLV B"/>
    <s v="CAPITAL DE TRABAJO"/>
  </r>
  <r>
    <x v="903"/>
    <x v="5"/>
    <n v="20555725851"/>
    <s v="EUROPOL S.R.L."/>
    <s v="."/>
    <n v="10264446"/>
    <s v="Nuevo Aprobado"/>
    <s v="B45440"/>
    <n v="105463.609375"/>
    <d v="2025-01-06T00:00:00"/>
    <n v="18.200001"/>
    <s v="TLV"/>
    <s v="TLV"/>
    <s v="Nuevo Aprobado EN"/>
    <n v="202501"/>
    <n v="150007.5"/>
    <s v="B45440"/>
    <x v="73"/>
    <s v="B45083"/>
    <x v="7"/>
    <x v="4"/>
    <x v="2"/>
    <s v="P1"/>
    <s v="C1_1"/>
    <n v="1"/>
    <x v="0"/>
    <n v="0"/>
    <n v="0"/>
    <n v="1"/>
    <x v="0"/>
    <n v="0"/>
    <s v="NULL"/>
    <s v="NULL"/>
    <s v="NULL"/>
    <s v="NULL"/>
    <s v="NULL"/>
    <n v="400000"/>
    <n v="0.18"/>
    <n v="0.16"/>
    <s v="NULL"/>
    <s v="NULL"/>
  </r>
  <r>
    <x v="904"/>
    <x v="9"/>
    <n v="10091353364"/>
    <s v="FALCON MARTIN ROSARIO MAXIMA"/>
    <n v="9135336"/>
    <n v="10254373"/>
    <s v="Impulso Solo"/>
    <s v="B9574"/>
    <n v="52074.546875"/>
    <d v="2024-05-30T00:00:00"/>
    <n v="14.7"/>
    <s v="TLV"/>
    <s v="TLV"/>
    <s v="Impulso MyPeru Comercial"/>
    <n v="202405"/>
    <n v="64003.199999999997"/>
    <s v="B45077"/>
    <x v="34"/>
    <s v="B45083"/>
    <x v="7"/>
    <x v="4"/>
    <x v="2"/>
    <s v="P2"/>
    <s v="NULL"/>
    <n v="1"/>
    <x v="1"/>
    <n v="0"/>
    <n v="0"/>
    <n v="0"/>
    <x v="2"/>
    <n v="0"/>
    <s v="NULL"/>
    <s v="NULL"/>
    <s v="NULL"/>
    <s v="NULL"/>
    <s v="NULL"/>
    <n v="200000"/>
    <n v="0.23"/>
    <n v="0.20780000000000001"/>
    <s v="NULL"/>
    <s v="NULL"/>
  </r>
  <r>
    <x v="905"/>
    <x v="1"/>
    <n v="10180579961"/>
    <s v="MEJIA URIARTE ROGER JAVIER"/>
    <n v="18057996"/>
    <n v="10251534"/>
    <s v="Impulso CDI Cobertura"/>
    <s v="B36715"/>
    <n v="29677.6015625"/>
    <d v="2024-04-24T00:00:00"/>
    <n v="15"/>
    <s v="TLV"/>
    <s v="TLV"/>
    <s v="Impulso MyPeru Comercial"/>
    <n v="202404"/>
    <n v="72623.60000000000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73"/>
    <x v="10"/>
    <n v="20559822281"/>
    <s v="ASESORIA &amp; SERVICIOS GRAFICOS S.R.L."/>
    <s v="."/>
    <n v="10273677"/>
    <s v="Ágil Recurrente CEM"/>
    <s v="BPECND"/>
    <n v="46843.75"/>
    <d v="2025-12-01T00:00:00"/>
    <n v="19"/>
    <s v="TIENDAS"/>
    <s v="TIENDAS"/>
    <s v="Recurrente Ágil CEM"/>
    <n v="202512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06"/>
    <x v="0"/>
    <n v="20600345479"/>
    <s v="INVERSIONES IDEA MUEBLES"/>
    <s v="."/>
    <n v="10272723"/>
    <s v="Nuevo Aprobado"/>
    <s v="BPECND"/>
    <n v="95397.8828125"/>
    <d v="2025-10-30T00:00:00"/>
    <n v="16"/>
    <s v="TLV"/>
    <s v="TLV"/>
    <s v="Nuevo Aprobado EN"/>
    <n v="202510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07"/>
    <x v="10"/>
    <n v="20545288843"/>
    <s v="PERU RODOZ"/>
    <s v="."/>
    <n v="10262513"/>
    <s v="Impulso CDI Cobertura"/>
    <s v="B14821"/>
    <n v="59436.4765625"/>
    <d v="2024-11-12T00:00:00"/>
    <n v="16"/>
    <s v="TIENDAS"/>
    <s v="TIENDAS"/>
    <s v="Impulso MyPeru Comercial"/>
    <n v="202411"/>
    <n v="90004.5"/>
    <s v="B30973"/>
    <x v="11"/>
    <s v="B14821"/>
    <x v="3"/>
    <x v="7"/>
    <x v="0"/>
    <s v="P1"/>
    <s v="C2"/>
    <n v="1"/>
    <x v="1"/>
    <n v="0"/>
    <n v="0"/>
    <n v="0"/>
    <x v="0"/>
    <n v="0"/>
    <s v="NULL"/>
    <s v="NULL"/>
    <s v="NULL"/>
    <s v="NULL"/>
    <s v="NULL"/>
    <n v="124000"/>
    <n v="0.19"/>
    <n v="0.17"/>
    <s v="NULL"/>
    <s v="NULL"/>
  </r>
  <r>
    <x v="582"/>
    <x v="0"/>
    <n v="20515479261"/>
    <s v="NET CONSULTORES"/>
    <s v="."/>
    <n v="10272819"/>
    <s v="Ágil Recurrente CEM"/>
    <s v="B45389"/>
    <n v="55393.05078125"/>
    <d v="2025-10-31T00:00:00"/>
    <n v="18"/>
    <s v="TIENDAS VIRTUALES"/>
    <s v="TIENDAS VIRTUALES"/>
    <s v="Recurrente Ágil CEM"/>
    <n v="202510"/>
    <n v="60003"/>
    <s v="B45389"/>
    <x v="16"/>
    <s v="B45384"/>
    <x v="6"/>
    <x v="0"/>
    <x v="2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57"/>
    <x v="7"/>
    <n v="20552831765"/>
    <s v="INVERSIONES &amp; PROYECTOS LUDAM"/>
    <s v="."/>
    <n v="10271616"/>
    <s v="Ágil Recurrente CEM"/>
    <s v="B28007"/>
    <n v="93166.3125"/>
    <d v="2025-09-23T00:00:00"/>
    <n v="20"/>
    <s v="TIENDAS"/>
    <s v="TIENDAS"/>
    <s v="Recurrente Ágil CEM"/>
    <n v="202509"/>
    <n v="100005"/>
    <s v="B28007"/>
    <x v="20"/>
    <s v="B13988"/>
    <x v="8"/>
    <x v="1"/>
    <x v="0"/>
    <s v="P1"/>
    <s v="C2"/>
    <n v="1"/>
    <x v="0"/>
    <n v="0"/>
    <n v="1"/>
    <n v="1"/>
    <x v="0"/>
    <n v="0"/>
    <s v="NULL"/>
    <s v="NULL"/>
    <s v="NULL"/>
    <s v="NULL"/>
    <s v="NULL"/>
    <n v="1"/>
    <n v="1"/>
    <s v="NULL"/>
    <s v="NULL"/>
    <s v="NULL"/>
  </r>
  <r>
    <x v="908"/>
    <x v="0"/>
    <n v="20600925611"/>
    <s v="CERAMICOS A&amp;T HERMANOS"/>
    <s v="."/>
    <n v="10269960"/>
    <s v="Nuevo pre Aprobado"/>
    <s v="B27880"/>
    <n v="301651"/>
    <d v="2025-07-25T00:00:00"/>
    <n v="15"/>
    <s v="TIENDAS"/>
    <s v="TIENDAS"/>
    <s v="Nuevo Pre-aprobado"/>
    <n v="202507"/>
    <n v="350017.5"/>
    <s v="B27880"/>
    <x v="6"/>
    <s v="B14821"/>
    <x v="3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909"/>
    <x v="0"/>
    <n v="10430839875"/>
    <s v="QUISPE MERINO HAROL DAVID"/>
    <n v="43083987"/>
    <n v="10265157"/>
    <s v="Nuevo Aprobado Ágil"/>
    <s v="B45386"/>
    <n v="28663.251953125"/>
    <d v="2025-02-06T00:00:00"/>
    <n v="18.5"/>
    <s v="TLV"/>
    <s v="TLV"/>
    <s v="Nuevo Aprobado Agil"/>
    <n v="202502"/>
    <n v="60003"/>
    <s v="B45386"/>
    <x v="27"/>
    <s v="B45384"/>
    <x v="6"/>
    <x v="7"/>
    <x v="2"/>
    <s v="P1"/>
    <s v="C3"/>
    <n v="1"/>
    <x v="0"/>
    <n v="0"/>
    <n v="0"/>
    <n v="1"/>
    <x v="0"/>
    <n v="0"/>
    <s v="NULL"/>
    <s v="NULL"/>
    <s v="NULL"/>
    <s v="NULL"/>
    <s v="NULL"/>
    <n v="45000"/>
    <n v="0.21920000000000001"/>
    <n v="0.19919999999999999"/>
    <s v="NULL"/>
    <s v="NULL"/>
  </r>
  <r>
    <x v="576"/>
    <x v="6"/>
    <n v="10215258926"/>
    <s v="HUAMANI PACHECO WALTER ANDRES"/>
    <n v="21525892"/>
    <n v="10269213"/>
    <s v="Recurrente Aprobado"/>
    <s v="B45374"/>
    <n v="96961.859375"/>
    <d v="2025-06-30T00:00:00"/>
    <n v="25.99"/>
    <s v="TIENDAS VIRTUALES"/>
    <s v="TIENDAS VIRTUALES"/>
    <s v="Recurrente Aprobado"/>
    <n v="202506"/>
    <n v="120006"/>
    <s v="B45374"/>
    <x v="21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910"/>
    <x v="6"/>
    <n v="20541247832"/>
    <s v="CARDIORED"/>
    <s v="."/>
    <n v="10267221"/>
    <s v="CDD APROBADO"/>
    <s v="B45750"/>
    <n v="74878.8671875"/>
    <d v="2025-04-22T00:00:00"/>
    <n v="14"/>
    <s v="TLV"/>
    <s v="TLV"/>
    <s v="Nuevo Aprobado Agil CD"/>
    <n v="202504"/>
    <n v="215910.75"/>
    <s v="B45750"/>
    <x v="5"/>
    <s v="B14530"/>
    <x v="5"/>
    <x v="4"/>
    <x v="0"/>
    <s v="P1"/>
    <s v="NULL"/>
    <n v="1"/>
    <x v="1"/>
    <n v="0"/>
    <n v="0"/>
    <n v="0"/>
    <x v="0"/>
    <n v="0"/>
    <s v="NULL"/>
    <s v="NULL"/>
    <s v="NULL"/>
    <s v="NULL"/>
    <s v="NULL"/>
    <n v="130000"/>
    <n v="0.26169999999999999"/>
    <n v="0.2417"/>
    <s v="NULL"/>
    <s v="NULL"/>
  </r>
  <r>
    <x v="702"/>
    <x v="2"/>
    <n v="10083195628"/>
    <s v="ORTIZ ROLDAN BENEDICTA"/>
    <n v="8319562"/>
    <n v="10265783"/>
    <s v="Ágil Recurrente CEM"/>
    <s v="B14534"/>
    <n v="53194.25390625"/>
    <d v="2025-02-27T00:00:00"/>
    <n v="26.58"/>
    <s v="TIENDAS"/>
    <s v="TIENDAS"/>
    <s v="Recurrente Ágil CEM"/>
    <n v="202502"/>
    <n v="70003.5"/>
    <s v="B14534"/>
    <x v="22"/>
    <s v="B14530"/>
    <x v="5"/>
    <x v="4"/>
    <x v="0"/>
    <s v="P3"/>
    <s v="NULL"/>
    <n v="1"/>
    <x v="0"/>
    <n v="1"/>
    <n v="1"/>
    <n v="1"/>
    <x v="0"/>
    <n v="50002.5"/>
    <n v="23.33"/>
    <d v="2025-08-05T00:00:00"/>
    <s v="Recurrente Ágil CEM"/>
    <s v="TIENDAS"/>
    <s v="CAPITAL DE TRABAJO"/>
    <n v="50000"/>
    <n v="0.25"/>
    <n v="0.23330000000000001"/>
    <s v="NULL"/>
    <s v="NULL"/>
  </r>
  <r>
    <x v="911"/>
    <x v="0"/>
    <n v="20568032382"/>
    <s v="MEZAKY MOTORS"/>
    <s v="."/>
    <n v="10266198"/>
    <s v="CDD APROBADO"/>
    <s v="B45076"/>
    <n v="16806.22265625"/>
    <d v="2025-03-14T00:00:00"/>
    <n v="14"/>
    <s v="TLV"/>
    <s v="TLV"/>
    <s v="Nuevo Aprobado Agil CD"/>
    <n v="202503"/>
    <n v="64003.199999999997"/>
    <s v="B45076"/>
    <x v="18"/>
    <s v="B45083"/>
    <x v="7"/>
    <x v="4"/>
    <x v="2"/>
    <s v="P1"/>
    <s v="C2"/>
    <n v="1"/>
    <x v="0"/>
    <n v="0"/>
    <n v="1"/>
    <n v="1"/>
    <x v="0"/>
    <n v="0"/>
    <s v="NULL"/>
    <s v="NULL"/>
    <s v="NULL"/>
    <s v="NULL"/>
    <s v="NULL"/>
    <n v="250000"/>
    <n v="0.21"/>
    <n v="0.19"/>
    <s v="NULL"/>
    <s v="NULL"/>
  </r>
  <r>
    <x v="912"/>
    <x v="6"/>
    <n v="20603865198"/>
    <s v="DARYS LOGISTICS"/>
    <s v="."/>
    <n v="10269132"/>
    <s v="Nuevo Aprobado"/>
    <s v="B45374"/>
    <n v="85419.125"/>
    <d v="2025-06-27T00:00:00"/>
    <n v="18"/>
    <s v="TLV"/>
    <s v="VENDORS"/>
    <s v="Nuevo Aprobado EN"/>
    <n v="202506"/>
    <n v="100005"/>
    <s v="B45374"/>
    <x v="21"/>
    <s v="B45384"/>
    <x v="6"/>
    <x v="4"/>
    <x v="2"/>
    <s v="P1"/>
    <s v="NULL"/>
    <n v="1"/>
    <x v="0"/>
    <n v="0"/>
    <n v="1"/>
    <n v="1"/>
    <x v="0"/>
    <n v="0"/>
    <s v="NULL"/>
    <s v="NULL"/>
    <s v="NULL"/>
    <s v="NULL"/>
    <s v="NULL"/>
    <n v="100000"/>
    <n v="0.26169999999999999"/>
    <n v="0.2417"/>
    <s v="NULL"/>
    <s v="NULL"/>
  </r>
  <r>
    <x v="913"/>
    <x v="5"/>
    <n v="10703657708"/>
    <s v="RAMIREZ CHOQUE DIANA CAROLINA"/>
    <n v="70365770"/>
    <n v="10267686"/>
    <s v="Nuevo Aprobado"/>
    <s v="B14513"/>
    <n v="56107.9921875"/>
    <d v="2025-05-09T00:00:00"/>
    <n v="19.600000000000001"/>
    <s v="TLV"/>
    <s v="TLV"/>
    <s v="Nuevo Aprobado EN"/>
    <n v="202505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14"/>
    <x v="9"/>
    <n v="10761269581"/>
    <s v="DE LA CRUZ GARCIA DAMER HUGO"/>
    <n v="76126958"/>
    <n v="10264466"/>
    <s v="Nuevo Aprobado"/>
    <s v="B33958"/>
    <n v="33596.703125"/>
    <d v="2025-01-08T00:00:00"/>
    <n v="19.200001"/>
    <s v="TLV"/>
    <s v="TLV"/>
    <s v="Nuevo Aprobado EN"/>
    <n v="202501"/>
    <n v="42002.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15"/>
    <x v="2"/>
    <n v="20565459563"/>
    <s v="GRUPO CAVANI"/>
    <s v="."/>
    <n v="10264474"/>
    <s v="Nuevo Aprobado"/>
    <s v="B45389"/>
    <n v="50503.1328125"/>
    <d v="2025-01-08T00:00:00"/>
    <n v="24.200001"/>
    <s v="TLV"/>
    <s v="TLV"/>
    <s v="Nuevo Aprobado EN"/>
    <n v="202501"/>
    <n v="72003.600000000006"/>
    <s v="B45389"/>
    <x v="16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4329999999999999"/>
    <s v="NULL"/>
    <s v="NULL"/>
    <s v="NULL"/>
  </r>
  <r>
    <x v="916"/>
    <x v="6"/>
    <n v="20524748178"/>
    <s v="SE IMPORTADORES"/>
    <s v="."/>
    <n v="10155241"/>
    <s v="GIRO DE LINEA"/>
    <s v="B46504"/>
    <n v="118591.3203125"/>
    <d v="2025-01-29T00:00:00"/>
    <n v="15"/>
    <s v="TIENDAS"/>
    <s v="TIENDAS"/>
    <s v="Giro de Línea"/>
    <n v="202501"/>
    <n v="180009"/>
    <s v="B46504"/>
    <x v="0"/>
    <s v="B27274"/>
    <x v="0"/>
    <x v="4"/>
    <x v="0"/>
    <s v="P1"/>
    <s v="NULL"/>
    <n v="1"/>
    <x v="0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917"/>
    <x v="2"/>
    <n v="10449217531"/>
    <s v="MAYHUA TAIPE FRANCISCA"/>
    <n v="44921753"/>
    <n v="10270768"/>
    <s v="Nuevo Aprobado Ágil"/>
    <s v="BPECND"/>
    <n v="60002.984375"/>
    <d v="2025-08-27T00:00:00"/>
    <n v="18"/>
    <s v="TLV"/>
    <s v="TLV"/>
    <s v="Nuevo Aprobado Agil"/>
    <n v="202508"/>
    <n v="60003"/>
    <s v="B31010"/>
    <x v="98"/>
    <s v="B14058"/>
    <x v="11"/>
    <x v="16"/>
    <x v="3"/>
    <s v="P2"/>
    <s v="NULL"/>
    <n v="1"/>
    <x v="0"/>
    <n v="1"/>
    <n v="1"/>
    <n v="1"/>
    <x v="1"/>
    <n v="60003"/>
    <n v="18"/>
    <d v="2025-08-27T00:00:00"/>
    <s v="Nuevo Aprobado Agil"/>
    <s v="TLV"/>
    <s v="CAPITAL DE TRABAJO"/>
    <n v="60000"/>
    <n v="0.23699999999999999"/>
    <n v="0.217"/>
    <s v="TLV B"/>
    <s v="CAPITAL DE TRABAJO"/>
  </r>
  <r>
    <x v="918"/>
    <x v="5"/>
    <n v="10720013415"/>
    <s v="GUARDIA RIVADENEIRA VICTOR DAVID"/>
    <n v="72001341"/>
    <n v="10271702"/>
    <s v="Nuevo Aprobado"/>
    <s v="B33958"/>
    <n v="20001.009765625"/>
    <d v="2025-09-24T00:00:00"/>
    <n v="19"/>
    <s v="TLV"/>
    <s v="TLV"/>
    <s v="Nuevo Aprobado EN"/>
    <n v="202509"/>
    <n v="20001"/>
    <s v="B39500"/>
    <x v="99"/>
    <s v="B28616"/>
    <x v="12"/>
    <x v="17"/>
    <x v="3"/>
    <s v="P3"/>
    <s v="C3"/>
    <n v="1"/>
    <x v="0"/>
    <n v="1"/>
    <n v="1"/>
    <n v="1"/>
    <x v="1"/>
    <n v="20001"/>
    <n v="19"/>
    <d v="2025-09-24T00:00:00"/>
    <s v="Nuevo Aprobado EN"/>
    <s v="TLV"/>
    <s v="CAPITAL DE TRABAJO"/>
    <n v="150000"/>
    <n v="0.27900000000000003"/>
    <n v="0.25900000000000001"/>
    <s v="TLV B"/>
    <s v="CAPITAL DE TRABAJO"/>
  </r>
  <r>
    <x v="919"/>
    <x v="8"/>
    <n v="20543690776"/>
    <s v="IMPORT &amp; EXPORT ISABEL FASHION"/>
    <s v="."/>
    <n v="10264894"/>
    <s v="GIRO DE LINEA"/>
    <s v="B30114"/>
    <n v="112691.8828125"/>
    <d v="2025-01-28T00:00:00"/>
    <n v="20.329999999999998"/>
    <s v="TIENDAS"/>
    <s v="TIENDAS"/>
    <s v="Recurrente Ágil CEM"/>
    <n v="202501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20"/>
    <x v="0"/>
    <n v="10714405549"/>
    <s v="VASQUEZ VALLES PIERO EDUARDO"/>
    <n v="71440554"/>
    <n v="10261885"/>
    <s v="Impulso Solo"/>
    <s v="B45389"/>
    <n v="62888.1328125"/>
    <d v="2024-10-22T00:00:00"/>
    <n v="15.5"/>
    <s v="TIENDAS"/>
    <s v="TIENDAS"/>
    <s v="Impulso MyPeru Comercial"/>
    <n v="202410"/>
    <n v="90004.5"/>
    <s v="B45389"/>
    <x v="16"/>
    <s v="B45384"/>
    <x v="6"/>
    <x v="4"/>
    <x v="2"/>
    <s v="P2"/>
    <s v="C3"/>
    <n v="1"/>
    <x v="1"/>
    <n v="0"/>
    <n v="0"/>
    <n v="0"/>
    <x v="0"/>
    <n v="0"/>
    <s v="NULL"/>
    <s v="NULL"/>
    <s v="NULL"/>
    <s v="NULL"/>
    <s v="NULL"/>
    <n v="300000"/>
    <n v="0.21"/>
    <n v="0.19"/>
    <s v="NULL"/>
    <s v="NULL"/>
  </r>
  <r>
    <x v="921"/>
    <x v="7"/>
    <n v="10437954718"/>
    <s v="CRUZ CAMPOS PEDRO JOSUE"/>
    <n v="43795471"/>
    <n v="10259284"/>
    <s v="Impulso Mixto"/>
    <s v="B22846"/>
    <n v="59269.40234375"/>
    <d v="2024-08-21T00:00:00"/>
    <n v="15.5"/>
    <s v="TLV"/>
    <s v="TLV"/>
    <s v="Impulso MyPeru Comercial"/>
    <n v="202408"/>
    <n v="90004.5"/>
    <s v="B22846"/>
    <x v="47"/>
    <s v="B13988"/>
    <x v="8"/>
    <x v="1"/>
    <x v="0"/>
    <s v="P2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922"/>
    <x v="0"/>
    <n v="10770149156"/>
    <s v="HERNANDEZ QUINTANILLA JOSOHE DAVID"/>
    <n v="77014915"/>
    <n v="10259553"/>
    <s v="Impulso Solo"/>
    <s v="B37981"/>
    <n v="59295.171875"/>
    <d v="2024-08-26T00:00:00"/>
    <n v="15.5"/>
    <s v="TLV"/>
    <s v="TLV"/>
    <s v="Impulso MyPeru Comercial"/>
    <n v="202408"/>
    <n v="90004.5"/>
    <s v="B46527"/>
    <x v="75"/>
    <s v="B34489"/>
    <x v="4"/>
    <x v="0"/>
    <x v="0"/>
    <s v="P1"/>
    <s v="C3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907"/>
    <x v="10"/>
    <n v="20545288843"/>
    <s v="PERU RODOZ"/>
    <s v="."/>
    <n v="10176897"/>
    <s v="GIRO DE LINEA"/>
    <s v="B14821"/>
    <n v="2464.197265625"/>
    <d v="2024-04-22T00:00:00"/>
    <n v="14"/>
    <s v="TIENDAS"/>
    <s v="TIENDAS"/>
    <s v="Giro de Línea"/>
    <n v="202404"/>
    <n v="168008.4"/>
    <s v="B30973"/>
    <x v="11"/>
    <s v="B14821"/>
    <x v="3"/>
    <x v="7"/>
    <x v="0"/>
    <s v="P1"/>
    <s v="C2"/>
    <n v="1"/>
    <x v="1"/>
    <n v="0"/>
    <n v="0"/>
    <n v="0"/>
    <x v="0"/>
    <n v="0"/>
    <s v="NULL"/>
    <s v="NULL"/>
    <s v="NULL"/>
    <s v="NULL"/>
    <s v="NULL"/>
    <n v="124000"/>
    <n v="0.19"/>
    <n v="0.17"/>
    <s v="NULL"/>
    <s v="NULL"/>
  </r>
  <r>
    <x v="923"/>
    <x v="7"/>
    <n v="10770630687"/>
    <s v="GUERRERO JIMENEZ KELEN MARIEL"/>
    <n v="77063068"/>
    <n v="10269951"/>
    <s v="Nuevo Aprobado"/>
    <s v="BPECND"/>
    <n v="42949.3828125"/>
    <d v="2025-07-25T00:00:00"/>
    <n v="22"/>
    <s v="TLV"/>
    <s v="TLV"/>
    <s v="Nuevo Aprobado EN"/>
    <n v="202507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24"/>
    <x v="4"/>
    <n v="10432005904"/>
    <s v="MOSQUERA REATEGUI JOHANNA PAOLA"/>
    <n v="43200590"/>
    <n v="10258731"/>
    <s v="Impulso Solo"/>
    <s v="B29768"/>
    <n v="22601.0859375"/>
    <d v="2024-08-09T00:00:00"/>
    <n v="15.5"/>
    <s v="TLV"/>
    <s v="TLV"/>
    <s v="Impulso MyPeru Comercial"/>
    <n v="202408"/>
    <n v="22601.1"/>
    <s v="B29768"/>
    <x v="32"/>
    <s v="B14530"/>
    <x v="5"/>
    <x v="1"/>
    <x v="0"/>
    <s v="P2"/>
    <s v="NULL"/>
    <n v="1"/>
    <x v="1"/>
    <n v="0"/>
    <n v="0"/>
    <n v="0"/>
    <x v="2"/>
    <n v="0"/>
    <s v="NULL"/>
    <s v="NULL"/>
    <s v="NULL"/>
    <s v="NULL"/>
    <s v="NULL"/>
    <n v="947478948"/>
    <n v="0"/>
    <n v="0"/>
    <s v="NULL"/>
    <s v="NULL"/>
  </r>
  <r>
    <x v="925"/>
    <x v="2"/>
    <n v="20601066816"/>
    <s v="GROUP DISPENSER S.A.C"/>
    <s v="."/>
    <n v="10267271"/>
    <s v="CDD APROBADO"/>
    <s v="B45440"/>
    <n v="115442.5625"/>
    <d v="2025-04-23T00:00:00"/>
    <n v="16"/>
    <s v="TLV"/>
    <s v="TLV"/>
    <s v="Nuevo Aprobado Agil CD"/>
    <n v="202504"/>
    <n v="157707.85"/>
    <s v="B45440"/>
    <x v="73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14230000000000001"/>
    <n v="0"/>
    <s v="NULL"/>
    <s v="NULL"/>
  </r>
  <r>
    <x v="926"/>
    <x v="5"/>
    <n v="20610023283"/>
    <s v="AUTOMOTRIZ CGM"/>
    <s v="."/>
    <n v="10266074"/>
    <s v="Nuevo NO BANK"/>
    <s v="BPECND"/>
    <n v="14023.345703125"/>
    <d v="2025-03-11T00:00:00"/>
    <n v="23"/>
    <s v="TLV"/>
    <s v="TLV"/>
    <s v="Nuevo Aprobado EN"/>
    <n v="202503"/>
    <n v="2000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27"/>
    <x v="12"/>
    <n v="20602475141"/>
    <s v="JS PERUMED E.I.R.L."/>
    <s v="."/>
    <n v="10266533"/>
    <s v="CDD APROBADO"/>
    <s v="B45080"/>
    <n v="110458.8515625"/>
    <d v="2025-03-25T00:00:00"/>
    <n v="15"/>
    <s v="TLV"/>
    <s v="TLV"/>
    <s v="Nuevo Aprobado Agil CD"/>
    <n v="202503"/>
    <n v="165987.75"/>
    <s v="B45080"/>
    <x v="100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1633"/>
    <s v="NULL"/>
    <s v="NULL"/>
    <s v="NULL"/>
  </r>
  <r>
    <x v="928"/>
    <x v="1"/>
    <n v="20601713706"/>
    <s v="SUNSHINE PERU TECHNOLOGY"/>
    <s v="."/>
    <n v="10264950"/>
    <s v="GIRO DE LINEA"/>
    <s v="B33503"/>
    <n v="22240.654296875"/>
    <d v="2025-01-29T00:00:00"/>
    <n v="15"/>
    <s v="TIENDAS"/>
    <s v="TIENDAS"/>
    <s v="Giro de Línea"/>
    <n v="202501"/>
    <n v="250012.5"/>
    <s v="B33503"/>
    <x v="10"/>
    <s v="B14821"/>
    <x v="3"/>
    <x v="1"/>
    <x v="0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929"/>
    <x v="7"/>
    <n v="10201188674"/>
    <s v="LUIS VASQUEZ PERCY"/>
    <n v="20118867"/>
    <n v="10265350"/>
    <s v="Nuevo Aprobado Ágil"/>
    <s v="B45385"/>
    <n v="25697.81640625"/>
    <d v="2025-02-14T00:00:00"/>
    <n v="18"/>
    <s v="TLV"/>
    <s v="TLV"/>
    <s v="Nuevo Aprobado Agil"/>
    <n v="202502"/>
    <n v="38601.9"/>
    <s v="B45385"/>
    <x v="63"/>
    <s v="B45384"/>
    <x v="6"/>
    <x v="1"/>
    <x v="2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930"/>
    <x v="2"/>
    <n v="10424330863"/>
    <s v="QUISPE GUTIERREZ YENNY MARLENY"/>
    <n v="42433086"/>
    <n v="10148589"/>
    <s v="GIRO DE LINEA"/>
    <s v="B34669"/>
    <n v="83116.96875"/>
    <d v="2025-01-10T00:00:00"/>
    <n v="16.7"/>
    <s v="TIENDAS"/>
    <s v="TIENDAS"/>
    <s v="Giro de Línea"/>
    <n v="202501"/>
    <n v="74157.7"/>
    <s v="B44900"/>
    <x v="19"/>
    <s v="B34489"/>
    <x v="4"/>
    <x v="4"/>
    <x v="0"/>
    <s v="P2"/>
    <s v="NULL"/>
    <n v="1"/>
    <x v="0"/>
    <n v="0"/>
    <n v="0"/>
    <n v="1"/>
    <x v="0"/>
    <n v="0"/>
    <s v="NULL"/>
    <s v="NULL"/>
    <s v="NULL"/>
    <s v="NULL"/>
    <s v="NULL"/>
    <n v="300000"/>
    <n v="0.21"/>
    <n v="0.19"/>
    <s v="NULL"/>
    <s v="NULL"/>
  </r>
  <r>
    <x v="931"/>
    <x v="8"/>
    <n v="20557931661"/>
    <s v="SOLUTION EL HUAYKY"/>
    <s v="."/>
    <n v="10269040"/>
    <s v="Nuevo Aprobado"/>
    <s v="BPECND"/>
    <n v="80004.015625"/>
    <d v="2025-06-25T00:00:00"/>
    <n v="18"/>
    <s v="TLV"/>
    <s v="TLV"/>
    <s v="Nuevo Aprobado EN"/>
    <n v="202506"/>
    <n v="80004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32"/>
    <x v="5"/>
    <n v="20607146331"/>
    <s v="K&amp; M SAFETY"/>
    <s v="."/>
    <n v="10269239"/>
    <s v="Ágil Recurrente CEM"/>
    <s v="B25939"/>
    <n v="307173.65625"/>
    <d v="2025-06-30T00:00:00"/>
    <n v="17"/>
    <s v="TIENDAS"/>
    <s v="TIENDAS"/>
    <s v="Recurrente Ágil CEM"/>
    <n v="202506"/>
    <n v="321347.46000000002"/>
    <s v="B25939"/>
    <x v="23"/>
    <s v="B13988"/>
    <x v="8"/>
    <x v="4"/>
    <x v="0"/>
    <s v="P1"/>
    <s v="C1_2"/>
    <n v="1"/>
    <x v="0"/>
    <n v="0"/>
    <n v="0"/>
    <n v="1"/>
    <x v="0"/>
    <n v="0"/>
    <s v="NULL"/>
    <s v="NULL"/>
    <s v="NULL"/>
    <s v="NULL"/>
    <s v="NULL"/>
    <n v="81000"/>
    <n v="0.21"/>
    <n v="0.19"/>
    <s v="NULL"/>
    <s v="NULL"/>
  </r>
  <r>
    <x v="933"/>
    <x v="6"/>
    <n v="20522585026"/>
    <s v="IMPRESIONES Y DISTRIBUCIONES VELMAR SOCI"/>
    <s v="."/>
    <n v="10267153"/>
    <s v="Nuevo NO BANK"/>
    <s v="BPECND"/>
    <n v="34855.6171875"/>
    <d v="2025-04-16T00:00:00"/>
    <n v="20"/>
    <s v="TLV"/>
    <s v="TLV"/>
    <s v="Nuevo Aprobado EN"/>
    <n v="202504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60"/>
    <x v="8"/>
    <n v="20546147054"/>
    <s v="DISPLAY INDUSTRIAL E.I.R.L"/>
    <s v="."/>
    <n v="10266304"/>
    <s v="Ágil Recurrente CEM"/>
    <s v="B27274"/>
    <n v="142990.828125"/>
    <d v="2025-03-19T00:00:00"/>
    <n v="18"/>
    <s v="TIENDAS"/>
    <s v="TIENDAS"/>
    <s v="Recurrente Ágil CEM"/>
    <n v="202503"/>
    <n v="166008.2999999999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34"/>
    <x v="7"/>
    <n v="10457536114"/>
    <s v="COA TURPO SAMUEL"/>
    <n v="45753611"/>
    <n v="10266591"/>
    <s v="Ágil Recurrente CEM"/>
    <s v="B45374"/>
    <n v="52722.24609375"/>
    <d v="2025-03-26T00:00:00"/>
    <n v="21.200001"/>
    <s v="TIENDAS"/>
    <s v="TIENDAS"/>
    <s v="Recurrente Ágil CEM"/>
    <n v="202503"/>
    <n v="66156.73"/>
    <s v="B45374"/>
    <x v="21"/>
    <s v="B45384"/>
    <x v="6"/>
    <x v="4"/>
    <x v="2"/>
    <s v="P1"/>
    <s v="C3"/>
    <n v="1"/>
    <x v="1"/>
    <n v="0"/>
    <n v="0"/>
    <n v="0"/>
    <x v="0"/>
    <n v="0"/>
    <s v="NULL"/>
    <s v="NULL"/>
    <s v="NULL"/>
    <s v="NULL"/>
    <s v="NULL"/>
    <n v="200000"/>
    <n v="0.23200000000000001"/>
    <n v="0.21199999999999999"/>
    <s v="NULL"/>
    <s v="NULL"/>
  </r>
  <r>
    <x v="935"/>
    <x v="8"/>
    <n v="20600501373"/>
    <s v="SERVICIOS Y VENTAS RED CAR E.I.R.L."/>
    <s v="."/>
    <n v="10262303"/>
    <s v="Ágil Recurrente CEM"/>
    <s v="B43714"/>
    <n v="140419.78125"/>
    <d v="2024-10-31T00:00:00"/>
    <n v="16.799999"/>
    <s v="TIENDAS"/>
    <s v="TIENDAS"/>
    <s v="Recurrente Ágil CEM"/>
    <n v="202410"/>
    <n v="200010"/>
    <s v="B43714"/>
    <x v="64"/>
    <s v="B14821"/>
    <x v="3"/>
    <x v="4"/>
    <x v="0"/>
    <s v="P1"/>
    <s v="NULL"/>
    <n v="1"/>
    <x v="0"/>
    <n v="0"/>
    <n v="0"/>
    <n v="0"/>
    <x v="0"/>
    <n v="0"/>
    <s v="NULL"/>
    <s v="NULL"/>
    <s v="NULL"/>
    <s v="NULL"/>
    <s v="NULL"/>
    <n v="10200"/>
    <n v="0.23"/>
    <n v="0.21"/>
    <s v="NULL"/>
    <s v="NULL"/>
  </r>
  <r>
    <x v="936"/>
    <x v="3"/>
    <n v="20602363687"/>
    <s v="FACMEC AVG EMPRESA INDIVIDUAL DE RESPONS"/>
    <s v="."/>
    <n v="10258901"/>
    <s v="Impulso Mixto"/>
    <s v="B33894"/>
    <n v="65772.8125"/>
    <d v="2024-08-14T00:00:00"/>
    <n v="15.5"/>
    <s v="TLV"/>
    <s v="TLV"/>
    <s v="Impulso MyPeru Comercial"/>
    <n v="202408"/>
    <n v="68303.399999999994"/>
    <s v="B33894"/>
    <x v="36"/>
    <s v="B34489"/>
    <x v="4"/>
    <x v="1"/>
    <x v="0"/>
    <s v="P1"/>
    <s v="NULL"/>
    <n v="1"/>
    <x v="1"/>
    <n v="0"/>
    <n v="0"/>
    <n v="0"/>
    <x v="2"/>
    <n v="0"/>
    <s v="NULL"/>
    <s v="NULL"/>
    <s v="NULL"/>
    <s v="NULL"/>
    <s v="NULL"/>
    <n v="953522280"/>
    <n v="0"/>
    <n v="0"/>
    <s v="NULL"/>
    <s v="NULL"/>
  </r>
  <r>
    <x v="937"/>
    <x v="7"/>
    <n v="20600738047"/>
    <s v="FREYDACH SOLUTION"/>
    <s v="."/>
    <n v="10269764"/>
    <s v="Nuevo Aprobado Ágil"/>
    <s v="B45373"/>
    <n v="116973.828125"/>
    <d v="2025-07-18T00:00:00"/>
    <n v="21"/>
    <s v="TLV"/>
    <s v="VENDORS"/>
    <s v="Nuevo Aprobado Agil"/>
    <n v="202507"/>
    <n v="170008.5"/>
    <s v="B45373"/>
    <x v="13"/>
    <s v="B45384"/>
    <x v="6"/>
    <x v="0"/>
    <x v="2"/>
    <s v="P1"/>
    <s v="C1_2"/>
    <n v="1"/>
    <x v="0"/>
    <n v="0"/>
    <n v="0"/>
    <n v="1"/>
    <x v="0"/>
    <n v="0"/>
    <s v="NULL"/>
    <s v="NULL"/>
    <s v="NULL"/>
    <s v="NULL"/>
    <s v="NULL"/>
    <n v="0"/>
    <n v="0"/>
    <n v="0"/>
    <s v="NULL"/>
    <s v="NULL"/>
  </r>
  <r>
    <x v="938"/>
    <x v="6"/>
    <n v="10195653661"/>
    <s v="ACOSTA ORUNA MARIA ELENA"/>
    <n v="19565366"/>
    <n v="10268331"/>
    <s v="CDD APROBADO"/>
    <s v="B45373"/>
    <n v="85714.4375"/>
    <d v="2025-05-30T00:00:00"/>
    <n v="17"/>
    <s v="TLV"/>
    <s v="TLV"/>
    <s v="Nuevo Aprobado Agil CD"/>
    <n v="202505"/>
    <n v="100055"/>
    <s v="B45373"/>
    <x v="13"/>
    <s v="B45384"/>
    <x v="6"/>
    <x v="4"/>
    <x v="2"/>
    <s v="P1"/>
    <s v="NULL"/>
    <n v="1"/>
    <x v="1"/>
    <n v="0"/>
    <n v="0"/>
    <n v="0"/>
    <x v="0"/>
    <n v="0"/>
    <s v="NULL"/>
    <s v="NULL"/>
    <s v="NULL"/>
    <s v="NULL"/>
    <s v="NULL"/>
    <n v="100000"/>
    <n v="0.30270000000000002"/>
    <n v="0.28270000000000001"/>
    <s v="NULL"/>
    <s v="NULL"/>
  </r>
  <r>
    <x v="939"/>
    <x v="0"/>
    <n v="20537533294"/>
    <s v="INVERSIONES &amp; SERVICIOS GENERALES ASFER"/>
    <s v="."/>
    <n v="10268657"/>
    <s v="Nuevo Aprobado"/>
    <s v="B45439"/>
    <n v="20881.1015625"/>
    <d v="2025-06-13T00:00:00"/>
    <n v="20"/>
    <s v="TLV"/>
    <s v="VENDORS"/>
    <s v="Nuevo Aprobado EN"/>
    <n v="202506"/>
    <n v="92926.6"/>
    <s v="B45439"/>
    <x v="29"/>
    <s v="B45083"/>
    <x v="7"/>
    <x v="0"/>
    <x v="2"/>
    <s v="P1"/>
    <s v="C1_1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940"/>
    <x v="2"/>
    <n v="20601266912"/>
    <s v="EMPRESA DE TRANSPORTES MARITZA"/>
    <s v="."/>
    <n v="10269108"/>
    <s v="Nuevo Aprobado Ágil"/>
    <s v="BPECND"/>
    <n v="111476.6875"/>
    <d v="2025-06-26T00:00:00"/>
    <n v="18"/>
    <s v="TLV"/>
    <s v="TLV"/>
    <s v="Nuevo Aprobado Agil"/>
    <n v="202506"/>
    <n v="12000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41"/>
    <x v="7"/>
    <n v="10296095741"/>
    <s v="MEDINA NEGRON ARTURO EDUARDO"/>
    <n v="29609574"/>
    <n v="10266862"/>
    <s v="CDD APROBADO"/>
    <s v="B33894"/>
    <n v="107281.9609375"/>
    <d v="2025-04-03T00:00:00"/>
    <n v="20"/>
    <s v="TLV"/>
    <s v="TLV"/>
    <s v="Nuevo Aprobado Agil CD"/>
    <n v="202504"/>
    <n v="156407.79999999999"/>
    <s v="B33894"/>
    <x v="36"/>
    <s v="B34489"/>
    <x v="4"/>
    <x v="4"/>
    <x v="0"/>
    <s v="P1"/>
    <s v="C3"/>
    <n v="1"/>
    <x v="1"/>
    <n v="0"/>
    <n v="0"/>
    <n v="0"/>
    <x v="0"/>
    <n v="0"/>
    <s v="NULL"/>
    <s v="NULL"/>
    <s v="NULL"/>
    <s v="NULL"/>
    <s v="NULL"/>
    <n v="200000"/>
    <n v="0.2288"/>
    <n v="0.20880000000000001"/>
    <s v="NULL"/>
    <s v="NULL"/>
  </r>
  <r>
    <x v="942"/>
    <x v="4"/>
    <n v="10447487671"/>
    <s v="GARCIA PEREZ ELFERES"/>
    <n v="44748767"/>
    <n v="10260770"/>
    <s v="Impulso Mixto"/>
    <s v="B12771"/>
    <n v="15581.765625"/>
    <d v="2024-09-25T00:00:00"/>
    <n v="14.8"/>
    <s v="TLV"/>
    <s v="TLV"/>
    <s v="Impulso MyPeru Comercial"/>
    <n v="202409"/>
    <n v="15581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43"/>
    <x v="0"/>
    <n v="20608669486"/>
    <s v="INVERSIONES JIMGOI E.I.R.L."/>
    <s v="."/>
    <n v="10258151"/>
    <s v="Impulso Solo"/>
    <s v="B45750"/>
    <n v="54803.984375"/>
    <d v="2024-07-30T00:00:00"/>
    <n v="15.5"/>
    <s v="TLV"/>
    <s v="TLV"/>
    <s v="Impulso MyPeru Comercial"/>
    <n v="202407"/>
    <n v="90004.5"/>
    <s v="B45750"/>
    <x v="5"/>
    <s v="B14530"/>
    <x v="5"/>
    <x v="7"/>
    <x v="0"/>
    <s v="P1"/>
    <s v="C2"/>
    <n v="1"/>
    <x v="1"/>
    <n v="0"/>
    <n v="0"/>
    <n v="0"/>
    <x v="0"/>
    <n v="0"/>
    <s v="NULL"/>
    <s v="NULL"/>
    <s v="NULL"/>
    <s v="NULL"/>
    <s v="NULL"/>
    <n v="40000"/>
    <n v="0.19"/>
    <n v="0.17"/>
    <s v="NULL"/>
    <s v="NULL"/>
  </r>
  <r>
    <x v="944"/>
    <x v="0"/>
    <n v="20604851735"/>
    <s v="AIRCOOL INGENIEROS ASOCIADOS"/>
    <s v="."/>
    <n v="10258250"/>
    <s v="Impulso Mixto"/>
    <s v="B45375"/>
    <n v="18097.681640625"/>
    <d v="2024-07-30T00:00:00"/>
    <n v="14.5"/>
    <s v="TLV"/>
    <s v="TLV"/>
    <s v="Impulso MyPeru Comercial"/>
    <n v="202407"/>
    <n v="30001.5"/>
    <s v="B45375"/>
    <x v="65"/>
    <s v="B45384"/>
    <x v="6"/>
    <x v="0"/>
    <x v="2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945"/>
    <x v="9"/>
    <n v="20606698632"/>
    <s v="DIDACTICOS YOCUSA M &amp; S"/>
    <s v="."/>
    <n v="10239584"/>
    <s v="Ágil Recurrente CEM"/>
    <s v="B28573"/>
    <n v="12378.0400390625"/>
    <d v="2023-06-09T00:00:00"/>
    <n v="20.100000000000001"/>
    <s v="TIENDAS"/>
    <s v="TIENDAS"/>
    <s v="Recurrente Ágil CEM"/>
    <n v="202306"/>
    <n v="250012.5"/>
    <s v="B28573"/>
    <x v="74"/>
    <s v="B13161"/>
    <x v="9"/>
    <x v="4"/>
    <x v="0"/>
    <s v="P1"/>
    <s v="NULL"/>
    <n v="1"/>
    <x v="0"/>
    <n v="0"/>
    <n v="1"/>
    <n v="1"/>
    <x v="2"/>
    <n v="0"/>
    <s v="NULL"/>
    <s v="NULL"/>
    <s v="NULL"/>
    <s v="NULL"/>
    <s v="NULL"/>
    <n v="400000"/>
    <n v="0.2"/>
    <n v="0.17780000000000001"/>
    <s v="NULL"/>
    <s v="NULL"/>
  </r>
  <r>
    <x v="80"/>
    <x v="10"/>
    <n v="20609450691"/>
    <s v="FRAMSA CONTRATISTAS GENERALES"/>
    <s v="."/>
    <n v="10255525"/>
    <s v="Impulso CDI Cobertura"/>
    <s v="B36343"/>
    <n v="2722.83374023438"/>
    <d v="2024-06-19T00:00:00"/>
    <n v="16.700001"/>
    <s v="TLV"/>
    <s v="TLV"/>
    <s v="Impulso MyPeru Comercial"/>
    <n v="202406"/>
    <n v="62823.1"/>
    <s v="B36343"/>
    <x v="40"/>
    <s v="B13161"/>
    <x v="9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946"/>
    <x v="4"/>
    <n v="20600834879"/>
    <s v="CENTRO MEDICO CARDIOLOGICO CARDIO JAEN E"/>
    <s v="."/>
    <n v="10261127"/>
    <s v="Impulso Solo"/>
    <s v="B32278"/>
    <n v="39947.26171875"/>
    <d v="2024-09-27T00:00:00"/>
    <n v="14.5"/>
    <s v="TLV"/>
    <s v="TLV"/>
    <s v="Impulso MyPeru Comercial"/>
    <n v="202409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47"/>
    <x v="0"/>
    <n v="10453467223"/>
    <s v="BOZA RAMON CIRO DIGNO"/>
    <n v="45346722"/>
    <n v="10260162"/>
    <s v="Impulso Solo"/>
    <s v="B22931"/>
    <n v="19730.75390625"/>
    <d v="2024-09-11T00:00:00"/>
    <n v="14.8"/>
    <s v="TLV"/>
    <s v="TLV"/>
    <s v="Impulso MyPeru Comercial"/>
    <n v="202409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48"/>
    <x v="3"/>
    <n v="20605945083"/>
    <s v="DS SERVICIOS MULTIPLES"/>
    <s v="."/>
    <n v="10261615"/>
    <s v="Impulso Mixto"/>
    <s v="BPECND"/>
    <n v="90004.5"/>
    <d v="2024-10-16T00:00:00"/>
    <n v="15.2"/>
    <s v="TLV"/>
    <s v="TLV"/>
    <s v="Impulso MyPeru Comercial"/>
    <n v="202410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49"/>
    <x v="6"/>
    <n v="10736282521"/>
    <s v="PILCO CALIZAYA ADOLFO"/>
    <n v="73628252"/>
    <n v="10260632"/>
    <s v="Impulso Mixto"/>
    <s v="BPECND"/>
    <n v="66447.0703125"/>
    <d v="2024-09-19T00:00:00"/>
    <n v="15.4"/>
    <s v="TIENDAS"/>
    <s v="TIENDAS"/>
    <s v="Impulso MyPeru Comercial"/>
    <n v="202409"/>
    <n v="90004.5"/>
    <s v="B46527"/>
    <x v="75"/>
    <s v="B34489"/>
    <x v="4"/>
    <x v="4"/>
    <x v="0"/>
    <s v="P1"/>
    <s v="NULL"/>
    <n v="1"/>
    <x v="0"/>
    <n v="0"/>
    <n v="1"/>
    <n v="1"/>
    <x v="2"/>
    <n v="0"/>
    <s v="NULL"/>
    <s v="NULL"/>
    <s v="NULL"/>
    <s v="NULL"/>
    <s v="NULL"/>
    <n v="200000"/>
    <n v="0.23469999999999999"/>
    <n v="0.2147"/>
    <s v="NULL"/>
    <s v="NULL"/>
  </r>
  <r>
    <x v="950"/>
    <x v="5"/>
    <n v="20602023037"/>
    <s v="AGREGADOS NUEVA VILLA"/>
    <s v="."/>
    <n v="10252121"/>
    <s v="Impulso Solo"/>
    <s v="B30637"/>
    <n v="28892.123046875"/>
    <d v="2024-04-30T00:00:00"/>
    <n v="15.5"/>
    <s v="TLV"/>
    <s v="TLV"/>
    <s v="Impulso MyPeru Comercial"/>
    <n v="202404"/>
    <n v="50002.5"/>
    <s v="B30637"/>
    <x v="12"/>
    <s v="B14530"/>
    <x v="5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951"/>
    <x v="5"/>
    <n v="20600474937"/>
    <s v="TENORIO INSTALACIONES S.A.C."/>
    <s v="."/>
    <n v="10266603"/>
    <s v="Nuevo pre Aprobado"/>
    <s v="B37426"/>
    <n v="31257.205078125"/>
    <d v="2025-03-27T00:00:00"/>
    <n v="18.5"/>
    <s v="TIENDAS"/>
    <s v="VENDORS"/>
    <s v="Nuevo Pre-aprobado"/>
    <n v="202503"/>
    <n v="100005"/>
    <s v="B37426"/>
    <x v="71"/>
    <s v="B14821"/>
    <x v="3"/>
    <x v="4"/>
    <x v="0"/>
    <s v="P1"/>
    <s v="C2"/>
    <n v="1"/>
    <x v="0"/>
    <n v="0"/>
    <n v="0"/>
    <n v="1"/>
    <x v="0"/>
    <n v="0"/>
    <s v="NULL"/>
    <s v="NULL"/>
    <s v="NULL"/>
    <s v="NULL"/>
    <s v="NULL"/>
    <n v="200000"/>
    <n v="0.25219999999999998"/>
    <n v="0.23219999999999999"/>
    <s v="NULL"/>
    <s v="NULL"/>
  </r>
  <r>
    <x v="608"/>
    <x v="3"/>
    <n v="20491854058"/>
    <s v="DIAGNOSTICS TEST"/>
    <s v="."/>
    <n v="10235334"/>
    <s v="GIRO DE LINEA"/>
    <s v="B19752"/>
    <n v="178661.71875"/>
    <d v="2024-11-08T00:00:00"/>
    <n v="18.5"/>
    <s v="TIENDAS"/>
    <s v="TIENDAS"/>
    <s v="Giro de Línea"/>
    <n v="202411"/>
    <n v="193354.26"/>
    <s v="B19752"/>
    <x v="43"/>
    <s v="B13988"/>
    <x v="8"/>
    <x v="1"/>
    <x v="0"/>
    <s v="P1"/>
    <s v="NULL"/>
    <n v="1"/>
    <x v="1"/>
    <n v="0"/>
    <n v="0"/>
    <n v="0"/>
    <x v="2"/>
    <n v="0"/>
    <s v="NULL"/>
    <s v="NULL"/>
    <s v="NULL"/>
    <s v="NULL"/>
    <s v="NULL"/>
    <n v="982495171"/>
    <n v="0"/>
    <n v="0"/>
    <s v="NULL"/>
    <s v="NULL"/>
  </r>
  <r>
    <x v="952"/>
    <x v="5"/>
    <n v="10806535996"/>
    <s v="MAYTA PEREZ CORINA ROSALIN"/>
    <n v="80653599"/>
    <n v="10212736"/>
    <s v="CRECER COFIDE"/>
    <s v="B28007"/>
    <n v="20830.583984375"/>
    <s v="NULL"/>
    <s v="NULL"/>
    <s v="NULL"/>
    <s v="NULL"/>
    <s v="NULL"/>
    <s v="NULL"/>
    <s v="NULL"/>
    <s v="B28007"/>
    <x v="20"/>
    <s v="B13988"/>
    <x v="8"/>
    <x v="4"/>
    <x v="0"/>
    <s v="P1"/>
    <s v="C3"/>
    <n v="1"/>
    <x v="0"/>
    <n v="0"/>
    <n v="1"/>
    <n v="1"/>
    <x v="0"/>
    <n v="0"/>
    <s v="NULL"/>
    <s v="NULL"/>
    <s v="NULL"/>
    <s v="NULL"/>
    <s v="NULL"/>
    <n v="200000"/>
    <n v="0.23119999999999999"/>
    <n v="0.2112"/>
    <s v="NULL"/>
    <s v="NULL"/>
  </r>
  <r>
    <x v="953"/>
    <x v="7"/>
    <n v="20533032771"/>
    <s v="TRANSPORTE INTERNACIONAL FULL FREEZE"/>
    <s v="."/>
    <n v="10154144"/>
    <s v="GIRO DE LINEA"/>
    <s v="B33894"/>
    <n v="78259.8984375"/>
    <d v="2025-04-14T00:00:00"/>
    <n v="17"/>
    <s v="TIENDAS"/>
    <s v="TIENDAS"/>
    <s v="Giro de Línea"/>
    <n v="202504"/>
    <n v="105005.25"/>
    <s v="B33894"/>
    <x v="36"/>
    <s v="B34489"/>
    <x v="4"/>
    <x v="6"/>
    <x v="0"/>
    <s v="P1"/>
    <s v="C2"/>
    <n v="1"/>
    <x v="0"/>
    <n v="0"/>
    <n v="0"/>
    <n v="1"/>
    <x v="0"/>
    <n v="0"/>
    <s v="NULL"/>
    <s v="NULL"/>
    <s v="NULL"/>
    <s v="NULL"/>
    <s v="NULL"/>
    <n v="22700"/>
    <n v="0.21"/>
    <n v="0.19"/>
    <s v="NULL"/>
    <s v="NULL"/>
  </r>
  <r>
    <x v="498"/>
    <x v="10"/>
    <n v="20605638768"/>
    <s v="PIZZERU"/>
    <s v="."/>
    <n v="10274313"/>
    <s v="Ágil Recurrente CEM"/>
    <s v="B14327"/>
    <n v="116009.4609375"/>
    <d v="2025-12-30T00:00:00"/>
    <n v="19"/>
    <s v="TIENDAS"/>
    <s v="TIENDAS"/>
    <s v="Recurrente Ágil CEM"/>
    <n v="202512"/>
    <n v="120006"/>
    <s v="B14327"/>
    <x v="49"/>
    <s v="B27274"/>
    <x v="0"/>
    <x v="8"/>
    <x v="0"/>
    <s v="P1"/>
    <s v="C1_2"/>
    <n v="1"/>
    <x v="0"/>
    <n v="0"/>
    <n v="0"/>
    <n v="1"/>
    <x v="0"/>
    <n v="0"/>
    <s v="NULL"/>
    <s v="NULL"/>
    <s v="NULL"/>
    <s v="NULL"/>
    <s v="NULL"/>
    <n v="250000"/>
    <n v="0.26090000000000002"/>
    <n v="0.2409"/>
    <s v="NULL"/>
    <s v="NULL"/>
  </r>
  <r>
    <x v="954"/>
    <x v="1"/>
    <n v="20606909561"/>
    <s v="CERAMICENTER ROSITA"/>
    <s v="."/>
    <n v="10269377"/>
    <s v="Regular Sin Campaña"/>
    <s v="B30114"/>
    <n v="117002.1328125"/>
    <d v="2025-07-07T00:00:00"/>
    <n v="17.5"/>
    <s v="TIENDAS"/>
    <s v="VENDORS"/>
    <s v="Gestion Cartera"/>
    <n v="202507"/>
    <n v="150007.5"/>
    <s v="B30114"/>
    <x v="8"/>
    <s v="B34489"/>
    <x v="4"/>
    <x v="1"/>
    <x v="0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955"/>
    <x v="8"/>
    <n v="20603621019"/>
    <s v="CONSORCIO SASSARI SAC"/>
    <s v="."/>
    <n v="10265661"/>
    <s v="Nuevo Aprobado"/>
    <s v="B37427"/>
    <n v="145968"/>
    <d v="2025-02-25T00:00:00"/>
    <n v="18"/>
    <s v="TLV"/>
    <s v="TLV"/>
    <s v="Nuevo Aprobado EN"/>
    <n v="202502"/>
    <n v="170008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56"/>
    <x v="7"/>
    <n v="20566467101"/>
    <s v="PRODICMONT INGENIEROS S.A.C."/>
    <s v="."/>
    <n v="10265062"/>
    <s v="Nuevo Aprobado"/>
    <s v="B45389"/>
    <n v="34172.0390625"/>
    <d v="2025-01-31T00:00:00"/>
    <n v="18"/>
    <s v="TLV"/>
    <s v="TLV"/>
    <s v="Nuevo Aprobado EN"/>
    <n v="202501"/>
    <n v="64003.199999999997"/>
    <s v="B45389"/>
    <x v="16"/>
    <s v="B45384"/>
    <x v="6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20"/>
    <x v="11"/>
    <n v="10104833123"/>
    <s v="CUENCA SILVESTRE DUSTIN ANGEL"/>
    <n v="10483312"/>
    <n v="10251403"/>
    <s v="Impulso Mixto"/>
    <s v="B45083"/>
    <n v="69896.1875"/>
    <d v="2024-04-23T00:00:00"/>
    <n v="15.5"/>
    <s v="TLV"/>
    <s v="TLV"/>
    <s v="Impulso MyPeru Comercial"/>
    <n v="202404"/>
    <n v="90004.5"/>
    <s v="B45389"/>
    <x v="2"/>
    <s v="NULL"/>
    <x v="2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230"/>
    <x v="10"/>
    <n v="20608493337"/>
    <s v="CALZADOS CLARITA"/>
    <s v="."/>
    <n v="10274129"/>
    <s v="Nuevo Aprobado"/>
    <s v="B36574"/>
    <n v="70611.140625"/>
    <d v="2025-12-22T00:00:00"/>
    <n v="16.5"/>
    <s v="TIENDAS VIRTUALES"/>
    <s v="TIENDAS VIRTUALES"/>
    <s v="Nuevo Aprobado EN"/>
    <n v="202512"/>
    <n v="100005"/>
    <s v="B36574"/>
    <x v="51"/>
    <s v="B13161"/>
    <x v="9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957"/>
    <x v="10"/>
    <n v="20552826842"/>
    <s v="JOMACH INTERNATIONAL EMPRESA INDIVIDUAL"/>
    <s v="."/>
    <n v="10272356"/>
    <s v="Nuevo Aprobado"/>
    <s v="BPECND"/>
    <n v="40014.78125"/>
    <d v="2025-10-20T00:00:00"/>
    <n v="19"/>
    <s v="TLV"/>
    <s v="TLV"/>
    <s v="Nuevo Aprobado EN"/>
    <n v="202510"/>
    <n v="50002.5"/>
    <s v="NULL"/>
    <x v="2"/>
    <s v="NULL"/>
    <x v="2"/>
    <x v="12"/>
    <x v="3"/>
    <s v="P1"/>
    <s v="C2"/>
    <n v="1"/>
    <x v="0"/>
    <n v="0"/>
    <n v="0"/>
    <n v="0"/>
    <x v="1"/>
    <n v="0"/>
    <s v="NULL"/>
    <s v="NULL"/>
    <s v="NULL"/>
    <s v="NULL"/>
    <s v="NULL"/>
    <s v="NULL"/>
    <s v="NULL"/>
    <s v="NULL"/>
    <s v="TLV C"/>
    <s v="POOL TRANSACCIONAL"/>
  </r>
  <r>
    <x v="958"/>
    <x v="0"/>
    <n v="20609931150"/>
    <s v="CATERING CANELOS S.A.C."/>
    <s v="."/>
    <n v="10273256"/>
    <s v="Recurrente Aprobado Agil"/>
    <s v="B20210"/>
    <n v="65703.234375"/>
    <d v="2025-11-19T00:00:00"/>
    <n v="21.200001"/>
    <s v="TIENDAS"/>
    <s v="TIENDAS"/>
    <s v="Recurrente Ágil CEM"/>
    <n v="202511"/>
    <n v="65703.25"/>
    <s v="B20210"/>
    <x v="39"/>
    <s v="B13161"/>
    <x v="9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959"/>
    <x v="12"/>
    <n v="20565337531"/>
    <s v="IDROMETAL"/>
    <s v="."/>
    <n v="10244868"/>
    <s v="Nuevo pre Aprobado"/>
    <s v="B30425"/>
    <n v="102210.6796875"/>
    <d v="2023-10-17T00:00:00"/>
    <n v="20.5"/>
    <s v="TIENDAS"/>
    <s v="TIENDAS"/>
    <s v="Nuevo Pre-aprobado"/>
    <n v="202310"/>
    <n v="220011"/>
    <s v="B30425"/>
    <x v="46"/>
    <s v="B13988"/>
    <x v="8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0330000000000001"/>
    <n v="0"/>
    <s v="NULL"/>
    <s v="NULL"/>
  </r>
  <r>
    <x v="960"/>
    <x v="5"/>
    <n v="20503597510"/>
    <s v="MAESCORP"/>
    <s v="."/>
    <n v="10256408"/>
    <s v="Impulso Mixto"/>
    <s v="B28007"/>
    <n v="50420.5546875"/>
    <d v="2024-06-25T00:00:00"/>
    <n v="14.6"/>
    <s v="TIENDAS"/>
    <s v="TIENDAS"/>
    <s v="Impulso MyPeru Comercial"/>
    <n v="202406"/>
    <n v="90004.5"/>
    <s v="B28007"/>
    <x v="20"/>
    <s v="B13988"/>
    <x v="8"/>
    <x v="4"/>
    <x v="0"/>
    <s v="P1"/>
    <s v="C1_1"/>
    <n v="1"/>
    <x v="1"/>
    <n v="0"/>
    <n v="0"/>
    <n v="0"/>
    <x v="0"/>
    <n v="0"/>
    <s v="NULL"/>
    <s v="NULL"/>
    <s v="NULL"/>
    <s v="NULL"/>
    <s v="NULL"/>
    <n v="400000"/>
    <n v="0.18"/>
    <n v="0.16"/>
    <s v="NULL"/>
    <s v="NULL"/>
  </r>
  <r>
    <x v="961"/>
    <x v="12"/>
    <n v="20610373039"/>
    <s v="CORPORACION LLONTOP S.A.C."/>
    <s v="."/>
    <n v="10251044"/>
    <s v="Impulso CDI Cobertura"/>
    <s v="BPECND"/>
    <n v="37771.14453125"/>
    <d v="2024-04-17T00:00:00"/>
    <n v="16"/>
    <s v="TLV"/>
    <s v="TLV"/>
    <s v="Impulso MyPeru Comercial"/>
    <n v="202404"/>
    <n v="54002.7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62"/>
    <x v="5"/>
    <n v="20601210585"/>
    <s v="CONSULTORA HIRODEK S.A.C."/>
    <s v="."/>
    <n v="10252325"/>
    <s v="Impulso Mixto"/>
    <s v="B45750"/>
    <n v="184545.25"/>
    <d v="2024-04-30T00:00:00"/>
    <n v="13.7"/>
    <s v="TIENDAS"/>
    <s v="TIENDAS"/>
    <s v="Impulso MyPeru Comercial"/>
    <n v="202404"/>
    <n v="300015"/>
    <s v="B45750"/>
    <x v="5"/>
    <s v="B14530"/>
    <x v="5"/>
    <x v="4"/>
    <x v="0"/>
    <s v="P1"/>
    <s v="C1_2"/>
    <n v="1"/>
    <x v="1"/>
    <n v="0"/>
    <n v="0"/>
    <n v="0"/>
    <x v="0"/>
    <n v="0"/>
    <s v="NULL"/>
    <s v="NULL"/>
    <s v="NULL"/>
    <s v="NULL"/>
    <s v="NULL"/>
    <n v="250000"/>
    <n v="0.19"/>
    <n v="0.17"/>
    <s v="NULL"/>
    <s v="NULL"/>
  </r>
  <r>
    <x v="963"/>
    <x v="10"/>
    <n v="20601968551"/>
    <s v="ADOMA"/>
    <s v="."/>
    <n v="10252613"/>
    <s v="Impulso Solo"/>
    <s v="B27880"/>
    <n v="13012.9326171875"/>
    <d v="2024-05-08T00:00:00"/>
    <n v="12.7"/>
    <s v="TIENDAS"/>
    <s v="TIENDAS"/>
    <s v="Impulso MyPeru Comercial"/>
    <n v="202405"/>
    <n v="300015"/>
    <s v="B27880"/>
    <x v="6"/>
    <s v="B14821"/>
    <x v="3"/>
    <x v="9"/>
    <x v="0"/>
    <s v="P1"/>
    <s v="C1_1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964"/>
    <x v="9"/>
    <n v="20486761891"/>
    <s v="NEGOCIACIONES M &amp; S"/>
    <s v="."/>
    <n v="10172898"/>
    <s v="GIRO DE LINEA"/>
    <s v="B45389"/>
    <n v="161261.375"/>
    <d v="2025-02-27T00:00:00"/>
    <n v="16"/>
    <s v="TIENDAS"/>
    <s v="TIENDAS"/>
    <s v="Giro de Línea"/>
    <n v="202502"/>
    <n v="180009"/>
    <s v="B45389"/>
    <x v="28"/>
    <s v="B45384"/>
    <x v="6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965"/>
    <x v="3"/>
    <n v="20600870654"/>
    <s v="SUMIVAL"/>
    <s v="."/>
    <n v="10240366"/>
    <s v="Ágil Recurrente CEM"/>
    <s v="B14972"/>
    <n v="45351.26171875"/>
    <d v="2023-06-22T00:00:00"/>
    <n v="23.6"/>
    <s v="TIENDAS"/>
    <s v="TIENDAS"/>
    <s v="Recurrente Ágil CEM"/>
    <n v="202306"/>
    <n v="150007.5"/>
    <s v="B14972"/>
    <x v="25"/>
    <s v="B13161"/>
    <x v="9"/>
    <x v="1"/>
    <x v="0"/>
    <s v="P1"/>
    <s v="NULL"/>
    <n v="1"/>
    <x v="1"/>
    <n v="0"/>
    <n v="0"/>
    <n v="0"/>
    <x v="2"/>
    <n v="0"/>
    <s v="NULL"/>
    <s v="NULL"/>
    <s v="NULL"/>
    <s v="NULL"/>
    <s v="NULL"/>
    <n v="991472174"/>
    <n v="0"/>
    <n v="0"/>
    <s v="NULL"/>
    <s v="NULL"/>
  </r>
  <r>
    <x v="966"/>
    <x v="1"/>
    <n v="20506409650"/>
    <s v="SERVICIOS Y REPRESENTACIONES SERVIGRAH E"/>
    <s v="."/>
    <n v="10270661"/>
    <s v="Nuevo Aprobado"/>
    <s v="B13161"/>
    <n v="25557.826171875"/>
    <d v="2025-08-25T00:00:00"/>
    <n v="19.5"/>
    <s v="TLV"/>
    <s v="TLV"/>
    <s v="Nuevo Aprobado EN"/>
    <n v="202508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67"/>
    <x v="11"/>
    <n v="10416049691"/>
    <s v="CUBA MONTALVO ALICIA"/>
    <n v="41604969"/>
    <n v="10252614"/>
    <s v="Impulso Mixto"/>
    <s v="B28007"/>
    <n v="73387.1015625"/>
    <d v="2024-05-08T00:00:00"/>
    <n v="16"/>
    <s v="TIENDAS"/>
    <s v="TIENDAS"/>
    <s v="Impulso MyPeru Comercial"/>
    <n v="202405"/>
    <n v="90004.5"/>
    <s v="B28007"/>
    <x v="20"/>
    <s v="B13988"/>
    <x v="8"/>
    <x v="4"/>
    <x v="0"/>
    <s v="P1"/>
    <s v="NULL"/>
    <n v="1"/>
    <x v="0"/>
    <n v="0"/>
    <n v="0"/>
    <n v="1"/>
    <x v="2"/>
    <n v="0"/>
    <s v="NULL"/>
    <s v="NULL"/>
    <s v="NULL"/>
    <s v="NULL"/>
    <s v="NULL"/>
    <n v="94400"/>
    <n v="0.22"/>
    <n v="0.20200000000000001"/>
    <s v="NULL"/>
    <s v="NULL"/>
  </r>
  <r>
    <x v="968"/>
    <x v="11"/>
    <n v="10700364301"/>
    <s v="CHASQUERO JIMENEZ MARIA DIANA"/>
    <n v="70036430"/>
    <n v="10265505"/>
    <s v="CDD APROBADO"/>
    <s v="B8606"/>
    <n v="123928.390625"/>
    <d v="2025-02-20T00:00:00"/>
    <n v="16"/>
    <s v="TLV"/>
    <s v="TLV"/>
    <s v="Nuevo Aprobado Agil CD"/>
    <n v="202502"/>
    <n v="129641.3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74"/>
    <x v="0"/>
    <n v="20555123885"/>
    <s v="NETCORPORATE PERU"/>
    <s v="."/>
    <n v="10265180"/>
    <s v="Ágil Recurrente CEM"/>
    <s v="B14972"/>
    <n v="93283.265625"/>
    <d v="2025-02-07T00:00:00"/>
    <n v="16.280000999999999"/>
    <s v="TIENDAS"/>
    <s v="TIENDAS"/>
    <s v="Recurrente Ágil CEM"/>
    <n v="202502"/>
    <n v="150007.5"/>
    <s v="B36343"/>
    <x v="40"/>
    <s v="B13161"/>
    <x v="9"/>
    <x v="4"/>
    <x v="0"/>
    <s v="P1"/>
    <s v="C1_1"/>
    <n v="1"/>
    <x v="0"/>
    <n v="0"/>
    <n v="0"/>
    <n v="1"/>
    <x v="0"/>
    <n v="0"/>
    <s v="NULL"/>
    <s v="NULL"/>
    <s v="NULL"/>
    <s v="NULL"/>
    <s v="NULL"/>
    <n v="296300"/>
    <n v="0.21"/>
    <n v="0.19"/>
    <s v="NULL"/>
    <s v="NULL"/>
  </r>
  <r>
    <x v="969"/>
    <x v="8"/>
    <n v="20602821154"/>
    <s v="COMERCIALIZADORA TENORIO"/>
    <s v="."/>
    <n v="10262883"/>
    <s v="Impulso Solo"/>
    <s v="BPECND"/>
    <n v="16871.666015625"/>
    <d v="2024-11-21T00:00:00"/>
    <n v="14.8"/>
    <s v="TLV"/>
    <s v="TLV"/>
    <s v="Impulso MyPeru Comercial"/>
    <n v="202411"/>
    <n v="18200.90000000000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70"/>
    <x v="1"/>
    <n v="10086906401"/>
    <s v="BRINGAS VILLACORTA DAVID FERNANDO"/>
    <n v="8690640"/>
    <n v="10268175"/>
    <s v="Nuevo Aprobado"/>
    <s v="BPECND"/>
    <n v="13122.7783203125"/>
    <d v="2025-05-27T00:00:00"/>
    <n v="25"/>
    <s v="TLV"/>
    <s v="TLV"/>
    <s v="Nuevo Aprobado EN"/>
    <n v="202505"/>
    <n v="20001"/>
    <s v="B24783"/>
    <x v="24"/>
    <s v="B45083"/>
    <x v="7"/>
    <x v="5"/>
    <x v="2"/>
    <s v="P5"/>
    <s v="C3"/>
    <n v="1"/>
    <x v="0"/>
    <n v="0"/>
    <n v="0"/>
    <n v="0"/>
    <x v="2"/>
    <n v="0"/>
    <s v="NULL"/>
    <s v="NULL"/>
    <s v="NULL"/>
    <s v="NULL"/>
    <s v="NULL"/>
    <n v="50000"/>
    <n v="0.25869999999999999"/>
    <n v="0.2387"/>
    <s v="NULL"/>
    <s v="NULL"/>
  </r>
  <r>
    <x v="971"/>
    <x v="8"/>
    <n v="20600626982"/>
    <s v="M Y A ELECTRIC"/>
    <s v="."/>
    <n v="10267799"/>
    <s v="Regular Sin Campaña"/>
    <s v="B45083"/>
    <n v="93131.671875"/>
    <d v="2025-05-14T00:00:00"/>
    <n v="22"/>
    <s v="TIENDAS VIRTUALES"/>
    <s v="VENDORS"/>
    <s v="Gestion Cartera"/>
    <n v="202505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72"/>
    <x v="6"/>
    <n v="20450696308"/>
    <s v="PROVEEDORES INDUSTRIALES JC"/>
    <s v="."/>
    <n v="10165109"/>
    <s v="GIRO DE LINEA"/>
    <s v="B30094"/>
    <n v="60804.9453125"/>
    <d v="2024-12-18T00:00:00"/>
    <n v="17.38"/>
    <s v="TIENDAS"/>
    <s v="TIENDAS"/>
    <s v="Giro de Línea"/>
    <n v="202412"/>
    <n v="150007.5"/>
    <s v="B30094"/>
    <x v="48"/>
    <s v="B34489"/>
    <x v="4"/>
    <x v="4"/>
    <x v="0"/>
    <s v="P1"/>
    <s v="NULL"/>
    <n v="1"/>
    <x v="0"/>
    <n v="0"/>
    <n v="0"/>
    <n v="1"/>
    <x v="0"/>
    <n v="0"/>
    <s v="NULL"/>
    <s v="NULL"/>
    <s v="NULL"/>
    <s v="NULL"/>
    <s v="NULL"/>
    <n v="250000"/>
    <n v="0.22"/>
    <n v="0.2"/>
    <s v="NULL"/>
    <s v="NULL"/>
  </r>
  <r>
    <x v="973"/>
    <x v="12"/>
    <n v="10157256691"/>
    <s v="DIAZ SIERRA PATRICIA ELIZABETH"/>
    <n v="15725669"/>
    <n v="10149186"/>
    <s v="GIRO DE LINEA"/>
    <s v="B40039"/>
    <n v="100005.0078125"/>
    <d v="2025-05-29T00:00:00"/>
    <n v="16"/>
    <s v="TIENDAS"/>
    <s v="TIENDAS"/>
    <s v="Giro de Línea"/>
    <n v="202505"/>
    <n v="100005"/>
    <s v="B40039"/>
    <x v="41"/>
    <s v="B14530"/>
    <x v="5"/>
    <x v="6"/>
    <x v="0"/>
    <s v="P3"/>
    <s v="NULL"/>
    <n v="1"/>
    <x v="0"/>
    <n v="0"/>
    <n v="0"/>
    <n v="1"/>
    <x v="0"/>
    <n v="0"/>
    <s v="NULL"/>
    <s v="NULL"/>
    <s v="NULL"/>
    <s v="NULL"/>
    <s v="NULL"/>
    <n v="100000"/>
    <n v="0.21"/>
    <n v="0.18779999999999999"/>
    <s v="NULL"/>
    <s v="NULL"/>
  </r>
  <r>
    <x v="974"/>
    <x v="10"/>
    <n v="20612484644"/>
    <s v="DULCES MOMENTOS UNICOS HELADERIA &amp; POSTR"/>
    <s v="."/>
    <n v="10271076"/>
    <s v="Nuevo NO BANK"/>
    <s v="B13161"/>
    <n v="25100.767578125"/>
    <d v="2025-09-05T00:00:00"/>
    <n v="26.1"/>
    <s v="TLV"/>
    <s v="TLV"/>
    <s v="Nuevo Aprobado EN"/>
    <n v="202509"/>
    <n v="41002.05000000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19"/>
    <x v="8"/>
    <n v="20543690776"/>
    <s v="IMPORT &amp; EXPORT ISABEL FASHION"/>
    <s v="."/>
    <n v="10268826"/>
    <s v="Ágil Recurrente CEM"/>
    <s v="B30114"/>
    <n v="192906.609375"/>
    <d v="2025-06-19T00:00:00"/>
    <n v="18"/>
    <s v="TIENDAS"/>
    <s v="TIENDAS"/>
    <s v="Recurrente Ágil CEM"/>
    <n v="202506"/>
    <n v="200010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75"/>
    <x v="1"/>
    <n v="20454609329"/>
    <s v="GRUMBER YAURI"/>
    <s v="."/>
    <n v="10268538"/>
    <s v="Nuevo Aprobado Ágil"/>
    <s v="B44121"/>
    <n v="64727.0546875"/>
    <d v="2025-06-10T00:00:00"/>
    <n v="17"/>
    <s v="TLV"/>
    <s v="VENDORS"/>
    <s v="Nuevo Aprobado Agil"/>
    <n v="202506"/>
    <n v="170008.5"/>
    <s v="B34669"/>
    <x v="7"/>
    <s v="B34489"/>
    <x v="4"/>
    <x v="5"/>
    <x v="0"/>
    <s v="P5"/>
    <s v="C1_1"/>
    <n v="1"/>
    <x v="1"/>
    <n v="0"/>
    <n v="0"/>
    <n v="0"/>
    <x v="0"/>
    <n v="0"/>
    <s v="NULL"/>
    <s v="NULL"/>
    <s v="NULL"/>
    <s v="NULL"/>
    <s v="NULL"/>
    <n v="500000"/>
    <n v="0.21"/>
    <n v="0.19"/>
    <s v="NULL"/>
    <s v="NULL"/>
  </r>
  <r>
    <x v="976"/>
    <x v="1"/>
    <n v="20544119363"/>
    <s v="SIPROG SERVICIO INGENIERIA Y PROYECTOS"/>
    <s v="."/>
    <n v="10249247"/>
    <s v="Impulso Solo"/>
    <s v="B45870"/>
    <n v="74999.390625"/>
    <d v="2024-03-13T00:00:00"/>
    <n v="13.9"/>
    <s v="TIENDAS"/>
    <s v="TIENDAS"/>
    <s v="Impulso MyPeru Comercial"/>
    <n v="202403"/>
    <n v="90004.5"/>
    <s v="B36574"/>
    <x v="51"/>
    <s v="B13161"/>
    <x v="9"/>
    <x v="5"/>
    <x v="0"/>
    <s v="P5"/>
    <s v="C1_2"/>
    <n v="1"/>
    <x v="1"/>
    <n v="0"/>
    <n v="0"/>
    <n v="0"/>
    <x v="0"/>
    <n v="0"/>
    <s v="NULL"/>
    <s v="NULL"/>
    <s v="NULL"/>
    <s v="NULL"/>
    <s v="NULL"/>
    <n v="56100"/>
    <n v="0.21"/>
    <n v="0.19"/>
    <s v="NULL"/>
    <s v="NULL"/>
  </r>
  <r>
    <x v="977"/>
    <x v="12"/>
    <n v="20561133639"/>
    <s v="EMPRESA DE TRANSPORTES LAURA"/>
    <s v="."/>
    <n v="10242559"/>
    <s v="Nuevo Aprobado Ágil"/>
    <s v="B44120"/>
    <n v="11854.826171875"/>
    <d v="2023-08-11T00:00:00"/>
    <n v="20.9"/>
    <s v="TLV"/>
    <s v="TLV"/>
    <s v="NULL"/>
    <n v="202308"/>
    <n v="120006"/>
    <s v="B44120"/>
    <x v="45"/>
    <s v="B14530"/>
    <x v="5"/>
    <x v="4"/>
    <x v="0"/>
    <s v="P1"/>
    <s v="NULL"/>
    <n v="1"/>
    <x v="0"/>
    <n v="0"/>
    <n v="0"/>
    <n v="1"/>
    <x v="0"/>
    <n v="0"/>
    <s v="NULL"/>
    <s v="NULL"/>
    <s v="NULL"/>
    <s v="NULL"/>
    <s v="NULL"/>
    <n v="400000"/>
    <n v="0.2"/>
    <n v="0.18"/>
    <s v="NULL"/>
    <s v="NULL"/>
  </r>
  <r>
    <x v="978"/>
    <x v="4"/>
    <n v="20605931554"/>
    <s v="AGRO SERVICIOS BRAVO"/>
    <s v="."/>
    <n v="10240266"/>
    <s v="Ágil Recurrente CEM"/>
    <s v="B30637"/>
    <n v="23345.751953125"/>
    <d v="2023-06-20T00:00:00"/>
    <n v="22"/>
    <s v="TIENDAS"/>
    <s v="TIENDAS"/>
    <s v="Recurrente Ágil CEM"/>
    <n v="202306"/>
    <n v="119005.95"/>
    <s v="B30637"/>
    <x v="12"/>
    <s v="B14530"/>
    <x v="5"/>
    <x v="13"/>
    <x v="0"/>
    <s v="P1"/>
    <s v="NULL"/>
    <n v="1"/>
    <x v="1"/>
    <n v="0"/>
    <n v="0"/>
    <n v="0"/>
    <x v="2"/>
    <n v="0"/>
    <s v="NULL"/>
    <s v="NULL"/>
    <s v="NULL"/>
    <s v="NULL"/>
    <s v="NULL"/>
    <n v="550000"/>
    <n v="0.17299999999999999"/>
    <n v="0.153"/>
    <s v="NULL"/>
    <s v="NULL"/>
  </r>
  <r>
    <x v="979"/>
    <x v="10"/>
    <n v="20600853130"/>
    <s v="INVERSIONES BUSTILLOS"/>
    <s v="."/>
    <n v="10269730"/>
    <s v="CDD APROBADO"/>
    <s v="B46727"/>
    <n v="158753.578125"/>
    <d v="2025-07-18T00:00:00"/>
    <n v="14"/>
    <s v="TLV"/>
    <s v="TLV"/>
    <s v="Nuevo Aprobado Agil CD"/>
    <n v="202507"/>
    <n v="237390.4"/>
    <s v="B19752"/>
    <x v="43"/>
    <s v="B13988"/>
    <x v="1"/>
    <x v="7"/>
    <x v="0"/>
    <s v="P1"/>
    <s v="C1_2"/>
    <n v="1"/>
    <x v="0"/>
    <n v="0"/>
    <n v="0"/>
    <n v="1"/>
    <x v="0"/>
    <n v="0"/>
    <s v="NULL"/>
    <s v="NULL"/>
    <s v="NULL"/>
    <s v="NULL"/>
    <s v="NULL"/>
    <n v="19000"/>
    <n v="0.19"/>
    <n v="0.17"/>
    <s v="NULL"/>
    <s v="NULL"/>
  </r>
  <r>
    <x v="980"/>
    <x v="5"/>
    <n v="20602561179"/>
    <s v="INGENIERIA &amp; GESTION AGRICOLA ROSS INKIL"/>
    <s v="."/>
    <n v="10268110"/>
    <s v="Nuevo Aprobado"/>
    <s v="BPECND"/>
    <n v="53821.01953125"/>
    <d v="2025-05-23T00:00:00"/>
    <n v="18"/>
    <s v="TLV"/>
    <s v="TLV"/>
    <s v="Nuevo Aprobado EN"/>
    <n v="202505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69"/>
    <x v="1"/>
    <n v="20554976990"/>
    <s v="ARTURO MOTORS"/>
    <s v="."/>
    <n v="10265804"/>
    <s v="Regular Sin Campaña"/>
    <s v="B13161"/>
    <n v="156897.5"/>
    <d v="2025-02-27T00:00:00"/>
    <n v="17"/>
    <s v="TIENDAS"/>
    <s v="TIENDAS"/>
    <s v="Gestion Cartera"/>
    <n v="202502"/>
    <n v="250012.5"/>
    <s v="B20210"/>
    <x v="39"/>
    <s v="B13161"/>
    <x v="9"/>
    <x v="4"/>
    <x v="0"/>
    <s v="P5"/>
    <s v="C1_2"/>
    <n v="1"/>
    <x v="0"/>
    <n v="0"/>
    <n v="1"/>
    <n v="1"/>
    <x v="2"/>
    <n v="0"/>
    <s v="NULL"/>
    <s v="NULL"/>
    <s v="NULL"/>
    <s v="NULL"/>
    <s v="NULL"/>
    <n v="67100"/>
    <n v="0.21"/>
    <n v="0.19"/>
    <s v="NULL"/>
    <s v="NULL"/>
  </r>
  <r>
    <x v="981"/>
    <x v="12"/>
    <n v="20607762423"/>
    <s v="OLMO SERVICIOS GENERALES"/>
    <s v="."/>
    <n v="10267068"/>
    <s v="Nuevo NO BANK"/>
    <s v="BPECND"/>
    <n v="45136.83984375"/>
    <d v="2025-04-14T00:00:00"/>
    <n v="21"/>
    <s v="TLV"/>
    <s v="TLV"/>
    <s v="Nuevo Aprobado EN"/>
    <n v="202504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82"/>
    <x v="5"/>
    <n v="20601360374"/>
    <s v="CONSORCIO TEXTIL JJD"/>
    <s v="."/>
    <n v="10265169"/>
    <s v="Nuevo Aprobado Ágil"/>
    <s v="B45375"/>
    <n v="37165.0546875"/>
    <d v="2025-02-07T00:00:00"/>
    <n v="18.5"/>
    <s v="TLV"/>
    <s v="TLV"/>
    <s v="Nuevo Aprobado Agil"/>
    <n v="202502"/>
    <n v="50002.5"/>
    <s v="B45375"/>
    <x v="65"/>
    <s v="B45384"/>
    <x v="6"/>
    <x v="19"/>
    <x v="2"/>
    <s v="P1"/>
    <s v="C1_2"/>
    <n v="1"/>
    <x v="0"/>
    <n v="0"/>
    <n v="0"/>
    <n v="1"/>
    <x v="0"/>
    <n v="0"/>
    <s v="NULL"/>
    <s v="NULL"/>
    <s v="NULL"/>
    <s v="NULL"/>
    <s v="NULL"/>
    <n v="70000"/>
    <n v="0.24"/>
    <n v="0.22"/>
    <s v="NULL"/>
    <s v="NULL"/>
  </r>
  <r>
    <x v="983"/>
    <x v="5"/>
    <n v="10180869315"/>
    <s v="RONDO ROJAS LUCILA MARILU"/>
    <n v="18086931"/>
    <n v="10259713"/>
    <s v="Impulso Mixto"/>
    <s v="B18434"/>
    <n v="14717.2763671875"/>
    <d v="2024-08-27T00:00:00"/>
    <n v="14.5"/>
    <s v="TLV"/>
    <s v="TLV"/>
    <s v="Impulso MyPeru Comercial"/>
    <n v="202408"/>
    <n v="2000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84"/>
    <x v="2"/>
    <n v="20608979124"/>
    <s v="NAVANI"/>
    <s v="."/>
    <n v="10253949"/>
    <s v="Impulso Mixto"/>
    <s v="B45077"/>
    <n v="44175.90625"/>
    <d v="2024-05-28T00:00:00"/>
    <n v="15.5"/>
    <s v="TLV"/>
    <s v="TLV"/>
    <s v="Impulso MyPeru Comercial"/>
    <n v="202405"/>
    <n v="90004.5"/>
    <s v="B46366"/>
    <x v="2"/>
    <s v="NULL"/>
    <x v="2"/>
    <x v="4"/>
    <x v="2"/>
    <s v="P1"/>
    <s v="NULL"/>
    <n v="1"/>
    <x v="1"/>
    <n v="0"/>
    <n v="0"/>
    <n v="0"/>
    <x v="0"/>
    <n v="0"/>
    <s v="NULL"/>
    <s v="NULL"/>
    <s v="NULL"/>
    <s v="NULL"/>
    <s v="NULL"/>
    <n v="250000"/>
    <n v="0.22"/>
    <n v="0.20430000000000001"/>
    <s v="NULL"/>
    <s v="NULL"/>
  </r>
  <r>
    <x v="985"/>
    <x v="7"/>
    <n v="20606008253"/>
    <s v="TRAZO Y CORTE S.A.C"/>
    <s v="."/>
    <n v="10252928"/>
    <s v="Impulso Mixto"/>
    <s v="B45371"/>
    <n v="18615.39453125"/>
    <d v="2024-05-15T00:00:00"/>
    <n v="15.5"/>
    <s v="TLV"/>
    <s v="TLV"/>
    <s v="Impulso MyPeru Comercial"/>
    <n v="202405"/>
    <n v="34701.699999999997"/>
    <s v="B45371"/>
    <x v="15"/>
    <s v="B45384"/>
    <x v="6"/>
    <x v="4"/>
    <x v="2"/>
    <s v="P1"/>
    <s v="C3"/>
    <n v="1"/>
    <x v="1"/>
    <n v="0"/>
    <n v="0"/>
    <n v="0"/>
    <x v="0"/>
    <n v="0"/>
    <s v="NULL"/>
    <s v="NULL"/>
    <s v="NULL"/>
    <s v="NULL"/>
    <s v="NULL"/>
    <n v="250000"/>
    <n v="0.24079999999999999"/>
    <n v="0.2208"/>
    <s v="NULL"/>
    <s v="NULL"/>
  </r>
  <r>
    <x v="986"/>
    <x v="10"/>
    <n v="20605671048"/>
    <s v="DISTRIBUIDORA SANDY"/>
    <s v="."/>
    <n v="10272177"/>
    <s v="CDD APROBADO"/>
    <s v="B14530"/>
    <n v="139956.078125"/>
    <d v="2025-10-13T00:00:00"/>
    <n v="15"/>
    <s v="TIENDAS VIRTUALES"/>
    <s v="TIENDAS VIRTUALES"/>
    <s v="Nuevo Aprobado Agil CD"/>
    <n v="202510"/>
    <n v="205078.4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87"/>
    <x v="8"/>
    <n v="20563725801"/>
    <s v="FERRETERIA PERALVILLO"/>
    <s v="."/>
    <n v="10177193"/>
    <s v="GIRO DE LINEA"/>
    <s v="B14821"/>
    <n v="116297.0234375"/>
    <d v="2025-12-23T00:00:00"/>
    <n v="17.5"/>
    <s v="TIENDAS"/>
    <s v="TIENDAS"/>
    <s v="Giro de Línea"/>
    <n v="202512"/>
    <n v="180009"/>
    <s v="B37395"/>
    <x v="66"/>
    <s v="B14821"/>
    <x v="3"/>
    <x v="1"/>
    <x v="0"/>
    <s v="P1"/>
    <s v="NULL"/>
    <n v="1"/>
    <x v="0"/>
    <n v="0"/>
    <n v="0"/>
    <n v="1"/>
    <x v="0"/>
    <n v="0"/>
    <s v="NULL"/>
    <s v="NULL"/>
    <s v="NULL"/>
    <s v="NULL"/>
    <s v="NULL"/>
    <n v="1"/>
    <n v="0.20380000000000001"/>
    <s v="NULL"/>
    <s v="NULL"/>
    <s v="NULL"/>
  </r>
  <r>
    <x v="988"/>
    <x v="1"/>
    <n v="20602078109"/>
    <s v="H Y L ELECTRIC"/>
    <s v="."/>
    <n v="10252076"/>
    <s v="Impulso Mixto"/>
    <s v="B44121"/>
    <n v="48601.015625"/>
    <d v="2024-04-30T00:00:00"/>
    <n v="13.8"/>
    <s v="TLV"/>
    <s v="TLV"/>
    <s v="Impulso MyPeru Comercial"/>
    <n v="202404"/>
    <n v="108314.4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89"/>
    <x v="5"/>
    <n v="20608789295"/>
    <s v="EDWIN CORPORATION TEXTIL"/>
    <s v="."/>
    <n v="10257977"/>
    <s v="Impulso Solo"/>
    <s v="B27880"/>
    <n v="62862"/>
    <d v="2024-07-25T00:00:00"/>
    <n v="15.5"/>
    <s v="TLV"/>
    <s v="TLV"/>
    <s v="Impulso MyPeru Comercial"/>
    <n v="202407"/>
    <n v="90004.5"/>
    <s v="B27880"/>
    <x v="6"/>
    <s v="B14821"/>
    <x v="3"/>
    <x v="4"/>
    <x v="0"/>
    <s v="P1"/>
    <s v="C1_1"/>
    <n v="1"/>
    <x v="0"/>
    <n v="0"/>
    <n v="1"/>
    <n v="1"/>
    <x v="0"/>
    <n v="0"/>
    <s v="NULL"/>
    <s v="NULL"/>
    <s v="NULL"/>
    <s v="NULL"/>
    <s v="NULL"/>
    <n v="400000"/>
    <n v="0.18"/>
    <n v="0.16"/>
    <s v="NULL"/>
    <s v="NULL"/>
  </r>
  <r>
    <x v="990"/>
    <x v="1"/>
    <n v="20567163866"/>
    <s v="LLANWERS IMPORT EIRL"/>
    <s v="."/>
    <n v="10255985"/>
    <s v="Impulso CDI Cobertura"/>
    <s v="BPECND"/>
    <n v="25153.2734375"/>
    <d v="2024-06-24T00:00:00"/>
    <n v="15.4"/>
    <s v="TIENDAS"/>
    <s v="TIENDAS"/>
    <s v="Impulso MyPeru Comercial"/>
    <n v="202406"/>
    <n v="90004.5"/>
    <s v="NULL"/>
    <x v="2"/>
    <s v="NULL"/>
    <x v="2"/>
    <x v="12"/>
    <x v="3"/>
    <s v="P1"/>
    <s v="C2"/>
    <n v="1"/>
    <x v="0"/>
    <n v="0"/>
    <n v="0"/>
    <n v="0"/>
    <x v="1"/>
    <n v="0"/>
    <s v="NULL"/>
    <s v="NULL"/>
    <s v="NULL"/>
    <s v="NULL"/>
    <s v="NULL"/>
    <s v="NULL"/>
    <s v="NULL"/>
    <s v="NULL"/>
    <s v="TLV C"/>
    <s v="POOL TRANSACCIONAL"/>
  </r>
  <r>
    <x v="958"/>
    <x v="0"/>
    <n v="20609931150"/>
    <s v="CATERING CANELOS S.A.C."/>
    <s v="."/>
    <n v="10266541"/>
    <s v="Ágil Recurrente CEM"/>
    <s v="B20210"/>
    <n v="26945.431640625"/>
    <d v="2025-03-26T00:00:00"/>
    <n v="21.200001"/>
    <s v="TIENDAS"/>
    <s v="TIENDAS"/>
    <s v="Recurrente Ágil CEM"/>
    <n v="202503"/>
    <n v="50002.5"/>
    <s v="B20210"/>
    <x v="39"/>
    <s v="B13161"/>
    <x v="9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991"/>
    <x v="6"/>
    <n v="20606660414"/>
    <s v="INVERSIONES TEXTILES MAXFEL"/>
    <s v="."/>
    <n v="10271841"/>
    <s v="CDD APROBADO"/>
    <s v="BPECND"/>
    <n v="152988.046875"/>
    <d v="2025-09-29T00:00:00"/>
    <n v="12"/>
    <s v="TLV"/>
    <s v="TLV"/>
    <s v="Nuevo Aprobado Agil CD"/>
    <n v="202509"/>
    <n v="164008.20000000001"/>
    <s v="NULL"/>
    <x v="2"/>
    <s v="NULL"/>
    <x v="2"/>
    <x v="17"/>
    <x v="3"/>
    <s v="P1"/>
    <s v="NULL"/>
    <n v="1"/>
    <x v="0"/>
    <n v="0"/>
    <n v="0"/>
    <n v="1"/>
    <x v="1"/>
    <n v="0"/>
    <s v="NULL"/>
    <s v="NULL"/>
    <s v="NULL"/>
    <s v="NULL"/>
    <s v="NULL"/>
    <n v="300000"/>
    <n v="0.21"/>
    <n v="0.19"/>
    <s v="TLV B"/>
    <s v="CAPITAL DE TRABAJO"/>
  </r>
  <r>
    <x v="992"/>
    <x v="12"/>
    <n v="10435749653"/>
    <s v="FERNANDEZ AYALA ELIZABETH JACQUELINE"/>
    <n v="43574965"/>
    <n v="10265428"/>
    <s v="Nuevo pre Aprobado"/>
    <s v="B45389"/>
    <n v="48331.6171875"/>
    <d v="2025-02-18T00:00:00"/>
    <n v="23.5"/>
    <s v="TIENDAS"/>
    <s v="TIENDAS"/>
    <s v="Nuevo Pre-aprobado"/>
    <n v="202502"/>
    <n v="60003"/>
    <s v="B45389"/>
    <x v="16"/>
    <s v="B45384"/>
    <x v="6"/>
    <x v="1"/>
    <x v="2"/>
    <s v="P3"/>
    <s v="NULL"/>
    <n v="1"/>
    <x v="1"/>
    <n v="0"/>
    <n v="0"/>
    <n v="0"/>
    <x v="0"/>
    <n v="0"/>
    <s v="NULL"/>
    <s v="NULL"/>
    <s v="NULL"/>
    <s v="NULL"/>
    <s v="NULL"/>
    <n v="1"/>
    <n v="0.21229999999999999"/>
    <s v="NULL"/>
    <s v="NULL"/>
    <s v="NULL"/>
  </r>
  <r>
    <x v="993"/>
    <x v="0"/>
    <n v="10310375077"/>
    <s v="LEON NAIVARES MARCOS"/>
    <n v="31037507"/>
    <n v="10265617"/>
    <s v="Ágil Recurrente CEM"/>
    <s v="B29768"/>
    <n v="67113.4375"/>
    <d v="2025-02-24T00:00:00"/>
    <n v="19.68"/>
    <s v="TIENDAS"/>
    <s v="TIENDAS"/>
    <s v="Recurrente Ágil CEM"/>
    <n v="202502"/>
    <n v="100005"/>
    <s v="B29768"/>
    <x v="32"/>
    <s v="B14530"/>
    <x v="5"/>
    <x v="4"/>
    <x v="0"/>
    <s v="P2"/>
    <s v="C3"/>
    <n v="1"/>
    <x v="0"/>
    <n v="0"/>
    <n v="0"/>
    <n v="1"/>
    <x v="0"/>
    <n v="0"/>
    <s v="NULL"/>
    <s v="NULL"/>
    <s v="NULL"/>
    <s v="NULL"/>
    <s v="NULL"/>
    <n v="50000"/>
    <n v="0.23419999999999999"/>
    <n v="0.2142"/>
    <s v="NULL"/>
    <s v="NULL"/>
  </r>
  <r>
    <x v="994"/>
    <x v="9"/>
    <n v="20600608062"/>
    <s v="RECICLA RECUPERA UN MUNDO VERDE S.A.C. -"/>
    <s v="."/>
    <n v="10265780"/>
    <s v="Regular Sin Campaña"/>
    <s v="B45374"/>
    <n v="225610.8125"/>
    <d v="2025-02-27T00:00:00"/>
    <n v="19"/>
    <s v="TIENDAS"/>
    <s v="VENDORS"/>
    <s v="Gestion Cartera"/>
    <n v="202502"/>
    <n v="250012.5"/>
    <s v="B45374"/>
    <x v="72"/>
    <s v="B45384"/>
    <x v="6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988"/>
    <x v="1"/>
    <n v="20602078109"/>
    <s v="H Y L ELECTRIC"/>
    <s v="."/>
    <n v="10266837"/>
    <s v="Ágil Recurrente CEM"/>
    <s v="B44121"/>
    <n v="81688.2421875"/>
    <d v="2025-03-31T00:00:00"/>
    <n v="19"/>
    <s v="TIENDAS"/>
    <s v="TIENDAS"/>
    <s v="Recurrente Ágil CEM"/>
    <n v="202503"/>
    <n v="153007.6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95"/>
    <x v="3"/>
    <n v="10296212992"/>
    <s v="LAURA TORRES CAROLA BETTY"/>
    <n v="29621299"/>
    <n v="10264361"/>
    <s v="Impulso Solo"/>
    <s v="B19952"/>
    <n v="45002.25"/>
    <d v="2024-12-30T00:00:00"/>
    <n v="15"/>
    <s v="TIENDAS"/>
    <s v="TIENDAS"/>
    <s v="Impulso MyPeru Comercial"/>
    <n v="202412"/>
    <n v="45002.25"/>
    <s v="B37981"/>
    <x v="4"/>
    <s v="B34489"/>
    <x v="4"/>
    <x v="1"/>
    <x v="0"/>
    <s v="P2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996"/>
    <x v="5"/>
    <n v="20493011201"/>
    <s v="J Y L EJECUTIVE TRANSPORT"/>
    <s v="."/>
    <n v="10265638"/>
    <s v="Ágil Recurrente CEM"/>
    <s v="B45076"/>
    <n v="42338.859375"/>
    <d v="2025-02-25T00:00:00"/>
    <n v="24.48"/>
    <s v="TIENDAS"/>
    <s v="TIENDAS"/>
    <s v="Recurrente Ágil CEM"/>
    <n v="202502"/>
    <n v="60003"/>
    <s v="B45076"/>
    <x v="18"/>
    <s v="B45083"/>
    <x v="7"/>
    <x v="1"/>
    <x v="2"/>
    <s v="P1"/>
    <s v="C2"/>
    <n v="1"/>
    <x v="0"/>
    <n v="0"/>
    <n v="1"/>
    <n v="1"/>
    <x v="0"/>
    <n v="0"/>
    <s v="NULL"/>
    <s v="NULL"/>
    <s v="NULL"/>
    <s v="NULL"/>
    <s v="NULL"/>
    <n v="1"/>
    <n v="1"/>
    <s v="NULL"/>
    <s v="NULL"/>
    <s v="NULL"/>
  </r>
  <r>
    <x v="997"/>
    <x v="1"/>
    <n v="10448364611"/>
    <s v="MEJIA PIÑAN ELIZABETH XIMMENA"/>
    <n v="44836461"/>
    <n v="10264763"/>
    <s v="Nuevo Aprobado"/>
    <s v="B45372"/>
    <n v="16200.8193359375"/>
    <d v="2025-01-23T00:00:00"/>
    <n v="19.200001"/>
    <s v="TLV"/>
    <s v="TLV"/>
    <s v="Nuevo Aprobado EN"/>
    <n v="202501"/>
    <n v="44202.2"/>
    <s v="B45372"/>
    <x v="56"/>
    <s v="B45384"/>
    <x v="6"/>
    <x v="1"/>
    <x v="2"/>
    <s v="P5"/>
    <s v="C3"/>
    <n v="1"/>
    <x v="0"/>
    <n v="0"/>
    <n v="0"/>
    <n v="1"/>
    <x v="0"/>
    <n v="0"/>
    <s v="NULL"/>
    <s v="NULL"/>
    <s v="NULL"/>
    <s v="NULL"/>
    <s v="NULL"/>
    <n v="1"/>
    <n v="1"/>
    <n v="0.24"/>
    <s v="NULL"/>
    <s v="NULL"/>
  </r>
  <r>
    <x v="998"/>
    <x v="10"/>
    <n v="10105356051"/>
    <s v="CHULLUNQUI CRUZ MARIA ANTONIETA"/>
    <n v="10535605"/>
    <n v="10155150"/>
    <s v="GIRO DE LINEA"/>
    <s v="B13161"/>
    <n v="162188.859375"/>
    <d v="2025-10-13T00:00:00"/>
    <n v="15"/>
    <s v="TIENDAS"/>
    <s v="TIENDAS"/>
    <s v="Giro de Línea"/>
    <n v="202510"/>
    <n v="180009"/>
    <s v="B36343"/>
    <x v="40"/>
    <s v="B13161"/>
    <x v="9"/>
    <x v="4"/>
    <x v="0"/>
    <s v="P1"/>
    <s v="C2"/>
    <n v="1"/>
    <x v="0"/>
    <n v="0"/>
    <n v="0"/>
    <n v="1"/>
    <x v="0"/>
    <n v="0"/>
    <s v="NULL"/>
    <s v="NULL"/>
    <s v="NULL"/>
    <s v="NULL"/>
    <s v="NULL"/>
    <n v="220000"/>
    <n v="0.21890000000000001"/>
    <n v="0.16200000000000001"/>
    <s v="NULL"/>
    <s v="NULL"/>
  </r>
  <r>
    <x v="999"/>
    <x v="10"/>
    <n v="20526228830"/>
    <s v="INVERSIONES MARIA FERNANDA"/>
    <s v="."/>
    <n v="10156845"/>
    <s v="GIRO DE LINEA"/>
    <s v="B46175"/>
    <n v="112281.8203125"/>
    <d v="2025-04-11T00:00:00"/>
    <n v="17"/>
    <s v="TIENDAS"/>
    <s v="TIENDAS"/>
    <s v="Giro de Línea"/>
    <n v="202504"/>
    <n v="180009"/>
    <s v="B46175"/>
    <x v="70"/>
    <s v="B14530"/>
    <x v="5"/>
    <x v="9"/>
    <x v="0"/>
    <s v="P1"/>
    <s v="C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000"/>
    <x v="12"/>
    <n v="20492974243"/>
    <s v="AMBIENTE Y DESARROLLO SOSTENIBLE"/>
    <s v="."/>
    <n v="10245597"/>
    <s v="Recurrente Reactiva Negocio"/>
    <s v="B45749"/>
    <n v="16705.9140625"/>
    <d v="2023-11-10T00:00:00"/>
    <n v="19.2"/>
    <s v="TIENDAS"/>
    <s v="TIENDAS"/>
    <s v="Recurrente Reactiva CEM"/>
    <n v="202311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01"/>
    <x v="11"/>
    <n v="20603842651"/>
    <s v="PROVEEDORES INDUSTRIALES 3R"/>
    <s v="."/>
    <n v="10262297"/>
    <s v="GIRO DE LINEA"/>
    <s v="B13161"/>
    <n v="22462.298828125"/>
    <d v="2024-10-31T00:00:00"/>
    <n v="18.8"/>
    <s v="TIENDAS"/>
    <s v="TIENDAS"/>
    <s v="NULL"/>
    <n v="202410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02"/>
    <x v="10"/>
    <n v="20602495133"/>
    <s v="ARS LOGISTICS"/>
    <s v="."/>
    <n v="10273459"/>
    <s v="Recurrente Aprobado Agil"/>
    <s v="B27596"/>
    <n v="124181.1953125"/>
    <d v="2025-11-26T00:00:00"/>
    <n v="16.5"/>
    <s v="TIENDAS"/>
    <s v="TIENDAS"/>
    <s v="Recurrente Ágil CEM"/>
    <n v="202511"/>
    <n v="133406.65"/>
    <s v="B27596"/>
    <x v="38"/>
    <s v="B13988"/>
    <x v="1"/>
    <x v="4"/>
    <x v="0"/>
    <s v="P1"/>
    <s v="C1_2"/>
    <n v="1"/>
    <x v="0"/>
    <n v="0"/>
    <n v="0"/>
    <n v="1"/>
    <x v="0"/>
    <n v="0"/>
    <s v="NULL"/>
    <s v="NULL"/>
    <s v="NULL"/>
    <s v="NULL"/>
    <s v="NULL"/>
    <n v="112600"/>
    <n v="0.21"/>
    <n v="0.19"/>
    <s v="NULL"/>
    <s v="NULL"/>
  </r>
  <r>
    <x v="1003"/>
    <x v="6"/>
    <n v="20610365613"/>
    <s v="PROYECTOS GENERALES PERU"/>
    <s v="."/>
    <n v="10270520"/>
    <s v="Regular Sin Campaña"/>
    <s v="B33503"/>
    <n v="242731.453125"/>
    <d v="2025-08-20T00:00:00"/>
    <n v="19"/>
    <s v="TIENDAS"/>
    <s v="TIENDAS"/>
    <s v="Gestion Cartera"/>
    <n v="202508"/>
    <n v="180434.79"/>
    <s v="B33503"/>
    <x v="10"/>
    <s v="B14821"/>
    <x v="3"/>
    <x v="0"/>
    <x v="0"/>
    <s v="P1"/>
    <s v="NULL"/>
    <n v="1"/>
    <x v="0"/>
    <n v="0"/>
    <n v="1"/>
    <n v="1"/>
    <x v="0"/>
    <n v="0"/>
    <s v="NULL"/>
    <s v="NULL"/>
    <s v="NULL"/>
    <s v="NULL"/>
    <s v="NULL"/>
    <n v="0"/>
    <n v="0"/>
    <n v="0.19"/>
    <s v="NULL"/>
    <s v="NULL"/>
  </r>
  <r>
    <x v="1004"/>
    <x v="10"/>
    <n v="20607579033"/>
    <s v="CHRISMAR PERU"/>
    <s v="."/>
    <n v="10270754"/>
    <s v="Nuevo pre Aprobado"/>
    <s v="B20210"/>
    <n v="75083.359375"/>
    <d v="2025-08-27T00:00:00"/>
    <n v="19"/>
    <s v="TIENDAS"/>
    <s v="VENDORS"/>
    <s v="Nuevo Pre-aprobado"/>
    <n v="202508"/>
    <n v="100005"/>
    <s v="B20210"/>
    <x v="39"/>
    <s v="B13161"/>
    <x v="9"/>
    <x v="5"/>
    <x v="0"/>
    <s v="P1"/>
    <s v="C2"/>
    <n v="1"/>
    <x v="1"/>
    <n v="0"/>
    <n v="0"/>
    <n v="0"/>
    <x v="0"/>
    <n v="0"/>
    <s v="NULL"/>
    <s v="NULL"/>
    <s v="NULL"/>
    <s v="NULL"/>
    <s v="NULL"/>
    <n v="50000"/>
    <n v="0.20449999999999999"/>
    <n v="0.1845"/>
    <s v="NULL"/>
    <s v="NULL"/>
  </r>
  <r>
    <x v="1005"/>
    <x v="2"/>
    <n v="20604066795"/>
    <s v="DENTPLANET E.I.R.L."/>
    <s v="."/>
    <n v="10265339"/>
    <s v="Nuevo Aprobado"/>
    <s v="B19752"/>
    <n v="54667.43359375"/>
    <d v="2025-02-14T00:00:00"/>
    <n v="18.200001"/>
    <s v="TLV"/>
    <s v="TLV"/>
    <s v="Nuevo Aprobado EN"/>
    <n v="202502"/>
    <n v="70003.5"/>
    <s v="b19752"/>
    <x v="43"/>
    <s v="B13988"/>
    <x v="8"/>
    <x v="4"/>
    <x v="0"/>
    <s v="P1"/>
    <s v="NULL"/>
    <n v="1"/>
    <x v="0"/>
    <n v="0"/>
    <n v="1"/>
    <n v="1"/>
    <x v="0"/>
    <n v="0"/>
    <s v="NULL"/>
    <s v="NULL"/>
    <s v="NULL"/>
    <s v="NULL"/>
    <s v="NULL"/>
    <n v="250000"/>
    <n v="0.21"/>
    <n v="0.19"/>
    <s v="NULL"/>
    <s v="NULL"/>
  </r>
  <r>
    <x v="1006"/>
    <x v="7"/>
    <n v="10453082950"/>
    <s v="CASTILLO GAYTAN ROCIO ISABEL"/>
    <n v="45308295"/>
    <n v="10272635"/>
    <s v="Nuevo Aprobado Ágil"/>
    <s v="B22989"/>
    <n v="47117.79296875"/>
    <d v="2025-10-28T00:00:00"/>
    <n v="20.6"/>
    <s v="TLV"/>
    <s v="TLV"/>
    <s v="Nuevo Aprobado Agil"/>
    <n v="202510"/>
    <n v="48802.40000000000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07"/>
    <x v="6"/>
    <n v="20544559177"/>
    <s v="CORPORACION TEXTIL FRALUSE"/>
    <s v="."/>
    <n v="10253446"/>
    <s v="Impulso CDI Cobertura"/>
    <s v="B28664"/>
    <n v="26189.359375"/>
    <d v="2024-05-23T00:00:00"/>
    <n v="16.899999999999999"/>
    <s v="TIENDAS"/>
    <s v="TIENDAS"/>
    <s v="Impulso MyPeru Comercial"/>
    <n v="202405"/>
    <n v="132666.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08"/>
    <x v="2"/>
    <n v="20610000356"/>
    <s v="VALTURI"/>
    <s v="."/>
    <n v="10268307"/>
    <s v="Ágil Recurrente CEM"/>
    <s v="B34669"/>
    <n v="199240.5625"/>
    <d v="2025-05-29T00:00:00"/>
    <n v="16.5"/>
    <s v="TIENDAS"/>
    <s v="TIENDAS"/>
    <s v="Recurrente Ágil CEM"/>
    <n v="202505"/>
    <n v="250012.5"/>
    <s v="B37981"/>
    <x v="4"/>
    <s v="B34489"/>
    <x v="4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613"/>
    <s v="NULL"/>
    <s v="NULL"/>
    <s v="NULL"/>
  </r>
  <r>
    <x v="1009"/>
    <x v="5"/>
    <n v="10258193739"/>
    <s v="ZAVALETA VICARINA FELIX EMILIANO"/>
    <n v="25819373"/>
    <n v="10266070"/>
    <s v="CDD APROBADO"/>
    <s v="B45439"/>
    <n v="14951.015625"/>
    <d v="2025-03-10T00:00:00"/>
    <n v="23.5"/>
    <s v="TLV"/>
    <s v="TLV"/>
    <s v="Nuevo Aprobado Agil CD"/>
    <n v="202503"/>
    <n v="21276.05"/>
    <s v="B45439"/>
    <x v="29"/>
    <s v="B45083"/>
    <x v="7"/>
    <x v="1"/>
    <x v="2"/>
    <s v="P2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10"/>
    <x v="1"/>
    <n v="20487592979"/>
    <s v="CENTRO DE SERVICIOS AUTOMOTRIZ"/>
    <s v="."/>
    <n v="10264531"/>
    <s v="Ágil Recurrente"/>
    <s v="B14530"/>
    <n v="69994.6875"/>
    <d v="2025-01-13T00:00:00"/>
    <n v="16.5"/>
    <s v="TIENDAS"/>
    <s v="TIENDAS"/>
    <s v="Recurrente Aprobado"/>
    <n v="202501"/>
    <n v="75519.7"/>
    <s v="B25972"/>
    <x v="55"/>
    <s v="B14530"/>
    <x v="5"/>
    <x v="5"/>
    <x v="0"/>
    <s v="P5"/>
    <s v="C1_1"/>
    <n v="1"/>
    <x v="0"/>
    <n v="0"/>
    <n v="0"/>
    <n v="1"/>
    <x v="2"/>
    <n v="0"/>
    <s v="NULL"/>
    <s v="NULL"/>
    <s v="NULL"/>
    <s v="NULL"/>
    <s v="NULL"/>
    <n v="500000"/>
    <n v="0.21"/>
    <n v="0.19"/>
    <s v="NULL"/>
    <s v="NULL"/>
  </r>
  <r>
    <x v="1011"/>
    <x v="7"/>
    <n v="20601394422"/>
    <s v="JSERVIM"/>
    <s v="."/>
    <n v="10264548"/>
    <s v="Ágil Recurrente CEM"/>
    <s v="B46570"/>
    <n v="62130.56640625"/>
    <d v="2025-01-14T00:00:00"/>
    <n v="17"/>
    <s v="TIENDAS"/>
    <s v="TIENDAS"/>
    <s v="Recurrente Ágil CEM"/>
    <n v="202501"/>
    <n v="100005"/>
    <s v="B46570"/>
    <x v="101"/>
    <s v="B14821"/>
    <x v="3"/>
    <x v="4"/>
    <x v="0"/>
    <s v="P1"/>
    <s v="C2"/>
    <n v="1"/>
    <x v="1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1012"/>
    <x v="0"/>
    <n v="10181569960"/>
    <s v="FERNANDEZ SILVA JOSE JOHNNY"/>
    <n v="18156996"/>
    <n v="10271152"/>
    <s v="CDD APROBADO"/>
    <s v="B33958"/>
    <n v="76921.765625"/>
    <d v="2025-09-09T00:00:00"/>
    <n v="16.5"/>
    <s v="TLV"/>
    <s v="TLV"/>
    <s v="Nuevo Aprobado Agil CD"/>
    <n v="202509"/>
    <n v="86254.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13"/>
    <x v="1"/>
    <n v="20492973433"/>
    <s v="RENZO &amp; ALEXANDER CORPORATION SAC"/>
    <s v="."/>
    <n v="10134480"/>
    <s v="GIRO DE LINEA"/>
    <s v="B43714"/>
    <n v="141860.296875"/>
    <d v="2025-05-02T00:00:00"/>
    <n v="17"/>
    <s v="TIENDAS"/>
    <s v="TIENDAS"/>
    <s v="Giro de Línea"/>
    <n v="202505"/>
    <n v="200010"/>
    <s v="B43714"/>
    <x v="64"/>
    <s v="B14821"/>
    <x v="3"/>
    <x v="6"/>
    <x v="0"/>
    <s v="P5"/>
    <s v="C1_2"/>
    <n v="1"/>
    <x v="0"/>
    <n v="0"/>
    <n v="0"/>
    <n v="1"/>
    <x v="0"/>
    <n v="0"/>
    <s v="NULL"/>
    <s v="NULL"/>
    <s v="NULL"/>
    <s v="NULL"/>
    <s v="NULL"/>
    <n v="42500"/>
    <n v="0.21"/>
    <n v="0.19"/>
    <s v="NULL"/>
    <s v="NULL"/>
  </r>
  <r>
    <x v="1014"/>
    <x v="6"/>
    <n v="20609942844"/>
    <s v="NEGOCIACIONES ELECTRO BENDEZU E.I.R.L."/>
    <s v="."/>
    <n v="10253393"/>
    <s v="Impulso Mixto"/>
    <s v="B19752"/>
    <n v="32601.169921875"/>
    <d v="2024-05-22T00:00:00"/>
    <n v="15.5"/>
    <s v="TIENDAS"/>
    <s v="TIENDAS"/>
    <s v="Impulso MyPeru Comercial"/>
    <n v="202405"/>
    <n v="90004.5"/>
    <s v="b19752"/>
    <x v="43"/>
    <s v="B13988"/>
    <x v="8"/>
    <x v="20"/>
    <x v="0"/>
    <s v="P1"/>
    <s v="NULL"/>
    <n v="1"/>
    <x v="0"/>
    <n v="0"/>
    <n v="1"/>
    <n v="1"/>
    <x v="0"/>
    <n v="0"/>
    <s v="NULL"/>
    <s v="NULL"/>
    <s v="NULL"/>
    <s v="NULL"/>
    <s v="NULL"/>
    <s v="NULL"/>
    <s v="NULL"/>
    <s v="NULL"/>
    <s v="NULL"/>
    <s v="NULL"/>
  </r>
  <r>
    <x v="1015"/>
    <x v="10"/>
    <n v="20606731001"/>
    <s v="AQP ENFERMERAS E.I.R.L."/>
    <s v="."/>
    <n v="10270983"/>
    <s v="CDD APROBADO"/>
    <s v="B46527"/>
    <n v="100770.140625"/>
    <d v="2025-08-29T00:00:00"/>
    <n v="17"/>
    <s v="TLV"/>
    <s v="TLV"/>
    <s v="Nuevo Aprobado Agil CD"/>
    <n v="202508"/>
    <n v="123056.15"/>
    <s v="B46527"/>
    <x v="75"/>
    <s v="B34489"/>
    <x v="4"/>
    <x v="4"/>
    <x v="0"/>
    <s v="P1"/>
    <s v="C2"/>
    <n v="1"/>
    <x v="0"/>
    <n v="0"/>
    <n v="1"/>
    <n v="1"/>
    <x v="0"/>
    <n v="0"/>
    <s v="NULL"/>
    <s v="NULL"/>
    <s v="NULL"/>
    <s v="NULL"/>
    <s v="NULL"/>
    <n v="250000"/>
    <n v="0.21"/>
    <n v="0.19"/>
    <s v="NULL"/>
    <s v="NULL"/>
  </r>
  <r>
    <x v="1016"/>
    <x v="6"/>
    <n v="20603953488"/>
    <s v="INVERSIONES CSB S.A.C"/>
    <s v="."/>
    <n v="10267711"/>
    <s v="Nuevo Aprobado Ágil"/>
    <s v="B22846"/>
    <n v="222327.828125"/>
    <d v="2025-05-12T00:00:00"/>
    <n v="18"/>
    <s v="TLV"/>
    <s v="TLV"/>
    <s v="Nuevo Aprobado EN"/>
    <n v="202505"/>
    <n v="250012.5"/>
    <s v="B22846"/>
    <x v="47"/>
    <s v="B13988"/>
    <x v="8"/>
    <x v="4"/>
    <x v="0"/>
    <s v="P1"/>
    <s v="NULL"/>
    <n v="1"/>
    <x v="0"/>
    <n v="0"/>
    <n v="0"/>
    <n v="1"/>
    <x v="0"/>
    <n v="0"/>
    <s v="NULL"/>
    <s v="NULL"/>
    <s v="NULL"/>
    <s v="NULL"/>
    <s v="NULL"/>
    <n v="171900"/>
    <n v="0.21"/>
    <n v="0.19"/>
    <s v="NULL"/>
    <s v="NULL"/>
  </r>
  <r>
    <x v="1017"/>
    <x v="2"/>
    <n v="20607534731"/>
    <s v="INVERSIONES RAXISO E.I.R.L."/>
    <s v="."/>
    <n v="10268031"/>
    <s v="Regular Sin Campaña"/>
    <s v="B45439"/>
    <n v="89246.9453125"/>
    <d v="2025-05-22T00:00:00"/>
    <n v="18"/>
    <s v="TIENDAS VIRTUALES"/>
    <s v="TIENDAS VIRTUALES"/>
    <s v="Gestion Cartera"/>
    <n v="202505"/>
    <n v="100005"/>
    <s v="B45439"/>
    <x v="29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5929999999999997"/>
    <s v="NULL"/>
    <s v="NULL"/>
    <s v="NULL"/>
  </r>
  <r>
    <x v="1018"/>
    <x v="10"/>
    <n v="20608965395"/>
    <s v="ATIZAR EMPRESA INDIVIDUAL DE RESPONSABIL"/>
    <s v="."/>
    <n v="10265599"/>
    <s v="Ágil Recurrente CEM"/>
    <s v="B30094"/>
    <n v="144412.421875"/>
    <d v="2025-02-24T00:00:00"/>
    <n v="14.5"/>
    <s v="TIENDAS"/>
    <s v="TIENDAS"/>
    <s v="Recurrente Ágil CEM"/>
    <n v="202502"/>
    <n v="250012.5"/>
    <s v="B30094"/>
    <x v="48"/>
    <s v="B34489"/>
    <x v="4"/>
    <x v="4"/>
    <x v="0"/>
    <s v="P1"/>
    <s v="C1_2"/>
    <n v="1"/>
    <x v="0"/>
    <n v="0"/>
    <n v="0"/>
    <n v="1"/>
    <x v="0"/>
    <n v="0"/>
    <s v="NULL"/>
    <s v="NULL"/>
    <s v="NULL"/>
    <s v="NULL"/>
    <s v="NULL"/>
    <n v="71800"/>
    <n v="0.21"/>
    <n v="0.19"/>
    <s v="NULL"/>
    <s v="NULL"/>
  </r>
  <r>
    <x v="1019"/>
    <x v="12"/>
    <n v="20541799363"/>
    <s v="EMP. DE TRABAJO NAVALES R &amp; B - CHIMBOTE"/>
    <s v="."/>
    <n v="10266029"/>
    <s v="Nuevo Aprobado"/>
    <s v="BPECND"/>
    <n v="43055.3125"/>
    <d v="2025-03-07T00:00:00"/>
    <n v="25"/>
    <s v="TIENDAS"/>
    <s v="TIENDAS"/>
    <s v="Nuevo Pre-aprobado"/>
    <n v="202503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20"/>
    <x v="12"/>
    <n v="20516449994"/>
    <s v="EMPRESA DE SERVICIOS GD SAC"/>
    <s v="."/>
    <n v="10249969"/>
    <s v="Impulso Solo"/>
    <s v="BPECND"/>
    <n v="19686.75390625"/>
    <d v="2024-03-25T00:00:00"/>
    <n v="14.3"/>
    <s v="TLV"/>
    <s v="TLV"/>
    <s v="Impulso MyPeru Comercial"/>
    <n v="202403"/>
    <n v="30001.5"/>
    <s v="B45374"/>
    <x v="21"/>
    <s v="B45384"/>
    <x v="6"/>
    <x v="4"/>
    <x v="2"/>
    <s v="P1"/>
    <s v="NULL"/>
    <n v="1"/>
    <x v="1"/>
    <n v="0"/>
    <n v="0"/>
    <n v="0"/>
    <x v="2"/>
    <n v="0"/>
    <s v="NULL"/>
    <s v="NULL"/>
    <s v="NULL"/>
    <s v="NULL"/>
    <s v="NULL"/>
    <n v="400000"/>
    <n v="0.22"/>
    <n v="0.20430000000000001"/>
    <s v="NULL"/>
    <s v="NULL"/>
  </r>
  <r>
    <x v="1021"/>
    <x v="10"/>
    <n v="10435401789"/>
    <s v="GUERRERO CORREA ARISTER"/>
    <n v="43540178"/>
    <n v="10260379"/>
    <s v="Impulso Mixto"/>
    <s v="B36289"/>
    <n v="51848.1015625"/>
    <d v="2024-09-16T00:00:00"/>
    <n v="14.5"/>
    <s v="TLV"/>
    <s v="TLV"/>
    <s v="Impulso MyPeru Comercial"/>
    <n v="202409"/>
    <n v="90004.5"/>
    <s v="B36289"/>
    <x v="81"/>
    <s v="B13988"/>
    <x v="1"/>
    <x v="7"/>
    <x v="0"/>
    <s v="P2"/>
    <s v="C3"/>
    <n v="1"/>
    <x v="0"/>
    <n v="0"/>
    <n v="0"/>
    <n v="1"/>
    <x v="0"/>
    <n v="0"/>
    <s v="NULL"/>
    <s v="NULL"/>
    <s v="NULL"/>
    <s v="NULL"/>
    <s v="NULL"/>
    <n v="77000"/>
    <n v="0.21890000000000001"/>
    <n v="0.19889999999999999"/>
    <s v="NULL"/>
    <s v="NULL"/>
  </r>
  <r>
    <x v="1022"/>
    <x v="7"/>
    <n v="20603630085"/>
    <s v="INFONERC"/>
    <s v="."/>
    <n v="10256529"/>
    <s v="Impulso Solo"/>
    <s v="BPECND"/>
    <n v="51986.3046875"/>
    <d v="2024-06-26T00:00:00"/>
    <n v="15.4"/>
    <s v="TIENDAS"/>
    <s v="TIENDAS"/>
    <s v="Impulso MyPeru Comercial"/>
    <n v="202406"/>
    <n v="90004.5"/>
    <s v="NULL"/>
    <x v="2"/>
    <s v="NULL"/>
    <x v="2"/>
    <x v="12"/>
    <x v="3"/>
    <s v="P1"/>
    <s v="C2"/>
    <n v="1"/>
    <x v="0"/>
    <n v="0"/>
    <n v="0"/>
    <n v="1"/>
    <x v="1"/>
    <n v="0"/>
    <s v="NULL"/>
    <s v="NULL"/>
    <s v="NULL"/>
    <s v="NULL"/>
    <s v="NULL"/>
    <s v="NULL"/>
    <s v="NULL"/>
    <s v="NULL"/>
    <s v="TLV C"/>
    <s v="POOL TRANSACCIONAL"/>
  </r>
  <r>
    <x v="1023"/>
    <x v="6"/>
    <n v="20510187025"/>
    <s v="TECNOLOGIA ANALITICA"/>
    <s v="."/>
    <n v="10272449"/>
    <s v="Nuevo Aprobado Ágil"/>
    <s v="B22827"/>
    <n v="148307.390625"/>
    <d v="2025-10-22T00:00:00"/>
    <n v="17"/>
    <s v="TLV"/>
    <s v="TLV"/>
    <s v="Nuevo Aprobado EN"/>
    <n v="202510"/>
    <n v="148307.4"/>
    <s v="B32117"/>
    <x v="102"/>
    <s v="B17470"/>
    <x v="13"/>
    <x v="17"/>
    <x v="3"/>
    <s v="P1"/>
    <s v="NULL"/>
    <n v="1"/>
    <x v="0"/>
    <n v="1"/>
    <n v="1"/>
    <n v="1"/>
    <x v="1"/>
    <n v="148307.4"/>
    <n v="17"/>
    <d v="2025-10-22T00:00:00"/>
    <s v="Nuevo Aprobado EN"/>
    <s v="TLV"/>
    <s v="CAPITAL DE TRABAJO"/>
    <n v="300000"/>
    <n v="0.21"/>
    <n v="0.19"/>
    <s v="TLV B"/>
    <s v="CAPITAL DE TRABAJO"/>
  </r>
  <r>
    <x v="1024"/>
    <x v="7"/>
    <n v="10445424698"/>
    <s v="LLERENA JIMENEZ ANDY OLIVER"/>
    <n v="44542469"/>
    <n v="10271205"/>
    <s v="Nuevo Aprobado Ágil"/>
    <s v="B22548"/>
    <n v="55981.90625"/>
    <d v="2025-09-10T00:00:00"/>
    <n v="20"/>
    <s v="TLV"/>
    <s v="TLV"/>
    <s v="Nuevo Aprobado Agil"/>
    <n v="202509"/>
    <n v="60003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25"/>
    <x v="6"/>
    <n v="10257331607"/>
    <s v="MAMANI CCALA JERONIMO"/>
    <n v="25733160"/>
    <n v="10266448"/>
    <s v="Nuevo Aprobado"/>
    <s v="B17733"/>
    <n v="19314.11328125"/>
    <d v="2025-03-21T00:00:00"/>
    <n v="18.5"/>
    <s v="TLV"/>
    <s v="TLV"/>
    <s v="Nuevo Aprobado EN"/>
    <n v="202503"/>
    <n v="60003"/>
    <s v="NULL"/>
    <x v="2"/>
    <s v="NULL"/>
    <x v="2"/>
    <x v="4"/>
    <x v="2"/>
    <s v="P2"/>
    <s v="NULL"/>
    <n v="1"/>
    <x v="1"/>
    <n v="0"/>
    <n v="0"/>
    <n v="0"/>
    <x v="2"/>
    <n v="0"/>
    <s v="NULL"/>
    <s v="NULL"/>
    <s v="NULL"/>
    <s v="NULL"/>
    <s v="NULL"/>
    <n v="300000"/>
    <n v="0.2107"/>
    <n v="0.19070000000000001"/>
    <s v="NULL"/>
    <s v="NULL"/>
  </r>
  <r>
    <x v="1026"/>
    <x v="9"/>
    <n v="20487759008"/>
    <s v="EMPRESA DE TRANSPORTES ISABEL DEL"/>
    <s v="."/>
    <n v="10265251"/>
    <s v="Nuevo Aprobado Ágil"/>
    <s v="BPECND"/>
    <n v="41177.76171875"/>
    <d v="2025-02-11T00:00:00"/>
    <n v="18.2"/>
    <s v="TLV"/>
    <s v="TLV"/>
    <s v="Nuevo Aprobado Agil"/>
    <n v="202502"/>
    <n v="48102.40000000000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27"/>
    <x v="4"/>
    <n v="20555933968"/>
    <s v="CHUGURANO CHIKEN S.A.C."/>
    <s v="."/>
    <n v="10230271"/>
    <s v="GIRO DE LINEA"/>
    <s v="BPECND"/>
    <n v="127930.5859375"/>
    <d v="2024-11-26T00:00:00"/>
    <n v="18.5"/>
    <s v="TIENDAS"/>
    <s v="TIENDAS"/>
    <s v="Giro de Línea"/>
    <n v="202411"/>
    <n v="140007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28"/>
    <x v="12"/>
    <n v="20512419918"/>
    <s v="TECNIMAT"/>
    <s v="."/>
    <n v="10191678"/>
    <s v="Reactiva"/>
    <s v="B45631"/>
    <n v="8580.88476562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29"/>
    <x v="5"/>
    <n v="20523016963"/>
    <s v="EMPRESA DE SEGURIDAD FORTALEZA"/>
    <s v="."/>
    <n v="10203435"/>
    <s v="Reactiva"/>
    <s v="B19952"/>
    <n v="30381.51367187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30"/>
    <x v="8"/>
    <n v="20600495900"/>
    <s v="INVERSIONES LORENTY LUXURY"/>
    <s v="."/>
    <n v="10136748"/>
    <s v="GIRO DE LINEA"/>
    <s v="B45373"/>
    <n v="86001.7265625"/>
    <d v="2025-02-27T00:00:00"/>
    <n v="16.5"/>
    <s v="TIENDAS"/>
    <s v="TIENDAS"/>
    <s v="Giro de Línea"/>
    <n v="202502"/>
    <n v="100005"/>
    <s v="B45373"/>
    <x v="13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6279999999999998"/>
    <s v="NULL"/>
    <s v="NULL"/>
    <s v="NULL"/>
  </r>
  <r>
    <x v="880"/>
    <x v="7"/>
    <n v="20558660237"/>
    <s v="LE MONDE MAQUINARIAS"/>
    <s v="."/>
    <n v="10270518"/>
    <s v="Ágil Recurrente CEM"/>
    <s v="B44900"/>
    <n v="347553.21875"/>
    <d v="2025-08-20T00:00:00"/>
    <n v="16"/>
    <s v="TIENDAS"/>
    <s v="TIENDAS"/>
    <s v="Recurrente Ágil CEM"/>
    <n v="202508"/>
    <n v="319938.65999999997"/>
    <s v="B44900"/>
    <x v="19"/>
    <s v="B34489"/>
    <x v="4"/>
    <x v="4"/>
    <x v="0"/>
    <s v="P1"/>
    <s v="C2"/>
    <n v="1"/>
    <x v="0"/>
    <n v="0"/>
    <n v="0"/>
    <n v="1"/>
    <x v="0"/>
    <n v="0"/>
    <s v="NULL"/>
    <s v="NULL"/>
    <s v="NULL"/>
    <s v="NULL"/>
    <s v="NULL"/>
    <n v="400000"/>
    <n v="0.21"/>
    <n v="0.19"/>
    <s v="NULL"/>
    <s v="NULL"/>
  </r>
  <r>
    <x v="1031"/>
    <x v="0"/>
    <n v="20565639626"/>
    <s v="CORPORACION TRIVER"/>
    <s v="."/>
    <n v="10267387"/>
    <s v="CDD APROBADO"/>
    <s v="B45439"/>
    <n v="113947.6875"/>
    <d v="2025-04-25T00:00:00"/>
    <n v="15"/>
    <s v="TLV"/>
    <s v="TLV"/>
    <s v="Nuevo Aprobado Agil CD"/>
    <n v="202504"/>
    <n v="195854.75"/>
    <s v="B45439"/>
    <x v="29"/>
    <s v="B45083"/>
    <x v="7"/>
    <x v="4"/>
    <x v="2"/>
    <s v="P1"/>
    <s v="C1_1"/>
    <n v="1"/>
    <x v="0"/>
    <n v="0"/>
    <n v="0"/>
    <n v="1"/>
    <x v="0"/>
    <n v="0"/>
    <s v="NULL"/>
    <s v="NULL"/>
    <s v="NULL"/>
    <s v="NULL"/>
    <s v="NULL"/>
    <n v="400000"/>
    <n v="0.21"/>
    <n v="0.19"/>
    <s v="NULL"/>
    <s v="NULL"/>
  </r>
  <r>
    <x v="1032"/>
    <x v="6"/>
    <n v="20481964033"/>
    <s v="SERVICIOS Y CONTRATISTAS GENERALES M&amp;E S"/>
    <s v="."/>
    <n v="10266537"/>
    <s v="Nuevo NO BANK"/>
    <s v="B45386"/>
    <n v="34893.41796875"/>
    <d v="2025-03-25T00:00:00"/>
    <n v="18.200001"/>
    <s v="TLV"/>
    <s v="TLV"/>
    <s v="Nuevo Aprobado EN"/>
    <n v="202503"/>
    <n v="50002.5"/>
    <s v="B45386"/>
    <x v="27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33"/>
    <x v="3"/>
    <n v="20553512019"/>
    <s v="GESTION MEDICA EMPRESARIAL S.A.C."/>
    <s v="."/>
    <n v="10265242"/>
    <s v="Nuevo Aprobado Ágil"/>
    <s v="BPECND"/>
    <n v="29376.53515625"/>
    <d v="2025-02-11T00:00:00"/>
    <n v="18.2"/>
    <s v="TLV"/>
    <s v="TLV"/>
    <s v="Nuevo Aprobado Agil"/>
    <n v="202502"/>
    <n v="309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34"/>
    <x v="12"/>
    <n v="20554240632"/>
    <s v="INVERSIONES Y REPRESENTACIONES BRIGAL"/>
    <s v="."/>
    <n v="10253332"/>
    <s v="Impulso CDI Cobertura"/>
    <s v="B22846"/>
    <n v="132307.625"/>
    <d v="2024-05-23T00:00:00"/>
    <n v="14"/>
    <s v="TIENDAS"/>
    <s v="TIENDAS"/>
    <s v="Impulso MyPeru Comercial"/>
    <n v="202405"/>
    <n v="180009"/>
    <s v="B22846"/>
    <x v="47"/>
    <s v="B13988"/>
    <x v="8"/>
    <x v="1"/>
    <x v="0"/>
    <s v="P1"/>
    <s v="NULL"/>
    <n v="1"/>
    <x v="0"/>
    <n v="0"/>
    <n v="0"/>
    <n v="1"/>
    <x v="0"/>
    <n v="0"/>
    <s v="NULL"/>
    <s v="NULL"/>
    <s v="NULL"/>
    <s v="NULL"/>
    <s v="NULL"/>
    <n v="1"/>
    <n v="0.2233"/>
    <s v="NULL"/>
    <s v="NULL"/>
    <s v="NULL"/>
  </r>
  <r>
    <x v="1035"/>
    <x v="0"/>
    <n v="20455388857"/>
    <s v="SOLUCIONES INTEGRALES PRACTICAS RAPIDAS"/>
    <s v="."/>
    <n v="10273782"/>
    <s v="Nuevo Aprobado Ágil"/>
    <s v="BPECND"/>
    <n v="161108.046875"/>
    <d v="2025-12-10T00:00:00"/>
    <n v="16"/>
    <s v="TLV"/>
    <s v="TLV"/>
    <s v="Nuevo Aprobado Agil"/>
    <n v="202512"/>
    <n v="161108.04999999999"/>
    <s v="B40057"/>
    <x v="103"/>
    <s v="B17470"/>
    <x v="13"/>
    <x v="16"/>
    <x v="3"/>
    <s v="P1"/>
    <s v="C1_2"/>
    <n v="1"/>
    <x v="0"/>
    <n v="1"/>
    <n v="1"/>
    <n v="1"/>
    <x v="1"/>
    <n v="161108.04999999999"/>
    <n v="16"/>
    <d v="2025-12-10T00:00:00"/>
    <s v="Nuevo Aprobado Agil"/>
    <s v="TLV"/>
    <s v="CAPITAL DE TRABAJO"/>
    <n v="161100"/>
    <n v="0.20499999999999999"/>
    <n v="0.16500000000000001"/>
    <s v="TLV B"/>
    <s v="CAPITAL DE TRABAJO"/>
  </r>
  <r>
    <x v="1036"/>
    <x v="5"/>
    <n v="20603590741"/>
    <s v="INVERSIONES MARHON"/>
    <s v="."/>
    <n v="10253907"/>
    <s v="Ágil Recurrente CEM"/>
    <s v="B30425"/>
    <n v="66268.4609375"/>
    <d v="2024-05-27T00:00:00"/>
    <n v="16.450001"/>
    <s v="TIENDAS"/>
    <s v="TIENDAS"/>
    <s v="Recurrente Ágil CEM"/>
    <n v="202405"/>
    <n v="154806.70000000001"/>
    <s v="B30425"/>
    <x v="46"/>
    <s v="B13988"/>
    <x v="8"/>
    <x v="4"/>
    <x v="0"/>
    <s v="P1"/>
    <s v="C2"/>
    <n v="1"/>
    <x v="1"/>
    <n v="0"/>
    <n v="0"/>
    <n v="0"/>
    <x v="0"/>
    <n v="0"/>
    <s v="NULL"/>
    <s v="NULL"/>
    <s v="NULL"/>
    <s v="NULL"/>
    <s v="NULL"/>
    <n v="250000"/>
    <n v="0.19"/>
    <n v="0.17"/>
    <s v="NULL"/>
    <s v="NULL"/>
  </r>
  <r>
    <x v="1037"/>
    <x v="8"/>
    <n v="20556443492"/>
    <s v="GRUPO D NINFA"/>
    <s v="."/>
    <n v="10242407"/>
    <s v="Ágil Recurrente CEM"/>
    <s v="B33503"/>
    <n v="11617.158203125"/>
    <d v="2023-08-08T00:00:00"/>
    <n v="19.899999999999999"/>
    <s v="TIENDAS"/>
    <s v="TIENDAS"/>
    <s v="Recurrente Ágil CEM"/>
    <n v="202308"/>
    <n v="235011.75"/>
    <s v="B43903"/>
    <x v="67"/>
    <s v="B14821"/>
    <x v="3"/>
    <x v="4"/>
    <x v="0"/>
    <s v="P1"/>
    <s v="NULL"/>
    <n v="1"/>
    <x v="0"/>
    <n v="0"/>
    <n v="0"/>
    <n v="1"/>
    <x v="0"/>
    <n v="0"/>
    <s v="NULL"/>
    <s v="NULL"/>
    <s v="NULL"/>
    <s v="NULL"/>
    <s v="NULL"/>
    <n v="400000"/>
    <n v="0.23"/>
    <n v="0.21"/>
    <s v="NULL"/>
    <s v="NULL"/>
  </r>
  <r>
    <x v="1038"/>
    <x v="7"/>
    <n v="20600070151"/>
    <s v="FERRETERIA Y DISTRIBUIDORA NICOL"/>
    <s v="."/>
    <n v="10170146"/>
    <s v="GIRO DE LINEA"/>
    <s v="B22760"/>
    <n v="152560.703125"/>
    <d v="2025-09-16T00:00:00"/>
    <n v="16"/>
    <s v="TIENDAS"/>
    <s v="TIENDAS"/>
    <s v="Giro de Línea"/>
    <n v="202509"/>
    <n v="180009"/>
    <s v="B22760"/>
    <x v="42"/>
    <s v="B34489"/>
    <x v="4"/>
    <x v="0"/>
    <x v="0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039"/>
    <x v="6"/>
    <n v="20521051966"/>
    <s v="JEMS MEDICAL EXPRESS"/>
    <s v="."/>
    <n v="10254690"/>
    <s v="Impulso Mixto"/>
    <s v="B30973"/>
    <n v="185539.3125"/>
    <d v="2024-06-04T00:00:00"/>
    <n v="15.5"/>
    <s v="TIENDAS"/>
    <s v="TIENDAS"/>
    <s v="Impulso MyPeru Comercial"/>
    <n v="202406"/>
    <n v="300015"/>
    <s v="B30973"/>
    <x v="11"/>
    <s v="B14821"/>
    <x v="3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40"/>
    <x v="4"/>
    <n v="20607390275"/>
    <s v="BAZAR NATURAL ALESSANDRO"/>
    <s v="."/>
    <n v="10249907"/>
    <s v="Impulso CDI Cobertura"/>
    <s v="B35703"/>
    <n v="60635.7890625"/>
    <d v="2024-03-25T00:00:00"/>
    <n v="14.7"/>
    <s v="TLV"/>
    <s v="TLV"/>
    <s v="Impulso MyPeru Comercial"/>
    <n v="202403"/>
    <n v="13462.78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41"/>
    <x v="5"/>
    <n v="20601846021"/>
    <s v="DATA CENTER PERU COMPANY E.I.R.L."/>
    <s v="."/>
    <n v="10248687"/>
    <s v="Impulso Solo"/>
    <s v="B30114"/>
    <n v="44633.29296875"/>
    <d v="2024-02-29T00:00:00"/>
    <n v="16"/>
    <s v="TLV"/>
    <s v="TLV"/>
    <s v="Impulso MyPeru Comercial"/>
    <n v="202402"/>
    <n v="90004.5"/>
    <s v="B30114"/>
    <x v="8"/>
    <s v="B34489"/>
    <x v="4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42"/>
    <x v="10"/>
    <n v="10103980033"/>
    <s v="CESPEDES RODRIGUEZ BRAULIO RAUL"/>
    <n v="10398003"/>
    <n v="10248991"/>
    <s v="Impulso Mixto"/>
    <s v="B45375"/>
    <n v="28740.205078125"/>
    <d v="2024-03-06T00:00:00"/>
    <n v="13.8"/>
    <s v="TLV"/>
    <s v="TLV"/>
    <s v="Impulso MyPeru Comercial"/>
    <n v="202403"/>
    <n v="90004.5"/>
    <s v="B45375"/>
    <x v="65"/>
    <s v="B45384"/>
    <x v="6"/>
    <x v="5"/>
    <x v="2"/>
    <s v="P2"/>
    <s v="C3"/>
    <n v="1"/>
    <x v="1"/>
    <n v="0"/>
    <n v="0"/>
    <n v="0"/>
    <x v="0"/>
    <n v="0"/>
    <s v="NULL"/>
    <s v="NULL"/>
    <s v="NULL"/>
    <s v="NULL"/>
    <s v="NULL"/>
    <n v="250000"/>
    <n v="0.24390000000000001"/>
    <n v="0.22389999999999999"/>
    <s v="NULL"/>
    <s v="NULL"/>
  </r>
  <r>
    <x v="772"/>
    <x v="2"/>
    <n v="20604579407"/>
    <s v="DISTRIBUCIONES MERCANTIL SAM E.I.R.L."/>
    <s v="."/>
    <n v="10270629"/>
    <s v="Ágil Recurrente CEM"/>
    <s v="B30094"/>
    <n v="190009.5"/>
    <d v="2025-08-22T00:00:00"/>
    <n v="17"/>
    <s v="TIENDAS"/>
    <s v="TIENDAS"/>
    <s v="Recurrente Ágil CEM"/>
    <n v="202508"/>
    <n v="190009.5"/>
    <s v="B30094"/>
    <x v="48"/>
    <s v="B34489"/>
    <x v="4"/>
    <x v="4"/>
    <x v="0"/>
    <s v="P1"/>
    <s v="NULL"/>
    <n v="1"/>
    <x v="0"/>
    <n v="1"/>
    <n v="1"/>
    <n v="1"/>
    <x v="0"/>
    <n v="190009.5"/>
    <n v="17"/>
    <d v="2025-08-22T00:00:00"/>
    <s v="Recurrente Ágil CEM"/>
    <s v="TIENDAS"/>
    <s v="CAPITAL DE TRABAJO"/>
    <n v="400000"/>
    <n v="0.23"/>
    <n v="0.21"/>
    <s v="NULL"/>
    <s v="NULL"/>
  </r>
  <r>
    <x v="1043"/>
    <x v="6"/>
    <n v="20539648935"/>
    <s v="ASJ PERU PUBLICIDAD"/>
    <s v="."/>
    <n v="10168178"/>
    <s v="GIRO DE LINEA"/>
    <s v="B45389"/>
    <n v="75351.09375"/>
    <d v="2026-02-24T00:00:00"/>
    <n v="16"/>
    <s v="TIENDAS"/>
    <s v="TIENDAS"/>
    <s v="Giro de Línea"/>
    <n v="202602"/>
    <n v="130006.5"/>
    <s v="B45389"/>
    <x v="16"/>
    <s v="B45384"/>
    <x v="6"/>
    <x v="4"/>
    <x v="2"/>
    <s v="P1"/>
    <s v="NULL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1044"/>
    <x v="2"/>
    <n v="20607887323"/>
    <s v="DOMARI COMERCIALIZADORA Y SERVICIOS"/>
    <s v="."/>
    <n v="10261588"/>
    <s v="Impulso Solo"/>
    <s v="B45373"/>
    <n v="71789.1328125"/>
    <d v="2024-10-16T00:00:00"/>
    <n v="17.899999999999999"/>
    <s v="TLV"/>
    <s v="TLV"/>
    <s v="Impulso MyPeru Comercial"/>
    <n v="202410"/>
    <n v="83894.15"/>
    <s v="B45373"/>
    <x v="13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6929999999999998"/>
    <s v="NULL"/>
    <s v="NULL"/>
    <s v="NULL"/>
  </r>
  <r>
    <x v="1045"/>
    <x v="10"/>
    <n v="10320437721"/>
    <s v="ABAL GRAZA ROSA PAULINA"/>
    <n v="32043772"/>
    <n v="10265940"/>
    <s v="CDD APROBADO"/>
    <s v="B45240"/>
    <n v="43276.8828125"/>
    <d v="2025-03-03T00:00:00"/>
    <n v="14"/>
    <s v="TLV"/>
    <s v="TLV"/>
    <s v="Nuevo Aprobado Agil CD"/>
    <n v="202503"/>
    <n v="75098.75"/>
    <s v="B45240"/>
    <x v="57"/>
    <s v="B45083"/>
    <x v="7"/>
    <x v="5"/>
    <x v="2"/>
    <s v="P2"/>
    <s v="C3"/>
    <n v="1"/>
    <x v="1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1046"/>
    <x v="3"/>
    <n v="20524462797"/>
    <s v="EMPRESA COMERCIALIZADORA DIAZ HERMANOS S"/>
    <s v="."/>
    <n v="10264516"/>
    <s v="Nuevo Aprobado"/>
    <s v="BPECND"/>
    <n v="134984.125"/>
    <d v="2025-01-13T00:00:00"/>
    <n v="18.200001"/>
    <s v="TLV"/>
    <s v="TLV"/>
    <s v="Nuevo Aprobado EN"/>
    <n v="202501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47"/>
    <x v="10"/>
    <n v="20610082778"/>
    <s v="FOGON GASTRONOMICO E.I.R.L."/>
    <s v="."/>
    <n v="10271480"/>
    <s v="CDD PRE APROBADO"/>
    <s v="B45372"/>
    <n v="116166.90625"/>
    <d v="2025-09-18T00:00:00"/>
    <n v="18"/>
    <s v="TIENDAS VIRTUALES"/>
    <s v="VENDORS"/>
    <s v="Gestion Cartera"/>
    <n v="202509"/>
    <n v="223011.15"/>
    <s v="B45372"/>
    <x v="56"/>
    <s v="B45384"/>
    <x v="6"/>
    <x v="1"/>
    <x v="2"/>
    <s v="P1"/>
    <s v="C1_2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1048"/>
    <x v="5"/>
    <n v="20604068933"/>
    <s v="OTIMIKUNA FUSION"/>
    <s v="."/>
    <n v="10270093"/>
    <s v="Nuevo Aprobado"/>
    <s v="BPECND"/>
    <n v="66656.234375"/>
    <d v="2025-07-31T00:00:00"/>
    <n v="20"/>
    <s v="TLV"/>
    <s v="TLV"/>
    <s v="Nuevo Aprobado EN"/>
    <n v="202507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49"/>
    <x v="8"/>
    <n v="10726574851"/>
    <s v="CHUQUI VILLANUEVA LENIN AGUSTIN"/>
    <n v="72657485"/>
    <n v="10266514"/>
    <s v="CDD APROBADO"/>
    <s v="B45373"/>
    <n v="46864.65625"/>
    <d v="2025-03-25T00:00:00"/>
    <n v="16.5"/>
    <s v="TLV"/>
    <s v="TLV"/>
    <s v="Nuevo Aprobado Agil CD"/>
    <n v="202503"/>
    <n v="52392.3"/>
    <s v="B45373"/>
    <x v="13"/>
    <s v="B45384"/>
    <x v="6"/>
    <x v="1"/>
    <x v="2"/>
    <s v="P3"/>
    <s v="NULL"/>
    <n v="1"/>
    <x v="1"/>
    <n v="0"/>
    <n v="0"/>
    <n v="0"/>
    <x v="0"/>
    <n v="0"/>
    <s v="NULL"/>
    <s v="NULL"/>
    <s v="NULL"/>
    <s v="NULL"/>
    <s v="NULL"/>
    <n v="1"/>
    <n v="0.1978"/>
    <s v="NULL"/>
    <s v="NULL"/>
    <s v="NULL"/>
  </r>
  <r>
    <x v="1050"/>
    <x v="3"/>
    <n v="20538301702"/>
    <s v="REPUESTOS Y AUTOPARTES CASTILLO"/>
    <s v="."/>
    <n v="10264756"/>
    <s v="Nuevo Aprobado"/>
    <s v="BPECND"/>
    <n v="41024.453125"/>
    <d v="2025-01-23T00:00:00"/>
    <n v="18.200001"/>
    <s v="TLV"/>
    <s v="TLV"/>
    <s v="Nuevo Aprobado EN"/>
    <n v="202501"/>
    <n v="42954.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51"/>
    <x v="6"/>
    <n v="20600886283"/>
    <s v="IMPORTACIONES JUVAS HNOS"/>
    <s v="."/>
    <n v="10172394"/>
    <s v="GIRO DE LINEA"/>
    <s v="B36289"/>
    <n v="92093.0859375"/>
    <d v="2024-08-13T00:00:00"/>
    <n v="20.5"/>
    <s v="TIENDAS"/>
    <s v="TIENDAS"/>
    <s v="Giro de Línea"/>
    <n v="202408"/>
    <n v="180009"/>
    <s v="B36289"/>
    <x v="81"/>
    <s v="B13988"/>
    <x v="8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52"/>
    <x v="1"/>
    <n v="20537376920"/>
    <s v="EVALUACIONES AMBIENTALES PARA LA SOSTENI"/>
    <s v="."/>
    <n v="10242412"/>
    <s v="Ágil Recurrente CEM"/>
    <s v="B27274"/>
    <n v="37128.83203125"/>
    <d v="2023-08-08T00:00:00"/>
    <n v="19.899999999999999"/>
    <s v="TIENDAS"/>
    <s v="TIENDAS"/>
    <s v="Recurrente Ágil CEM"/>
    <n v="202308"/>
    <n v="154607.70000000001"/>
    <s v="B14327"/>
    <x v="49"/>
    <s v="B27274"/>
    <x v="0"/>
    <x v="5"/>
    <x v="0"/>
    <s v="P3"/>
    <s v="C2"/>
    <n v="1"/>
    <x v="0"/>
    <n v="0"/>
    <n v="0"/>
    <n v="0"/>
    <x v="0"/>
    <n v="0"/>
    <s v="NULL"/>
    <s v="NULL"/>
    <s v="NULL"/>
    <s v="NULL"/>
    <s v="NULL"/>
    <n v="500000"/>
    <n v="0.21"/>
    <n v="0.19"/>
    <s v="NULL"/>
    <s v="NULL"/>
  </r>
  <r>
    <x v="158"/>
    <x v="7"/>
    <n v="20608748343"/>
    <s v="ESTETICA SIEMPRE BELLA"/>
    <s v="."/>
    <n v="10271187"/>
    <s v="Recurrente Aprobado Agil"/>
    <s v="B45374"/>
    <n v="104314.15625"/>
    <d v="2025-09-10T00:00:00"/>
    <n v="16"/>
    <s v="TIENDAS VIRTUALES"/>
    <s v="TIENDAS VIRTUALES"/>
    <s v="Recurrente Ágil CEM"/>
    <n v="202509"/>
    <n v="150007.5"/>
    <s v="B45374"/>
    <x v="21"/>
    <s v="B45384"/>
    <x v="6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53"/>
    <x v="5"/>
    <n v="10422820600"/>
    <s v="MAMANI UTURUNCO VICENTE"/>
    <n v="42282060"/>
    <n v="10270648"/>
    <s v="CDD APROBADO"/>
    <s v="BPECND"/>
    <n v="178945.5"/>
    <d v="2025-08-25T00:00:00"/>
    <n v="14.5"/>
    <s v="TLV"/>
    <s v="TLV"/>
    <s v="Nuevo Aprobado Agil CD"/>
    <n v="202508"/>
    <n v="184809.2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54"/>
    <x v="6"/>
    <n v="20601142831"/>
    <s v="GRUPO G Y N TRADING"/>
    <s v="."/>
    <n v="10268101"/>
    <s v="GIRO DE LINEA"/>
    <s v="B33894"/>
    <n v="218220.71875"/>
    <d v="2026-04-16T00:00:00"/>
    <n v="15"/>
    <s v="TIENDAS"/>
    <s v="TIENDAS"/>
    <s v="Giro de Línea"/>
    <n v="202604"/>
    <n v="250012.5"/>
    <s v="B33894"/>
    <x v="36"/>
    <s v="B34489"/>
    <x v="4"/>
    <x v="4"/>
    <x v="0"/>
    <s v="P1"/>
    <s v="NULL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1055"/>
    <x v="3"/>
    <n v="10101262303"/>
    <s v="ANTUNEZ CAMONES LOURDES VICTORIA"/>
    <n v="10126230"/>
    <n v="10266471"/>
    <s v="Recurrente Aprobado"/>
    <s v="BPECND"/>
    <n v="73003.65625"/>
    <d v="2025-03-24T00:00:00"/>
    <n v="19.5"/>
    <s v="TIENDAS"/>
    <s v="VENDORS"/>
    <s v="Recurrente Aprobado"/>
    <n v="202503"/>
    <n v="73003.649999999994"/>
    <s v="B44120"/>
    <x v="45"/>
    <s v="B14530"/>
    <x v="5"/>
    <x v="20"/>
    <x v="0"/>
    <s v="P2"/>
    <s v="NULL"/>
    <n v="1"/>
    <x v="0"/>
    <n v="1"/>
    <n v="1"/>
    <n v="1"/>
    <x v="2"/>
    <n v="73003.649999999994"/>
    <n v="19.5"/>
    <d v="2025-03-24T00:00:00"/>
    <s v="Recurrente Aprobado"/>
    <s v="VENDORS"/>
    <s v="CAPITAL DE TRABAJO"/>
    <n v="90000"/>
    <n v="0.24"/>
    <n v="0.217"/>
    <s v="NULL"/>
    <s v="NULL"/>
  </r>
  <r>
    <x v="1056"/>
    <x v="11"/>
    <n v="20525029426"/>
    <s v="EQUIPO LUIGI"/>
    <s v="."/>
    <n v="10253046"/>
    <s v="Impulso Solo"/>
    <s v="B27693"/>
    <n v="73375.53125"/>
    <d v="2024-05-17T00:00:00"/>
    <n v="15.9"/>
    <s v="TIENDAS"/>
    <s v="TIENDAS"/>
    <s v="Impulso MyPeru Comercial"/>
    <n v="202405"/>
    <n v="90004.5"/>
    <s v="B27693"/>
    <x v="52"/>
    <s v="B27274"/>
    <x v="0"/>
    <x v="4"/>
    <x v="0"/>
    <s v="P1"/>
    <s v="NULL"/>
    <n v="1"/>
    <x v="0"/>
    <n v="0"/>
    <n v="0"/>
    <n v="1"/>
    <x v="2"/>
    <n v="0"/>
    <s v="NULL"/>
    <s v="NULL"/>
    <s v="NULL"/>
    <s v="NULL"/>
    <s v="NULL"/>
    <n v="173241"/>
    <n v="0.23200000000000001"/>
    <n v="0.21199999999999999"/>
    <s v="NULL"/>
    <s v="NULL"/>
  </r>
  <r>
    <x v="16"/>
    <x v="10"/>
    <n v="20602004105"/>
    <s v="MIDSU TECHNOLOGY GROUP"/>
    <s v="."/>
    <n v="10253528"/>
    <s v="Impulso CDI Cobertura"/>
    <s v="B30745"/>
    <n v="8088.15771484375"/>
    <d v="2024-05-27T00:00:00"/>
    <n v="15.9"/>
    <s v="TIENDAS"/>
    <s v="TIENDAS"/>
    <s v="Impulso MyPeru Comercial"/>
    <n v="202405"/>
    <n v="184839.2"/>
    <s v="B30745"/>
    <x v="14"/>
    <s v="B27274"/>
    <x v="0"/>
    <x v="8"/>
    <x v="0"/>
    <s v="P1"/>
    <s v="C1_1"/>
    <n v="1"/>
    <x v="1"/>
    <n v="0"/>
    <n v="0"/>
    <n v="0"/>
    <x v="0"/>
    <n v="0"/>
    <s v="NULL"/>
    <s v="NULL"/>
    <s v="NULL"/>
    <s v="NULL"/>
    <s v="NULL"/>
    <n v="500000"/>
    <n v="0.21"/>
    <n v="0.19"/>
    <s v="NULL"/>
    <s v="NULL"/>
  </r>
  <r>
    <x v="1057"/>
    <x v="4"/>
    <n v="10427119799"/>
    <s v="HERRERA MARTINEZ ELMER ERIKSON"/>
    <n v="42711979"/>
    <n v="10251062"/>
    <s v="Nuevo Aprobado"/>
    <s v="B10315"/>
    <n v="18507.1875"/>
    <d v="2024-04-18T00:00:00"/>
    <n v="20"/>
    <s v="TLV"/>
    <s v="TLV"/>
    <s v="NULL"/>
    <n v="202404"/>
    <n v="35001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58"/>
    <x v="2"/>
    <n v="20546308911"/>
    <s v="AJ &amp; S INVERSIONES"/>
    <s v="."/>
    <n v="10135500"/>
    <s v="GIRO DE LINEA"/>
    <s v="B33503"/>
    <n v="13737.29296875"/>
    <d v="2025-11-14T00:00:00"/>
    <n v="19"/>
    <s v="TIENDAS"/>
    <s v="TIENDAS"/>
    <s v="Giro de Línea"/>
    <n v="202511"/>
    <n v="104005.2"/>
    <s v="B33503"/>
    <x v="10"/>
    <s v="B14821"/>
    <x v="3"/>
    <x v="4"/>
    <x v="0"/>
    <s v="P1"/>
    <s v="NULL"/>
    <n v="1"/>
    <x v="0"/>
    <n v="0"/>
    <n v="1"/>
    <n v="1"/>
    <x v="0"/>
    <n v="0"/>
    <s v="NULL"/>
    <s v="NULL"/>
    <s v="NULL"/>
    <s v="NULL"/>
    <s v="NULL"/>
    <n v="400000"/>
    <n v="0.26"/>
    <n v="0.24"/>
    <s v="NULL"/>
    <s v="NULL"/>
  </r>
  <r>
    <x v="324"/>
    <x v="1"/>
    <n v="20547652585"/>
    <s v="DEL VALLE INGENIERIA E.I.R.L."/>
    <s v="."/>
    <n v="10270874"/>
    <s v="Recurrente Aprobado Agil"/>
    <s v="B25939"/>
    <n v="107242.046875"/>
    <d v="2025-08-28T00:00:00"/>
    <n v="18"/>
    <s v="TIENDAS"/>
    <s v="TIENDAS"/>
    <s v="Recurrente Ágil CEM"/>
    <n v="202508"/>
    <n v="125006.25"/>
    <s v="B25939"/>
    <x v="23"/>
    <s v="B13988"/>
    <x v="1"/>
    <x v="5"/>
    <x v="0"/>
    <s v="P1"/>
    <s v="C2"/>
    <n v="1"/>
    <x v="0"/>
    <n v="0"/>
    <n v="0"/>
    <n v="1"/>
    <x v="0"/>
    <n v="0"/>
    <s v="NULL"/>
    <s v="NULL"/>
    <s v="NULL"/>
    <s v="NULL"/>
    <s v="NULL"/>
    <n v="50000"/>
    <n v="0.21"/>
    <n v="0.19"/>
    <s v="NULL"/>
    <s v="NULL"/>
  </r>
  <r>
    <x v="1059"/>
    <x v="7"/>
    <n v="20601259240"/>
    <s v="MEDD CONSULTING ."/>
    <s v="."/>
    <n v="10267871"/>
    <s v="CDD APROBADO"/>
    <s v="BPECND"/>
    <n v="40267.078125"/>
    <d v="2025-05-16T00:00:00"/>
    <n v="16.100000000000001"/>
    <s v="TLV"/>
    <s v="TLV"/>
    <s v="Nuevo Aprobado Agil CD"/>
    <n v="202505"/>
    <n v="72051.100000000006"/>
    <s v="B30745"/>
    <x v="14"/>
    <s v="B27274"/>
    <x v="0"/>
    <x v="4"/>
    <x v="0"/>
    <s v="P1"/>
    <s v="C2"/>
    <n v="1"/>
    <x v="0"/>
    <n v="0"/>
    <n v="1"/>
    <n v="1"/>
    <x v="2"/>
    <n v="0"/>
    <s v="NULL"/>
    <s v="NULL"/>
    <s v="NULL"/>
    <s v="NULL"/>
    <s v="NULL"/>
    <n v="250000"/>
    <n v="0.2248"/>
    <n v="0.20480000000000001"/>
    <s v="NULL"/>
    <s v="NULL"/>
  </r>
  <r>
    <x v="281"/>
    <x v="6"/>
    <n v="10426120602"/>
    <s v="GARCIA GONZALES JULIO CESAR"/>
    <n v="42612060"/>
    <n v="10253266"/>
    <s v="Impulso CDI Cobertura"/>
    <s v="B45372"/>
    <n v="30300.041015625"/>
    <d v="2024-05-23T00:00:00"/>
    <n v="17.899999999999999"/>
    <s v="TIENDAS"/>
    <s v="TIENDAS"/>
    <s v="Impulso MyPeru Comercial"/>
    <n v="202405"/>
    <n v="52002.6"/>
    <s v="B45372"/>
    <x v="56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60"/>
    <x v="6"/>
    <n v="20522073807"/>
    <s v="CIA IMPORTADORA DE LUBRICANTES"/>
    <s v="."/>
    <n v="10168245"/>
    <s v="GIRO DE LINEA"/>
    <s v="B45374"/>
    <n v="107423.6171875"/>
    <d v="2025-07-11T00:00:00"/>
    <n v="14"/>
    <s v="TIENDAS VIRTUALES"/>
    <s v="TIENDAS VIRTUALES"/>
    <s v="Giro de Línea"/>
    <n v="202507"/>
    <n v="140007"/>
    <s v="B45374"/>
    <x v="21"/>
    <s v="B45384"/>
    <x v="6"/>
    <x v="1"/>
    <x v="2"/>
    <s v="P1"/>
    <s v="NULL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13"/>
    <x v="7"/>
    <n v="20552766688"/>
    <s v="GRUPO AGORA SOCIEDAD ANONIMA CERRADA"/>
    <s v="."/>
    <n v="10260983"/>
    <s v="Impulso Mixto"/>
    <s v="B30973"/>
    <n v="132850.109375"/>
    <d v="2024-09-26T00:00:00"/>
    <n v="14.49"/>
    <s v="TLV"/>
    <s v="TLV"/>
    <s v="Impulso MyPeru Comercial"/>
    <n v="202409"/>
    <n v="180409"/>
    <s v="B30973"/>
    <x v="11"/>
    <s v="B14821"/>
    <x v="3"/>
    <x v="0"/>
    <x v="0"/>
    <s v="P1"/>
    <s v="C1_1"/>
    <n v="1"/>
    <x v="0"/>
    <n v="0"/>
    <n v="0"/>
    <n v="1"/>
    <x v="0"/>
    <n v="0"/>
    <s v="NULL"/>
    <s v="NULL"/>
    <s v="NULL"/>
    <s v="NULL"/>
    <s v="NULL"/>
    <n v="0"/>
    <n v="0"/>
    <n v="0.19"/>
    <s v="NULL"/>
    <s v="NULL"/>
  </r>
  <r>
    <x v="1028"/>
    <x v="12"/>
    <n v="20512419918"/>
    <s v="TECNIMAT"/>
    <s v="."/>
    <n v="10264525"/>
    <s v="Ágil Recurrente CEM"/>
    <s v="B45631"/>
    <n v="164356.953125"/>
    <d v="2025-01-13T00:00:00"/>
    <n v="18"/>
    <s v="TIENDAS"/>
    <s v="TIENDAS"/>
    <s v="Recurrente Ágil CEM"/>
    <n v="202501"/>
    <n v="200010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61"/>
    <x v="6"/>
    <n v="20118816707"/>
    <s v="INMOBILIARIA SAN JERONIMO"/>
    <s v="."/>
    <n v="10256279"/>
    <s v="Impulso Mixto"/>
    <s v="B14530"/>
    <n v="55282.66796875"/>
    <d v="2024-06-25T00:00:00"/>
    <n v="13.5"/>
    <s v="TLV"/>
    <s v="TLV"/>
    <s v="Impulso MyPeru Comercial"/>
    <n v="202406"/>
    <n v="90004.5"/>
    <s v="B46175"/>
    <x v="70"/>
    <s v="B14530"/>
    <x v="5"/>
    <x v="4"/>
    <x v="0"/>
    <s v="P1"/>
    <s v="NULL"/>
    <n v="1"/>
    <x v="0"/>
    <n v="0"/>
    <n v="1"/>
    <n v="1"/>
    <x v="0"/>
    <n v="0"/>
    <s v="NULL"/>
    <s v="NULL"/>
    <s v="NULL"/>
    <s v="NULL"/>
    <s v="NULL"/>
    <n v="400000"/>
    <n v="0.21"/>
    <n v="0.19"/>
    <s v="NULL"/>
    <s v="NULL"/>
  </r>
  <r>
    <x v="1062"/>
    <x v="7"/>
    <n v="10178843287"/>
    <s v="VASQUEZ MENDEZ GLORIA VIOLETA"/>
    <n v="17884328"/>
    <n v="10270127"/>
    <s v="CDD APROBADO"/>
    <s v="BPECND"/>
    <n v="39462.71875"/>
    <d v="2025-07-31T00:00:00"/>
    <n v="15"/>
    <s v="TLV"/>
    <s v="TLV"/>
    <s v="Nuevo Aprobado Agil CD"/>
    <n v="202507"/>
    <n v="106207.8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63"/>
    <x v="7"/>
    <n v="20601932793"/>
    <s v="TRANSPORT &amp; SERVICE EJG"/>
    <s v="."/>
    <n v="10270271"/>
    <s v="Nuevo Aprobado Ágil"/>
    <s v="B39015"/>
    <n v="103608.1015625"/>
    <d v="2025-08-11T00:00:00"/>
    <n v="18"/>
    <s v="TLV"/>
    <s v="TLV"/>
    <s v="Nuevo Aprobado Agil"/>
    <n v="202508"/>
    <n v="120006"/>
    <s v="B39015"/>
    <x v="60"/>
    <s v="B45083"/>
    <x v="7"/>
    <x v="1"/>
    <x v="2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64"/>
    <x v="7"/>
    <n v="10429834924"/>
    <s v="CASTAÑEDA BALTAZAR JOSE MIGUEL"/>
    <n v="42983492"/>
    <n v="10268107"/>
    <s v="CT Garantía Sin Campaña"/>
    <s v="B34669"/>
    <n v="416684.34375"/>
    <d v="2025-05-23T00:00:00"/>
    <n v="12.5"/>
    <s v="TIENDAS"/>
    <s v="VENDORS"/>
    <s v="Gestion Cartera"/>
    <n v="202505"/>
    <n v="450022.5"/>
    <s v="B34669"/>
    <x v="7"/>
    <s v="B34489"/>
    <x v="4"/>
    <x v="0"/>
    <x v="0"/>
    <s v="P2"/>
    <s v="C3"/>
    <n v="1"/>
    <x v="1"/>
    <n v="0"/>
    <n v="0"/>
    <n v="0"/>
    <x v="0"/>
    <n v="0"/>
    <s v="NULL"/>
    <s v="NULL"/>
    <s v="NULL"/>
    <s v="NULL"/>
    <s v="NULL"/>
    <n v="0"/>
    <n v="0"/>
    <n v="0.19"/>
    <s v="NULL"/>
    <s v="NULL"/>
  </r>
  <r>
    <x v="963"/>
    <x v="10"/>
    <n v="20601968551"/>
    <s v="ADOMA"/>
    <s v="."/>
    <n v="10273059"/>
    <s v="Ágil Recurrente CEM"/>
    <s v="B27880"/>
    <n v="282315.25"/>
    <d v="2025-11-12T00:00:00"/>
    <n v="18.5"/>
    <s v="TIENDAS"/>
    <s v="TIENDAS"/>
    <s v="Recurrente Ágil CEM"/>
    <n v="202511"/>
    <n v="101903.6"/>
    <s v="B27880"/>
    <x v="6"/>
    <s v="B14821"/>
    <x v="3"/>
    <x v="9"/>
    <x v="0"/>
    <s v="P1"/>
    <s v="C1_1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346"/>
    <x v="6"/>
    <n v="20602841465"/>
    <s v="TOYOAGRO S.A.C."/>
    <s v="."/>
    <n v="10246407"/>
    <s v="Ágil Recurrente CEM"/>
    <s v="B28664"/>
    <n v="22095.85546875"/>
    <d v="2023-12-12T00:00:00"/>
    <n v="18.84"/>
    <s v="TIENDAS"/>
    <s v="TIENDAS"/>
    <s v="Recurrente Ágil CEM"/>
    <n v="202312"/>
    <n v="12000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51"/>
    <x v="7"/>
    <n v="20523691261"/>
    <s v="TEXTILES FARTEX"/>
    <s v="."/>
    <n v="10266697"/>
    <s v="Ágil Recurrente CEM"/>
    <s v="B14821"/>
    <n v="84049.09375"/>
    <d v="2025-03-28T00:00:00"/>
    <n v="17"/>
    <s v="TIENDAS"/>
    <s v="TIENDAS"/>
    <s v="Recurrente Ágil CEM"/>
    <n v="202503"/>
    <n v="130006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65"/>
    <x v="0"/>
    <n v="10432252189"/>
    <s v="ASENCIOS ZARZOSA RICHAR AMADOR"/>
    <n v="43225218"/>
    <n v="10265893"/>
    <s v="CDD APROBADO"/>
    <s v="B45439"/>
    <n v="58944.140625"/>
    <d v="2025-02-28T00:00:00"/>
    <n v="14"/>
    <s v="TLV"/>
    <s v="TLV"/>
    <s v="Nuevo Aprobado Agil CD"/>
    <n v="202502"/>
    <n v="126006.3"/>
    <s v="B45439"/>
    <x v="29"/>
    <s v="B45083"/>
    <x v="7"/>
    <x v="4"/>
    <x v="2"/>
    <s v="P1"/>
    <s v="C3"/>
    <n v="1"/>
    <x v="0"/>
    <n v="0"/>
    <n v="0"/>
    <n v="0"/>
    <x v="0"/>
    <n v="0"/>
    <s v="NULL"/>
    <s v="NULL"/>
    <s v="NULL"/>
    <s v="NULL"/>
    <s v="NULL"/>
    <n v="200000"/>
    <n v="0.21920000000000001"/>
    <n v="0.19919999999999999"/>
    <s v="NULL"/>
    <s v="NULL"/>
  </r>
  <r>
    <x v="1066"/>
    <x v="0"/>
    <n v="20608055976"/>
    <s v="GR SOLUCIONES EMPRERIALES"/>
    <s v="."/>
    <n v="10270652"/>
    <s v="Nuevo Aprobado Ágil"/>
    <s v="B46366"/>
    <n v="145764.359375"/>
    <d v="2025-08-25T00:00:00"/>
    <n v="17"/>
    <s v="TLV"/>
    <s v="TLV"/>
    <s v="Nuevo Aprobado Agil"/>
    <n v="202508"/>
    <n v="170008.5"/>
    <s v="B46366"/>
    <x v="30"/>
    <s v="B45083"/>
    <x v="7"/>
    <x v="1"/>
    <x v="2"/>
    <s v="P1"/>
    <s v="C1_2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1067"/>
    <x v="5"/>
    <n v="20610976884"/>
    <s v="VALGRIF ENERGIA Y SERVICIOS"/>
    <s v="."/>
    <n v="10269184"/>
    <s v="Nuevo pre Aprobado"/>
    <s v="B30425"/>
    <n v="135463.390625"/>
    <d v="2025-06-27T00:00:00"/>
    <n v="18"/>
    <s v="TIENDAS"/>
    <s v="VENDORS"/>
    <s v="Nuevo Pre-aprobado"/>
    <n v="202506"/>
    <n v="150007.5"/>
    <s v="B30425"/>
    <x v="46"/>
    <s v="B13988"/>
    <x v="8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68"/>
    <x v="0"/>
    <n v="20609506378"/>
    <s v="TORRE NEGRA TG E.I.R.L"/>
    <s v="."/>
    <n v="10270326"/>
    <s v="CDD APROBADO"/>
    <s v="B45079"/>
    <n v="115958.9609375"/>
    <d v="2025-08-12T00:00:00"/>
    <n v="15"/>
    <s v="TLV"/>
    <s v="TLV"/>
    <s v="Nuevo Aprobado Agil CD"/>
    <n v="202508"/>
    <n v="142333.1"/>
    <s v="B45079"/>
    <x v="17"/>
    <s v="B45083"/>
    <x v="7"/>
    <x v="0"/>
    <x v="2"/>
    <s v="P1"/>
    <s v="C1_2"/>
    <n v="1"/>
    <x v="0"/>
    <n v="0"/>
    <n v="0"/>
    <n v="1"/>
    <x v="0"/>
    <n v="0"/>
    <s v="NULL"/>
    <s v="NULL"/>
    <s v="NULL"/>
    <s v="NULL"/>
    <s v="NULL"/>
    <n v="0"/>
    <n v="0"/>
    <n v="0"/>
    <s v="NULL"/>
    <s v="NULL"/>
  </r>
  <r>
    <x v="1069"/>
    <x v="6"/>
    <n v="10201150367"/>
    <s v="CHUQUILLANQUI GOMEZ PATRICIA"/>
    <n v="20115036"/>
    <n v="10265631"/>
    <s v="CDD APROBADO"/>
    <s v="B45374"/>
    <n v="54816.75"/>
    <d v="2025-02-25T00:00:00"/>
    <n v="14"/>
    <s v="TLV"/>
    <s v="TLV"/>
    <s v="Nuevo Aprobado Agil CD"/>
    <n v="202502"/>
    <n v="94304.7"/>
    <s v="B45374"/>
    <x v="21"/>
    <s v="B45384"/>
    <x v="6"/>
    <x v="7"/>
    <x v="2"/>
    <s v="P1"/>
    <s v="NULL"/>
    <n v="1"/>
    <x v="0"/>
    <n v="0"/>
    <n v="0"/>
    <n v="1"/>
    <x v="0"/>
    <n v="0"/>
    <s v="NULL"/>
    <s v="NULL"/>
    <s v="NULL"/>
    <s v="NULL"/>
    <s v="NULL"/>
    <n v="69000"/>
    <n v="0.19"/>
    <n v="0.17"/>
    <s v="NULL"/>
    <s v="NULL"/>
  </r>
  <r>
    <x v="264"/>
    <x v="10"/>
    <n v="10428485519"/>
    <s v="MOGOLLON TARAZONA PAUL BRADY"/>
    <n v="42848551"/>
    <n v="10260450"/>
    <s v="Impulso Mixto"/>
    <s v="B19752"/>
    <n v="3766.02709960938"/>
    <d v="2024-09-17T00:00:00"/>
    <n v="15"/>
    <s v="TIENDAS"/>
    <s v="TIENDAS"/>
    <s v="Impulso MyPeru Comercial"/>
    <n v="202409"/>
    <n v="90004.5"/>
    <s v="B19752"/>
    <x v="43"/>
    <s v="B13988"/>
    <x v="1"/>
    <x v="9"/>
    <x v="0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070"/>
    <x v="7"/>
    <n v="20606250682"/>
    <s v="JAH DISTRIBUCION &amp; LOGISTICA EMPRESARIAL"/>
    <s v="."/>
    <n v="10261426"/>
    <s v="GIRO DE LINEA"/>
    <s v="B45439"/>
    <n v="90128.4296875"/>
    <d v="2024-10-10T00:00:00"/>
    <n v="18.200001"/>
    <s v="TLV"/>
    <s v="TLV"/>
    <s v="NULL"/>
    <n v="202410"/>
    <n v="180009"/>
    <s v="B45439"/>
    <x v="29"/>
    <s v="B45083"/>
    <x v="7"/>
    <x v="6"/>
    <x v="2"/>
    <s v="P1"/>
    <s v="C2"/>
    <n v="1"/>
    <x v="0"/>
    <n v="0"/>
    <n v="1"/>
    <n v="1"/>
    <x v="0"/>
    <n v="0"/>
    <s v="NULL"/>
    <s v="NULL"/>
    <s v="NULL"/>
    <s v="NULL"/>
    <s v="NULL"/>
    <n v="82400"/>
    <n v="0.21"/>
    <n v="0.19"/>
    <s v="NULL"/>
    <s v="NULL"/>
  </r>
  <r>
    <x v="1071"/>
    <x v="10"/>
    <n v="20601515751"/>
    <s v="STORAGE Y BACKUP DATA SERVICE"/>
    <s v="."/>
    <n v="10272304"/>
    <s v="Nuevo Aprobado"/>
    <s v="B36574"/>
    <n v="256186.59375"/>
    <d v="2025-10-17T00:00:00"/>
    <n v="16.2"/>
    <s v="TIENDAS"/>
    <s v="TIENDAS"/>
    <s v="Nuevo Pre-aprobado"/>
    <n v="202510"/>
    <n v="300015"/>
    <s v="B36574"/>
    <x v="51"/>
    <s v="B13161"/>
    <x v="9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72"/>
    <x v="10"/>
    <n v="20571407125"/>
    <s v="NEGOCIOS SOLBEC S.A.C"/>
    <s v="."/>
    <n v="10266408"/>
    <s v="Regular Sin Campaña"/>
    <s v="B45385"/>
    <n v="31827.509765625"/>
    <d v="2025-03-21T00:00:00"/>
    <n v="22"/>
    <s v="TIENDAS"/>
    <s v="TIENDAS"/>
    <s v="Gestion Cartera"/>
    <n v="202503"/>
    <n v="50002.5"/>
    <s v="B45371"/>
    <x v="15"/>
    <s v="B45384"/>
    <x v="6"/>
    <x v="5"/>
    <x v="2"/>
    <s v="P1"/>
    <s v="C2"/>
    <n v="1"/>
    <x v="1"/>
    <n v="0"/>
    <n v="0"/>
    <n v="0"/>
    <x v="0"/>
    <n v="0"/>
    <s v="NULL"/>
    <s v="NULL"/>
    <s v="NULL"/>
    <s v="NULL"/>
    <s v="NULL"/>
    <n v="50000"/>
    <n v="0.21"/>
    <n v="0.19"/>
    <s v="NULL"/>
    <s v="NULL"/>
  </r>
  <r>
    <x v="1073"/>
    <x v="1"/>
    <n v="20532956065"/>
    <s v="CERAMICA BETHEL"/>
    <s v="."/>
    <n v="10270844"/>
    <s v="CDD APROBADO"/>
    <s v="B46527"/>
    <n v="181780.5625"/>
    <d v="2025-08-28T00:00:00"/>
    <n v="13"/>
    <s v="TLV"/>
    <s v="TLV"/>
    <s v="Nuevo Aprobado Agil CD"/>
    <n v="202508"/>
    <n v="222536.1"/>
    <s v="B46527"/>
    <x v="75"/>
    <s v="B34489"/>
    <x v="4"/>
    <x v="10"/>
    <x v="0"/>
    <s v="P5"/>
    <s v="C1_1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485"/>
    <x v="1"/>
    <n v="20546655807"/>
    <s v="COLD AIR PERU"/>
    <s v="."/>
    <n v="10149452"/>
    <s v="GIRO DE LINEA"/>
    <s v="B25939"/>
    <n v="5050.75634765625"/>
    <d v="2024-12-26T00:00:00"/>
    <n v="17.38"/>
    <s v="TIENDAS"/>
    <s v="TIENDAS"/>
    <s v="Giro de Línea"/>
    <n v="202412"/>
    <n v="53654.89"/>
    <s v="B25939"/>
    <x v="23"/>
    <s v="B13988"/>
    <x v="1"/>
    <x v="1"/>
    <x v="0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1074"/>
    <x v="12"/>
    <n v="20610379215"/>
    <s v="DOCCORI"/>
    <s v="."/>
    <n v="10267672"/>
    <s v="CDD APROBADO"/>
    <s v="BPECND"/>
    <n v="43890.33984375"/>
    <d v="2025-05-09T00:00:00"/>
    <n v="28"/>
    <s v="TLV"/>
    <s v="TLV"/>
    <s v="Nuevo Aprobado Agil CD"/>
    <n v="202505"/>
    <n v="507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90"/>
    <x v="0"/>
    <n v="20317074043"/>
    <s v="DISTRIBUIDORA PADU"/>
    <s v="."/>
    <n v="10268058"/>
    <s v="Nuevo Aprobado"/>
    <s v="B30094"/>
    <n v="5395.51416015625"/>
    <d v="2025-05-22T00:00:00"/>
    <n v="18"/>
    <s v="TLV"/>
    <s v="TLV"/>
    <s v="Nuevo Aprobado EN"/>
    <n v="202505"/>
    <n v="200010"/>
    <s v="B30094"/>
    <x v="48"/>
    <s v="B34489"/>
    <x v="4"/>
    <x v="4"/>
    <x v="0"/>
    <s v="P1"/>
    <s v="C1_1"/>
    <n v="1"/>
    <x v="0"/>
    <n v="1"/>
    <n v="1"/>
    <n v="1"/>
    <x v="0"/>
    <n v="168608.4"/>
    <n v="17"/>
    <d v="2025-12-19T00:00:00"/>
    <s v="Recurrente Ágil CEM"/>
    <s v="TIENDAS"/>
    <s v="CAPITAL DE TRABAJO"/>
    <n v="168600"/>
    <n v="0.21"/>
    <n v="0.19"/>
    <s v="NULL"/>
    <s v="NULL"/>
  </r>
  <r>
    <x v="1075"/>
    <x v="1"/>
    <n v="20609607905"/>
    <s v="BYB INGENIERIA Y PROYECTOS A MEDIDA"/>
    <s v="."/>
    <n v="10264696"/>
    <s v="Regular Sin Campaña"/>
    <s v="B30425"/>
    <n v="44470.34765625"/>
    <d v="2025-01-22T00:00:00"/>
    <n v="18"/>
    <s v="TIENDAS"/>
    <s v="TIENDAS"/>
    <s v="Gestion Cartera"/>
    <n v="202501"/>
    <n v="123006.15"/>
    <s v="B30425"/>
    <x v="46"/>
    <s v="B13988"/>
    <x v="1"/>
    <x v="1"/>
    <x v="0"/>
    <s v="P5"/>
    <s v="C1_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1076"/>
    <x v="8"/>
    <n v="20611202521"/>
    <s v="FABRICA LA CORONA"/>
    <s v="."/>
    <n v="10259073"/>
    <s v="Impulso Solo"/>
    <s v="BPECND"/>
    <n v="56939.15234375"/>
    <d v="2024-08-16T00:00:00"/>
    <n v="14.8"/>
    <s v="TLV"/>
    <s v="TLV"/>
    <s v="Impulso MyPeru Comercial"/>
    <n v="202408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77"/>
    <x v="5"/>
    <n v="10104698811"/>
    <s v="RETAMOZO FLORES FRANCISCO ROGERS"/>
    <n v="10469881"/>
    <n v="10257697"/>
    <s v="Impulso Mixto"/>
    <s v="B12887"/>
    <n v="41851.32421875"/>
    <d v="2024-07-24T00:00:00"/>
    <n v="15"/>
    <s v="TIENDAS"/>
    <s v="TIENDAS"/>
    <s v="Impulso MyPeru Comercial"/>
    <n v="202407"/>
    <n v="60003"/>
    <s v="NULL"/>
    <x v="2"/>
    <s v="NULL"/>
    <x v="2"/>
    <x v="4"/>
    <x v="2"/>
    <s v="P2"/>
    <s v="C3"/>
    <n v="1"/>
    <x v="0"/>
    <n v="0"/>
    <n v="0"/>
    <n v="0"/>
    <x v="2"/>
    <n v="0"/>
    <s v="NULL"/>
    <s v="NULL"/>
    <s v="NULL"/>
    <s v="NULL"/>
    <s v="NULL"/>
    <n v="200000"/>
    <n v="0.26"/>
    <n v="0.24"/>
    <s v="NULL"/>
    <s v="NULL"/>
  </r>
  <r>
    <x v="1078"/>
    <x v="6"/>
    <n v="20606947012"/>
    <s v="SERVICIO E INVERSIONES ANDY"/>
    <s v="."/>
    <n v="10270055"/>
    <s v="Nuevo pre Aprobado"/>
    <s v="B35209"/>
    <n v="162192.78125"/>
    <d v="2025-07-30T00:00:00"/>
    <n v="16.8"/>
    <s v="TIENDAS"/>
    <s v="TIENDAS"/>
    <s v="Nuevo Pre-aprobado"/>
    <n v="202507"/>
    <n v="180009"/>
    <s v="B35209"/>
    <x v="26"/>
    <s v="B27274"/>
    <x v="0"/>
    <x v="0"/>
    <x v="0"/>
    <s v="P1"/>
    <s v="NULL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079"/>
    <x v="12"/>
    <n v="20600583612"/>
    <s v="MI MUNDO DIABETICO"/>
    <s v="."/>
    <n v="10266765"/>
    <s v="Nuevo Aprobado"/>
    <s v="BPECND"/>
    <n v="111989.6484375"/>
    <d v="2025-03-31T00:00:00"/>
    <n v="18"/>
    <s v="TLV"/>
    <s v="TLV"/>
    <s v="Nuevo Aprobado EN"/>
    <n v="202503"/>
    <n v="120006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80"/>
    <x v="2"/>
    <n v="20308380174"/>
    <s v="BEANS &amp; FRUIT DRY"/>
    <s v="."/>
    <n v="10265777"/>
    <s v="CDD PRE APROBADO"/>
    <s v="B45870"/>
    <n v="215692.40625"/>
    <d v="2025-02-27T00:00:00"/>
    <n v="14"/>
    <s v="TIENDAS"/>
    <s v="TIENDAS"/>
    <s v="Recurrente Aprobado CD"/>
    <n v="202502"/>
    <n v="242662.1"/>
    <s v="B14972"/>
    <x v="25"/>
    <s v="B13161"/>
    <x v="9"/>
    <x v="4"/>
    <x v="0"/>
    <s v="P1"/>
    <s v="NULL"/>
    <n v="1"/>
    <x v="0"/>
    <n v="0"/>
    <n v="1"/>
    <n v="1"/>
    <x v="0"/>
    <n v="0"/>
    <s v="NULL"/>
    <s v="NULL"/>
    <s v="NULL"/>
    <s v="NULL"/>
    <s v="NULL"/>
    <n v="400000"/>
    <n v="0.21"/>
    <n v="0.19"/>
    <s v="NULL"/>
    <s v="NULL"/>
  </r>
  <r>
    <x v="829"/>
    <x v="0"/>
    <n v="20601721539"/>
    <s v="GRUPO HOTELERO SOLEC SOCIEDAD ANONIMA CE"/>
    <s v="."/>
    <n v="10265461"/>
    <s v="Ágil Recurrente CEM"/>
    <s v="B20210"/>
    <n v="133860.515625"/>
    <d v="2025-02-19T00:00:00"/>
    <n v="16.28"/>
    <s v="TIENDAS"/>
    <s v="TIENDAS"/>
    <s v="Recurrente Ágil CEM"/>
    <n v="202502"/>
    <n v="200010"/>
    <s v="B20210"/>
    <x v="39"/>
    <s v="B13161"/>
    <x v="9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81"/>
    <x v="2"/>
    <n v="20502321235"/>
    <s v="BERECHE Y VENTURA RADIOLOGOS ASOCIADOS S"/>
    <s v="."/>
    <n v="10265526"/>
    <s v="Nuevo Aprobado"/>
    <s v="B45389"/>
    <n v="89864.296875"/>
    <d v="2025-02-20T00:00:00"/>
    <n v="18.5"/>
    <s v="TLV"/>
    <s v="TLV"/>
    <s v="Nuevo Aprobado EN"/>
    <n v="202502"/>
    <n v="115005.75"/>
    <s v="B45389"/>
    <x v="16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4329999999999999"/>
    <s v="NULL"/>
    <s v="NULL"/>
    <s v="NULL"/>
  </r>
  <r>
    <x v="1082"/>
    <x v="10"/>
    <n v="20609662574"/>
    <s v="GRUPO BROS S.A.C."/>
    <s v="."/>
    <n v="10255922"/>
    <s v="Impulso Solo"/>
    <s v="B27274"/>
    <n v="40599.76171875"/>
    <d v="2024-06-21T00:00:00"/>
    <n v="14.8"/>
    <s v="TLV"/>
    <s v="TLV"/>
    <s v="Impulso MyPeru Comercial"/>
    <n v="202406"/>
    <n v="90004.5"/>
    <s v="B45749"/>
    <x v="9"/>
    <s v="B27274"/>
    <x v="0"/>
    <x v="4"/>
    <x v="0"/>
    <s v="P1"/>
    <s v="C2"/>
    <n v="1"/>
    <x v="0"/>
    <n v="0"/>
    <n v="0"/>
    <n v="1"/>
    <x v="2"/>
    <n v="0"/>
    <s v="NULL"/>
    <s v="NULL"/>
    <s v="NULL"/>
    <s v="NULL"/>
    <s v="NULL"/>
    <n v="130000"/>
    <n v="0.28689999999999999"/>
    <n v="0.26690000000000003"/>
    <s v="NULL"/>
    <s v="NULL"/>
  </r>
  <r>
    <x v="1083"/>
    <x v="6"/>
    <n v="20557606166"/>
    <s v="LES GOURMANDS"/>
    <s v="."/>
    <n v="10177318"/>
    <s v="GIRO DE LINEA"/>
    <s v="B35209"/>
    <n v="11918.23828125"/>
    <d v="2026-01-15T00:00:00"/>
    <n v="18"/>
    <s v="TIENDAS"/>
    <s v="TIENDAS"/>
    <s v="Giro de Línea"/>
    <n v="202601"/>
    <n v="50002.5"/>
    <s v="B35209"/>
    <x v="26"/>
    <s v="B27274"/>
    <x v="0"/>
    <x v="4"/>
    <x v="0"/>
    <s v="P1"/>
    <s v="NULL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1083"/>
    <x v="10"/>
    <n v="20557606166"/>
    <s v="LES GOURMANDS"/>
    <s v="."/>
    <n v="10177318"/>
    <s v="GIRO DE LINEA"/>
    <s v="B27274"/>
    <n v="20580.54296875"/>
    <d v="2026-01-15T00:00:00"/>
    <n v="18"/>
    <s v="TIENDAS"/>
    <s v="TIENDAS"/>
    <s v="Giro de Línea"/>
    <n v="202601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84"/>
    <x v="2"/>
    <n v="20555375183"/>
    <s v="JESUS MU OZ CONTRERAS E HIJOS"/>
    <s v="."/>
    <n v="10267220"/>
    <s v="CDD APROBADO"/>
    <s v="B45079"/>
    <n v="52326.4140625"/>
    <d v="2025-04-22T00:00:00"/>
    <n v="16"/>
    <s v="TLV"/>
    <s v="TLV"/>
    <s v="Nuevo Aprobado Agil CD"/>
    <n v="202504"/>
    <n v="76583.45"/>
    <s v="B45079"/>
    <x v="17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4329999999999999"/>
    <n v="0"/>
    <s v="NULL"/>
    <s v="NULL"/>
  </r>
  <r>
    <x v="1085"/>
    <x v="9"/>
    <n v="20603327412"/>
    <s v="DAY EXPEDITIONS TRAVEL EMPRESA INDIVIDUA"/>
    <s v="."/>
    <n v="10258149"/>
    <s v="Impulso Mixto"/>
    <s v="B39478"/>
    <n v="76615.203125"/>
    <d v="2024-07-30T00:00:00"/>
    <n v="14.5"/>
    <s v="TLV"/>
    <s v="TLV"/>
    <s v="Impulso MyPeru Comercial"/>
    <n v="202407"/>
    <n v="90004.5"/>
    <s v="B39478"/>
    <x v="87"/>
    <s v="B34489"/>
    <x v="4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.27079999999999999"/>
    <s v="NULL"/>
    <s v="NULL"/>
  </r>
  <r>
    <x v="420"/>
    <x v="10"/>
    <n v="20514129828"/>
    <s v="FULL SERVICIOS SULLCAPUMA S.A.C."/>
    <s v="."/>
    <n v="10264324"/>
    <s v="Ágil Recurrente CEM"/>
    <s v="BPECND"/>
    <n v="8338.6171875"/>
    <d v="2024-12-27T00:00:00"/>
    <n v="26.58"/>
    <s v="TIENDAS"/>
    <s v="TIENDAS"/>
    <s v="Recurrente Ágil CEM"/>
    <n v="202412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86"/>
    <x v="12"/>
    <n v="20563065525"/>
    <s v="KF CLEANER"/>
    <s v="."/>
    <n v="10246233"/>
    <s v="Ágil Recurrente CEM"/>
    <s v="BPECND"/>
    <n v="28395.646484375"/>
    <d v="2023-11-30T00:00:00"/>
    <n v="21.2"/>
    <s v="TIENDAS"/>
    <s v="TIENDAS"/>
    <s v="Recurrente Ágil CEM"/>
    <n v="202311"/>
    <n v="100005"/>
    <s v="B45371"/>
    <x v="15"/>
    <s v="B45384"/>
    <x v="6"/>
    <x v="4"/>
    <x v="2"/>
    <s v="P1"/>
    <s v="NULL"/>
    <n v="1"/>
    <x v="1"/>
    <n v="0"/>
    <n v="0"/>
    <n v="0"/>
    <x v="2"/>
    <n v="0"/>
    <s v="NULL"/>
    <s v="NULL"/>
    <s v="NULL"/>
    <s v="NULL"/>
    <s v="NULL"/>
    <n v="400000"/>
    <n v="0.21"/>
    <n v="0.1883"/>
    <s v="NULL"/>
    <s v="NULL"/>
  </r>
  <r>
    <x v="672"/>
    <x v="5"/>
    <n v="20609064138"/>
    <s v="LA BOMBA MARKET"/>
    <s v="."/>
    <n v="10262064"/>
    <s v="Ágil Recurrente CEM"/>
    <s v="B22760"/>
    <n v="62764.38671875"/>
    <d v="2024-10-25T00:00:00"/>
    <n v="18.799999"/>
    <s v="TIENDAS"/>
    <s v="TIENDAS"/>
    <s v="Recurrente Ágil CEM"/>
    <n v="202410"/>
    <n v="100005"/>
    <s v="B22760"/>
    <x v="42"/>
    <s v="B34489"/>
    <x v="4"/>
    <x v="1"/>
    <x v="0"/>
    <s v="P1"/>
    <s v="C1_2"/>
    <n v="1"/>
    <x v="0"/>
    <n v="0"/>
    <n v="1"/>
    <n v="1"/>
    <x v="0"/>
    <n v="0"/>
    <s v="NULL"/>
    <s v="NULL"/>
    <s v="NULL"/>
    <s v="NULL"/>
    <s v="NULL"/>
    <n v="1"/>
    <n v="1"/>
    <s v="NULL"/>
    <s v="NULL"/>
    <s v="NULL"/>
  </r>
  <r>
    <x v="1087"/>
    <x v="5"/>
    <n v="10431296352"/>
    <s v="LLANOS GARCIA DEISY"/>
    <n v="43129635"/>
    <n v="10256070"/>
    <s v="Impulso Mixto"/>
    <s v="B8606"/>
    <n v="19723.064453125"/>
    <d v="2024-06-24T00:00:00"/>
    <n v="14.8"/>
    <s v="TLV"/>
    <s v="TLV"/>
    <s v="Impulso MyPeru Comercial"/>
    <n v="202406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88"/>
    <x v="1"/>
    <n v="10067848018"/>
    <s v="PEREZ CHOTA RONALD WALTER"/>
    <n v="6784801"/>
    <n v="10275120"/>
    <s v="Nuevo Aprobado"/>
    <s v="B33958"/>
    <n v="30001.505859375"/>
    <d v="2026-01-28T00:00:00"/>
    <n v="26.37"/>
    <s v="TLV"/>
    <s v="TLV"/>
    <s v="Nuevo Aprobado EN"/>
    <n v="202601"/>
    <n v="30001.5"/>
    <s v="B26854"/>
    <x v="76"/>
    <s v="B14058"/>
    <x v="11"/>
    <x v="17"/>
    <x v="3"/>
    <s v="P1"/>
    <s v="C3"/>
    <n v="1"/>
    <x v="0"/>
    <n v="1"/>
    <n v="1"/>
    <n v="1"/>
    <x v="1"/>
    <n v="30001.5"/>
    <n v="26.37"/>
    <d v="2026-01-28T00:00:00"/>
    <s v="Nuevo Aprobado EN"/>
    <s v="TLV"/>
    <s v="CAPITAL DE TRABAJO"/>
    <n v="100000"/>
    <n v="0.28370000000000001"/>
    <n v="0.26369999999999999"/>
    <s v="TLV B"/>
    <s v="CAPITAL DE TRABAJO"/>
  </r>
  <r>
    <x v="1089"/>
    <x v="10"/>
    <n v="20603468628"/>
    <s v="PASBEC DISEÑOS &amp; CONFECCIONES"/>
    <s v="."/>
    <n v="10261905"/>
    <s v="Impulso Solo"/>
    <s v="B22846"/>
    <n v="74260.5078125"/>
    <d v="2024-10-23T00:00:00"/>
    <n v="15"/>
    <s v="TIENDAS"/>
    <s v="TIENDAS"/>
    <s v="Impulso MyPeru Comercial"/>
    <n v="202410"/>
    <n v="90004.5"/>
    <s v="B22846"/>
    <x v="47"/>
    <s v="B13988"/>
    <x v="1"/>
    <x v="5"/>
    <x v="0"/>
    <s v="P1"/>
    <s v="C2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1090"/>
    <x v="6"/>
    <n v="10433164364"/>
    <s v="GUERRA SANDOVAL MONICA ALEJANDRINA"/>
    <n v="43316436"/>
    <n v="10269334"/>
    <s v="CDD APROBADO"/>
    <s v="B28007"/>
    <n v="104387.671875"/>
    <d v="2025-07-03T00:00:00"/>
    <n v="19"/>
    <s v="TLV"/>
    <s v="TLV"/>
    <s v="Nuevo Aprobado Agil CD"/>
    <n v="202507"/>
    <n v="127656.35"/>
    <s v="B28007"/>
    <x v="20"/>
    <s v="B13988"/>
    <x v="8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91"/>
    <x v="2"/>
    <n v="20607194255"/>
    <s v="INVERSIONES MI KAZITA"/>
    <s v="."/>
    <n v="10267700"/>
    <s v="CDD APROBADO"/>
    <s v="BPECND"/>
    <n v="89719.078125"/>
    <d v="2025-05-12T00:00:00"/>
    <n v="17"/>
    <s v="TLV"/>
    <s v="TLV"/>
    <s v="Nuevo Aprobado Agil CD"/>
    <n v="202505"/>
    <n v="100630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32"/>
    <x v="2"/>
    <n v="20512812504"/>
    <s v="LACTEUS"/>
    <s v="."/>
    <n v="10268315"/>
    <s v="Regular Sin Campaña"/>
    <s v="B14327"/>
    <n v="158098.875"/>
    <d v="2025-05-29T00:00:00"/>
    <n v="17"/>
    <s v="TIENDAS"/>
    <s v="TIENDAS"/>
    <s v="Gestion Cartera"/>
    <n v="202505"/>
    <n v="170008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01"/>
    <x v="1"/>
    <n v="20508894679"/>
    <s v="ABIL CORPORACION"/>
    <s v="."/>
    <n v="10255642"/>
    <s v="Impulso CDI Cobertura"/>
    <s v="B13988"/>
    <n v="2991.00073242188"/>
    <d v="2024-06-20T00:00:00"/>
    <n v="17.700001"/>
    <s v="TIENDAS"/>
    <s v="TIENDAS"/>
    <s v="Impulso MyPeru Comercial"/>
    <n v="202406"/>
    <n v="7087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92"/>
    <x v="4"/>
    <n v="20543832317"/>
    <s v="VENTA DE SUMINISTROS Y MATERIALES ELÉCTR"/>
    <s v="."/>
    <n v="10245285"/>
    <s v="Regular Sin Campaña"/>
    <s v="B19752"/>
    <n v="84906.1953125"/>
    <d v="2023-10-30T00:00:00"/>
    <n v="22"/>
    <s v="TIENDAS"/>
    <s v="TIENDAS"/>
    <s v="NULL"/>
    <n v="202310"/>
    <n v="63096"/>
    <s v="B19752"/>
    <x v="43"/>
    <s v="B13988"/>
    <x v="8"/>
    <x v="1"/>
    <x v="0"/>
    <s v="P1"/>
    <s v="NULL"/>
    <n v="1"/>
    <x v="1"/>
    <n v="0"/>
    <n v="0"/>
    <n v="0"/>
    <x v="2"/>
    <n v="0"/>
    <s v="NULL"/>
    <s v="NULL"/>
    <s v="NULL"/>
    <s v="NULL"/>
    <s v="NULL"/>
    <n v="993584437"/>
    <n v="0"/>
    <n v="0"/>
    <s v="NULL"/>
    <s v="NULL"/>
  </r>
  <r>
    <x v="1093"/>
    <x v="0"/>
    <n v="10201041355"/>
    <s v="BELLO LEDESMA EDITH VERONICA"/>
    <n v="20104135"/>
    <n v="10160630"/>
    <s v="GIRO DE LINEA"/>
    <s v="B22760"/>
    <n v="91012.90625"/>
    <d v="2025-11-20T00:00:00"/>
    <n v="17"/>
    <s v="TIENDAS"/>
    <s v="TIENDAS"/>
    <s v="Giro de Línea"/>
    <n v="202511"/>
    <n v="44702.2"/>
    <s v="B22760"/>
    <x v="42"/>
    <s v="B34489"/>
    <x v="4"/>
    <x v="1"/>
    <x v="0"/>
    <s v="P1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094"/>
    <x v="11"/>
    <n v="10725692205"/>
    <s v="PILCO HANCCO ALDO RODRIGO"/>
    <n v="72569220"/>
    <n v="10250029"/>
    <s v="Impulso Mixto"/>
    <s v="B22931"/>
    <n v="13004.28125"/>
    <d v="2024-03-26T00:00:00"/>
    <n v="13.8"/>
    <s v="TLV"/>
    <s v="TLV"/>
    <s v="Impulso MyPeru Comercial"/>
    <n v="202403"/>
    <n v="17700.84999999999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95"/>
    <x v="1"/>
    <n v="10405512373"/>
    <s v="CASTRO TAPIA MARIA MARIVEL"/>
    <n v="40551237"/>
    <n v="10254244"/>
    <s v="Impulso CDI Cobertura"/>
    <s v="B14530"/>
    <n v="32788.79296875"/>
    <d v="2024-05-30T00:00:00"/>
    <n v="16.899999999999999"/>
    <s v="TIENDAS"/>
    <s v="TIENDAS"/>
    <s v="Impulso MyPeru Comercial"/>
    <n v="202405"/>
    <n v="40002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96"/>
    <x v="7"/>
    <n v="20605762230"/>
    <s v="CONSORCIO DC EXTREME SECURITY &amp; MAINTENA"/>
    <s v="."/>
    <n v="10254416"/>
    <s v="Ágil Recurrente CEM"/>
    <s v="B46503"/>
    <n v="11729.7158203125"/>
    <d v="2024-05-30T00:00:00"/>
    <n v="20.5"/>
    <s v="TIENDAS"/>
    <s v="TIENDAS"/>
    <s v="Recurrente Ágil CEM"/>
    <n v="202405"/>
    <n v="150131.54"/>
    <s v="B46503"/>
    <x v="1"/>
    <s v="B13988"/>
    <x v="8"/>
    <x v="4"/>
    <x v="0"/>
    <s v="P1"/>
    <s v="C1_2"/>
    <n v="1"/>
    <x v="0"/>
    <n v="0"/>
    <n v="1"/>
    <n v="1"/>
    <x v="0"/>
    <n v="0"/>
    <s v="NULL"/>
    <s v="NULL"/>
    <s v="NULL"/>
    <s v="NULL"/>
    <s v="NULL"/>
    <n v="130000"/>
    <n v="0.30280000000000001"/>
    <n v="0.2828"/>
    <s v="NULL"/>
    <s v="NULL"/>
  </r>
  <r>
    <x v="820"/>
    <x v="5"/>
    <n v="20467291883"/>
    <s v="WORLD PHARMA"/>
    <s v="."/>
    <n v="10250733"/>
    <s v="Regular Sin Campaña"/>
    <s v="B28664"/>
    <n v="135595.34375"/>
    <d v="2024-04-11T00:00:00"/>
    <n v="12.5"/>
    <s v="TIENDAS"/>
    <s v="TIENDAS"/>
    <s v="Giro de Línea"/>
    <n v="202404"/>
    <n v="394898.27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097"/>
    <x v="5"/>
    <n v="20487064280"/>
    <s v="CONSTRUCTORA E INVERSIONES M &amp; R"/>
    <s v="."/>
    <n v="10271522"/>
    <s v="Nuevo Aprobado Ágil"/>
    <s v="BPECND"/>
    <n v="112005.59375"/>
    <d v="2025-09-19T00:00:00"/>
    <n v="18.120000999999998"/>
    <s v="TLV"/>
    <s v="TLV"/>
    <s v="Nuevo Aprobado Agil"/>
    <n v="202509"/>
    <n v="112005.6"/>
    <s v="B39499"/>
    <x v="92"/>
    <s v="B17470"/>
    <x v="13"/>
    <x v="16"/>
    <x v="3"/>
    <s v="P1"/>
    <s v="C2"/>
    <n v="1"/>
    <x v="0"/>
    <n v="1"/>
    <n v="1"/>
    <n v="1"/>
    <x v="1"/>
    <n v="112005.6"/>
    <n v="18.120000999999998"/>
    <d v="2025-09-19T00:00:00"/>
    <s v="Nuevo Aprobado Agil"/>
    <s v="TLV"/>
    <s v="CAPITAL DE TRABAJO"/>
    <n v="112000"/>
    <n v="0.20119999999999999"/>
    <n v="0.1812"/>
    <s v="TLV B"/>
    <s v="CAPITAL DE TRABAJO"/>
  </r>
  <r>
    <x v="1098"/>
    <x v="0"/>
    <n v="20601152151"/>
    <s v="GINSBERG GALERIA"/>
    <s v="."/>
    <n v="10267640"/>
    <s v="CDD APROBADO"/>
    <s v="B27274"/>
    <n v="124908.109375"/>
    <d v="2025-05-07T00:00:00"/>
    <n v="14"/>
    <s v="TLV"/>
    <s v="VENDORS"/>
    <s v="Nuevo Aprobado Agil CD"/>
    <n v="202505"/>
    <n v="149507.45000000001"/>
    <s v="B14327"/>
    <x v="49"/>
    <s v="B27274"/>
    <x v="0"/>
    <x v="4"/>
    <x v="0"/>
    <s v="P1"/>
    <s v="C1_2"/>
    <n v="1"/>
    <x v="0"/>
    <n v="0"/>
    <n v="0"/>
    <n v="1"/>
    <x v="0"/>
    <n v="0"/>
    <s v="NULL"/>
    <s v="NULL"/>
    <s v="NULL"/>
    <s v="NULL"/>
    <s v="NULL"/>
    <n v="250000"/>
    <n v="0.26119999999999999"/>
    <n v="0.2412"/>
    <s v="NULL"/>
    <s v="NULL"/>
  </r>
  <r>
    <x v="1099"/>
    <x v="6"/>
    <n v="20602835562"/>
    <s v="INVERSIONES MAQUILUZ"/>
    <s v="."/>
    <n v="10266234"/>
    <s v="GIRO DE LINEA"/>
    <s v="B33894"/>
    <n v="111320.53125"/>
    <d v="2025-03-17T00:00:00"/>
    <n v="18"/>
    <s v="TIENDAS"/>
    <s v="TIENDAS"/>
    <s v="Giro de Línea"/>
    <n v="202503"/>
    <n v="150007.5"/>
    <s v="B33894"/>
    <x v="36"/>
    <s v="B34489"/>
    <x v="4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100"/>
    <x v="1"/>
    <n v="20600869419"/>
    <s v="G&amp;S CONSTRUCCION MINERIA Y SERVICIOS GEN"/>
    <s v="."/>
    <n v="10274928"/>
    <s v="Nuevo Aprobado"/>
    <s v="BPECND"/>
    <n v="80003.9921875"/>
    <d v="2026-01-23T00:00:00"/>
    <n v="15"/>
    <s v="TLV"/>
    <s v="VENDORS"/>
    <s v="Nuevo Aprobado EN"/>
    <n v="202601"/>
    <n v="80004"/>
    <s v="B30002"/>
    <x v="104"/>
    <s v="B14058"/>
    <x v="11"/>
    <x v="17"/>
    <x v="3"/>
    <s v="P2"/>
    <s v="C3"/>
    <n v="1"/>
    <x v="0"/>
    <n v="1"/>
    <n v="1"/>
    <n v="1"/>
    <x v="1"/>
    <n v="80004"/>
    <n v="15"/>
    <d v="2026-01-23T00:00:00"/>
    <s v="Nuevo Aprobado EN"/>
    <s v="VENDORS"/>
    <s v="CAPITAL DE TRABAJO"/>
    <n v="200000"/>
    <n v="0.20399999999999999"/>
    <n v="0.184"/>
    <s v="TLV B"/>
    <s v="CAPITAL DE TRABAJO"/>
  </r>
  <r>
    <x v="1101"/>
    <x v="2"/>
    <n v="20448150951"/>
    <s v="JOMATEX"/>
    <s v="."/>
    <n v="10257248"/>
    <s v="Impulso Solo"/>
    <s v="BPECND"/>
    <n v="32910.95703125"/>
    <d v="2024-07-15T00:00:00"/>
    <n v="15.5"/>
    <s v="TLV"/>
    <s v="TLV"/>
    <s v="Impulso MyPeru Comercial"/>
    <n v="202407"/>
    <n v="44622.2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297"/>
    <x v="5"/>
    <n v="20604502510"/>
    <s v="REENCAUCHADORA DIRESUR S.R.L."/>
    <s v="."/>
    <n v="10261597"/>
    <s v="Impulso Mixto"/>
    <s v="B44121"/>
    <n v="3470.7509765625"/>
    <d v="2024-10-16T00:00:00"/>
    <n v="15.2"/>
    <s v="TLV"/>
    <s v="TLV"/>
    <s v="Impulso MyPeru Comercial"/>
    <n v="202410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02"/>
    <x v="12"/>
    <n v="20603663668"/>
    <s v="DISTRIBUIDORA Y DROGUERIA QMART"/>
    <s v="."/>
    <n v="10267027"/>
    <s v="Nuevo NO BANK"/>
    <s v="BPECND"/>
    <n v="46550.09765625"/>
    <d v="2025-04-11T00:00:00"/>
    <n v="21.5"/>
    <s v="TLV"/>
    <s v="TLV"/>
    <s v="Nuevo Aprobado EN"/>
    <n v="202504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03"/>
    <x v="4"/>
    <n v="10449401471"/>
    <s v="MOLOCHO BRAVO EDELMIRA"/>
    <n v="44940147"/>
    <n v="10265766"/>
    <s v="Ágil Recurrente CEM"/>
    <s v="B23842"/>
    <n v="60003.015625"/>
    <d v="2025-02-27T00:00:00"/>
    <n v="23"/>
    <s v="TIENDAS"/>
    <s v="TIENDAS"/>
    <s v="Recurrente Ágil CEM"/>
    <n v="202502"/>
    <n v="42059.82"/>
    <s v="B40039"/>
    <x v="41"/>
    <s v="B14530"/>
    <x v="5"/>
    <x v="4"/>
    <x v="0"/>
    <s v="P2"/>
    <s v="NULL"/>
    <n v="1"/>
    <x v="0"/>
    <n v="1"/>
    <n v="1"/>
    <n v="1"/>
    <x v="2"/>
    <n v="42059.82"/>
    <n v="23"/>
    <d v="2025-02-27T00:00:00"/>
    <s v="Recurrente Ágil CEM"/>
    <s v="TIENDAS"/>
    <s v="CAPITAL DE TRABAJO"/>
    <n v="70000"/>
    <n v="0.23"/>
    <n v="0.21179999999999999"/>
    <s v="NULL"/>
    <s v="NULL"/>
  </r>
  <r>
    <x v="1104"/>
    <x v="8"/>
    <n v="10401070741"/>
    <s v="GALLARDO SEMINARIO FREDDY ROLAND"/>
    <n v="40107074"/>
    <n v="10264270"/>
    <s v="Impulso Mixto"/>
    <s v="B11536"/>
    <n v="30001.509765625"/>
    <d v="2024-12-27T00:00:00"/>
    <n v="15.7"/>
    <s v="TLV"/>
    <s v="TLV"/>
    <s v="Impulso MyPeru Comercial"/>
    <n v="202412"/>
    <n v="30001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05"/>
    <x v="2"/>
    <n v="10081465768"/>
    <s v="MENDOZA YAÑEZ VICTOR RAUL"/>
    <n v="8146576"/>
    <n v="10265509"/>
    <s v="CDD APROBADO"/>
    <s v="B45371"/>
    <n v="35687.875"/>
    <d v="2025-02-20T00:00:00"/>
    <n v="14"/>
    <s v="TLV"/>
    <s v="TLV"/>
    <s v="Nuevo Aprobado Agil CD"/>
    <n v="202502"/>
    <n v="51752.55"/>
    <s v="B45371"/>
    <x v="15"/>
    <s v="B45384"/>
    <x v="6"/>
    <x v="4"/>
    <x v="2"/>
    <s v="P2"/>
    <s v="NULL"/>
    <n v="1"/>
    <x v="1"/>
    <n v="0"/>
    <n v="0"/>
    <n v="0"/>
    <x v="0"/>
    <n v="0"/>
    <s v="NULL"/>
    <s v="NULL"/>
    <s v="NULL"/>
    <s v="NULL"/>
    <s v="NULL"/>
    <n v="200000"/>
    <n v="0.25"/>
    <n v="0.23330000000000001"/>
    <s v="NULL"/>
    <s v="NULL"/>
  </r>
  <r>
    <x v="1106"/>
    <x v="1"/>
    <n v="20536376632"/>
    <s v="BELME IMPORTACIONES"/>
    <s v="."/>
    <n v="10268025"/>
    <s v="Ágil Recurrente CEM"/>
    <s v="B25939"/>
    <n v="91584.046875"/>
    <d v="2025-05-22T00:00:00"/>
    <n v="17"/>
    <s v="TIENDAS"/>
    <s v="TIENDAS"/>
    <s v="Recurrente Ágil CEM"/>
    <n v="202505"/>
    <n v="350017.5"/>
    <s v="B25939"/>
    <x v="23"/>
    <s v="B13988"/>
    <x v="1"/>
    <x v="5"/>
    <x v="0"/>
    <s v="P5"/>
    <s v="C1_2"/>
    <n v="1"/>
    <x v="0"/>
    <n v="0"/>
    <n v="0"/>
    <n v="1"/>
    <x v="0"/>
    <n v="0"/>
    <s v="NULL"/>
    <s v="NULL"/>
    <s v="NULL"/>
    <s v="NULL"/>
    <s v="NULL"/>
    <n v="105000"/>
    <n v="0.21"/>
    <n v="0.19"/>
    <s v="NULL"/>
    <s v="NULL"/>
  </r>
  <r>
    <x v="1107"/>
    <x v="5"/>
    <n v="20606795875"/>
    <s v="MOTOREPUESTOS INTERNACIONAL"/>
    <s v="."/>
    <n v="10268115"/>
    <s v="Nuevo pre Aprobado"/>
    <s v="B37955"/>
    <n v="52037.92578125"/>
    <d v="2025-05-26T00:00:00"/>
    <n v="23.1"/>
    <s v="TIENDAS"/>
    <s v="TIENDAS"/>
    <s v="Nuevo Pre-aprobado"/>
    <n v="202505"/>
    <n v="60003"/>
    <s v="B37955"/>
    <x v="53"/>
    <s v="B27274"/>
    <x v="0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108"/>
    <x v="8"/>
    <n v="20604176094"/>
    <s v="GM ACCOUNTING AND LOGISTICS"/>
    <s v="."/>
    <n v="10266358"/>
    <s v="Nuevo NO BANK"/>
    <s v="B24783"/>
    <n v="40189.5625"/>
    <d v="2025-03-20T00:00:00"/>
    <n v="23"/>
    <s v="TLV"/>
    <s v="TLV"/>
    <s v="Nuevo Aprobado EN"/>
    <n v="202503"/>
    <n v="50002.5"/>
    <s v="B24783"/>
    <x v="24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4979999999999999"/>
    <s v="NULL"/>
    <s v="NULL"/>
    <s v="NULL"/>
  </r>
  <r>
    <x v="1109"/>
    <x v="8"/>
    <n v="20544045904"/>
    <s v="IMPORT TONY &amp; MERLIN"/>
    <s v="."/>
    <n v="10267305"/>
    <s v="Nuevo Aprobado Ágil"/>
    <s v="B13161"/>
    <n v="206525.828125"/>
    <d v="2025-04-24T00:00:00"/>
    <n v="16.5"/>
    <s v="TIENDAS"/>
    <s v="TIENDAS"/>
    <s v="Nuevo Pre-aprobado"/>
    <n v="202504"/>
    <n v="220011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10"/>
    <x v="6"/>
    <n v="10713488254"/>
    <s v="LLANO LLANO GUIDO RAMIRO"/>
    <n v="71348825"/>
    <n v="10250037"/>
    <s v="Impulso Solo"/>
    <s v="B45386"/>
    <n v="24609.08203125"/>
    <d v="2024-03-26T00:00:00"/>
    <n v="14.3"/>
    <s v="TLV"/>
    <s v="TLV"/>
    <s v="Impulso MyPeru Comercial"/>
    <n v="202403"/>
    <n v="50002.5"/>
    <s v="B45386"/>
    <x v="27"/>
    <s v="B45384"/>
    <x v="6"/>
    <x v="1"/>
    <x v="2"/>
    <s v="P2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111"/>
    <x v="5"/>
    <n v="10464196949"/>
    <s v="HERRERA PEREZ JHON KENY"/>
    <n v="46419694"/>
    <n v="10248696"/>
    <s v="Impulso Mixto"/>
    <s v="B45083"/>
    <n v="44391.60546875"/>
    <d v="2024-02-28T00:00:00"/>
    <n v="14.7"/>
    <s v="TIENDAS"/>
    <s v="TIENDAS"/>
    <s v="Impulso MyPeru Comercial"/>
    <n v="202402"/>
    <n v="90004.5"/>
    <s v="B46366"/>
    <x v="83"/>
    <s v="B45083"/>
    <x v="7"/>
    <x v="4"/>
    <x v="2"/>
    <s v="P1"/>
    <s v="C3"/>
    <n v="1"/>
    <x v="1"/>
    <n v="0"/>
    <n v="0"/>
    <n v="0"/>
    <x v="0"/>
    <n v="0"/>
    <s v="NULL"/>
    <s v="NULL"/>
    <s v="NULL"/>
    <s v="NULL"/>
    <s v="NULL"/>
    <n v="300000"/>
    <n v="0.2"/>
    <n v="0.18"/>
    <s v="NULL"/>
    <s v="NULL"/>
  </r>
  <r>
    <x v="1112"/>
    <x v="4"/>
    <n v="20480392435"/>
    <s v="IDEAS GASTRONOMICAS SAC"/>
    <s v="."/>
    <n v="10246038"/>
    <s v="Nuevo pre Aprobado"/>
    <s v="B44120"/>
    <n v="70118.84375"/>
    <d v="2023-11-24T00:00:00"/>
    <n v="21.299990000000001"/>
    <s v="TIENDAS"/>
    <s v="TIENDAS"/>
    <s v="Nuevo Pre-aprobado"/>
    <n v="202311"/>
    <n v="150007.5"/>
    <s v="B44120"/>
    <x v="45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924975661"/>
    <n v="0"/>
    <n v="0"/>
    <s v="NULL"/>
    <s v="NULL"/>
  </r>
  <r>
    <x v="1113"/>
    <x v="5"/>
    <n v="10468543821"/>
    <s v="PEREZ ALTAMIRANO ELAN"/>
    <n v="46854382"/>
    <n v="10267367"/>
    <s v="Nuevo Aprobado"/>
    <s v="B27334"/>
    <n v="51671.0078125"/>
    <d v="2025-04-25T00:00:00"/>
    <n v="19"/>
    <s v="TLV"/>
    <s v="TLV"/>
    <s v="Nuevo Aprobado EN"/>
    <n v="202504"/>
    <n v="60003"/>
    <s v="NULL"/>
    <x v="2"/>
    <s v="NULL"/>
    <x v="2"/>
    <x v="4"/>
    <x v="2"/>
    <s v="P2"/>
    <s v="C3"/>
    <n v="1"/>
    <x v="0"/>
    <n v="0"/>
    <n v="0"/>
    <n v="0"/>
    <x v="2"/>
    <n v="0"/>
    <s v="NULL"/>
    <s v="NULL"/>
    <s v="NULL"/>
    <s v="NULL"/>
    <s v="NULL"/>
    <n v="200000"/>
    <n v="0.26"/>
    <n v="0.24"/>
    <s v="NULL"/>
    <s v="NULL"/>
  </r>
  <r>
    <x v="1114"/>
    <x v="2"/>
    <n v="20602346596"/>
    <s v="RZ LAB TESTING E.I.R.L."/>
    <s v="."/>
    <n v="10260441"/>
    <s v="Impulso Solo"/>
    <s v="B27274"/>
    <n v="278892.6875"/>
    <d v="2024-09-17T00:00:00"/>
    <n v="13"/>
    <s v="TIENDAS"/>
    <s v="TIENDAS"/>
    <s v="Impulso MyPeru Comercial"/>
    <n v="202409"/>
    <n v="30001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15"/>
    <x v="10"/>
    <n v="10328320946"/>
    <s v="ROJAS RODRIGUEZ DANIEL ISAIAS"/>
    <n v="32832094"/>
    <n v="10258565"/>
    <s v="Impulso Mixto"/>
    <s v="B11082"/>
    <n v="16143.7568359375"/>
    <d v="2024-07-31T00:00:00"/>
    <n v="15.5"/>
    <s v="TLV"/>
    <s v="TLV"/>
    <s v="Impulso MyPeru Comercial"/>
    <n v="202407"/>
    <n v="50002.5"/>
    <s v="NULL"/>
    <x v="2"/>
    <s v="NULL"/>
    <x v="2"/>
    <x v="12"/>
    <x v="3"/>
    <s v="P3"/>
    <s v="C3"/>
    <n v="1"/>
    <x v="0"/>
    <n v="0"/>
    <n v="0"/>
    <n v="1"/>
    <x v="1"/>
    <n v="0"/>
    <s v="NULL"/>
    <s v="NULL"/>
    <s v="NULL"/>
    <s v="NULL"/>
    <s v="NULL"/>
    <s v="NULL"/>
    <s v="NULL"/>
    <s v="NULL"/>
    <s v="TLV C"/>
    <s v="POOL TRANSACCIONAL"/>
  </r>
  <r>
    <x v="1115"/>
    <x v="10"/>
    <n v="10328320946"/>
    <s v="ROJAS RODRIGUEZ DANIEL ISAIAS"/>
    <n v="32832094"/>
    <n v="10258565"/>
    <s v="Impulso Mixto"/>
    <s v="B11082"/>
    <n v="16143.7568359375"/>
    <d v="2024-07-31T00:00:00"/>
    <n v="15.5"/>
    <s v="TLV"/>
    <s v="TLV"/>
    <s v="Impulso MyPeru Comercial"/>
    <n v="202407"/>
    <n v="50002.5"/>
    <s v="B45375"/>
    <x v="65"/>
    <s v="B45384"/>
    <x v="6"/>
    <x v="5"/>
    <x v="2"/>
    <s v="P3"/>
    <s v="C3"/>
    <n v="1"/>
    <x v="1"/>
    <n v="0"/>
    <n v="0"/>
    <n v="0"/>
    <x v="2"/>
    <n v="0"/>
    <s v="NULL"/>
    <s v="NULL"/>
    <s v="NULL"/>
    <s v="NULL"/>
    <s v="NULL"/>
    <n v="400000"/>
    <n v="0.21"/>
    <n v="0.19"/>
    <s v="NULL"/>
    <s v="NULL"/>
  </r>
  <r>
    <x v="1116"/>
    <x v="6"/>
    <n v="10760830386"/>
    <s v="PINTO ENERO ANTONELLA BETZABETH"/>
    <n v="76083038"/>
    <n v="10268788"/>
    <s v="CDD APROBADO"/>
    <s v="B45373"/>
    <n v="119777.53125"/>
    <d v="2025-06-18T00:00:00"/>
    <n v="17.5"/>
    <s v="TLV"/>
    <s v="TLV"/>
    <s v="Nuevo Aprobado Agil CD"/>
    <n v="202506"/>
    <n v="149852.45000000001"/>
    <s v="B45373"/>
    <x v="13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117"/>
    <x v="1"/>
    <n v="10468934758"/>
    <s v="MENDOZA RUIZ CRISTINA KEY"/>
    <n v="46893475"/>
    <n v="10265284"/>
    <s v="Recurrente Aprobado"/>
    <s v="B14530"/>
    <n v="75670.5625"/>
    <d v="2025-02-12T00:00:00"/>
    <n v="16.68"/>
    <s v="TIENDAS"/>
    <s v="TIENDAS"/>
    <s v="Recurrente Ágil CEM"/>
    <n v="202502"/>
    <n v="98960.95"/>
    <s v="B46889"/>
    <x v="105"/>
    <s v="B14530"/>
    <x v="5"/>
    <x v="1"/>
    <x v="0"/>
    <s v="P5"/>
    <s v="C3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1118"/>
    <x v="5"/>
    <n v="20602753761"/>
    <s v="CVR CONSULTING S.R.L."/>
    <s v="."/>
    <n v="10265977"/>
    <s v="Nuevo Aprobado Ágil"/>
    <s v="B45374"/>
    <n v="66112.2109375"/>
    <d v="2025-03-05T00:00:00"/>
    <n v="18.5"/>
    <s v="TLV"/>
    <s v="TLV"/>
    <s v="Nuevo Aprobado Agil"/>
    <n v="202503"/>
    <n v="84604.2"/>
    <s v="B45374"/>
    <x v="21"/>
    <s v="B45384"/>
    <x v="6"/>
    <x v="4"/>
    <x v="2"/>
    <s v="P1"/>
    <s v="C2"/>
    <n v="1"/>
    <x v="0"/>
    <n v="0"/>
    <n v="0"/>
    <n v="1"/>
    <x v="0"/>
    <n v="0"/>
    <s v="NULL"/>
    <s v="NULL"/>
    <s v="NULL"/>
    <s v="NULL"/>
    <s v="NULL"/>
    <n v="250000"/>
    <n v="0.22"/>
    <n v="0.2"/>
    <s v="NULL"/>
    <s v="NULL"/>
  </r>
  <r>
    <x v="1119"/>
    <x v="3"/>
    <n v="20605720529"/>
    <s v="ORL ARNAEZ"/>
    <s v="."/>
    <n v="10264573"/>
    <s v="Nuevo Aprobado"/>
    <s v="BPECND"/>
    <n v="45067.91015625"/>
    <d v="2025-01-15T00:00:00"/>
    <n v="21"/>
    <s v="TLV"/>
    <s v="TLV"/>
    <s v="Nuevo Aprobado EN"/>
    <n v="202501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20"/>
    <x v="7"/>
    <n v="20602895913"/>
    <s v="CONTRATISTAS GENERALES ALEPSUR"/>
    <s v="."/>
    <n v="10264980"/>
    <s v="Nuevo Aprobado"/>
    <s v="B45373"/>
    <n v="26599.068359375"/>
    <d v="2025-01-30T00:00:00"/>
    <n v="17"/>
    <s v="TLV"/>
    <s v="TLV"/>
    <s v="Nuevo Aprobado EN"/>
    <n v="202501"/>
    <n v="40002"/>
    <s v="B45373"/>
    <x v="13"/>
    <s v="B45384"/>
    <x v="6"/>
    <x v="4"/>
    <x v="2"/>
    <s v="P1"/>
    <s v="C2"/>
    <n v="1"/>
    <x v="1"/>
    <n v="0"/>
    <n v="0"/>
    <n v="0"/>
    <x v="0"/>
    <n v="0"/>
    <s v="NULL"/>
    <s v="NULL"/>
    <s v="NULL"/>
    <s v="NULL"/>
    <s v="NULL"/>
    <n v="250000"/>
    <n v="0.24079999999999999"/>
    <n v="0.2208"/>
    <s v="NULL"/>
    <s v="NULL"/>
  </r>
  <r>
    <x v="1121"/>
    <x v="6"/>
    <n v="20605400966"/>
    <s v="RODAMIENTOS Y REPUESTOS FERREÑAFE S.A.C."/>
    <s v="."/>
    <n v="10252837"/>
    <s v="Impulso CDI Cobertura"/>
    <s v="B36093"/>
    <n v="51867.47265625"/>
    <d v="2024-05-15T00:00:00"/>
    <n v="14.9"/>
    <s v="TIENDAS"/>
    <s v="TIENDAS"/>
    <s v="Impulso MyPeru Comercial"/>
    <n v="202405"/>
    <n v="90004.5"/>
    <s v="B36093"/>
    <x v="2"/>
    <s v="NULL"/>
    <x v="2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122"/>
    <x v="4"/>
    <n v="20600218311"/>
    <s v="COMERCIAL Y DISTRIBUCIONES SAGITARIO"/>
    <s v="."/>
    <n v="10170200"/>
    <s v="GIRO DE LINEA"/>
    <s v="B26053"/>
    <n v="15306.28515625"/>
    <d v="2024-02-13T00:00:00"/>
    <n v="16"/>
    <s v="TIENDAS"/>
    <s v="TIENDAS"/>
    <s v="Giro de Línea"/>
    <n v="202402"/>
    <n v="170008.5"/>
    <s v="B26053"/>
    <x v="3"/>
    <s v="B14821"/>
    <x v="3"/>
    <x v="4"/>
    <x v="0"/>
    <s v="P1"/>
    <s v="NULL"/>
    <n v="1"/>
    <x v="0"/>
    <n v="0"/>
    <n v="0"/>
    <n v="1"/>
    <x v="2"/>
    <n v="0"/>
    <s v="NULL"/>
    <s v="NULL"/>
    <s v="NULL"/>
    <s v="NULL"/>
    <s v="NULL"/>
    <n v="80000"/>
    <n v="0.22"/>
    <n v="0.20280000000000001"/>
    <s v="NULL"/>
    <s v="NULL"/>
  </r>
  <r>
    <x v="1123"/>
    <x v="2"/>
    <n v="10463882423"/>
    <s v="MUÑOZ OCAÑA ANGELA"/>
    <n v="46388242"/>
    <n v="10268485"/>
    <s v="CDD APROBADO"/>
    <s v="B45372"/>
    <n v="79756.4609375"/>
    <d v="2025-06-06T00:00:00"/>
    <n v="16"/>
    <s v="TLV"/>
    <s v="TLV"/>
    <s v="Nuevo Aprobado Agil CD"/>
    <n v="202506"/>
    <n v="90004.5"/>
    <s v="B45372"/>
    <x v="56"/>
    <s v="B45384"/>
    <x v="6"/>
    <x v="1"/>
    <x v="2"/>
    <s v="P2"/>
    <s v="NULL"/>
    <n v="1"/>
    <x v="1"/>
    <n v="0"/>
    <n v="0"/>
    <n v="0"/>
    <x v="0"/>
    <n v="0"/>
    <s v="NULL"/>
    <s v="NULL"/>
    <s v="NULL"/>
    <s v="NULL"/>
    <s v="NULL"/>
    <n v="1"/>
    <n v="0.20130000000000001"/>
    <s v="NULL"/>
    <s v="NULL"/>
    <s v="NULL"/>
  </r>
  <r>
    <x v="1124"/>
    <x v="2"/>
    <n v="10414532085"/>
    <s v="ESPINOZA SAENZ VERONICA AMANDA"/>
    <n v="41453208"/>
    <n v="10265303"/>
    <s v="Nuevo Aprobado"/>
    <s v="B11082"/>
    <n v="12133.427734375"/>
    <d v="2025-02-13T00:00:00"/>
    <n v="24"/>
    <s v="TLV"/>
    <s v="TLV"/>
    <s v="Nuevo Aprobado EN"/>
    <n v="202502"/>
    <n v="17250.849999999999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25"/>
    <x v="9"/>
    <n v="20600564316"/>
    <s v="DIGSO"/>
    <s v="."/>
    <n v="10254688"/>
    <s v="Impulso Mixto"/>
    <s v="B22760"/>
    <n v="32602.779296875"/>
    <d v="2024-06-04T00:00:00"/>
    <n v="15.5"/>
    <s v="TLV"/>
    <s v="TLV"/>
    <s v="Impulso MyPeru Comercial"/>
    <n v="202406"/>
    <n v="40002"/>
    <s v="B22760"/>
    <x v="42"/>
    <s v="B34489"/>
    <x v="4"/>
    <x v="7"/>
    <x v="0"/>
    <s v="P1"/>
    <s v="NULL"/>
    <n v="1"/>
    <x v="1"/>
    <n v="0"/>
    <n v="0"/>
    <n v="0"/>
    <x v="2"/>
    <n v="0"/>
    <s v="NULL"/>
    <s v="NULL"/>
    <s v="NULL"/>
    <s v="NULL"/>
    <s v="NULL"/>
    <n v="118000"/>
    <n v="0.22"/>
    <n v="0.20380000000000001"/>
    <s v="NULL"/>
    <s v="NULL"/>
  </r>
  <r>
    <x v="1126"/>
    <x v="0"/>
    <n v="20607505412"/>
    <s v="INCA NATIVOS"/>
    <s v="."/>
    <n v="10269301"/>
    <s v="Regular Sin Campaña"/>
    <s v="B46403"/>
    <n v="30570.005859375"/>
    <d v="2025-06-30T00:00:00"/>
    <n v="25"/>
    <s v="TIENDAS"/>
    <s v="TIENDAS"/>
    <s v="Gestion Cartera"/>
    <n v="202506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551"/>
    <x v="1"/>
    <n v="20601798060"/>
    <s v="ROMASA OPERADOR LOGISTICO"/>
    <s v="."/>
    <n v="10266159"/>
    <s v="Nuevo Aprobado"/>
    <s v="B27880"/>
    <n v="49180.7109375"/>
    <d v="2025-03-13T00:00:00"/>
    <n v="22"/>
    <s v="TLV"/>
    <s v="TLV"/>
    <s v="Nuevo Aprobado EN"/>
    <n v="202503"/>
    <n v="102005.1"/>
    <s v="B27880"/>
    <x v="6"/>
    <s v="B14821"/>
    <x v="3"/>
    <x v="10"/>
    <x v="0"/>
    <s v="P5"/>
    <s v="C1_1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127"/>
    <x v="3"/>
    <n v="20607864340"/>
    <s v="IMPORTADORA &amp; DISTRIBUIDORA CACS S.A.C."/>
    <s v="."/>
    <n v="10262765"/>
    <s v="Impulso Solo"/>
    <s v="BPECND"/>
    <n v="70003.484375"/>
    <d v="2024-11-19T00:00:00"/>
    <n v="14.8"/>
    <s v="TLV"/>
    <s v="TLV"/>
    <s v="Impulso MyPeru Comercial"/>
    <n v="202411"/>
    <n v="70003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28"/>
    <x v="9"/>
    <n v="20546319793"/>
    <s v="GIANCARLO IMPORT EXPORT"/>
    <s v="."/>
    <n v="10263271"/>
    <s v="Ágil Recurrente CEM"/>
    <s v="B45389"/>
    <n v="152514.125"/>
    <d v="2024-11-28T00:00:00"/>
    <n v="16.5"/>
    <s v="TIENDAS"/>
    <s v="TIENDAS"/>
    <s v="Recurrente Ágil CEM"/>
    <n v="202411"/>
    <n v="185009.25"/>
    <s v="B45389"/>
    <x v="28"/>
    <s v="B45384"/>
    <x v="6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1129"/>
    <x v="10"/>
    <n v="20601172144"/>
    <s v="AYVEMAC E.I.R.L."/>
    <s v="."/>
    <n v="10262679"/>
    <s v="Impulso Mixto"/>
    <s v="B27596"/>
    <n v="59181.52734375"/>
    <d v="2024-11-18T00:00:00"/>
    <n v="14.5"/>
    <s v="TLV"/>
    <s v="TLV"/>
    <s v="Impulso MyPeru Comercial"/>
    <n v="202411"/>
    <n v="90004.5"/>
    <s v="B27596"/>
    <x v="38"/>
    <s v="B13988"/>
    <x v="1"/>
    <x v="7"/>
    <x v="0"/>
    <s v="P1"/>
    <s v="C1_1"/>
    <n v="1"/>
    <x v="1"/>
    <n v="0"/>
    <n v="0"/>
    <n v="0"/>
    <x v="0"/>
    <n v="0"/>
    <s v="NULL"/>
    <s v="NULL"/>
    <s v="NULL"/>
    <s v="NULL"/>
    <s v="NULL"/>
    <n v="280000"/>
    <n v="0.19"/>
    <n v="0.17"/>
    <s v="NULL"/>
    <s v="NULL"/>
  </r>
  <r>
    <x v="1130"/>
    <x v="0"/>
    <n v="10084224290"/>
    <s v="NAPAN BELLEZA MATIAS ALBERTO"/>
    <n v="8422429"/>
    <n v="10272027"/>
    <s v="Recurrente Aprobado Agil"/>
    <s v="B30745"/>
    <n v="45272.234375"/>
    <d v="2025-10-06T00:00:00"/>
    <n v="19.97"/>
    <s v="TIENDAS"/>
    <s v="TIENDAS"/>
    <s v="Recurrente Ágil CEM"/>
    <n v="202510"/>
    <n v="50002.5"/>
    <s v="B30745"/>
    <x v="14"/>
    <s v="B27274"/>
    <x v="0"/>
    <x v="0"/>
    <x v="0"/>
    <s v="P1"/>
    <s v="C3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131"/>
    <x v="4"/>
    <n v="20601256437"/>
    <s v="IMPORTACIONES SUMMER"/>
    <s v="."/>
    <n v="10221935"/>
    <s v="GIRO DE LINEA"/>
    <s v="BPECND"/>
    <n v="116391.1328125"/>
    <d v="2024-10-07T00:00:00"/>
    <n v="17.8"/>
    <s v="TIENDAS"/>
    <s v="TIENDAS"/>
    <s v="Giro de Línea"/>
    <n v="202410"/>
    <n v="150007.5"/>
    <s v="B28007"/>
    <x v="20"/>
    <s v="B13988"/>
    <x v="8"/>
    <x v="4"/>
    <x v="0"/>
    <s v="P1"/>
    <s v="NULL"/>
    <n v="1"/>
    <x v="0"/>
    <n v="0"/>
    <n v="0"/>
    <n v="1"/>
    <x v="2"/>
    <n v="0"/>
    <s v="NULL"/>
    <s v="NULL"/>
    <s v="NULL"/>
    <s v="NULL"/>
    <s v="NULL"/>
    <n v="100000"/>
    <n v="0.18"/>
    <n v="0.1628"/>
    <s v="NULL"/>
    <s v="NULL"/>
  </r>
  <r>
    <x v="1132"/>
    <x v="10"/>
    <n v="20559869598"/>
    <s v="SAVA-TI CONSULTORES S.A.C."/>
    <s v="."/>
    <n v="10271256"/>
    <s v="Nuevo NO BANK"/>
    <s v="B45386"/>
    <n v="17386.716796875"/>
    <d v="2025-09-11T00:00:00"/>
    <n v="27.9"/>
    <s v="TLV"/>
    <s v="TLV"/>
    <s v="Nuevo Aprobado EN"/>
    <n v="202509"/>
    <n v="50002.5"/>
    <s v="B45386"/>
    <x v="27"/>
    <s v="B45384"/>
    <x v="6"/>
    <x v="5"/>
    <x v="2"/>
    <s v="P1"/>
    <s v="C2"/>
    <n v="1"/>
    <x v="0"/>
    <n v="0"/>
    <n v="0"/>
    <n v="0"/>
    <x v="0"/>
    <n v="0"/>
    <s v="NULL"/>
    <s v="NULL"/>
    <s v="NULL"/>
    <s v="NULL"/>
    <s v="NULL"/>
    <n v="130000"/>
    <n v="0.28689999999999999"/>
    <n v="0.26690000000000003"/>
    <s v="NULL"/>
    <s v="NULL"/>
  </r>
  <r>
    <x v="1133"/>
    <x v="6"/>
    <n v="20544510836"/>
    <s v="AVANTECH GROUP"/>
    <s v="."/>
    <n v="10269371"/>
    <s v="Nuevo Aprobado"/>
    <s v="B46366"/>
    <n v="195849.1875"/>
    <d v="2025-07-07T00:00:00"/>
    <n v="19"/>
    <s v="TIENDAS VIRTUALES"/>
    <s v="TIENDAS VIRTUALES"/>
    <s v="Nuevo Aprobado EN"/>
    <n v="202507"/>
    <n v="230011.5"/>
    <s v="B46366"/>
    <x v="30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134"/>
    <x v="10"/>
    <n v="10266558193"/>
    <s v="HUACCHA GOICOCHEA AMELITA RITA"/>
    <n v="26655819"/>
    <n v="10253264"/>
    <s v="Impulso CDI Cobertura"/>
    <s v="B19952"/>
    <n v="31661.4375"/>
    <d v="2024-05-23T00:00:00"/>
    <n v="16.899999999999999"/>
    <s v="TLV"/>
    <s v="TLV"/>
    <s v="Impulso MyPeru Comercial"/>
    <n v="202405"/>
    <n v="76723.8"/>
    <s v="NULL"/>
    <x v="2"/>
    <s v="NULL"/>
    <x v="2"/>
    <x v="12"/>
    <x v="3"/>
    <s v="P1"/>
    <s v="C3"/>
    <n v="1"/>
    <x v="0"/>
    <n v="0"/>
    <n v="0"/>
    <n v="0"/>
    <x v="1"/>
    <n v="0"/>
    <s v="NULL"/>
    <s v="NULL"/>
    <s v="NULL"/>
    <s v="NULL"/>
    <s v="NULL"/>
    <s v="NULL"/>
    <s v="NULL"/>
    <s v="NULL"/>
    <s v="TLV C"/>
    <s v="POOL TRANSACCIONAL"/>
  </r>
  <r>
    <x v="1135"/>
    <x v="6"/>
    <n v="10401808448"/>
    <s v="MAMANI FLORES NORMA YENNY"/>
    <n v="40180844"/>
    <n v="10266996"/>
    <s v="Nuevo Aprobado"/>
    <s v="B33170"/>
    <n v="27361.564453125"/>
    <d v="2025-04-11T00:00:00"/>
    <n v="18"/>
    <s v="TLV"/>
    <s v="TLV"/>
    <s v="Gestion Cartera"/>
    <n v="202504"/>
    <n v="35001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976"/>
    <x v="1"/>
    <n v="20544119363"/>
    <s v="SIPROG SERVICIO INGENIERIA Y PROYECTOS"/>
    <s v="."/>
    <n v="10267069"/>
    <s v="CDD PRE APROBADO"/>
    <s v="B45870"/>
    <n v="148139.15625"/>
    <d v="2025-04-14T00:00:00"/>
    <n v="16.5"/>
    <s v="TIENDAS"/>
    <s v="TIENDAS"/>
    <s v="Recurrente Aprobado CD"/>
    <n v="202504"/>
    <n v="187009.35"/>
    <s v="B36574"/>
    <x v="51"/>
    <s v="B13161"/>
    <x v="9"/>
    <x v="5"/>
    <x v="0"/>
    <s v="P5"/>
    <s v="C1_2"/>
    <n v="1"/>
    <x v="1"/>
    <n v="0"/>
    <n v="0"/>
    <n v="0"/>
    <x v="0"/>
    <n v="0"/>
    <s v="NULL"/>
    <s v="NULL"/>
    <s v="NULL"/>
    <s v="NULL"/>
    <s v="NULL"/>
    <n v="56100"/>
    <n v="0.21"/>
    <n v="0.19"/>
    <s v="NULL"/>
    <s v="NULL"/>
  </r>
  <r>
    <x v="1000"/>
    <x v="12"/>
    <n v="20492974243"/>
    <s v="AMBIENTE Y DESARROLLO SOSTENIBLE"/>
    <s v="."/>
    <n v="10160614"/>
    <s v="GIRO DE LINEA"/>
    <s v="B45749"/>
    <n v="58475.94140625"/>
    <d v="2024-02-12T00:00:00"/>
    <n v="18.5"/>
    <s v="TIENDAS"/>
    <s v="TIENDAS"/>
    <s v="Giro de Línea"/>
    <n v="202402"/>
    <n v="59002.9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36"/>
    <x v="5"/>
    <n v="10436226409"/>
    <s v="RODRIGUEZ MIRANDA HERLINDA MEYDA"/>
    <n v="43622640"/>
    <n v="10255756"/>
    <s v="Impulso Mixto"/>
    <s v="B10391"/>
    <n v="46120.359375"/>
    <d v="2024-06-20T00:00:00"/>
    <n v="15.5"/>
    <s v="TLV"/>
    <s v="TLV"/>
    <s v="Impulso MyPeru Comercial"/>
    <n v="202406"/>
    <n v="70003.5"/>
    <s v="NULL"/>
    <x v="2"/>
    <s v="NULL"/>
    <x v="2"/>
    <x v="4"/>
    <x v="2"/>
    <s v="P1"/>
    <s v="C3"/>
    <n v="1"/>
    <x v="0"/>
    <n v="0"/>
    <n v="0"/>
    <n v="0"/>
    <x v="2"/>
    <n v="0"/>
    <s v="NULL"/>
    <s v="NULL"/>
    <s v="NULL"/>
    <s v="NULL"/>
    <s v="NULL"/>
    <n v="200000"/>
    <n v="0.26"/>
    <n v="0.24"/>
    <s v="NULL"/>
    <s v="NULL"/>
  </r>
  <r>
    <x v="1137"/>
    <x v="6"/>
    <n v="20559233022"/>
    <s v="CORPORACION TENSI SOCIEDAD ANONIMA CERRA"/>
    <s v="."/>
    <n v="10266872"/>
    <s v="CDD APROBADO"/>
    <s v="B45385"/>
    <n v="108729.5390625"/>
    <d v="2025-04-04T00:00:00"/>
    <n v="14"/>
    <s v="TLV"/>
    <s v="TLV"/>
    <s v="Nuevo Aprobado Agil CD"/>
    <n v="202504"/>
    <n v="140399"/>
    <s v="B45385"/>
    <x v="63"/>
    <s v="B45384"/>
    <x v="6"/>
    <x v="4"/>
    <x v="2"/>
    <s v="P1"/>
    <s v="NULL"/>
    <n v="1"/>
    <x v="1"/>
    <n v="0"/>
    <n v="0"/>
    <n v="0"/>
    <x v="0"/>
    <n v="0"/>
    <s v="NULL"/>
    <s v="NULL"/>
    <s v="NULL"/>
    <s v="NULL"/>
    <s v="NULL"/>
    <n v="250000"/>
    <n v="0.2127"/>
    <n v="0.19270000000000001"/>
    <s v="NULL"/>
    <s v="NULL"/>
  </r>
  <r>
    <x v="1138"/>
    <x v="7"/>
    <n v="20519325871"/>
    <s v="DYNAMIC BUILDING"/>
    <s v="."/>
    <n v="10272907"/>
    <s v="Nuevo Aprobado Ágil"/>
    <s v="BPECND"/>
    <n v="170008.5"/>
    <d v="2025-11-06T00:00:00"/>
    <n v="16"/>
    <s v="TLV"/>
    <s v="VENDORS"/>
    <s v="Nuevo Aprobado Agil"/>
    <n v="202511"/>
    <n v="170008.5"/>
    <s v="B39500"/>
    <x v="99"/>
    <s v="B28616"/>
    <x v="12"/>
    <x v="16"/>
    <x v="3"/>
    <s v="P1"/>
    <s v="C3"/>
    <n v="1"/>
    <x v="0"/>
    <n v="1"/>
    <n v="1"/>
    <n v="1"/>
    <x v="1"/>
    <n v="170008.5"/>
    <n v="16"/>
    <d v="2025-11-06T00:00:00"/>
    <s v="Nuevo Aprobado Agil"/>
    <s v="VENDORS"/>
    <s v="CAPITAL DE TRABAJO"/>
    <n v="170000"/>
    <n v="0.2278"/>
    <n v="0.20780000000000001"/>
    <s v="NULL"/>
    <s v="CAPITAL DE TRABAJO"/>
  </r>
  <r>
    <x v="1139"/>
    <x v="5"/>
    <n v="20554200843"/>
    <s v="TRANSPORTES GRAMY"/>
    <s v="."/>
    <n v="10269895"/>
    <s v="Nuevo Aprobado"/>
    <s v="BPECND"/>
    <n v="96900.4453125"/>
    <d v="2025-07-24T00:00:00"/>
    <n v="18"/>
    <s v="TLV"/>
    <s v="TLV"/>
    <s v="Nuevo Aprobado EN"/>
    <n v="202507"/>
    <n v="10000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876"/>
    <x v="8"/>
    <n v="20606096021"/>
    <s v="GRUPO INTECC PERU S.A.C."/>
    <s v="."/>
    <n v="10260252"/>
    <s v="Impulso CDI Cobertura"/>
    <s v="B33503"/>
    <n v="38382.08984375"/>
    <d v="2024-09-12T00:00:00"/>
    <n v="15.4"/>
    <s v="TIENDAS"/>
    <s v="TIENDAS"/>
    <s v="Impulso MyPeru Comercial"/>
    <n v="202409"/>
    <n v="45002.2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40"/>
    <x v="5"/>
    <n v="20549741089"/>
    <s v="MEDCOMSA SAC"/>
    <s v="."/>
    <n v="10268114"/>
    <s v="Regular Sin Campaña"/>
    <s v="B27274"/>
    <n v="357335.46875"/>
    <d v="2025-05-26T00:00:00"/>
    <n v="16"/>
    <s v="TIENDAS"/>
    <s v="TIENDAS"/>
    <s v="Gestion Cartera"/>
    <n v="202505"/>
    <n v="400020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41"/>
    <x v="1"/>
    <n v="20610609962"/>
    <s v="TRANSPORTES R.E.G.C."/>
    <s v="."/>
    <n v="10269441"/>
    <s v="Nuevo NO BANK"/>
    <s v="B27274"/>
    <n v="45726.9765625"/>
    <d v="2025-07-09T00:00:00"/>
    <n v="26"/>
    <s v="TLV"/>
    <s v="TLV"/>
    <s v="Nuevo Aprobado EN"/>
    <n v="202507"/>
    <n v="70003.5"/>
    <s v="B45749"/>
    <x v="9"/>
    <s v="B27274"/>
    <x v="0"/>
    <x v="11"/>
    <x v="0"/>
    <s v="P1"/>
    <s v="C2"/>
    <n v="1"/>
    <x v="0"/>
    <n v="0"/>
    <n v="0"/>
    <n v="1"/>
    <x v="2"/>
    <n v="0"/>
    <s v="NULL"/>
    <s v="NULL"/>
    <s v="NULL"/>
    <s v="NULL"/>
    <s v="NULL"/>
    <n v="500000"/>
    <n v="0.22"/>
    <n v="0.2"/>
    <s v="NULL"/>
    <s v="NULL"/>
  </r>
  <r>
    <x v="1142"/>
    <x v="6"/>
    <n v="10445044704"/>
    <s v="GARCIA GAVILAN MERLY PATRICIA"/>
    <n v="44504470"/>
    <n v="10266643"/>
    <s v="CDD APROBADO"/>
    <s v="B45385"/>
    <n v="78751.578125"/>
    <d v="2025-03-27T00:00:00"/>
    <n v="18.5"/>
    <s v="TLV"/>
    <s v="TLV"/>
    <s v="Nuevo Aprobado Agil CD"/>
    <n v="202503"/>
    <n v="93154.65"/>
    <s v="B45385"/>
    <x v="63"/>
    <s v="B45384"/>
    <x v="6"/>
    <x v="4"/>
    <x v="2"/>
    <s v="P2"/>
    <s v="NULL"/>
    <n v="1"/>
    <x v="1"/>
    <n v="0"/>
    <n v="0"/>
    <n v="0"/>
    <x v="0"/>
    <n v="0"/>
    <s v="NULL"/>
    <s v="NULL"/>
    <s v="NULL"/>
    <s v="NULL"/>
    <s v="NULL"/>
    <n v="200000"/>
    <n v="0.2417"/>
    <n v="0.22170000000000001"/>
    <s v="NULL"/>
    <s v="NULL"/>
  </r>
  <r>
    <x v="1143"/>
    <x v="0"/>
    <n v="20602986927"/>
    <s v="DM GENERAL CLEANING SERVICE"/>
    <s v="."/>
    <n v="10262567"/>
    <s v="Impulso Mixto"/>
    <s v="B45079"/>
    <n v="44954.09375"/>
    <d v="2024-11-14T00:00:00"/>
    <n v="15.5"/>
    <s v="TLV"/>
    <s v="TLV"/>
    <s v="Impulso MyPeru Comercial"/>
    <n v="202411"/>
    <n v="70003.5"/>
    <s v="B45079"/>
    <x v="17"/>
    <s v="B45083"/>
    <x v="7"/>
    <x v="4"/>
    <x v="2"/>
    <s v="P1"/>
    <s v="C1_1"/>
    <n v="1"/>
    <x v="0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1144"/>
    <x v="6"/>
    <n v="10296062419"/>
    <s v="QUISPE QUISPE EDITH MARY"/>
    <n v="29606241"/>
    <n v="10258692"/>
    <s v="Impulso Mixto"/>
    <s v="B16475"/>
    <n v="62666.359375"/>
    <d v="2024-08-08T00:00:00"/>
    <n v="14.5"/>
    <s v="TLV"/>
    <s v="TLV"/>
    <s v="Impulso MyPeru Comercial"/>
    <n v="202408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45"/>
    <x v="2"/>
    <n v="20605023348"/>
    <s v="CENTRO DE INSPECCION KALLPA"/>
    <s v="."/>
    <n v="10268167"/>
    <s v="Ágil Recurrente CEM"/>
    <s v="B22846"/>
    <n v="225829.65625"/>
    <d v="2025-05-27T00:00:00"/>
    <n v="17.78"/>
    <s v="TIENDAS"/>
    <s v="TIENDAS"/>
    <s v="Recurrente Ágil CEM"/>
    <n v="202505"/>
    <n v="250012.5"/>
    <s v="B22846"/>
    <x v="47"/>
    <s v="B13988"/>
    <x v="8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7829999999999999"/>
    <n v="0"/>
    <s v="NULL"/>
    <s v="NULL"/>
  </r>
  <r>
    <x v="114"/>
    <x v="6"/>
    <n v="20601363802"/>
    <s v="MULTISERVICIOS LIFER &amp; EB S.A.C."/>
    <s v="."/>
    <n v="10267546"/>
    <s v="CDD PRE APROBADO"/>
    <s v="B25972"/>
    <n v="245438.140625"/>
    <d v="2025-04-30T00:00:00"/>
    <n v="17"/>
    <s v="TIENDAS"/>
    <s v="TIENDAS"/>
    <s v="Recurrente Aprobado CD"/>
    <n v="202504"/>
    <n v="30001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46"/>
    <x v="9"/>
    <n v="20610936572"/>
    <s v="TELECOMUNICACION DIGITAL OPORTUNA INTELI"/>
    <s v="."/>
    <n v="10264979"/>
    <s v="Nuevo pre Aprobado"/>
    <s v="B22931"/>
    <n v="76743.78125"/>
    <d v="2025-01-30T00:00:00"/>
    <n v="20"/>
    <s v="TIENDAS"/>
    <s v="TIENDAS"/>
    <s v="Nuevo Pre-aprobado"/>
    <n v="202501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47"/>
    <x v="9"/>
    <n v="20539896599"/>
    <s v="E &amp; C COMPUTER SYSTEMS"/>
    <s v="."/>
    <n v="10263257"/>
    <s v="Nuevo Aprobado Ágil"/>
    <s v="BPECND"/>
    <n v="31230.267578125"/>
    <d v="2024-11-28T00:00:00"/>
    <n v="18.5"/>
    <s v="TLV"/>
    <s v="TLV"/>
    <s v="Nuevo Aprobado Agil"/>
    <n v="202411"/>
    <n v="40002"/>
    <s v="B45077"/>
    <x v="34"/>
    <s v="B45083"/>
    <x v="7"/>
    <x v="4"/>
    <x v="2"/>
    <s v="P1"/>
    <s v="NULL"/>
    <n v="1"/>
    <x v="1"/>
    <n v="0"/>
    <n v="0"/>
    <n v="0"/>
    <x v="2"/>
    <n v="0"/>
    <s v="NULL"/>
    <s v="NULL"/>
    <s v="NULL"/>
    <s v="NULL"/>
    <s v="NULL"/>
    <n v="250000"/>
    <n v="0.24"/>
    <n v="0.21779999999999999"/>
    <s v="NULL"/>
    <s v="NULL"/>
  </r>
  <r>
    <x v="1148"/>
    <x v="1"/>
    <n v="10103943375"/>
    <s v="OBANDO CARRANZA MARGARITA ANTONIA"/>
    <n v="10394337"/>
    <n v="10256342"/>
    <s v="Impulso Mixto"/>
    <s v="B46366"/>
    <n v="73214.1796875"/>
    <d v="2024-06-25T00:00:00"/>
    <n v="14.7"/>
    <s v="TIENDAS"/>
    <s v="TIENDAS"/>
    <s v="Impulso MyPeru Comercial"/>
    <n v="202406"/>
    <n v="90004.5"/>
    <s v="B46366"/>
    <x v="30"/>
    <s v="B45083"/>
    <x v="7"/>
    <x v="5"/>
    <x v="2"/>
    <s v="P5"/>
    <s v="C3"/>
    <n v="1"/>
    <x v="0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1149"/>
    <x v="1"/>
    <n v="20608105043"/>
    <s v="AUTO GAS CENTER COMPANY SOCIEDAD ANONIMA"/>
    <s v="."/>
    <n v="10255680"/>
    <s v="Impulso CDI Cobertura"/>
    <s v="B45385"/>
    <n v="40554.13671875"/>
    <d v="2024-06-20T00:00:00"/>
    <n v="15.7"/>
    <s v="TLV"/>
    <s v="TLV"/>
    <s v="Impulso MyPeru Comercial"/>
    <n v="202406"/>
    <n v="81894.05"/>
    <s v="B45385"/>
    <x v="63"/>
    <s v="B45384"/>
    <x v="6"/>
    <x v="0"/>
    <x v="2"/>
    <s v="P5"/>
    <s v="C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150"/>
    <x v="2"/>
    <n v="20602632386"/>
    <s v="SEGAFLOW PERU"/>
    <s v="."/>
    <n v="10270322"/>
    <s v="CDD APROBADO"/>
    <s v="BPECND"/>
    <n v="241512.046875"/>
    <d v="2025-08-12T00:00:00"/>
    <n v="13.5"/>
    <s v="TLV"/>
    <s v="TLV"/>
    <s v="Nuevo Aprobado Agil CD"/>
    <n v="202508"/>
    <n v="241512.05"/>
    <s v="B17050"/>
    <x v="106"/>
    <s v="B14058"/>
    <x v="11"/>
    <x v="15"/>
    <x v="3"/>
    <s v="P1"/>
    <s v="NULL"/>
    <n v="1"/>
    <x v="0"/>
    <n v="1"/>
    <n v="1"/>
    <n v="1"/>
    <x v="1"/>
    <n v="241512.05"/>
    <n v="13.5"/>
    <d v="2025-08-12T00:00:00"/>
    <s v="Nuevo Aprobado Agil CD"/>
    <s v="TLV"/>
    <s v="COMPRA DE DEUDA"/>
    <n v="255000"/>
    <n v="0.20499999999999999"/>
    <n v="0.185"/>
    <s v="TLV B"/>
    <s v="COMPRA DEUDA"/>
  </r>
  <r>
    <x v="1151"/>
    <x v="0"/>
    <n v="10454423360"/>
    <s v="GONZALES SANCHEZ EDIN"/>
    <n v="45442336"/>
    <n v="10270884"/>
    <s v="CT Garantía"/>
    <s v="B45374"/>
    <n v="50904.3515625"/>
    <d v="2025-08-29T00:00:00"/>
    <n v="12"/>
    <s v="TIENDAS VIRTUALES"/>
    <s v="TIENDAS VIRTUALES"/>
    <s v="Gestion Cartera"/>
    <n v="202508"/>
    <n v="776788.8"/>
    <s v="B45374"/>
    <x v="21"/>
    <s v="B45384"/>
    <x v="6"/>
    <x v="1"/>
    <x v="2"/>
    <s v="P2"/>
    <s v="C3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1151"/>
    <x v="6"/>
    <n v="10454423360"/>
    <s v="GONZALES SANCHEZ EDIN"/>
    <n v="45442336"/>
    <n v="10270884"/>
    <s v="CT Garantía"/>
    <s v="B45374"/>
    <n v="725013.75"/>
    <d v="2025-08-29T00:00:00"/>
    <n v="12"/>
    <s v="TIENDAS VIRTUALES"/>
    <s v="TIENDAS VIRTUALES"/>
    <s v="Gestion Cartera"/>
    <n v="202508"/>
    <n v="776788.8"/>
    <s v="B45374"/>
    <x v="21"/>
    <s v="B45384"/>
    <x v="6"/>
    <x v="1"/>
    <x v="2"/>
    <s v="P2"/>
    <s v="NULL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391"/>
    <x v="8"/>
    <n v="20557930770"/>
    <s v="PEQCONSULTORES S.R.L."/>
    <s v="."/>
    <n v="10268913"/>
    <s v="Recurrente Aprobado Agil"/>
    <s v="B27693"/>
    <n v="356822.21875"/>
    <d v="2025-06-20T00:00:00"/>
    <n v="17.5"/>
    <s v="TIENDAS"/>
    <s v="TIENDAS"/>
    <s v="Recurrente Ágil CEM"/>
    <n v="202506"/>
    <n v="239577.12"/>
    <s v="B27693"/>
    <x v="52"/>
    <s v="B27274"/>
    <x v="0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0380000000000001"/>
    <n v="0"/>
    <s v="NULL"/>
    <s v="NULL"/>
  </r>
  <r>
    <x v="490"/>
    <x v="8"/>
    <n v="20609047900"/>
    <s v="COMERCIAL CHOJASZQUE"/>
    <s v="."/>
    <n v="10267658"/>
    <s v="Ágil Recurrente CEM"/>
    <s v="B45440"/>
    <n v="111390.0859375"/>
    <d v="2025-05-08T00:00:00"/>
    <n v="17.5"/>
    <s v="TIENDAS VIRTUALES"/>
    <s v="TIENDAS VIRTUALES"/>
    <s v="Recurrente Ágil CEM"/>
    <n v="202505"/>
    <n v="120006"/>
    <s v="B45440"/>
    <x v="73"/>
    <s v="B45083"/>
    <x v="7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0480000000000001"/>
    <n v="0"/>
    <s v="NULL"/>
    <s v="NULL"/>
  </r>
  <r>
    <x v="1152"/>
    <x v="7"/>
    <n v="10296586884"/>
    <s v="CCOA PHOCCO MARIO REYNALDO"/>
    <n v="29658688"/>
    <n v="10250303"/>
    <s v="Impulso CDI Cobertura"/>
    <s v="B24783"/>
    <n v="20651.421875"/>
    <d v="2024-04-02T00:00:00"/>
    <n v="14"/>
    <s v="TLV"/>
    <s v="TLV"/>
    <s v="Impulso MyPeru Comercial"/>
    <n v="202404"/>
    <n v="42002.1"/>
    <s v="B45240"/>
    <x v="2"/>
    <s v="NULL"/>
    <x v="2"/>
    <x v="1"/>
    <x v="2"/>
    <s v="P2"/>
    <s v="C3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153"/>
    <x v="11"/>
    <n v="10295577032"/>
    <s v="FLORES COYLA YOLA FLORA"/>
    <n v="29557703"/>
    <n v="10212119"/>
    <s v="CRECER COFIDE"/>
    <s v="B19952"/>
    <n v="26131.34570312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54"/>
    <x v="4"/>
    <n v="20504787690"/>
    <s v="INVERSIONES COSERFA"/>
    <s v="."/>
    <n v="10252057"/>
    <s v="GIRO DE LINEA"/>
    <s v="B33503"/>
    <n v="10142.1220703125"/>
    <s v="NULL"/>
    <s v="NULL"/>
    <s v="NULL"/>
    <s v="NULL"/>
    <s v="NULL"/>
    <s v="NULL"/>
    <s v="NULL"/>
    <s v="B33503"/>
    <x v="10"/>
    <s v="B14821"/>
    <x v="3"/>
    <x v="6"/>
    <x v="0"/>
    <s v="P1"/>
    <s v="NULL"/>
    <n v="1"/>
    <x v="0"/>
    <n v="0"/>
    <n v="0"/>
    <n v="1"/>
    <x v="2"/>
    <n v="0"/>
    <s v="NULL"/>
    <s v="NULL"/>
    <s v="NULL"/>
    <s v="NULL"/>
    <s v="NULL"/>
    <n v="73695"/>
    <n v="0.2"/>
    <n v="0.18279999999999999"/>
    <s v="NULL"/>
    <s v="NULL"/>
  </r>
  <r>
    <x v="1155"/>
    <x v="11"/>
    <n v="10082872081"/>
    <s v="MALCA ZELADA GLORIA MARTHA"/>
    <n v="8287208"/>
    <n v="10150401"/>
    <s v="GIRO DE LINEA"/>
    <s v="B26053"/>
    <n v="38282.5859375"/>
    <d v="2025-01-28T00:00:00"/>
    <n v="18"/>
    <s v="TIENDAS"/>
    <s v="TIENDAS"/>
    <s v="Giro de Línea"/>
    <n v="202501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21"/>
    <x v="1"/>
    <n v="20530305059"/>
    <s v="SERVICIOS GENERALES Y DISTRIBUIDORA DE"/>
    <s v="."/>
    <n v="10271603"/>
    <s v="Ágil Recurrente CEM"/>
    <s v="B14530"/>
    <n v="112757.59375"/>
    <d v="2025-09-23T00:00:00"/>
    <n v="29"/>
    <s v="TIENDAS"/>
    <s v="TIENDAS"/>
    <s v="Recurrente Ágil CEM"/>
    <n v="202509"/>
    <n v="130006.5"/>
    <s v="B46175"/>
    <x v="70"/>
    <s v="B14530"/>
    <x v="5"/>
    <x v="4"/>
    <x v="0"/>
    <s v="P5"/>
    <s v="C1_2"/>
    <n v="1"/>
    <x v="0"/>
    <n v="0"/>
    <n v="0"/>
    <n v="1"/>
    <x v="2"/>
    <n v="0"/>
    <s v="NULL"/>
    <s v="NULL"/>
    <s v="NULL"/>
    <s v="NULL"/>
    <s v="NULL"/>
    <n v="85500"/>
    <n v="0.26169999999999999"/>
    <n v="0.2417"/>
    <s v="NULL"/>
    <s v="NULL"/>
  </r>
  <r>
    <x v="1014"/>
    <x v="6"/>
    <n v="20609942844"/>
    <s v="NEGOCIACIONES ELECTRO BENDEZU E.I.R.L."/>
    <s v="."/>
    <n v="10269765"/>
    <s v="Ágil Recurrente CEM"/>
    <s v="B19752"/>
    <n v="81119"/>
    <d v="2025-07-18T00:00:00"/>
    <n v="17"/>
    <s v="TIENDAS"/>
    <s v="TIENDAS"/>
    <s v="Recurrente Ágil CEM"/>
    <n v="202507"/>
    <n v="93351.66"/>
    <s v="b19752"/>
    <x v="43"/>
    <s v="B13988"/>
    <x v="8"/>
    <x v="20"/>
    <x v="0"/>
    <s v="P1"/>
    <s v="NULL"/>
    <n v="1"/>
    <x v="0"/>
    <n v="0"/>
    <n v="1"/>
    <n v="1"/>
    <x v="0"/>
    <n v="0"/>
    <s v="NULL"/>
    <s v="NULL"/>
    <s v="NULL"/>
    <s v="NULL"/>
    <s v="NULL"/>
    <s v="NULL"/>
    <s v="NULL"/>
    <s v="NULL"/>
    <s v="NULL"/>
    <s v="NULL"/>
  </r>
  <r>
    <x v="1156"/>
    <x v="10"/>
    <n v="20552225504"/>
    <s v="OPERLEM"/>
    <s v="."/>
    <n v="10270139"/>
    <s v="Nuevo Aprobado"/>
    <s v="B46727"/>
    <n v="56063.9609375"/>
    <d v="2025-07-31T00:00:00"/>
    <n v="20"/>
    <s v="TLV"/>
    <s v="TLV"/>
    <s v="Nuevo Aprobado EN"/>
    <n v="202507"/>
    <n v="80004"/>
    <s v="B27596"/>
    <x v="38"/>
    <s v="B13988"/>
    <x v="1"/>
    <x v="5"/>
    <x v="0"/>
    <s v="P1"/>
    <s v="C1_2"/>
    <n v="1"/>
    <x v="1"/>
    <n v="0"/>
    <n v="0"/>
    <n v="0"/>
    <x v="0"/>
    <n v="0"/>
    <s v="NULL"/>
    <s v="NULL"/>
    <s v="NULL"/>
    <s v="NULL"/>
    <s v="NULL"/>
    <n v="50000"/>
    <n v="0.18890000000000001"/>
    <n v="0.16889999999999999"/>
    <s v="NULL"/>
    <s v="NULL"/>
  </r>
  <r>
    <x v="1157"/>
    <x v="12"/>
    <n v="20434823278"/>
    <s v="INVERSIONES EN TECNOLOGIAS ENERGETICAS"/>
    <s v="."/>
    <n v="10267540"/>
    <s v="Nuevo pre Aprobado"/>
    <s v="B44900"/>
    <n v="34501.2421875"/>
    <d v="2025-04-30T00:00:00"/>
    <n v="24"/>
    <s v="TIENDAS"/>
    <s v="VENDORS"/>
    <s v="Nuevo Pre-aprobado"/>
    <n v="202504"/>
    <n v="80004"/>
    <s v="B44900"/>
    <x v="19"/>
    <s v="B34489"/>
    <x v="4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3930000000000001"/>
    <s v="NULL"/>
    <s v="NULL"/>
    <s v="NULL"/>
  </r>
  <r>
    <x v="1158"/>
    <x v="6"/>
    <n v="20564342590"/>
    <s v="KAWSAYPAQ EMPRESA INDIVIDUAL DE RESPONSA"/>
    <s v="."/>
    <n v="10265536"/>
    <s v="Nuevo Aprobado Ágil"/>
    <s v="B44900"/>
    <n v="70372.125"/>
    <d v="2025-02-21T00:00:00"/>
    <n v="18.200001"/>
    <s v="TLV"/>
    <s v="TLV"/>
    <s v="Nuevo Aprobado EN"/>
    <n v="202502"/>
    <n v="100005"/>
    <s v="B44900"/>
    <x v="19"/>
    <s v="B34489"/>
    <x v="4"/>
    <x v="4"/>
    <x v="0"/>
    <s v="P1"/>
    <s v="NULL"/>
    <n v="1"/>
    <x v="0"/>
    <n v="0"/>
    <n v="0"/>
    <n v="1"/>
    <x v="0"/>
    <n v="0"/>
    <s v="NULL"/>
    <s v="NULL"/>
    <s v="NULL"/>
    <s v="NULL"/>
    <s v="NULL"/>
    <n v="400000"/>
    <n v="0.21"/>
    <n v="0.19"/>
    <s v="NULL"/>
    <s v="NULL"/>
  </r>
  <r>
    <x v="1159"/>
    <x v="12"/>
    <n v="20605274669"/>
    <s v="MERAKI SPA Y BELLEZA"/>
    <s v="."/>
    <n v="10264463"/>
    <s v="Nuevo Aprobado Ágil"/>
    <s v="B45373"/>
    <n v="119818"/>
    <d v="2025-01-08T00:00:00"/>
    <n v="18.2"/>
    <s v="TLV"/>
    <s v="TLV"/>
    <s v="Nuevo Aprobado Agil"/>
    <n v="202501"/>
    <n v="146507.29999999999"/>
    <s v="B45373"/>
    <x v="13"/>
    <s v="B45384"/>
    <x v="6"/>
    <x v="1"/>
    <x v="2"/>
    <s v="P1"/>
    <s v="NULL"/>
    <n v="1"/>
    <x v="0"/>
    <n v="0"/>
    <n v="1"/>
    <n v="1"/>
    <x v="0"/>
    <n v="0"/>
    <s v="NULL"/>
    <s v="NULL"/>
    <s v="NULL"/>
    <s v="NULL"/>
    <s v="NULL"/>
    <n v="1"/>
    <n v="0.2233"/>
    <s v="NULL"/>
    <s v="NULL"/>
    <s v="NULL"/>
  </r>
  <r>
    <x v="1160"/>
    <x v="0"/>
    <n v="20605291075"/>
    <s v="WANVENDOR SOCIEDAD ANONIMA CERRADA"/>
    <s v="."/>
    <n v="10250918"/>
    <s v="Impulso Mixto"/>
    <s v="BPECND"/>
    <n v="22624.34765625"/>
    <d v="2024-04-16T00:00:00"/>
    <n v="15.5"/>
    <s v="TLV"/>
    <s v="TLV"/>
    <s v="Impulso MyPeru Comercial"/>
    <n v="202404"/>
    <n v="50002.5"/>
    <s v="B30114"/>
    <x v="8"/>
    <s v="B34489"/>
    <x v="4"/>
    <x v="4"/>
    <x v="0"/>
    <s v="P1"/>
    <s v="C1_2"/>
    <n v="1"/>
    <x v="1"/>
    <n v="0"/>
    <n v="0"/>
    <n v="0"/>
    <x v="2"/>
    <n v="0"/>
    <s v="NULL"/>
    <s v="NULL"/>
    <s v="NULL"/>
    <s v="NULL"/>
    <s v="NULL"/>
    <n v="250000"/>
    <n v="0.21"/>
    <n v="0.19"/>
    <s v="NULL"/>
    <s v="NULL"/>
  </r>
  <r>
    <x v="1161"/>
    <x v="10"/>
    <n v="20610855301"/>
    <s v="BLACK DRAGON TECH S.A.C."/>
    <s v="."/>
    <n v="10257480"/>
    <s v="Impulso Solo"/>
    <s v="BPECND"/>
    <n v="2569.34033203125"/>
    <d v="2024-07-18T00:00:00"/>
    <n v="16.399999999999999"/>
    <s v="TLV"/>
    <s v="TLV"/>
    <s v="Impulso MyPeru Comercial"/>
    <n v="202407"/>
    <n v="60003"/>
    <s v="B30155"/>
    <x v="69"/>
    <s v="B45384"/>
    <x v="6"/>
    <x v="8"/>
    <x v="2"/>
    <s v="P1"/>
    <s v="C1_2"/>
    <n v="1"/>
    <x v="1"/>
    <n v="0"/>
    <n v="0"/>
    <n v="0"/>
    <x v="2"/>
    <n v="0"/>
    <s v="NULL"/>
    <s v="NULL"/>
    <s v="NULL"/>
    <s v="NULL"/>
    <s v="NULL"/>
    <n v="250000"/>
    <n v="0.21"/>
    <n v="0.19"/>
    <s v="NULL"/>
    <s v="NULL"/>
  </r>
  <r>
    <x v="355"/>
    <x v="5"/>
    <n v="20606054131"/>
    <s v="PRISA SOLUTIONS S.A.C."/>
    <s v="."/>
    <n v="10248409"/>
    <s v="Impulso Mixto"/>
    <s v="B33503"/>
    <n v="44380.5703125"/>
    <d v="2024-02-27T00:00:00"/>
    <n v="14.7"/>
    <s v="TIENDAS"/>
    <s v="TIENDAS"/>
    <s v="Impulso MyPeru Comercial"/>
    <n v="202402"/>
    <n v="90004.5"/>
    <s v="B33503"/>
    <x v="10"/>
    <s v="B14821"/>
    <x v="3"/>
    <x v="4"/>
    <x v="0"/>
    <s v="P1"/>
    <s v="C2"/>
    <n v="1"/>
    <x v="0"/>
    <n v="0"/>
    <n v="0"/>
    <n v="1"/>
    <x v="0"/>
    <n v="0"/>
    <s v="NULL"/>
    <s v="NULL"/>
    <s v="NULL"/>
    <s v="NULL"/>
    <s v="NULL"/>
    <n v="78700"/>
    <n v="0.21"/>
    <n v="0.19"/>
    <s v="NULL"/>
    <s v="NULL"/>
  </r>
  <r>
    <x v="1162"/>
    <x v="4"/>
    <n v="10453284153"/>
    <s v="CAMPOS DELGADO DILSA"/>
    <n v="45328415"/>
    <n v="10249049"/>
    <s v="Impulso Mixto"/>
    <s v="B33958"/>
    <n v="73175.9375"/>
    <d v="2024-03-11T00:00:00"/>
    <n v="13.8"/>
    <s v="TLV"/>
    <s v="TLV"/>
    <s v="Impulso MyPeru Comercial"/>
    <n v="202403"/>
    <n v="90004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63"/>
    <x v="8"/>
    <n v="10461339510"/>
    <s v="MENACHO CARRASCO RITA ANDREINA"/>
    <n v="46133951"/>
    <n v="10248217"/>
    <s v="Impulso Solo"/>
    <s v="B19752"/>
    <n v="51890.8046875"/>
    <d v="2024-02-22T00:00:00"/>
    <n v="15"/>
    <s v="TLV"/>
    <s v="TLV"/>
    <s v="Impulso MyPeru Comercial"/>
    <n v="202402"/>
    <n v="90004.5"/>
    <s v="B19752"/>
    <x v="43"/>
    <s v="B13988"/>
    <x v="8"/>
    <x v="1"/>
    <x v="0"/>
    <s v="P3"/>
    <s v="NULL"/>
    <n v="1"/>
    <x v="1"/>
    <n v="0"/>
    <n v="0"/>
    <n v="0"/>
    <x v="0"/>
    <n v="0"/>
    <s v="NULL"/>
    <s v="NULL"/>
    <s v="NULL"/>
    <s v="NULL"/>
    <s v="NULL"/>
    <n v="1"/>
    <n v="0.24"/>
    <s v="NULL"/>
    <s v="NULL"/>
    <s v="NULL"/>
  </r>
  <r>
    <x v="1164"/>
    <x v="8"/>
    <n v="20515048953"/>
    <s v="INVERSIONES MAR &amp; HEC"/>
    <s v="."/>
    <n v="10261003"/>
    <s v="Impulso Mixto"/>
    <s v="B20210"/>
    <n v="114031.5"/>
    <d v="2024-09-26T00:00:00"/>
    <n v="13.48"/>
    <s v="TIENDAS"/>
    <s v="TIENDAS"/>
    <s v="Impulso MyPeru Comercial"/>
    <n v="202409"/>
    <n v="300015"/>
    <s v="B20210"/>
    <x v="39"/>
    <s v="B13161"/>
    <x v="9"/>
    <x v="4"/>
    <x v="0"/>
    <s v="P1"/>
    <s v="NULL"/>
    <n v="1"/>
    <x v="0"/>
    <n v="0"/>
    <n v="0"/>
    <n v="1"/>
    <x v="0"/>
    <n v="0"/>
    <s v="NULL"/>
    <s v="NULL"/>
    <s v="NULL"/>
    <s v="NULL"/>
    <s v="NULL"/>
    <n v="400000"/>
    <n v="0.23"/>
    <n v="0.21"/>
    <s v="NULL"/>
    <s v="NULL"/>
  </r>
  <r>
    <x v="1165"/>
    <x v="10"/>
    <n v="20603649746"/>
    <s v="INDECOR CUSCO"/>
    <s v="."/>
    <n v="10252816"/>
    <s v="Impulso Mixto"/>
    <s v="B45079"/>
    <n v="33002.59765625"/>
    <d v="2024-05-13T00:00:00"/>
    <n v="14.6"/>
    <s v="TLV"/>
    <s v="TLV"/>
    <s v="Impulso MyPeru Comercial"/>
    <n v="202405"/>
    <n v="80924"/>
    <s v="B45079"/>
    <x v="17"/>
    <s v="B45083"/>
    <x v="7"/>
    <x v="4"/>
    <x v="2"/>
    <s v="P1"/>
    <s v="C1_1"/>
    <n v="1"/>
    <x v="0"/>
    <n v="0"/>
    <n v="0"/>
    <n v="1"/>
    <x v="0"/>
    <n v="0"/>
    <s v="NULL"/>
    <s v="NULL"/>
    <s v="NULL"/>
    <s v="NULL"/>
    <s v="NULL"/>
    <n v="500000"/>
    <n v="0.21"/>
    <n v="0.19"/>
    <s v="NULL"/>
    <s v="NULL"/>
  </r>
  <r>
    <x v="1166"/>
    <x v="0"/>
    <n v="20547961961"/>
    <s v="EMPRESA DE TRANSPORTES DE ELENA NATALIA"/>
    <s v="."/>
    <n v="10272823"/>
    <s v="Nuevo Aprobado Ágil"/>
    <s v="B36093"/>
    <n v="131631.078125"/>
    <d v="2025-10-31T00:00:00"/>
    <n v="15.28"/>
    <s v="TIENDAS VIRTUALES"/>
    <s v="TIENDAS VIRTUALES"/>
    <s v="Nuevo Aprobado Agil"/>
    <n v="202510"/>
    <n v="150007.5"/>
    <s v="B36093"/>
    <x v="86"/>
    <s v="B45083"/>
    <x v="7"/>
    <x v="1"/>
    <x v="2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167"/>
    <x v="1"/>
    <n v="20515784811"/>
    <s v="FENIX DEL PERU"/>
    <s v="."/>
    <n v="10159329"/>
    <s v="GIRO DE LINEA"/>
    <s v="B46402"/>
    <n v="35309.09765625"/>
    <d v="2024-12-10T00:00:00"/>
    <n v="17.38"/>
    <s v="TIENDAS"/>
    <s v="TIENDAS"/>
    <s v="Giro de Línea"/>
    <n v="202412"/>
    <n v="100005"/>
    <s v="B46402"/>
    <x v="62"/>
    <s v="B13988"/>
    <x v="1"/>
    <x v="7"/>
    <x v="0"/>
    <s v="P1"/>
    <s v="C2"/>
    <n v="1"/>
    <x v="1"/>
    <n v="0"/>
    <n v="0"/>
    <n v="0"/>
    <x v="0"/>
    <n v="0"/>
    <s v="NULL"/>
    <s v="NULL"/>
    <s v="NULL"/>
    <s v="NULL"/>
    <s v="NULL"/>
    <n v="106000"/>
    <n v="0.19"/>
    <n v="0.17"/>
    <s v="NULL"/>
    <s v="NULL"/>
  </r>
  <r>
    <x v="774"/>
    <x v="10"/>
    <n v="20536173286"/>
    <s v="JJF LOGIST"/>
    <s v="."/>
    <n v="10249718"/>
    <s v="Impulso Mixto"/>
    <s v="B27274"/>
    <n v="2602.24169921875"/>
    <d v="2024-03-21T00:00:00"/>
    <n v="13.8"/>
    <s v="TLV"/>
    <s v="TLV"/>
    <s v="Impulso MyPeru Comercial"/>
    <n v="202403"/>
    <n v="58626.9"/>
    <s v="B37955"/>
    <x v="53"/>
    <s v="B27274"/>
    <x v="0"/>
    <x v="4"/>
    <x v="0"/>
    <s v="P1"/>
    <s v="C1_2"/>
    <n v="1"/>
    <x v="0"/>
    <n v="0"/>
    <n v="1"/>
    <n v="1"/>
    <x v="0"/>
    <n v="0"/>
    <s v="NULL"/>
    <s v="NULL"/>
    <s v="NULL"/>
    <s v="NULL"/>
    <s v="NULL"/>
    <n v="138300"/>
    <n v="0.21"/>
    <n v="0.19"/>
    <s v="NULL"/>
    <s v="NULL"/>
  </r>
  <r>
    <x v="1168"/>
    <x v="1"/>
    <n v="10066728485"/>
    <s v="IGLESIAS SEGOVIA ERWIN JASON"/>
    <n v="6672848"/>
    <n v="10250459"/>
    <s v="Impulso Mixto"/>
    <s v="B22081"/>
    <n v="24288.357421875"/>
    <d v="2024-04-08T00:00:00"/>
    <n v="14.2"/>
    <s v="TLV"/>
    <s v="TLV"/>
    <s v="Impulso MyPeru Comercial"/>
    <n v="202404"/>
    <n v="59706.95"/>
    <s v="B45371"/>
    <x v="15"/>
    <s v="B45384"/>
    <x v="6"/>
    <x v="5"/>
    <x v="2"/>
    <s v="P5"/>
    <s v="C3"/>
    <n v="1"/>
    <x v="0"/>
    <n v="0"/>
    <n v="0"/>
    <n v="0"/>
    <x v="2"/>
    <n v="0"/>
    <s v="NULL"/>
    <s v="NULL"/>
    <s v="NULL"/>
    <s v="NULL"/>
    <s v="NULL"/>
    <n v="100000"/>
    <n v="0.32769999999999999"/>
    <n v="0.30769999999999997"/>
    <s v="NULL"/>
    <s v="NULL"/>
  </r>
  <r>
    <x v="1169"/>
    <x v="8"/>
    <n v="20448114482"/>
    <s v="G Y G DIAGNOSTIC LABORATORIO CLINICO E"/>
    <s v="."/>
    <n v="10251164"/>
    <s v="Impulso Mixto"/>
    <s v="B39478"/>
    <n v="59129.6171875"/>
    <d v="2024-04-19T00:00:00"/>
    <n v="14.7"/>
    <s v="TLV"/>
    <s v="TLV"/>
    <s v="Impulso MyPeru Comercial"/>
    <n v="202404"/>
    <n v="90004.5"/>
    <s v="B39478"/>
    <x v="87"/>
    <s v="B34489"/>
    <x v="4"/>
    <x v="4"/>
    <x v="0"/>
    <s v="P1"/>
    <s v="NULL"/>
    <n v="1"/>
    <x v="1"/>
    <n v="0"/>
    <n v="0"/>
    <n v="0"/>
    <x v="0"/>
    <n v="0"/>
    <s v="NULL"/>
    <s v="NULL"/>
    <s v="NULL"/>
    <s v="NULL"/>
    <s v="NULL"/>
    <n v="250000"/>
    <n v="0.23"/>
    <n v="0.21"/>
    <s v="NULL"/>
    <s v="NULL"/>
  </r>
  <r>
    <x v="1170"/>
    <x v="0"/>
    <n v="10483177700"/>
    <s v="GARCIA ALVARADO ENMA AURORA"/>
    <n v="48317770"/>
    <n v="10265762"/>
    <s v="CDD APROBADO"/>
    <s v="B36093"/>
    <n v="39471.46484375"/>
    <d v="2025-02-27T00:00:00"/>
    <n v="17"/>
    <s v="TLV"/>
    <s v="TLV"/>
    <s v="Nuevo Aprobado Agil CD"/>
    <n v="202502"/>
    <n v="74003.7"/>
    <s v="B36093"/>
    <x v="86"/>
    <s v="B45083"/>
    <x v="7"/>
    <x v="4"/>
    <x v="2"/>
    <s v="P2"/>
    <s v="C3"/>
    <n v="1"/>
    <x v="0"/>
    <n v="0"/>
    <n v="0"/>
    <n v="0"/>
    <x v="0"/>
    <n v="0"/>
    <s v="NULL"/>
    <s v="NULL"/>
    <s v="NULL"/>
    <s v="NULL"/>
    <s v="NULL"/>
    <n v="200000"/>
    <n v="0.21920000000000001"/>
    <n v="0.19919999999999999"/>
    <s v="NULL"/>
    <s v="NULL"/>
  </r>
  <r>
    <x v="1171"/>
    <x v="0"/>
    <n v="20537832364"/>
    <s v="EVEPLAST"/>
    <s v="."/>
    <n v="10268395"/>
    <s v="Nuevo Aprobado Ágil"/>
    <s v="B45373"/>
    <n v="27772.595703125"/>
    <d v="2025-05-30T00:00:00"/>
    <n v="18"/>
    <s v="TLV"/>
    <s v="TLV"/>
    <s v="Nuevo Aprobado EN"/>
    <n v="202505"/>
    <n v="80004"/>
    <s v="B45373"/>
    <x v="13"/>
    <s v="B45384"/>
    <x v="6"/>
    <x v="4"/>
    <x v="2"/>
    <s v="P1"/>
    <s v="C1_1"/>
    <n v="1"/>
    <x v="1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1172"/>
    <x v="8"/>
    <n v="20600596501"/>
    <s v="REENCAUCHADORA VELOZ SOCIEDAD COMERCIAL"/>
    <s v="."/>
    <n v="10265075"/>
    <s v="Nuevo Aprobado Ágil"/>
    <s v="B45374"/>
    <n v="82209.1640625"/>
    <d v="2025-01-31T00:00:00"/>
    <n v="18"/>
    <s v="TLV"/>
    <s v="TLV"/>
    <s v="Nuevo Aprobado EN"/>
    <n v="202501"/>
    <n v="100005"/>
    <s v="B45374"/>
    <x v="21"/>
    <s v="B45384"/>
    <x v="6"/>
    <x v="1"/>
    <x v="2"/>
    <s v="P1"/>
    <s v="NULL"/>
    <n v="1"/>
    <x v="1"/>
    <n v="0"/>
    <n v="0"/>
    <n v="0"/>
    <x v="0"/>
    <n v="0"/>
    <s v="NULL"/>
    <s v="NULL"/>
    <s v="NULL"/>
    <s v="NULL"/>
    <s v="NULL"/>
    <n v="1"/>
    <n v="0.2198"/>
    <s v="NULL"/>
    <s v="NULL"/>
    <s v="NULL"/>
  </r>
  <r>
    <x v="1173"/>
    <x v="6"/>
    <n v="20434887837"/>
    <s v="SANTA ASUNTA CONTRATISTA MINERO SCRL"/>
    <s v="."/>
    <n v="10269545"/>
    <s v="Nuevo Aprobado"/>
    <s v="B45079"/>
    <n v="256056.96875"/>
    <d v="2025-07-11T00:00:00"/>
    <n v="22"/>
    <s v="TLV"/>
    <s v="TLV"/>
    <s v="Nuevo Aprobado EN"/>
    <n v="202507"/>
    <n v="300015"/>
    <s v="B45079"/>
    <x v="17"/>
    <s v="B45083"/>
    <x v="7"/>
    <x v="0"/>
    <x v="2"/>
    <s v="P1"/>
    <s v="NULL"/>
    <n v="1"/>
    <x v="0"/>
    <n v="0"/>
    <n v="1"/>
    <n v="1"/>
    <x v="0"/>
    <n v="0"/>
    <s v="NULL"/>
    <s v="NULL"/>
    <s v="NULL"/>
    <s v="NULL"/>
    <s v="NULL"/>
    <n v="0"/>
    <n v="0"/>
    <n v="0"/>
    <s v="NULL"/>
    <s v="NULL"/>
  </r>
  <r>
    <x v="1174"/>
    <x v="10"/>
    <n v="20611469374"/>
    <s v="H &amp; M MOTOREPUESTOS Y SERVICIOS MULTIPLE"/>
    <s v="."/>
    <n v="10272612"/>
    <s v="Nuevo NO BANK"/>
    <s v="B45389"/>
    <n v="79155.328125"/>
    <d v="2025-10-28T00:00:00"/>
    <n v="19"/>
    <s v="TLV"/>
    <s v="TLV"/>
    <s v="Nuevo Aprobado EN"/>
    <n v="202510"/>
    <n v="96004.800000000003"/>
    <s v="B45389"/>
    <x v="16"/>
    <s v="B45384"/>
    <x v="6"/>
    <x v="1"/>
    <x v="2"/>
    <s v="P1"/>
    <s v="C2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180"/>
    <x v="10"/>
    <n v="20602806023"/>
    <s v="GROBDI SOCIEDAD ANONIMA CERRADA-GROBDI"/>
    <s v="."/>
    <n v="10270078"/>
    <s v="Nuevo Aprobado"/>
    <s v="B14972"/>
    <n v="195962.265625"/>
    <d v="2025-07-31T00:00:00"/>
    <n v="19"/>
    <s v="TIENDAS"/>
    <s v="VENDORS"/>
    <s v="Nuevo Pre-aprobado"/>
    <n v="202507"/>
    <n v="250012.5"/>
    <s v="B14972"/>
    <x v="25"/>
    <s v="B13161"/>
    <x v="9"/>
    <x v="8"/>
    <x v="0"/>
    <s v="P1"/>
    <s v="C1_2"/>
    <n v="1"/>
    <x v="1"/>
    <n v="0"/>
    <n v="0"/>
    <n v="0"/>
    <x v="0"/>
    <n v="0"/>
    <s v="NULL"/>
    <s v="NULL"/>
    <s v="NULL"/>
    <s v="NULL"/>
    <s v="NULL"/>
    <n v="250000"/>
    <n v="0.26090000000000002"/>
    <n v="0.2409"/>
    <s v="NULL"/>
    <s v="NULL"/>
  </r>
  <r>
    <x v="1175"/>
    <x v="7"/>
    <n v="20511623660"/>
    <s v="INYECCION Y TURBOCARGADORES PERU"/>
    <s v="."/>
    <n v="10270308"/>
    <s v="Nuevo NO BANK"/>
    <s v="B27880"/>
    <n v="141475.953125"/>
    <d v="2025-08-12T00:00:00"/>
    <n v="19"/>
    <s v="TIENDAS"/>
    <s v="TIENDAS"/>
    <s v="Nuevo Pre-aprobado"/>
    <n v="202508"/>
    <n v="150007.5"/>
    <s v="B27880"/>
    <x v="6"/>
    <s v="B14821"/>
    <x v="3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176"/>
    <x v="1"/>
    <n v="20609708108"/>
    <s v="CORPORACION PAUCCAR J&amp;SH DISTRIBUCIONES"/>
    <s v="."/>
    <n v="10270369"/>
    <s v="CDD APROBADO"/>
    <s v="B39478"/>
    <n v="210579.4375"/>
    <d v="2025-08-13T00:00:00"/>
    <n v="15"/>
    <s v="TLV"/>
    <s v="TLV"/>
    <s v="Nuevo Aprobado Agil CD"/>
    <n v="202508"/>
    <n v="272876.40000000002"/>
    <s v="B44900"/>
    <x v="19"/>
    <s v="B34489"/>
    <x v="4"/>
    <x v="5"/>
    <x v="0"/>
    <s v="P5"/>
    <s v="C1_2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1177"/>
    <x v="7"/>
    <n v="20510685645"/>
    <s v="PLASTI KATY"/>
    <s v="."/>
    <n v="10269010"/>
    <s v="CDD APROBADO"/>
    <s v="B14972"/>
    <n v="220795.265625"/>
    <d v="2025-06-25T00:00:00"/>
    <n v="18"/>
    <s v="TLV"/>
    <s v="TLV"/>
    <s v="Nuevo Aprobado Agil CD"/>
    <n v="202506"/>
    <n v="267013.34999999998"/>
    <s v="B20210"/>
    <x v="39"/>
    <s v="B13161"/>
    <x v="9"/>
    <x v="0"/>
    <x v="0"/>
    <s v="P1"/>
    <s v="C1_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178"/>
    <x v="2"/>
    <n v="20465986957"/>
    <s v="CORREA RIOS"/>
    <s v="."/>
    <n v="10268535"/>
    <s v="Nuevo Aprobado"/>
    <s v="B45374"/>
    <n v="89866.59375"/>
    <d v="2025-06-10T00:00:00"/>
    <n v="18"/>
    <s v="TLV"/>
    <s v="TLV"/>
    <s v="Nuevo Aprobado EN"/>
    <n v="202506"/>
    <n v="96254.8"/>
    <s v="B45374"/>
    <x v="21"/>
    <s v="B45384"/>
    <x v="6"/>
    <x v="1"/>
    <x v="2"/>
    <s v="P1"/>
    <s v="NULL"/>
    <n v="1"/>
    <x v="0"/>
    <n v="0"/>
    <n v="0"/>
    <n v="0"/>
    <x v="0"/>
    <n v="0"/>
    <s v="NULL"/>
    <s v="NULL"/>
    <s v="NULL"/>
    <s v="NULL"/>
    <s v="NULL"/>
    <n v="1"/>
    <n v="0.1613"/>
    <s v="NULL"/>
    <s v="NULL"/>
    <s v="NULL"/>
  </r>
  <r>
    <x v="1179"/>
    <x v="12"/>
    <n v="20606900482"/>
    <s v="IMPORTACIONES IMEXPOL S.A.C."/>
    <s v="."/>
    <n v="10265942"/>
    <s v="CDD APROBADO"/>
    <s v="BPECND"/>
    <n v="143180.28125"/>
    <d v="2025-03-03T00:00:00"/>
    <n v="12"/>
    <s v="TLV"/>
    <s v="TLV"/>
    <s v="Nuevo Aprobado Agil CD"/>
    <n v="202503"/>
    <n v="336016.8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81"/>
    <x v="8"/>
    <n v="20523262816"/>
    <s v="CCAPA TECNOLOGIAS DE INFORMACION"/>
    <s v="."/>
    <n v="10249535"/>
    <s v="Impulso Solo"/>
    <s v="B30973"/>
    <n v="55454.7578125"/>
    <d v="2024-03-18T00:00:00"/>
    <n v="14.5"/>
    <s v="TIENDAS"/>
    <s v="TIENDAS"/>
    <s v="Impulso MyPeru Comercial"/>
    <n v="202403"/>
    <n v="90004.5"/>
    <s v="B30973"/>
    <x v="11"/>
    <s v="B14821"/>
    <x v="3"/>
    <x v="4"/>
    <x v="0"/>
    <s v="P1"/>
    <s v="NULL"/>
    <n v="1"/>
    <x v="0"/>
    <n v="0"/>
    <n v="0"/>
    <n v="1"/>
    <x v="0"/>
    <n v="0"/>
    <s v="NULL"/>
    <s v="NULL"/>
    <s v="NULL"/>
    <s v="NULL"/>
    <s v="NULL"/>
    <n v="250000"/>
    <n v="0.24"/>
    <n v="0.22"/>
    <s v="NULL"/>
    <s v="NULL"/>
  </r>
  <r>
    <x v="1180"/>
    <x v="12"/>
    <n v="20519100950"/>
    <s v="ELECTROMOTORES JVM"/>
    <s v="."/>
    <n v="10240400"/>
    <s v="Ágil Recurrente CEM"/>
    <s v="B14972"/>
    <n v="12050.0966796875"/>
    <d v="2023-06-22T00:00:00"/>
    <n v="20.100000000000001"/>
    <s v="TIENDAS"/>
    <s v="TIENDAS"/>
    <s v="Recurrente Ágil CEM"/>
    <n v="202306"/>
    <n v="240012"/>
    <s v="B14972"/>
    <x v="25"/>
    <s v="B13161"/>
    <x v="9"/>
    <x v="4"/>
    <x v="0"/>
    <s v="P1"/>
    <s v="NULL"/>
    <n v="1"/>
    <x v="1"/>
    <n v="0"/>
    <n v="0"/>
    <n v="0"/>
    <x v="0"/>
    <n v="0"/>
    <s v="NULL"/>
    <s v="NULL"/>
    <s v="NULL"/>
    <s v="NULL"/>
    <s v="NULL"/>
    <n v="250000"/>
    <n v="0.22"/>
    <n v="0.20330000000000001"/>
    <s v="NULL"/>
    <s v="NULL"/>
  </r>
  <r>
    <x v="1181"/>
    <x v="10"/>
    <n v="20602957749"/>
    <s v="ESTUDIOS-DISEÑOS DE INGENIERIA ELECTRICA"/>
    <s v="."/>
    <n v="10268452"/>
    <s v="CDD APROBADO"/>
    <s v="B30637"/>
    <n v="11795.8779296875"/>
    <d v="2025-06-05T00:00:00"/>
    <n v="15.5"/>
    <s v="TLV"/>
    <s v="TLV"/>
    <s v="Nuevo Aprobado Agil CD"/>
    <n v="202506"/>
    <n v="140307"/>
    <s v="B30637"/>
    <x v="12"/>
    <s v="B14530"/>
    <x v="5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181"/>
    <x v="12"/>
    <n v="20602957749"/>
    <s v="ESTUDIOS-DISEÑOS DE INGENIERIA ELECTRICA"/>
    <s v="."/>
    <n v="10268452"/>
    <s v="CDD APROBADO"/>
    <s v="B33958"/>
    <n v="125321.28125"/>
    <d v="2025-06-05T00:00:00"/>
    <n v="15.5"/>
    <s v="TLV"/>
    <s v="TLV"/>
    <s v="Nuevo Aprobado Agil CD"/>
    <n v="202506"/>
    <n v="140307"/>
    <s v="B31202"/>
    <x v="107"/>
    <s v="B28616"/>
    <x v="12"/>
    <x v="15"/>
    <x v="3"/>
    <s v="P1"/>
    <s v="NULL"/>
    <n v="1"/>
    <x v="0"/>
    <n v="1"/>
    <n v="1"/>
    <n v="1"/>
    <x v="1"/>
    <n v="140307"/>
    <n v="15.5"/>
    <d v="2025-06-05T00:00:00"/>
    <s v="Nuevo Aprobado Agil CD"/>
    <s v="TLV"/>
    <s v="COMPRA DE DEUDA"/>
    <n v="146000"/>
    <n v="0.19"/>
    <n v="0.17"/>
    <s v="TLV B"/>
    <s v="COMPRA DEUDA"/>
  </r>
  <r>
    <x v="185"/>
    <x v="1"/>
    <n v="20606569123"/>
    <s v="UMBRELLA SCIENTIFIC"/>
    <s v="."/>
    <n v="10267350"/>
    <s v="Ágil Recurrente CEM"/>
    <s v="B46402"/>
    <n v="69399.40625"/>
    <d v="2025-04-25T00:00:00"/>
    <n v="17"/>
    <s v="TIENDAS"/>
    <s v="TIENDAS"/>
    <s v="Recurrente Ágil CEM"/>
    <n v="202504"/>
    <n v="350017.5"/>
    <s v="B46402"/>
    <x v="62"/>
    <s v="B13988"/>
    <x v="1"/>
    <x v="4"/>
    <x v="0"/>
    <s v="P5"/>
    <s v="C1_1"/>
    <n v="1"/>
    <x v="0"/>
    <n v="1"/>
    <n v="1"/>
    <n v="1"/>
    <x v="0"/>
    <n v="256612.8"/>
    <n v="16"/>
    <d v="2026-01-13T00:00:00"/>
    <s v="Recurrente Ágil CEM"/>
    <s v="TIENDAS"/>
    <s v="CAPITAL DE TRABAJO"/>
    <n v="256600"/>
    <n v="0.21"/>
    <n v="0.19"/>
    <s v="NULL"/>
    <s v="NULL"/>
  </r>
  <r>
    <x v="316"/>
    <x v="8"/>
    <n v="20539982835"/>
    <s v="DECORACIONES Y ESTILO MAYO"/>
    <s v="."/>
    <n v="10267784"/>
    <s v="Regular Sin Campaña"/>
    <s v="B14534"/>
    <n v="139393.46875"/>
    <d v="2025-05-14T00:00:00"/>
    <n v="18.5"/>
    <s v="TIENDAS"/>
    <s v="TIENDAS"/>
    <s v="Gestion Cartera"/>
    <n v="202505"/>
    <n v="150007.5"/>
    <s v="B44120"/>
    <x v="45"/>
    <s v="B14530"/>
    <x v="5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8579999999999999"/>
    <s v="NULL"/>
    <s v="NULL"/>
    <s v="NULL"/>
  </r>
  <r>
    <x v="1182"/>
    <x v="8"/>
    <n v="10427464933"/>
    <s v="QUISPE MOLLOCONDO PEDRO OSWALDO"/>
    <n v="42746493"/>
    <n v="10266359"/>
    <s v="CDD APROBADO"/>
    <s v="B45374"/>
    <n v="131748.609375"/>
    <d v="2025-03-20T00:00:00"/>
    <n v="15"/>
    <s v="TLV"/>
    <s v="TLV"/>
    <s v="Nuevo Aprobado Agil CD"/>
    <n v="202503"/>
    <n v="144907.20000000001"/>
    <s v="B45374"/>
    <x v="21"/>
    <s v="B45384"/>
    <x v="6"/>
    <x v="1"/>
    <x v="2"/>
    <s v="P2"/>
    <s v="NULL"/>
    <n v="1"/>
    <x v="1"/>
    <n v="0"/>
    <n v="0"/>
    <n v="0"/>
    <x v="0"/>
    <n v="0"/>
    <s v="NULL"/>
    <s v="NULL"/>
    <s v="NULL"/>
    <s v="NULL"/>
    <s v="NULL"/>
    <n v="1"/>
    <n v="0.1978"/>
    <s v="NULL"/>
    <s v="NULL"/>
    <s v="NULL"/>
  </r>
  <r>
    <x v="1183"/>
    <x v="7"/>
    <n v="20448667571"/>
    <s v="FELIX DIESEL COMON RAIL"/>
    <s v="."/>
    <n v="10260506"/>
    <s v="Impulso Mixto"/>
    <s v="B46527"/>
    <n v="62740.30078125"/>
    <d v="2024-09-18T00:00:00"/>
    <n v="14.5"/>
    <s v="TLV"/>
    <s v="TLV"/>
    <s v="Impulso MyPeru Comercial"/>
    <n v="202409"/>
    <n v="90004.5"/>
    <s v="B46527"/>
    <x v="75"/>
    <s v="B34489"/>
    <x v="4"/>
    <x v="4"/>
    <x v="0"/>
    <s v="P1"/>
    <s v="C2"/>
    <n v="1"/>
    <x v="1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1112"/>
    <x v="4"/>
    <n v="20480392435"/>
    <s v="IDEAS GASTRONOMICAS SAC"/>
    <s v="."/>
    <n v="10256957"/>
    <s v="Impulso Solo"/>
    <s v="B44120"/>
    <n v="77140.6640625"/>
    <d v="2024-06-28T00:00:00"/>
    <n v="15.7"/>
    <s v="TIENDAS"/>
    <s v="TIENDAS"/>
    <s v="Impulso MyPeru Comercial"/>
    <n v="202406"/>
    <n v="80004"/>
    <s v="B44120"/>
    <x v="45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924975661"/>
    <n v="0"/>
    <n v="0"/>
    <s v="NULL"/>
    <s v="NULL"/>
  </r>
  <r>
    <x v="1184"/>
    <x v="4"/>
    <n v="20601140749"/>
    <s v="ZH CORP. SAC"/>
    <s v="."/>
    <n v="10252716"/>
    <s v="Impulso CDI Cobertura"/>
    <s v="B30425"/>
    <n v="69248.390625"/>
    <d v="2024-05-09T00:00:00"/>
    <n v="16"/>
    <s v="TIENDAS"/>
    <s v="TIENDAS"/>
    <s v="Impulso MyPeru Comercial"/>
    <n v="202405"/>
    <n v="77673.850000000006"/>
    <s v="B30425"/>
    <x v="46"/>
    <s v="B13988"/>
    <x v="8"/>
    <x v="1"/>
    <x v="0"/>
    <s v="P1"/>
    <s v="NULL"/>
    <n v="1"/>
    <x v="1"/>
    <n v="0"/>
    <n v="0"/>
    <n v="0"/>
    <x v="2"/>
    <n v="0"/>
    <s v="NULL"/>
    <s v="NULL"/>
    <s v="NULL"/>
    <s v="NULL"/>
    <s v="NULL"/>
    <n v="968183913"/>
    <n v="0"/>
    <n v="0"/>
    <s v="NULL"/>
    <s v="NULL"/>
  </r>
  <r>
    <x v="1185"/>
    <x v="2"/>
    <n v="20516680068"/>
    <s v="MERQUITEX"/>
    <s v="."/>
    <n v="10153780"/>
    <s v="GIRO DE LINEA"/>
    <s v="B36574"/>
    <n v="172013.453125"/>
    <d v="2025-03-27T00:00:00"/>
    <n v="14.5"/>
    <s v="TIENDAS"/>
    <s v="TIENDAS"/>
    <s v="Giro de Línea"/>
    <n v="202503"/>
    <n v="200010"/>
    <s v="B36574"/>
    <x v="51"/>
    <s v="B13161"/>
    <x v="9"/>
    <x v="4"/>
    <x v="0"/>
    <s v="P1"/>
    <s v="NULL"/>
    <n v="1"/>
    <x v="1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1186"/>
    <x v="11"/>
    <n v="10406493976"/>
    <s v="TIBURCIO OJEDA BARTOLO"/>
    <n v="40649397"/>
    <n v="10259963"/>
    <s v="Impulso Solo"/>
    <s v="B11084"/>
    <n v="86740.328125"/>
    <d v="2024-08-29T00:00:00"/>
    <n v="15.5"/>
    <s v="TLV"/>
    <s v="TLV"/>
    <s v="Impulso MyPeru Comercial"/>
    <n v="202408"/>
    <n v="90004.5"/>
    <s v="B11084"/>
    <x v="108"/>
    <s v="B14530"/>
    <x v="5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1187"/>
    <x v="2"/>
    <n v="10457520277"/>
    <s v="CENTENO MACHACA JUAN DIEGO"/>
    <n v="45752027"/>
    <n v="10260005"/>
    <s v="Impulso Mixto"/>
    <s v="B12457"/>
    <n v="12057.4609375"/>
    <d v="2024-09-03T00:00:00"/>
    <n v="14.8"/>
    <s v="TLV"/>
    <s v="TLV"/>
    <s v="Impulso MyPeru Comercial"/>
    <n v="202409"/>
    <n v="14800.7"/>
    <s v="B30094"/>
    <x v="2"/>
    <s v="NULL"/>
    <x v="2"/>
    <x v="4"/>
    <x v="2"/>
    <s v="P4"/>
    <s v="NULL"/>
    <n v="1"/>
    <x v="0"/>
    <n v="0"/>
    <n v="0"/>
    <n v="1"/>
    <x v="2"/>
    <n v="0"/>
    <s v="NULL"/>
    <s v="NULL"/>
    <s v="NULL"/>
    <s v="NULL"/>
    <s v="NULL"/>
    <n v="24800"/>
    <n v="0.21"/>
    <n v="0.1923"/>
    <s v="NULL"/>
    <s v="NULL"/>
  </r>
  <r>
    <x v="1187"/>
    <x v="2"/>
    <n v="10457520277"/>
    <s v="CENTENO MACHACA JUAN DIEGO"/>
    <n v="45752027"/>
    <n v="10260005"/>
    <s v="Impulso Mixto"/>
    <s v="B12457"/>
    <n v="12057.4609375"/>
    <d v="2024-09-03T00:00:00"/>
    <n v="14.8"/>
    <s v="TLV"/>
    <s v="TLV"/>
    <s v="Impulso MyPeru Comercial"/>
    <n v="202409"/>
    <n v="14800.7"/>
    <s v="B30094"/>
    <x v="48"/>
    <s v="B34489"/>
    <x v="4"/>
    <x v="4"/>
    <x v="0"/>
    <s v="P4"/>
    <s v="NULL"/>
    <n v="1"/>
    <x v="0"/>
    <n v="0"/>
    <n v="0"/>
    <n v="1"/>
    <x v="2"/>
    <n v="0"/>
    <s v="NULL"/>
    <s v="NULL"/>
    <s v="NULL"/>
    <s v="NULL"/>
    <s v="NULL"/>
    <n v="24800"/>
    <n v="0.21"/>
    <n v="0.1923"/>
    <s v="NULL"/>
    <s v="NULL"/>
  </r>
  <r>
    <x v="1161"/>
    <x v="10"/>
    <n v="20610855301"/>
    <s v="BLACK DRAGON TECH S.A.C."/>
    <s v="."/>
    <n v="10274354"/>
    <s v="Ágil Recurrente CEM"/>
    <s v="BPECND"/>
    <n v="193108.265625"/>
    <d v="2025-12-31T00:00:00"/>
    <n v="17"/>
    <s v="TIENDAS"/>
    <s v="VENDORS"/>
    <s v="Recurrente Ágil CEM"/>
    <n v="202512"/>
    <n v="200010"/>
    <s v="B30155"/>
    <x v="69"/>
    <s v="B45384"/>
    <x v="6"/>
    <x v="8"/>
    <x v="2"/>
    <s v="P1"/>
    <s v="C1_2"/>
    <n v="1"/>
    <x v="1"/>
    <n v="0"/>
    <n v="0"/>
    <n v="0"/>
    <x v="2"/>
    <n v="0"/>
    <s v="NULL"/>
    <s v="NULL"/>
    <s v="NULL"/>
    <s v="NULL"/>
    <s v="NULL"/>
    <n v="250000"/>
    <n v="0.21"/>
    <n v="0.19"/>
    <s v="NULL"/>
    <s v="NULL"/>
  </r>
  <r>
    <x v="112"/>
    <x v="5"/>
    <n v="20555229101"/>
    <s v="COLOR´S &amp; TENDENCIA INNOVATION TEXTILE"/>
    <s v="."/>
    <n v="10269929"/>
    <s v="Regular Sin Campaña"/>
    <s v="B36343"/>
    <n v="300015"/>
    <d v="2025-07-25T00:00:00"/>
    <n v="15.5"/>
    <s v="TIENDAS"/>
    <s v="TIENDAS"/>
    <s v="Gestion Cartera"/>
    <n v="202507"/>
    <n v="300015"/>
    <s v="B36343"/>
    <x v="40"/>
    <s v="B13161"/>
    <x v="9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81"/>
    <x v="2"/>
    <n v="20610982884"/>
    <s v="CONLATOR"/>
    <s v="."/>
    <n v="10267825"/>
    <s v="Nuevo pre Aprobado"/>
    <s v="B33894"/>
    <n v="153108.234375"/>
    <d v="2025-05-15T00:00:00"/>
    <n v="18"/>
    <s v="TIENDAS"/>
    <s v="VENDORS"/>
    <s v="Nuevo Pre-aprobado"/>
    <n v="202505"/>
    <n v="180009"/>
    <s v="B33894"/>
    <x v="36"/>
    <s v="B34489"/>
    <x v="4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7829999999999999"/>
    <s v="NULL"/>
    <s v="NULL"/>
    <s v="NULL"/>
  </r>
  <r>
    <x v="1188"/>
    <x v="10"/>
    <n v="20331119751"/>
    <s v="OKAWA SERVICIOS"/>
    <s v="."/>
    <n v="10265684"/>
    <s v="CDD APROBADO"/>
    <s v="B13161"/>
    <n v="88231.265625"/>
    <d v="2025-02-25T00:00:00"/>
    <n v="14"/>
    <s v="TLV"/>
    <s v="TLV"/>
    <s v="Nuevo Aprobado Agil CD"/>
    <n v="202502"/>
    <n v="124206.2"/>
    <s v="B28573"/>
    <x v="74"/>
    <s v="B13161"/>
    <x v="9"/>
    <x v="7"/>
    <x v="0"/>
    <s v="P1"/>
    <s v="C1_2"/>
    <n v="1"/>
    <x v="0"/>
    <n v="0"/>
    <n v="0"/>
    <n v="1"/>
    <x v="2"/>
    <n v="0"/>
    <s v="NULL"/>
    <s v="NULL"/>
    <s v="NULL"/>
    <s v="NULL"/>
    <s v="NULL"/>
    <n v="271000"/>
    <n v="0.19589999999999999"/>
    <n v="0.14699999999999999"/>
    <s v="NULL"/>
    <s v="NULL"/>
  </r>
  <r>
    <x v="1189"/>
    <x v="6"/>
    <n v="20604059101"/>
    <s v="L Y T VARGAS"/>
    <s v="."/>
    <n v="10265717"/>
    <s v="Nuevo Aprobado Ágil"/>
    <s v="B45374"/>
    <n v="184539.84375"/>
    <d v="2025-02-26T00:00:00"/>
    <n v="15"/>
    <s v="TIENDAS"/>
    <s v="VENDORS"/>
    <s v="Nuevo Pre-aprobado"/>
    <n v="202502"/>
    <n v="250012.5"/>
    <s v="B45374"/>
    <x v="21"/>
    <s v="B45384"/>
    <x v="6"/>
    <x v="1"/>
    <x v="2"/>
    <s v="P1"/>
    <s v="NULL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1190"/>
    <x v="1"/>
    <n v="20600762177"/>
    <s v="MICHIGAN EDITORES"/>
    <s v="."/>
    <n v="10268752"/>
    <s v="Ágil Recurrente CEM"/>
    <s v="B44900"/>
    <n v="147997.96875"/>
    <d v="2025-06-17T00:00:00"/>
    <n v="16.5"/>
    <s v="TIENDAS"/>
    <s v="TIENDAS"/>
    <s v="Recurrente Ágil CEM"/>
    <n v="202506"/>
    <n v="200010"/>
    <s v="B44900"/>
    <x v="19"/>
    <s v="B34489"/>
    <x v="4"/>
    <x v="5"/>
    <x v="0"/>
    <s v="P5"/>
    <s v="C2"/>
    <n v="1"/>
    <x v="0"/>
    <n v="0"/>
    <n v="0"/>
    <n v="1"/>
    <x v="0"/>
    <n v="0"/>
    <s v="NULL"/>
    <s v="NULL"/>
    <s v="NULL"/>
    <s v="NULL"/>
    <s v="NULL"/>
    <n v="60000"/>
    <n v="0.21"/>
    <n v="0.19"/>
    <s v="NULL"/>
    <s v="NULL"/>
  </r>
  <r>
    <x v="1130"/>
    <x v="0"/>
    <n v="10084224290"/>
    <s v="NAPAN BELLEZA MATIAS ALBERTO"/>
    <n v="8422429"/>
    <n v="10262385"/>
    <s v="Impulso CDI Cobertura"/>
    <s v="B30745"/>
    <n v="66813.59375"/>
    <d v="2024-11-06T00:00:00"/>
    <n v="17.899999999999999"/>
    <s v="TIENDAS"/>
    <s v="TIENDAS"/>
    <s v="Impulso MyPeru Comercial"/>
    <n v="202411"/>
    <n v="90004.5"/>
    <s v="B30745"/>
    <x v="14"/>
    <s v="B27274"/>
    <x v="0"/>
    <x v="0"/>
    <x v="0"/>
    <s v="P1"/>
    <s v="C3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191"/>
    <x v="2"/>
    <n v="20546437214"/>
    <s v="CHIMOC ARTS SOCIEDAD ANONIMA CERRADA - C"/>
    <s v="."/>
    <n v="10259612"/>
    <s v="Impulso Mixto"/>
    <s v="B45631"/>
    <n v="69749.015625"/>
    <d v="2024-08-27T00:00:00"/>
    <n v="14.7"/>
    <s v="TIENDAS"/>
    <s v="TIENDAS"/>
    <s v="Impulso MyPeru Comercial"/>
    <n v="202408"/>
    <n v="90004.5"/>
    <s v="B45631"/>
    <x v="54"/>
    <s v="B27274"/>
    <x v="0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26929999999999998"/>
    <s v="NULL"/>
    <s v="NULL"/>
    <s v="NULL"/>
  </r>
  <r>
    <x v="1192"/>
    <x v="2"/>
    <n v="10443660084"/>
    <s v="FACUNDO MIJAHUANCA FERNANDO"/>
    <n v="44366008"/>
    <n v="10266689"/>
    <s v="Nuevo Aprobado"/>
    <s v="B33958"/>
    <n v="40488.265625"/>
    <d v="2025-03-28T00:00:00"/>
    <n v="23"/>
    <s v="TLV"/>
    <s v="TLV"/>
    <s v="Nuevo Aprobado EN"/>
    <n v="202503"/>
    <n v="50002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93"/>
    <x v="7"/>
    <n v="20600686501"/>
    <s v="B&amp; G CONSULTORES ASOCIADOS S.A.C."/>
    <s v="."/>
    <n v="10266877"/>
    <s v="Nuevo Aprobado"/>
    <s v="BPECND"/>
    <n v="32201.03515625"/>
    <d v="2025-04-04T00:00:00"/>
    <n v="20"/>
    <s v="TLV"/>
    <s v="TLV"/>
    <s v="Nuevo Aprobado EN"/>
    <n v="202504"/>
    <n v="50002.5"/>
    <s v="B45631"/>
    <x v="54"/>
    <s v="B27274"/>
    <x v="0"/>
    <x v="4"/>
    <x v="0"/>
    <s v="P1"/>
    <s v="C1_2"/>
    <n v="1"/>
    <x v="0"/>
    <n v="0"/>
    <n v="1"/>
    <n v="1"/>
    <x v="2"/>
    <n v="0"/>
    <s v="NULL"/>
    <s v="NULL"/>
    <s v="NULL"/>
    <s v="NULL"/>
    <s v="NULL"/>
    <n v="250000"/>
    <n v="0.22"/>
    <n v="0.2"/>
    <s v="NULL"/>
    <s v="NULL"/>
  </r>
  <r>
    <x v="1194"/>
    <x v="7"/>
    <n v="20603109261"/>
    <s v="SERVICES BUILDINGS AC HNOS"/>
    <s v="."/>
    <n v="10263756"/>
    <s v="Impulso Mixto"/>
    <s v="B45439"/>
    <n v="73377.8046875"/>
    <d v="2024-12-16T00:00:00"/>
    <n v="15.2"/>
    <s v="TLV"/>
    <s v="TLV"/>
    <s v="Impulso MyPeru Comercial"/>
    <n v="202412"/>
    <n v="90004.5"/>
    <s v="B45439"/>
    <x v="29"/>
    <s v="B45083"/>
    <x v="7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195"/>
    <x v="3"/>
    <n v="20489959934"/>
    <s v="MEGA TRONICS ENERGY EMPRESA INDIVIDUAL D"/>
    <s v="."/>
    <n v="10264762"/>
    <s v="Nuevo Aprobado"/>
    <s v="BPECND"/>
    <n v="76534.3984375"/>
    <d v="2025-01-23T00:00:00"/>
    <n v="21.200001"/>
    <s v="TLV"/>
    <s v="TLV"/>
    <s v="Nuevo Aprobado EN"/>
    <n v="202501"/>
    <n v="80004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96"/>
    <x v="6"/>
    <n v="20276211391"/>
    <s v="PROVEEDORES MAESTROS"/>
    <s v="."/>
    <n v="10154229"/>
    <s v="GIRO DE LINEA"/>
    <s v="B14530"/>
    <n v="47062.62109375"/>
    <d v="2024-02-15T00:00:00"/>
    <n v="17"/>
    <s v="TIENDAS"/>
    <s v="TIENDAS"/>
    <s v="Giro de Línea"/>
    <n v="202402"/>
    <n v="190525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97"/>
    <x v="0"/>
    <n v="20607037117"/>
    <s v="LF IMPORTACION Y COMERCIALIZACION E.I.R."/>
    <s v="."/>
    <n v="10269640"/>
    <s v="Recurrente Aprobado Agil"/>
    <s v="B45439"/>
    <n v="81439.3125"/>
    <d v="2025-07-16T00:00:00"/>
    <n v="15"/>
    <s v="TIENDAS VIRTUALES"/>
    <s v="TIENDAS VIRTUALES"/>
    <s v="Recurrente Ágil CEM"/>
    <n v="202507"/>
    <n v="100005"/>
    <s v="B45439"/>
    <x v="29"/>
    <s v="B45083"/>
    <x v="7"/>
    <x v="4"/>
    <x v="2"/>
    <s v="P1"/>
    <s v="C2"/>
    <n v="1"/>
    <x v="0"/>
    <n v="0"/>
    <n v="1"/>
    <n v="1"/>
    <x v="0"/>
    <n v="0"/>
    <s v="NULL"/>
    <s v="NULL"/>
    <s v="NULL"/>
    <s v="NULL"/>
    <s v="NULL"/>
    <n v="250000"/>
    <n v="0.2122"/>
    <n v="0.19220000000000001"/>
    <s v="NULL"/>
    <s v="NULL"/>
  </r>
  <r>
    <x v="1198"/>
    <x v="9"/>
    <n v="10759232343"/>
    <s v="INGA INGA KATHERINE ANGELICA"/>
    <n v="75923234"/>
    <n v="10267283"/>
    <s v="CDD APROBADO"/>
    <s v="B33958"/>
    <n v="73612.40625"/>
    <d v="2025-04-24T00:00:00"/>
    <n v="21"/>
    <s v="TLV"/>
    <s v="TLV"/>
    <s v="Nuevo Aprobado Agil CD"/>
    <n v="202504"/>
    <n v="75863.7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199"/>
    <x v="5"/>
    <n v="20603695128"/>
    <s v="DAVI IMPORTS &amp; INNOVATIONS"/>
    <s v="."/>
    <n v="10268034"/>
    <s v="Nuevo Aprobado Ágil"/>
    <s v="B30745"/>
    <n v="128274.65625"/>
    <d v="2025-05-22T00:00:00"/>
    <n v="17"/>
    <s v="TLV"/>
    <s v="TLV"/>
    <s v="Nuevo Aprobado EN"/>
    <n v="202505"/>
    <n v="150007.5"/>
    <s v="B30745"/>
    <x v="14"/>
    <s v="B27274"/>
    <x v="0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200"/>
    <x v="5"/>
    <n v="10097306651"/>
    <s v="SANCHEZ JAQUE PAULINO ESTEBAN"/>
    <n v="9730665"/>
    <n v="10266802"/>
    <s v="Nuevo Aprobado"/>
    <s v="BPECND"/>
    <n v="11050.943359375"/>
    <d v="2025-03-31T00:00:00"/>
    <n v="25.5"/>
    <s v="TLV"/>
    <s v="TLV"/>
    <s v="Nuevo Aprobado EN"/>
    <n v="202503"/>
    <n v="14500.7"/>
    <s v="B30973"/>
    <x v="11"/>
    <s v="B14821"/>
    <x v="3"/>
    <x v="7"/>
    <x v="0"/>
    <s v="P2"/>
    <s v="C3"/>
    <n v="1"/>
    <x v="1"/>
    <n v="0"/>
    <n v="0"/>
    <n v="0"/>
    <x v="2"/>
    <n v="0"/>
    <s v="NULL"/>
    <s v="NULL"/>
    <s v="NULL"/>
    <s v="NULL"/>
    <s v="NULL"/>
    <n v="83000"/>
    <n v="0.26"/>
    <n v="0.24"/>
    <s v="NULL"/>
    <s v="NULL"/>
  </r>
  <r>
    <x v="1201"/>
    <x v="7"/>
    <n v="20608382403"/>
    <s v="F.A.R.I. IMPORT"/>
    <s v="."/>
    <n v="10265252"/>
    <s v="Nuevo pre Aprobado"/>
    <s v="B33894"/>
    <n v="121782.03125"/>
    <d v="2025-02-11T00:00:00"/>
    <n v="18.5"/>
    <s v="TIENDAS"/>
    <s v="VENDORS"/>
    <s v="Nuevo Pre-aprobado"/>
    <n v="202502"/>
    <n v="170008.5"/>
    <s v="B33894"/>
    <x v="36"/>
    <s v="B34489"/>
    <x v="4"/>
    <x v="1"/>
    <x v="0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202"/>
    <x v="1"/>
    <n v="20602157394"/>
    <s v="TEXTILES CORPORATIVOS V Y M"/>
    <s v="."/>
    <n v="10274876"/>
    <s v="Nuevo Aprobado"/>
    <s v="BPECND"/>
    <n v="297614.875"/>
    <d v="2026-01-22T00:00:00"/>
    <n v="16"/>
    <s v="TLV"/>
    <s v="VENDORS"/>
    <s v="Nuevo Aprobado EN"/>
    <n v="202601"/>
    <n v="297614.84999999998"/>
    <s v="B32772"/>
    <x v="109"/>
    <s v="B28616"/>
    <x v="12"/>
    <x v="17"/>
    <x v="3"/>
    <s v="P1"/>
    <s v="C2"/>
    <n v="1"/>
    <x v="0"/>
    <n v="1"/>
    <n v="1"/>
    <n v="1"/>
    <x v="1"/>
    <n v="297614.84999999998"/>
    <n v="16"/>
    <d v="2026-01-22T00:00:00"/>
    <s v="Nuevo Aprobado EN"/>
    <s v="VENDORS"/>
    <s v="CAPITAL DE TRABAJO"/>
    <n v="300000"/>
    <n v="0.19900000000000001"/>
    <n v="0.17899999999999999"/>
    <s v="TLV B"/>
    <s v="CAPITAL DE TRABAJO"/>
  </r>
  <r>
    <x v="1203"/>
    <x v="1"/>
    <n v="20601852081"/>
    <s v="EXPORTACIONES E M B"/>
    <s v="."/>
    <n v="10270928"/>
    <s v="CDD APROBADO"/>
    <s v="B20210"/>
    <n v="154427.4375"/>
    <d v="2025-08-29T00:00:00"/>
    <n v="17.200001"/>
    <s v="TLV"/>
    <s v="TLV"/>
    <s v="Nuevo Aprobado Agil CD"/>
    <n v="202508"/>
    <n v="207010.35"/>
    <s v="B20210"/>
    <x v="39"/>
    <s v="B13161"/>
    <x v="9"/>
    <x v="1"/>
    <x v="0"/>
    <s v="P5"/>
    <s v="C2"/>
    <n v="1"/>
    <x v="1"/>
    <n v="0"/>
    <n v="0"/>
    <n v="0"/>
    <x v="0"/>
    <n v="0"/>
    <s v="NULL"/>
    <s v="NULL"/>
    <s v="NULL"/>
    <s v="NULL"/>
    <s v="NULL"/>
    <n v="1"/>
    <n v="1"/>
    <n v="0.24"/>
    <s v="NULL"/>
    <s v="NULL"/>
  </r>
  <r>
    <x v="1204"/>
    <x v="0"/>
    <n v="20557895419"/>
    <s v="IMPEX JCG"/>
    <s v="."/>
    <n v="10265142"/>
    <s v="Nuevo Aprobado Ágil"/>
    <s v="B45389"/>
    <n v="81275"/>
    <d v="2025-02-05T00:00:00"/>
    <n v="18.5"/>
    <s v="TLV"/>
    <s v="TLV"/>
    <s v="Nuevo Aprobado Agil"/>
    <n v="202502"/>
    <n v="130006.5"/>
    <s v="B45389"/>
    <x v="16"/>
    <s v="B45384"/>
    <x v="6"/>
    <x v="4"/>
    <x v="2"/>
    <s v="P1"/>
    <s v="C1_1"/>
    <n v="1"/>
    <x v="1"/>
    <n v="0"/>
    <n v="0"/>
    <n v="0"/>
    <x v="0"/>
    <n v="0"/>
    <s v="NULL"/>
    <s v="NULL"/>
    <s v="NULL"/>
    <s v="NULL"/>
    <s v="NULL"/>
    <n v="400000"/>
    <n v="0.21"/>
    <n v="0.19"/>
    <s v="NULL"/>
    <s v="NULL"/>
  </r>
  <r>
    <x v="1205"/>
    <x v="9"/>
    <n v="20600410858"/>
    <s v="INVERSIONES GASTRONOMICAS"/>
    <s v="."/>
    <n v="10159456"/>
    <s v="GIRO DE LINEA"/>
    <s v="B30973"/>
    <n v="22933.03515625"/>
    <d v="2024-06-13T00:00:00"/>
    <n v="18.600000000000001"/>
    <s v="TIENDAS"/>
    <s v="TIENDAS"/>
    <s v="Giro de Línea"/>
    <n v="202406"/>
    <n v="127006.35"/>
    <s v="B30973"/>
    <x v="11"/>
    <s v="B14821"/>
    <x v="3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.27079999999999999"/>
    <s v="NULL"/>
    <s v="NULL"/>
  </r>
  <r>
    <x v="1206"/>
    <x v="9"/>
    <n v="20514627852"/>
    <s v="TEXTIL CHOTANO"/>
    <s v="."/>
    <n v="10150000"/>
    <s v="GIRO DE LINEA"/>
    <s v="B25587"/>
    <n v="104021.3828125"/>
    <d v="2025-08-11T00:00:00"/>
    <n v="16"/>
    <s v="TIENDAS"/>
    <s v="TIENDAS"/>
    <s v="Giro de Línea"/>
    <n v="202508"/>
    <n v="200010"/>
    <s v="B25587"/>
    <x v="110"/>
    <s v="B13988"/>
    <x v="8"/>
    <x v="1"/>
    <x v="0"/>
    <s v="P1"/>
    <s v="NULL"/>
    <n v="1"/>
    <x v="1"/>
    <n v="0"/>
    <n v="0"/>
    <n v="0"/>
    <x v="2"/>
    <n v="0"/>
    <s v="NULL"/>
    <s v="NULL"/>
    <s v="NULL"/>
    <s v="NULL"/>
    <s v="NULL"/>
    <n v="0"/>
    <n v="0"/>
    <n v="0.27079999999999999"/>
    <s v="NULL"/>
    <s v="NULL"/>
  </r>
  <r>
    <x v="1207"/>
    <x v="7"/>
    <n v="20608367633"/>
    <s v="IMPORTACIONES OLAM LIGHTS"/>
    <s v="."/>
    <n v="10270380"/>
    <s v="CDD APROBADO"/>
    <s v="B45076"/>
    <n v="102310.7734375"/>
    <d v="2025-08-14T00:00:00"/>
    <n v="20"/>
    <s v="TLV"/>
    <s v="TLV"/>
    <s v="Nuevo Aprobado Agil CD"/>
    <n v="202508"/>
    <n v="120100"/>
    <s v="B45076"/>
    <x v="18"/>
    <s v="B45083"/>
    <x v="7"/>
    <x v="1"/>
    <x v="2"/>
    <s v="P1"/>
    <s v="C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208"/>
    <x v="5"/>
    <n v="20480386974"/>
    <s v="CLA SERVICIOS ELECTRONICOS E.I.R.L"/>
    <s v="."/>
    <n v="10266771"/>
    <s v="Nuevo Aprobado"/>
    <s v="B45440"/>
    <n v="76938.7109375"/>
    <d v="2025-03-31T00:00:00"/>
    <n v="20.5"/>
    <s v="TLV"/>
    <s v="TLV"/>
    <s v="Nuevo Aprobado EN"/>
    <n v="202503"/>
    <n v="102005.1"/>
    <s v="B45440"/>
    <x v="73"/>
    <s v="B45083"/>
    <x v="7"/>
    <x v="1"/>
    <x v="2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715"/>
    <x v="10"/>
    <n v="20515632124"/>
    <s v="AYASTA INGENIEROS"/>
    <s v="."/>
    <n v="10264223"/>
    <s v="Ágil Recurrente CEM"/>
    <s v="B19752"/>
    <n v="69553.375"/>
    <d v="2024-12-26T00:00:00"/>
    <n v="18"/>
    <s v="TIENDAS"/>
    <s v="TIENDAS"/>
    <s v="Recurrente Ágil CEM"/>
    <n v="202412"/>
    <n v="144551.20000000001"/>
    <s v="B19752"/>
    <x v="43"/>
    <s v="B13988"/>
    <x v="1"/>
    <x v="1"/>
    <x v="0"/>
    <s v="P1"/>
    <s v="C1_2"/>
    <n v="1"/>
    <x v="0"/>
    <n v="0"/>
    <n v="0"/>
    <n v="1"/>
    <x v="0"/>
    <n v="0"/>
    <s v="NULL"/>
    <s v="NULL"/>
    <s v="NULL"/>
    <s v="NULL"/>
    <s v="NULL"/>
    <n v="1"/>
    <n v="1"/>
    <s v="NULL"/>
    <s v="NULL"/>
    <s v="NULL"/>
  </r>
  <r>
    <x v="497"/>
    <x v="8"/>
    <n v="20549219269"/>
    <s v="PORCUPINE"/>
    <s v="."/>
    <n v="10263429"/>
    <s v="CT Garantía"/>
    <s v="B27693"/>
    <n v="270710.75"/>
    <d v="2024-11-29T00:00:00"/>
    <n v="12"/>
    <s v="TIENDAS"/>
    <s v="TIENDAS"/>
    <s v="NULL"/>
    <n v="202411"/>
    <n v="307015.34999999998"/>
    <s v="B27693"/>
    <x v="52"/>
    <s v="B27274"/>
    <x v="0"/>
    <x v="1"/>
    <x v="0"/>
    <s v="P1"/>
    <s v="NULL"/>
    <n v="1"/>
    <x v="1"/>
    <n v="0"/>
    <n v="0"/>
    <n v="0"/>
    <x v="0"/>
    <n v="0"/>
    <s v="NULL"/>
    <s v="NULL"/>
    <s v="NULL"/>
    <s v="NULL"/>
    <s v="NULL"/>
    <n v="1"/>
    <n v="0.18779999999999999"/>
    <s v="NULL"/>
    <s v="NULL"/>
    <s v="NULL"/>
  </r>
  <r>
    <x v="1209"/>
    <x v="10"/>
    <n v="20493491491"/>
    <s v="J.M GIGANTOGRAFIA"/>
    <s v="."/>
    <n v="10274239"/>
    <s v="Nuevo Aprobado Ágil"/>
    <s v="BPECND"/>
    <n v="144834.484375"/>
    <d v="2025-12-29T00:00:00"/>
    <n v="16"/>
    <s v="TIENDAS VIRTUALES"/>
    <s v="TIENDAS VIRTUALES"/>
    <s v="Nuevo Aprobado Agil"/>
    <n v="202512"/>
    <n v="150007.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603"/>
    <x v="1"/>
    <n v="20549226044"/>
    <s v="TELTEX PERU"/>
    <s v="."/>
    <n v="10271686"/>
    <s v="Recurrente Aprobado Agil"/>
    <s v="B27274"/>
    <n v="100055.40625"/>
    <d v="2025-09-24T00:00:00"/>
    <n v="16.989999999999998"/>
    <s v="TIENDAS VIRTUALES"/>
    <s v="TIENDAS VIRTUALES"/>
    <s v="Recurrente Ágil CEM"/>
    <n v="202509"/>
    <n v="112405.6"/>
    <s v="B45631"/>
    <x v="54"/>
    <s v="B27274"/>
    <x v="0"/>
    <x v="10"/>
    <x v="0"/>
    <s v="P5"/>
    <s v="C1_1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1210"/>
    <x v="10"/>
    <n v="20600131819"/>
    <s v="LAULIS PERU TRANSPORTS"/>
    <s v="."/>
    <n v="10268456"/>
    <s v="CT PERIODO DE GRACIA PARCIAL"/>
    <s v="B46527"/>
    <n v="98345.8828125"/>
    <d v="2025-06-05T00:00:00"/>
    <n v="18.530000999999999"/>
    <s v="TLV"/>
    <s v="VENDORS"/>
    <s v="Impulso MyPeru Comercial"/>
    <n v="202506"/>
    <n v="120006"/>
    <s v="B46527"/>
    <x v="75"/>
    <s v="B34489"/>
    <x v="4"/>
    <x v="1"/>
    <x v="0"/>
    <s v="P1"/>
    <s v="C1_2"/>
    <n v="1"/>
    <x v="1"/>
    <n v="0"/>
    <n v="0"/>
    <n v="0"/>
    <x v="0"/>
    <n v="0"/>
    <s v="NULL"/>
    <s v="NULL"/>
    <s v="NULL"/>
    <s v="NULL"/>
    <s v="NULL"/>
    <n v="1"/>
    <n v="1"/>
    <s v="NULL"/>
    <s v="NULL"/>
    <s v="NULL"/>
  </r>
  <r>
    <x v="1211"/>
    <x v="5"/>
    <n v="20125374680"/>
    <s v="ADE BELL EIRL"/>
    <s v="."/>
    <n v="10258440"/>
    <s v="Impulso Solo"/>
    <s v="B37467"/>
    <n v="13206.78515625"/>
    <d v="2024-07-31T00:00:00"/>
    <n v="16.399999999999999"/>
    <s v="TLV"/>
    <s v="TLV"/>
    <s v="Impulso MyPeru Comercial"/>
    <n v="202407"/>
    <n v="20001"/>
    <s v="NULL"/>
    <x v="2"/>
    <s v="NULL"/>
    <x v="2"/>
    <x v="4"/>
    <x v="2"/>
    <s v="P1"/>
    <s v="C3"/>
    <n v="1"/>
    <x v="1"/>
    <n v="0"/>
    <n v="0"/>
    <n v="0"/>
    <x v="2"/>
    <n v="0"/>
    <s v="NULL"/>
    <s v="NULL"/>
    <s v="NULL"/>
    <s v="NULL"/>
    <s v="NULL"/>
    <n v="250000"/>
    <n v="0.23"/>
    <n v="0.21"/>
    <s v="NULL"/>
    <s v="NULL"/>
  </r>
  <r>
    <x v="1212"/>
    <x v="5"/>
    <n v="20604938652"/>
    <s v="TRANSPORTE LUCAS CORNEJO E.I.R.L.- TRANS"/>
    <s v="."/>
    <n v="10266095"/>
    <s v="Nuevo pre Aprobado"/>
    <s v="B34489"/>
    <n v="72643.3359375"/>
    <d v="2025-03-12T00:00:00"/>
    <n v="21"/>
    <s v="TIENDAS"/>
    <s v="VENDORS"/>
    <s v="Nuevo Pre-aprobado"/>
    <n v="202503"/>
    <n v="104005.2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387"/>
    <x v="0"/>
    <n v="20603704267"/>
    <s v="OUTDOOR BRANDS"/>
    <s v="."/>
    <n v="10260093"/>
    <s v="Ágil Recurrente CEM"/>
    <s v="B43903"/>
    <n v="91512.0703125"/>
    <d v="2024-09-09T00:00:00"/>
    <n v="19.5"/>
    <s v="TIENDAS"/>
    <s v="TIENDAS"/>
    <s v="Recurrente Ágil CEM"/>
    <n v="202409"/>
    <n v="200379.84"/>
    <s v="B43903"/>
    <x v="67"/>
    <s v="B14821"/>
    <x v="3"/>
    <x v="0"/>
    <x v="0"/>
    <s v="P1"/>
    <s v="C2"/>
    <n v="1"/>
    <x v="1"/>
    <n v="0"/>
    <n v="0"/>
    <n v="0"/>
    <x v="0"/>
    <n v="0"/>
    <s v="NULL"/>
    <s v="NULL"/>
    <s v="NULL"/>
    <s v="NULL"/>
    <s v="NULL"/>
    <n v="0"/>
    <n v="0"/>
    <n v="0"/>
    <s v="NULL"/>
    <s v="NULL"/>
  </r>
  <r>
    <x v="1213"/>
    <x v="0"/>
    <n v="10174463218"/>
    <s v="YOVERA PINGLO CESAR FRANCISCO"/>
    <n v="17446321"/>
    <n v="10266354"/>
    <s v="Nuevo Aprobado"/>
    <s v="B14530"/>
    <n v="46559.390625"/>
    <d v="2025-03-20T00:00:00"/>
    <n v="18"/>
    <s v="TLV"/>
    <s v="TLV"/>
    <s v="Nuevo Aprobado EN"/>
    <n v="202503"/>
    <n v="70003.5"/>
    <s v="B45750"/>
    <x v="5"/>
    <s v="B14530"/>
    <x v="5"/>
    <x v="4"/>
    <x v="0"/>
    <s v="P1"/>
    <s v="C3"/>
    <n v="1"/>
    <x v="1"/>
    <n v="0"/>
    <n v="0"/>
    <n v="0"/>
    <x v="0"/>
    <n v="0"/>
    <s v="NULL"/>
    <s v="NULL"/>
    <s v="NULL"/>
    <s v="NULL"/>
    <s v="NULL"/>
    <n v="200000"/>
    <n v="0.2442"/>
    <n v="0.22420000000000001"/>
    <s v="NULL"/>
    <s v="NULL"/>
  </r>
  <r>
    <x v="1214"/>
    <x v="7"/>
    <n v="10484656296"/>
    <s v="SAENZ PEREZ NINA PAOLA"/>
    <n v="48465629"/>
    <n v="10266919"/>
    <s v="CDD APROBADO"/>
    <s v="B44120"/>
    <n v="133533.53125"/>
    <d v="2025-04-08T00:00:00"/>
    <n v="20"/>
    <s v="TLV"/>
    <s v="TLV"/>
    <s v="Nuevo Aprobado Agil CD"/>
    <n v="202504"/>
    <n v="207010.35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215"/>
    <x v="2"/>
    <n v="20482497951"/>
    <s v="GRUPO N JOSE"/>
    <s v="."/>
    <n v="10265711"/>
    <s v="Nuevo Aprobado Ágil"/>
    <s v="B45373"/>
    <n v="54307.640625"/>
    <d v="2025-02-26T00:00:00"/>
    <n v="18.5"/>
    <s v="TLV"/>
    <s v="TLV"/>
    <s v="Nuevo Aprobado Agil"/>
    <n v="202502"/>
    <n v="69503.45"/>
    <s v="B45373"/>
    <x v="13"/>
    <s v="B45384"/>
    <x v="6"/>
    <x v="4"/>
    <x v="2"/>
    <s v="P1"/>
    <s v="NULL"/>
    <n v="1"/>
    <x v="0"/>
    <n v="0"/>
    <n v="0"/>
    <n v="0"/>
    <x v="0"/>
    <n v="0"/>
    <s v="NULL"/>
    <s v="NULL"/>
    <s v="NULL"/>
    <s v="NULL"/>
    <s v="NULL"/>
    <n v="250000"/>
    <n v="0.21"/>
    <n v="0.19"/>
    <s v="NULL"/>
    <s v="NULL"/>
  </r>
  <r>
    <x v="1216"/>
    <x v="12"/>
    <n v="20510564775"/>
    <s v="NEGOCIACIONES SEÑOR DE LA SOLEDAD"/>
    <s v="."/>
    <n v="10239654"/>
    <s v="Ágil Recurrente CEM"/>
    <s v="B19752"/>
    <n v="12552.24609375"/>
    <d v="2023-06-09T00:00:00"/>
    <n v="20.100000000000001"/>
    <s v="TIENDAS"/>
    <s v="TIENDAS"/>
    <s v="Recurrente Ágil CEM"/>
    <n v="202306"/>
    <n v="250012.5"/>
    <s v="b19752"/>
    <x v="43"/>
    <s v="B13988"/>
    <x v="8"/>
    <x v="4"/>
    <x v="0"/>
    <s v="P1"/>
    <s v="NULL"/>
    <n v="1"/>
    <x v="0"/>
    <n v="0"/>
    <n v="1"/>
    <n v="1"/>
    <x v="0"/>
    <n v="0"/>
    <s v="NULL"/>
    <s v="NULL"/>
    <s v="NULL"/>
    <s v="NULL"/>
    <s v="NULL"/>
    <n v="250000"/>
    <n v="0.24"/>
    <n v="0.2233"/>
    <s v="NULL"/>
    <s v="NULL"/>
  </r>
  <r>
    <x v="1217"/>
    <x v="1"/>
    <n v="20600875605"/>
    <s v="DON BIFE"/>
    <s v="."/>
    <n v="10228958"/>
    <s v="Ágil Recurrente CEM"/>
    <s v="B46175"/>
    <n v="26481.939453125"/>
    <d v="2022-09-09T00:00:00"/>
    <n v="21.1"/>
    <s v="TIENDAS"/>
    <s v="TIENDAS"/>
    <s v="Recurrente Ágil CEM"/>
    <n v="202209"/>
    <n v="156007.79999999999"/>
    <s v="B46175"/>
    <x v="70"/>
    <s v="B14530"/>
    <x v="5"/>
    <x v="5"/>
    <x v="0"/>
    <s v="P5"/>
    <s v="C2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1218"/>
    <x v="4"/>
    <n v="20600073649"/>
    <s v="ITCADPERU"/>
    <s v="."/>
    <n v="10244996"/>
    <s v="Pasivero"/>
    <s v="BPECND"/>
    <n v="34473.56640625"/>
    <d v="2023-10-20T00:00:00"/>
    <n v="18"/>
    <s v="TLV"/>
    <s v="TLV"/>
    <s v="NULL"/>
    <n v="202310"/>
    <n v="92794.6"/>
    <s v="B37426"/>
    <x v="71"/>
    <s v="B14821"/>
    <x v="3"/>
    <x v="7"/>
    <x v="0"/>
    <s v="P1"/>
    <s v="NULL"/>
    <n v="1"/>
    <x v="1"/>
    <n v="0"/>
    <n v="0"/>
    <n v="0"/>
    <x v="2"/>
    <n v="0"/>
    <s v="NULL"/>
    <s v="NULL"/>
    <s v="NULL"/>
    <s v="NULL"/>
    <s v="NULL"/>
    <n v="69000"/>
    <n v="0.22"/>
    <n v="0.20280000000000001"/>
    <s v="NULL"/>
    <s v="NULL"/>
  </r>
  <r>
    <x v="1128"/>
    <x v="9"/>
    <n v="20546319793"/>
    <s v="GIANCARLO IMPORT EXPORT"/>
    <s v="."/>
    <n v="10163239"/>
    <s v="GIRO DE LINEA"/>
    <s v="B45389"/>
    <n v="9943.3984375"/>
    <s v="NULL"/>
    <s v="NULL"/>
    <s v="NULL"/>
    <s v="NULL"/>
    <s v="NULL"/>
    <s v="NULL"/>
    <s v="NULL"/>
    <s v="B45389"/>
    <x v="28"/>
    <s v="B45384"/>
    <x v="6"/>
    <x v="1"/>
    <x v="2"/>
    <s v="P1"/>
    <s v="NULL"/>
    <n v="1"/>
    <x v="1"/>
    <n v="0"/>
    <n v="0"/>
    <n v="0"/>
    <x v="2"/>
    <n v="0"/>
    <s v="NULL"/>
    <s v="NULL"/>
    <s v="NULL"/>
    <s v="NULL"/>
    <s v="NULL"/>
    <n v="0"/>
    <n v="0"/>
    <n v="0"/>
    <s v="NULL"/>
    <s v="NULL"/>
  </r>
  <r>
    <x v="1219"/>
    <x v="6"/>
    <n v="20559154157"/>
    <s v="M &amp; A DISTRIBUIDORA FERRETERA"/>
    <s v="."/>
    <n v="10259952"/>
    <s v="Impulso Solo"/>
    <s v="B33894"/>
    <n v="119850.5"/>
    <s v="NULL"/>
    <s v="NULL"/>
    <s v="NULL"/>
    <s v="NULL"/>
    <s v="NULL"/>
    <s v="NULL"/>
    <s v="NULL"/>
    <s v="B33894"/>
    <x v="36"/>
    <s v="B34489"/>
    <x v="4"/>
    <x v="4"/>
    <x v="0"/>
    <s v="P1"/>
    <s v="NULL"/>
    <n v="1"/>
    <x v="0"/>
    <n v="0"/>
    <n v="0"/>
    <n v="1"/>
    <x v="0"/>
    <n v="0"/>
    <s v="NULL"/>
    <s v="NULL"/>
    <s v="NULL"/>
    <s v="NULL"/>
    <s v="NULL"/>
    <n v="250000"/>
    <n v="0.21"/>
    <n v="0.19"/>
    <s v="NULL"/>
    <s v="NULL"/>
  </r>
  <r>
    <x v="682"/>
    <x v="11"/>
    <n v="10239520508"/>
    <s v="FARFAN VARGAS RAUL JESUS"/>
    <n v="23952050"/>
    <n v="10189132"/>
    <s v="Reactiva"/>
    <s v="B39478"/>
    <n v="33212.0390625"/>
    <s v="NULL"/>
    <s v="NULL"/>
    <s v="NULL"/>
    <s v="NULL"/>
    <s v="NULL"/>
    <s v="NULL"/>
    <s v="NULL"/>
    <s v="NULL"/>
    <x v="2"/>
    <s v="NULL"/>
    <x v="2"/>
    <x v="2"/>
    <x v="1"/>
    <s v="NULL"/>
    <s v="NULL"/>
    <s v="NULL"/>
    <x v="2"/>
    <s v="NULL"/>
    <s v="NULL"/>
    <s v="NULL"/>
    <x v="1"/>
    <s v="NULL"/>
    <s v="NULL"/>
    <s v="NULL"/>
    <s v="NULL"/>
    <s v="NULL"/>
    <s v="NULL"/>
    <s v="NULL"/>
    <s v="NULL"/>
    <s v="NULL"/>
    <s v="NULL"/>
    <s v="NULL"/>
  </r>
  <r>
    <x v="1220"/>
    <x v="9"/>
    <n v="20552706944"/>
    <s v="SERVICIOS IMPORTACIONES Y EXPORTACIONES"/>
    <s v="."/>
    <n v="10169180"/>
    <s v="GIRO DE LINEA"/>
    <s v="B19752"/>
    <n v="14707.3095703125"/>
    <s v="NULL"/>
    <s v="NULL"/>
    <s v="NULL"/>
    <s v="NULL"/>
    <s v="NULL"/>
    <s v="NULL"/>
    <s v="NULL"/>
    <s v="B19752"/>
    <x v="43"/>
    <s v="B13988"/>
    <x v="8"/>
    <x v="7"/>
    <x v="0"/>
    <s v="P1"/>
    <s v="NULL"/>
    <n v="1"/>
    <x v="0"/>
    <n v="0"/>
    <n v="0"/>
    <n v="1"/>
    <x v="2"/>
    <n v="0"/>
    <s v="NULL"/>
    <s v="NULL"/>
    <s v="NULL"/>
    <s v="NULL"/>
    <s v="NULL"/>
    <n v="199000"/>
    <n v="0.26"/>
    <n v="0.23780000000000001"/>
    <s v="NULL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D2AF3-D670-4B1D-942A-3DD4A5AD8AF2}" name="TablaDinámica13" cacheId="1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L138:U234" firstHeaderRow="1" firstDataRow="2" firstDataCol="1" rowPageCount="3" colPageCount="1"/>
  <pivotFields count="42">
    <pivotField axis="axisPage" showAll="0" defaultSubtotal="0">
      <items count="1221">
        <item x="973"/>
        <item x="333"/>
        <item x="632"/>
        <item x="1061"/>
        <item x="30"/>
        <item x="670"/>
        <item x="501"/>
        <item x="1080"/>
        <item x="193"/>
        <item x="1188"/>
        <item x="149"/>
        <item x="668"/>
        <item x="682"/>
        <item x="521"/>
        <item x="534"/>
        <item x="820"/>
        <item x="1062"/>
        <item x="960"/>
        <item x="1168"/>
        <item x="1088"/>
        <item x="135"/>
        <item x="636"/>
        <item x="655"/>
        <item x="279"/>
        <item x="225"/>
        <item x="730"/>
        <item x="170"/>
        <item x="821"/>
        <item x="17"/>
        <item x="786"/>
        <item x="1023"/>
        <item x="231"/>
        <item x="801"/>
        <item x="94"/>
        <item x="264"/>
        <item x="177"/>
        <item x="777"/>
        <item x="298"/>
        <item x="1135"/>
        <item x="151"/>
        <item x="1055"/>
        <item x="409"/>
        <item x="702"/>
        <item x="433"/>
        <item x="751"/>
        <item x="198"/>
        <item x="560"/>
        <item x="557"/>
        <item x="663"/>
        <item x="629"/>
        <item x="385"/>
        <item x="860"/>
        <item x="1130"/>
        <item x="605"/>
        <item x="846"/>
        <item x="73"/>
        <item x="854"/>
        <item x="214"/>
        <item x="417"/>
        <item x="983"/>
        <item x="67"/>
        <item x="905"/>
        <item x="294"/>
        <item x="446"/>
        <item x="483"/>
        <item x="924"/>
        <item x="305"/>
        <item x="802"/>
        <item x="1045"/>
        <item x="598"/>
        <item x="659"/>
        <item x="381"/>
        <item x="995"/>
        <item x="1206"/>
        <item x="827"/>
        <item x="1187"/>
        <item x="1024"/>
        <item x="358"/>
        <item x="826"/>
        <item x="425"/>
        <item x="998"/>
        <item x="720"/>
        <item x="1136"/>
        <item x="1093"/>
        <item x="1153"/>
        <item x="834"/>
        <item x="137"/>
        <item x="234"/>
        <item x="695"/>
        <item x="639"/>
        <item x="292"/>
        <item x="56"/>
        <item x="162"/>
        <item x="23"/>
        <item x="25"/>
        <item x="147"/>
        <item x="386"/>
        <item x="1164"/>
        <item x="788"/>
        <item x="314"/>
        <item x="458"/>
        <item x="616"/>
        <item x="1057"/>
        <item x="238"/>
        <item x="1123"/>
        <item x="576"/>
        <item x="415"/>
        <item x="70"/>
        <item x="407"/>
        <item x="847"/>
        <item x="450"/>
        <item x="783"/>
        <item x="353"/>
        <item x="604"/>
        <item x="10"/>
        <item x="606"/>
        <item x="449"/>
        <item x="281"/>
        <item x="649"/>
        <item x="753"/>
        <item x="1169"/>
        <item x="643"/>
        <item x="709"/>
        <item x="368"/>
        <item x="1103"/>
        <item x="877"/>
        <item x="831"/>
        <item x="14"/>
        <item x="921"/>
        <item x="1115"/>
        <item x="767"/>
        <item x="52"/>
        <item x="881"/>
        <item x="715"/>
        <item x="1144"/>
        <item x="571"/>
        <item x="282"/>
        <item x="400"/>
        <item x="624"/>
        <item x="352"/>
        <item x="637"/>
        <item x="1065"/>
        <item x="212"/>
        <item x="1009"/>
        <item x="197"/>
        <item x="1196"/>
        <item x="823"/>
        <item x="602"/>
        <item x="215"/>
        <item x="593"/>
        <item x="161"/>
        <item x="369"/>
        <item x="645"/>
        <item x="348"/>
        <item x="384"/>
        <item x="904"/>
        <item x="351"/>
        <item x="95"/>
        <item x="572"/>
        <item x="203"/>
        <item x="799"/>
        <item x="849"/>
        <item x="1148"/>
        <item x="290"/>
        <item x="676"/>
        <item x="553"/>
        <item x="447"/>
        <item x="428"/>
        <item x="657"/>
        <item x="805"/>
        <item x="550"/>
        <item x="816"/>
        <item x="421"/>
        <item x="595"/>
        <item x="403"/>
        <item x="107"/>
        <item x="104"/>
        <item x="35"/>
        <item x="165"/>
        <item x="494"/>
        <item x="1113"/>
        <item x="754"/>
        <item x="332"/>
        <item x="382"/>
        <item x="934"/>
        <item x="443"/>
        <item x="845"/>
        <item x="815"/>
        <item x="266"/>
        <item x="993"/>
        <item x="278"/>
        <item x="461"/>
        <item x="109"/>
        <item x="302"/>
        <item x="1060"/>
        <item x="442"/>
        <item x="705"/>
        <item x="359"/>
        <item x="39"/>
        <item x="189"/>
        <item x="976"/>
        <item x="855"/>
        <item x="1124"/>
        <item x="479"/>
        <item x="633"/>
        <item x="603"/>
        <item x="833"/>
        <item x="666"/>
        <item x="972"/>
        <item x="19"/>
        <item x="1167"/>
        <item x="1183"/>
        <item x="456"/>
        <item x="455"/>
        <item x="361"/>
        <item x="975"/>
        <item x="140"/>
        <item x="811"/>
        <item x="536"/>
        <item x="38"/>
        <item x="48"/>
        <item x="1128"/>
        <item x="1043"/>
        <item x="1058"/>
        <item x="515"/>
        <item x="523"/>
        <item x="243"/>
        <item x="1182"/>
        <item x="1140"/>
        <item x="60"/>
        <item x="734"/>
        <item x="139"/>
        <item x="343"/>
        <item x="470"/>
        <item x="339"/>
        <item x="460"/>
        <item x="814"/>
        <item x="916"/>
        <item x="90"/>
        <item x="495"/>
        <item x="874"/>
        <item x="1200"/>
        <item x="329"/>
        <item x="1013"/>
        <item x="967"/>
        <item x="525"/>
        <item x="1039"/>
        <item x="474"/>
        <item x="164"/>
        <item x="652"/>
        <item x="942"/>
        <item x="1163"/>
        <item x="1006"/>
        <item x="608"/>
        <item x="992"/>
        <item x="1042"/>
        <item x="1000"/>
        <item x="26"/>
        <item x="144"/>
        <item x="155"/>
        <item x="596"/>
        <item x="1166"/>
        <item x="210"/>
        <item x="217"/>
        <item x="920"/>
        <item x="850"/>
        <item x="512"/>
        <item x="148"/>
        <item x="356"/>
        <item x="418"/>
        <item x="219"/>
        <item x="388"/>
        <item x="118"/>
        <item x="878"/>
        <item x="990"/>
        <item x="465"/>
        <item x="1021"/>
        <item x="810"/>
        <item x="436"/>
        <item x="1175"/>
        <item x="1180"/>
        <item x="896"/>
        <item x="49"/>
        <item x="614"/>
        <item x="609"/>
        <item x="580"/>
        <item x="448"/>
        <item x="163"/>
        <item x="347"/>
        <item x="977"/>
        <item x="499"/>
        <item x="237"/>
        <item x="554"/>
        <item x="132"/>
        <item x="0"/>
        <item x="194"/>
        <item x="683"/>
        <item x="370"/>
        <item x="188"/>
        <item x="1111"/>
        <item x="953"/>
        <item x="141"/>
        <item x="868"/>
        <item x="806"/>
        <item x="620"/>
        <item x="1198"/>
        <item x="908"/>
        <item x="389"/>
        <item x="182"/>
        <item x="987"/>
        <item x="1185"/>
        <item x="952"/>
        <item x="1217"/>
        <item x="1100"/>
        <item x="1155"/>
        <item x="303"/>
        <item x="145"/>
        <item x="221"/>
        <item x="1214"/>
        <item x="662"/>
        <item x="919"/>
        <item x="828"/>
        <item x="635"/>
        <item x="265"/>
        <item x="793"/>
        <item x="746"/>
        <item x="152"/>
        <item x="204"/>
        <item x="684"/>
        <item x="1131"/>
        <item x="1083"/>
        <item x="45"/>
        <item x="488"/>
        <item x="516"/>
        <item x="216"/>
        <item x="93"/>
        <item x="86"/>
        <item x="61"/>
        <item x="1030"/>
        <item x="875"/>
        <item x="154"/>
        <item x="628"/>
        <item x="300"/>
        <item x="561"/>
        <item x="892"/>
        <item x="725"/>
        <item x="249"/>
        <item x="239"/>
        <item x="851"/>
        <item x="701"/>
        <item x="476"/>
        <item x="482"/>
        <item x="671"/>
        <item x="1054"/>
        <item x="597"/>
        <item x="758"/>
        <item x="1116"/>
        <item x="202"/>
        <item x="357"/>
        <item x="195"/>
        <item x="160"/>
        <item x="112"/>
        <item x="582"/>
        <item x="803"/>
        <item x="537"/>
        <item x="622"/>
        <item x="1053"/>
        <item x="422"/>
        <item x="376"/>
        <item x="1037"/>
        <item x="128"/>
        <item x="809"/>
        <item x="72"/>
        <item x="150"/>
        <item x="865"/>
        <item x="930"/>
        <item x="1104"/>
        <item x="320"/>
        <item x="350"/>
        <item x="686"/>
        <item x="20"/>
        <item x="867"/>
        <item x="485"/>
        <item x="694"/>
        <item x="700"/>
        <item x="68"/>
        <item x="27"/>
        <item x="531"/>
        <item x="289"/>
        <item x="1007"/>
        <item x="895"/>
        <item x="769"/>
        <item x="615"/>
        <item x="824"/>
        <item x="71"/>
        <item x="398"/>
        <item x="489"/>
        <item x="414"/>
        <item x="1052"/>
        <item x="577"/>
        <item x="311"/>
        <item x="129"/>
        <item x="1133"/>
        <item x="200"/>
        <item x="999"/>
        <item x="535"/>
        <item x="29"/>
        <item x="484"/>
        <item x="226"/>
        <item x="11"/>
        <item x="423"/>
        <item x="468"/>
        <item x="611"/>
        <item x="316"/>
        <item x="765"/>
        <item x="1035"/>
        <item x="1077"/>
        <item x="1205"/>
        <item x="1134"/>
        <item x="430"/>
        <item x="379"/>
        <item x="1154"/>
        <item x="464"/>
        <item x="1199"/>
        <item x="685"/>
        <item x="1151"/>
        <item x="63"/>
        <item x="74"/>
        <item x="544"/>
        <item x="1108"/>
        <item x="656"/>
        <item x="242"/>
        <item x="969"/>
        <item x="130"/>
        <item x="75"/>
        <item x="199"/>
        <item x="124"/>
        <item x="675"/>
        <item x="619"/>
        <item x="691"/>
        <item x="781"/>
        <item x="1049"/>
        <item x="1190"/>
        <item x="710"/>
        <item x="819"/>
        <item x="707"/>
        <item x="548"/>
        <item x="789"/>
        <item x="89"/>
        <item x="2"/>
        <item x="748"/>
        <item x="719"/>
        <item x="313"/>
        <item x="1177"/>
        <item x="459"/>
        <item x="62"/>
        <item x="441"/>
        <item x="747"/>
        <item x="331"/>
        <item x="110"/>
        <item x="882"/>
        <item x="245"/>
        <item x="1025"/>
        <item x="392"/>
        <item x="963"/>
        <item x="344"/>
        <item x="634"/>
        <item x="174"/>
        <item x="1220"/>
        <item x="929"/>
        <item x="716"/>
        <item x="1117"/>
        <item x="224"/>
        <item x="871"/>
        <item x="880"/>
        <item x="1038"/>
        <item x="1122"/>
        <item x="970"/>
        <item x="97"/>
        <item x="1142"/>
        <item x="308"/>
        <item x="390"/>
        <item x="184"/>
        <item x="546"/>
        <item x="573"/>
        <item x="478"/>
        <item x="7"/>
        <item x="839"/>
        <item x="660"/>
        <item x="439"/>
        <item x="1001"/>
        <item x="1051"/>
        <item x="504"/>
        <item x="122"/>
        <item x="900"/>
        <item x="964"/>
        <item x="541"/>
        <item x="1034"/>
        <item x="883"/>
        <item x="1099"/>
        <item x="763"/>
        <item x="1069"/>
        <item x="640"/>
        <item x="600"/>
        <item x="467"/>
        <item x="552"/>
        <item x="498"/>
        <item x="997"/>
        <item x="698"/>
        <item x="222"/>
        <item x="1056"/>
        <item x="365"/>
        <item x="766"/>
        <item x="894"/>
        <item x="679"/>
        <item x="120"/>
        <item x="8"/>
        <item x="852"/>
        <item x="949"/>
        <item x="923"/>
        <item x="907"/>
        <item x="146"/>
        <item x="1089"/>
        <item x="697"/>
        <item x="621"/>
        <item x="948"/>
        <item x="1105"/>
        <item x="1027"/>
        <item x="218"/>
        <item x="481"/>
        <item x="771"/>
        <item x="240"/>
        <item x="159"/>
        <item x="1110"/>
        <item x="121"/>
        <item x="1218"/>
        <item x="1026"/>
        <item x="371"/>
        <item x="59"/>
        <item x="549"/>
        <item x="454"/>
        <item x="1028"/>
        <item x="434"/>
        <item x="625"/>
        <item x="1178"/>
        <item x="431"/>
        <item x="996"/>
        <item x="1086"/>
        <item x="1010"/>
        <item x="497"/>
        <item x="514"/>
        <item x="424"/>
        <item x="613"/>
        <item x="543"/>
        <item x="792"/>
        <item x="251"/>
        <item x="223"/>
        <item x="1029"/>
        <item x="367"/>
        <item x="688"/>
        <item x="590"/>
        <item x="142"/>
        <item x="50"/>
        <item x="373"/>
        <item x="631"/>
        <item x="15"/>
        <item x="749"/>
        <item x="171"/>
        <item x="1109"/>
        <item x="703"/>
        <item x="1071"/>
        <item x="309"/>
        <item x="530"/>
        <item x="1170"/>
        <item x="18"/>
        <item x="28"/>
        <item x="427"/>
        <item x="416"/>
        <item x="1022"/>
        <item x="466"/>
        <item x="1070"/>
        <item x="1125"/>
        <item x="306"/>
        <item x="362"/>
        <item x="732"/>
        <item x="1101"/>
        <item x="262"/>
        <item x="1102"/>
        <item x="612"/>
        <item x="941"/>
        <item x="395"/>
        <item x="567"/>
        <item x="782"/>
        <item x="176"/>
        <item x="519"/>
        <item x="1162"/>
        <item x="945"/>
        <item x="185"/>
        <item x="66"/>
        <item x="581"/>
        <item x="736"/>
        <item x="1040"/>
        <item x="1120"/>
        <item x="432"/>
        <item x="257"/>
        <item x="812"/>
        <item x="451"/>
        <item x="116"/>
        <item x="246"/>
        <item x="1092"/>
        <item x="713"/>
        <item x="85"/>
        <item x="79"/>
        <item x="1145"/>
        <item x="315"/>
        <item x="661"/>
        <item x="775"/>
        <item x="81"/>
        <item x="630"/>
        <item x="592"/>
        <item x="569"/>
        <item x="1216"/>
        <item x="452"/>
        <item x="1194"/>
        <item x="1171"/>
        <item x="22"/>
        <item x="1186"/>
        <item x="575"/>
        <item x="888"/>
        <item x="508"/>
        <item x="220"/>
        <item x="134"/>
        <item x="253"/>
        <item x="638"/>
        <item x="914"/>
        <item x="277"/>
        <item x="87"/>
        <item x="4"/>
        <item x="864"/>
        <item x="462"/>
        <item x="206"/>
        <item x="310"/>
        <item x="187"/>
        <item x="785"/>
        <item x="885"/>
        <item x="503"/>
        <item x="681"/>
        <item x="928"/>
        <item x="288"/>
        <item x="393"/>
        <item x="1078"/>
        <item x="1143"/>
        <item x="312"/>
        <item x="800"/>
        <item x="143"/>
        <item x="1087"/>
        <item x="1091"/>
        <item x="981"/>
        <item x="473"/>
        <item x="88"/>
        <item x="175"/>
        <item x="438"/>
        <item x="1204"/>
        <item x="932"/>
        <item x="471"/>
        <item x="1203"/>
        <item x="1095"/>
        <item x="397"/>
        <item x="978"/>
        <item x="984"/>
        <item x="506"/>
        <item x="594"/>
        <item x="564"/>
        <item x="16"/>
        <item x="558"/>
        <item x="41"/>
        <item x="274"/>
        <item x="168"/>
        <item x="859"/>
        <item x="965"/>
        <item x="830"/>
        <item x="363"/>
        <item x="364"/>
        <item x="672"/>
        <item x="69"/>
        <item x="528"/>
        <item x="270"/>
        <item x="5"/>
        <item x="491"/>
        <item x="54"/>
        <item x="787"/>
        <item x="912"/>
        <item x="626"/>
        <item x="42"/>
        <item x="1149"/>
        <item x="618"/>
        <item x="658"/>
        <item x="157"/>
        <item x="378"/>
        <item x="487"/>
        <item x="842"/>
        <item x="213"/>
        <item x="1181"/>
        <item x="341"/>
        <item x="342"/>
        <item x="228"/>
        <item x="80"/>
        <item x="1036"/>
        <item x="853"/>
        <item x="172"/>
        <item x="829"/>
        <item x="1165"/>
        <item x="1075"/>
        <item x="917"/>
        <item x="490"/>
        <item x="307"/>
        <item x="848"/>
        <item x="252"/>
        <item x="856"/>
        <item x="1193"/>
        <item x="529"/>
        <item x="1096"/>
        <item x="57"/>
        <item x="1012"/>
        <item x="678"/>
        <item x="790"/>
        <item x="1032"/>
        <item x="752"/>
        <item x="674"/>
        <item x="817"/>
        <item x="1011"/>
        <item x="913"/>
        <item x="690"/>
        <item x="524"/>
        <item x="401"/>
        <item x="966"/>
        <item x="31"/>
        <item x="962"/>
        <item x="511"/>
        <item x="1019"/>
        <item x="539"/>
        <item x="58"/>
        <item x="955"/>
        <item x="114"/>
        <item x="250"/>
        <item x="696"/>
        <item x="729"/>
        <item x="689"/>
        <item x="330"/>
        <item x="346"/>
        <item x="1017"/>
        <item x="527"/>
        <item x="647"/>
        <item x="502"/>
        <item x="374"/>
        <item x="693"/>
        <item x="1003"/>
        <item x="76"/>
        <item x="179"/>
        <item x="208"/>
        <item x="723"/>
        <item x="727"/>
        <item x="335"/>
        <item x="284"/>
        <item x="36"/>
        <item x="721"/>
        <item x="741"/>
        <item x="876"/>
        <item x="413"/>
        <item x="1114"/>
        <item x="794"/>
        <item x="138"/>
        <item x="355"/>
        <item x="879"/>
        <item x="545"/>
        <item x="301"/>
        <item x="192"/>
        <item x="968"/>
        <item x="241"/>
        <item x="740"/>
        <item x="533"/>
        <item x="183"/>
        <item x="1197"/>
        <item x="387"/>
        <item x="77"/>
        <item x="891"/>
        <item x="795"/>
        <item x="9"/>
        <item x="669"/>
        <item x="6"/>
        <item x="65"/>
        <item x="96"/>
        <item x="51"/>
        <item x="287"/>
        <item x="642"/>
        <item x="444"/>
        <item x="706"/>
        <item x="186"/>
        <item x="1121"/>
        <item x="862"/>
        <item x="1014"/>
        <item x="509"/>
        <item x="136"/>
        <item x="486"/>
        <item x="1174"/>
        <item x="607"/>
        <item x="297"/>
        <item x="822"/>
        <item x="119"/>
        <item x="933"/>
        <item x="601"/>
        <item x="349"/>
        <item x="1063"/>
        <item x="717"/>
        <item x="283"/>
        <item x="728"/>
        <item x="818"/>
        <item x="190"/>
        <item x="959"/>
        <item x="254"/>
        <item x="743"/>
        <item x="898"/>
        <item x="768"/>
        <item x="1191"/>
        <item x="230"/>
        <item x="1097"/>
        <item x="791"/>
        <item x="958"/>
        <item x="724"/>
        <item x="1112"/>
        <item x="44"/>
        <item x="872"/>
        <item x="971"/>
        <item x="1138"/>
        <item x="1018"/>
        <item x="764"/>
        <item x="813"/>
        <item x="961"/>
        <item x="677"/>
        <item x="935"/>
        <item x="1184"/>
        <item x="178"/>
        <item x="477"/>
        <item x="420"/>
        <item x="131"/>
        <item x="1132"/>
        <item x="1152"/>
        <item x="235"/>
        <item x="893"/>
        <item x="884"/>
        <item x="1041"/>
        <item x="286"/>
        <item x="750"/>
        <item x="735"/>
        <item x="383"/>
        <item x="692"/>
        <item x="391"/>
        <item x="103"/>
        <item x="944"/>
        <item x="760"/>
        <item x="1002"/>
        <item x="774"/>
        <item x="680"/>
        <item x="1094"/>
        <item x="493"/>
        <item x="1020"/>
        <item x="211"/>
        <item x="338"/>
        <item x="739"/>
        <item x="870"/>
        <item x="375"/>
        <item x="1160"/>
        <item x="271"/>
        <item x="555"/>
        <item x="47"/>
        <item x="412"/>
        <item x="988"/>
        <item x="950"/>
        <item x="773"/>
        <item x="492"/>
        <item x="985"/>
        <item x="1008"/>
        <item x="166"/>
        <item x="360"/>
        <item x="201"/>
        <item x="123"/>
        <item x="1106"/>
        <item x="980"/>
        <item x="261"/>
        <item x="1076"/>
        <item x="617"/>
        <item x="556"/>
        <item x="836"/>
        <item x="1082"/>
        <item x="627"/>
        <item x="429"/>
        <item x="745"/>
        <item x="78"/>
        <item x="922"/>
        <item x="835"/>
        <item x="505"/>
        <item x="1072"/>
        <item x="1161"/>
        <item x="772"/>
        <item x="126"/>
        <item x="98"/>
        <item x="402"/>
        <item x="989"/>
        <item x="938"/>
        <item x="718"/>
        <item x="100"/>
        <item x="943"/>
        <item x="1085"/>
        <item x="1211"/>
        <item x="209"/>
        <item x="1"/>
        <item x="34"/>
        <item x="936"/>
        <item x="837"/>
        <item x="507"/>
        <item x="664"/>
        <item x="275"/>
        <item x="496"/>
        <item x="762"/>
        <item x="947"/>
        <item x="55"/>
        <item x="737"/>
        <item x="1219"/>
        <item x="673"/>
        <item x="345"/>
        <item x="1016"/>
        <item x="64"/>
        <item x="411"/>
        <item x="13"/>
        <item x="334"/>
        <item x="832"/>
        <item x="770"/>
        <item x="599"/>
        <item x="946"/>
        <item x="324"/>
        <item x="1044"/>
        <item x="475"/>
        <item x="21"/>
        <item x="40"/>
        <item x="244"/>
        <item x="207"/>
        <item x="263"/>
        <item x="574"/>
        <item x="99"/>
        <item x="205"/>
        <item x="722"/>
        <item x="1141"/>
        <item x="1129"/>
        <item x="1127"/>
        <item x="1147"/>
        <item x="258"/>
        <item x="542"/>
        <item x="784"/>
        <item x="665"/>
        <item x="296"/>
        <item x="591"/>
        <item x="426"/>
        <item x="472"/>
        <item x="445"/>
        <item x="903"/>
        <item x="46"/>
        <item x="1005"/>
        <item x="562"/>
        <item x="915"/>
        <item x="1159"/>
        <item x="589"/>
        <item x="890"/>
        <item x="1046"/>
        <item x="586"/>
        <item x="1119"/>
        <item x="873"/>
        <item x="761"/>
        <item x="843"/>
        <item x="1033"/>
        <item x="469"/>
        <item x="169"/>
        <item x="1050"/>
        <item x="113"/>
        <item x="158"/>
        <item x="1195"/>
        <item x="354"/>
        <item x="260"/>
        <item x="248"/>
        <item x="863"/>
        <item x="1146"/>
        <item x="650"/>
        <item x="408"/>
        <item x="340"/>
        <item x="92"/>
        <item x="563"/>
        <item x="336"/>
        <item x="902"/>
        <item x="173"/>
        <item x="956"/>
        <item x="840"/>
        <item x="1172"/>
        <item x="1215"/>
        <item x="982"/>
        <item x="909"/>
        <item x="641"/>
        <item x="82"/>
        <item x="648"/>
        <item x="233"/>
        <item x="1201"/>
        <item x="293"/>
        <item x="319"/>
        <item x="808"/>
        <item x="547"/>
        <item x="273"/>
        <item x="513"/>
        <item x="37"/>
        <item x="538"/>
        <item x="804"/>
        <item x="406"/>
        <item x="295"/>
        <item x="153"/>
        <item x="227"/>
        <item x="1158"/>
        <item x="1081"/>
        <item x="1189"/>
        <item x="43"/>
        <item x="500"/>
        <item x="269"/>
        <item x="532"/>
        <item x="33"/>
        <item x="994"/>
        <item x="105"/>
        <item x="585"/>
        <item x="742"/>
        <item x="108"/>
        <item x="1179"/>
        <item x="405"/>
        <item x="1118"/>
        <item x="861"/>
        <item x="127"/>
        <item x="699"/>
        <item x="738"/>
        <item x="117"/>
        <item x="756"/>
        <item x="323"/>
        <item x="926"/>
        <item x="1212"/>
        <item x="510"/>
        <item x="267"/>
        <item x="899"/>
        <item x="3"/>
        <item x="711"/>
        <item x="551"/>
        <item x="526"/>
        <item x="911"/>
        <item x="366"/>
        <item x="778"/>
        <item x="889"/>
        <item x="646"/>
        <item x="704"/>
        <item x="321"/>
        <item x="651"/>
        <item x="1213"/>
        <item x="280"/>
        <item x="776"/>
        <item x="714"/>
        <item x="927"/>
        <item x="106"/>
        <item x="951"/>
        <item x="1192"/>
        <item x="565"/>
        <item x="886"/>
        <item x="568"/>
        <item x="1208"/>
        <item x="1079"/>
        <item x="404"/>
        <item x="1137"/>
        <item x="1090"/>
        <item x="437"/>
        <item x="644"/>
        <item x="91"/>
        <item x="841"/>
        <item x="667"/>
        <item x="759"/>
        <item x="708"/>
        <item x="399"/>
        <item x="588"/>
        <item x="731"/>
        <item x="327"/>
        <item x="268"/>
        <item x="910"/>
        <item x="1084"/>
        <item x="102"/>
        <item x="1098"/>
        <item x="247"/>
        <item x="838"/>
        <item x="925"/>
        <item x="584"/>
        <item x="1031"/>
        <item x="457"/>
        <item x="897"/>
        <item x="232"/>
        <item x="1157"/>
        <item x="610"/>
        <item x="653"/>
        <item x="798"/>
        <item x="12"/>
        <item x="1064"/>
        <item x="1074"/>
        <item x="191"/>
        <item x="322"/>
        <item x="304"/>
        <item x="181"/>
        <item x="1059"/>
        <item x="255"/>
        <item x="111"/>
        <item x="1107"/>
        <item x="869"/>
        <item x="522"/>
        <item x="394"/>
        <item x="276"/>
        <item x="796"/>
        <item x="259"/>
        <item x="779"/>
        <item x="318"/>
        <item x="780"/>
        <item x="167"/>
        <item x="825"/>
        <item x="328"/>
        <item x="1210"/>
        <item x="520"/>
        <item x="480"/>
        <item x="518"/>
        <item x="396"/>
        <item x="757"/>
        <item x="939"/>
        <item x="807"/>
        <item x="797"/>
        <item x="687"/>
        <item x="570"/>
        <item x="440"/>
        <item x="623"/>
        <item x="256"/>
        <item x="931"/>
        <item x="940"/>
        <item x="299"/>
        <item x="1067"/>
        <item x="463"/>
        <item x="53"/>
        <item x="1126"/>
        <item x="954"/>
        <item x="858"/>
        <item x="587"/>
        <item x="372"/>
        <item x="540"/>
        <item x="1173"/>
        <item x="979"/>
        <item x="937"/>
        <item x="236"/>
        <item x="196"/>
        <item x="1139"/>
        <item x="180"/>
        <item x="337"/>
        <item x="1048"/>
        <item x="229"/>
        <item x="1156"/>
        <item x="733"/>
        <item x="272"/>
        <item x="101"/>
        <item x="1015"/>
        <item x="125"/>
        <item x="654"/>
        <item x="1150"/>
        <item x="517"/>
        <item x="1176"/>
        <item x="1068"/>
        <item x="1207"/>
        <item x="726"/>
        <item x="156"/>
        <item x="380"/>
        <item x="1066"/>
        <item x="1004"/>
        <item x="410"/>
        <item x="579"/>
        <item x="115"/>
        <item x="1073"/>
        <item x="991"/>
        <item x="84"/>
        <item x="918"/>
        <item x="755"/>
        <item x="566"/>
        <item x="974"/>
        <item x="24"/>
        <item x="317"/>
        <item x="1047"/>
        <item x="559"/>
        <item x="578"/>
        <item x="377"/>
        <item x="857"/>
        <item x="844"/>
        <item x="325"/>
        <item x="986"/>
        <item x="583"/>
        <item x="285"/>
        <item x="957"/>
        <item x="906"/>
        <item x="326"/>
        <item x="453"/>
        <item x="435"/>
        <item x="32"/>
        <item x="133"/>
        <item x="901"/>
        <item x="887"/>
        <item x="83"/>
        <item x="291"/>
        <item x="866"/>
        <item x="1209"/>
        <item x="744"/>
        <item x="419"/>
        <item x="1202"/>
        <item x="712"/>
      </items>
    </pivotField>
    <pivotField axis="axisCol" multipleItemSelectionAllowed="1" showAll="0" defaultSubtotal="0">
      <items count="13">
        <item h="1" x="4"/>
        <item h="1" x="3"/>
        <item h="1" x="11"/>
        <item h="1" x="9"/>
        <item x="12"/>
        <item x="8"/>
        <item x="2"/>
        <item x="5"/>
        <item x="6"/>
        <item x="7"/>
        <item x="0"/>
        <item x="1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sortType="ascending" defaultSubtotal="0">
      <items count="111">
        <item x="66"/>
        <item x="28"/>
        <item x="31"/>
        <item x="54"/>
        <item x="14"/>
        <item x="109"/>
        <item x="10"/>
        <item x="71"/>
        <item x="19"/>
        <item x="82"/>
        <item x="96"/>
        <item x="67"/>
        <item x="59"/>
        <item x="21"/>
        <item x="80"/>
        <item x="35"/>
        <item x="17"/>
        <item x="100"/>
        <item x="33"/>
        <item x="72"/>
        <item x="73"/>
        <item x="88"/>
        <item x="44"/>
        <item x="38"/>
        <item x="74"/>
        <item x="89"/>
        <item x="34"/>
        <item x="103"/>
        <item x="7"/>
        <item x="40"/>
        <item x="69"/>
        <item x="32"/>
        <item x="0"/>
        <item x="26"/>
        <item x="18"/>
        <item x="58"/>
        <item x="78"/>
        <item x="97"/>
        <item x="106"/>
        <item x="27"/>
        <item x="13"/>
        <item x="11"/>
        <item x="29"/>
        <item x="4"/>
        <item x="84"/>
        <item x="102"/>
        <item x="60"/>
        <item x="64"/>
        <item x="92"/>
        <item x="81"/>
        <item x="47"/>
        <item x="39"/>
        <item x="6"/>
        <item x="25"/>
        <item x="68"/>
        <item x="76"/>
        <item x="77"/>
        <item x="93"/>
        <item x="50"/>
        <item x="5"/>
        <item x="107"/>
        <item x="86"/>
        <item x="75"/>
        <item x="36"/>
        <item x="90"/>
        <item x="52"/>
        <item x="83"/>
        <item x="85"/>
        <item x="23"/>
        <item h="1" x="2"/>
        <item x="16"/>
        <item x="101"/>
        <item x="53"/>
        <item x="55"/>
        <item x="51"/>
        <item x="3"/>
        <item x="70"/>
        <item x="108"/>
        <item x="57"/>
        <item x="9"/>
        <item x="15"/>
        <item x="42"/>
        <item x="1"/>
        <item x="20"/>
        <item x="87"/>
        <item x="63"/>
        <item x="24"/>
        <item x="98"/>
        <item x="61"/>
        <item x="99"/>
        <item x="46"/>
        <item x="104"/>
        <item x="8"/>
        <item x="43"/>
        <item x="110"/>
        <item x="105"/>
        <item x="45"/>
        <item x="91"/>
        <item x="56"/>
        <item x="49"/>
        <item x="41"/>
        <item x="37"/>
        <item x="12"/>
        <item x="30"/>
        <item x="95"/>
        <item x="94"/>
        <item x="48"/>
        <item x="22"/>
        <item x="62"/>
        <item x="65"/>
        <item x="79"/>
      </items>
    </pivotField>
    <pivotField showAll="0" defaultSubtotal="0"/>
    <pivotField showAll="0" sortType="descending" defaultSubtotal="0">
      <items count="14">
        <item x="12"/>
        <item x="5"/>
        <item x="0"/>
        <item x="1"/>
        <item x="10"/>
        <item x="7"/>
        <item x="13"/>
        <item x="8"/>
        <item x="2"/>
        <item x="4"/>
        <item x="6"/>
        <item x="9"/>
        <item x="11"/>
        <item x="3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1" count="1" selected="0">
              <x v="0"/>
            </reference>
          </references>
        </pivotArea>
      </autoSortScope>
    </pivotField>
    <pivotField showAll="0" defaultSubtotal="0"/>
    <pivotField axis="axisPage" showAll="0" defaultSubtotal="0">
      <items count="4">
        <item n="TIENDAS" sd="0" x="0"/>
        <item n="TIENDAS VIRTUALES" sd="0" x="2"/>
        <item n="TLV" sd="0" x="3"/>
        <item n="No asignado" sd="0"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showAll="0" defaultSubtotal="0">
      <items count="3">
        <item n="No cartera" x="2"/>
        <item n="Cartera"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dragToRow="0" dragToCol="0" dragToPage="0" showAll="0" defaultSubtotal="0"/>
  </pivotFields>
  <rowFields count="1">
    <field x="17"/>
  </rowFields>
  <rowItems count="9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20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8"/>
    </i>
    <i>
      <x v="70"/>
    </i>
    <i>
      <x v="71"/>
    </i>
    <i>
      <x v="72"/>
    </i>
    <i>
      <x v="73"/>
    </i>
    <i>
      <x v="74"/>
    </i>
    <i>
      <x v="76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5"/>
    </i>
    <i>
      <x v="96"/>
    </i>
    <i>
      <x v="98"/>
    </i>
    <i>
      <x v="99"/>
    </i>
    <i>
      <x v="100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Fields count="1">
    <field x="1"/>
  </colFields>
  <colItems count="9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3">
    <pageField fld="21" hier="-1"/>
    <pageField fld="0" hier="-1"/>
    <pageField fld="29" hier="-1"/>
  </pageFields>
  <dataFields count="1">
    <dataField name="Cuenta de SALDO_CANCELADO" fld="8" subtotal="count" baseField="17" baseItem="53"/>
  </dataFields>
  <formats count="3">
    <format dxfId="8">
      <pivotArea outline="0" collapsedLevelsAreSubtotals="1" fieldPosition="0"/>
    </format>
    <format dxfId="3">
      <pivotArea collapsedLevelsAreSubtotals="1" fieldPosition="0">
        <references count="1">
          <reference field="17" count="1">
            <x v="51"/>
          </reference>
        </references>
      </pivotArea>
    </format>
    <format dxfId="2">
      <pivotArea dataOnly="0" labelOnly="1" fieldPosition="0">
        <references count="1">
          <reference field="17" count="1">
            <x v="5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826CD-FDC8-41B4-93C7-4F7ED950796E}" name="TablaDinámica12" cacheId="1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S102:AB117" firstHeaderRow="1" firstDataRow="2" firstDataCol="1" rowPageCount="2" colPageCount="1"/>
  <pivotFields count="42">
    <pivotField showAll="0" defaultSubtotal="0"/>
    <pivotField axis="axisCol" multipleItemSelectionAllowed="1" showAll="0" defaultSubtotal="0">
      <items count="13">
        <item h="1" x="4"/>
        <item h="1" x="3"/>
        <item h="1" x="11"/>
        <item h="1" x="9"/>
        <item x="12"/>
        <item x="8"/>
        <item x="2"/>
        <item x="5"/>
        <item x="6"/>
        <item x="7"/>
        <item x="0"/>
        <item x="1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sortType="ascending" defaultSubtotal="0">
      <items count="14">
        <item x="12"/>
        <item x="5"/>
        <item x="0"/>
        <item x="1"/>
        <item x="10"/>
        <item x="7"/>
        <item x="13"/>
        <item x="8"/>
        <item h="1" x="2"/>
        <item x="4"/>
        <item x="6"/>
        <item x="9"/>
        <item x="11"/>
        <item x="3"/>
      </items>
    </pivotField>
    <pivotField showAll="0" defaultSubtotal="0"/>
    <pivotField axis="axisPage" showAll="0" defaultSubtotal="0">
      <items count="4">
        <item n="TIENDAS" sd="0" x="0"/>
        <item n="TIENDAS VIRTUALES" sd="0" x="2"/>
        <item n="TLV" sd="0" x="3"/>
        <item n="No asignado" sd="0"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showAll="0" defaultSubtotal="0">
      <items count="3">
        <item n="No cartera" x="2"/>
        <item n="Cartera"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dragToRow="0" dragToCol="0" dragToPage="0" showAll="0" defaultSubtotal="0"/>
  </pivotFields>
  <rowFields count="1">
    <field x="1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9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2">
    <pageField fld="29" hier="-1"/>
    <pageField fld="21" hier="-1"/>
  </pageFields>
  <dataFields count="1">
    <dataField name="Cuenta de SALDO_CANCELADO" fld="8" subtotal="count" baseField="0" baseItem="0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44869-007E-4E8A-9429-F7BEBBB31322}" name="TablaDinámica11" cacheId="1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H102:Q117" firstHeaderRow="1" firstDataRow="2" firstDataCol="1" rowPageCount="2" colPageCount="1"/>
  <pivotFields count="42">
    <pivotField showAll="0" defaultSubtotal="0"/>
    <pivotField axis="axisCol" multipleItemSelectionAllowed="1" showAll="0" defaultSubtotal="0">
      <items count="13">
        <item h="1" x="4"/>
        <item h="1" x="3"/>
        <item h="1" x="11"/>
        <item h="1" x="9"/>
        <item x="12"/>
        <item x="8"/>
        <item x="2"/>
        <item x="5"/>
        <item x="6"/>
        <item x="7"/>
        <item x="0"/>
        <item x="1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sortType="ascending" defaultSubtotal="0">
      <items count="14">
        <item x="12"/>
        <item x="5"/>
        <item x="0"/>
        <item x="1"/>
        <item x="10"/>
        <item x="7"/>
        <item x="13"/>
        <item x="8"/>
        <item h="1" x="2"/>
        <item x="4"/>
        <item x="6"/>
        <item x="9"/>
        <item x="11"/>
        <item x="3"/>
      </items>
    </pivotField>
    <pivotField showAll="0" defaultSubtotal="0"/>
    <pivotField axis="axisPage" showAll="0" defaultSubtotal="0">
      <items count="4">
        <item n="TIENDAS" sd="0" x="0"/>
        <item n="TIENDAS VIRTUALES" sd="0" x="2"/>
        <item n="TLV" sd="0" x="3"/>
        <item n="No asignado" sd="0"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showAll="0" defaultSubtotal="0">
      <items count="3">
        <item n="No cartera" x="2"/>
        <item n="Cartera"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dragToRow="0" dragToCol="0" dragToPage="0" showAll="0" defaultSubtotal="0"/>
  </pivotFields>
  <rowFields count="1">
    <field x="1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9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2">
    <pageField fld="29" hier="-1"/>
    <pageField fld="21" hier="-1"/>
  </pageFields>
  <dataFields count="1">
    <dataField name="Suma de SALDO_CANCELADO" fld="8" baseField="19" baseItem="3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A0926-FD4A-43B6-BF49-7ADE17E52910}" name="TablaDinámica10" cacheId="1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138:J234" firstHeaderRow="1" firstDataRow="2" firstDataCol="1" rowPageCount="3" colPageCount="1"/>
  <pivotFields count="42">
    <pivotField axis="axisPage" showAll="0" defaultSubtotal="0">
      <items count="1221">
        <item x="973"/>
        <item x="333"/>
        <item x="632"/>
        <item x="1061"/>
        <item x="30"/>
        <item x="670"/>
        <item x="501"/>
        <item x="1080"/>
        <item x="193"/>
        <item x="1188"/>
        <item x="149"/>
        <item x="668"/>
        <item x="682"/>
        <item x="521"/>
        <item x="534"/>
        <item x="820"/>
        <item x="1062"/>
        <item x="960"/>
        <item x="1168"/>
        <item x="1088"/>
        <item x="135"/>
        <item x="636"/>
        <item x="655"/>
        <item x="279"/>
        <item x="225"/>
        <item x="730"/>
        <item x="170"/>
        <item x="821"/>
        <item x="17"/>
        <item x="786"/>
        <item x="1023"/>
        <item x="231"/>
        <item x="801"/>
        <item x="94"/>
        <item x="264"/>
        <item x="177"/>
        <item x="777"/>
        <item x="298"/>
        <item x="1135"/>
        <item x="151"/>
        <item x="1055"/>
        <item x="409"/>
        <item x="702"/>
        <item x="433"/>
        <item x="751"/>
        <item x="198"/>
        <item x="560"/>
        <item x="557"/>
        <item x="663"/>
        <item x="629"/>
        <item x="385"/>
        <item x="860"/>
        <item x="1130"/>
        <item x="605"/>
        <item x="846"/>
        <item x="73"/>
        <item x="854"/>
        <item x="214"/>
        <item x="417"/>
        <item x="983"/>
        <item x="67"/>
        <item x="905"/>
        <item x="294"/>
        <item x="446"/>
        <item x="483"/>
        <item x="924"/>
        <item x="305"/>
        <item x="802"/>
        <item x="1045"/>
        <item x="598"/>
        <item x="659"/>
        <item x="381"/>
        <item x="995"/>
        <item x="1206"/>
        <item x="827"/>
        <item x="1187"/>
        <item x="1024"/>
        <item x="358"/>
        <item x="826"/>
        <item x="425"/>
        <item x="998"/>
        <item x="720"/>
        <item x="1136"/>
        <item x="1093"/>
        <item x="1153"/>
        <item x="834"/>
        <item x="137"/>
        <item x="234"/>
        <item x="695"/>
        <item x="639"/>
        <item x="292"/>
        <item x="56"/>
        <item x="162"/>
        <item x="23"/>
        <item x="25"/>
        <item x="147"/>
        <item x="386"/>
        <item x="1164"/>
        <item x="788"/>
        <item x="314"/>
        <item x="458"/>
        <item x="616"/>
        <item x="1057"/>
        <item x="238"/>
        <item x="1123"/>
        <item x="576"/>
        <item x="415"/>
        <item x="70"/>
        <item x="407"/>
        <item x="847"/>
        <item x="450"/>
        <item x="783"/>
        <item x="353"/>
        <item x="604"/>
        <item x="10"/>
        <item x="606"/>
        <item x="449"/>
        <item x="281"/>
        <item x="649"/>
        <item x="753"/>
        <item x="1169"/>
        <item x="643"/>
        <item x="709"/>
        <item x="368"/>
        <item x="1103"/>
        <item x="877"/>
        <item x="831"/>
        <item x="14"/>
        <item x="921"/>
        <item x="1115"/>
        <item x="767"/>
        <item x="52"/>
        <item x="881"/>
        <item x="715"/>
        <item x="1144"/>
        <item x="571"/>
        <item x="282"/>
        <item x="400"/>
        <item x="624"/>
        <item x="352"/>
        <item x="637"/>
        <item x="1065"/>
        <item x="212"/>
        <item x="1009"/>
        <item x="197"/>
        <item x="1196"/>
        <item x="823"/>
        <item x="602"/>
        <item x="215"/>
        <item x="593"/>
        <item x="161"/>
        <item x="369"/>
        <item x="645"/>
        <item x="348"/>
        <item x="384"/>
        <item x="904"/>
        <item x="351"/>
        <item x="95"/>
        <item x="572"/>
        <item x="203"/>
        <item x="799"/>
        <item x="849"/>
        <item x="1148"/>
        <item x="290"/>
        <item x="676"/>
        <item x="553"/>
        <item x="447"/>
        <item x="428"/>
        <item x="657"/>
        <item x="805"/>
        <item x="550"/>
        <item x="816"/>
        <item x="421"/>
        <item x="595"/>
        <item x="403"/>
        <item x="107"/>
        <item x="104"/>
        <item x="35"/>
        <item x="165"/>
        <item x="494"/>
        <item x="1113"/>
        <item x="754"/>
        <item x="332"/>
        <item x="382"/>
        <item x="934"/>
        <item x="443"/>
        <item x="845"/>
        <item x="815"/>
        <item x="266"/>
        <item x="993"/>
        <item x="278"/>
        <item x="461"/>
        <item x="109"/>
        <item x="302"/>
        <item x="1060"/>
        <item x="442"/>
        <item x="705"/>
        <item x="359"/>
        <item x="39"/>
        <item x="189"/>
        <item x="976"/>
        <item x="855"/>
        <item x="1124"/>
        <item x="479"/>
        <item x="633"/>
        <item x="603"/>
        <item x="833"/>
        <item x="666"/>
        <item x="972"/>
        <item x="19"/>
        <item x="1167"/>
        <item x="1183"/>
        <item x="456"/>
        <item x="455"/>
        <item x="361"/>
        <item x="975"/>
        <item x="140"/>
        <item x="811"/>
        <item x="536"/>
        <item x="38"/>
        <item x="48"/>
        <item x="1128"/>
        <item x="1043"/>
        <item x="1058"/>
        <item x="515"/>
        <item x="523"/>
        <item x="243"/>
        <item x="1182"/>
        <item x="1140"/>
        <item x="60"/>
        <item x="734"/>
        <item x="139"/>
        <item x="343"/>
        <item x="470"/>
        <item x="339"/>
        <item x="460"/>
        <item x="814"/>
        <item x="916"/>
        <item x="90"/>
        <item x="495"/>
        <item x="874"/>
        <item x="1200"/>
        <item x="329"/>
        <item x="1013"/>
        <item x="967"/>
        <item x="525"/>
        <item x="1039"/>
        <item x="474"/>
        <item x="164"/>
        <item x="652"/>
        <item x="942"/>
        <item x="1163"/>
        <item x="1006"/>
        <item x="608"/>
        <item x="992"/>
        <item x="1042"/>
        <item x="1000"/>
        <item x="26"/>
        <item x="144"/>
        <item x="155"/>
        <item x="596"/>
        <item x="1166"/>
        <item x="210"/>
        <item x="217"/>
        <item x="920"/>
        <item x="850"/>
        <item x="512"/>
        <item x="148"/>
        <item x="356"/>
        <item x="418"/>
        <item x="219"/>
        <item x="388"/>
        <item x="118"/>
        <item x="878"/>
        <item x="990"/>
        <item x="465"/>
        <item x="1021"/>
        <item x="810"/>
        <item x="436"/>
        <item x="1175"/>
        <item x="1180"/>
        <item x="896"/>
        <item x="49"/>
        <item x="614"/>
        <item x="609"/>
        <item x="580"/>
        <item x="448"/>
        <item x="163"/>
        <item x="347"/>
        <item x="977"/>
        <item x="499"/>
        <item x="237"/>
        <item x="554"/>
        <item x="132"/>
        <item x="0"/>
        <item x="194"/>
        <item x="683"/>
        <item x="370"/>
        <item x="188"/>
        <item x="1111"/>
        <item x="953"/>
        <item x="141"/>
        <item x="868"/>
        <item x="806"/>
        <item x="620"/>
        <item x="1198"/>
        <item x="908"/>
        <item x="389"/>
        <item x="182"/>
        <item x="987"/>
        <item x="1185"/>
        <item x="952"/>
        <item x="1217"/>
        <item x="1100"/>
        <item x="1155"/>
        <item x="303"/>
        <item x="145"/>
        <item x="221"/>
        <item x="1214"/>
        <item x="662"/>
        <item x="919"/>
        <item x="828"/>
        <item x="635"/>
        <item x="265"/>
        <item x="793"/>
        <item x="746"/>
        <item x="152"/>
        <item x="204"/>
        <item x="684"/>
        <item x="1131"/>
        <item x="1083"/>
        <item x="45"/>
        <item x="488"/>
        <item x="516"/>
        <item x="216"/>
        <item x="93"/>
        <item x="86"/>
        <item x="61"/>
        <item x="1030"/>
        <item x="875"/>
        <item x="154"/>
        <item x="628"/>
        <item x="300"/>
        <item x="561"/>
        <item x="892"/>
        <item x="725"/>
        <item x="249"/>
        <item x="239"/>
        <item x="851"/>
        <item x="701"/>
        <item x="476"/>
        <item x="482"/>
        <item x="671"/>
        <item x="1054"/>
        <item x="597"/>
        <item x="758"/>
        <item x="1116"/>
        <item x="202"/>
        <item x="357"/>
        <item x="195"/>
        <item x="160"/>
        <item x="112"/>
        <item x="582"/>
        <item x="803"/>
        <item x="537"/>
        <item x="622"/>
        <item x="1053"/>
        <item x="422"/>
        <item x="376"/>
        <item x="1037"/>
        <item x="128"/>
        <item x="809"/>
        <item x="72"/>
        <item x="150"/>
        <item x="865"/>
        <item x="930"/>
        <item x="1104"/>
        <item x="320"/>
        <item x="350"/>
        <item x="686"/>
        <item x="20"/>
        <item x="867"/>
        <item x="485"/>
        <item x="694"/>
        <item x="700"/>
        <item x="68"/>
        <item x="27"/>
        <item x="531"/>
        <item x="289"/>
        <item x="1007"/>
        <item x="895"/>
        <item x="769"/>
        <item x="615"/>
        <item x="824"/>
        <item x="71"/>
        <item x="398"/>
        <item x="489"/>
        <item x="414"/>
        <item x="1052"/>
        <item x="577"/>
        <item x="311"/>
        <item x="129"/>
        <item x="1133"/>
        <item x="200"/>
        <item x="999"/>
        <item x="535"/>
        <item x="29"/>
        <item x="484"/>
        <item x="226"/>
        <item x="11"/>
        <item x="423"/>
        <item x="468"/>
        <item x="611"/>
        <item x="316"/>
        <item x="765"/>
        <item x="1035"/>
        <item x="1077"/>
        <item x="1205"/>
        <item x="1134"/>
        <item x="430"/>
        <item x="379"/>
        <item x="1154"/>
        <item x="464"/>
        <item x="1199"/>
        <item x="685"/>
        <item x="1151"/>
        <item x="63"/>
        <item x="74"/>
        <item x="544"/>
        <item x="1108"/>
        <item x="656"/>
        <item x="242"/>
        <item x="969"/>
        <item x="130"/>
        <item x="75"/>
        <item x="199"/>
        <item x="124"/>
        <item x="675"/>
        <item x="619"/>
        <item x="691"/>
        <item x="781"/>
        <item x="1049"/>
        <item x="1190"/>
        <item x="710"/>
        <item x="819"/>
        <item x="707"/>
        <item x="548"/>
        <item x="789"/>
        <item x="89"/>
        <item x="2"/>
        <item x="748"/>
        <item x="719"/>
        <item x="313"/>
        <item x="1177"/>
        <item x="459"/>
        <item x="62"/>
        <item x="441"/>
        <item x="747"/>
        <item x="331"/>
        <item x="110"/>
        <item x="882"/>
        <item x="245"/>
        <item x="1025"/>
        <item x="392"/>
        <item x="963"/>
        <item x="344"/>
        <item x="634"/>
        <item x="174"/>
        <item x="1220"/>
        <item x="929"/>
        <item x="716"/>
        <item x="1117"/>
        <item x="224"/>
        <item x="871"/>
        <item x="880"/>
        <item x="1038"/>
        <item x="1122"/>
        <item x="970"/>
        <item x="97"/>
        <item x="1142"/>
        <item x="308"/>
        <item x="390"/>
        <item x="184"/>
        <item x="546"/>
        <item x="573"/>
        <item x="478"/>
        <item x="7"/>
        <item x="839"/>
        <item x="660"/>
        <item x="439"/>
        <item x="1001"/>
        <item x="1051"/>
        <item x="504"/>
        <item x="122"/>
        <item x="900"/>
        <item x="964"/>
        <item x="541"/>
        <item x="1034"/>
        <item x="883"/>
        <item x="1099"/>
        <item x="763"/>
        <item x="1069"/>
        <item x="640"/>
        <item x="600"/>
        <item x="467"/>
        <item x="552"/>
        <item x="498"/>
        <item x="997"/>
        <item x="698"/>
        <item x="222"/>
        <item x="1056"/>
        <item x="365"/>
        <item x="766"/>
        <item x="894"/>
        <item x="679"/>
        <item x="120"/>
        <item x="8"/>
        <item x="852"/>
        <item x="949"/>
        <item x="923"/>
        <item x="907"/>
        <item x="146"/>
        <item x="1089"/>
        <item x="697"/>
        <item x="621"/>
        <item x="948"/>
        <item x="1105"/>
        <item x="1027"/>
        <item x="218"/>
        <item x="481"/>
        <item x="771"/>
        <item x="240"/>
        <item x="159"/>
        <item x="1110"/>
        <item x="121"/>
        <item x="1218"/>
        <item x="1026"/>
        <item x="371"/>
        <item x="59"/>
        <item x="549"/>
        <item x="454"/>
        <item x="1028"/>
        <item x="434"/>
        <item x="625"/>
        <item x="1178"/>
        <item x="431"/>
        <item x="996"/>
        <item x="1086"/>
        <item x="1010"/>
        <item x="497"/>
        <item x="514"/>
        <item x="424"/>
        <item x="613"/>
        <item x="543"/>
        <item x="792"/>
        <item x="251"/>
        <item x="223"/>
        <item x="1029"/>
        <item x="367"/>
        <item x="688"/>
        <item x="590"/>
        <item x="142"/>
        <item x="50"/>
        <item x="373"/>
        <item x="631"/>
        <item x="15"/>
        <item x="749"/>
        <item x="171"/>
        <item x="1109"/>
        <item x="703"/>
        <item x="1071"/>
        <item x="309"/>
        <item x="530"/>
        <item x="1170"/>
        <item x="18"/>
        <item x="28"/>
        <item x="427"/>
        <item x="416"/>
        <item x="1022"/>
        <item x="466"/>
        <item x="1070"/>
        <item x="1125"/>
        <item x="306"/>
        <item x="362"/>
        <item x="732"/>
        <item x="1101"/>
        <item x="262"/>
        <item x="1102"/>
        <item x="612"/>
        <item x="941"/>
        <item x="395"/>
        <item x="567"/>
        <item x="782"/>
        <item x="176"/>
        <item x="519"/>
        <item x="1162"/>
        <item x="945"/>
        <item x="185"/>
        <item x="66"/>
        <item x="581"/>
        <item x="736"/>
        <item x="1040"/>
        <item x="1120"/>
        <item x="432"/>
        <item x="257"/>
        <item x="812"/>
        <item x="451"/>
        <item x="116"/>
        <item x="246"/>
        <item x="1092"/>
        <item x="713"/>
        <item x="85"/>
        <item x="79"/>
        <item x="1145"/>
        <item x="315"/>
        <item x="661"/>
        <item x="775"/>
        <item x="81"/>
        <item x="630"/>
        <item x="592"/>
        <item x="569"/>
        <item x="1216"/>
        <item x="452"/>
        <item x="1194"/>
        <item x="1171"/>
        <item x="22"/>
        <item x="1186"/>
        <item x="575"/>
        <item x="888"/>
        <item x="508"/>
        <item x="220"/>
        <item x="134"/>
        <item x="253"/>
        <item x="638"/>
        <item x="914"/>
        <item x="277"/>
        <item x="87"/>
        <item x="4"/>
        <item x="864"/>
        <item x="462"/>
        <item x="206"/>
        <item x="310"/>
        <item x="187"/>
        <item x="785"/>
        <item x="885"/>
        <item x="503"/>
        <item x="681"/>
        <item x="928"/>
        <item x="288"/>
        <item x="393"/>
        <item x="1078"/>
        <item x="1143"/>
        <item x="312"/>
        <item x="800"/>
        <item x="143"/>
        <item x="1087"/>
        <item x="1091"/>
        <item x="981"/>
        <item x="473"/>
        <item x="88"/>
        <item x="175"/>
        <item x="438"/>
        <item x="1204"/>
        <item x="932"/>
        <item x="471"/>
        <item x="1203"/>
        <item x="1095"/>
        <item x="397"/>
        <item x="978"/>
        <item x="984"/>
        <item x="506"/>
        <item x="594"/>
        <item x="564"/>
        <item x="16"/>
        <item x="558"/>
        <item x="41"/>
        <item x="274"/>
        <item x="168"/>
        <item x="859"/>
        <item x="965"/>
        <item x="830"/>
        <item x="363"/>
        <item x="364"/>
        <item x="672"/>
        <item x="69"/>
        <item x="528"/>
        <item x="270"/>
        <item x="5"/>
        <item x="491"/>
        <item x="54"/>
        <item x="787"/>
        <item x="912"/>
        <item x="626"/>
        <item x="42"/>
        <item x="1149"/>
        <item x="618"/>
        <item x="658"/>
        <item x="157"/>
        <item x="378"/>
        <item x="487"/>
        <item x="842"/>
        <item x="213"/>
        <item x="1181"/>
        <item x="341"/>
        <item x="342"/>
        <item x="228"/>
        <item x="80"/>
        <item x="1036"/>
        <item x="853"/>
        <item x="172"/>
        <item x="829"/>
        <item x="1165"/>
        <item x="1075"/>
        <item x="917"/>
        <item x="490"/>
        <item x="307"/>
        <item x="848"/>
        <item x="252"/>
        <item x="856"/>
        <item x="1193"/>
        <item x="529"/>
        <item x="1096"/>
        <item x="57"/>
        <item x="1012"/>
        <item x="678"/>
        <item x="790"/>
        <item x="1032"/>
        <item x="752"/>
        <item x="674"/>
        <item x="817"/>
        <item x="1011"/>
        <item x="913"/>
        <item x="690"/>
        <item x="524"/>
        <item x="401"/>
        <item x="966"/>
        <item x="31"/>
        <item x="962"/>
        <item x="511"/>
        <item x="1019"/>
        <item x="539"/>
        <item x="58"/>
        <item x="955"/>
        <item x="114"/>
        <item x="250"/>
        <item x="696"/>
        <item x="729"/>
        <item x="689"/>
        <item x="330"/>
        <item x="346"/>
        <item x="1017"/>
        <item x="527"/>
        <item x="647"/>
        <item x="502"/>
        <item x="374"/>
        <item x="693"/>
        <item x="1003"/>
        <item x="76"/>
        <item x="179"/>
        <item x="208"/>
        <item x="723"/>
        <item x="727"/>
        <item x="335"/>
        <item x="284"/>
        <item x="36"/>
        <item x="721"/>
        <item x="741"/>
        <item x="876"/>
        <item x="413"/>
        <item x="1114"/>
        <item x="794"/>
        <item x="138"/>
        <item x="355"/>
        <item x="879"/>
        <item x="545"/>
        <item x="301"/>
        <item x="192"/>
        <item x="968"/>
        <item x="241"/>
        <item x="740"/>
        <item x="533"/>
        <item x="183"/>
        <item x="1197"/>
        <item x="387"/>
        <item x="77"/>
        <item x="891"/>
        <item x="795"/>
        <item x="9"/>
        <item x="669"/>
        <item x="6"/>
        <item x="65"/>
        <item x="96"/>
        <item x="51"/>
        <item x="287"/>
        <item x="642"/>
        <item x="444"/>
        <item x="706"/>
        <item x="186"/>
        <item x="1121"/>
        <item x="862"/>
        <item x="1014"/>
        <item x="509"/>
        <item x="136"/>
        <item x="486"/>
        <item x="1174"/>
        <item x="607"/>
        <item x="297"/>
        <item x="822"/>
        <item x="119"/>
        <item x="933"/>
        <item x="601"/>
        <item x="349"/>
        <item x="1063"/>
        <item x="717"/>
        <item x="283"/>
        <item x="728"/>
        <item x="818"/>
        <item x="190"/>
        <item x="959"/>
        <item x="254"/>
        <item x="743"/>
        <item x="898"/>
        <item x="768"/>
        <item x="1191"/>
        <item x="230"/>
        <item x="1097"/>
        <item x="791"/>
        <item x="958"/>
        <item x="724"/>
        <item x="1112"/>
        <item x="44"/>
        <item x="872"/>
        <item x="971"/>
        <item x="1138"/>
        <item x="1018"/>
        <item x="764"/>
        <item x="813"/>
        <item x="961"/>
        <item x="677"/>
        <item x="935"/>
        <item x="1184"/>
        <item x="178"/>
        <item x="477"/>
        <item x="420"/>
        <item x="131"/>
        <item x="1132"/>
        <item x="1152"/>
        <item x="235"/>
        <item x="893"/>
        <item x="884"/>
        <item x="1041"/>
        <item x="286"/>
        <item x="750"/>
        <item x="735"/>
        <item x="383"/>
        <item x="692"/>
        <item x="391"/>
        <item x="103"/>
        <item x="944"/>
        <item x="760"/>
        <item x="1002"/>
        <item x="774"/>
        <item x="680"/>
        <item x="1094"/>
        <item x="493"/>
        <item x="1020"/>
        <item x="211"/>
        <item x="338"/>
        <item x="739"/>
        <item x="870"/>
        <item x="375"/>
        <item x="1160"/>
        <item x="271"/>
        <item x="555"/>
        <item x="47"/>
        <item x="412"/>
        <item x="988"/>
        <item x="950"/>
        <item x="773"/>
        <item x="492"/>
        <item x="985"/>
        <item x="1008"/>
        <item x="166"/>
        <item x="360"/>
        <item x="201"/>
        <item x="123"/>
        <item x="1106"/>
        <item x="980"/>
        <item x="261"/>
        <item x="1076"/>
        <item x="617"/>
        <item x="556"/>
        <item x="836"/>
        <item x="1082"/>
        <item x="627"/>
        <item x="429"/>
        <item x="745"/>
        <item x="78"/>
        <item x="922"/>
        <item x="835"/>
        <item x="505"/>
        <item x="1072"/>
        <item x="1161"/>
        <item x="772"/>
        <item x="126"/>
        <item x="98"/>
        <item x="402"/>
        <item x="989"/>
        <item x="938"/>
        <item x="718"/>
        <item x="100"/>
        <item x="943"/>
        <item x="1085"/>
        <item x="1211"/>
        <item x="209"/>
        <item x="1"/>
        <item x="34"/>
        <item x="936"/>
        <item x="837"/>
        <item x="507"/>
        <item x="664"/>
        <item x="275"/>
        <item x="496"/>
        <item x="762"/>
        <item x="947"/>
        <item x="55"/>
        <item x="737"/>
        <item x="1219"/>
        <item x="673"/>
        <item x="345"/>
        <item x="1016"/>
        <item x="64"/>
        <item x="411"/>
        <item x="13"/>
        <item x="334"/>
        <item x="832"/>
        <item x="770"/>
        <item x="599"/>
        <item x="946"/>
        <item x="324"/>
        <item x="1044"/>
        <item x="475"/>
        <item x="21"/>
        <item x="40"/>
        <item x="244"/>
        <item x="207"/>
        <item x="263"/>
        <item x="574"/>
        <item x="99"/>
        <item x="205"/>
        <item x="722"/>
        <item x="1141"/>
        <item x="1129"/>
        <item x="1127"/>
        <item x="1147"/>
        <item x="258"/>
        <item x="542"/>
        <item x="784"/>
        <item x="665"/>
        <item x="296"/>
        <item x="591"/>
        <item x="426"/>
        <item x="472"/>
        <item x="445"/>
        <item x="903"/>
        <item x="46"/>
        <item x="1005"/>
        <item x="562"/>
        <item x="915"/>
        <item x="1159"/>
        <item x="589"/>
        <item x="890"/>
        <item x="1046"/>
        <item x="586"/>
        <item x="1119"/>
        <item x="873"/>
        <item x="761"/>
        <item x="843"/>
        <item x="1033"/>
        <item x="469"/>
        <item x="169"/>
        <item x="1050"/>
        <item x="113"/>
        <item x="158"/>
        <item x="1195"/>
        <item x="354"/>
        <item x="260"/>
        <item x="248"/>
        <item x="863"/>
        <item x="1146"/>
        <item x="650"/>
        <item x="408"/>
        <item x="340"/>
        <item x="92"/>
        <item x="563"/>
        <item x="336"/>
        <item x="902"/>
        <item x="173"/>
        <item x="956"/>
        <item x="840"/>
        <item x="1172"/>
        <item x="1215"/>
        <item x="982"/>
        <item x="909"/>
        <item x="641"/>
        <item x="82"/>
        <item x="648"/>
        <item x="233"/>
        <item x="1201"/>
        <item x="293"/>
        <item x="319"/>
        <item x="808"/>
        <item x="547"/>
        <item x="273"/>
        <item x="513"/>
        <item x="37"/>
        <item x="538"/>
        <item x="804"/>
        <item x="406"/>
        <item x="295"/>
        <item x="153"/>
        <item x="227"/>
        <item x="1158"/>
        <item x="1081"/>
        <item x="1189"/>
        <item x="43"/>
        <item x="500"/>
        <item x="269"/>
        <item x="532"/>
        <item x="33"/>
        <item x="994"/>
        <item x="105"/>
        <item x="585"/>
        <item x="742"/>
        <item x="108"/>
        <item x="1179"/>
        <item x="405"/>
        <item x="1118"/>
        <item x="861"/>
        <item x="127"/>
        <item x="699"/>
        <item x="738"/>
        <item x="117"/>
        <item x="756"/>
        <item x="323"/>
        <item x="926"/>
        <item x="1212"/>
        <item x="510"/>
        <item x="267"/>
        <item x="899"/>
        <item x="3"/>
        <item x="711"/>
        <item x="551"/>
        <item x="526"/>
        <item x="911"/>
        <item x="366"/>
        <item x="778"/>
        <item x="889"/>
        <item x="646"/>
        <item x="704"/>
        <item x="321"/>
        <item x="651"/>
        <item x="1213"/>
        <item x="280"/>
        <item x="776"/>
        <item x="714"/>
        <item x="927"/>
        <item x="106"/>
        <item x="951"/>
        <item x="1192"/>
        <item x="565"/>
        <item x="886"/>
        <item x="568"/>
        <item x="1208"/>
        <item x="1079"/>
        <item x="404"/>
        <item x="1137"/>
        <item x="1090"/>
        <item x="437"/>
        <item x="644"/>
        <item x="91"/>
        <item x="841"/>
        <item x="667"/>
        <item x="759"/>
        <item x="708"/>
        <item x="399"/>
        <item x="588"/>
        <item x="731"/>
        <item x="327"/>
        <item x="268"/>
        <item x="910"/>
        <item x="1084"/>
        <item x="102"/>
        <item x="1098"/>
        <item x="247"/>
        <item x="838"/>
        <item x="925"/>
        <item x="584"/>
        <item x="1031"/>
        <item x="457"/>
        <item x="897"/>
        <item x="232"/>
        <item x="1157"/>
        <item x="610"/>
        <item x="653"/>
        <item x="798"/>
        <item x="12"/>
        <item x="1064"/>
        <item x="1074"/>
        <item x="191"/>
        <item x="322"/>
        <item x="304"/>
        <item x="181"/>
        <item x="1059"/>
        <item x="255"/>
        <item x="111"/>
        <item x="1107"/>
        <item x="869"/>
        <item x="522"/>
        <item x="394"/>
        <item x="276"/>
        <item x="796"/>
        <item x="259"/>
        <item x="779"/>
        <item x="318"/>
        <item x="780"/>
        <item x="167"/>
        <item x="825"/>
        <item x="328"/>
        <item x="1210"/>
        <item x="520"/>
        <item x="480"/>
        <item x="518"/>
        <item x="396"/>
        <item x="757"/>
        <item x="939"/>
        <item x="807"/>
        <item x="797"/>
        <item x="687"/>
        <item x="570"/>
        <item x="440"/>
        <item x="623"/>
        <item x="256"/>
        <item x="931"/>
        <item x="940"/>
        <item x="299"/>
        <item x="1067"/>
        <item x="463"/>
        <item x="53"/>
        <item x="1126"/>
        <item x="954"/>
        <item x="858"/>
        <item x="587"/>
        <item x="372"/>
        <item x="540"/>
        <item x="1173"/>
        <item x="979"/>
        <item x="937"/>
        <item x="236"/>
        <item x="196"/>
        <item x="1139"/>
        <item x="180"/>
        <item x="337"/>
        <item x="1048"/>
        <item x="229"/>
        <item x="1156"/>
        <item x="733"/>
        <item x="272"/>
        <item x="101"/>
        <item x="1015"/>
        <item x="125"/>
        <item x="654"/>
        <item x="1150"/>
        <item x="517"/>
        <item x="1176"/>
        <item x="1068"/>
        <item x="1207"/>
        <item x="726"/>
        <item x="156"/>
        <item x="380"/>
        <item x="1066"/>
        <item x="1004"/>
        <item x="410"/>
        <item x="579"/>
        <item x="115"/>
        <item x="1073"/>
        <item x="991"/>
        <item x="84"/>
        <item x="918"/>
        <item x="755"/>
        <item x="566"/>
        <item x="974"/>
        <item x="24"/>
        <item x="317"/>
        <item x="1047"/>
        <item x="559"/>
        <item x="578"/>
        <item x="377"/>
        <item x="857"/>
        <item x="844"/>
        <item x="325"/>
        <item x="986"/>
        <item x="583"/>
        <item x="285"/>
        <item x="957"/>
        <item x="906"/>
        <item x="326"/>
        <item x="453"/>
        <item x="435"/>
        <item x="32"/>
        <item x="133"/>
        <item x="901"/>
        <item x="887"/>
        <item x="83"/>
        <item x="291"/>
        <item x="866"/>
        <item x="1209"/>
        <item x="744"/>
        <item x="419"/>
        <item x="1202"/>
        <item x="712"/>
      </items>
    </pivotField>
    <pivotField axis="axisCol" multipleItemSelectionAllowed="1" showAll="0" defaultSubtotal="0">
      <items count="13">
        <item h="1" x="4"/>
        <item h="1" x="3"/>
        <item h="1" x="11"/>
        <item h="1" x="9"/>
        <item x="12"/>
        <item x="8"/>
        <item x="2"/>
        <item x="5"/>
        <item x="6"/>
        <item x="7"/>
        <item x="0"/>
        <item x="1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sortType="ascending" defaultSubtotal="0">
      <items count="111">
        <item x="66"/>
        <item x="28"/>
        <item x="31"/>
        <item x="54"/>
        <item x="14"/>
        <item x="109"/>
        <item x="10"/>
        <item x="71"/>
        <item x="19"/>
        <item x="82"/>
        <item x="96"/>
        <item x="67"/>
        <item x="59"/>
        <item x="21"/>
        <item x="80"/>
        <item x="35"/>
        <item x="17"/>
        <item x="100"/>
        <item x="33"/>
        <item x="72"/>
        <item x="73"/>
        <item x="88"/>
        <item x="44"/>
        <item x="38"/>
        <item x="74"/>
        <item x="89"/>
        <item x="34"/>
        <item x="103"/>
        <item x="7"/>
        <item x="40"/>
        <item x="69"/>
        <item x="32"/>
        <item x="0"/>
        <item x="26"/>
        <item x="18"/>
        <item x="58"/>
        <item x="78"/>
        <item x="97"/>
        <item x="106"/>
        <item x="27"/>
        <item x="13"/>
        <item x="11"/>
        <item x="29"/>
        <item x="4"/>
        <item x="84"/>
        <item x="102"/>
        <item x="60"/>
        <item x="64"/>
        <item x="92"/>
        <item x="81"/>
        <item x="47"/>
        <item x="39"/>
        <item x="6"/>
        <item x="25"/>
        <item x="68"/>
        <item x="76"/>
        <item x="77"/>
        <item x="93"/>
        <item x="50"/>
        <item x="5"/>
        <item x="107"/>
        <item x="86"/>
        <item x="75"/>
        <item x="36"/>
        <item x="90"/>
        <item x="52"/>
        <item x="83"/>
        <item x="85"/>
        <item x="23"/>
        <item h="1" x="2"/>
        <item x="16"/>
        <item x="101"/>
        <item x="53"/>
        <item x="55"/>
        <item x="51"/>
        <item x="3"/>
        <item x="70"/>
        <item x="108"/>
        <item x="57"/>
        <item x="9"/>
        <item x="15"/>
        <item x="42"/>
        <item x="1"/>
        <item x="20"/>
        <item x="87"/>
        <item x="63"/>
        <item x="24"/>
        <item x="98"/>
        <item x="61"/>
        <item x="99"/>
        <item x="46"/>
        <item x="104"/>
        <item x="8"/>
        <item x="43"/>
        <item x="110"/>
        <item x="105"/>
        <item x="45"/>
        <item x="91"/>
        <item x="56"/>
        <item x="49"/>
        <item x="41"/>
        <item x="37"/>
        <item x="12"/>
        <item x="30"/>
        <item x="95"/>
        <item x="94"/>
        <item x="48"/>
        <item x="22"/>
        <item x="62"/>
        <item x="65"/>
        <item x="79"/>
      </items>
    </pivotField>
    <pivotField showAll="0" defaultSubtotal="0"/>
    <pivotField showAll="0" sortType="descending" defaultSubtotal="0">
      <items count="14">
        <item x="12"/>
        <item x="5"/>
        <item x="0"/>
        <item x="1"/>
        <item x="10"/>
        <item x="7"/>
        <item x="13"/>
        <item x="8"/>
        <item x="2"/>
        <item x="4"/>
        <item x="6"/>
        <item x="9"/>
        <item x="11"/>
        <item x="3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1" count="1" selected="0">
              <x v="0"/>
            </reference>
          </references>
        </pivotArea>
      </autoSortScope>
    </pivotField>
    <pivotField showAll="0" defaultSubtotal="0"/>
    <pivotField axis="axisPage" showAll="0" defaultSubtotal="0">
      <items count="4">
        <item n="TIENDAS" sd="0" x="0"/>
        <item n="TIENDAS VIRTUALES" sd="0" x="2"/>
        <item n="TLV" sd="0" x="3"/>
        <item n="No asignado" sd="0"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showAll="0" defaultSubtotal="0">
      <items count="3">
        <item n="No cartera" x="2"/>
        <item n="Cartera"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dragToRow="0" dragToCol="0" dragToPage="0" showAll="0" defaultSubtotal="0"/>
  </pivotFields>
  <rowFields count="1">
    <field x="17"/>
  </rowFields>
  <rowItems count="9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20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8"/>
    </i>
    <i>
      <x v="70"/>
    </i>
    <i>
      <x v="71"/>
    </i>
    <i>
      <x v="72"/>
    </i>
    <i>
      <x v="73"/>
    </i>
    <i>
      <x v="74"/>
    </i>
    <i>
      <x v="76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5"/>
    </i>
    <i>
      <x v="96"/>
    </i>
    <i>
      <x v="98"/>
    </i>
    <i>
      <x v="99"/>
    </i>
    <i>
      <x v="100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Fields count="1">
    <field x="1"/>
  </colFields>
  <colItems count="9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3">
    <pageField fld="21" hier="-1"/>
    <pageField fld="0" hier="-1"/>
    <pageField fld="29" hier="-1"/>
  </pageFields>
  <dataFields count="1">
    <dataField name="Suma de SALDO_CANCELADO" fld="8" baseField="19" baseItem="3" numFmtId="164"/>
  </dataFields>
  <formats count="3">
    <format dxfId="24">
      <pivotArea outline="0" collapsedLevelsAreSubtotals="1" fieldPosition="0"/>
    </format>
    <format dxfId="1">
      <pivotArea collapsedLevelsAreSubtotals="1" fieldPosition="0">
        <references count="1">
          <reference field="17" count="1">
            <x v="51"/>
          </reference>
        </references>
      </pivotArea>
    </format>
    <format dxfId="0">
      <pivotArea dataOnly="0" labelOnly="1" fieldPosition="0">
        <references count="1">
          <reference field="17" count="1">
            <x v="5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F296F-B237-4109-83A1-E46B38A68937}" name="TablaDinámica9" cacheId="1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102:E119" firstHeaderRow="1" firstDataRow="3" firstDataCol="1" rowPageCount="1" colPageCount="1"/>
  <pivotFields count="42">
    <pivotField showAll="0" defaultSubtotal="0"/>
    <pivotField axis="axisPage" multipleItemSelectionAllowed="1" showAll="0" defaultSubtotal="0">
      <items count="13">
        <item h="1" x="4"/>
        <item h="1" x="3"/>
        <item h="1" x="11"/>
        <item h="1" x="9"/>
        <item x="12"/>
        <item x="8"/>
        <item x="2"/>
        <item x="5"/>
        <item x="6"/>
        <item x="7"/>
        <item x="0"/>
        <item x="1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sortType="descending" defaultSubtotal="0">
      <items count="14">
        <item x="12"/>
        <item x="5"/>
        <item x="0"/>
        <item x="1"/>
        <item x="10"/>
        <item x="7"/>
        <item x="13"/>
        <item x="8"/>
        <item x="2"/>
        <item x="4"/>
        <item x="6"/>
        <item x="9"/>
        <item x="11"/>
        <item x="3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1" count="1" selected="0">
              <x v="0"/>
            </reference>
          </references>
        </pivotArea>
      </autoSortScope>
    </pivotField>
    <pivotField showAll="0" defaultSubtotal="0"/>
    <pivotField axis="axisCol" showAll="0" defaultSubtotal="0">
      <items count="4">
        <item n="TIENDAS" sd="0" x="0"/>
        <item n="TIENDAS VIRTUALES" sd="0" x="2"/>
        <item n="TLV" sd="0" x="3"/>
        <item n="No asignado" sd="0"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3">
        <item n="No cartera" x="2"/>
        <item n="Cartera"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dragToRow="0" dragToCol="0" dragToPage="0" showAll="0" defaultSubtotal="0"/>
  </pivotFields>
  <rowFields count="1">
    <field x="19"/>
  </rowFields>
  <rowItems count="15">
    <i>
      <x v="9"/>
    </i>
    <i>
      <x v="11"/>
    </i>
    <i>
      <x v="13"/>
    </i>
    <i>
      <x v="2"/>
    </i>
    <i>
      <x v="1"/>
    </i>
    <i>
      <x v="7"/>
    </i>
    <i>
      <x v="3"/>
    </i>
    <i>
      <x v="4"/>
    </i>
    <i>
      <x v="10"/>
    </i>
    <i>
      <x v="8"/>
    </i>
    <i>
      <x v="12"/>
    </i>
    <i>
      <x v="5"/>
    </i>
    <i>
      <x/>
    </i>
    <i>
      <x v="6"/>
    </i>
    <i t="grand">
      <x/>
    </i>
  </rowItems>
  <colFields count="2">
    <field x="21"/>
    <field x="29"/>
  </colFields>
  <colItems count="4">
    <i>
      <x/>
    </i>
    <i>
      <x v="1"/>
    </i>
    <i>
      <x v="2"/>
    </i>
    <i>
      <x v="3"/>
    </i>
  </colItems>
  <pageFields count="1">
    <pageField fld="1" hier="-1"/>
  </pageFields>
  <dataFields count="1">
    <dataField name="Suma de SALDO_CANCELADO" fld="8" baseField="19" baseItem="3" numFmtId="164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73B8B-3CD3-4D69-BF7B-0219B1CCD34B}" name="TablaDinámica8" cacheId="1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80:E97" firstHeaderRow="1" firstDataRow="3" firstDataCol="1" rowPageCount="1" colPageCount="1"/>
  <pivotFields count="42">
    <pivotField showAll="0" defaultSubtotal="0"/>
    <pivotField axis="axisPage" multipleItemSelectionAllowed="1" showAll="0" defaultSubtotal="0">
      <items count="13">
        <item h="1" x="4"/>
        <item h="1" x="3"/>
        <item h="1" x="11"/>
        <item h="1" x="9"/>
        <item h="1" x="12"/>
        <item x="8"/>
        <item x="2"/>
        <item x="5"/>
        <item x="6"/>
        <item x="7"/>
        <item x="0"/>
        <item x="1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sortType="descending" defaultSubtotal="0">
      <items count="14">
        <item x="12"/>
        <item x="5"/>
        <item x="0"/>
        <item x="1"/>
        <item x="10"/>
        <item x="7"/>
        <item x="13"/>
        <item x="8"/>
        <item x="2"/>
        <item x="4"/>
        <item x="6"/>
        <item x="9"/>
        <item x="11"/>
        <item x="3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1" count="1" selected="0">
              <x v="0"/>
            </reference>
          </references>
        </pivotArea>
      </autoSortScope>
    </pivotField>
    <pivotField showAll="0" defaultSubtotal="0"/>
    <pivotField axis="axisCol" showAll="0" defaultSubtotal="0">
      <items count="4">
        <item n="TIENDAS" sd="0" x="0"/>
        <item n="TIENDAS VIRTUALES" sd="0" x="2"/>
        <item n="TLV" sd="0" x="3"/>
        <item n="No asignado" sd="0"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3">
        <item n="No cartera" x="2"/>
        <item n="Cartera"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dragToRow="0" dragToCol="0" dragToPage="0" showAll="0" defaultSubtotal="0"/>
  </pivotFields>
  <rowFields count="1">
    <field x="19"/>
  </rowFields>
  <rowItems count="15">
    <i>
      <x v="9"/>
    </i>
    <i>
      <x v="13"/>
    </i>
    <i>
      <x v="2"/>
    </i>
    <i>
      <x v="1"/>
    </i>
    <i>
      <x v="11"/>
    </i>
    <i>
      <x v="7"/>
    </i>
    <i>
      <x v="3"/>
    </i>
    <i>
      <x v="4"/>
    </i>
    <i>
      <x v="10"/>
    </i>
    <i>
      <x v="8"/>
    </i>
    <i>
      <x v="12"/>
    </i>
    <i>
      <x v="5"/>
    </i>
    <i>
      <x/>
    </i>
    <i>
      <x v="6"/>
    </i>
    <i t="grand">
      <x/>
    </i>
  </rowItems>
  <colFields count="2">
    <field x="21"/>
    <field x="29"/>
  </colFields>
  <colItems count="4">
    <i>
      <x/>
    </i>
    <i>
      <x v="1"/>
    </i>
    <i>
      <x v="2"/>
    </i>
    <i>
      <x v="3"/>
    </i>
  </colItems>
  <pageFields count="1">
    <pageField fld="1" hier="-1"/>
  </pageFields>
  <dataFields count="1">
    <dataField name="Cuenta de SALDO_CANCELADO" fld="8" subtotal="count" baseField="1" baseItem="6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40915-E774-4F81-838C-3DD58AA67E13}" name="TablaDinámica7" cacheId="1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I25:O38" firstHeaderRow="1" firstDataRow="3" firstDataCol="1" rowPageCount="1" colPageCount="1"/>
  <pivotFields count="42">
    <pivotField showAll="0" defaultSubtotal="0"/>
    <pivotField axis="axisRow" showAll="0" defaultSubtotal="0">
      <items count="13">
        <item h="1" x="4"/>
        <item h="1" x="3"/>
        <item h="1" x="11"/>
        <item x="9"/>
        <item x="12"/>
        <item x="8"/>
        <item x="2"/>
        <item x="5"/>
        <item x="6"/>
        <item x="7"/>
        <item x="0"/>
        <item x="1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multipleItemSelectionAllowed="1" showAll="0" defaultSubtotal="0">
      <items count="21">
        <item x="19"/>
        <item x="13"/>
        <item x="9"/>
        <item x="10"/>
        <item x="1"/>
        <item x="6"/>
        <item x="16"/>
        <item x="15"/>
        <item x="18"/>
        <item x="17"/>
        <item x="3"/>
        <item x="2"/>
        <item x="0"/>
        <item x="4"/>
        <item x="14"/>
        <item x="11"/>
        <item x="5"/>
        <item x="20"/>
        <item x="7"/>
        <item x="8"/>
        <item x="12"/>
      </items>
    </pivotField>
    <pivotField axis="axisCol" showAll="0" defaultSubtotal="0">
      <items count="4">
        <item n="TIENDAS" x="0"/>
        <item n="TIENDAS VIRTUALES" x="2"/>
        <item n="TLV" sd="0" x="3"/>
        <item n="No asignado" sd="0"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3">
        <item n="No cartera" x="2"/>
        <item n="Cartera"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dragToRow="0" dragToCol="0" dragToPage="0" showAll="0" defaultSubtotal="0"/>
  </pivotFields>
  <rowFields count="1">
    <field x="1"/>
  </rowFields>
  <rowItems count="11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21"/>
    <field x="29"/>
  </colFields>
  <colItems count="6">
    <i>
      <x/>
      <x/>
    </i>
    <i r="1">
      <x v="1"/>
    </i>
    <i>
      <x v="1"/>
      <x/>
    </i>
    <i r="1">
      <x v="1"/>
    </i>
    <i>
      <x v="2"/>
    </i>
    <i>
      <x v="3"/>
    </i>
  </colItems>
  <pageFields count="1">
    <pageField fld="20" hier="-1"/>
  </pageFields>
  <dataFields count="1">
    <dataField name="Suma de SALDO_CANCELADO" fld="8" baseField="1" baseItem="1" numFmtId="164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1B3D9-522F-4CA5-8C29-545AF61191F0}" name="TablaDinámica6" cacheId="1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I45:O57" firstHeaderRow="1" firstDataRow="3" firstDataCol="1" rowPageCount="1" colPageCount="1"/>
  <pivotFields count="42">
    <pivotField showAll="0" defaultSubtotal="0"/>
    <pivotField axis="axisRow" showAll="0" defaultSubtotal="0">
      <items count="13">
        <item h="1" x="4"/>
        <item h="1" x="3"/>
        <item h="1" x="11"/>
        <item h="1" x="9"/>
        <item x="12"/>
        <item x="8"/>
        <item x="2"/>
        <item x="5"/>
        <item x="6"/>
        <item x="7"/>
        <item x="0"/>
        <item x="1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multipleItemSelectionAllowed="1" showAll="0" defaultSubtotal="0">
      <items count="21">
        <item x="19"/>
        <item x="13"/>
        <item x="9"/>
        <item x="10"/>
        <item x="1"/>
        <item x="6"/>
        <item x="16"/>
        <item x="15"/>
        <item x="18"/>
        <item x="17"/>
        <item x="3"/>
        <item x="2"/>
        <item x="0"/>
        <item x="4"/>
        <item x="14"/>
        <item x="11"/>
        <item x="5"/>
        <item x="20"/>
        <item x="7"/>
        <item x="8"/>
        <item x="12"/>
      </items>
    </pivotField>
    <pivotField axis="axisCol" showAll="0" defaultSubtotal="0">
      <items count="4">
        <item n="TIENDAS" x="0"/>
        <item n="TIENDAS VIRTUALES" x="2"/>
        <item n="TLV" sd="0" x="3"/>
        <item n="No asignado" sd="0"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3">
        <item n="No cartera" x="2"/>
        <item n="Cartera"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dragToRow="0" dragToCol="0" dragToPage="0" showAll="0" defaultSubtotal="0"/>
  </pivotFields>
  <rowFields count="1">
    <field x="1"/>
  </rowFields>
  <rowItems count="10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21"/>
    <field x="29"/>
  </colFields>
  <colItems count="6">
    <i>
      <x/>
      <x/>
    </i>
    <i r="1">
      <x v="1"/>
    </i>
    <i>
      <x v="1"/>
      <x/>
    </i>
    <i r="1">
      <x v="1"/>
    </i>
    <i>
      <x v="2"/>
    </i>
    <i>
      <x v="3"/>
    </i>
  </colItems>
  <pageFields count="1">
    <pageField fld="20" hier="-1"/>
  </pageFields>
  <dataFields count="1">
    <dataField name="Cuenta de SALDO_CANCELADO" fld="8" subtotal="count" baseField="1" baseItem="6"/>
  </dataFields>
  <formats count="1"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06649-74B1-42D3-82FF-D1C1363989E7}" name="TablaDinámica5" cacheId="1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63:G75" firstHeaderRow="1" firstDataRow="3" firstDataCol="1"/>
  <pivotFields count="42">
    <pivotField showAll="0" defaultSubtotal="0"/>
    <pivotField axis="axisRow" showAll="0" defaultSubtotal="0">
      <items count="13">
        <item h="1" x="4"/>
        <item h="1" x="3"/>
        <item h="1" x="11"/>
        <item h="1" x="9"/>
        <item x="12"/>
        <item x="8"/>
        <item x="2"/>
        <item x="5"/>
        <item x="6"/>
        <item x="7"/>
        <item x="0"/>
        <item x="1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4">
        <item n="TIENDAS" x="0"/>
        <item n="TIENDAS VIRTUALES" x="2"/>
        <item n="TLV" sd="0" x="3"/>
        <item n="No asignado" sd="0"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3">
        <item n="No cartera" x="2"/>
        <item n="Cartera"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dragToRow="0" dragToCol="0" dragToPage="0" showAll="0" defaultSubtotal="0"/>
  </pivotFields>
  <rowFields count="1">
    <field x="1"/>
  </rowFields>
  <rowItems count="10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21"/>
    <field x="29"/>
  </colFields>
  <colItems count="6">
    <i>
      <x/>
      <x/>
    </i>
    <i r="1">
      <x v="1"/>
    </i>
    <i>
      <x v="1"/>
      <x/>
    </i>
    <i r="1">
      <x v="1"/>
    </i>
    <i>
      <x v="2"/>
    </i>
    <i>
      <x v="3"/>
    </i>
  </colItems>
  <dataFields count="1">
    <dataField name="Cuenta de SALDO_CANCELADO" fld="8" subtotal="count" baseField="1" baseItem="6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11B2F-4A11-449D-857B-AC6B36D89301}" name="TablaDinámica4" cacheId="1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45:F57" firstHeaderRow="1" firstDataRow="3" firstDataCol="1" rowPageCount="2" colPageCount="1"/>
  <pivotFields count="42">
    <pivotField showAll="0" defaultSubtotal="0"/>
    <pivotField axis="axisRow" showAll="0" defaultSubtotal="0">
      <items count="13">
        <item h="1" x="4"/>
        <item h="1" x="3"/>
        <item h="1" x="11"/>
        <item h="1" x="9"/>
        <item x="12"/>
        <item x="8"/>
        <item x="2"/>
        <item x="5"/>
        <item x="6"/>
        <item x="7"/>
        <item x="0"/>
        <item x="1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multipleItemSelectionAllowed="1" showAll="0" defaultSubtotal="0">
      <items count="21">
        <item x="19"/>
        <item x="13"/>
        <item x="9"/>
        <item x="10"/>
        <item h="1" x="1"/>
        <item x="6"/>
        <item x="16"/>
        <item x="15"/>
        <item x="18"/>
        <item x="17"/>
        <item x="3"/>
        <item h="1" x="2"/>
        <item x="0"/>
        <item x="4"/>
        <item x="14"/>
        <item x="11"/>
        <item x="5"/>
        <item x="20"/>
        <item x="7"/>
        <item x="8"/>
        <item h="1" x="12"/>
      </items>
    </pivotField>
    <pivotField axis="axisCol" showAll="0" defaultSubtotal="0">
      <items count="4">
        <item n="TIENDAS" x="0"/>
        <item n="TIENDAS VIRTUALES" x="2"/>
        <item n="TLV" sd="0" x="3"/>
        <item n="No asignado" sd="0" x="1"/>
      </items>
    </pivotField>
    <pivotField showAll="0" defaultSubtotal="0"/>
    <pivotField showAll="0" defaultSubtotal="0"/>
    <pivotField showAll="0" defaultSubtotal="0"/>
    <pivotField axis="axisPage" showAll="0" defaultSubtotal="0">
      <items count="3">
        <item x="1"/>
        <item x="0"/>
        <item x="2"/>
      </items>
    </pivotField>
    <pivotField showAll="0" defaultSubtotal="0"/>
    <pivotField showAll="0" defaultSubtotal="0"/>
    <pivotField showAll="0" defaultSubtotal="0"/>
    <pivotField axis="axisCol" showAll="0" defaultSubtotal="0">
      <items count="3">
        <item n="No cartera" x="2"/>
        <item n="Cartera"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dragToRow="0" dragToCol="0" dragToPage="0" showAll="0" defaultSubtotal="0"/>
  </pivotFields>
  <rowFields count="1">
    <field x="1"/>
  </rowFields>
  <rowItems count="10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21"/>
    <field x="29"/>
  </colFields>
  <colItems count="5">
    <i>
      <x/>
      <x/>
    </i>
    <i r="1">
      <x v="1"/>
    </i>
    <i>
      <x v="1"/>
      <x/>
    </i>
    <i r="1">
      <x v="1"/>
    </i>
    <i>
      <x v="2"/>
    </i>
  </colItems>
  <pageFields count="2">
    <pageField fld="20" hier="-1"/>
    <pageField fld="25" item="1" hier="-1"/>
  </pageFields>
  <dataFields count="1">
    <dataField name="Cuenta de SALDO_CANCELADO" fld="8" subtotal="count" baseField="1" baseItem="9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EB0AA-7A0F-4A45-9D10-DE2AE62891AD}" name="TablaDinámica2" cacheId="1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G18" firstHeaderRow="1" firstDataRow="3" firstDataCol="1"/>
  <pivotFields count="42">
    <pivotField dataField="1" showAll="0" defaultSubtotal="0"/>
    <pivotField axis="axisRow" showAll="0" defaultSubtotal="0">
      <items count="13">
        <item x="4"/>
        <item x="3"/>
        <item x="11"/>
        <item x="9"/>
        <item x="12"/>
        <item x="8"/>
        <item x="2"/>
        <item x="5"/>
        <item x="6"/>
        <item x="7"/>
        <item x="0"/>
        <item x="1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4">
        <item n="TIENDAS" x="0"/>
        <item n="TIENDAS VIRTUALES" x="2"/>
        <item n="TLV" x="3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3">
        <item x="2"/>
        <item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dragToRow="0" dragToCol="0" dragToPag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21"/>
    <field x="29"/>
  </colFields>
  <colItems count="6">
    <i>
      <x/>
      <x/>
    </i>
    <i r="1">
      <x v="1"/>
    </i>
    <i>
      <x v="1"/>
      <x/>
    </i>
    <i r="1">
      <x v="1"/>
    </i>
    <i>
      <x v="2"/>
      <x v="2"/>
    </i>
    <i>
      <x v="3"/>
      <x v="2"/>
    </i>
  </colItems>
  <dataFields count="1">
    <dataField name="Cuenta de CLIENTE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AE340-685D-438E-92C2-B8CF435AAD3E}" name="TablaDinámica3" cacheId="1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25:F38" firstHeaderRow="1" firstDataRow="3" firstDataCol="1" rowPageCount="2" colPageCount="1"/>
  <pivotFields count="42">
    <pivotField showAll="0" defaultSubtotal="0"/>
    <pivotField axis="axisRow" showAll="0" defaultSubtotal="0">
      <items count="13">
        <item h="1" x="4"/>
        <item h="1" x="3"/>
        <item h="1" x="11"/>
        <item x="9"/>
        <item x="12"/>
        <item x="8"/>
        <item x="2"/>
        <item x="5"/>
        <item x="6"/>
        <item x="7"/>
        <item x="0"/>
        <item x="1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multipleItemSelectionAllowed="1" showAll="0" defaultSubtotal="0">
      <items count="21">
        <item x="19"/>
        <item x="13"/>
        <item x="9"/>
        <item x="10"/>
        <item h="1" x="1"/>
        <item x="6"/>
        <item x="16"/>
        <item x="15"/>
        <item x="18"/>
        <item x="17"/>
        <item x="3"/>
        <item h="1" x="2"/>
        <item x="0"/>
        <item x="4"/>
        <item x="14"/>
        <item x="11"/>
        <item x="5"/>
        <item x="20"/>
        <item x="7"/>
        <item x="8"/>
        <item h="1" x="12"/>
      </items>
    </pivotField>
    <pivotField axis="axisCol" showAll="0" defaultSubtotal="0">
      <items count="4">
        <item n="TIENDAS" x="0"/>
        <item n="TIENDAS VIRTUALES" x="2"/>
        <item n="TLV" sd="0" x="3"/>
        <item n="No asignado" sd="0" x="1"/>
      </items>
    </pivotField>
    <pivotField showAll="0" defaultSubtotal="0"/>
    <pivotField showAll="0" defaultSubtotal="0"/>
    <pivotField showAll="0" defaultSubtotal="0"/>
    <pivotField axis="axisPage" showAll="0" defaultSubtotal="0">
      <items count="3">
        <item x="1"/>
        <item x="0"/>
        <item x="2"/>
      </items>
    </pivotField>
    <pivotField showAll="0" defaultSubtotal="0"/>
    <pivotField showAll="0" defaultSubtotal="0"/>
    <pivotField showAll="0" defaultSubtotal="0"/>
    <pivotField axis="axisCol" showAll="0" defaultSubtotal="0">
      <items count="3">
        <item n="No cartera" x="2"/>
        <item n="Cartera"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dragToRow="0" dragToCol="0" dragToPage="0" showAll="0" defaultSubtotal="0"/>
  </pivotFields>
  <rowFields count="1">
    <field x="1"/>
  </rowFields>
  <rowItems count="11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21"/>
    <field x="29"/>
  </colFields>
  <colItems count="5">
    <i>
      <x/>
      <x/>
    </i>
    <i r="1">
      <x v="1"/>
    </i>
    <i>
      <x v="1"/>
      <x/>
    </i>
    <i r="1">
      <x v="1"/>
    </i>
    <i>
      <x v="2"/>
    </i>
  </colItems>
  <pageFields count="2">
    <pageField fld="20" hier="-1"/>
    <pageField fld="25" item="1" hier="-1"/>
  </pageFields>
  <dataFields count="1">
    <dataField name="Suma de SALDO_CANCELADO" fld="8" baseField="1" baseItem="1" numFmtId="164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CF98-B9DC-4401-B59B-5AE92D34D3C9}">
  <dimension ref="A3:AF234"/>
  <sheetViews>
    <sheetView tabSelected="1" topLeftCell="J178" zoomScale="70" zoomScaleNormal="70" workbookViewId="0">
      <selection activeCell="AB183" activeCellId="1" sqref="X183:Z183 AB183:AF183"/>
    </sheetView>
  </sheetViews>
  <sheetFormatPr baseColWidth="10" defaultRowHeight="14.5" x14ac:dyDescent="0.35"/>
  <cols>
    <col min="1" max="1" width="43.54296875" bestFit="1" customWidth="1"/>
    <col min="2" max="2" width="21.90625" bestFit="1" customWidth="1"/>
    <col min="3" max="8" width="10.1796875" bestFit="1" customWidth="1"/>
    <col min="9" max="10" width="11.1796875" bestFit="1" customWidth="1"/>
    <col min="11" max="11" width="16.81640625" bestFit="1" customWidth="1"/>
    <col min="12" max="12" width="43.54296875" bestFit="1" customWidth="1"/>
    <col min="13" max="13" width="21.90625" bestFit="1" customWidth="1"/>
    <col min="14" max="26" width="6.81640625" bestFit="1" customWidth="1"/>
    <col min="27" max="27" width="8.08984375" customWidth="1"/>
    <col min="28" max="28" width="6.81640625" bestFit="1" customWidth="1"/>
  </cols>
  <sheetData>
    <row r="3" spans="1:7" x14ac:dyDescent="0.35">
      <c r="A3" s="2" t="s">
        <v>1658</v>
      </c>
      <c r="B3" s="2" t="s">
        <v>1657</v>
      </c>
    </row>
    <row r="4" spans="1:7" x14ac:dyDescent="0.35">
      <c r="B4" t="s">
        <v>4</v>
      </c>
      <c r="D4" t="s">
        <v>86</v>
      </c>
      <c r="F4" t="s">
        <v>37</v>
      </c>
      <c r="G4" t="s">
        <v>12</v>
      </c>
    </row>
    <row r="5" spans="1:7" x14ac:dyDescent="0.35">
      <c r="A5" s="2" t="s">
        <v>1656</v>
      </c>
      <c r="B5">
        <v>0</v>
      </c>
      <c r="C5">
        <v>1</v>
      </c>
      <c r="D5">
        <v>0</v>
      </c>
      <c r="E5">
        <v>1</v>
      </c>
      <c r="F5" t="s">
        <v>12</v>
      </c>
      <c r="G5" t="s">
        <v>12</v>
      </c>
    </row>
    <row r="6" spans="1:7" x14ac:dyDescent="0.35">
      <c r="A6" s="3">
        <v>202502</v>
      </c>
      <c r="B6" s="5">
        <v>30</v>
      </c>
      <c r="C6" s="5"/>
      <c r="D6" s="5"/>
      <c r="E6" s="5"/>
      <c r="F6" s="5">
        <v>1</v>
      </c>
      <c r="G6" s="5">
        <v>26</v>
      </c>
    </row>
    <row r="7" spans="1:7" x14ac:dyDescent="0.35">
      <c r="A7" s="3">
        <v>202503</v>
      </c>
      <c r="B7" s="5">
        <v>24</v>
      </c>
      <c r="C7" s="5"/>
      <c r="D7" s="5"/>
      <c r="E7" s="5"/>
      <c r="F7" s="5">
        <v>4</v>
      </c>
      <c r="G7" s="5">
        <v>29</v>
      </c>
    </row>
    <row r="8" spans="1:7" x14ac:dyDescent="0.35">
      <c r="A8" s="3">
        <v>202504</v>
      </c>
      <c r="B8" s="5">
        <v>14</v>
      </c>
      <c r="C8" s="5"/>
      <c r="D8" s="5">
        <v>8</v>
      </c>
      <c r="E8" s="5"/>
      <c r="F8" s="5">
        <v>1</v>
      </c>
      <c r="G8" s="5">
        <v>34</v>
      </c>
    </row>
    <row r="9" spans="1:7" x14ac:dyDescent="0.35">
      <c r="A9" s="3">
        <v>202505</v>
      </c>
      <c r="B9" s="5">
        <v>25</v>
      </c>
      <c r="C9" s="5"/>
      <c r="D9" s="5">
        <v>17</v>
      </c>
      <c r="E9" s="5"/>
      <c r="F9" s="5">
        <v>1</v>
      </c>
      <c r="G9" s="5">
        <v>28</v>
      </c>
    </row>
    <row r="10" spans="1:7" x14ac:dyDescent="0.35">
      <c r="A10" s="3">
        <v>202506</v>
      </c>
      <c r="B10" s="5"/>
      <c r="C10" s="5">
        <v>28</v>
      </c>
      <c r="D10" s="5">
        <v>6</v>
      </c>
      <c r="E10" s="5">
        <v>13</v>
      </c>
      <c r="F10" s="5">
        <v>3</v>
      </c>
      <c r="G10" s="5">
        <v>34</v>
      </c>
    </row>
    <row r="11" spans="1:7" x14ac:dyDescent="0.35">
      <c r="A11" s="3">
        <v>202507</v>
      </c>
      <c r="B11" s="5"/>
      <c r="C11" s="5">
        <v>40</v>
      </c>
      <c r="D11" s="5"/>
      <c r="E11" s="5">
        <v>24</v>
      </c>
      <c r="F11" s="5">
        <v>1</v>
      </c>
      <c r="G11" s="5">
        <v>36</v>
      </c>
    </row>
    <row r="12" spans="1:7" x14ac:dyDescent="0.35">
      <c r="A12" s="3">
        <v>202508</v>
      </c>
      <c r="B12" s="5">
        <v>4</v>
      </c>
      <c r="C12" s="5">
        <v>37</v>
      </c>
      <c r="D12" s="5">
        <v>6</v>
      </c>
      <c r="E12" s="5">
        <v>27</v>
      </c>
      <c r="F12" s="5">
        <v>2</v>
      </c>
      <c r="G12" s="5">
        <v>27</v>
      </c>
    </row>
    <row r="13" spans="1:7" x14ac:dyDescent="0.35">
      <c r="A13" s="3">
        <v>202509</v>
      </c>
      <c r="B13" s="5">
        <v>6</v>
      </c>
      <c r="C13" s="5">
        <v>60</v>
      </c>
      <c r="D13" s="5">
        <v>7</v>
      </c>
      <c r="E13" s="5">
        <v>26</v>
      </c>
      <c r="F13" s="5">
        <v>2</v>
      </c>
      <c r="G13" s="5">
        <v>45</v>
      </c>
    </row>
    <row r="14" spans="1:7" x14ac:dyDescent="0.35">
      <c r="A14" s="3">
        <v>202510</v>
      </c>
      <c r="B14" s="5">
        <v>1</v>
      </c>
      <c r="C14" s="5">
        <v>57</v>
      </c>
      <c r="D14" s="5">
        <v>5</v>
      </c>
      <c r="E14" s="5">
        <v>43</v>
      </c>
      <c r="F14" s="5">
        <v>3</v>
      </c>
      <c r="G14" s="5">
        <v>32</v>
      </c>
    </row>
    <row r="15" spans="1:7" x14ac:dyDescent="0.35">
      <c r="A15" s="3">
        <v>202511</v>
      </c>
      <c r="B15" s="5">
        <v>6</v>
      </c>
      <c r="C15" s="5">
        <v>45</v>
      </c>
      <c r="D15" s="5"/>
      <c r="E15" s="5">
        <v>45</v>
      </c>
      <c r="F15" s="5">
        <v>7</v>
      </c>
      <c r="G15" s="5">
        <v>18</v>
      </c>
    </row>
    <row r="16" spans="1:7" x14ac:dyDescent="0.35">
      <c r="A16" s="3">
        <v>202512</v>
      </c>
      <c r="B16" s="5">
        <v>7</v>
      </c>
      <c r="C16" s="5">
        <v>57</v>
      </c>
      <c r="D16" s="5"/>
      <c r="E16" s="5">
        <v>44</v>
      </c>
      <c r="F16" s="5">
        <v>4</v>
      </c>
      <c r="G16" s="5">
        <v>15</v>
      </c>
    </row>
    <row r="17" spans="1:15" x14ac:dyDescent="0.35">
      <c r="A17" s="3">
        <v>202601</v>
      </c>
      <c r="B17" s="5">
        <v>16</v>
      </c>
      <c r="C17" s="5">
        <v>78</v>
      </c>
      <c r="D17" s="5">
        <v>6</v>
      </c>
      <c r="E17" s="5">
        <v>12</v>
      </c>
      <c r="F17" s="5">
        <v>6</v>
      </c>
      <c r="G17" s="5">
        <v>28</v>
      </c>
    </row>
    <row r="18" spans="1:15" x14ac:dyDescent="0.35">
      <c r="A18" s="3">
        <v>202602</v>
      </c>
      <c r="B18" s="5">
        <v>8</v>
      </c>
      <c r="C18" s="5">
        <v>84</v>
      </c>
      <c r="D18" s="5">
        <v>9</v>
      </c>
      <c r="E18" s="5">
        <v>16</v>
      </c>
      <c r="F18" s="5">
        <v>12</v>
      </c>
      <c r="G18" s="5">
        <v>26</v>
      </c>
    </row>
    <row r="19" spans="1:15" x14ac:dyDescent="0.35">
      <c r="A19" s="3"/>
    </row>
    <row r="20" spans="1:15" x14ac:dyDescent="0.35">
      <c r="A20" s="3"/>
    </row>
    <row r="21" spans="1:15" x14ac:dyDescent="0.35">
      <c r="A21" s="3"/>
    </row>
    <row r="22" spans="1:15" x14ac:dyDescent="0.35">
      <c r="A22" s="2" t="s">
        <v>1635</v>
      </c>
      <c r="B22" t="s">
        <v>1666</v>
      </c>
    </row>
    <row r="23" spans="1:15" x14ac:dyDescent="0.35">
      <c r="A23" s="2" t="s">
        <v>1640</v>
      </c>
      <c r="B23" s="3">
        <v>1</v>
      </c>
      <c r="I23" s="2" t="s">
        <v>1635</v>
      </c>
      <c r="J23" t="s">
        <v>1665</v>
      </c>
    </row>
    <row r="25" spans="1:15" x14ac:dyDescent="0.35">
      <c r="A25" s="2" t="s">
        <v>1659</v>
      </c>
      <c r="B25" s="2" t="s">
        <v>1657</v>
      </c>
      <c r="I25" s="2" t="s">
        <v>1659</v>
      </c>
      <c r="J25" s="2" t="s">
        <v>1657</v>
      </c>
    </row>
    <row r="26" spans="1:15" x14ac:dyDescent="0.35">
      <c r="B26" t="s">
        <v>4</v>
      </c>
      <c r="D26" t="s">
        <v>86</v>
      </c>
      <c r="F26" t="s">
        <v>37</v>
      </c>
      <c r="J26" t="s">
        <v>4</v>
      </c>
      <c r="L26" t="s">
        <v>86</v>
      </c>
      <c r="N26" t="s">
        <v>37</v>
      </c>
      <c r="O26" t="s">
        <v>1662</v>
      </c>
    </row>
    <row r="27" spans="1:15" x14ac:dyDescent="0.35">
      <c r="A27" s="2" t="s">
        <v>1656</v>
      </c>
      <c r="B27" t="s">
        <v>1660</v>
      </c>
      <c r="C27" t="s">
        <v>1661</v>
      </c>
      <c r="D27" t="s">
        <v>1660</v>
      </c>
      <c r="E27" t="s">
        <v>1661</v>
      </c>
      <c r="I27" s="2" t="s">
        <v>1656</v>
      </c>
      <c r="J27" t="s">
        <v>1660</v>
      </c>
      <c r="K27" t="s">
        <v>1661</v>
      </c>
      <c r="L27" t="s">
        <v>1660</v>
      </c>
      <c r="M27" t="s">
        <v>1661</v>
      </c>
    </row>
    <row r="28" spans="1:15" x14ac:dyDescent="0.35">
      <c r="A28" s="3">
        <v>202505</v>
      </c>
      <c r="B28" s="4">
        <v>683500.50756835938</v>
      </c>
      <c r="C28" s="4"/>
      <c r="D28" s="4"/>
      <c r="E28" s="4"/>
      <c r="F28" s="4">
        <v>115005.734375</v>
      </c>
      <c r="I28" s="3">
        <v>202505</v>
      </c>
      <c r="J28" s="4">
        <v>2343188.7438964844</v>
      </c>
      <c r="K28" s="4"/>
      <c r="L28" s="4">
        <v>1355302.5</v>
      </c>
      <c r="M28" s="4"/>
      <c r="N28" s="4">
        <v>115005.734375</v>
      </c>
      <c r="O28" s="4">
        <v>1970974.15234375</v>
      </c>
    </row>
    <row r="29" spans="1:15" x14ac:dyDescent="0.35">
      <c r="A29" s="3">
        <v>202506</v>
      </c>
      <c r="B29" s="4"/>
      <c r="C29" s="4">
        <v>1181218.169921875</v>
      </c>
      <c r="D29" s="4"/>
      <c r="E29" s="4"/>
      <c r="F29" s="4">
        <v>320831.0390625</v>
      </c>
      <c r="I29" s="3">
        <v>202506</v>
      </c>
      <c r="J29" s="4"/>
      <c r="K29" s="4">
        <v>3044836.0478515625</v>
      </c>
      <c r="L29" s="4">
        <v>203362.052734375</v>
      </c>
      <c r="M29" s="4">
        <v>1263531.640625</v>
      </c>
      <c r="N29" s="4">
        <v>320831.0390625</v>
      </c>
      <c r="O29" s="4">
        <v>1996850.7197265625</v>
      </c>
    </row>
    <row r="30" spans="1:15" x14ac:dyDescent="0.35">
      <c r="A30" s="3">
        <v>202507</v>
      </c>
      <c r="B30" s="4"/>
      <c r="C30" s="4">
        <v>2018073.75390625</v>
      </c>
      <c r="D30" s="4"/>
      <c r="E30" s="4">
        <v>246136.0546875</v>
      </c>
      <c r="F30" s="4">
        <v>283264.5</v>
      </c>
      <c r="I30" s="3">
        <v>202507</v>
      </c>
      <c r="J30" s="4"/>
      <c r="K30" s="4">
        <v>4741382.1352539063</v>
      </c>
      <c r="L30" s="4"/>
      <c r="M30" s="4">
        <v>1859768.140625</v>
      </c>
      <c r="N30" s="4">
        <v>283264.5</v>
      </c>
      <c r="O30" s="4">
        <v>2629409.34375</v>
      </c>
    </row>
    <row r="31" spans="1:15" x14ac:dyDescent="0.35">
      <c r="A31" s="3">
        <v>202508</v>
      </c>
      <c r="B31" s="4">
        <v>12057.4609375</v>
      </c>
      <c r="C31" s="4">
        <v>1249622.1545410156</v>
      </c>
      <c r="D31" s="4">
        <v>12057.4609375</v>
      </c>
      <c r="E31" s="4">
        <v>236190.423828125</v>
      </c>
      <c r="F31" s="4">
        <v>301515.03125</v>
      </c>
      <c r="I31" s="3">
        <v>202508</v>
      </c>
      <c r="J31" s="4">
        <v>173897.92578125</v>
      </c>
      <c r="K31" s="4">
        <v>3280969.0285644531</v>
      </c>
      <c r="L31" s="4">
        <v>265001.203125</v>
      </c>
      <c r="M31" s="4">
        <v>2051947.408203125</v>
      </c>
      <c r="N31" s="4">
        <v>301515.03125</v>
      </c>
      <c r="O31" s="4">
        <v>1898744.6275863647</v>
      </c>
    </row>
    <row r="32" spans="1:15" x14ac:dyDescent="0.35">
      <c r="A32" s="3">
        <v>202509</v>
      </c>
      <c r="B32" s="4">
        <v>398530.6103515625</v>
      </c>
      <c r="C32" s="4">
        <v>2754917.015625</v>
      </c>
      <c r="D32" s="4">
        <v>230571.44140625</v>
      </c>
      <c r="E32" s="4">
        <v>334781.19921875</v>
      </c>
      <c r="F32" s="4">
        <v>132006.603515625</v>
      </c>
      <c r="I32" s="3">
        <v>202509</v>
      </c>
      <c r="J32" s="4">
        <v>409581.5537109375</v>
      </c>
      <c r="K32" s="4">
        <v>6561556.7373046875</v>
      </c>
      <c r="L32" s="4">
        <v>263061.814453125</v>
      </c>
      <c r="M32" s="4">
        <v>2021479.017578125</v>
      </c>
      <c r="N32" s="4">
        <v>132006.603515625</v>
      </c>
      <c r="O32" s="4">
        <v>3466990.7312011719</v>
      </c>
    </row>
    <row r="33" spans="1:15" x14ac:dyDescent="0.35">
      <c r="A33" s="3">
        <v>202510</v>
      </c>
      <c r="B33" s="4">
        <v>66447.0703125</v>
      </c>
      <c r="C33" s="4">
        <v>3114559.56640625</v>
      </c>
      <c r="D33" s="4">
        <v>141924.455078125</v>
      </c>
      <c r="E33" s="4">
        <v>437561.46484375</v>
      </c>
      <c r="F33" s="4">
        <v>378299.3046875</v>
      </c>
      <c r="I33" s="3">
        <v>202510</v>
      </c>
      <c r="J33" s="4">
        <v>66447.0703125</v>
      </c>
      <c r="K33" s="4">
        <v>5300755.3609619141</v>
      </c>
      <c r="L33" s="4">
        <v>215951.537109375</v>
      </c>
      <c r="M33" s="4">
        <v>4146108.5248413086</v>
      </c>
      <c r="N33" s="4">
        <v>378299.3046875</v>
      </c>
      <c r="O33" s="4">
        <v>2359146.076171875</v>
      </c>
    </row>
    <row r="34" spans="1:15" x14ac:dyDescent="0.35">
      <c r="A34" s="3">
        <v>202511</v>
      </c>
      <c r="B34" s="4">
        <v>205745.6259765625</v>
      </c>
      <c r="C34" s="4">
        <v>1992284.28515625</v>
      </c>
      <c r="D34" s="4"/>
      <c r="E34" s="4">
        <v>741928.642578125</v>
      </c>
      <c r="F34" s="4">
        <v>170008.5</v>
      </c>
      <c r="I34" s="3">
        <v>202511</v>
      </c>
      <c r="J34" s="4">
        <v>1170081.5869140625</v>
      </c>
      <c r="K34" s="4">
        <v>5267157.3809204102</v>
      </c>
      <c r="L34" s="4"/>
      <c r="M34" s="4">
        <v>3427308.0689697266</v>
      </c>
      <c r="N34" s="4">
        <v>531326.70703125</v>
      </c>
      <c r="O34" s="4">
        <v>1135818.8208007813</v>
      </c>
    </row>
    <row r="35" spans="1:15" x14ac:dyDescent="0.35">
      <c r="A35" s="3">
        <v>202512</v>
      </c>
      <c r="B35" s="4">
        <v>146843.884765625</v>
      </c>
      <c r="C35" s="4">
        <v>2075944.2537841797</v>
      </c>
      <c r="D35" s="4"/>
      <c r="E35" s="4">
        <v>938096.11328125</v>
      </c>
      <c r="F35" s="4">
        <v>161108.046875</v>
      </c>
      <c r="I35" s="3">
        <v>202512</v>
      </c>
      <c r="J35" s="4">
        <v>207915.2587890625</v>
      </c>
      <c r="K35" s="4">
        <v>6403092.4228515625</v>
      </c>
      <c r="L35" s="4"/>
      <c r="M35" s="4">
        <v>3030644.828125</v>
      </c>
      <c r="N35" s="4">
        <v>382331.703125</v>
      </c>
      <c r="O35" s="4">
        <v>1046734.4580078125</v>
      </c>
    </row>
    <row r="36" spans="1:15" x14ac:dyDescent="0.35">
      <c r="A36" s="3">
        <v>202601</v>
      </c>
      <c r="B36" s="4">
        <v>603783.12377929688</v>
      </c>
      <c r="C36" s="4">
        <v>3247040.9440917969</v>
      </c>
      <c r="D36" s="4">
        <v>128413.9892578125</v>
      </c>
      <c r="E36" s="4">
        <v>269102.236328125</v>
      </c>
      <c r="F36" s="4">
        <v>487621.31640625</v>
      </c>
      <c r="I36" s="3">
        <v>202601</v>
      </c>
      <c r="J36" s="4">
        <v>1116169.0285644531</v>
      </c>
      <c r="K36" s="4">
        <v>7896130.9858398438</v>
      </c>
      <c r="L36" s="4">
        <v>128413.9892578125</v>
      </c>
      <c r="M36" s="4">
        <v>505078.7138671875</v>
      </c>
      <c r="N36" s="4">
        <v>512774.58984375</v>
      </c>
      <c r="O36" s="4">
        <v>1728418.9030761719</v>
      </c>
    </row>
    <row r="37" spans="1:15" x14ac:dyDescent="0.35">
      <c r="A37" s="3">
        <v>202602</v>
      </c>
      <c r="B37" s="4">
        <v>282834.71484375</v>
      </c>
      <c r="C37" s="4">
        <v>3178795.6076660156</v>
      </c>
      <c r="D37" s="4">
        <v>95012.525390625</v>
      </c>
      <c r="E37" s="4">
        <v>224721.95703125</v>
      </c>
      <c r="F37" s="4">
        <v>79999.9453125</v>
      </c>
      <c r="I37" s="3">
        <v>202602</v>
      </c>
      <c r="J37" s="4">
        <v>771233.9453125</v>
      </c>
      <c r="K37" s="4">
        <v>9957202.8444824219</v>
      </c>
      <c r="L37" s="4">
        <v>352901.76123046875</v>
      </c>
      <c r="M37" s="4">
        <v>886951.08984375</v>
      </c>
      <c r="N37" s="4">
        <v>515716.3408203125</v>
      </c>
      <c r="O37" s="4">
        <v>2033269.3985595703</v>
      </c>
    </row>
    <row r="38" spans="1:15" x14ac:dyDescent="0.35">
      <c r="A38" s="3" t="s">
        <v>1664</v>
      </c>
      <c r="B38" s="4">
        <v>2399742.9985351563</v>
      </c>
      <c r="C38" s="4">
        <v>20812455.751098633</v>
      </c>
      <c r="D38" s="4">
        <v>607979.8720703125</v>
      </c>
      <c r="E38" s="4">
        <v>3428518.091796875</v>
      </c>
      <c r="F38" s="4">
        <v>2429660.021484375</v>
      </c>
      <c r="I38" s="3" t="s">
        <v>1664</v>
      </c>
      <c r="J38" s="4">
        <v>6258515.11328125</v>
      </c>
      <c r="K38" s="4">
        <v>52453082.944030762</v>
      </c>
      <c r="L38" s="4">
        <v>2783994.8579101563</v>
      </c>
      <c r="M38" s="4">
        <v>19192817.432678223</v>
      </c>
      <c r="N38" s="4">
        <v>3473071.5537109375</v>
      </c>
      <c r="O38" s="4">
        <v>20266357.23122406</v>
      </c>
    </row>
    <row r="39" spans="1:15" x14ac:dyDescent="0.35">
      <c r="A39" s="3"/>
      <c r="B39" s="4"/>
      <c r="C39" s="4"/>
      <c r="D39" s="4"/>
      <c r="E39" s="4"/>
      <c r="F39" s="4"/>
      <c r="I39" s="3"/>
      <c r="J39" s="4"/>
      <c r="K39" s="4"/>
      <c r="L39" s="4"/>
      <c r="M39" s="4"/>
      <c r="N39" s="4"/>
    </row>
    <row r="42" spans="1:15" x14ac:dyDescent="0.35">
      <c r="A42" s="2" t="s">
        <v>1635</v>
      </c>
      <c r="B42" t="s">
        <v>1666</v>
      </c>
    </row>
    <row r="43" spans="1:15" x14ac:dyDescent="0.35">
      <c r="A43" s="2" t="s">
        <v>1640</v>
      </c>
      <c r="B43" s="3">
        <v>1</v>
      </c>
      <c r="I43" s="2" t="s">
        <v>1635</v>
      </c>
      <c r="J43" t="s">
        <v>1665</v>
      </c>
    </row>
    <row r="45" spans="1:15" x14ac:dyDescent="0.35">
      <c r="A45" s="2" t="s">
        <v>1663</v>
      </c>
      <c r="B45" s="2" t="s">
        <v>1657</v>
      </c>
      <c r="I45" s="2" t="s">
        <v>1663</v>
      </c>
      <c r="J45" s="2" t="s">
        <v>1657</v>
      </c>
    </row>
    <row r="46" spans="1:15" x14ac:dyDescent="0.35">
      <c r="B46" t="s">
        <v>4</v>
      </c>
      <c r="D46" t="s">
        <v>86</v>
      </c>
      <c r="F46" t="s">
        <v>37</v>
      </c>
      <c r="J46" t="s">
        <v>4</v>
      </c>
      <c r="L46" t="s">
        <v>86</v>
      </c>
      <c r="N46" t="s">
        <v>37</v>
      </c>
      <c r="O46" t="s">
        <v>1662</v>
      </c>
    </row>
    <row r="47" spans="1:15" x14ac:dyDescent="0.35">
      <c r="A47" s="2" t="s">
        <v>1656</v>
      </c>
      <c r="B47" t="s">
        <v>1660</v>
      </c>
      <c r="C47" t="s">
        <v>1661</v>
      </c>
      <c r="D47" t="s">
        <v>1660</v>
      </c>
      <c r="E47" t="s">
        <v>1661</v>
      </c>
      <c r="I47" s="2" t="s">
        <v>1656</v>
      </c>
      <c r="J47" t="s">
        <v>1660</v>
      </c>
      <c r="K47" t="s">
        <v>1661</v>
      </c>
      <c r="L47" t="s">
        <v>1660</v>
      </c>
      <c r="M47" t="s">
        <v>1661</v>
      </c>
    </row>
    <row r="48" spans="1:15" x14ac:dyDescent="0.35">
      <c r="A48" s="3">
        <v>202506</v>
      </c>
      <c r="B48" s="4"/>
      <c r="C48" s="4">
        <v>11</v>
      </c>
      <c r="D48" s="4"/>
      <c r="E48" s="4"/>
      <c r="F48" s="4">
        <v>3</v>
      </c>
      <c r="I48" s="3">
        <v>202506</v>
      </c>
      <c r="J48" s="4"/>
      <c r="K48" s="4">
        <v>28</v>
      </c>
      <c r="L48" s="4">
        <v>6</v>
      </c>
      <c r="M48" s="4">
        <v>13</v>
      </c>
      <c r="N48" s="4">
        <v>3</v>
      </c>
      <c r="O48" s="4">
        <v>34</v>
      </c>
    </row>
    <row r="49" spans="1:15" x14ac:dyDescent="0.35">
      <c r="A49" s="3">
        <v>202507</v>
      </c>
      <c r="B49" s="4"/>
      <c r="C49" s="4">
        <v>18</v>
      </c>
      <c r="D49" s="4"/>
      <c r="E49" s="4">
        <v>4</v>
      </c>
      <c r="F49" s="4">
        <v>1</v>
      </c>
      <c r="I49" s="3">
        <v>202507</v>
      </c>
      <c r="J49" s="4"/>
      <c r="K49" s="4">
        <v>40</v>
      </c>
      <c r="L49" s="4"/>
      <c r="M49" s="4">
        <v>24</v>
      </c>
      <c r="N49" s="4">
        <v>1</v>
      </c>
      <c r="O49" s="4">
        <v>36</v>
      </c>
    </row>
    <row r="50" spans="1:15" x14ac:dyDescent="0.35">
      <c r="A50" s="3">
        <v>202508</v>
      </c>
      <c r="B50" s="4">
        <v>1</v>
      </c>
      <c r="C50" s="4">
        <v>17</v>
      </c>
      <c r="D50" s="4">
        <v>1</v>
      </c>
      <c r="E50" s="4">
        <v>4</v>
      </c>
      <c r="F50" s="4">
        <v>2</v>
      </c>
      <c r="I50" s="3">
        <v>202508</v>
      </c>
      <c r="J50" s="4">
        <v>4</v>
      </c>
      <c r="K50" s="4">
        <v>37</v>
      </c>
      <c r="L50" s="4">
        <v>6</v>
      </c>
      <c r="M50" s="4">
        <v>27</v>
      </c>
      <c r="N50" s="4">
        <v>2</v>
      </c>
      <c r="O50" s="4">
        <v>27</v>
      </c>
    </row>
    <row r="51" spans="1:15" x14ac:dyDescent="0.35">
      <c r="A51" s="3">
        <v>202509</v>
      </c>
      <c r="B51" s="4">
        <v>5</v>
      </c>
      <c r="C51" s="4">
        <v>23</v>
      </c>
      <c r="D51" s="4">
        <v>5</v>
      </c>
      <c r="E51" s="4">
        <v>5</v>
      </c>
      <c r="F51" s="4">
        <v>2</v>
      </c>
      <c r="I51" s="3">
        <v>202509</v>
      </c>
      <c r="J51" s="4">
        <v>6</v>
      </c>
      <c r="K51" s="4">
        <v>60</v>
      </c>
      <c r="L51" s="4">
        <v>7</v>
      </c>
      <c r="M51" s="4">
        <v>26</v>
      </c>
      <c r="N51" s="4">
        <v>2</v>
      </c>
      <c r="O51" s="4">
        <v>45</v>
      </c>
    </row>
    <row r="52" spans="1:15" x14ac:dyDescent="0.35">
      <c r="A52" s="3">
        <v>202510</v>
      </c>
      <c r="B52" s="4">
        <v>1</v>
      </c>
      <c r="C52" s="4">
        <v>33</v>
      </c>
      <c r="D52" s="4">
        <v>2</v>
      </c>
      <c r="E52" s="4">
        <v>4</v>
      </c>
      <c r="F52" s="4">
        <v>3</v>
      </c>
      <c r="I52" s="3">
        <v>202510</v>
      </c>
      <c r="J52" s="4">
        <v>1</v>
      </c>
      <c r="K52" s="4">
        <v>57</v>
      </c>
      <c r="L52" s="4">
        <v>5</v>
      </c>
      <c r="M52" s="4">
        <v>43</v>
      </c>
      <c r="N52" s="4">
        <v>3</v>
      </c>
      <c r="O52" s="4">
        <v>32</v>
      </c>
    </row>
    <row r="53" spans="1:15" x14ac:dyDescent="0.35">
      <c r="A53" s="3">
        <v>202511</v>
      </c>
      <c r="B53" s="4">
        <v>4</v>
      </c>
      <c r="C53" s="4">
        <v>15</v>
      </c>
      <c r="D53" s="4"/>
      <c r="E53" s="4">
        <v>10</v>
      </c>
      <c r="F53" s="4">
        <v>1</v>
      </c>
      <c r="I53" s="3">
        <v>202511</v>
      </c>
      <c r="J53" s="4">
        <v>6</v>
      </c>
      <c r="K53" s="4">
        <v>45</v>
      </c>
      <c r="L53" s="4"/>
      <c r="M53" s="4">
        <v>45</v>
      </c>
      <c r="N53" s="4">
        <v>7</v>
      </c>
      <c r="O53" s="4">
        <v>18</v>
      </c>
    </row>
    <row r="54" spans="1:15" x14ac:dyDescent="0.35">
      <c r="A54" s="3">
        <v>202512</v>
      </c>
      <c r="B54" s="4">
        <v>4</v>
      </c>
      <c r="C54" s="4">
        <v>21</v>
      </c>
      <c r="D54" s="4"/>
      <c r="E54" s="4">
        <v>16</v>
      </c>
      <c r="F54" s="4">
        <v>1</v>
      </c>
      <c r="I54" s="3">
        <v>202512</v>
      </c>
      <c r="J54" s="4">
        <v>7</v>
      </c>
      <c r="K54" s="4">
        <v>57</v>
      </c>
      <c r="L54" s="4"/>
      <c r="M54" s="4">
        <v>44</v>
      </c>
      <c r="N54" s="4">
        <v>4</v>
      </c>
      <c r="O54" s="4">
        <v>15</v>
      </c>
    </row>
    <row r="55" spans="1:15" x14ac:dyDescent="0.35">
      <c r="A55" s="3">
        <v>202601</v>
      </c>
      <c r="B55" s="4">
        <v>10</v>
      </c>
      <c r="C55" s="4">
        <v>34</v>
      </c>
      <c r="D55" s="4">
        <v>6</v>
      </c>
      <c r="E55" s="4">
        <v>6</v>
      </c>
      <c r="F55" s="4">
        <v>5</v>
      </c>
      <c r="I55" s="3">
        <v>202601</v>
      </c>
      <c r="J55" s="4">
        <v>16</v>
      </c>
      <c r="K55" s="4">
        <v>78</v>
      </c>
      <c r="L55" s="4">
        <v>6</v>
      </c>
      <c r="M55" s="4">
        <v>12</v>
      </c>
      <c r="N55" s="4">
        <v>6</v>
      </c>
      <c r="O55" s="4">
        <v>28</v>
      </c>
    </row>
    <row r="56" spans="1:15" x14ac:dyDescent="0.35">
      <c r="A56" s="3">
        <v>202602</v>
      </c>
      <c r="B56" s="4">
        <v>4</v>
      </c>
      <c r="C56" s="4">
        <v>28</v>
      </c>
      <c r="D56" s="4">
        <v>4</v>
      </c>
      <c r="E56" s="4">
        <v>5</v>
      </c>
      <c r="F56" s="4">
        <v>1</v>
      </c>
      <c r="I56" s="3">
        <v>202602</v>
      </c>
      <c r="J56" s="4">
        <v>8</v>
      </c>
      <c r="K56" s="4">
        <v>84</v>
      </c>
      <c r="L56" s="4">
        <v>9</v>
      </c>
      <c r="M56" s="4">
        <v>16</v>
      </c>
      <c r="N56" s="4">
        <v>12</v>
      </c>
      <c r="O56" s="4">
        <v>26</v>
      </c>
    </row>
    <row r="57" spans="1:15" x14ac:dyDescent="0.35">
      <c r="A57" s="3" t="s">
        <v>1664</v>
      </c>
      <c r="B57" s="4">
        <v>29</v>
      </c>
      <c r="C57" s="4">
        <v>200</v>
      </c>
      <c r="D57" s="4">
        <v>18</v>
      </c>
      <c r="E57" s="4">
        <v>54</v>
      </c>
      <c r="F57" s="4">
        <v>19</v>
      </c>
      <c r="I57" s="3" t="s">
        <v>1664</v>
      </c>
      <c r="J57" s="4">
        <v>48</v>
      </c>
      <c r="K57" s="4">
        <v>486</v>
      </c>
      <c r="L57" s="4">
        <v>39</v>
      </c>
      <c r="M57" s="4">
        <v>250</v>
      </c>
      <c r="N57" s="4">
        <v>40</v>
      </c>
      <c r="O57" s="4">
        <v>261</v>
      </c>
    </row>
    <row r="58" spans="1:15" x14ac:dyDescent="0.35">
      <c r="A58" s="3"/>
      <c r="B58" s="4"/>
      <c r="C58" s="4"/>
      <c r="D58" s="4"/>
      <c r="E58" s="4"/>
      <c r="F58" s="4"/>
      <c r="G58" s="4"/>
      <c r="I58" s="3"/>
      <c r="J58" s="4"/>
      <c r="K58" s="4"/>
      <c r="L58" s="4"/>
      <c r="M58" s="4"/>
      <c r="N58" s="4"/>
      <c r="O58" s="4"/>
    </row>
    <row r="59" spans="1:15" x14ac:dyDescent="0.35">
      <c r="A59" s="3"/>
      <c r="B59" s="4"/>
      <c r="C59" s="4"/>
      <c r="D59" s="4"/>
      <c r="E59" s="4"/>
      <c r="F59" s="4"/>
      <c r="G59" s="4"/>
    </row>
    <row r="60" spans="1:15" x14ac:dyDescent="0.35">
      <c r="A60" s="3"/>
      <c r="B60" s="4"/>
      <c r="C60" s="4"/>
      <c r="D60" s="4"/>
      <c r="E60" s="4"/>
      <c r="F60" s="4"/>
      <c r="G60" s="4"/>
    </row>
    <row r="61" spans="1:15" x14ac:dyDescent="0.35">
      <c r="A61" s="3"/>
      <c r="B61" s="4"/>
      <c r="C61" s="4"/>
      <c r="D61" s="4"/>
      <c r="E61" s="4"/>
      <c r="F61" s="4"/>
      <c r="G61" s="4"/>
    </row>
    <row r="63" spans="1:15" x14ac:dyDescent="0.35">
      <c r="A63" s="2" t="s">
        <v>1663</v>
      </c>
      <c r="B63" s="2" t="s">
        <v>1657</v>
      </c>
    </row>
    <row r="64" spans="1:15" x14ac:dyDescent="0.35">
      <c r="B64" t="s">
        <v>4</v>
      </c>
      <c r="D64" t="s">
        <v>86</v>
      </c>
      <c r="F64" t="s">
        <v>37</v>
      </c>
      <c r="G64" t="s">
        <v>1662</v>
      </c>
    </row>
    <row r="65" spans="1:7" x14ac:dyDescent="0.35">
      <c r="A65" s="2" t="s">
        <v>1656</v>
      </c>
      <c r="B65" t="s">
        <v>1660</v>
      </c>
      <c r="C65" t="s">
        <v>1661</v>
      </c>
      <c r="D65" t="s">
        <v>1660</v>
      </c>
      <c r="E65" t="s">
        <v>1661</v>
      </c>
    </row>
    <row r="66" spans="1:7" x14ac:dyDescent="0.35">
      <c r="A66" s="3">
        <v>202506</v>
      </c>
      <c r="B66" s="4"/>
      <c r="C66" s="4">
        <v>28</v>
      </c>
      <c r="D66" s="4">
        <v>6</v>
      </c>
      <c r="E66" s="4">
        <v>13</v>
      </c>
      <c r="F66" s="4">
        <v>3</v>
      </c>
      <c r="G66" s="4">
        <v>34</v>
      </c>
    </row>
    <row r="67" spans="1:7" x14ac:dyDescent="0.35">
      <c r="A67" s="3">
        <v>202507</v>
      </c>
      <c r="B67" s="4"/>
      <c r="C67" s="4">
        <v>40</v>
      </c>
      <c r="D67" s="4"/>
      <c r="E67" s="4">
        <v>24</v>
      </c>
      <c r="F67" s="4">
        <v>1</v>
      </c>
      <c r="G67" s="4">
        <v>36</v>
      </c>
    </row>
    <row r="68" spans="1:7" x14ac:dyDescent="0.35">
      <c r="A68" s="3">
        <v>202508</v>
      </c>
      <c r="B68" s="4">
        <v>4</v>
      </c>
      <c r="C68" s="4">
        <v>37</v>
      </c>
      <c r="D68" s="4">
        <v>6</v>
      </c>
      <c r="E68" s="4">
        <v>27</v>
      </c>
      <c r="F68" s="4">
        <v>2</v>
      </c>
      <c r="G68" s="4">
        <v>27</v>
      </c>
    </row>
    <row r="69" spans="1:7" x14ac:dyDescent="0.35">
      <c r="A69" s="3">
        <v>202509</v>
      </c>
      <c r="B69" s="4">
        <v>6</v>
      </c>
      <c r="C69" s="4">
        <v>60</v>
      </c>
      <c r="D69" s="4">
        <v>7</v>
      </c>
      <c r="E69" s="4">
        <v>26</v>
      </c>
      <c r="F69" s="4">
        <v>2</v>
      </c>
      <c r="G69" s="4">
        <v>45</v>
      </c>
    </row>
    <row r="70" spans="1:7" x14ac:dyDescent="0.35">
      <c r="A70" s="3">
        <v>202510</v>
      </c>
      <c r="B70" s="4">
        <v>1</v>
      </c>
      <c r="C70" s="4">
        <v>57</v>
      </c>
      <c r="D70" s="4">
        <v>5</v>
      </c>
      <c r="E70" s="4">
        <v>43</v>
      </c>
      <c r="F70" s="4">
        <v>3</v>
      </c>
      <c r="G70" s="4">
        <v>32</v>
      </c>
    </row>
    <row r="71" spans="1:7" x14ac:dyDescent="0.35">
      <c r="A71" s="3">
        <v>202511</v>
      </c>
      <c r="B71" s="4">
        <v>6</v>
      </c>
      <c r="C71" s="4">
        <v>45</v>
      </c>
      <c r="D71" s="4"/>
      <c r="E71" s="4">
        <v>45</v>
      </c>
      <c r="F71" s="4">
        <v>7</v>
      </c>
      <c r="G71" s="4">
        <v>18</v>
      </c>
    </row>
    <row r="72" spans="1:7" x14ac:dyDescent="0.35">
      <c r="A72" s="3">
        <v>202512</v>
      </c>
      <c r="B72" s="4">
        <v>7</v>
      </c>
      <c r="C72" s="4">
        <v>57</v>
      </c>
      <c r="D72" s="4"/>
      <c r="E72" s="4">
        <v>44</v>
      </c>
      <c r="F72" s="4">
        <v>4</v>
      </c>
      <c r="G72" s="4">
        <v>15</v>
      </c>
    </row>
    <row r="73" spans="1:7" x14ac:dyDescent="0.35">
      <c r="A73" s="3">
        <v>202601</v>
      </c>
      <c r="B73" s="4">
        <v>16</v>
      </c>
      <c r="C73" s="4">
        <v>78</v>
      </c>
      <c r="D73" s="4">
        <v>6</v>
      </c>
      <c r="E73" s="4">
        <v>12</v>
      </c>
      <c r="F73" s="4">
        <v>6</v>
      </c>
      <c r="G73" s="4">
        <v>28</v>
      </c>
    </row>
    <row r="74" spans="1:7" x14ac:dyDescent="0.35">
      <c r="A74" s="3">
        <v>202602</v>
      </c>
      <c r="B74" s="4">
        <v>8</v>
      </c>
      <c r="C74" s="4">
        <v>84</v>
      </c>
      <c r="D74" s="4">
        <v>9</v>
      </c>
      <c r="E74" s="4">
        <v>16</v>
      </c>
      <c r="F74" s="4">
        <v>12</v>
      </c>
      <c r="G74" s="4">
        <v>26</v>
      </c>
    </row>
    <row r="75" spans="1:7" x14ac:dyDescent="0.35">
      <c r="A75" s="3" t="s">
        <v>1664</v>
      </c>
      <c r="B75" s="4">
        <v>48</v>
      </c>
      <c r="C75" s="4">
        <v>486</v>
      </c>
      <c r="D75" s="4">
        <v>39</v>
      </c>
      <c r="E75" s="4">
        <v>250</v>
      </c>
      <c r="F75" s="4">
        <v>40</v>
      </c>
      <c r="G75" s="4">
        <v>261</v>
      </c>
    </row>
    <row r="76" spans="1:7" x14ac:dyDescent="0.35">
      <c r="A76" s="3"/>
      <c r="B76" s="4"/>
      <c r="C76" s="4"/>
      <c r="D76" s="4"/>
      <c r="E76" s="4"/>
      <c r="F76" s="4"/>
      <c r="G76" s="4"/>
    </row>
    <row r="77" spans="1:7" x14ac:dyDescent="0.35">
      <c r="A77" s="3"/>
      <c r="B77" s="4"/>
      <c r="C77" s="4"/>
      <c r="D77" s="4"/>
      <c r="E77" s="4"/>
      <c r="F77" s="4"/>
      <c r="G77" s="4"/>
    </row>
    <row r="78" spans="1:7" x14ac:dyDescent="0.35">
      <c r="A78" s="2" t="s">
        <v>1616</v>
      </c>
      <c r="B78" t="s">
        <v>1666</v>
      </c>
      <c r="C78" s="4"/>
      <c r="D78" s="4"/>
      <c r="E78" s="4"/>
      <c r="F78" s="4"/>
      <c r="G78" s="4"/>
    </row>
    <row r="80" spans="1:7" x14ac:dyDescent="0.35">
      <c r="A80" s="2" t="s">
        <v>1663</v>
      </c>
      <c r="B80" s="2" t="s">
        <v>1657</v>
      </c>
    </row>
    <row r="81" spans="1:5" x14ac:dyDescent="0.35">
      <c r="B81" t="s">
        <v>4</v>
      </c>
      <c r="C81" t="s">
        <v>86</v>
      </c>
      <c r="D81" t="s">
        <v>37</v>
      </c>
      <c r="E81" t="s">
        <v>1662</v>
      </c>
    </row>
    <row r="82" spans="1:5" x14ac:dyDescent="0.35">
      <c r="A82" s="2" t="s">
        <v>1656</v>
      </c>
    </row>
    <row r="83" spans="1:5" x14ac:dyDescent="0.35">
      <c r="A83" s="3" t="s">
        <v>40</v>
      </c>
      <c r="B83" s="4">
        <v>104</v>
      </c>
      <c r="C83" s="4"/>
      <c r="D83" s="4"/>
      <c r="E83" s="4"/>
    </row>
    <row r="84" spans="1:5" x14ac:dyDescent="0.35">
      <c r="A84" s="3" t="s">
        <v>32</v>
      </c>
      <c r="B84" s="4">
        <v>94</v>
      </c>
      <c r="C84" s="4"/>
      <c r="D84" s="4"/>
      <c r="E84" s="4"/>
    </row>
    <row r="85" spans="1:5" x14ac:dyDescent="0.35">
      <c r="A85" s="3" t="s">
        <v>8</v>
      </c>
      <c r="B85" s="4">
        <v>78</v>
      </c>
      <c r="C85" s="4"/>
      <c r="D85" s="4"/>
      <c r="E85" s="4"/>
    </row>
    <row r="86" spans="1:5" x14ac:dyDescent="0.35">
      <c r="A86" s="3" t="s">
        <v>50</v>
      </c>
      <c r="B86" s="4">
        <v>75</v>
      </c>
      <c r="C86" s="4"/>
      <c r="D86" s="4"/>
      <c r="E86" s="4"/>
    </row>
    <row r="87" spans="1:5" x14ac:dyDescent="0.35">
      <c r="A87" s="3" t="s">
        <v>147</v>
      </c>
      <c r="B87" s="4">
        <v>69</v>
      </c>
      <c r="C87" s="4"/>
      <c r="D87" s="4"/>
      <c r="E87" s="4"/>
    </row>
    <row r="88" spans="1:5" x14ac:dyDescent="0.35">
      <c r="A88" s="3" t="s">
        <v>122</v>
      </c>
      <c r="B88" s="4">
        <v>52</v>
      </c>
      <c r="C88" s="4"/>
      <c r="D88" s="4"/>
      <c r="E88" s="4"/>
    </row>
    <row r="89" spans="1:5" x14ac:dyDescent="0.35">
      <c r="A89" s="3" t="s">
        <v>19</v>
      </c>
      <c r="B89" s="4">
        <v>30</v>
      </c>
      <c r="C89" s="4"/>
      <c r="D89" s="4"/>
      <c r="E89" s="4"/>
    </row>
    <row r="90" spans="1:5" x14ac:dyDescent="0.35">
      <c r="A90" s="3" t="s">
        <v>479</v>
      </c>
      <c r="B90" s="4">
        <v>4</v>
      </c>
      <c r="C90" s="4"/>
      <c r="D90" s="4"/>
      <c r="E90" s="4"/>
    </row>
    <row r="91" spans="1:5" x14ac:dyDescent="0.35">
      <c r="A91" s="3" t="s">
        <v>89</v>
      </c>
      <c r="B91" s="4"/>
      <c r="C91" s="4">
        <v>152</v>
      </c>
      <c r="D91" s="4"/>
      <c r="E91" s="4"/>
    </row>
    <row r="92" spans="1:5" x14ac:dyDescent="0.35">
      <c r="A92" s="3" t="s">
        <v>12</v>
      </c>
      <c r="B92" s="4"/>
      <c r="C92" s="4">
        <v>24</v>
      </c>
      <c r="D92" s="4">
        <v>23</v>
      </c>
      <c r="E92" s="4">
        <v>227</v>
      </c>
    </row>
    <row r="93" spans="1:5" x14ac:dyDescent="0.35">
      <c r="A93" s="3" t="s">
        <v>559</v>
      </c>
      <c r="B93" s="4"/>
      <c r="C93" s="4"/>
      <c r="D93" s="4">
        <v>5</v>
      </c>
      <c r="E93" s="4"/>
    </row>
    <row r="94" spans="1:5" x14ac:dyDescent="0.35">
      <c r="A94" s="3" t="s">
        <v>112</v>
      </c>
      <c r="B94" s="4"/>
      <c r="C94" s="4">
        <v>94</v>
      </c>
      <c r="D94" s="4"/>
      <c r="E94" s="4"/>
    </row>
    <row r="95" spans="1:5" x14ac:dyDescent="0.35">
      <c r="A95" s="3" t="s">
        <v>586</v>
      </c>
      <c r="B95" s="4"/>
      <c r="C95" s="4"/>
      <c r="D95" s="4">
        <v>6</v>
      </c>
      <c r="E95" s="4"/>
    </row>
    <row r="96" spans="1:5" x14ac:dyDescent="0.35">
      <c r="A96" s="3" t="s">
        <v>1035</v>
      </c>
      <c r="B96" s="4"/>
      <c r="C96" s="4"/>
      <c r="D96" s="4">
        <v>3</v>
      </c>
      <c r="E96" s="4"/>
    </row>
    <row r="97" spans="1:28" x14ac:dyDescent="0.35">
      <c r="A97" s="3" t="s">
        <v>1664</v>
      </c>
      <c r="B97" s="4">
        <v>506</v>
      </c>
      <c r="C97" s="4">
        <v>270</v>
      </c>
      <c r="D97" s="4">
        <v>37</v>
      </c>
      <c r="E97" s="4">
        <v>227</v>
      </c>
    </row>
    <row r="99" spans="1:28" x14ac:dyDescent="0.35">
      <c r="H99" s="2" t="s">
        <v>1644</v>
      </c>
      <c r="I99" t="s">
        <v>1665</v>
      </c>
      <c r="S99" s="2" t="s">
        <v>1644</v>
      </c>
      <c r="T99" t="s">
        <v>1665</v>
      </c>
    </row>
    <row r="100" spans="1:28" x14ac:dyDescent="0.35">
      <c r="A100" s="2" t="s">
        <v>1616</v>
      </c>
      <c r="B100" t="s">
        <v>1666</v>
      </c>
      <c r="C100" s="4"/>
      <c r="D100" s="4"/>
      <c r="E100" s="4"/>
      <c r="H100" s="2" t="s">
        <v>1636</v>
      </c>
      <c r="I100" t="s">
        <v>1665</v>
      </c>
      <c r="J100" s="4"/>
      <c r="K100" s="4"/>
      <c r="L100" s="4"/>
      <c r="S100" s="2" t="s">
        <v>1636</v>
      </c>
      <c r="T100" t="s">
        <v>1665</v>
      </c>
      <c r="U100" s="4"/>
      <c r="V100" s="4"/>
      <c r="W100" s="4"/>
    </row>
    <row r="102" spans="1:28" x14ac:dyDescent="0.35">
      <c r="A102" s="2" t="s">
        <v>1659</v>
      </c>
      <c r="B102" s="2" t="s">
        <v>1657</v>
      </c>
      <c r="H102" s="2" t="s">
        <v>1659</v>
      </c>
      <c r="I102" s="2" t="s">
        <v>1657</v>
      </c>
      <c r="S102" s="2" t="s">
        <v>1663</v>
      </c>
      <c r="T102" s="2" t="s">
        <v>1657</v>
      </c>
    </row>
    <row r="103" spans="1:28" x14ac:dyDescent="0.35">
      <c r="B103" t="s">
        <v>4</v>
      </c>
      <c r="C103" t="s">
        <v>86</v>
      </c>
      <c r="D103" t="s">
        <v>37</v>
      </c>
      <c r="E103" t="s">
        <v>1662</v>
      </c>
      <c r="H103" s="2" t="s">
        <v>1656</v>
      </c>
      <c r="I103">
        <v>202506</v>
      </c>
      <c r="J103">
        <v>202507</v>
      </c>
      <c r="K103">
        <v>202508</v>
      </c>
      <c r="L103">
        <v>202509</v>
      </c>
      <c r="M103">
        <v>202510</v>
      </c>
      <c r="N103">
        <v>202511</v>
      </c>
      <c r="O103">
        <v>202512</v>
      </c>
      <c r="P103">
        <v>202601</v>
      </c>
      <c r="Q103">
        <v>202602</v>
      </c>
      <c r="S103" s="2" t="s">
        <v>1656</v>
      </c>
      <c r="T103">
        <v>202506</v>
      </c>
      <c r="U103">
        <v>202507</v>
      </c>
      <c r="V103">
        <v>202508</v>
      </c>
      <c r="W103">
        <v>202509</v>
      </c>
      <c r="X103">
        <v>202510</v>
      </c>
      <c r="Y103">
        <v>202511</v>
      </c>
      <c r="Z103">
        <v>202512</v>
      </c>
      <c r="AA103">
        <v>202601</v>
      </c>
      <c r="AB103">
        <v>202602</v>
      </c>
    </row>
    <row r="104" spans="1:28" x14ac:dyDescent="0.35">
      <c r="A104" s="2" t="s">
        <v>1656</v>
      </c>
      <c r="H104" s="3" t="s">
        <v>586</v>
      </c>
      <c r="I104" s="4">
        <v>200825.03125</v>
      </c>
      <c r="J104" s="4"/>
      <c r="K104" s="4"/>
      <c r="L104" s="4">
        <v>20001.009765625</v>
      </c>
      <c r="M104" s="4">
        <v>77003.8671875</v>
      </c>
      <c r="N104" s="4">
        <v>170008.5</v>
      </c>
      <c r="O104" s="4"/>
      <c r="P104" s="4">
        <v>347614.3125</v>
      </c>
      <c r="Q104" s="4">
        <v>79999.9453125</v>
      </c>
      <c r="S104" s="3" t="s">
        <v>586</v>
      </c>
      <c r="T104" s="4">
        <v>2</v>
      </c>
      <c r="U104" s="4"/>
      <c r="V104" s="4"/>
      <c r="W104" s="4">
        <v>1</v>
      </c>
      <c r="X104" s="4">
        <v>1</v>
      </c>
      <c r="Y104" s="4">
        <v>1</v>
      </c>
      <c r="Z104" s="4"/>
      <c r="AA104" s="4">
        <v>2</v>
      </c>
      <c r="AB104" s="4">
        <v>1</v>
      </c>
    </row>
    <row r="105" spans="1:28" x14ac:dyDescent="0.35">
      <c r="A105" s="3" t="s">
        <v>40</v>
      </c>
      <c r="B105" s="4">
        <v>12641320.820556641</v>
      </c>
      <c r="C105" s="4"/>
      <c r="D105" s="4"/>
      <c r="E105" s="4"/>
      <c r="H105" s="3" t="s">
        <v>50</v>
      </c>
      <c r="I105" s="4">
        <v>588755.10546875</v>
      </c>
      <c r="J105" s="4">
        <v>1024570.5146484375</v>
      </c>
      <c r="K105" s="4">
        <v>422775.994140625</v>
      </c>
      <c r="L105" s="4">
        <v>478781.8916015625</v>
      </c>
      <c r="M105" s="4">
        <v>757332.62658691406</v>
      </c>
      <c r="N105" s="4">
        <v>356074.6328125</v>
      </c>
      <c r="O105" s="4">
        <v>814225.541015625</v>
      </c>
      <c r="P105" s="4">
        <v>1914328.4870605469</v>
      </c>
      <c r="Q105" s="4">
        <v>865789.2890625</v>
      </c>
      <c r="S105" s="3" t="s">
        <v>50</v>
      </c>
      <c r="T105" s="4">
        <v>6</v>
      </c>
      <c r="U105" s="4">
        <v>9</v>
      </c>
      <c r="V105" s="4">
        <v>7</v>
      </c>
      <c r="W105" s="4">
        <v>8</v>
      </c>
      <c r="X105" s="4">
        <v>11</v>
      </c>
      <c r="Y105" s="4">
        <v>2</v>
      </c>
      <c r="Z105" s="4">
        <v>9</v>
      </c>
      <c r="AA105" s="4">
        <v>18</v>
      </c>
      <c r="AB105" s="4">
        <v>11</v>
      </c>
    </row>
    <row r="106" spans="1:28" x14ac:dyDescent="0.35">
      <c r="A106" s="3" t="s">
        <v>147</v>
      </c>
      <c r="B106" s="4">
        <v>9922740.5447998047</v>
      </c>
      <c r="C106" s="4"/>
      <c r="D106" s="4"/>
      <c r="E106" s="4"/>
      <c r="H106" s="3" t="s">
        <v>8</v>
      </c>
      <c r="I106" s="4">
        <v>98498.58984375</v>
      </c>
      <c r="J106" s="4">
        <v>1644783.6323242188</v>
      </c>
      <c r="K106" s="4">
        <v>277635.673828125</v>
      </c>
      <c r="L106" s="4">
        <v>885219.55078125</v>
      </c>
      <c r="M106" s="4">
        <v>681396.60546875</v>
      </c>
      <c r="N106" s="4">
        <v>531138.21484375</v>
      </c>
      <c r="O106" s="4">
        <v>1715730.3942871094</v>
      </c>
      <c r="P106" s="4">
        <v>1066964.2302246094</v>
      </c>
      <c r="Q106" s="4">
        <v>1925219.5622558594</v>
      </c>
      <c r="S106" s="3" t="s">
        <v>8</v>
      </c>
      <c r="T106" s="4">
        <v>2</v>
      </c>
      <c r="U106" s="4">
        <v>11</v>
      </c>
      <c r="V106" s="4">
        <v>5</v>
      </c>
      <c r="W106" s="4">
        <v>6</v>
      </c>
      <c r="X106" s="4">
        <v>6</v>
      </c>
      <c r="Y106" s="4">
        <v>7</v>
      </c>
      <c r="Z106" s="4">
        <v>17</v>
      </c>
      <c r="AA106" s="4">
        <v>12</v>
      </c>
      <c r="AB106" s="4">
        <v>14</v>
      </c>
    </row>
    <row r="107" spans="1:28" x14ac:dyDescent="0.35">
      <c r="A107" s="3" t="s">
        <v>32</v>
      </c>
      <c r="B107" s="4">
        <v>8946427.0701904297</v>
      </c>
      <c r="C107" s="4"/>
      <c r="D107" s="4"/>
      <c r="E107" s="4"/>
      <c r="H107" s="3" t="s">
        <v>19</v>
      </c>
      <c r="I107" s="4"/>
      <c r="J107" s="4"/>
      <c r="K107" s="4"/>
      <c r="L107" s="4"/>
      <c r="M107" s="4"/>
      <c r="N107" s="4"/>
      <c r="O107" s="4"/>
      <c r="P107" s="4">
        <v>1117334.169921875</v>
      </c>
      <c r="Q107" s="4">
        <v>1334249.4836425781</v>
      </c>
      <c r="S107" s="3" t="s">
        <v>19</v>
      </c>
      <c r="T107" s="4"/>
      <c r="U107" s="4"/>
      <c r="V107" s="4"/>
      <c r="W107" s="4"/>
      <c r="X107" s="4"/>
      <c r="Y107" s="4"/>
      <c r="Z107" s="4"/>
      <c r="AA107" s="4">
        <v>15</v>
      </c>
      <c r="AB107" s="4">
        <v>15</v>
      </c>
    </row>
    <row r="108" spans="1:28" x14ac:dyDescent="0.35">
      <c r="A108" s="3" t="s">
        <v>8</v>
      </c>
      <c r="B108" s="4">
        <v>8826586.4538574219</v>
      </c>
      <c r="C108" s="4"/>
      <c r="D108" s="4"/>
      <c r="E108" s="4"/>
      <c r="H108" s="3" t="s">
        <v>479</v>
      </c>
      <c r="I108" s="4"/>
      <c r="J108" s="4"/>
      <c r="K108" s="4"/>
      <c r="L108" s="4"/>
      <c r="M108" s="4"/>
      <c r="N108" s="4"/>
      <c r="O108" s="4">
        <v>333713.14453125</v>
      </c>
      <c r="P108" s="4"/>
      <c r="Q108" s="4"/>
      <c r="S108" s="3" t="s">
        <v>479</v>
      </c>
      <c r="T108" s="4"/>
      <c r="U108" s="4"/>
      <c r="V108" s="4"/>
      <c r="W108" s="4"/>
      <c r="X108" s="4"/>
      <c r="Y108" s="4"/>
      <c r="Z108" s="4">
        <v>4</v>
      </c>
      <c r="AA108" s="4"/>
      <c r="AB108" s="4"/>
    </row>
    <row r="109" spans="1:28" x14ac:dyDescent="0.35">
      <c r="A109" s="3" t="s">
        <v>50</v>
      </c>
      <c r="B109" s="4">
        <v>7222634.0823974609</v>
      </c>
      <c r="C109" s="4"/>
      <c r="D109" s="4"/>
      <c r="E109" s="4"/>
      <c r="H109" s="3" t="s">
        <v>112</v>
      </c>
      <c r="I109" s="4">
        <v>630729.9296875</v>
      </c>
      <c r="J109" s="4">
        <v>740975.18359375</v>
      </c>
      <c r="K109" s="4">
        <v>921404.638671875</v>
      </c>
      <c r="L109" s="4">
        <v>1148720.3359375</v>
      </c>
      <c r="M109" s="4">
        <v>728720.28125</v>
      </c>
      <c r="N109" s="4">
        <v>1441560.0146484375</v>
      </c>
      <c r="O109" s="4">
        <v>1228399.8095703125</v>
      </c>
      <c r="P109" s="4">
        <v>249390.5302734375</v>
      </c>
      <c r="Q109" s="4">
        <v>318170.455078125</v>
      </c>
      <c r="S109" s="3" t="s">
        <v>112</v>
      </c>
      <c r="T109" s="4">
        <v>8</v>
      </c>
      <c r="U109" s="4">
        <v>11</v>
      </c>
      <c r="V109" s="4">
        <v>12</v>
      </c>
      <c r="W109" s="4">
        <v>14</v>
      </c>
      <c r="X109" s="4">
        <v>9</v>
      </c>
      <c r="Y109" s="4">
        <v>15</v>
      </c>
      <c r="Z109" s="4">
        <v>20</v>
      </c>
      <c r="AA109" s="4">
        <v>7</v>
      </c>
      <c r="AB109" s="4">
        <v>6</v>
      </c>
    </row>
    <row r="110" spans="1:28" x14ac:dyDescent="0.35">
      <c r="A110" s="3" t="s">
        <v>122</v>
      </c>
      <c r="B110" s="4">
        <v>6023403.5435180664</v>
      </c>
      <c r="C110" s="4"/>
      <c r="D110" s="4"/>
      <c r="E110" s="4"/>
      <c r="H110" s="3" t="s">
        <v>1035</v>
      </c>
      <c r="I110" s="4"/>
      <c r="J110" s="4"/>
      <c r="K110" s="4"/>
      <c r="L110" s="4">
        <v>112005.59375</v>
      </c>
      <c r="M110" s="4">
        <v>148307.390625</v>
      </c>
      <c r="N110" s="4"/>
      <c r="O110" s="4">
        <v>161108.046875</v>
      </c>
      <c r="P110" s="4"/>
      <c r="Q110" s="4"/>
      <c r="S110" s="3" t="s">
        <v>1035</v>
      </c>
      <c r="T110" s="4"/>
      <c r="U110" s="4"/>
      <c r="V110" s="4"/>
      <c r="W110" s="4">
        <v>1</v>
      </c>
      <c r="X110" s="4">
        <v>1</v>
      </c>
      <c r="Y110" s="4"/>
      <c r="Z110" s="4">
        <v>1</v>
      </c>
      <c r="AA110" s="4"/>
      <c r="AB110" s="4"/>
    </row>
    <row r="111" spans="1:28" x14ac:dyDescent="0.35">
      <c r="A111" s="3" t="s">
        <v>19</v>
      </c>
      <c r="B111" s="4">
        <v>2451583.6535644531</v>
      </c>
      <c r="C111" s="4"/>
      <c r="D111" s="4"/>
      <c r="E111" s="4"/>
      <c r="H111" s="3" t="s">
        <v>122</v>
      </c>
      <c r="I111" s="4">
        <v>623735.619140625</v>
      </c>
      <c r="J111" s="4">
        <v>570391.658203125</v>
      </c>
      <c r="K111" s="4">
        <v>410736.7021484375</v>
      </c>
      <c r="L111" s="4">
        <v>2032284.353515625</v>
      </c>
      <c r="M111" s="4">
        <v>1262337.35546875</v>
      </c>
      <c r="N111" s="4">
        <v>1123917.8550415039</v>
      </c>
      <c r="O111" s="4"/>
      <c r="P111" s="4"/>
      <c r="Q111" s="4"/>
      <c r="S111" s="3" t="s">
        <v>122</v>
      </c>
      <c r="T111" s="4">
        <v>7</v>
      </c>
      <c r="U111" s="4">
        <v>6</v>
      </c>
      <c r="V111" s="4">
        <v>5</v>
      </c>
      <c r="W111" s="4">
        <v>17</v>
      </c>
      <c r="X111" s="4">
        <v>13</v>
      </c>
      <c r="Y111" s="4">
        <v>11</v>
      </c>
      <c r="Z111" s="4"/>
      <c r="AA111" s="4"/>
      <c r="AB111" s="4"/>
    </row>
    <row r="112" spans="1:28" x14ac:dyDescent="0.35">
      <c r="A112" s="3" t="s">
        <v>479</v>
      </c>
      <c r="B112" s="4">
        <v>333713.14453125</v>
      </c>
      <c r="C112" s="4"/>
      <c r="D112" s="4"/>
      <c r="E112" s="4"/>
      <c r="H112" s="3" t="s">
        <v>40</v>
      </c>
      <c r="I112" s="4">
        <v>867436.11328125</v>
      </c>
      <c r="J112" s="4">
        <v>406081.484375</v>
      </c>
      <c r="K112" s="4">
        <v>1029132.1682128906</v>
      </c>
      <c r="L112" s="4">
        <v>844122.64453125</v>
      </c>
      <c r="M112" s="4">
        <v>1253762.83984375</v>
      </c>
      <c r="N112" s="4">
        <v>2624265.78125</v>
      </c>
      <c r="O112" s="4">
        <v>1397582.4741210938</v>
      </c>
      <c r="P112" s="4">
        <v>2185032.6499023438</v>
      </c>
      <c r="Q112" s="4">
        <v>2033904.6650390625</v>
      </c>
      <c r="S112" s="3" t="s">
        <v>40</v>
      </c>
      <c r="T112" s="4">
        <v>7</v>
      </c>
      <c r="U112" s="4">
        <v>3</v>
      </c>
      <c r="V112" s="4">
        <v>12</v>
      </c>
      <c r="W112" s="4">
        <v>13</v>
      </c>
      <c r="X112" s="4">
        <v>12</v>
      </c>
      <c r="Y112" s="4">
        <v>16</v>
      </c>
      <c r="Z112" s="4">
        <v>15</v>
      </c>
      <c r="AA112" s="4">
        <v>17</v>
      </c>
      <c r="AB112" s="4">
        <v>16</v>
      </c>
    </row>
    <row r="113" spans="1:28" x14ac:dyDescent="0.35">
      <c r="A113" s="3" t="s">
        <v>89</v>
      </c>
      <c r="B113" s="4"/>
      <c r="C113" s="4">
        <v>12088841.273986816</v>
      </c>
      <c r="D113" s="4"/>
      <c r="E113" s="4"/>
      <c r="H113" s="3" t="s">
        <v>89</v>
      </c>
      <c r="I113" s="4">
        <v>836163.763671875</v>
      </c>
      <c r="J113" s="4">
        <v>1118792.95703125</v>
      </c>
      <c r="K113" s="4">
        <v>1177470.140625</v>
      </c>
      <c r="L113" s="4">
        <v>872758.681640625</v>
      </c>
      <c r="M113" s="4">
        <v>3072660.9545288086</v>
      </c>
      <c r="N113" s="4">
        <v>1926911.9097900391</v>
      </c>
      <c r="O113" s="4">
        <v>1802245.0185546875</v>
      </c>
      <c r="P113" s="4">
        <v>360155.4521484375</v>
      </c>
      <c r="Q113" s="4">
        <v>921682.39599609375</v>
      </c>
      <c r="S113" s="3" t="s">
        <v>89</v>
      </c>
      <c r="T113" s="4">
        <v>11</v>
      </c>
      <c r="U113" s="4">
        <v>13</v>
      </c>
      <c r="V113" s="4">
        <v>16</v>
      </c>
      <c r="W113" s="4">
        <v>12</v>
      </c>
      <c r="X113" s="4">
        <v>30</v>
      </c>
      <c r="Y113" s="4">
        <v>28</v>
      </c>
      <c r="Z113" s="4">
        <v>24</v>
      </c>
      <c r="AA113" s="4">
        <v>10</v>
      </c>
      <c r="AB113" s="4">
        <v>19</v>
      </c>
    </row>
    <row r="114" spans="1:28" x14ac:dyDescent="0.35">
      <c r="A114" s="3" t="s">
        <v>12</v>
      </c>
      <c r="B114" s="4"/>
      <c r="C114" s="4">
        <v>1124597.337890625</v>
      </c>
      <c r="D114" s="4">
        <v>1226401.0849609375</v>
      </c>
      <c r="E114" s="4">
        <v>18295383.07888031</v>
      </c>
      <c r="H114" s="3" t="s">
        <v>147</v>
      </c>
      <c r="I114" s="4">
        <v>866410.6201171875</v>
      </c>
      <c r="J114" s="4">
        <v>341287.0234375</v>
      </c>
      <c r="K114" s="4">
        <v>908188.783203125</v>
      </c>
      <c r="L114" s="4">
        <v>1299154.525390625</v>
      </c>
      <c r="M114" s="4">
        <v>282304.8359375</v>
      </c>
      <c r="N114" s="4">
        <v>803640.47998046875</v>
      </c>
      <c r="O114" s="4">
        <v>1610989.7164306641</v>
      </c>
      <c r="P114" s="4">
        <v>1018766.76171875</v>
      </c>
      <c r="Q114" s="4">
        <v>2791997.7985839844</v>
      </c>
      <c r="S114" s="3" t="s">
        <v>147</v>
      </c>
      <c r="T114" s="4">
        <v>6</v>
      </c>
      <c r="U114" s="4">
        <v>3</v>
      </c>
      <c r="V114" s="4">
        <v>7</v>
      </c>
      <c r="W114" s="4">
        <v>7</v>
      </c>
      <c r="X114" s="4">
        <v>4</v>
      </c>
      <c r="Y114" s="4">
        <v>8</v>
      </c>
      <c r="Z114" s="4">
        <v>11</v>
      </c>
      <c r="AA114" s="4">
        <v>12</v>
      </c>
      <c r="AB114" s="4">
        <v>17</v>
      </c>
    </row>
    <row r="115" spans="1:28" x14ac:dyDescent="0.35">
      <c r="A115" s="3" t="s">
        <v>559</v>
      </c>
      <c r="B115" s="4"/>
      <c r="C115" s="4"/>
      <c r="D115" s="4">
        <v>814791.037109375</v>
      </c>
      <c r="E115" s="4"/>
      <c r="H115" s="3" t="s">
        <v>559</v>
      </c>
      <c r="I115" s="4">
        <v>120006.0078125</v>
      </c>
      <c r="J115" s="4">
        <v>283264.5</v>
      </c>
      <c r="K115" s="4">
        <v>301515.03125</v>
      </c>
      <c r="L115" s="4"/>
      <c r="M115" s="4"/>
      <c r="N115" s="4"/>
      <c r="O115" s="4"/>
      <c r="P115" s="4">
        <v>110005.498046875</v>
      </c>
      <c r="Q115" s="4"/>
      <c r="S115" s="3" t="s">
        <v>559</v>
      </c>
      <c r="T115" s="4">
        <v>1</v>
      </c>
      <c r="U115" s="4">
        <v>1</v>
      </c>
      <c r="V115" s="4">
        <v>2</v>
      </c>
      <c r="W115" s="4"/>
      <c r="X115" s="4"/>
      <c r="Y115" s="4"/>
      <c r="Z115" s="4"/>
      <c r="AA115" s="4">
        <v>2</v>
      </c>
      <c r="AB115" s="4"/>
    </row>
    <row r="116" spans="1:28" x14ac:dyDescent="0.35">
      <c r="A116" s="3" t="s">
        <v>112</v>
      </c>
      <c r="B116" s="4"/>
      <c r="C116" s="4">
        <v>7408071.1787109375</v>
      </c>
      <c r="D116" s="4"/>
      <c r="E116" s="4"/>
      <c r="H116" s="3" t="s">
        <v>32</v>
      </c>
      <c r="I116" s="4"/>
      <c r="J116" s="4">
        <v>754267.822265625</v>
      </c>
      <c r="K116" s="4">
        <v>406397.6328125</v>
      </c>
      <c r="L116" s="4">
        <v>1431575.3251953125</v>
      </c>
      <c r="M116" s="4">
        <v>1130068.16796875</v>
      </c>
      <c r="N116" s="4">
        <v>998202.00390625</v>
      </c>
      <c r="O116" s="4">
        <v>738766.41125488281</v>
      </c>
      <c r="P116" s="4">
        <v>1709873.7155761719</v>
      </c>
      <c r="Q116" s="4">
        <v>1777275.9912109375</v>
      </c>
      <c r="S116" s="3" t="s">
        <v>32</v>
      </c>
      <c r="T116" s="4"/>
      <c r="U116" s="4">
        <v>8</v>
      </c>
      <c r="V116" s="4">
        <v>5</v>
      </c>
      <c r="W116" s="4">
        <v>15</v>
      </c>
      <c r="X116" s="4">
        <v>12</v>
      </c>
      <c r="Y116" s="4">
        <v>7</v>
      </c>
      <c r="Z116" s="4">
        <v>8</v>
      </c>
      <c r="AA116" s="4">
        <v>20</v>
      </c>
      <c r="AB116" s="4">
        <v>19</v>
      </c>
    </row>
    <row r="117" spans="1:28" x14ac:dyDescent="0.35">
      <c r="A117" s="3" t="s">
        <v>586</v>
      </c>
      <c r="B117" s="4"/>
      <c r="C117" s="4"/>
      <c r="D117" s="4">
        <v>895452.666015625</v>
      </c>
      <c r="E117" s="4"/>
      <c r="H117" s="3" t="s">
        <v>1664</v>
      </c>
      <c r="I117" s="4">
        <v>4832560.7802734375</v>
      </c>
      <c r="J117" s="4">
        <v>6884414.7758789063</v>
      </c>
      <c r="K117" s="4">
        <v>5855256.7648925781</v>
      </c>
      <c r="L117" s="4">
        <v>9124623.912109375</v>
      </c>
      <c r="M117" s="4">
        <v>9393894.9248657227</v>
      </c>
      <c r="N117" s="4">
        <v>9975719.3922729492</v>
      </c>
      <c r="O117" s="4">
        <v>9802760.556640625</v>
      </c>
      <c r="P117" s="4">
        <v>10079465.807373047</v>
      </c>
      <c r="Q117" s="4">
        <v>12048289.586181641</v>
      </c>
      <c r="S117" s="3" t="s">
        <v>1664</v>
      </c>
      <c r="T117" s="4">
        <v>50</v>
      </c>
      <c r="U117" s="4">
        <v>65</v>
      </c>
      <c r="V117" s="4">
        <v>71</v>
      </c>
      <c r="W117" s="4">
        <v>94</v>
      </c>
      <c r="X117" s="4">
        <v>99</v>
      </c>
      <c r="Y117" s="4">
        <v>95</v>
      </c>
      <c r="Z117" s="4">
        <v>109</v>
      </c>
      <c r="AA117" s="4">
        <v>115</v>
      </c>
      <c r="AB117" s="4">
        <v>118</v>
      </c>
    </row>
    <row r="118" spans="1:28" x14ac:dyDescent="0.35">
      <c r="A118" s="3" t="s">
        <v>1035</v>
      </c>
      <c r="B118" s="4"/>
      <c r="C118" s="4"/>
      <c r="D118" s="4">
        <v>421421.03125</v>
      </c>
      <c r="E118" s="4"/>
    </row>
    <row r="119" spans="1:28" x14ac:dyDescent="0.35">
      <c r="A119" s="3" t="s">
        <v>1664</v>
      </c>
      <c r="B119" s="4">
        <v>56368409.313415527</v>
      </c>
      <c r="C119" s="4">
        <v>20621509.790588379</v>
      </c>
      <c r="D119" s="4">
        <v>3358065.8193359375</v>
      </c>
      <c r="E119" s="4">
        <v>18295383.07888031</v>
      </c>
      <c r="S119" s="3" t="s">
        <v>586</v>
      </c>
      <c r="T119" s="6">
        <f>I104/T104</f>
        <v>100412.515625</v>
      </c>
      <c r="U119" s="6" t="e">
        <f t="shared" ref="U119:AA119" si="0">J104/U104</f>
        <v>#DIV/0!</v>
      </c>
      <c r="V119" s="6" t="e">
        <f t="shared" si="0"/>
        <v>#DIV/0!</v>
      </c>
      <c r="W119" s="6">
        <f t="shared" si="0"/>
        <v>20001.009765625</v>
      </c>
      <c r="X119" s="6">
        <f t="shared" si="0"/>
        <v>77003.8671875</v>
      </c>
      <c r="Y119" s="6">
        <f t="shared" si="0"/>
        <v>170008.5</v>
      </c>
      <c r="Z119" s="6" t="e">
        <f t="shared" si="0"/>
        <v>#DIV/0!</v>
      </c>
      <c r="AA119" s="6">
        <f t="shared" si="0"/>
        <v>173807.15625</v>
      </c>
      <c r="AB119" s="6">
        <f>Q104/AB104</f>
        <v>79999.9453125</v>
      </c>
    </row>
    <row r="120" spans="1:28" x14ac:dyDescent="0.35">
      <c r="S120" s="3" t="s">
        <v>50</v>
      </c>
      <c r="T120" s="6">
        <f>I105/T105</f>
        <v>98125.850911458328</v>
      </c>
      <c r="U120" s="6">
        <f t="shared" ref="U120:U121" si="1">J105/U105</f>
        <v>113841.16829427083</v>
      </c>
      <c r="V120" s="6">
        <f t="shared" ref="V120:V121" si="2">K105/V105</f>
        <v>60396.570591517855</v>
      </c>
      <c r="W120" s="6">
        <f t="shared" ref="W120:W121" si="3">L105/W105</f>
        <v>59847.736450195313</v>
      </c>
      <c r="X120" s="6">
        <f t="shared" ref="X120:X121" si="4">M105/X105</f>
        <v>68848.420598810364</v>
      </c>
      <c r="Y120" s="6">
        <f t="shared" ref="Y120:Y121" si="5">N105/Y105</f>
        <v>178037.31640625</v>
      </c>
      <c r="Z120" s="6">
        <f t="shared" ref="Z120:Z121" si="6">O105/Z105</f>
        <v>90469.504557291672</v>
      </c>
      <c r="AA120" s="6">
        <f t="shared" ref="AA120:AA121" si="7">P105/AA105</f>
        <v>106351.58261447483</v>
      </c>
      <c r="AB120" s="6">
        <f>Q105/AB105</f>
        <v>78708.1171875</v>
      </c>
    </row>
    <row r="121" spans="1:28" x14ac:dyDescent="0.35">
      <c r="S121" s="3" t="s">
        <v>8</v>
      </c>
      <c r="T121" s="6">
        <f t="shared" ref="T121:T123" si="8">I106/T106</f>
        <v>49249.294921875</v>
      </c>
      <c r="U121" s="6">
        <f t="shared" si="1"/>
        <v>149525.78475674716</v>
      </c>
      <c r="V121" s="6">
        <f t="shared" si="2"/>
        <v>55527.134765625</v>
      </c>
      <c r="W121" s="6">
        <f t="shared" si="3"/>
        <v>147536.591796875</v>
      </c>
      <c r="X121" s="6">
        <f t="shared" si="4"/>
        <v>113566.10091145833</v>
      </c>
      <c r="Y121" s="6">
        <f t="shared" si="5"/>
        <v>75876.887834821435</v>
      </c>
      <c r="Z121" s="6">
        <f t="shared" si="6"/>
        <v>100925.31731100644</v>
      </c>
      <c r="AA121" s="6">
        <f t="shared" si="7"/>
        <v>88913.685852050781</v>
      </c>
      <c r="AB121" s="6">
        <f t="shared" ref="AB121:AB123" si="9">Q106/AB106</f>
        <v>137515.68301827568</v>
      </c>
    </row>
    <row r="122" spans="1:28" x14ac:dyDescent="0.35">
      <c r="S122" s="3" t="s">
        <v>19</v>
      </c>
      <c r="T122" s="6" t="e">
        <f t="shared" si="8"/>
        <v>#DIV/0!</v>
      </c>
      <c r="U122" s="6" t="e">
        <f t="shared" ref="U122:U123" si="10">J107/U107</f>
        <v>#DIV/0!</v>
      </c>
      <c r="V122" s="6" t="e">
        <f t="shared" ref="V122:V123" si="11">K107/V107</f>
        <v>#DIV/0!</v>
      </c>
      <c r="W122" s="6" t="e">
        <f t="shared" ref="W122:W123" si="12">L107/W107</f>
        <v>#DIV/0!</v>
      </c>
      <c r="X122" s="6" t="e">
        <f t="shared" ref="X122:X123" si="13">M107/X107</f>
        <v>#DIV/0!</v>
      </c>
      <c r="Y122" s="6" t="e">
        <f t="shared" ref="Y122:Y123" si="14">N107/Y107</f>
        <v>#DIV/0!</v>
      </c>
      <c r="Z122" s="6" t="e">
        <f t="shared" ref="Z122:Z123" si="15">O107/Z107</f>
        <v>#DIV/0!</v>
      </c>
      <c r="AA122" s="6">
        <f t="shared" ref="AA122:AA123" si="16">P107/AA107</f>
        <v>74488.944661458328</v>
      </c>
      <c r="AB122" s="6">
        <f t="shared" si="9"/>
        <v>88949.965576171875</v>
      </c>
    </row>
    <row r="123" spans="1:28" x14ac:dyDescent="0.35">
      <c r="S123" s="3" t="s">
        <v>479</v>
      </c>
      <c r="T123" s="6" t="e">
        <f t="shared" si="8"/>
        <v>#DIV/0!</v>
      </c>
      <c r="U123" s="6" t="e">
        <f t="shared" si="10"/>
        <v>#DIV/0!</v>
      </c>
      <c r="V123" s="6" t="e">
        <f t="shared" si="11"/>
        <v>#DIV/0!</v>
      </c>
      <c r="W123" s="6" t="e">
        <f t="shared" si="12"/>
        <v>#DIV/0!</v>
      </c>
      <c r="X123" s="6" t="e">
        <f t="shared" si="13"/>
        <v>#DIV/0!</v>
      </c>
      <c r="Y123" s="6" t="e">
        <f t="shared" si="14"/>
        <v>#DIV/0!</v>
      </c>
      <c r="Z123" s="6">
        <f t="shared" si="15"/>
        <v>83428.2861328125</v>
      </c>
      <c r="AA123" s="6" t="e">
        <f t="shared" si="16"/>
        <v>#DIV/0!</v>
      </c>
      <c r="AB123" s="6" t="e">
        <f t="shared" si="9"/>
        <v>#DIV/0!</v>
      </c>
    </row>
    <row r="124" spans="1:28" x14ac:dyDescent="0.35">
      <c r="A124" s="3" t="s">
        <v>40</v>
      </c>
      <c r="B124" s="4">
        <v>12641320.820556641</v>
      </c>
      <c r="S124" s="3" t="s">
        <v>112</v>
      </c>
      <c r="T124" s="6">
        <f t="shared" ref="T124:T131" si="17">I109/T109</f>
        <v>78841.2412109375</v>
      </c>
      <c r="U124" s="6">
        <f t="shared" ref="U124:U131" si="18">J109/U109</f>
        <v>67361.380326704544</v>
      </c>
      <c r="V124" s="6">
        <f t="shared" ref="V124:V131" si="19">K109/V109</f>
        <v>76783.719889322922</v>
      </c>
      <c r="W124" s="6">
        <f t="shared" ref="W124:W131" si="20">L109/W109</f>
        <v>82051.45256696429</v>
      </c>
      <c r="X124" s="6">
        <f t="shared" ref="X124:X131" si="21">M109/X109</f>
        <v>80968.920138888891</v>
      </c>
      <c r="Y124" s="6">
        <f t="shared" ref="Y124:Y131" si="22">N109/Y109</f>
        <v>96104.0009765625</v>
      </c>
      <c r="Z124" s="6">
        <f t="shared" ref="Z124:Z131" si="23">O109/Z109</f>
        <v>61419.990478515625</v>
      </c>
      <c r="AA124" s="6">
        <f t="shared" ref="AA124:AA131" si="24">P109/AA109</f>
        <v>35627.218610491072</v>
      </c>
      <c r="AB124" s="6">
        <f t="shared" ref="AB124:AB131" si="25">Q109/AB109</f>
        <v>53028.4091796875</v>
      </c>
    </row>
    <row r="125" spans="1:28" x14ac:dyDescent="0.35">
      <c r="A125" s="3" t="s">
        <v>89</v>
      </c>
      <c r="B125" s="4">
        <v>12088841.273986816</v>
      </c>
      <c r="S125" s="3" t="s">
        <v>1035</v>
      </c>
      <c r="T125" s="6" t="e">
        <f t="shared" si="17"/>
        <v>#DIV/0!</v>
      </c>
      <c r="U125" s="6" t="e">
        <f t="shared" si="18"/>
        <v>#DIV/0!</v>
      </c>
      <c r="V125" s="6" t="e">
        <f t="shared" si="19"/>
        <v>#DIV/0!</v>
      </c>
      <c r="W125" s="6">
        <f t="shared" si="20"/>
        <v>112005.59375</v>
      </c>
      <c r="X125" s="6">
        <f t="shared" si="21"/>
        <v>148307.390625</v>
      </c>
      <c r="Y125" s="6" t="e">
        <f t="shared" si="22"/>
        <v>#DIV/0!</v>
      </c>
      <c r="Z125" s="6">
        <f t="shared" si="23"/>
        <v>161108.046875</v>
      </c>
      <c r="AA125" s="6" t="e">
        <f t="shared" si="24"/>
        <v>#DIV/0!</v>
      </c>
      <c r="AB125" s="6" t="e">
        <f t="shared" si="25"/>
        <v>#DIV/0!</v>
      </c>
    </row>
    <row r="126" spans="1:28" x14ac:dyDescent="0.35">
      <c r="A126" s="3" t="s">
        <v>147</v>
      </c>
      <c r="B126" s="4">
        <v>9922740.5447998047</v>
      </c>
      <c r="S126" s="3" t="s">
        <v>122</v>
      </c>
      <c r="T126" s="6">
        <f t="shared" si="17"/>
        <v>89105.08844866071</v>
      </c>
      <c r="U126" s="6">
        <f t="shared" si="18"/>
        <v>95065.2763671875</v>
      </c>
      <c r="V126" s="6">
        <f t="shared" si="19"/>
        <v>82147.340429687494</v>
      </c>
      <c r="W126" s="6">
        <f t="shared" si="20"/>
        <v>119546.13844209559</v>
      </c>
      <c r="X126" s="6">
        <f t="shared" si="21"/>
        <v>97102.873497596156</v>
      </c>
      <c r="Y126" s="6">
        <f t="shared" si="22"/>
        <v>102174.35045831854</v>
      </c>
      <c r="Z126" s="6" t="e">
        <f t="shared" si="23"/>
        <v>#DIV/0!</v>
      </c>
      <c r="AA126" s="6" t="e">
        <f t="shared" si="24"/>
        <v>#DIV/0!</v>
      </c>
      <c r="AB126" s="6" t="e">
        <f t="shared" si="25"/>
        <v>#DIV/0!</v>
      </c>
    </row>
    <row r="127" spans="1:28" x14ac:dyDescent="0.35">
      <c r="A127" s="3" t="s">
        <v>32</v>
      </c>
      <c r="B127" s="4">
        <v>8946427.0701904297</v>
      </c>
      <c r="S127" s="3" t="s">
        <v>40</v>
      </c>
      <c r="T127" s="6">
        <f t="shared" si="17"/>
        <v>123919.44475446429</v>
      </c>
      <c r="U127" s="6">
        <f t="shared" si="18"/>
        <v>135360.49479166666</v>
      </c>
      <c r="V127" s="6">
        <f t="shared" si="19"/>
        <v>85761.01401774089</v>
      </c>
      <c r="W127" s="6">
        <f t="shared" si="20"/>
        <v>64932.511117788461</v>
      </c>
      <c r="X127" s="6">
        <f t="shared" si="21"/>
        <v>104480.23665364583</v>
      </c>
      <c r="Y127" s="6">
        <f t="shared" si="22"/>
        <v>164016.611328125</v>
      </c>
      <c r="Z127" s="6">
        <f t="shared" si="23"/>
        <v>93172.164941406256</v>
      </c>
      <c r="AA127" s="6">
        <f t="shared" si="24"/>
        <v>128531.33234719669</v>
      </c>
      <c r="AB127" s="6">
        <f t="shared" si="25"/>
        <v>127119.04156494141</v>
      </c>
    </row>
    <row r="128" spans="1:28" x14ac:dyDescent="0.35">
      <c r="A128" s="3" t="s">
        <v>8</v>
      </c>
      <c r="B128" s="4">
        <v>8826586.4538574219</v>
      </c>
      <c r="S128" s="3" t="s">
        <v>89</v>
      </c>
      <c r="T128" s="6">
        <f t="shared" si="17"/>
        <v>76014.887606534088</v>
      </c>
      <c r="U128" s="6">
        <f t="shared" si="18"/>
        <v>86060.996694711532</v>
      </c>
      <c r="V128" s="6">
        <f t="shared" si="19"/>
        <v>73591.8837890625</v>
      </c>
      <c r="W128" s="6">
        <f t="shared" si="20"/>
        <v>72729.89013671875</v>
      </c>
      <c r="X128" s="6">
        <f t="shared" si="21"/>
        <v>102422.03181762695</v>
      </c>
      <c r="Y128" s="6">
        <f t="shared" si="22"/>
        <v>68818.282492501399</v>
      </c>
      <c r="Z128" s="6">
        <f t="shared" si="23"/>
        <v>75093.542439778641</v>
      </c>
      <c r="AA128" s="6">
        <f t="shared" si="24"/>
        <v>36015.545214843747</v>
      </c>
      <c r="AB128" s="6">
        <f t="shared" si="25"/>
        <v>48509.59978926809</v>
      </c>
    </row>
    <row r="129" spans="1:32" x14ac:dyDescent="0.35">
      <c r="A129" s="3" t="s">
        <v>112</v>
      </c>
      <c r="B129" s="4">
        <v>7408071.1787109375</v>
      </c>
      <c r="S129" s="3" t="s">
        <v>147</v>
      </c>
      <c r="T129" s="6">
        <f t="shared" si="17"/>
        <v>144401.77001953125</v>
      </c>
      <c r="U129" s="6">
        <f t="shared" si="18"/>
        <v>113762.34114583333</v>
      </c>
      <c r="V129" s="6">
        <f t="shared" si="19"/>
        <v>129741.25474330357</v>
      </c>
      <c r="W129" s="6">
        <f t="shared" si="20"/>
        <v>185593.50362723213</v>
      </c>
      <c r="X129" s="6">
        <f t="shared" si="21"/>
        <v>70576.208984375</v>
      </c>
      <c r="Y129" s="6">
        <f t="shared" si="22"/>
        <v>100455.05999755859</v>
      </c>
      <c r="Z129" s="6">
        <f t="shared" si="23"/>
        <v>146453.61058460583</v>
      </c>
      <c r="AA129" s="6">
        <f t="shared" si="24"/>
        <v>84897.230143229172</v>
      </c>
      <c r="AB129" s="6">
        <f t="shared" si="25"/>
        <v>164235.16462258733</v>
      </c>
    </row>
    <row r="130" spans="1:32" x14ac:dyDescent="0.35">
      <c r="A130" s="3" t="s">
        <v>50</v>
      </c>
      <c r="B130" s="4">
        <v>7222634.0823974609</v>
      </c>
      <c r="S130" s="3" t="s">
        <v>559</v>
      </c>
      <c r="T130" s="6">
        <f t="shared" si="17"/>
        <v>120006.0078125</v>
      </c>
      <c r="U130" s="6">
        <f t="shared" si="18"/>
        <v>283264.5</v>
      </c>
      <c r="V130" s="6">
        <f t="shared" si="19"/>
        <v>150757.515625</v>
      </c>
      <c r="W130" s="6" t="e">
        <f t="shared" si="20"/>
        <v>#DIV/0!</v>
      </c>
      <c r="X130" s="6" t="e">
        <f t="shared" si="21"/>
        <v>#DIV/0!</v>
      </c>
      <c r="Y130" s="6" t="e">
        <f t="shared" si="22"/>
        <v>#DIV/0!</v>
      </c>
      <c r="Z130" s="6" t="e">
        <f t="shared" si="23"/>
        <v>#DIV/0!</v>
      </c>
      <c r="AA130" s="6">
        <f t="shared" si="24"/>
        <v>55002.7490234375</v>
      </c>
      <c r="AB130" s="6" t="e">
        <f t="shared" si="25"/>
        <v>#DIV/0!</v>
      </c>
    </row>
    <row r="131" spans="1:32" x14ac:dyDescent="0.35">
      <c r="A131" s="3" t="s">
        <v>122</v>
      </c>
      <c r="B131" s="4">
        <v>6023403.5435180664</v>
      </c>
      <c r="S131" s="3" t="s">
        <v>32</v>
      </c>
      <c r="T131" s="6" t="e">
        <f t="shared" si="17"/>
        <v>#DIV/0!</v>
      </c>
      <c r="U131" s="6">
        <f t="shared" si="18"/>
        <v>94283.477783203125</v>
      </c>
      <c r="V131" s="6">
        <f t="shared" si="19"/>
        <v>81279.526562500003</v>
      </c>
      <c r="W131" s="6">
        <f t="shared" si="20"/>
        <v>95438.355013020831</v>
      </c>
      <c r="X131" s="6">
        <f t="shared" si="21"/>
        <v>94172.347330729172</v>
      </c>
      <c r="Y131" s="6">
        <f t="shared" si="22"/>
        <v>142600.28627232142</v>
      </c>
      <c r="Z131" s="6">
        <f t="shared" si="23"/>
        <v>92345.801406860352</v>
      </c>
      <c r="AA131" s="6">
        <f t="shared" si="24"/>
        <v>85493.685778808591</v>
      </c>
      <c r="AB131" s="6">
        <f t="shared" si="25"/>
        <v>93540.841642680927</v>
      </c>
    </row>
    <row r="132" spans="1:32" x14ac:dyDescent="0.35">
      <c r="A132" s="3" t="s">
        <v>19</v>
      </c>
      <c r="B132" s="4">
        <v>2451583.6535644531</v>
      </c>
    </row>
    <row r="133" spans="1:32" x14ac:dyDescent="0.35">
      <c r="A133" s="3"/>
      <c r="B133" s="4"/>
    </row>
    <row r="134" spans="1:32" x14ac:dyDescent="0.35">
      <c r="A134" s="2" t="s">
        <v>1636</v>
      </c>
      <c r="B134" t="s">
        <v>1665</v>
      </c>
      <c r="L134" s="2" t="s">
        <v>1636</v>
      </c>
      <c r="M134" t="s">
        <v>1665</v>
      </c>
    </row>
    <row r="135" spans="1:32" x14ac:dyDescent="0.35">
      <c r="A135" s="2" t="s">
        <v>1615</v>
      </c>
      <c r="B135" t="s">
        <v>1665</v>
      </c>
      <c r="L135" s="2" t="s">
        <v>1615</v>
      </c>
      <c r="M135" t="s">
        <v>1665</v>
      </c>
    </row>
    <row r="136" spans="1:32" x14ac:dyDescent="0.35">
      <c r="A136" s="2" t="s">
        <v>1644</v>
      </c>
      <c r="B136" t="s">
        <v>1665</v>
      </c>
      <c r="C136" s="4"/>
      <c r="D136" s="4"/>
      <c r="E136" s="4"/>
      <c r="L136" s="2" t="s">
        <v>1644</v>
      </c>
      <c r="M136" t="s">
        <v>1665</v>
      </c>
      <c r="N136" s="4"/>
      <c r="O136" s="4"/>
      <c r="P136" s="4"/>
    </row>
    <row r="138" spans="1:32" x14ac:dyDescent="0.35">
      <c r="A138" s="2" t="s">
        <v>1659</v>
      </c>
      <c r="B138" s="2" t="s">
        <v>1657</v>
      </c>
      <c r="L138" s="2" t="s">
        <v>1663</v>
      </c>
      <c r="M138" s="2" t="s">
        <v>1657</v>
      </c>
    </row>
    <row r="139" spans="1:32" x14ac:dyDescent="0.35">
      <c r="A139" s="2" t="s">
        <v>1656</v>
      </c>
      <c r="B139">
        <v>202506</v>
      </c>
      <c r="C139">
        <v>202507</v>
      </c>
      <c r="D139">
        <v>202508</v>
      </c>
      <c r="E139">
        <v>202509</v>
      </c>
      <c r="F139">
        <v>202510</v>
      </c>
      <c r="G139">
        <v>202511</v>
      </c>
      <c r="H139">
        <v>202512</v>
      </c>
      <c r="I139">
        <v>202601</v>
      </c>
      <c r="J139">
        <v>202602</v>
      </c>
      <c r="L139" s="2" t="s">
        <v>1656</v>
      </c>
      <c r="M139">
        <v>202506</v>
      </c>
      <c r="N139">
        <v>202507</v>
      </c>
      <c r="O139">
        <v>202508</v>
      </c>
      <c r="P139">
        <v>202509</v>
      </c>
      <c r="Q139">
        <v>202510</v>
      </c>
      <c r="R139">
        <v>202511</v>
      </c>
      <c r="S139">
        <v>202512</v>
      </c>
      <c r="T139">
        <v>202601</v>
      </c>
      <c r="U139">
        <v>202602</v>
      </c>
    </row>
    <row r="140" spans="1:32" x14ac:dyDescent="0.35">
      <c r="A140" s="3" t="s">
        <v>453</v>
      </c>
      <c r="B140" s="4"/>
      <c r="C140" s="4">
        <v>324685.4765625</v>
      </c>
      <c r="D140" s="4"/>
      <c r="E140" s="4"/>
      <c r="F140" s="4"/>
      <c r="G140" s="4"/>
      <c r="H140" s="4"/>
      <c r="I140" s="4"/>
      <c r="J140" s="4"/>
      <c r="L140" s="3" t="s">
        <v>453</v>
      </c>
      <c r="M140" s="4"/>
      <c r="N140" s="4">
        <v>2</v>
      </c>
      <c r="O140" s="4"/>
      <c r="P140" s="4"/>
      <c r="Q140" s="4"/>
      <c r="R140" s="4"/>
      <c r="S140" s="4"/>
      <c r="T140" s="4"/>
      <c r="U140" s="4"/>
      <c r="X140" t="e">
        <f>B140/M140</f>
        <v>#DIV/0!</v>
      </c>
      <c r="Y140">
        <f t="shared" ref="Y140:AD140" si="26">C140/N140</f>
        <v>162342.73828125</v>
      </c>
      <c r="Z140" t="e">
        <f t="shared" si="26"/>
        <v>#DIV/0!</v>
      </c>
      <c r="AA140" t="e">
        <f t="shared" si="26"/>
        <v>#DIV/0!</v>
      </c>
      <c r="AB140" t="e">
        <f t="shared" si="26"/>
        <v>#DIV/0!</v>
      </c>
      <c r="AC140" t="e">
        <f t="shared" si="26"/>
        <v>#DIV/0!</v>
      </c>
      <c r="AD140" t="e">
        <f t="shared" si="26"/>
        <v>#DIV/0!</v>
      </c>
      <c r="AE140" t="e">
        <f>I140/T140</f>
        <v>#DIV/0!</v>
      </c>
      <c r="AF140" t="e">
        <f>J140/U140</f>
        <v>#DIV/0!</v>
      </c>
    </row>
    <row r="141" spans="1:32" x14ac:dyDescent="0.35">
      <c r="A141" s="3" t="s">
        <v>176</v>
      </c>
      <c r="B141" s="4"/>
      <c r="C141" s="4"/>
      <c r="D141" s="4"/>
      <c r="E141" s="4"/>
      <c r="F141" s="4"/>
      <c r="G141" s="4">
        <v>106209.84521484375</v>
      </c>
      <c r="H141" s="4">
        <v>79251.532104492188</v>
      </c>
      <c r="I141" s="4">
        <v>74026.4375</v>
      </c>
      <c r="J141" s="4">
        <v>111532.98046875</v>
      </c>
      <c r="L141" s="3" t="s">
        <v>176</v>
      </c>
      <c r="M141" s="4"/>
      <c r="N141" s="4"/>
      <c r="O141" s="4"/>
      <c r="P141" s="4"/>
      <c r="Q141" s="4"/>
      <c r="R141" s="4">
        <v>3</v>
      </c>
      <c r="S141" s="4">
        <v>2</v>
      </c>
      <c r="T141" s="4">
        <v>1</v>
      </c>
      <c r="U141" s="4">
        <v>2</v>
      </c>
      <c r="X141" t="e">
        <f t="shared" ref="X141:X143" si="27">B141/M141</f>
        <v>#DIV/0!</v>
      </c>
      <c r="Y141" t="e">
        <f t="shared" ref="Y141:Y143" si="28">C141/N141</f>
        <v>#DIV/0!</v>
      </c>
      <c r="Z141" t="e">
        <f t="shared" ref="Z141:Z143" si="29">D141/O141</f>
        <v>#DIV/0!</v>
      </c>
      <c r="AA141" t="e">
        <f>E141/P141</f>
        <v>#DIV/0!</v>
      </c>
      <c r="AB141" t="e">
        <f t="shared" ref="AB141:AB143" si="30">F141/Q141</f>
        <v>#DIV/0!</v>
      </c>
      <c r="AC141">
        <f t="shared" ref="AC141:AC143" si="31">G141/R141</f>
        <v>35403.28173828125</v>
      </c>
      <c r="AD141">
        <f t="shared" ref="AD141:AD143" si="32">H141/S141</f>
        <v>39625.766052246094</v>
      </c>
      <c r="AE141">
        <f t="shared" ref="AE141:AE143" si="33">I141/T141</f>
        <v>74026.4375</v>
      </c>
      <c r="AF141">
        <f t="shared" ref="AF141:AF143" si="34">J141/U141</f>
        <v>55766.490234375</v>
      </c>
    </row>
    <row r="142" spans="1:32" x14ac:dyDescent="0.35">
      <c r="A142" s="3" t="s">
        <v>306</v>
      </c>
      <c r="B142" s="4"/>
      <c r="C142" s="4">
        <v>163238.5546875</v>
      </c>
      <c r="D142" s="4">
        <v>69749.015625</v>
      </c>
      <c r="E142" s="4"/>
      <c r="F142" s="4"/>
      <c r="G142" s="4">
        <v>102319.98046875</v>
      </c>
      <c r="H142" s="4">
        <v>352255.78125</v>
      </c>
      <c r="I142" s="4">
        <v>101959.78564453125</v>
      </c>
      <c r="J142" s="4">
        <v>56478.7421875</v>
      </c>
      <c r="L142" s="3" t="s">
        <v>306</v>
      </c>
      <c r="M142" s="4"/>
      <c r="N142" s="4">
        <v>2</v>
      </c>
      <c r="O142" s="4">
        <v>1</v>
      </c>
      <c r="P142" s="4"/>
      <c r="Q142" s="4"/>
      <c r="R142" s="4">
        <v>2</v>
      </c>
      <c r="S142" s="4">
        <v>2</v>
      </c>
      <c r="T142" s="4">
        <v>2</v>
      </c>
      <c r="U142" s="4">
        <v>1</v>
      </c>
      <c r="X142" t="e">
        <f t="shared" si="27"/>
        <v>#DIV/0!</v>
      </c>
      <c r="Y142">
        <f t="shared" si="28"/>
        <v>81619.27734375</v>
      </c>
      <c r="Z142">
        <f t="shared" si="29"/>
        <v>69749.015625</v>
      </c>
      <c r="AA142" t="e">
        <f t="shared" ref="AA141:AA143" si="35">E142/P142</f>
        <v>#DIV/0!</v>
      </c>
      <c r="AB142" t="e">
        <f t="shared" si="30"/>
        <v>#DIV/0!</v>
      </c>
      <c r="AC142">
        <f t="shared" si="31"/>
        <v>51159.990234375</v>
      </c>
      <c r="AD142">
        <f t="shared" si="32"/>
        <v>176127.890625</v>
      </c>
      <c r="AE142">
        <f t="shared" si="33"/>
        <v>50979.892822265625</v>
      </c>
      <c r="AF142">
        <f t="shared" si="34"/>
        <v>56478.7421875</v>
      </c>
    </row>
    <row r="143" spans="1:32" x14ac:dyDescent="0.35">
      <c r="A143" s="3" t="s">
        <v>94</v>
      </c>
      <c r="B143" s="4">
        <v>80142.7421875</v>
      </c>
      <c r="C143" s="4"/>
      <c r="D143" s="4">
        <v>141223.416015625</v>
      </c>
      <c r="E143" s="4">
        <v>128274.65625</v>
      </c>
      <c r="F143" s="4">
        <v>140913.875</v>
      </c>
      <c r="G143" s="4">
        <v>40267.078125</v>
      </c>
      <c r="H143" s="4">
        <v>502834.51147460938</v>
      </c>
      <c r="I143" s="4">
        <v>188220.1640625</v>
      </c>
      <c r="J143" s="4">
        <v>472484.84521484375</v>
      </c>
      <c r="L143" s="3" t="s">
        <v>94</v>
      </c>
      <c r="M143" s="4">
        <v>1</v>
      </c>
      <c r="N143" s="4"/>
      <c r="O143" s="4">
        <v>2</v>
      </c>
      <c r="P143" s="4">
        <v>1</v>
      </c>
      <c r="Q143" s="4">
        <v>1</v>
      </c>
      <c r="R143" s="4">
        <v>1</v>
      </c>
      <c r="S143" s="4">
        <v>6</v>
      </c>
      <c r="T143" s="4">
        <v>2</v>
      </c>
      <c r="U143" s="4">
        <v>2</v>
      </c>
      <c r="X143">
        <f t="shared" si="27"/>
        <v>80142.7421875</v>
      </c>
      <c r="Y143" t="e">
        <f t="shared" si="28"/>
        <v>#DIV/0!</v>
      </c>
      <c r="Z143">
        <f t="shared" si="29"/>
        <v>70611.7080078125</v>
      </c>
      <c r="AA143">
        <f t="shared" si="35"/>
        <v>128274.65625</v>
      </c>
      <c r="AB143">
        <f t="shared" si="30"/>
        <v>140913.875</v>
      </c>
      <c r="AC143">
        <f t="shared" si="31"/>
        <v>40267.078125</v>
      </c>
      <c r="AD143">
        <f t="shared" si="32"/>
        <v>83805.751912434891</v>
      </c>
      <c r="AE143">
        <f t="shared" si="33"/>
        <v>94110.08203125</v>
      </c>
      <c r="AF143">
        <f t="shared" si="34"/>
        <v>236242.42260742188</v>
      </c>
    </row>
    <row r="144" spans="1:32" x14ac:dyDescent="0.35">
      <c r="A144" s="3" t="s">
        <v>1594</v>
      </c>
      <c r="B144" s="4"/>
      <c r="C144" s="4"/>
      <c r="D144" s="4"/>
      <c r="E144" s="4"/>
      <c r="F144" s="4"/>
      <c r="G144" s="4"/>
      <c r="H144" s="4"/>
      <c r="I144" s="4">
        <v>297614.875</v>
      </c>
      <c r="J144" s="4"/>
      <c r="L144" s="3" t="s">
        <v>1594</v>
      </c>
      <c r="M144" s="4"/>
      <c r="N144" s="4"/>
      <c r="O144" s="4"/>
      <c r="P144" s="4"/>
      <c r="Q144" s="4"/>
      <c r="R144" s="4"/>
      <c r="S144" s="4"/>
      <c r="T144" s="4">
        <v>1</v>
      </c>
      <c r="U144" s="4"/>
      <c r="X144" t="e">
        <f t="shared" ref="X144:X202" si="36">B144/M144</f>
        <v>#DIV/0!</v>
      </c>
      <c r="Y144" t="e">
        <f t="shared" ref="Y144:Y202" si="37">C144/N144</f>
        <v>#DIV/0!</v>
      </c>
      <c r="Z144" t="e">
        <f t="shared" ref="Z144:Z202" si="38">D144/O144</f>
        <v>#DIV/0!</v>
      </c>
      <c r="AA144" t="e">
        <f t="shared" ref="AA144:AA202" si="39">E144/P144</f>
        <v>#DIV/0!</v>
      </c>
      <c r="AB144" t="e">
        <f t="shared" ref="AB144:AB202" si="40">F144/Q144</f>
        <v>#DIV/0!</v>
      </c>
      <c r="AC144" t="e">
        <f t="shared" ref="AC144:AC202" si="41">G144/R144</f>
        <v>#DIV/0!</v>
      </c>
      <c r="AD144" t="e">
        <f t="shared" ref="AD144:AD202" si="42">H144/S144</f>
        <v>#DIV/0!</v>
      </c>
      <c r="AE144">
        <f t="shared" ref="AE144:AE202" si="43">I144/T144</f>
        <v>297614.875</v>
      </c>
      <c r="AF144" t="e">
        <f t="shared" ref="AF144:AF202" si="44">J144/U144</f>
        <v>#DIV/0!</v>
      </c>
    </row>
    <row r="145" spans="1:32" x14ac:dyDescent="0.35">
      <c r="A145" s="3" t="s">
        <v>76</v>
      </c>
      <c r="B145" s="4"/>
      <c r="C145" s="4"/>
      <c r="D145" s="4">
        <v>13737.29296875</v>
      </c>
      <c r="E145" s="4">
        <v>162914.0703125</v>
      </c>
      <c r="F145" s="4">
        <v>412970.1328125</v>
      </c>
      <c r="G145" s="4"/>
      <c r="H145" s="4">
        <v>37773.054809570313</v>
      </c>
      <c r="I145" s="4">
        <v>155176.880859375</v>
      </c>
      <c r="J145" s="4">
        <v>143232.2265625</v>
      </c>
      <c r="L145" s="3" t="s">
        <v>76</v>
      </c>
      <c r="M145" s="4"/>
      <c r="N145" s="4"/>
      <c r="O145" s="4">
        <v>1</v>
      </c>
      <c r="P145" s="4">
        <v>3</v>
      </c>
      <c r="Q145" s="4">
        <v>4</v>
      </c>
      <c r="R145" s="4"/>
      <c r="S145" s="4">
        <v>2</v>
      </c>
      <c r="T145" s="4">
        <v>4</v>
      </c>
      <c r="U145" s="4">
        <v>2</v>
      </c>
      <c r="X145" t="e">
        <f t="shared" si="36"/>
        <v>#DIV/0!</v>
      </c>
      <c r="Y145" t="e">
        <f t="shared" si="37"/>
        <v>#DIV/0!</v>
      </c>
      <c r="Z145">
        <f t="shared" si="38"/>
        <v>13737.29296875</v>
      </c>
      <c r="AA145">
        <f t="shared" si="39"/>
        <v>54304.690104166664</v>
      </c>
      <c r="AB145">
        <f t="shared" si="40"/>
        <v>103242.533203125</v>
      </c>
      <c r="AC145" t="e">
        <f t="shared" si="41"/>
        <v>#DIV/0!</v>
      </c>
      <c r="AD145">
        <f t="shared" si="42"/>
        <v>18886.527404785156</v>
      </c>
      <c r="AE145">
        <f t="shared" si="43"/>
        <v>38794.22021484375</v>
      </c>
      <c r="AF145">
        <f t="shared" si="44"/>
        <v>71616.11328125</v>
      </c>
    </row>
    <row r="146" spans="1:32" x14ac:dyDescent="0.35">
      <c r="A146" s="3" t="s">
        <v>501</v>
      </c>
      <c r="B146" s="4"/>
      <c r="C146" s="4"/>
      <c r="D146" s="4"/>
      <c r="E146" s="4">
        <v>522690.634765625</v>
      </c>
      <c r="F146" s="4"/>
      <c r="G146" s="4"/>
      <c r="H146" s="4"/>
      <c r="I146" s="4">
        <v>376104.7109375</v>
      </c>
      <c r="J146" s="4"/>
      <c r="L146" s="3" t="s">
        <v>501</v>
      </c>
      <c r="M146" s="4"/>
      <c r="N146" s="4"/>
      <c r="O146" s="4"/>
      <c r="P146" s="4">
        <v>3</v>
      </c>
      <c r="Q146" s="4"/>
      <c r="R146" s="4"/>
      <c r="S146" s="4"/>
      <c r="T146" s="4">
        <v>3</v>
      </c>
      <c r="U146" s="4"/>
      <c r="X146" t="e">
        <f t="shared" si="36"/>
        <v>#DIV/0!</v>
      </c>
      <c r="Y146" t="e">
        <f t="shared" si="37"/>
        <v>#DIV/0!</v>
      </c>
      <c r="Z146" t="e">
        <f t="shared" si="38"/>
        <v>#DIV/0!</v>
      </c>
      <c r="AA146">
        <f t="shared" si="39"/>
        <v>174230.21158854166</v>
      </c>
      <c r="AB146" t="e">
        <f t="shared" si="40"/>
        <v>#DIV/0!</v>
      </c>
      <c r="AC146" t="e">
        <f t="shared" si="41"/>
        <v>#DIV/0!</v>
      </c>
      <c r="AD146" t="e">
        <f t="shared" si="42"/>
        <v>#DIV/0!</v>
      </c>
      <c r="AE146">
        <f t="shared" si="43"/>
        <v>125368.23697916667</v>
      </c>
      <c r="AF146" t="e">
        <f t="shared" si="44"/>
        <v>#DIV/0!</v>
      </c>
    </row>
    <row r="147" spans="1:32" x14ac:dyDescent="0.35">
      <c r="A147" s="3" t="s">
        <v>118</v>
      </c>
      <c r="B147" s="4">
        <v>140897.890625</v>
      </c>
      <c r="C147" s="4"/>
      <c r="D147" s="4">
        <v>125505.89453125</v>
      </c>
      <c r="E147" s="4">
        <v>273517.47265625</v>
      </c>
      <c r="F147" s="4">
        <v>334432.84375</v>
      </c>
      <c r="G147" s="4">
        <v>351320.3193359375</v>
      </c>
      <c r="H147" s="4"/>
      <c r="I147" s="4">
        <v>682945.9296875</v>
      </c>
      <c r="J147" s="4"/>
      <c r="L147" s="3" t="s">
        <v>118</v>
      </c>
      <c r="M147" s="4">
        <v>2</v>
      </c>
      <c r="N147" s="4"/>
      <c r="O147" s="4">
        <v>2</v>
      </c>
      <c r="P147" s="4">
        <v>4</v>
      </c>
      <c r="Q147" s="4">
        <v>2</v>
      </c>
      <c r="R147" s="4">
        <v>2</v>
      </c>
      <c r="S147" s="4"/>
      <c r="T147" s="4">
        <v>4</v>
      </c>
      <c r="U147" s="4"/>
      <c r="X147">
        <f t="shared" si="36"/>
        <v>70448.9453125</v>
      </c>
      <c r="Y147" t="e">
        <f t="shared" si="37"/>
        <v>#DIV/0!</v>
      </c>
      <c r="Z147">
        <f t="shared" si="38"/>
        <v>62752.947265625</v>
      </c>
      <c r="AA147">
        <f t="shared" si="39"/>
        <v>68379.3681640625</v>
      </c>
      <c r="AB147">
        <f t="shared" si="40"/>
        <v>167216.421875</v>
      </c>
      <c r="AC147">
        <f t="shared" si="41"/>
        <v>175660.15966796875</v>
      </c>
      <c r="AD147" t="e">
        <f t="shared" si="42"/>
        <v>#DIV/0!</v>
      </c>
      <c r="AE147">
        <f t="shared" si="43"/>
        <v>170736.482421875</v>
      </c>
      <c r="AF147" t="e">
        <f t="shared" si="44"/>
        <v>#DIV/0!</v>
      </c>
    </row>
    <row r="148" spans="1:32" x14ac:dyDescent="0.35">
      <c r="A148" s="3" t="s">
        <v>672</v>
      </c>
      <c r="B148" s="4">
        <v>75503.75</v>
      </c>
      <c r="C148" s="4"/>
      <c r="D148" s="4"/>
      <c r="E148" s="4"/>
      <c r="F148" s="4"/>
      <c r="G148" s="4"/>
      <c r="H148" s="4"/>
      <c r="I148" s="4"/>
      <c r="J148" s="4"/>
      <c r="L148" s="3" t="s">
        <v>672</v>
      </c>
      <c r="M148" s="4">
        <v>1</v>
      </c>
      <c r="N148" s="4"/>
      <c r="O148" s="4"/>
      <c r="P148" s="4"/>
      <c r="Q148" s="4"/>
      <c r="R148" s="4"/>
      <c r="S148" s="4"/>
      <c r="T148" s="4"/>
      <c r="U148" s="4"/>
      <c r="X148">
        <f t="shared" si="36"/>
        <v>75503.75</v>
      </c>
      <c r="Y148" t="e">
        <f t="shared" si="37"/>
        <v>#DIV/0!</v>
      </c>
      <c r="Z148" t="e">
        <f t="shared" si="38"/>
        <v>#DIV/0!</v>
      </c>
      <c r="AA148" t="e">
        <f t="shared" si="39"/>
        <v>#DIV/0!</v>
      </c>
      <c r="AB148" t="e">
        <f t="shared" si="40"/>
        <v>#DIV/0!</v>
      </c>
      <c r="AC148" t="e">
        <f t="shared" si="41"/>
        <v>#DIV/0!</v>
      </c>
      <c r="AD148" t="e">
        <f t="shared" si="42"/>
        <v>#DIV/0!</v>
      </c>
      <c r="AE148" t="e">
        <f t="shared" si="43"/>
        <v>#DIV/0!</v>
      </c>
      <c r="AF148" t="e">
        <f t="shared" si="44"/>
        <v>#DIV/0!</v>
      </c>
    </row>
    <row r="149" spans="1:32" x14ac:dyDescent="0.35">
      <c r="A149" s="3" t="s">
        <v>459</v>
      </c>
      <c r="B149" s="4"/>
      <c r="C149" s="4">
        <v>11617.158203125</v>
      </c>
      <c r="D149" s="4">
        <v>183962.53125</v>
      </c>
      <c r="E149" s="4">
        <v>391064.8203125</v>
      </c>
      <c r="F149" s="4"/>
      <c r="G149" s="4">
        <v>247922.078125</v>
      </c>
      <c r="H149" s="4">
        <v>322135.2421875</v>
      </c>
      <c r="I149" s="4"/>
      <c r="J149" s="4"/>
      <c r="L149" s="3" t="s">
        <v>459</v>
      </c>
      <c r="M149" s="4"/>
      <c r="N149" s="4">
        <v>1</v>
      </c>
      <c r="O149" s="4">
        <v>1</v>
      </c>
      <c r="P149" s="4">
        <v>3</v>
      </c>
      <c r="Q149" s="4"/>
      <c r="R149" s="4">
        <v>1</v>
      </c>
      <c r="S149" s="4">
        <v>2</v>
      </c>
      <c r="T149" s="4"/>
      <c r="U149" s="4"/>
      <c r="X149" t="e">
        <f t="shared" si="36"/>
        <v>#DIV/0!</v>
      </c>
      <c r="Y149">
        <f t="shared" si="37"/>
        <v>11617.158203125</v>
      </c>
      <c r="Z149">
        <f t="shared" si="38"/>
        <v>183962.53125</v>
      </c>
      <c r="AA149">
        <f t="shared" si="39"/>
        <v>130354.94010416667</v>
      </c>
      <c r="AB149" t="e">
        <f t="shared" si="40"/>
        <v>#DIV/0!</v>
      </c>
      <c r="AC149">
        <f t="shared" si="41"/>
        <v>247922.078125</v>
      </c>
      <c r="AD149">
        <f t="shared" si="42"/>
        <v>161067.62109375</v>
      </c>
      <c r="AE149" t="e">
        <f t="shared" si="43"/>
        <v>#DIV/0!</v>
      </c>
      <c r="AF149" t="e">
        <f t="shared" si="44"/>
        <v>#DIV/0!</v>
      </c>
    </row>
    <row r="150" spans="1:32" x14ac:dyDescent="0.35">
      <c r="A150" s="3" t="s">
        <v>373</v>
      </c>
      <c r="B150" s="4"/>
      <c r="C150" s="4"/>
      <c r="D150" s="4"/>
      <c r="E150" s="4"/>
      <c r="F150" s="4"/>
      <c r="G150" s="4"/>
      <c r="H150" s="4"/>
      <c r="I150" s="4">
        <v>305486.7265625</v>
      </c>
      <c r="J150" s="4">
        <v>66238.0703125</v>
      </c>
      <c r="L150" s="3" t="s">
        <v>373</v>
      </c>
      <c r="M150" s="4"/>
      <c r="N150" s="4"/>
      <c r="O150" s="4"/>
      <c r="P150" s="4"/>
      <c r="Q150" s="4"/>
      <c r="R150" s="4"/>
      <c r="S150" s="4"/>
      <c r="T150" s="4">
        <v>2</v>
      </c>
      <c r="U150" s="4">
        <v>1</v>
      </c>
      <c r="X150" t="e">
        <f t="shared" si="36"/>
        <v>#DIV/0!</v>
      </c>
      <c r="Y150" t="e">
        <f t="shared" si="37"/>
        <v>#DIV/0!</v>
      </c>
      <c r="Z150" t="e">
        <f t="shared" si="38"/>
        <v>#DIV/0!</v>
      </c>
      <c r="AA150" t="e">
        <f t="shared" si="39"/>
        <v>#DIV/0!</v>
      </c>
      <c r="AB150" t="e">
        <f t="shared" si="40"/>
        <v>#DIV/0!</v>
      </c>
      <c r="AC150" t="e">
        <f t="shared" si="41"/>
        <v>#DIV/0!</v>
      </c>
      <c r="AD150" t="e">
        <f t="shared" si="42"/>
        <v>#DIV/0!</v>
      </c>
      <c r="AE150">
        <f t="shared" si="43"/>
        <v>152743.36328125</v>
      </c>
      <c r="AF150">
        <f t="shared" si="44"/>
        <v>66238.0703125</v>
      </c>
    </row>
    <row r="151" spans="1:32" x14ac:dyDescent="0.35">
      <c r="A151" s="3" t="s">
        <v>125</v>
      </c>
      <c r="B151" s="4">
        <v>228332.55078125</v>
      </c>
      <c r="C151" s="4">
        <v>675134.8828125</v>
      </c>
      <c r="D151" s="4">
        <v>173569.3125</v>
      </c>
      <c r="E151" s="4">
        <v>142761.1484375</v>
      </c>
      <c r="F151" s="4">
        <v>1605597.4514160156</v>
      </c>
      <c r="G151" s="4">
        <v>388571.22265625</v>
      </c>
      <c r="H151" s="4">
        <v>303838.197265625</v>
      </c>
      <c r="I151" s="4"/>
      <c r="J151" s="4">
        <v>106698.76171875</v>
      </c>
      <c r="L151" s="3" t="s">
        <v>125</v>
      </c>
      <c r="M151" s="4">
        <v>4</v>
      </c>
      <c r="N151" s="4">
        <v>6</v>
      </c>
      <c r="O151" s="4">
        <v>3</v>
      </c>
      <c r="P151" s="4">
        <v>2</v>
      </c>
      <c r="Q151" s="4">
        <v>10</v>
      </c>
      <c r="R151" s="4">
        <v>6</v>
      </c>
      <c r="S151" s="4">
        <v>4</v>
      </c>
      <c r="T151" s="4"/>
      <c r="U151" s="4">
        <v>2</v>
      </c>
      <c r="X151">
        <f t="shared" si="36"/>
        <v>57083.1376953125</v>
      </c>
      <c r="Y151">
        <f t="shared" si="37"/>
        <v>112522.48046875</v>
      </c>
      <c r="Z151">
        <f t="shared" si="38"/>
        <v>57856.4375</v>
      </c>
      <c r="AA151">
        <f t="shared" si="39"/>
        <v>71380.57421875</v>
      </c>
      <c r="AB151">
        <f t="shared" si="40"/>
        <v>160559.74514160157</v>
      </c>
      <c r="AC151">
        <f t="shared" si="41"/>
        <v>64761.870442708336</v>
      </c>
      <c r="AD151">
        <f t="shared" si="42"/>
        <v>75959.54931640625</v>
      </c>
      <c r="AE151" t="e">
        <f t="shared" si="43"/>
        <v>#DIV/0!</v>
      </c>
      <c r="AF151">
        <f t="shared" si="44"/>
        <v>53349.380859375</v>
      </c>
    </row>
    <row r="152" spans="1:32" x14ac:dyDescent="0.35">
      <c r="A152" s="3" t="s">
        <v>633</v>
      </c>
      <c r="B152" s="4"/>
      <c r="C152" s="4"/>
      <c r="D152" s="4"/>
      <c r="E152" s="4"/>
      <c r="F152" s="4"/>
      <c r="G152" s="4"/>
      <c r="H152" s="4"/>
      <c r="I152" s="4">
        <v>67955.4296875</v>
      </c>
      <c r="J152" s="4">
        <v>33240.8359375</v>
      </c>
      <c r="L152" s="3" t="s">
        <v>633</v>
      </c>
      <c r="M152" s="4"/>
      <c r="N152" s="4"/>
      <c r="O152" s="4"/>
      <c r="P152" s="4"/>
      <c r="Q152" s="4"/>
      <c r="R152" s="4"/>
      <c r="S152" s="4"/>
      <c r="T152" s="4">
        <v>1</v>
      </c>
      <c r="U152" s="4">
        <v>1</v>
      </c>
      <c r="X152" t="e">
        <f t="shared" si="36"/>
        <v>#DIV/0!</v>
      </c>
      <c r="Y152" t="e">
        <f t="shared" si="37"/>
        <v>#DIV/0!</v>
      </c>
      <c r="Z152" t="e">
        <f t="shared" si="38"/>
        <v>#DIV/0!</v>
      </c>
      <c r="AA152" t="e">
        <f t="shared" si="39"/>
        <v>#DIV/0!</v>
      </c>
      <c r="AB152" t="e">
        <f t="shared" si="40"/>
        <v>#DIV/0!</v>
      </c>
      <c r="AC152" t="e">
        <f t="shared" si="41"/>
        <v>#DIV/0!</v>
      </c>
      <c r="AD152" t="e">
        <f t="shared" si="42"/>
        <v>#DIV/0!</v>
      </c>
      <c r="AE152">
        <f t="shared" si="43"/>
        <v>67955.4296875</v>
      </c>
      <c r="AF152">
        <f t="shared" si="44"/>
        <v>33240.8359375</v>
      </c>
    </row>
    <row r="153" spans="1:32" x14ac:dyDescent="0.35">
      <c r="A153" s="3" t="s">
        <v>207</v>
      </c>
      <c r="B153" s="4">
        <v>56199.28515625</v>
      </c>
      <c r="C153" s="4"/>
      <c r="D153" s="4"/>
      <c r="E153" s="4">
        <v>97439.1640625</v>
      </c>
      <c r="F153" s="4"/>
      <c r="G153" s="4"/>
      <c r="H153" s="4"/>
      <c r="I153" s="4"/>
      <c r="J153" s="4"/>
      <c r="L153" s="3" t="s">
        <v>207</v>
      </c>
      <c r="M153" s="4">
        <v>1</v>
      </c>
      <c r="N153" s="4"/>
      <c r="O153" s="4"/>
      <c r="P153" s="4">
        <v>1</v>
      </c>
      <c r="Q153" s="4"/>
      <c r="R153" s="4"/>
      <c r="S153" s="4"/>
      <c r="T153" s="4"/>
      <c r="U153" s="4"/>
      <c r="X153">
        <f t="shared" si="36"/>
        <v>56199.28515625</v>
      </c>
      <c r="Y153" t="e">
        <f t="shared" si="37"/>
        <v>#DIV/0!</v>
      </c>
      <c r="Z153" t="e">
        <f t="shared" si="38"/>
        <v>#DIV/0!</v>
      </c>
      <c r="AA153">
        <f t="shared" si="39"/>
        <v>97439.1640625</v>
      </c>
      <c r="AB153" t="e">
        <f t="shared" si="40"/>
        <v>#DIV/0!</v>
      </c>
      <c r="AC153" t="e">
        <f t="shared" si="41"/>
        <v>#DIV/0!</v>
      </c>
      <c r="AD153" t="e">
        <f t="shared" si="42"/>
        <v>#DIV/0!</v>
      </c>
      <c r="AE153" t="e">
        <f t="shared" si="43"/>
        <v>#DIV/0!</v>
      </c>
      <c r="AF153" t="e">
        <f t="shared" si="44"/>
        <v>#DIV/0!</v>
      </c>
    </row>
    <row r="154" spans="1:32" x14ac:dyDescent="0.35">
      <c r="A154" s="3" t="s">
        <v>110</v>
      </c>
      <c r="B154" s="4"/>
      <c r="C154" s="4"/>
      <c r="D154" s="4">
        <v>268858.87109375</v>
      </c>
      <c r="E154" s="4">
        <v>42416.65625</v>
      </c>
      <c r="F154" s="4">
        <v>256056.96875</v>
      </c>
      <c r="G154" s="4"/>
      <c r="H154" s="4">
        <v>292962.1875</v>
      </c>
      <c r="I154" s="4"/>
      <c r="J154" s="4">
        <v>254357.55078125</v>
      </c>
      <c r="L154" s="3" t="s">
        <v>110</v>
      </c>
      <c r="M154" s="4"/>
      <c r="N154" s="4"/>
      <c r="O154" s="4">
        <v>4</v>
      </c>
      <c r="P154" s="4">
        <v>1</v>
      </c>
      <c r="Q154" s="4">
        <v>1</v>
      </c>
      <c r="R154" s="4"/>
      <c r="S154" s="4">
        <v>4</v>
      </c>
      <c r="T154" s="4"/>
      <c r="U154" s="4">
        <v>4</v>
      </c>
      <c r="X154" t="e">
        <f t="shared" si="36"/>
        <v>#DIV/0!</v>
      </c>
      <c r="Y154" t="e">
        <f t="shared" si="37"/>
        <v>#DIV/0!</v>
      </c>
      <c r="Z154">
        <f t="shared" si="38"/>
        <v>67214.7177734375</v>
      </c>
      <c r="AA154">
        <f t="shared" si="39"/>
        <v>42416.65625</v>
      </c>
      <c r="AB154">
        <f t="shared" si="40"/>
        <v>256056.96875</v>
      </c>
      <c r="AC154" t="e">
        <f t="shared" si="41"/>
        <v>#DIV/0!</v>
      </c>
      <c r="AD154">
        <f t="shared" si="42"/>
        <v>73240.546875</v>
      </c>
      <c r="AE154" t="e">
        <f t="shared" si="43"/>
        <v>#DIV/0!</v>
      </c>
      <c r="AF154">
        <f t="shared" si="44"/>
        <v>63589.3876953125</v>
      </c>
    </row>
    <row r="155" spans="1:32" x14ac:dyDescent="0.35">
      <c r="A155" s="3" t="s">
        <v>1288</v>
      </c>
      <c r="B155" s="4">
        <v>110458.8515625</v>
      </c>
      <c r="C155" s="4"/>
      <c r="D155" s="4"/>
      <c r="E155" s="4"/>
      <c r="F155" s="4"/>
      <c r="G155" s="4"/>
      <c r="H155" s="4"/>
      <c r="I155" s="4"/>
      <c r="J155" s="4"/>
      <c r="L155" s="3" t="s">
        <v>1288</v>
      </c>
      <c r="M155" s="4">
        <v>1</v>
      </c>
      <c r="N155" s="4"/>
      <c r="O155" s="4"/>
      <c r="P155" s="4"/>
      <c r="Q155" s="4"/>
      <c r="R155" s="4"/>
      <c r="S155" s="4"/>
      <c r="T155" s="4"/>
      <c r="U155" s="4"/>
      <c r="X155">
        <f t="shared" si="36"/>
        <v>110458.8515625</v>
      </c>
      <c r="Y155" t="e">
        <f t="shared" si="37"/>
        <v>#DIV/0!</v>
      </c>
      <c r="Z155" t="e">
        <f t="shared" si="38"/>
        <v>#DIV/0!</v>
      </c>
      <c r="AA155" t="e">
        <f t="shared" si="39"/>
        <v>#DIV/0!</v>
      </c>
      <c r="AB155" t="e">
        <f t="shared" si="40"/>
        <v>#DIV/0!</v>
      </c>
      <c r="AC155" t="e">
        <f t="shared" si="41"/>
        <v>#DIV/0!</v>
      </c>
      <c r="AD155" t="e">
        <f t="shared" si="42"/>
        <v>#DIV/0!</v>
      </c>
      <c r="AE155" t="e">
        <f t="shared" si="43"/>
        <v>#DIV/0!</v>
      </c>
      <c r="AF155" t="e">
        <f t="shared" si="44"/>
        <v>#DIV/0!</v>
      </c>
    </row>
    <row r="156" spans="1:32" x14ac:dyDescent="0.35">
      <c r="A156" s="3" t="s">
        <v>514</v>
      </c>
      <c r="B156" s="4"/>
      <c r="C156" s="4">
        <v>335662.55859375</v>
      </c>
      <c r="D156" s="4">
        <v>115442.5625</v>
      </c>
      <c r="E156" s="4">
        <v>359336.0234375</v>
      </c>
      <c r="F156" s="4">
        <v>38685.05859375</v>
      </c>
      <c r="G156" s="4">
        <v>269636.62890625</v>
      </c>
      <c r="H156" s="4">
        <v>85807.5849609375</v>
      </c>
      <c r="I156" s="4">
        <v>71132.021484375</v>
      </c>
      <c r="J156" s="4">
        <v>20536.021484375</v>
      </c>
      <c r="L156" s="3" t="s">
        <v>514</v>
      </c>
      <c r="M156" s="4"/>
      <c r="N156" s="4">
        <v>6</v>
      </c>
      <c r="O156" s="4">
        <v>1</v>
      </c>
      <c r="P156" s="4">
        <v>4</v>
      </c>
      <c r="Q156" s="4">
        <v>1</v>
      </c>
      <c r="R156" s="4">
        <v>3</v>
      </c>
      <c r="S156" s="4">
        <v>3</v>
      </c>
      <c r="T156" s="4">
        <v>2</v>
      </c>
      <c r="U156" s="4">
        <v>1</v>
      </c>
      <c r="X156" t="e">
        <f t="shared" si="36"/>
        <v>#DIV/0!</v>
      </c>
      <c r="Y156">
        <f t="shared" si="37"/>
        <v>55943.759765625</v>
      </c>
      <c r="Z156">
        <f t="shared" si="38"/>
        <v>115442.5625</v>
      </c>
      <c r="AA156">
        <f t="shared" si="39"/>
        <v>89834.005859375</v>
      </c>
      <c r="AB156">
        <f t="shared" si="40"/>
        <v>38685.05859375</v>
      </c>
      <c r="AC156">
        <f t="shared" si="41"/>
        <v>89878.876302083328</v>
      </c>
      <c r="AD156">
        <f t="shared" si="42"/>
        <v>28602.5283203125</v>
      </c>
      <c r="AE156">
        <f t="shared" si="43"/>
        <v>35566.0107421875</v>
      </c>
      <c r="AF156">
        <f t="shared" si="44"/>
        <v>20536.021484375</v>
      </c>
    </row>
    <row r="157" spans="1:32" x14ac:dyDescent="0.35">
      <c r="A157" s="3" t="s">
        <v>252</v>
      </c>
      <c r="B157" s="4">
        <v>332229.44921875</v>
      </c>
      <c r="C157" s="4"/>
      <c r="D157" s="4"/>
      <c r="E157" s="4"/>
      <c r="F157" s="4"/>
      <c r="G157" s="4"/>
      <c r="H157" s="4"/>
      <c r="I157" s="4"/>
      <c r="J157" s="4"/>
      <c r="L157" s="3" t="s">
        <v>252</v>
      </c>
      <c r="M157" s="4">
        <v>2</v>
      </c>
      <c r="N157" s="4"/>
      <c r="O157" s="4"/>
      <c r="P157" s="4"/>
      <c r="Q157" s="4"/>
      <c r="R157" s="4"/>
      <c r="S157" s="4"/>
      <c r="T157" s="4"/>
      <c r="U157" s="4"/>
      <c r="X157">
        <f t="shared" si="36"/>
        <v>166114.724609375</v>
      </c>
      <c r="Y157" t="e">
        <f t="shared" si="37"/>
        <v>#DIV/0!</v>
      </c>
      <c r="Z157" t="e">
        <f t="shared" si="38"/>
        <v>#DIV/0!</v>
      </c>
      <c r="AA157" t="e">
        <f t="shared" si="39"/>
        <v>#DIV/0!</v>
      </c>
      <c r="AB157" t="e">
        <f t="shared" si="40"/>
        <v>#DIV/0!</v>
      </c>
      <c r="AC157" t="e">
        <f t="shared" si="41"/>
        <v>#DIV/0!</v>
      </c>
      <c r="AD157" t="e">
        <f t="shared" si="42"/>
        <v>#DIV/0!</v>
      </c>
      <c r="AE157" t="e">
        <f t="shared" si="43"/>
        <v>#DIV/0!</v>
      </c>
      <c r="AF157" t="e">
        <f t="shared" si="44"/>
        <v>#DIV/0!</v>
      </c>
    </row>
    <row r="158" spans="1:32" x14ac:dyDescent="0.35">
      <c r="A158" s="3" t="s">
        <v>218</v>
      </c>
      <c r="B158" s="4"/>
      <c r="C158" s="4"/>
      <c r="D158" s="4">
        <v>67294.9443359375</v>
      </c>
      <c r="E158" s="4">
        <v>293281.625</v>
      </c>
      <c r="F158" s="4">
        <v>260844.080078125</v>
      </c>
      <c r="G158" s="4">
        <v>536511.4609375</v>
      </c>
      <c r="H158" s="4">
        <v>258845.8359375</v>
      </c>
      <c r="I158" s="4">
        <v>44531.62109375</v>
      </c>
      <c r="J158" s="4">
        <v>239426.68359375</v>
      </c>
      <c r="L158" s="3" t="s">
        <v>218</v>
      </c>
      <c r="M158" s="4"/>
      <c r="N158" s="4"/>
      <c r="O158" s="4">
        <v>2</v>
      </c>
      <c r="P158" s="4">
        <v>3</v>
      </c>
      <c r="Q158" s="4">
        <v>3</v>
      </c>
      <c r="R158" s="4">
        <v>3</v>
      </c>
      <c r="S158" s="4">
        <v>2</v>
      </c>
      <c r="T158" s="4">
        <v>1</v>
      </c>
      <c r="U158" s="4">
        <v>3</v>
      </c>
      <c r="X158" t="e">
        <f t="shared" si="36"/>
        <v>#DIV/0!</v>
      </c>
      <c r="Y158" t="e">
        <f t="shared" si="37"/>
        <v>#DIV/0!</v>
      </c>
      <c r="Z158">
        <f t="shared" si="38"/>
        <v>33647.47216796875</v>
      </c>
      <c r="AA158">
        <f t="shared" si="39"/>
        <v>97760.541666666672</v>
      </c>
      <c r="AB158">
        <f t="shared" si="40"/>
        <v>86948.026692708328</v>
      </c>
      <c r="AC158">
        <f t="shared" si="41"/>
        <v>178837.15364583334</v>
      </c>
      <c r="AD158">
        <f t="shared" si="42"/>
        <v>129422.91796875</v>
      </c>
      <c r="AE158">
        <f t="shared" si="43"/>
        <v>44531.62109375</v>
      </c>
      <c r="AF158">
        <f t="shared" si="44"/>
        <v>79808.89453125</v>
      </c>
    </row>
    <row r="159" spans="1:32" x14ac:dyDescent="0.35">
      <c r="A159" s="3" t="s">
        <v>523</v>
      </c>
      <c r="B159" s="4"/>
      <c r="C159" s="4"/>
      <c r="D159" s="4">
        <v>222075.375</v>
      </c>
      <c r="E159" s="4">
        <v>356460.6875</v>
      </c>
      <c r="F159" s="4"/>
      <c r="G159" s="4"/>
      <c r="H159" s="4">
        <v>399664.53125</v>
      </c>
      <c r="I159" s="4">
        <v>104165.509765625</v>
      </c>
      <c r="J159" s="4">
        <v>186332.46875</v>
      </c>
      <c r="L159" s="3" t="s">
        <v>523</v>
      </c>
      <c r="M159" s="4"/>
      <c r="N159" s="4"/>
      <c r="O159" s="4">
        <v>1</v>
      </c>
      <c r="P159" s="4">
        <v>1</v>
      </c>
      <c r="Q159" s="4"/>
      <c r="R159" s="4"/>
      <c r="S159" s="4">
        <v>1</v>
      </c>
      <c r="T159" s="4">
        <v>3</v>
      </c>
      <c r="U159" s="4">
        <v>2</v>
      </c>
      <c r="X159" t="e">
        <f t="shared" si="36"/>
        <v>#DIV/0!</v>
      </c>
      <c r="Y159" t="e">
        <f t="shared" si="37"/>
        <v>#DIV/0!</v>
      </c>
      <c r="Z159">
        <f t="shared" si="38"/>
        <v>222075.375</v>
      </c>
      <c r="AA159">
        <f t="shared" si="39"/>
        <v>356460.6875</v>
      </c>
      <c r="AB159" t="e">
        <f t="shared" si="40"/>
        <v>#DIV/0!</v>
      </c>
      <c r="AC159" t="e">
        <f t="shared" si="41"/>
        <v>#DIV/0!</v>
      </c>
      <c r="AD159">
        <f t="shared" si="42"/>
        <v>399664.53125</v>
      </c>
      <c r="AE159">
        <f t="shared" si="43"/>
        <v>34721.836588541664</v>
      </c>
      <c r="AF159">
        <f t="shared" si="44"/>
        <v>93166.234375</v>
      </c>
    </row>
    <row r="160" spans="1:32" x14ac:dyDescent="0.35">
      <c r="A160" s="3" t="s">
        <v>891</v>
      </c>
      <c r="B160" s="4"/>
      <c r="C160" s="4">
        <v>23493.791015625</v>
      </c>
      <c r="D160" s="4"/>
      <c r="E160" s="4"/>
      <c r="F160" s="4"/>
      <c r="G160" s="4"/>
      <c r="H160" s="4"/>
      <c r="I160" s="4"/>
      <c r="J160" s="4"/>
      <c r="L160" s="3" t="s">
        <v>891</v>
      </c>
      <c r="M160" s="4"/>
      <c r="N160" s="4">
        <v>1</v>
      </c>
      <c r="O160" s="4"/>
      <c r="P160" s="4"/>
      <c r="Q160" s="4"/>
      <c r="R160" s="4"/>
      <c r="S160" s="4"/>
      <c r="T160" s="4"/>
      <c r="U160" s="4"/>
      <c r="X160" t="e">
        <f t="shared" si="36"/>
        <v>#DIV/0!</v>
      </c>
      <c r="Y160">
        <f t="shared" si="37"/>
        <v>23493.791015625</v>
      </c>
      <c r="Z160" t="e">
        <f t="shared" si="38"/>
        <v>#DIV/0!</v>
      </c>
      <c r="AA160" t="e">
        <f t="shared" si="39"/>
        <v>#DIV/0!</v>
      </c>
      <c r="AB160" t="e">
        <f t="shared" si="40"/>
        <v>#DIV/0!</v>
      </c>
      <c r="AC160" t="e">
        <f t="shared" si="41"/>
        <v>#DIV/0!</v>
      </c>
      <c r="AD160" t="e">
        <f t="shared" si="42"/>
        <v>#DIV/0!</v>
      </c>
      <c r="AE160" t="e">
        <f t="shared" si="43"/>
        <v>#DIV/0!</v>
      </c>
      <c r="AF160" t="e">
        <f t="shared" si="44"/>
        <v>#DIV/0!</v>
      </c>
    </row>
    <row r="161" spans="1:32" x14ac:dyDescent="0.35">
      <c r="A161" s="3" t="s">
        <v>1411</v>
      </c>
      <c r="B161" s="4"/>
      <c r="C161" s="4"/>
      <c r="D161" s="4"/>
      <c r="E161" s="4"/>
      <c r="F161" s="4"/>
      <c r="G161" s="4"/>
      <c r="H161" s="4">
        <v>161108.046875</v>
      </c>
      <c r="I161" s="4"/>
      <c r="J161" s="4"/>
      <c r="L161" s="3" t="s">
        <v>1411</v>
      </c>
      <c r="M161" s="4"/>
      <c r="N161" s="4"/>
      <c r="O161" s="4"/>
      <c r="P161" s="4"/>
      <c r="Q161" s="4"/>
      <c r="R161" s="4"/>
      <c r="S161" s="4">
        <v>1</v>
      </c>
      <c r="T161" s="4"/>
      <c r="U161" s="4"/>
      <c r="X161" t="e">
        <f t="shared" si="36"/>
        <v>#DIV/0!</v>
      </c>
      <c r="Y161" t="e">
        <f t="shared" si="37"/>
        <v>#DIV/0!</v>
      </c>
      <c r="Z161" t="e">
        <f t="shared" si="38"/>
        <v>#DIV/0!</v>
      </c>
      <c r="AA161" t="e">
        <f t="shared" si="39"/>
        <v>#DIV/0!</v>
      </c>
      <c r="AB161" t="e">
        <f t="shared" si="40"/>
        <v>#DIV/0!</v>
      </c>
      <c r="AC161" t="e">
        <f t="shared" si="41"/>
        <v>#DIV/0!</v>
      </c>
      <c r="AD161">
        <f t="shared" si="42"/>
        <v>161108.046875</v>
      </c>
      <c r="AE161" t="e">
        <f t="shared" si="43"/>
        <v>#DIV/0!</v>
      </c>
      <c r="AF161" t="e">
        <f t="shared" si="44"/>
        <v>#DIV/0!</v>
      </c>
    </row>
    <row r="162" spans="1:32" x14ac:dyDescent="0.35">
      <c r="A162" s="3" t="s">
        <v>58</v>
      </c>
      <c r="B162" s="4">
        <v>231822.375</v>
      </c>
      <c r="C162" s="4"/>
      <c r="D162" s="4">
        <v>40060.24609375</v>
      </c>
      <c r="E162" s="4">
        <v>125466.9765625</v>
      </c>
      <c r="F162" s="4"/>
      <c r="G162" s="4">
        <v>1332179.65625</v>
      </c>
      <c r="H162" s="4">
        <v>111962.4091796875</v>
      </c>
      <c r="I162" s="4">
        <v>132329.1875</v>
      </c>
      <c r="J162" s="4"/>
      <c r="L162" s="3" t="s">
        <v>58</v>
      </c>
      <c r="M162" s="4">
        <v>1</v>
      </c>
      <c r="N162" s="4"/>
      <c r="O162" s="4">
        <v>1</v>
      </c>
      <c r="P162" s="4">
        <v>2</v>
      </c>
      <c r="Q162" s="4"/>
      <c r="R162" s="4">
        <v>2</v>
      </c>
      <c r="S162" s="4">
        <v>2</v>
      </c>
      <c r="T162" s="4">
        <v>2</v>
      </c>
      <c r="U162" s="4"/>
      <c r="X162">
        <f t="shared" si="36"/>
        <v>231822.375</v>
      </c>
      <c r="Y162" t="e">
        <f t="shared" si="37"/>
        <v>#DIV/0!</v>
      </c>
      <c r="Z162">
        <f t="shared" si="38"/>
        <v>40060.24609375</v>
      </c>
      <c r="AA162">
        <f t="shared" si="39"/>
        <v>62733.48828125</v>
      </c>
      <c r="AB162" t="e">
        <f t="shared" si="40"/>
        <v>#DIV/0!</v>
      </c>
      <c r="AC162">
        <f t="shared" si="41"/>
        <v>666089.828125</v>
      </c>
      <c r="AD162">
        <f t="shared" si="42"/>
        <v>55981.20458984375</v>
      </c>
      <c r="AE162">
        <f t="shared" si="43"/>
        <v>66164.59375</v>
      </c>
      <c r="AF162" t="e">
        <f t="shared" si="44"/>
        <v>#DIV/0!</v>
      </c>
    </row>
    <row r="163" spans="1:32" x14ac:dyDescent="0.35">
      <c r="A163" s="3" t="s">
        <v>228</v>
      </c>
      <c r="B163" s="4"/>
      <c r="C163" s="4"/>
      <c r="D163" s="4"/>
      <c r="E163" s="4">
        <v>378971.380859375</v>
      </c>
      <c r="F163" s="4">
        <v>208934.125</v>
      </c>
      <c r="G163" s="4"/>
      <c r="H163" s="4">
        <v>97164.518798828125</v>
      </c>
      <c r="I163" s="4"/>
      <c r="J163" s="4">
        <v>665233.02124023438</v>
      </c>
      <c r="L163" s="3" t="s">
        <v>228</v>
      </c>
      <c r="M163" s="4"/>
      <c r="N163" s="4"/>
      <c r="O163" s="4"/>
      <c r="P163" s="4">
        <v>3</v>
      </c>
      <c r="Q163" s="4">
        <v>2</v>
      </c>
      <c r="R163" s="4"/>
      <c r="S163" s="4">
        <v>2</v>
      </c>
      <c r="T163" s="4"/>
      <c r="U163" s="4">
        <v>5</v>
      </c>
      <c r="X163" t="e">
        <f t="shared" si="36"/>
        <v>#DIV/0!</v>
      </c>
      <c r="Y163" t="e">
        <f t="shared" si="37"/>
        <v>#DIV/0!</v>
      </c>
      <c r="Z163" t="e">
        <f t="shared" si="38"/>
        <v>#DIV/0!</v>
      </c>
      <c r="AA163">
        <f t="shared" si="39"/>
        <v>126323.79361979167</v>
      </c>
      <c r="AB163">
        <f t="shared" si="40"/>
        <v>104467.0625</v>
      </c>
      <c r="AC163" t="e">
        <f t="shared" si="41"/>
        <v>#DIV/0!</v>
      </c>
      <c r="AD163">
        <f t="shared" si="42"/>
        <v>48582.259399414063</v>
      </c>
      <c r="AE163" t="e">
        <f t="shared" si="43"/>
        <v>#DIV/0!</v>
      </c>
      <c r="AF163">
        <f t="shared" si="44"/>
        <v>133046.60424804688</v>
      </c>
    </row>
    <row r="164" spans="1:32" x14ac:dyDescent="0.35">
      <c r="A164" s="3" t="s">
        <v>485</v>
      </c>
      <c r="B164" s="4"/>
      <c r="C164" s="4"/>
      <c r="D164" s="4"/>
      <c r="E164" s="4"/>
      <c r="F164" s="4"/>
      <c r="G164" s="4"/>
      <c r="H164" s="4"/>
      <c r="I164" s="4"/>
      <c r="J164" s="4">
        <v>229414.94970703125</v>
      </c>
      <c r="L164" s="3" t="s">
        <v>485</v>
      </c>
      <c r="M164" s="4"/>
      <c r="N164" s="4"/>
      <c r="O164" s="4"/>
      <c r="P164" s="4"/>
      <c r="Q164" s="4"/>
      <c r="R164" s="4"/>
      <c r="S164" s="4"/>
      <c r="T164" s="4"/>
      <c r="U164" s="4">
        <v>4</v>
      </c>
      <c r="X164" t="e">
        <f t="shared" si="36"/>
        <v>#DIV/0!</v>
      </c>
      <c r="Y164" t="e">
        <f t="shared" si="37"/>
        <v>#DIV/0!</v>
      </c>
      <c r="Z164" t="e">
        <f t="shared" si="38"/>
        <v>#DIV/0!</v>
      </c>
      <c r="AA164" t="e">
        <f t="shared" si="39"/>
        <v>#DIV/0!</v>
      </c>
      <c r="AB164" t="e">
        <f t="shared" si="40"/>
        <v>#DIV/0!</v>
      </c>
      <c r="AC164" t="e">
        <f t="shared" si="41"/>
        <v>#DIV/0!</v>
      </c>
      <c r="AD164" t="e">
        <f t="shared" si="42"/>
        <v>#DIV/0!</v>
      </c>
      <c r="AE164" t="e">
        <f t="shared" si="43"/>
        <v>#DIV/0!</v>
      </c>
      <c r="AF164">
        <f t="shared" si="44"/>
        <v>57353.737426757813</v>
      </c>
    </row>
    <row r="165" spans="1:32" x14ac:dyDescent="0.35">
      <c r="A165" s="3" t="s">
        <v>191</v>
      </c>
      <c r="B165" s="4"/>
      <c r="C165" s="4"/>
      <c r="D165" s="4"/>
      <c r="E165" s="4">
        <v>42417.41796875</v>
      </c>
      <c r="F165" s="4">
        <v>211540.78515625</v>
      </c>
      <c r="G165" s="4"/>
      <c r="H165" s="4">
        <v>201797.28125</v>
      </c>
      <c r="I165" s="4"/>
      <c r="J165" s="4">
        <v>49227.98046875</v>
      </c>
      <c r="L165" s="3" t="s">
        <v>191</v>
      </c>
      <c r="M165" s="4"/>
      <c r="N165" s="4"/>
      <c r="O165" s="4"/>
      <c r="P165" s="4">
        <v>1</v>
      </c>
      <c r="Q165" s="4">
        <v>3</v>
      </c>
      <c r="R165" s="4"/>
      <c r="S165" s="4">
        <v>2</v>
      </c>
      <c r="T165" s="4"/>
      <c r="U165" s="4">
        <v>1</v>
      </c>
      <c r="X165" t="e">
        <f t="shared" si="36"/>
        <v>#DIV/0!</v>
      </c>
      <c r="Y165" t="e">
        <f t="shared" si="37"/>
        <v>#DIV/0!</v>
      </c>
      <c r="Z165" t="e">
        <f t="shared" si="38"/>
        <v>#DIV/0!</v>
      </c>
      <c r="AA165">
        <f t="shared" si="39"/>
        <v>42417.41796875</v>
      </c>
      <c r="AB165">
        <f t="shared" si="40"/>
        <v>70513.595052083328</v>
      </c>
      <c r="AC165" t="e">
        <f t="shared" si="41"/>
        <v>#DIV/0!</v>
      </c>
      <c r="AD165">
        <f t="shared" si="42"/>
        <v>100898.640625</v>
      </c>
      <c r="AE165" t="e">
        <f t="shared" si="43"/>
        <v>#DIV/0!</v>
      </c>
      <c r="AF165">
        <f t="shared" si="44"/>
        <v>49227.98046875</v>
      </c>
    </row>
    <row r="166" spans="1:32" x14ac:dyDescent="0.35">
      <c r="A166" s="3" t="s">
        <v>6</v>
      </c>
      <c r="B166" s="4"/>
      <c r="C166" s="4"/>
      <c r="D166" s="4"/>
      <c r="E166" s="4"/>
      <c r="F166" s="4">
        <v>118591.3203125</v>
      </c>
      <c r="G166" s="4">
        <v>120005.984375</v>
      </c>
      <c r="H166" s="4">
        <v>180039.990234375</v>
      </c>
      <c r="I166" s="4">
        <v>383354.46875</v>
      </c>
      <c r="J166" s="4">
        <v>498389.984375</v>
      </c>
      <c r="L166" s="3" t="s">
        <v>6</v>
      </c>
      <c r="M166" s="4"/>
      <c r="N166" s="4"/>
      <c r="O166" s="4"/>
      <c r="P166" s="4"/>
      <c r="Q166" s="4">
        <v>1</v>
      </c>
      <c r="R166" s="4">
        <v>1</v>
      </c>
      <c r="S166" s="4">
        <v>3</v>
      </c>
      <c r="T166" s="4">
        <v>1</v>
      </c>
      <c r="U166" s="4">
        <v>2</v>
      </c>
      <c r="X166" t="e">
        <f t="shared" si="36"/>
        <v>#DIV/0!</v>
      </c>
      <c r="Y166" t="e">
        <f t="shared" si="37"/>
        <v>#DIV/0!</v>
      </c>
      <c r="Z166" t="e">
        <f t="shared" si="38"/>
        <v>#DIV/0!</v>
      </c>
      <c r="AA166" t="e">
        <f t="shared" si="39"/>
        <v>#DIV/0!</v>
      </c>
      <c r="AB166">
        <f t="shared" si="40"/>
        <v>118591.3203125</v>
      </c>
      <c r="AC166">
        <f t="shared" si="41"/>
        <v>120005.984375</v>
      </c>
      <c r="AD166">
        <f t="shared" si="42"/>
        <v>60013.330078125</v>
      </c>
      <c r="AE166">
        <f t="shared" si="43"/>
        <v>383354.46875</v>
      </c>
      <c r="AF166">
        <f t="shared" si="44"/>
        <v>249194.9921875</v>
      </c>
    </row>
    <row r="167" spans="1:32" x14ac:dyDescent="0.35">
      <c r="A167" s="3" t="s">
        <v>150</v>
      </c>
      <c r="B167" s="4">
        <v>18355.84765625</v>
      </c>
      <c r="C167" s="4">
        <v>202040.84375</v>
      </c>
      <c r="D167" s="4">
        <v>48384.60546875</v>
      </c>
      <c r="E167" s="4">
        <v>273656.546875</v>
      </c>
      <c r="F167" s="4">
        <v>174111.01953125</v>
      </c>
      <c r="G167" s="4">
        <v>151664.90625</v>
      </c>
      <c r="H167" s="4">
        <v>233499.953125</v>
      </c>
      <c r="I167" s="4"/>
      <c r="J167" s="4"/>
      <c r="L167" s="3" t="s">
        <v>150</v>
      </c>
      <c r="M167" s="4">
        <v>1</v>
      </c>
      <c r="N167" s="4">
        <v>1</v>
      </c>
      <c r="O167" s="4">
        <v>1</v>
      </c>
      <c r="P167" s="4">
        <v>2</v>
      </c>
      <c r="Q167" s="4">
        <v>2</v>
      </c>
      <c r="R167" s="4">
        <v>2</v>
      </c>
      <c r="S167" s="4">
        <v>1</v>
      </c>
      <c r="T167" s="4"/>
      <c r="U167" s="4"/>
      <c r="X167">
        <f t="shared" si="36"/>
        <v>18355.84765625</v>
      </c>
      <c r="Y167">
        <f t="shared" si="37"/>
        <v>202040.84375</v>
      </c>
      <c r="Z167">
        <f t="shared" si="38"/>
        <v>48384.60546875</v>
      </c>
      <c r="AA167">
        <f t="shared" si="39"/>
        <v>136828.2734375</v>
      </c>
      <c r="AB167">
        <f t="shared" si="40"/>
        <v>87055.509765625</v>
      </c>
      <c r="AC167">
        <f t="shared" si="41"/>
        <v>75832.453125</v>
      </c>
      <c r="AD167">
        <f t="shared" si="42"/>
        <v>233499.953125</v>
      </c>
      <c r="AE167" t="e">
        <f t="shared" si="43"/>
        <v>#DIV/0!</v>
      </c>
      <c r="AF167" t="e">
        <f t="shared" si="44"/>
        <v>#DIV/0!</v>
      </c>
    </row>
    <row r="168" spans="1:32" x14ac:dyDescent="0.35">
      <c r="A168" s="3" t="s">
        <v>115</v>
      </c>
      <c r="B168" s="4"/>
      <c r="C168" s="4"/>
      <c r="D168" s="4">
        <v>94588.896484375</v>
      </c>
      <c r="E168" s="4">
        <v>391286.375</v>
      </c>
      <c r="F168" s="4">
        <v>34137.484375</v>
      </c>
      <c r="G168" s="4">
        <v>102310.7734375</v>
      </c>
      <c r="H168" s="4">
        <v>16806.22265625</v>
      </c>
      <c r="I168" s="4">
        <v>26435.134765625</v>
      </c>
      <c r="J168" s="4"/>
      <c r="L168" s="3" t="s">
        <v>115</v>
      </c>
      <c r="M168" s="4"/>
      <c r="N168" s="4"/>
      <c r="O168" s="4">
        <v>2</v>
      </c>
      <c r="P168" s="4">
        <v>4</v>
      </c>
      <c r="Q168" s="4">
        <v>1</v>
      </c>
      <c r="R168" s="4">
        <v>1</v>
      </c>
      <c r="S168" s="4">
        <v>1</v>
      </c>
      <c r="T168" s="4">
        <v>1</v>
      </c>
      <c r="U168" s="4"/>
      <c r="X168" t="e">
        <f t="shared" si="36"/>
        <v>#DIV/0!</v>
      </c>
      <c r="Y168" t="e">
        <f t="shared" si="37"/>
        <v>#DIV/0!</v>
      </c>
      <c r="Z168">
        <f t="shared" si="38"/>
        <v>47294.4482421875</v>
      </c>
      <c r="AA168">
        <f t="shared" si="39"/>
        <v>97821.59375</v>
      </c>
      <c r="AB168">
        <f t="shared" si="40"/>
        <v>34137.484375</v>
      </c>
      <c r="AC168">
        <f t="shared" si="41"/>
        <v>102310.7734375</v>
      </c>
      <c r="AD168">
        <f t="shared" si="42"/>
        <v>16806.22265625</v>
      </c>
      <c r="AE168">
        <f t="shared" si="43"/>
        <v>26435.134765625</v>
      </c>
      <c r="AF168" t="e">
        <f t="shared" si="44"/>
        <v>#DIV/0!</v>
      </c>
    </row>
    <row r="169" spans="1:32" x14ac:dyDescent="0.35">
      <c r="A169" s="3" t="s">
        <v>341</v>
      </c>
      <c r="B169" s="4">
        <v>11373.220703125</v>
      </c>
      <c r="C169" s="4"/>
      <c r="D169" s="4"/>
      <c r="E169" s="4"/>
      <c r="F169" s="4"/>
      <c r="G169" s="4"/>
      <c r="H169" s="4"/>
      <c r="I169" s="4"/>
      <c r="J169" s="4"/>
      <c r="L169" s="3" t="s">
        <v>341</v>
      </c>
      <c r="M169" s="4">
        <v>1</v>
      </c>
      <c r="N169" s="4"/>
      <c r="O169" s="4"/>
      <c r="P169" s="4"/>
      <c r="Q169" s="4"/>
      <c r="R169" s="4"/>
      <c r="S169" s="4"/>
      <c r="T169" s="4"/>
      <c r="U169" s="4"/>
      <c r="X169">
        <f t="shared" si="36"/>
        <v>11373.220703125</v>
      </c>
      <c r="Y169" t="e">
        <f t="shared" si="37"/>
        <v>#DIV/0!</v>
      </c>
      <c r="Z169" t="e">
        <f t="shared" si="38"/>
        <v>#DIV/0!</v>
      </c>
      <c r="AA169" t="e">
        <f t="shared" si="39"/>
        <v>#DIV/0!</v>
      </c>
      <c r="AB169" t="e">
        <f t="shared" si="40"/>
        <v>#DIV/0!</v>
      </c>
      <c r="AC169" t="e">
        <f t="shared" si="41"/>
        <v>#DIV/0!</v>
      </c>
      <c r="AD169" t="e">
        <f t="shared" si="42"/>
        <v>#DIV/0!</v>
      </c>
      <c r="AE169" t="e">
        <f t="shared" si="43"/>
        <v>#DIV/0!</v>
      </c>
      <c r="AF169" t="e">
        <f t="shared" si="44"/>
        <v>#DIV/0!</v>
      </c>
    </row>
    <row r="170" spans="1:32" x14ac:dyDescent="0.35">
      <c r="A170" s="3" t="s">
        <v>607</v>
      </c>
      <c r="B170" s="4"/>
      <c r="C170" s="4"/>
      <c r="D170" s="4">
        <v>16726.41796875</v>
      </c>
      <c r="E170" s="4"/>
      <c r="F170" s="4"/>
      <c r="G170" s="4">
        <v>396972.455078125</v>
      </c>
      <c r="H170" s="4"/>
      <c r="I170" s="4"/>
      <c r="J170" s="4"/>
      <c r="L170" s="3" t="s">
        <v>607</v>
      </c>
      <c r="M170" s="4"/>
      <c r="N170" s="4"/>
      <c r="O170" s="4">
        <v>1</v>
      </c>
      <c r="P170" s="4"/>
      <c r="Q170" s="4"/>
      <c r="R170" s="4">
        <v>3</v>
      </c>
      <c r="S170" s="4"/>
      <c r="T170" s="4"/>
      <c r="U170" s="4"/>
      <c r="X170" t="e">
        <f t="shared" si="36"/>
        <v>#DIV/0!</v>
      </c>
      <c r="Y170" t="e">
        <f t="shared" si="37"/>
        <v>#DIV/0!</v>
      </c>
      <c r="Z170">
        <f t="shared" si="38"/>
        <v>16726.41796875</v>
      </c>
      <c r="AA170" t="e">
        <f t="shared" si="39"/>
        <v>#DIV/0!</v>
      </c>
      <c r="AB170" t="e">
        <f t="shared" si="40"/>
        <v>#DIV/0!</v>
      </c>
      <c r="AC170">
        <f t="shared" si="41"/>
        <v>132324.15169270834</v>
      </c>
      <c r="AD170" t="e">
        <f t="shared" si="42"/>
        <v>#DIV/0!</v>
      </c>
      <c r="AE170" t="e">
        <f t="shared" si="43"/>
        <v>#DIV/0!</v>
      </c>
      <c r="AF170" t="e">
        <f t="shared" si="44"/>
        <v>#DIV/0!</v>
      </c>
    </row>
    <row r="171" spans="1:32" x14ac:dyDescent="0.35">
      <c r="A171" s="3" t="s">
        <v>1535</v>
      </c>
      <c r="B171" s="4"/>
      <c r="C171" s="4"/>
      <c r="D171" s="4">
        <v>241512.046875</v>
      </c>
      <c r="E171" s="4"/>
      <c r="F171" s="4"/>
      <c r="G171" s="4"/>
      <c r="H171" s="4"/>
      <c r="I171" s="4"/>
      <c r="J171" s="4"/>
      <c r="L171" s="3" t="s">
        <v>1535</v>
      </c>
      <c r="M171" s="4"/>
      <c r="N171" s="4"/>
      <c r="O171" s="4">
        <v>1</v>
      </c>
      <c r="P171" s="4"/>
      <c r="Q171" s="4"/>
      <c r="R171" s="4"/>
      <c r="S171" s="4"/>
      <c r="T171" s="4"/>
      <c r="U171" s="4"/>
      <c r="X171" t="e">
        <f t="shared" si="36"/>
        <v>#DIV/0!</v>
      </c>
      <c r="Y171" t="e">
        <f t="shared" si="37"/>
        <v>#DIV/0!</v>
      </c>
      <c r="Z171">
        <f t="shared" si="38"/>
        <v>241512.046875</v>
      </c>
      <c r="AA171" t="e">
        <f t="shared" si="39"/>
        <v>#DIV/0!</v>
      </c>
      <c r="AB171" t="e">
        <f t="shared" si="40"/>
        <v>#DIV/0!</v>
      </c>
      <c r="AC171" t="e">
        <f t="shared" si="41"/>
        <v>#DIV/0!</v>
      </c>
      <c r="AD171" t="e">
        <f t="shared" si="42"/>
        <v>#DIV/0!</v>
      </c>
      <c r="AE171" t="e">
        <f t="shared" si="43"/>
        <v>#DIV/0!</v>
      </c>
      <c r="AF171" t="e">
        <f t="shared" si="44"/>
        <v>#DIV/0!</v>
      </c>
    </row>
    <row r="172" spans="1:32" x14ac:dyDescent="0.35">
      <c r="A172" s="3" t="s">
        <v>154</v>
      </c>
      <c r="B172" s="4"/>
      <c r="C172" s="4"/>
      <c r="D172" s="4">
        <v>34943.05078125</v>
      </c>
      <c r="E172" s="4"/>
      <c r="F172" s="4">
        <v>59502.5</v>
      </c>
      <c r="G172" s="4">
        <v>102777.484375</v>
      </c>
      <c r="H172" s="4">
        <v>114948.4375</v>
      </c>
      <c r="I172" s="4"/>
      <c r="J172" s="4">
        <v>17386.716796875</v>
      </c>
      <c r="L172" s="3" t="s">
        <v>154</v>
      </c>
      <c r="M172" s="4"/>
      <c r="N172" s="4"/>
      <c r="O172" s="4">
        <v>1</v>
      </c>
      <c r="P172" s="4"/>
      <c r="Q172" s="4">
        <v>2</v>
      </c>
      <c r="R172" s="4">
        <v>1</v>
      </c>
      <c r="S172" s="4">
        <v>3</v>
      </c>
      <c r="T172" s="4"/>
      <c r="U172" s="4">
        <v>1</v>
      </c>
      <c r="X172" t="e">
        <f t="shared" si="36"/>
        <v>#DIV/0!</v>
      </c>
      <c r="Y172" t="e">
        <f t="shared" si="37"/>
        <v>#DIV/0!</v>
      </c>
      <c r="Z172">
        <f t="shared" si="38"/>
        <v>34943.05078125</v>
      </c>
      <c r="AA172" t="e">
        <f t="shared" si="39"/>
        <v>#DIV/0!</v>
      </c>
      <c r="AB172">
        <f t="shared" si="40"/>
        <v>29751.25</v>
      </c>
      <c r="AC172">
        <f t="shared" si="41"/>
        <v>102777.484375</v>
      </c>
      <c r="AD172">
        <f t="shared" si="42"/>
        <v>38316.145833333336</v>
      </c>
      <c r="AE172" t="e">
        <f t="shared" si="43"/>
        <v>#DIV/0!</v>
      </c>
      <c r="AF172">
        <f t="shared" si="44"/>
        <v>17386.716796875</v>
      </c>
    </row>
    <row r="173" spans="1:32" x14ac:dyDescent="0.35">
      <c r="A173" s="3" t="s">
        <v>87</v>
      </c>
      <c r="B173" s="4">
        <v>119818</v>
      </c>
      <c r="C173" s="4">
        <v>132866.3828125</v>
      </c>
      <c r="D173" s="4">
        <v>267302.1015625</v>
      </c>
      <c r="E173" s="4">
        <v>118808.08203125</v>
      </c>
      <c r="F173" s="4">
        <v>695732.3603515625</v>
      </c>
      <c r="G173" s="4">
        <v>513712.611328125</v>
      </c>
      <c r="H173" s="4">
        <v>127418.220703125</v>
      </c>
      <c r="I173" s="4">
        <v>72648.67578125</v>
      </c>
      <c r="J173" s="4">
        <v>67307.505859375</v>
      </c>
      <c r="L173" s="3" t="s">
        <v>87</v>
      </c>
      <c r="M173" s="4">
        <v>1</v>
      </c>
      <c r="N173" s="4">
        <v>2</v>
      </c>
      <c r="O173" s="4">
        <v>4</v>
      </c>
      <c r="P173" s="4">
        <v>2</v>
      </c>
      <c r="Q173" s="4">
        <v>7</v>
      </c>
      <c r="R173" s="4">
        <v>7</v>
      </c>
      <c r="S173" s="4">
        <v>2</v>
      </c>
      <c r="T173" s="4">
        <v>3</v>
      </c>
      <c r="U173" s="4">
        <v>2</v>
      </c>
      <c r="X173">
        <f t="shared" si="36"/>
        <v>119818</v>
      </c>
      <c r="Y173">
        <f t="shared" si="37"/>
        <v>66433.19140625</v>
      </c>
      <c r="Z173">
        <f t="shared" si="38"/>
        <v>66825.525390625</v>
      </c>
      <c r="AA173">
        <f t="shared" si="39"/>
        <v>59404.041015625</v>
      </c>
      <c r="AB173">
        <f t="shared" si="40"/>
        <v>99390.337193080355</v>
      </c>
      <c r="AC173">
        <f t="shared" si="41"/>
        <v>73387.515904017855</v>
      </c>
      <c r="AD173">
        <f t="shared" si="42"/>
        <v>63709.1103515625</v>
      </c>
      <c r="AE173">
        <f t="shared" si="43"/>
        <v>24216.225260416668</v>
      </c>
      <c r="AF173">
        <f t="shared" si="44"/>
        <v>33653.7529296875</v>
      </c>
    </row>
    <row r="174" spans="1:32" x14ac:dyDescent="0.35">
      <c r="A174" s="3" t="s">
        <v>80</v>
      </c>
      <c r="B174" s="4"/>
      <c r="C174" s="4">
        <v>228054.265625</v>
      </c>
      <c r="D174" s="4">
        <v>58409.51171875</v>
      </c>
      <c r="E174" s="4">
        <v>11050.943359375</v>
      </c>
      <c r="F174" s="4">
        <v>274294.390625</v>
      </c>
      <c r="G174" s="4">
        <v>405158.859375</v>
      </c>
      <c r="H174" s="4"/>
      <c r="I174" s="4">
        <v>102004.041015625</v>
      </c>
      <c r="J174" s="4">
        <v>196584.234375</v>
      </c>
      <c r="L174" s="3" t="s">
        <v>80</v>
      </c>
      <c r="M174" s="4"/>
      <c r="N174" s="4">
        <v>3</v>
      </c>
      <c r="O174" s="4">
        <v>1</v>
      </c>
      <c r="P174" s="4">
        <v>1</v>
      </c>
      <c r="Q174" s="4">
        <v>2</v>
      </c>
      <c r="R174" s="4">
        <v>2</v>
      </c>
      <c r="S174" s="4"/>
      <c r="T174" s="4">
        <v>2</v>
      </c>
      <c r="U174" s="4">
        <v>5</v>
      </c>
      <c r="X174" t="e">
        <f t="shared" si="36"/>
        <v>#DIV/0!</v>
      </c>
      <c r="Y174">
        <f t="shared" si="37"/>
        <v>76018.088541666672</v>
      </c>
      <c r="Z174">
        <f t="shared" si="38"/>
        <v>58409.51171875</v>
      </c>
      <c r="AA174">
        <f t="shared" si="39"/>
        <v>11050.943359375</v>
      </c>
      <c r="AB174">
        <f t="shared" si="40"/>
        <v>137147.1953125</v>
      </c>
      <c r="AC174">
        <f t="shared" si="41"/>
        <v>202579.4296875</v>
      </c>
      <c r="AD174" t="e">
        <f t="shared" si="42"/>
        <v>#DIV/0!</v>
      </c>
      <c r="AE174">
        <f t="shared" si="43"/>
        <v>51002.0205078125</v>
      </c>
      <c r="AF174">
        <f t="shared" si="44"/>
        <v>39316.846875000003</v>
      </c>
    </row>
    <row r="175" spans="1:32" x14ac:dyDescent="0.35">
      <c r="A175" s="3" t="s">
        <v>167</v>
      </c>
      <c r="B175" s="4">
        <v>148309.5625</v>
      </c>
      <c r="C175" s="4">
        <v>327292.55859375</v>
      </c>
      <c r="D175" s="4">
        <v>379652.32421875</v>
      </c>
      <c r="E175" s="4">
        <v>14951.015625</v>
      </c>
      <c r="F175" s="4">
        <v>59181.265625</v>
      </c>
      <c r="G175" s="4">
        <v>395453.1015625</v>
      </c>
      <c r="H175" s="4">
        <v>286090.1015625</v>
      </c>
      <c r="I175" s="4">
        <v>47132.23828125</v>
      </c>
      <c r="J175" s="4"/>
      <c r="L175" s="3" t="s">
        <v>167</v>
      </c>
      <c r="M175" s="4">
        <v>2</v>
      </c>
      <c r="N175" s="4">
        <v>2</v>
      </c>
      <c r="O175" s="4">
        <v>4</v>
      </c>
      <c r="P175" s="4">
        <v>1</v>
      </c>
      <c r="Q175" s="4">
        <v>1</v>
      </c>
      <c r="R175" s="4">
        <v>5</v>
      </c>
      <c r="S175" s="4">
        <v>5</v>
      </c>
      <c r="T175" s="4">
        <v>1</v>
      </c>
      <c r="U175" s="4"/>
      <c r="X175">
        <f t="shared" si="36"/>
        <v>74154.78125</v>
      </c>
      <c r="Y175">
        <f t="shared" si="37"/>
        <v>163646.279296875</v>
      </c>
      <c r="Z175">
        <f t="shared" si="38"/>
        <v>94913.0810546875</v>
      </c>
      <c r="AA175">
        <f t="shared" si="39"/>
        <v>14951.015625</v>
      </c>
      <c r="AB175">
        <f t="shared" si="40"/>
        <v>59181.265625</v>
      </c>
      <c r="AC175">
        <f t="shared" si="41"/>
        <v>79090.620312500003</v>
      </c>
      <c r="AD175">
        <f t="shared" si="42"/>
        <v>57218.020312499997</v>
      </c>
      <c r="AE175">
        <f t="shared" si="43"/>
        <v>47132.23828125</v>
      </c>
      <c r="AF175" t="e">
        <f t="shared" si="44"/>
        <v>#DIV/0!</v>
      </c>
    </row>
    <row r="176" spans="1:32" x14ac:dyDescent="0.35">
      <c r="A176" s="3" t="s">
        <v>38</v>
      </c>
      <c r="B176" s="4"/>
      <c r="C176" s="4"/>
      <c r="D176" s="4">
        <v>328292.13671875</v>
      </c>
      <c r="E176" s="4">
        <v>55849.7890625</v>
      </c>
      <c r="F176" s="4"/>
      <c r="G176" s="4">
        <v>71584.30859375</v>
      </c>
      <c r="H176" s="4"/>
      <c r="I176" s="4">
        <v>117255.9765625</v>
      </c>
      <c r="J176" s="4"/>
      <c r="L176" s="3" t="s">
        <v>38</v>
      </c>
      <c r="M176" s="4"/>
      <c r="N176" s="4"/>
      <c r="O176" s="4">
        <v>3</v>
      </c>
      <c r="P176" s="4">
        <v>1</v>
      </c>
      <c r="Q176" s="4"/>
      <c r="R176" s="4">
        <v>2</v>
      </c>
      <c r="S176" s="4"/>
      <c r="T176" s="4">
        <v>1</v>
      </c>
      <c r="U176" s="4"/>
      <c r="X176" t="e">
        <f t="shared" si="36"/>
        <v>#DIV/0!</v>
      </c>
      <c r="Y176" t="e">
        <f t="shared" si="37"/>
        <v>#DIV/0!</v>
      </c>
      <c r="Z176">
        <f t="shared" si="38"/>
        <v>109430.71223958333</v>
      </c>
      <c r="AA176">
        <f t="shared" si="39"/>
        <v>55849.7890625</v>
      </c>
      <c r="AB176" t="e">
        <f t="shared" si="40"/>
        <v>#DIV/0!</v>
      </c>
      <c r="AC176">
        <f t="shared" si="41"/>
        <v>35792.154296875</v>
      </c>
      <c r="AD176" t="e">
        <f t="shared" si="42"/>
        <v>#DIV/0!</v>
      </c>
      <c r="AE176">
        <f t="shared" si="43"/>
        <v>117255.9765625</v>
      </c>
      <c r="AF176" t="e">
        <f t="shared" si="44"/>
        <v>#DIV/0!</v>
      </c>
    </row>
    <row r="177" spans="1:32" x14ac:dyDescent="0.35">
      <c r="A177" s="3" t="s">
        <v>1395</v>
      </c>
      <c r="B177" s="4"/>
      <c r="C177" s="4"/>
      <c r="D177" s="4"/>
      <c r="E177" s="4"/>
      <c r="F177" s="4">
        <v>148307.390625</v>
      </c>
      <c r="G177" s="4"/>
      <c r="H177" s="4"/>
      <c r="I177" s="4"/>
      <c r="J177" s="4"/>
      <c r="L177" s="3" t="s">
        <v>1395</v>
      </c>
      <c r="M177" s="4"/>
      <c r="N177" s="4"/>
      <c r="O177" s="4"/>
      <c r="P177" s="4"/>
      <c r="Q177" s="4">
        <v>1</v>
      </c>
      <c r="R177" s="4"/>
      <c r="S177" s="4"/>
      <c r="T177" s="4"/>
      <c r="U177" s="4"/>
      <c r="X177" t="e">
        <f t="shared" si="36"/>
        <v>#DIV/0!</v>
      </c>
      <c r="Y177" t="e">
        <f t="shared" si="37"/>
        <v>#DIV/0!</v>
      </c>
      <c r="Z177" t="e">
        <f t="shared" si="38"/>
        <v>#DIV/0!</v>
      </c>
      <c r="AA177" t="e">
        <f t="shared" si="39"/>
        <v>#DIV/0!</v>
      </c>
      <c r="AB177">
        <f t="shared" si="40"/>
        <v>148307.390625</v>
      </c>
      <c r="AC177" t="e">
        <f t="shared" si="41"/>
        <v>#DIV/0!</v>
      </c>
      <c r="AD177" t="e">
        <f t="shared" si="42"/>
        <v>#DIV/0!</v>
      </c>
      <c r="AE177" t="e">
        <f t="shared" si="43"/>
        <v>#DIV/0!</v>
      </c>
      <c r="AF177" t="e">
        <f t="shared" si="44"/>
        <v>#DIV/0!</v>
      </c>
    </row>
    <row r="178" spans="1:32" x14ac:dyDescent="0.35">
      <c r="A178" s="3" t="s">
        <v>383</v>
      </c>
      <c r="B178" s="4"/>
      <c r="C178" s="4"/>
      <c r="D178" s="4"/>
      <c r="E178" s="4"/>
      <c r="F178" s="4"/>
      <c r="G178" s="4">
        <v>134388.052734375</v>
      </c>
      <c r="H178" s="4">
        <v>20203.154296875</v>
      </c>
      <c r="I178" s="4"/>
      <c r="J178" s="4"/>
      <c r="L178" s="3" t="s">
        <v>383</v>
      </c>
      <c r="M178" s="4"/>
      <c r="N178" s="4"/>
      <c r="O178" s="4"/>
      <c r="P178" s="4"/>
      <c r="Q178" s="4"/>
      <c r="R178" s="4">
        <v>2</v>
      </c>
      <c r="S178" s="4">
        <v>1</v>
      </c>
      <c r="T178" s="4"/>
      <c r="U178" s="4"/>
      <c r="X178" t="e">
        <f t="shared" si="36"/>
        <v>#DIV/0!</v>
      </c>
      <c r="Y178" t="e">
        <f t="shared" si="37"/>
        <v>#DIV/0!</v>
      </c>
      <c r="Z178" t="e">
        <f t="shared" si="38"/>
        <v>#DIV/0!</v>
      </c>
      <c r="AA178" t="e">
        <f t="shared" si="39"/>
        <v>#DIV/0!</v>
      </c>
      <c r="AB178" t="e">
        <f t="shared" si="40"/>
        <v>#DIV/0!</v>
      </c>
      <c r="AC178">
        <f t="shared" si="41"/>
        <v>67194.0263671875</v>
      </c>
      <c r="AD178">
        <f t="shared" si="42"/>
        <v>20203.154296875</v>
      </c>
      <c r="AE178" t="e">
        <f t="shared" si="43"/>
        <v>#DIV/0!</v>
      </c>
      <c r="AF178" t="e">
        <f t="shared" si="44"/>
        <v>#DIV/0!</v>
      </c>
    </row>
    <row r="179" spans="1:32" x14ac:dyDescent="0.35">
      <c r="A179" s="3" t="s">
        <v>418</v>
      </c>
      <c r="B179" s="4"/>
      <c r="C179" s="4">
        <v>189910.921875</v>
      </c>
      <c r="D179" s="4"/>
      <c r="E179" s="4">
        <v>14724.8408203125</v>
      </c>
      <c r="F179" s="4"/>
      <c r="G179" s="4"/>
      <c r="H179" s="4"/>
      <c r="I179" s="4">
        <v>573082.88745117188</v>
      </c>
      <c r="J179" s="4">
        <v>381376.36328125</v>
      </c>
      <c r="L179" s="3" t="s">
        <v>418</v>
      </c>
      <c r="M179" s="4"/>
      <c r="N179" s="4">
        <v>2</v>
      </c>
      <c r="O179" s="4"/>
      <c r="P179" s="4">
        <v>1</v>
      </c>
      <c r="Q179" s="4"/>
      <c r="R179" s="4"/>
      <c r="S179" s="4"/>
      <c r="T179" s="4">
        <v>7</v>
      </c>
      <c r="U179" s="4">
        <v>3</v>
      </c>
      <c r="X179" t="e">
        <f t="shared" si="36"/>
        <v>#DIV/0!</v>
      </c>
      <c r="Y179">
        <f t="shared" si="37"/>
        <v>94955.4609375</v>
      </c>
      <c r="Z179" t="e">
        <f t="shared" si="38"/>
        <v>#DIV/0!</v>
      </c>
      <c r="AA179">
        <f t="shared" si="39"/>
        <v>14724.8408203125</v>
      </c>
      <c r="AB179" t="e">
        <f t="shared" si="40"/>
        <v>#DIV/0!</v>
      </c>
      <c r="AC179" t="e">
        <f t="shared" si="41"/>
        <v>#DIV/0!</v>
      </c>
      <c r="AD179" t="e">
        <f t="shared" si="42"/>
        <v>#DIV/0!</v>
      </c>
      <c r="AE179">
        <f t="shared" si="43"/>
        <v>81868.98392159598</v>
      </c>
      <c r="AF179">
        <f t="shared" si="44"/>
        <v>127125.45442708333</v>
      </c>
    </row>
    <row r="180" spans="1:32" x14ac:dyDescent="0.35">
      <c r="A180" s="3" t="s">
        <v>1033</v>
      </c>
      <c r="B180" s="4"/>
      <c r="C180" s="4"/>
      <c r="D180" s="4"/>
      <c r="E180" s="4">
        <v>112005.59375</v>
      </c>
      <c r="F180" s="4"/>
      <c r="G180" s="4"/>
      <c r="H180" s="4"/>
      <c r="I180" s="4"/>
      <c r="J180" s="4"/>
      <c r="L180" s="3" t="s">
        <v>1033</v>
      </c>
      <c r="M180" s="4"/>
      <c r="N180" s="4"/>
      <c r="O180" s="4"/>
      <c r="P180" s="4">
        <v>1</v>
      </c>
      <c r="Q180" s="4"/>
      <c r="R180" s="4"/>
      <c r="S180" s="4"/>
      <c r="T180" s="4"/>
      <c r="U180" s="4"/>
      <c r="X180" t="e">
        <f t="shared" si="36"/>
        <v>#DIV/0!</v>
      </c>
      <c r="Y180" t="e">
        <f t="shared" si="37"/>
        <v>#DIV/0!</v>
      </c>
      <c r="Z180" t="e">
        <f t="shared" si="38"/>
        <v>#DIV/0!</v>
      </c>
      <c r="AA180">
        <f t="shared" si="39"/>
        <v>112005.59375</v>
      </c>
      <c r="AB180" t="e">
        <f t="shared" si="40"/>
        <v>#DIV/0!</v>
      </c>
      <c r="AC180" t="e">
        <f t="shared" si="41"/>
        <v>#DIV/0!</v>
      </c>
      <c r="AD180" t="e">
        <f t="shared" si="42"/>
        <v>#DIV/0!</v>
      </c>
      <c r="AE180" t="e">
        <f t="shared" si="43"/>
        <v>#DIV/0!</v>
      </c>
      <c r="AF180" t="e">
        <f t="shared" si="44"/>
        <v>#DIV/0!</v>
      </c>
    </row>
    <row r="181" spans="1:32" x14ac:dyDescent="0.35">
      <c r="A181" s="3" t="s">
        <v>642</v>
      </c>
      <c r="B181" s="4">
        <v>79566.28125</v>
      </c>
      <c r="C181" s="4">
        <v>323516.298828125</v>
      </c>
      <c r="D181" s="4"/>
      <c r="E181" s="4"/>
      <c r="F181" s="4">
        <v>92093.0859375</v>
      </c>
      <c r="G181" s="4">
        <v>112192.328125</v>
      </c>
      <c r="H181" s="4">
        <v>52718.35546875</v>
      </c>
      <c r="I181" s="4"/>
      <c r="J181" s="4">
        <v>51848.1015625</v>
      </c>
      <c r="L181" s="3" t="s">
        <v>642</v>
      </c>
      <c r="M181" s="4">
        <v>1</v>
      </c>
      <c r="N181" s="4">
        <v>3</v>
      </c>
      <c r="O181" s="4"/>
      <c r="P181" s="4"/>
      <c r="Q181" s="4">
        <v>1</v>
      </c>
      <c r="R181" s="4">
        <v>1</v>
      </c>
      <c r="S181" s="4">
        <v>1</v>
      </c>
      <c r="T181" s="4"/>
      <c r="U181" s="4">
        <v>1</v>
      </c>
      <c r="X181">
        <f t="shared" si="36"/>
        <v>79566.28125</v>
      </c>
      <c r="Y181">
        <f t="shared" si="37"/>
        <v>107838.76627604167</v>
      </c>
      <c r="Z181" t="e">
        <f t="shared" si="38"/>
        <v>#DIV/0!</v>
      </c>
      <c r="AA181" t="e">
        <f t="shared" si="39"/>
        <v>#DIV/0!</v>
      </c>
      <c r="AB181">
        <f t="shared" si="40"/>
        <v>92093.0859375</v>
      </c>
      <c r="AC181">
        <f t="shared" si="41"/>
        <v>112192.328125</v>
      </c>
      <c r="AD181">
        <f t="shared" si="42"/>
        <v>52718.35546875</v>
      </c>
      <c r="AE181" t="e">
        <f t="shared" si="43"/>
        <v>#DIV/0!</v>
      </c>
      <c r="AF181">
        <f t="shared" si="44"/>
        <v>51848.1015625</v>
      </c>
    </row>
    <row r="182" spans="1:32" x14ac:dyDescent="0.35">
      <c r="A182" s="3" t="s">
        <v>266</v>
      </c>
      <c r="B182" s="4">
        <v>304331.875</v>
      </c>
      <c r="C182" s="4"/>
      <c r="D182" s="4">
        <v>225829.65625</v>
      </c>
      <c r="E182" s="4"/>
      <c r="F182" s="4">
        <v>475993.1015625</v>
      </c>
      <c r="G182" s="4">
        <v>59269.40234375</v>
      </c>
      <c r="H182" s="4">
        <v>22148.953125</v>
      </c>
      <c r="I182" s="4"/>
      <c r="J182" s="4">
        <v>415448.19482421875</v>
      </c>
      <c r="L182" s="3" t="s">
        <v>266</v>
      </c>
      <c r="M182" s="4">
        <v>2</v>
      </c>
      <c r="N182" s="4"/>
      <c r="O182" s="4">
        <v>1</v>
      </c>
      <c r="P182" s="4"/>
      <c r="Q182" s="4">
        <v>3</v>
      </c>
      <c r="R182" s="4">
        <v>1</v>
      </c>
      <c r="S182" s="4">
        <v>1</v>
      </c>
      <c r="T182" s="4"/>
      <c r="U182" s="4">
        <v>3</v>
      </c>
      <c r="X182">
        <f t="shared" si="36"/>
        <v>152165.9375</v>
      </c>
      <c r="Y182" t="e">
        <f t="shared" si="37"/>
        <v>#DIV/0!</v>
      </c>
      <c r="Z182">
        <f t="shared" si="38"/>
        <v>225829.65625</v>
      </c>
      <c r="AA182" t="e">
        <f t="shared" si="39"/>
        <v>#DIV/0!</v>
      </c>
      <c r="AB182">
        <f t="shared" si="40"/>
        <v>158664.3671875</v>
      </c>
      <c r="AC182">
        <f t="shared" si="41"/>
        <v>59269.40234375</v>
      </c>
      <c r="AD182">
        <f t="shared" si="42"/>
        <v>22148.953125</v>
      </c>
      <c r="AE182" t="e">
        <f t="shared" si="43"/>
        <v>#DIV/0!</v>
      </c>
      <c r="AF182">
        <f t="shared" si="44"/>
        <v>138482.73160807291</v>
      </c>
    </row>
    <row r="183" spans="1:32" s="9" customFormat="1" x14ac:dyDescent="0.35">
      <c r="A183" s="7" t="s">
        <v>221</v>
      </c>
      <c r="B183" s="8">
        <v>189390.8671875</v>
      </c>
      <c r="C183" s="8">
        <v>114031.5</v>
      </c>
      <c r="D183" s="8">
        <v>145174.453125</v>
      </c>
      <c r="E183" s="8"/>
      <c r="F183" s="8">
        <v>55661.71484375</v>
      </c>
      <c r="G183" s="8">
        <v>300458.1796875</v>
      </c>
      <c r="H183" s="8">
        <v>664061.119140625</v>
      </c>
      <c r="I183" s="8">
        <v>389845.484375</v>
      </c>
      <c r="J183" s="8">
        <v>1231135.5859375</v>
      </c>
      <c r="L183" s="7" t="s">
        <v>221</v>
      </c>
      <c r="M183" s="8">
        <v>2</v>
      </c>
      <c r="N183" s="8">
        <v>1</v>
      </c>
      <c r="O183" s="8">
        <v>1</v>
      </c>
      <c r="P183" s="8"/>
      <c r="Q183" s="8">
        <v>1</v>
      </c>
      <c r="R183" s="8">
        <v>2</v>
      </c>
      <c r="S183" s="8">
        <v>4</v>
      </c>
      <c r="T183" s="8">
        <v>3</v>
      </c>
      <c r="U183" s="8">
        <v>4</v>
      </c>
      <c r="X183">
        <f>B183/M183</f>
        <v>94695.43359375</v>
      </c>
      <c r="Y183">
        <f t="shared" si="37"/>
        <v>114031.5</v>
      </c>
      <c r="Z183">
        <f t="shared" si="38"/>
        <v>145174.453125</v>
      </c>
      <c r="AA183" t="e">
        <f t="shared" si="39"/>
        <v>#DIV/0!</v>
      </c>
      <c r="AB183">
        <f t="shared" si="40"/>
        <v>55661.71484375</v>
      </c>
      <c r="AC183">
        <f t="shared" si="41"/>
        <v>150229.08984375</v>
      </c>
      <c r="AD183">
        <f t="shared" si="42"/>
        <v>166015.27978515625</v>
      </c>
      <c r="AE183">
        <f>I183/T183</f>
        <v>129948.49479166667</v>
      </c>
      <c r="AF183">
        <f>J183/U183</f>
        <v>307783.896484375</v>
      </c>
    </row>
    <row r="184" spans="1:32" x14ac:dyDescent="0.35">
      <c r="A184" s="3" t="s">
        <v>55</v>
      </c>
      <c r="B184" s="4"/>
      <c r="C184" s="4"/>
      <c r="D184" s="4">
        <v>150288.296875</v>
      </c>
      <c r="E184" s="4">
        <v>62862</v>
      </c>
      <c r="F184" s="4">
        <v>65166.32421875</v>
      </c>
      <c r="G184" s="4">
        <v>141475.953125</v>
      </c>
      <c r="H184" s="4">
        <v>349797.01953125</v>
      </c>
      <c r="I184" s="4">
        <v>320200.8359375</v>
      </c>
      <c r="J184" s="4">
        <v>674537.6318359375</v>
      </c>
      <c r="L184" s="3" t="s">
        <v>55</v>
      </c>
      <c r="M184" s="4"/>
      <c r="N184" s="4"/>
      <c r="O184" s="4">
        <v>2</v>
      </c>
      <c r="P184" s="4">
        <v>1</v>
      </c>
      <c r="Q184" s="4">
        <v>2</v>
      </c>
      <c r="R184" s="4">
        <v>1</v>
      </c>
      <c r="S184" s="4">
        <v>2</v>
      </c>
      <c r="T184" s="4">
        <v>3</v>
      </c>
      <c r="U184" s="4">
        <v>6</v>
      </c>
      <c r="X184" t="e">
        <f t="shared" si="36"/>
        <v>#DIV/0!</v>
      </c>
      <c r="Y184" t="e">
        <f t="shared" si="37"/>
        <v>#DIV/0!</v>
      </c>
      <c r="Z184">
        <f t="shared" si="38"/>
        <v>75144.1484375</v>
      </c>
      <c r="AA184">
        <f t="shared" si="39"/>
        <v>62862</v>
      </c>
      <c r="AB184">
        <f t="shared" si="40"/>
        <v>32583.162109375</v>
      </c>
      <c r="AC184">
        <f t="shared" si="41"/>
        <v>141475.953125</v>
      </c>
      <c r="AD184">
        <f t="shared" si="42"/>
        <v>174898.509765625</v>
      </c>
      <c r="AE184">
        <f t="shared" si="43"/>
        <v>106733.61197916667</v>
      </c>
      <c r="AF184">
        <f t="shared" si="44"/>
        <v>112422.93863932292</v>
      </c>
    </row>
    <row r="185" spans="1:32" x14ac:dyDescent="0.35">
      <c r="A185" s="3" t="s">
        <v>146</v>
      </c>
      <c r="B185" s="4">
        <v>677019.7529296875</v>
      </c>
      <c r="C185" s="4">
        <v>227255.5234375</v>
      </c>
      <c r="D185" s="4">
        <v>352199.083984375</v>
      </c>
      <c r="E185" s="4">
        <v>316105.55078125</v>
      </c>
      <c r="F185" s="4"/>
      <c r="G185" s="4"/>
      <c r="H185" s="4"/>
      <c r="I185" s="4">
        <v>205254.02734375</v>
      </c>
      <c r="J185" s="4">
        <v>270966.0078125</v>
      </c>
      <c r="L185" s="3" t="s">
        <v>146</v>
      </c>
      <c r="M185" s="4">
        <v>4</v>
      </c>
      <c r="N185" s="4">
        <v>2</v>
      </c>
      <c r="O185" s="4">
        <v>3</v>
      </c>
      <c r="P185" s="4">
        <v>2</v>
      </c>
      <c r="Q185" s="4"/>
      <c r="R185" s="4"/>
      <c r="S185" s="4"/>
      <c r="T185" s="4">
        <v>2</v>
      </c>
      <c r="U185" s="4">
        <v>2</v>
      </c>
      <c r="X185">
        <f t="shared" si="36"/>
        <v>169254.93823242188</v>
      </c>
      <c r="Y185">
        <f t="shared" si="37"/>
        <v>113627.76171875</v>
      </c>
      <c r="Z185">
        <f t="shared" si="38"/>
        <v>117399.69466145833</v>
      </c>
      <c r="AA185">
        <f t="shared" si="39"/>
        <v>158052.775390625</v>
      </c>
      <c r="AB185" t="e">
        <f t="shared" si="40"/>
        <v>#DIV/0!</v>
      </c>
      <c r="AC185" t="e">
        <f t="shared" si="41"/>
        <v>#DIV/0!</v>
      </c>
      <c r="AD185" t="e">
        <f t="shared" si="42"/>
        <v>#DIV/0!</v>
      </c>
      <c r="AE185">
        <f t="shared" si="43"/>
        <v>102627.013671875</v>
      </c>
      <c r="AF185">
        <f t="shared" si="44"/>
        <v>135483.00390625</v>
      </c>
    </row>
    <row r="186" spans="1:32" x14ac:dyDescent="0.35">
      <c r="A186" s="3" t="s">
        <v>557</v>
      </c>
      <c r="B186" s="4"/>
      <c r="C186" s="4"/>
      <c r="D186" s="4"/>
      <c r="E186" s="4"/>
      <c r="F186" s="4"/>
      <c r="G186" s="4"/>
      <c r="H186" s="4"/>
      <c r="I186" s="4">
        <v>30001.505859375</v>
      </c>
      <c r="J186" s="4"/>
      <c r="L186" s="3" t="s">
        <v>557</v>
      </c>
      <c r="M186" s="4"/>
      <c r="N186" s="4"/>
      <c r="O186" s="4"/>
      <c r="P186" s="4"/>
      <c r="Q186" s="4"/>
      <c r="R186" s="4"/>
      <c r="S186" s="4"/>
      <c r="T186" s="4">
        <v>1</v>
      </c>
      <c r="U186" s="4"/>
      <c r="X186" t="e">
        <f t="shared" si="36"/>
        <v>#DIV/0!</v>
      </c>
      <c r="Y186" t="e">
        <f t="shared" si="37"/>
        <v>#DIV/0!</v>
      </c>
      <c r="Z186" t="e">
        <f t="shared" si="38"/>
        <v>#DIV/0!</v>
      </c>
      <c r="AA186" t="e">
        <f t="shared" si="39"/>
        <v>#DIV/0!</v>
      </c>
      <c r="AB186" t="e">
        <f t="shared" si="40"/>
        <v>#DIV/0!</v>
      </c>
      <c r="AC186" t="e">
        <f t="shared" si="41"/>
        <v>#DIV/0!</v>
      </c>
      <c r="AD186" t="e">
        <f t="shared" si="42"/>
        <v>#DIV/0!</v>
      </c>
      <c r="AE186">
        <f t="shared" si="43"/>
        <v>30001.505859375</v>
      </c>
      <c r="AF186" t="e">
        <f t="shared" si="44"/>
        <v>#DIV/0!</v>
      </c>
    </row>
    <row r="187" spans="1:32" x14ac:dyDescent="0.35">
      <c r="A187" s="3" t="s">
        <v>584</v>
      </c>
      <c r="B187" s="4"/>
      <c r="C187" s="4"/>
      <c r="D187" s="4"/>
      <c r="E187" s="4"/>
      <c r="F187" s="4">
        <v>77003.8671875</v>
      </c>
      <c r="G187" s="4"/>
      <c r="H187" s="4"/>
      <c r="I187" s="4"/>
      <c r="J187" s="4"/>
      <c r="L187" s="3" t="s">
        <v>584</v>
      </c>
      <c r="M187" s="4"/>
      <c r="N187" s="4"/>
      <c r="O187" s="4"/>
      <c r="P187" s="4"/>
      <c r="Q187" s="4">
        <v>1</v>
      </c>
      <c r="R187" s="4"/>
      <c r="S187" s="4"/>
      <c r="T187" s="4"/>
      <c r="U187" s="4"/>
      <c r="X187" t="e">
        <f t="shared" si="36"/>
        <v>#DIV/0!</v>
      </c>
      <c r="Y187" t="e">
        <f t="shared" si="37"/>
        <v>#DIV/0!</v>
      </c>
      <c r="Z187" t="e">
        <f t="shared" si="38"/>
        <v>#DIV/0!</v>
      </c>
      <c r="AA187" t="e">
        <f t="shared" si="39"/>
        <v>#DIV/0!</v>
      </c>
      <c r="AB187">
        <f t="shared" si="40"/>
        <v>77003.8671875</v>
      </c>
      <c r="AC187" t="e">
        <f t="shared" si="41"/>
        <v>#DIV/0!</v>
      </c>
      <c r="AD187" t="e">
        <f t="shared" si="42"/>
        <v>#DIV/0!</v>
      </c>
      <c r="AE187" t="e">
        <f t="shared" si="43"/>
        <v>#DIV/0!</v>
      </c>
      <c r="AF187" t="e">
        <f t="shared" si="44"/>
        <v>#DIV/0!</v>
      </c>
    </row>
    <row r="188" spans="1:32" x14ac:dyDescent="0.35">
      <c r="A188" s="3" t="s">
        <v>1039</v>
      </c>
      <c r="B188" s="4"/>
      <c r="C188" s="4"/>
      <c r="D188" s="4"/>
      <c r="E188" s="4"/>
      <c r="F188" s="4"/>
      <c r="G188" s="4"/>
      <c r="H188" s="4"/>
      <c r="I188" s="4"/>
      <c r="J188" s="4">
        <v>79999.9453125</v>
      </c>
      <c r="L188" s="3" t="s">
        <v>1039</v>
      </c>
      <c r="M188" s="4"/>
      <c r="N188" s="4"/>
      <c r="O188" s="4"/>
      <c r="P188" s="4"/>
      <c r="Q188" s="4"/>
      <c r="R188" s="4"/>
      <c r="S188" s="4"/>
      <c r="T188" s="4"/>
      <c r="U188" s="4">
        <v>1</v>
      </c>
      <c r="X188" t="e">
        <f t="shared" si="36"/>
        <v>#DIV/0!</v>
      </c>
      <c r="Y188" t="e">
        <f t="shared" si="37"/>
        <v>#DIV/0!</v>
      </c>
      <c r="Z188" t="e">
        <f t="shared" si="38"/>
        <v>#DIV/0!</v>
      </c>
      <c r="AA188" t="e">
        <f t="shared" si="39"/>
        <v>#DIV/0!</v>
      </c>
      <c r="AB188" t="e">
        <f t="shared" si="40"/>
        <v>#DIV/0!</v>
      </c>
      <c r="AC188" t="e">
        <f t="shared" si="41"/>
        <v>#DIV/0!</v>
      </c>
      <c r="AD188" t="e">
        <f t="shared" si="42"/>
        <v>#DIV/0!</v>
      </c>
      <c r="AE188" t="e">
        <f t="shared" si="43"/>
        <v>#DIV/0!</v>
      </c>
      <c r="AF188">
        <f t="shared" si="44"/>
        <v>79999.9453125</v>
      </c>
    </row>
    <row r="189" spans="1:32" x14ac:dyDescent="0.35">
      <c r="A189" s="3" t="s">
        <v>285</v>
      </c>
      <c r="B189" s="4"/>
      <c r="C189" s="4"/>
      <c r="D189" s="4"/>
      <c r="E189" s="4">
        <v>266268.015625</v>
      </c>
      <c r="F189" s="4">
        <v>188685.921875</v>
      </c>
      <c r="G189" s="4"/>
      <c r="H189" s="4">
        <v>29061.0947265625</v>
      </c>
      <c r="I189" s="4">
        <v>183304.359375</v>
      </c>
      <c r="J189" s="4">
        <v>381545.53515625</v>
      </c>
      <c r="L189" s="3" t="s">
        <v>285</v>
      </c>
      <c r="M189" s="4"/>
      <c r="N189" s="4"/>
      <c r="O189" s="4"/>
      <c r="P189" s="4">
        <v>3</v>
      </c>
      <c r="Q189" s="4">
        <v>2</v>
      </c>
      <c r="R189" s="4"/>
      <c r="S189" s="4">
        <v>2</v>
      </c>
      <c r="T189" s="4">
        <v>1</v>
      </c>
      <c r="U189" s="4">
        <v>3</v>
      </c>
      <c r="X189" t="e">
        <f t="shared" si="36"/>
        <v>#DIV/0!</v>
      </c>
      <c r="Y189" t="e">
        <f t="shared" si="37"/>
        <v>#DIV/0!</v>
      </c>
      <c r="Z189" t="e">
        <f t="shared" si="38"/>
        <v>#DIV/0!</v>
      </c>
      <c r="AA189">
        <f t="shared" si="39"/>
        <v>88756.005208333328</v>
      </c>
      <c r="AB189">
        <f t="shared" si="40"/>
        <v>94342.9609375</v>
      </c>
      <c r="AC189" t="e">
        <f t="shared" si="41"/>
        <v>#DIV/0!</v>
      </c>
      <c r="AD189">
        <f t="shared" si="42"/>
        <v>14530.54736328125</v>
      </c>
      <c r="AE189">
        <f t="shared" si="43"/>
        <v>183304.359375</v>
      </c>
      <c r="AF189">
        <f t="shared" si="44"/>
        <v>127181.84505208333</v>
      </c>
    </row>
    <row r="190" spans="1:32" x14ac:dyDescent="0.35">
      <c r="A190" s="3" t="s">
        <v>48</v>
      </c>
      <c r="B190" s="4"/>
      <c r="C190" s="4">
        <v>84253.234375</v>
      </c>
      <c r="D190" s="4"/>
      <c r="E190" s="4">
        <v>276180.353515625</v>
      </c>
      <c r="F190" s="4">
        <v>119115.1953125</v>
      </c>
      <c r="G190" s="4"/>
      <c r="H190" s="4">
        <v>240440.03125</v>
      </c>
      <c r="I190" s="4">
        <v>118348.900390625</v>
      </c>
      <c r="J190" s="4">
        <v>331960.65625</v>
      </c>
      <c r="L190" s="3" t="s">
        <v>48</v>
      </c>
      <c r="M190" s="4"/>
      <c r="N190" s="4">
        <v>1</v>
      </c>
      <c r="O190" s="4"/>
      <c r="P190" s="4">
        <v>3</v>
      </c>
      <c r="Q190" s="4">
        <v>2</v>
      </c>
      <c r="R190" s="4"/>
      <c r="S190" s="4">
        <v>3</v>
      </c>
      <c r="T190" s="4">
        <v>3</v>
      </c>
      <c r="U190" s="4">
        <v>3</v>
      </c>
      <c r="X190" t="e">
        <f t="shared" si="36"/>
        <v>#DIV/0!</v>
      </c>
      <c r="Y190">
        <f t="shared" si="37"/>
        <v>84253.234375</v>
      </c>
      <c r="Z190" t="e">
        <f t="shared" si="38"/>
        <v>#DIV/0!</v>
      </c>
      <c r="AA190">
        <f t="shared" si="39"/>
        <v>92060.117838541672</v>
      </c>
      <c r="AB190">
        <f t="shared" si="40"/>
        <v>59557.59765625</v>
      </c>
      <c r="AC190" t="e">
        <f t="shared" si="41"/>
        <v>#DIV/0!</v>
      </c>
      <c r="AD190">
        <f t="shared" si="42"/>
        <v>80146.677083333328</v>
      </c>
      <c r="AE190">
        <f t="shared" si="43"/>
        <v>39449.633463541664</v>
      </c>
      <c r="AF190">
        <f t="shared" si="44"/>
        <v>110653.55208333333</v>
      </c>
    </row>
    <row r="191" spans="1:32" x14ac:dyDescent="0.35">
      <c r="A191" s="3" t="s">
        <v>1569</v>
      </c>
      <c r="B191" s="4">
        <v>125321.28125</v>
      </c>
      <c r="C191" s="4"/>
      <c r="D191" s="4"/>
      <c r="E191" s="4"/>
      <c r="F191" s="4"/>
      <c r="G191" s="4"/>
      <c r="H191" s="4"/>
      <c r="I191" s="4"/>
      <c r="J191" s="4"/>
      <c r="L191" s="3" t="s">
        <v>1569</v>
      </c>
      <c r="M191" s="4">
        <v>1</v>
      </c>
      <c r="N191" s="4"/>
      <c r="O191" s="4"/>
      <c r="P191" s="4"/>
      <c r="Q191" s="4"/>
      <c r="R191" s="4"/>
      <c r="S191" s="4"/>
      <c r="T191" s="4"/>
      <c r="U191" s="4"/>
      <c r="X191">
        <f t="shared" si="36"/>
        <v>125321.28125</v>
      </c>
      <c r="Y191" t="e">
        <f t="shared" si="37"/>
        <v>#DIV/0!</v>
      </c>
      <c r="Z191" t="e">
        <f t="shared" si="38"/>
        <v>#DIV/0!</v>
      </c>
      <c r="AA191" t="e">
        <f t="shared" si="39"/>
        <v>#DIV/0!</v>
      </c>
      <c r="AB191" t="e">
        <f t="shared" si="40"/>
        <v>#DIV/0!</v>
      </c>
      <c r="AC191" t="e">
        <f t="shared" si="41"/>
        <v>#DIV/0!</v>
      </c>
      <c r="AD191" t="e">
        <f t="shared" si="42"/>
        <v>#DIV/0!</v>
      </c>
      <c r="AE191" t="e">
        <f t="shared" si="43"/>
        <v>#DIV/0!</v>
      </c>
      <c r="AF191" t="e">
        <f t="shared" si="44"/>
        <v>#DIV/0!</v>
      </c>
    </row>
    <row r="192" spans="1:32" x14ac:dyDescent="0.35">
      <c r="A192" s="3" t="s">
        <v>775</v>
      </c>
      <c r="B192" s="4"/>
      <c r="C192" s="4"/>
      <c r="D192" s="4"/>
      <c r="E192" s="4"/>
      <c r="F192" s="4"/>
      <c r="G192" s="4">
        <v>132696.21875</v>
      </c>
      <c r="H192" s="4">
        <v>221050.7265625</v>
      </c>
      <c r="I192" s="4"/>
      <c r="J192" s="4"/>
      <c r="L192" s="3" t="s">
        <v>775</v>
      </c>
      <c r="M192" s="4"/>
      <c r="N192" s="4"/>
      <c r="O192" s="4"/>
      <c r="P192" s="4"/>
      <c r="Q192" s="4"/>
      <c r="R192" s="4">
        <v>1</v>
      </c>
      <c r="S192" s="4">
        <v>3</v>
      </c>
      <c r="T192" s="4"/>
      <c r="U192" s="4"/>
      <c r="X192" t="e">
        <f t="shared" si="36"/>
        <v>#DIV/0!</v>
      </c>
      <c r="Y192" t="e">
        <f t="shared" si="37"/>
        <v>#DIV/0!</v>
      </c>
      <c r="Z192" t="e">
        <f t="shared" si="38"/>
        <v>#DIV/0!</v>
      </c>
      <c r="AA192" t="e">
        <f t="shared" si="39"/>
        <v>#DIV/0!</v>
      </c>
      <c r="AB192" t="e">
        <f t="shared" si="40"/>
        <v>#DIV/0!</v>
      </c>
      <c r="AC192">
        <f t="shared" si="41"/>
        <v>132696.21875</v>
      </c>
      <c r="AD192">
        <f t="shared" si="42"/>
        <v>73683.575520833328</v>
      </c>
      <c r="AE192" t="e">
        <f t="shared" si="43"/>
        <v>#DIV/0!</v>
      </c>
      <c r="AF192" t="e">
        <f t="shared" si="44"/>
        <v>#DIV/0!</v>
      </c>
    </row>
    <row r="193" spans="1:32" x14ac:dyDescent="0.35">
      <c r="A193" s="3" t="s">
        <v>532</v>
      </c>
      <c r="B193" s="4"/>
      <c r="C193" s="4"/>
      <c r="D193" s="4"/>
      <c r="E193" s="4"/>
      <c r="F193" s="4">
        <v>107262.9375</v>
      </c>
      <c r="G193" s="4">
        <v>114784.69921875</v>
      </c>
      <c r="H193" s="4">
        <v>59295.171875</v>
      </c>
      <c r="I193" s="4">
        <v>193554.09375</v>
      </c>
      <c r="J193" s="4">
        <v>316194.7890625</v>
      </c>
      <c r="L193" s="3" t="s">
        <v>532</v>
      </c>
      <c r="M193" s="4"/>
      <c r="N193" s="4"/>
      <c r="O193" s="4"/>
      <c r="P193" s="4"/>
      <c r="Q193" s="4">
        <v>2</v>
      </c>
      <c r="R193" s="4">
        <v>2</v>
      </c>
      <c r="S193" s="4">
        <v>1</v>
      </c>
      <c r="T193" s="4">
        <v>2</v>
      </c>
      <c r="U193" s="4">
        <v>3</v>
      </c>
      <c r="X193" t="e">
        <f t="shared" si="36"/>
        <v>#DIV/0!</v>
      </c>
      <c r="Y193" t="e">
        <f t="shared" si="37"/>
        <v>#DIV/0!</v>
      </c>
      <c r="Z193" t="e">
        <f t="shared" si="38"/>
        <v>#DIV/0!</v>
      </c>
      <c r="AA193" t="e">
        <f t="shared" si="39"/>
        <v>#DIV/0!</v>
      </c>
      <c r="AB193">
        <f t="shared" si="40"/>
        <v>53631.46875</v>
      </c>
      <c r="AC193">
        <f t="shared" si="41"/>
        <v>57392.349609375</v>
      </c>
      <c r="AD193">
        <f t="shared" si="42"/>
        <v>59295.171875</v>
      </c>
      <c r="AE193">
        <f t="shared" si="43"/>
        <v>96777.046875</v>
      </c>
      <c r="AF193">
        <f t="shared" si="44"/>
        <v>105398.26302083333</v>
      </c>
    </row>
    <row r="194" spans="1:32" x14ac:dyDescent="0.35">
      <c r="A194" s="3" t="s">
        <v>211</v>
      </c>
      <c r="B194" s="4">
        <v>133806.140625</v>
      </c>
      <c r="C194" s="4">
        <v>280399.59375</v>
      </c>
      <c r="D194" s="4">
        <v>153108.234375</v>
      </c>
      <c r="E194" s="4">
        <v>57415.66015625</v>
      </c>
      <c r="F194" s="4">
        <v>449391.75</v>
      </c>
      <c r="G194" s="4">
        <v>362985.3642578125</v>
      </c>
      <c r="H194" s="4">
        <v>605509.890625</v>
      </c>
      <c r="I194" s="4"/>
      <c r="J194" s="4">
        <v>535939.5791015625</v>
      </c>
      <c r="L194" s="3" t="s">
        <v>211</v>
      </c>
      <c r="M194" s="4">
        <v>1</v>
      </c>
      <c r="N194" s="4">
        <v>1</v>
      </c>
      <c r="O194" s="4">
        <v>1</v>
      </c>
      <c r="P194" s="4">
        <v>1</v>
      </c>
      <c r="Q194" s="4">
        <v>3</v>
      </c>
      <c r="R194" s="4">
        <v>5</v>
      </c>
      <c r="S194" s="4">
        <v>3</v>
      </c>
      <c r="T194" s="4"/>
      <c r="U194" s="4">
        <v>4</v>
      </c>
      <c r="X194">
        <f t="shared" si="36"/>
        <v>133806.140625</v>
      </c>
      <c r="Y194">
        <f t="shared" si="37"/>
        <v>280399.59375</v>
      </c>
      <c r="Z194">
        <f t="shared" si="38"/>
        <v>153108.234375</v>
      </c>
      <c r="AA194">
        <f t="shared" si="39"/>
        <v>57415.66015625</v>
      </c>
      <c r="AB194">
        <f t="shared" si="40"/>
        <v>149797.25</v>
      </c>
      <c r="AC194">
        <f t="shared" si="41"/>
        <v>72597.072851562494</v>
      </c>
      <c r="AD194">
        <f t="shared" si="42"/>
        <v>201836.63020833334</v>
      </c>
      <c r="AE194" t="e">
        <f t="shared" si="43"/>
        <v>#DIV/0!</v>
      </c>
      <c r="AF194">
        <f t="shared" si="44"/>
        <v>133984.89477539063</v>
      </c>
    </row>
    <row r="195" spans="1:32" x14ac:dyDescent="0.35">
      <c r="A195" s="3" t="s">
        <v>895</v>
      </c>
      <c r="B195" s="4"/>
      <c r="C195" s="4">
        <v>283264.5</v>
      </c>
      <c r="D195" s="4"/>
      <c r="E195" s="4"/>
      <c r="F195" s="4"/>
      <c r="G195" s="4"/>
      <c r="H195" s="4"/>
      <c r="I195" s="4"/>
      <c r="J195" s="4"/>
      <c r="L195" s="3" t="s">
        <v>895</v>
      </c>
      <c r="M195" s="4"/>
      <c r="N195" s="4">
        <v>1</v>
      </c>
      <c r="O195" s="4"/>
      <c r="P195" s="4"/>
      <c r="Q195" s="4"/>
      <c r="R195" s="4"/>
      <c r="S195" s="4"/>
      <c r="T195" s="4"/>
      <c r="U195" s="4"/>
      <c r="X195" t="e">
        <f t="shared" si="36"/>
        <v>#DIV/0!</v>
      </c>
      <c r="Y195">
        <f t="shared" si="37"/>
        <v>283264.5</v>
      </c>
      <c r="Z195" t="e">
        <f t="shared" si="38"/>
        <v>#DIV/0!</v>
      </c>
      <c r="AA195" t="e">
        <f t="shared" si="39"/>
        <v>#DIV/0!</v>
      </c>
      <c r="AB195" t="e">
        <f t="shared" si="40"/>
        <v>#DIV/0!</v>
      </c>
      <c r="AC195" t="e">
        <f t="shared" si="41"/>
        <v>#DIV/0!</v>
      </c>
      <c r="AD195" t="e">
        <f t="shared" si="42"/>
        <v>#DIV/0!</v>
      </c>
      <c r="AE195" t="e">
        <f t="shared" si="43"/>
        <v>#DIV/0!</v>
      </c>
      <c r="AF195" t="e">
        <f t="shared" si="44"/>
        <v>#DIV/0!</v>
      </c>
    </row>
    <row r="196" spans="1:32" x14ac:dyDescent="0.35">
      <c r="A196" s="3" t="s">
        <v>295</v>
      </c>
      <c r="B196" s="4"/>
      <c r="C196" s="4">
        <v>1279504.2338867188</v>
      </c>
      <c r="D196" s="4"/>
      <c r="E196" s="4"/>
      <c r="F196" s="4"/>
      <c r="G196" s="4"/>
      <c r="H196" s="4"/>
      <c r="I196" s="4"/>
      <c r="J196" s="4"/>
      <c r="L196" s="3" t="s">
        <v>295</v>
      </c>
      <c r="M196" s="4"/>
      <c r="N196" s="4">
        <v>8</v>
      </c>
      <c r="O196" s="4"/>
      <c r="P196" s="4"/>
      <c r="Q196" s="4"/>
      <c r="R196" s="4"/>
      <c r="S196" s="4"/>
      <c r="T196" s="4"/>
      <c r="U196" s="4"/>
      <c r="X196" t="e">
        <f t="shared" si="36"/>
        <v>#DIV/0!</v>
      </c>
      <c r="Y196">
        <f t="shared" si="37"/>
        <v>159938.02923583984</v>
      </c>
      <c r="Z196" t="e">
        <f t="shared" si="38"/>
        <v>#DIV/0!</v>
      </c>
      <c r="AA196" t="e">
        <f t="shared" si="39"/>
        <v>#DIV/0!</v>
      </c>
      <c r="AB196" t="e">
        <f t="shared" si="40"/>
        <v>#DIV/0!</v>
      </c>
      <c r="AC196" t="e">
        <f t="shared" si="41"/>
        <v>#DIV/0!</v>
      </c>
      <c r="AD196" t="e">
        <f t="shared" si="42"/>
        <v>#DIV/0!</v>
      </c>
      <c r="AE196" t="e">
        <f t="shared" si="43"/>
        <v>#DIV/0!</v>
      </c>
      <c r="AF196" t="e">
        <f t="shared" si="44"/>
        <v>#DIV/0!</v>
      </c>
    </row>
    <row r="197" spans="1:32" x14ac:dyDescent="0.35">
      <c r="A197" s="3" t="s">
        <v>678</v>
      </c>
      <c r="B197" s="4"/>
      <c r="C197" s="4"/>
      <c r="D197" s="4"/>
      <c r="E197" s="4">
        <v>340730.265625</v>
      </c>
      <c r="F197" s="4"/>
      <c r="G197" s="4"/>
      <c r="H197" s="4"/>
      <c r="I197" s="4"/>
      <c r="J197" s="4"/>
      <c r="L197" s="3" t="s">
        <v>678</v>
      </c>
      <c r="M197" s="4"/>
      <c r="N197" s="4"/>
      <c r="O197" s="4"/>
      <c r="P197" s="4">
        <v>4</v>
      </c>
      <c r="Q197" s="4"/>
      <c r="R197" s="4"/>
      <c r="S197" s="4"/>
      <c r="T197" s="4"/>
      <c r="U197" s="4"/>
      <c r="X197" t="e">
        <f t="shared" si="36"/>
        <v>#DIV/0!</v>
      </c>
      <c r="Y197" t="e">
        <f t="shared" si="37"/>
        <v>#DIV/0!</v>
      </c>
      <c r="Z197" t="e">
        <f t="shared" si="38"/>
        <v>#DIV/0!</v>
      </c>
      <c r="AA197">
        <f t="shared" si="39"/>
        <v>85182.56640625</v>
      </c>
      <c r="AB197" t="e">
        <f t="shared" si="40"/>
        <v>#DIV/0!</v>
      </c>
      <c r="AC197" t="e">
        <f t="shared" si="41"/>
        <v>#DIV/0!</v>
      </c>
      <c r="AD197" t="e">
        <f t="shared" si="42"/>
        <v>#DIV/0!</v>
      </c>
      <c r="AE197" t="e">
        <f t="shared" si="43"/>
        <v>#DIV/0!</v>
      </c>
      <c r="AF197" t="e">
        <f t="shared" si="44"/>
        <v>#DIV/0!</v>
      </c>
    </row>
    <row r="198" spans="1:32" x14ac:dyDescent="0.35">
      <c r="A198" s="3" t="s">
        <v>136</v>
      </c>
      <c r="B198" s="4"/>
      <c r="C198" s="4">
        <v>155390.546875</v>
      </c>
      <c r="D198" s="4">
        <v>62944.66796875</v>
      </c>
      <c r="E198" s="4">
        <v>479128.8828125</v>
      </c>
      <c r="F198" s="4"/>
      <c r="G198" s="4"/>
      <c r="H198" s="4"/>
      <c r="I198" s="4">
        <v>601584.05078125</v>
      </c>
      <c r="J198" s="4">
        <v>27453.931640625</v>
      </c>
      <c r="L198" s="3" t="s">
        <v>136</v>
      </c>
      <c r="M198" s="4"/>
      <c r="N198" s="4">
        <v>1</v>
      </c>
      <c r="O198" s="4">
        <v>1</v>
      </c>
      <c r="P198" s="4">
        <v>3</v>
      </c>
      <c r="Q198" s="4"/>
      <c r="R198" s="4"/>
      <c r="S198" s="4"/>
      <c r="T198" s="4">
        <v>7</v>
      </c>
      <c r="U198" s="4">
        <v>1</v>
      </c>
      <c r="X198" t="e">
        <f t="shared" si="36"/>
        <v>#DIV/0!</v>
      </c>
      <c r="Y198">
        <f t="shared" si="37"/>
        <v>155390.546875</v>
      </c>
      <c r="Z198">
        <f t="shared" si="38"/>
        <v>62944.66796875</v>
      </c>
      <c r="AA198">
        <f t="shared" si="39"/>
        <v>159709.62760416666</v>
      </c>
      <c r="AB198" t="e">
        <f t="shared" si="40"/>
        <v>#DIV/0!</v>
      </c>
      <c r="AC198" t="e">
        <f t="shared" si="41"/>
        <v>#DIV/0!</v>
      </c>
      <c r="AD198" t="e">
        <f t="shared" si="42"/>
        <v>#DIV/0!</v>
      </c>
      <c r="AE198">
        <f t="shared" si="43"/>
        <v>85940.57868303571</v>
      </c>
      <c r="AF198">
        <f t="shared" si="44"/>
        <v>27453.931640625</v>
      </c>
    </row>
    <row r="199" spans="1:32" x14ac:dyDescent="0.35">
      <c r="A199" s="3" t="s">
        <v>106</v>
      </c>
      <c r="B199" s="4">
        <v>244999.4609375</v>
      </c>
      <c r="C199" s="4">
        <v>264218.92578125</v>
      </c>
      <c r="D199" s="4">
        <v>388692.72265625</v>
      </c>
      <c r="E199" s="4">
        <v>111689.828125</v>
      </c>
      <c r="F199" s="4">
        <v>249861.8828125</v>
      </c>
      <c r="G199" s="4">
        <v>124576.98046875</v>
      </c>
      <c r="H199" s="4">
        <v>418154.61328125</v>
      </c>
      <c r="I199" s="4"/>
      <c r="J199" s="4">
        <v>128334.29296875</v>
      </c>
      <c r="L199" s="3" t="s">
        <v>106</v>
      </c>
      <c r="M199" s="4">
        <v>2</v>
      </c>
      <c r="N199" s="4">
        <v>4</v>
      </c>
      <c r="O199" s="4">
        <v>4</v>
      </c>
      <c r="P199" s="4">
        <v>2</v>
      </c>
      <c r="Q199" s="4">
        <v>3</v>
      </c>
      <c r="R199" s="4">
        <v>3</v>
      </c>
      <c r="S199" s="4">
        <v>6</v>
      </c>
      <c r="T199" s="4"/>
      <c r="U199" s="4">
        <v>2</v>
      </c>
      <c r="X199">
        <f t="shared" si="36"/>
        <v>122499.73046875</v>
      </c>
      <c r="Y199">
        <f t="shared" si="37"/>
        <v>66054.7314453125</v>
      </c>
      <c r="Z199">
        <f t="shared" si="38"/>
        <v>97173.1806640625</v>
      </c>
      <c r="AA199">
        <f t="shared" si="39"/>
        <v>55844.9140625</v>
      </c>
      <c r="AB199">
        <f t="shared" si="40"/>
        <v>83287.294270833328</v>
      </c>
      <c r="AC199">
        <f t="shared" si="41"/>
        <v>41525.66015625</v>
      </c>
      <c r="AD199">
        <f t="shared" si="42"/>
        <v>69692.435546875</v>
      </c>
      <c r="AE199" t="e">
        <f t="shared" si="43"/>
        <v>#DIV/0!</v>
      </c>
      <c r="AF199">
        <f t="shared" si="44"/>
        <v>64167.146484375</v>
      </c>
    </row>
    <row r="200" spans="1:32" x14ac:dyDescent="0.35">
      <c r="A200" s="3" t="s">
        <v>1381</v>
      </c>
      <c r="B200" s="4"/>
      <c r="C200" s="4"/>
      <c r="D200" s="4"/>
      <c r="E200" s="4"/>
      <c r="F200" s="4"/>
      <c r="G200" s="4">
        <v>62130.56640625</v>
      </c>
      <c r="H200" s="4"/>
      <c r="I200" s="4"/>
      <c r="J200" s="4"/>
      <c r="L200" s="3" t="s">
        <v>1381</v>
      </c>
      <c r="M200" s="4"/>
      <c r="N200" s="4"/>
      <c r="O200" s="4"/>
      <c r="P200" s="4"/>
      <c r="Q200" s="4"/>
      <c r="R200" s="4">
        <v>1</v>
      </c>
      <c r="S200" s="4"/>
      <c r="T200" s="4"/>
      <c r="U200" s="4"/>
      <c r="X200" t="e">
        <f t="shared" si="36"/>
        <v>#DIV/0!</v>
      </c>
      <c r="Y200" t="e">
        <f t="shared" si="37"/>
        <v>#DIV/0!</v>
      </c>
      <c r="Z200" t="e">
        <f t="shared" si="38"/>
        <v>#DIV/0!</v>
      </c>
      <c r="AA200" t="e">
        <f t="shared" si="39"/>
        <v>#DIV/0!</v>
      </c>
      <c r="AB200" t="e">
        <f t="shared" si="40"/>
        <v>#DIV/0!</v>
      </c>
      <c r="AC200">
        <f t="shared" si="41"/>
        <v>62130.56640625</v>
      </c>
      <c r="AD200" t="e">
        <f t="shared" si="42"/>
        <v>#DIV/0!</v>
      </c>
      <c r="AE200" t="e">
        <f t="shared" si="43"/>
        <v>#DIV/0!</v>
      </c>
      <c r="AF200" t="e">
        <f t="shared" si="44"/>
        <v>#DIV/0!</v>
      </c>
    </row>
    <row r="201" spans="1:32" x14ac:dyDescent="0.35">
      <c r="A201" s="3" t="s">
        <v>297</v>
      </c>
      <c r="B201" s="4"/>
      <c r="C201" s="4"/>
      <c r="D201" s="4">
        <v>18278.63671875</v>
      </c>
      <c r="E201" s="4">
        <v>216083.97265625</v>
      </c>
      <c r="F201" s="4"/>
      <c r="G201" s="4">
        <v>116880.265625</v>
      </c>
      <c r="H201" s="4"/>
      <c r="I201" s="4">
        <v>206163.96411132813</v>
      </c>
      <c r="J201" s="4">
        <v>353817.72607421875</v>
      </c>
      <c r="L201" s="3" t="s">
        <v>297</v>
      </c>
      <c r="M201" s="4"/>
      <c r="N201" s="4"/>
      <c r="O201" s="4">
        <v>1</v>
      </c>
      <c r="P201" s="4">
        <v>2</v>
      </c>
      <c r="Q201" s="4"/>
      <c r="R201" s="4">
        <v>1</v>
      </c>
      <c r="S201" s="4"/>
      <c r="T201" s="4">
        <v>4</v>
      </c>
      <c r="U201" s="4">
        <v>3</v>
      </c>
      <c r="X201" t="e">
        <f t="shared" si="36"/>
        <v>#DIV/0!</v>
      </c>
      <c r="Y201" t="e">
        <f t="shared" si="37"/>
        <v>#DIV/0!</v>
      </c>
      <c r="Z201">
        <f t="shared" si="38"/>
        <v>18278.63671875</v>
      </c>
      <c r="AA201">
        <f t="shared" si="39"/>
        <v>108041.986328125</v>
      </c>
      <c r="AB201" t="e">
        <f t="shared" si="40"/>
        <v>#DIV/0!</v>
      </c>
      <c r="AC201">
        <f t="shared" si="41"/>
        <v>116880.265625</v>
      </c>
      <c r="AD201" t="e">
        <f t="shared" si="42"/>
        <v>#DIV/0!</v>
      </c>
      <c r="AE201">
        <f t="shared" si="43"/>
        <v>51540.991027832031</v>
      </c>
      <c r="AF201">
        <f t="shared" si="44"/>
        <v>117939.24202473958</v>
      </c>
    </row>
    <row r="202" spans="1:32" x14ac:dyDescent="0.35">
      <c r="A202" s="3" t="s">
        <v>310</v>
      </c>
      <c r="B202" s="4"/>
      <c r="C202" s="4">
        <v>93071.3359375</v>
      </c>
      <c r="D202" s="4"/>
      <c r="E202" s="4">
        <v>35654.66796875</v>
      </c>
      <c r="F202" s="4"/>
      <c r="G202" s="4">
        <v>356074.6328125</v>
      </c>
      <c r="H202" s="4"/>
      <c r="I202" s="4">
        <v>426519.6015625</v>
      </c>
      <c r="J202" s="4"/>
      <c r="L202" s="3" t="s">
        <v>310</v>
      </c>
      <c r="M202" s="4"/>
      <c r="N202" s="4">
        <v>1</v>
      </c>
      <c r="O202" s="4"/>
      <c r="P202" s="4">
        <v>1</v>
      </c>
      <c r="Q202" s="4"/>
      <c r="R202" s="4">
        <v>2</v>
      </c>
      <c r="S202" s="4"/>
      <c r="T202" s="4">
        <v>3</v>
      </c>
      <c r="U202" s="4"/>
      <c r="X202" t="e">
        <f t="shared" si="36"/>
        <v>#DIV/0!</v>
      </c>
      <c r="Y202">
        <f t="shared" si="37"/>
        <v>93071.3359375</v>
      </c>
      <c r="Z202" t="e">
        <f t="shared" si="38"/>
        <v>#DIV/0!</v>
      </c>
      <c r="AA202">
        <f t="shared" si="39"/>
        <v>35654.66796875</v>
      </c>
      <c r="AB202" t="e">
        <f t="shared" si="40"/>
        <v>#DIV/0!</v>
      </c>
      <c r="AC202">
        <f t="shared" si="41"/>
        <v>178037.31640625</v>
      </c>
      <c r="AD202" t="e">
        <f t="shared" si="42"/>
        <v>#DIV/0!</v>
      </c>
      <c r="AE202">
        <f t="shared" si="43"/>
        <v>142173.20052083334</v>
      </c>
      <c r="AF202" t="e">
        <f t="shared" si="44"/>
        <v>#DIV/0!</v>
      </c>
    </row>
    <row r="203" spans="1:32" x14ac:dyDescent="0.35">
      <c r="A203" s="3" t="s">
        <v>291</v>
      </c>
      <c r="B203" s="4"/>
      <c r="C203" s="4"/>
      <c r="D203" s="4">
        <v>172013.453125</v>
      </c>
      <c r="E203" s="4">
        <v>247616.90625</v>
      </c>
      <c r="F203" s="4">
        <v>17708.99609375</v>
      </c>
      <c r="G203" s="4"/>
      <c r="H203" s="4">
        <v>370848.01513671875</v>
      </c>
      <c r="I203" s="4">
        <v>245475.302734375</v>
      </c>
      <c r="J203" s="4">
        <v>326797.734375</v>
      </c>
      <c r="L203" s="3" t="s">
        <v>291</v>
      </c>
      <c r="M203" s="4"/>
      <c r="N203" s="4"/>
      <c r="O203" s="4">
        <v>1</v>
      </c>
      <c r="P203" s="4">
        <v>1</v>
      </c>
      <c r="Q203" s="4">
        <v>1</v>
      </c>
      <c r="R203" s="4"/>
      <c r="S203" s="4">
        <v>2</v>
      </c>
      <c r="T203" s="4">
        <v>3</v>
      </c>
      <c r="U203" s="4">
        <v>2</v>
      </c>
    </row>
    <row r="204" spans="1:32" x14ac:dyDescent="0.35">
      <c r="A204" s="3" t="s">
        <v>493</v>
      </c>
      <c r="B204" s="4"/>
      <c r="C204" s="4"/>
      <c r="D204" s="4"/>
      <c r="E204" s="4"/>
      <c r="F204" s="4">
        <v>55282.66796875</v>
      </c>
      <c r="G204" s="4"/>
      <c r="H204" s="4">
        <v>10992.806640625</v>
      </c>
      <c r="I204" s="4">
        <v>143032.23901367188</v>
      </c>
      <c r="J204" s="4">
        <v>259784.4482421875</v>
      </c>
      <c r="L204" s="3" t="s">
        <v>493</v>
      </c>
      <c r="M204" s="4"/>
      <c r="N204" s="4"/>
      <c r="O204" s="4"/>
      <c r="P204" s="4"/>
      <c r="Q204" s="4">
        <v>1</v>
      </c>
      <c r="R204" s="4"/>
      <c r="S204" s="4">
        <v>1</v>
      </c>
      <c r="T204" s="4">
        <v>3</v>
      </c>
      <c r="U204" s="4">
        <v>3</v>
      </c>
    </row>
    <row r="205" spans="1:32" x14ac:dyDescent="0.35">
      <c r="A205" s="3" t="s">
        <v>330</v>
      </c>
      <c r="B205" s="4"/>
      <c r="C205" s="4"/>
      <c r="D205" s="4"/>
      <c r="E205" s="4"/>
      <c r="F205" s="4"/>
      <c r="G205" s="4"/>
      <c r="H205" s="4">
        <v>159715.47265625</v>
      </c>
      <c r="I205" s="4">
        <v>18354.177734375</v>
      </c>
      <c r="J205" s="4">
        <v>43276.8828125</v>
      </c>
      <c r="L205" s="3" t="s">
        <v>330</v>
      </c>
      <c r="M205" s="4"/>
      <c r="N205" s="4"/>
      <c r="O205" s="4"/>
      <c r="P205" s="4"/>
      <c r="Q205" s="4"/>
      <c r="R205" s="4"/>
      <c r="S205" s="4">
        <v>2</v>
      </c>
      <c r="T205" s="4">
        <v>1</v>
      </c>
      <c r="U205" s="4">
        <v>1</v>
      </c>
    </row>
    <row r="206" spans="1:32" x14ac:dyDescent="0.35">
      <c r="A206" s="3" t="s">
        <v>71</v>
      </c>
      <c r="B206" s="4"/>
      <c r="C206" s="4"/>
      <c r="D206" s="4"/>
      <c r="E206" s="4"/>
      <c r="F206" s="4">
        <v>185063.609375</v>
      </c>
      <c r="G206" s="4"/>
      <c r="H206" s="4">
        <v>97187.302734375</v>
      </c>
      <c r="I206" s="4">
        <v>150137.015625</v>
      </c>
      <c r="J206" s="4">
        <v>252504.85546875</v>
      </c>
      <c r="L206" s="3" t="s">
        <v>71</v>
      </c>
      <c r="M206" s="4"/>
      <c r="N206" s="4"/>
      <c r="O206" s="4"/>
      <c r="P206" s="4"/>
      <c r="Q206" s="4">
        <v>1</v>
      </c>
      <c r="R206" s="4"/>
      <c r="S206" s="4">
        <v>2</v>
      </c>
      <c r="T206" s="4">
        <v>2</v>
      </c>
      <c r="U206" s="4">
        <v>3</v>
      </c>
    </row>
    <row r="207" spans="1:32" x14ac:dyDescent="0.35">
      <c r="A207" s="3" t="s">
        <v>103</v>
      </c>
      <c r="B207" s="4">
        <v>87363.501953125</v>
      </c>
      <c r="C207" s="4">
        <v>46572.765625</v>
      </c>
      <c r="D207" s="4">
        <v>166978.40625</v>
      </c>
      <c r="E207" s="4">
        <v>88559.083984375</v>
      </c>
      <c r="F207" s="4">
        <v>87293.69921875</v>
      </c>
      <c r="G207" s="4">
        <v>217101.90197753906</v>
      </c>
      <c r="H207" s="4">
        <v>254305.5400390625</v>
      </c>
      <c r="I207" s="4">
        <v>24288.357421875</v>
      </c>
      <c r="J207" s="4">
        <v>31827.509765625</v>
      </c>
      <c r="L207" s="3" t="s">
        <v>103</v>
      </c>
      <c r="M207" s="4">
        <v>2</v>
      </c>
      <c r="N207" s="4">
        <v>1</v>
      </c>
      <c r="O207" s="4">
        <v>2</v>
      </c>
      <c r="P207" s="4">
        <v>2</v>
      </c>
      <c r="Q207" s="4">
        <v>2</v>
      </c>
      <c r="R207" s="4">
        <v>4</v>
      </c>
      <c r="S207" s="4">
        <v>4</v>
      </c>
      <c r="T207" s="4">
        <v>1</v>
      </c>
      <c r="U207" s="4">
        <v>1</v>
      </c>
    </row>
    <row r="208" spans="1:32" x14ac:dyDescent="0.35">
      <c r="A208" s="3" t="s">
        <v>241</v>
      </c>
      <c r="B208" s="4">
        <v>199124.078125</v>
      </c>
      <c r="C208" s="4"/>
      <c r="D208" s="4"/>
      <c r="E208" s="4">
        <v>136113.14453125</v>
      </c>
      <c r="F208" s="4">
        <v>47098.125</v>
      </c>
      <c r="G208" s="4">
        <v>337966.59375</v>
      </c>
      <c r="H208" s="4">
        <v>283549.53515625</v>
      </c>
      <c r="I208" s="4">
        <v>390008.734375</v>
      </c>
      <c r="J208" s="4">
        <v>297980.09765625</v>
      </c>
      <c r="L208" s="3" t="s">
        <v>241</v>
      </c>
      <c r="M208" s="4">
        <v>1</v>
      </c>
      <c r="N208" s="4"/>
      <c r="O208" s="4"/>
      <c r="P208" s="4">
        <v>2</v>
      </c>
      <c r="Q208" s="4">
        <v>1</v>
      </c>
      <c r="R208" s="4">
        <v>2</v>
      </c>
      <c r="S208" s="4">
        <v>4</v>
      </c>
      <c r="T208" s="4">
        <v>2</v>
      </c>
      <c r="U208" s="4">
        <v>3</v>
      </c>
    </row>
    <row r="209" spans="1:21" x14ac:dyDescent="0.35">
      <c r="A209" s="3" t="s">
        <v>17</v>
      </c>
      <c r="B209" s="4"/>
      <c r="C209" s="4"/>
      <c r="D209" s="4"/>
      <c r="E209" s="4"/>
      <c r="F209" s="4">
        <v>51867.47265625</v>
      </c>
      <c r="G209" s="4">
        <v>75819.9931640625</v>
      </c>
      <c r="H209" s="4"/>
      <c r="I209" s="4">
        <v>135709.41015625</v>
      </c>
      <c r="J209" s="4"/>
      <c r="L209" s="3" t="s">
        <v>17</v>
      </c>
      <c r="M209" s="4"/>
      <c r="N209" s="4"/>
      <c r="O209" s="4"/>
      <c r="P209" s="4"/>
      <c r="Q209" s="4">
        <v>1</v>
      </c>
      <c r="R209" s="4">
        <v>2</v>
      </c>
      <c r="S209" s="4"/>
      <c r="T209" s="4">
        <v>2</v>
      </c>
      <c r="U209" s="4"/>
    </row>
    <row r="210" spans="1:21" x14ac:dyDescent="0.35">
      <c r="A210" s="3" t="s">
        <v>121</v>
      </c>
      <c r="B210" s="4">
        <v>125074.537109375</v>
      </c>
      <c r="C210" s="4"/>
      <c r="D210" s="4"/>
      <c r="E210" s="4">
        <v>454349.201171875</v>
      </c>
      <c r="F210" s="4">
        <v>104387.671875</v>
      </c>
      <c r="G210" s="4">
        <v>93968.178283691406</v>
      </c>
      <c r="H210" s="4"/>
      <c r="I210" s="4"/>
      <c r="J210" s="4"/>
      <c r="L210" s="3" t="s">
        <v>121</v>
      </c>
      <c r="M210" s="4">
        <v>2</v>
      </c>
      <c r="N210" s="4"/>
      <c r="O210" s="4"/>
      <c r="P210" s="4">
        <v>4</v>
      </c>
      <c r="Q210" s="4">
        <v>1</v>
      </c>
      <c r="R210" s="4">
        <v>2</v>
      </c>
      <c r="S210" s="4"/>
      <c r="T210" s="4"/>
      <c r="U210" s="4"/>
    </row>
    <row r="211" spans="1:21" x14ac:dyDescent="0.35">
      <c r="A211" s="3" t="s">
        <v>814</v>
      </c>
      <c r="B211" s="4"/>
      <c r="C211" s="4">
        <v>59129.6171875</v>
      </c>
      <c r="D211" s="4">
        <v>124184.8359375</v>
      </c>
      <c r="E211" s="4"/>
      <c r="F211" s="4">
        <v>59692.10546875</v>
      </c>
      <c r="G211" s="4"/>
      <c r="H211" s="4"/>
      <c r="I211" s="4"/>
      <c r="J211" s="4"/>
      <c r="L211" s="3" t="s">
        <v>814</v>
      </c>
      <c r="M211" s="4"/>
      <c r="N211" s="4">
        <v>1</v>
      </c>
      <c r="O211" s="4">
        <v>1</v>
      </c>
      <c r="P211" s="4"/>
      <c r="Q211" s="4">
        <v>1</v>
      </c>
      <c r="R211" s="4"/>
      <c r="S211" s="4"/>
      <c r="T211" s="4"/>
      <c r="U211" s="4"/>
    </row>
    <row r="212" spans="1:21" x14ac:dyDescent="0.35">
      <c r="A212" s="3" t="s">
        <v>413</v>
      </c>
      <c r="B212" s="4"/>
      <c r="C212" s="4"/>
      <c r="D212" s="4"/>
      <c r="E212" s="4">
        <v>274470.5390625</v>
      </c>
      <c r="F212" s="4">
        <v>187481.1171875</v>
      </c>
      <c r="G212" s="4">
        <v>148723.98828125</v>
      </c>
      <c r="H212" s="4">
        <v>141088.640625</v>
      </c>
      <c r="I212" s="4">
        <v>40554.13671875</v>
      </c>
      <c r="J212" s="4"/>
      <c r="L212" s="3" t="s">
        <v>413</v>
      </c>
      <c r="M212" s="4"/>
      <c r="N212" s="4"/>
      <c r="O212" s="4"/>
      <c r="P212" s="4">
        <v>2</v>
      </c>
      <c r="Q212" s="4">
        <v>2</v>
      </c>
      <c r="R212" s="4">
        <v>2</v>
      </c>
      <c r="S212" s="4">
        <v>1</v>
      </c>
      <c r="T212" s="4">
        <v>1</v>
      </c>
      <c r="U212" s="4"/>
    </row>
    <row r="213" spans="1:21" x14ac:dyDescent="0.35">
      <c r="A213" s="3" t="s">
        <v>141</v>
      </c>
      <c r="B213" s="4">
        <v>28358.845703125</v>
      </c>
      <c r="C213" s="4">
        <v>54526.275390625</v>
      </c>
      <c r="D213" s="4">
        <v>62861.984375</v>
      </c>
      <c r="E213" s="4"/>
      <c r="F213" s="4">
        <v>48717.6875</v>
      </c>
      <c r="G213" s="4"/>
      <c r="H213" s="4"/>
      <c r="I213" s="4">
        <v>13122.7783203125</v>
      </c>
      <c r="J213" s="4"/>
      <c r="L213" s="3" t="s">
        <v>141</v>
      </c>
      <c r="M213" s="4">
        <v>2</v>
      </c>
      <c r="N213" s="4">
        <v>2</v>
      </c>
      <c r="O213" s="4">
        <v>1</v>
      </c>
      <c r="P213" s="4"/>
      <c r="Q213" s="4">
        <v>2</v>
      </c>
      <c r="R213" s="4"/>
      <c r="S213" s="4"/>
      <c r="T213" s="4">
        <v>1</v>
      </c>
      <c r="U213" s="4"/>
    </row>
    <row r="214" spans="1:21" x14ac:dyDescent="0.35">
      <c r="A214" s="3" t="s">
        <v>1257</v>
      </c>
      <c r="B214" s="4"/>
      <c r="C214" s="4"/>
      <c r="D214" s="4">
        <v>60002.984375</v>
      </c>
      <c r="E214" s="4"/>
      <c r="F214" s="4"/>
      <c r="G214" s="4"/>
      <c r="H214" s="4"/>
      <c r="I214" s="4"/>
      <c r="J214" s="4"/>
      <c r="L214" s="3" t="s">
        <v>1257</v>
      </c>
      <c r="M214" s="4"/>
      <c r="N214" s="4"/>
      <c r="O214" s="4">
        <v>1</v>
      </c>
      <c r="P214" s="4"/>
      <c r="Q214" s="4"/>
      <c r="R214" s="4"/>
      <c r="S214" s="4"/>
      <c r="T214" s="4"/>
      <c r="U214" s="4"/>
    </row>
    <row r="215" spans="1:21" x14ac:dyDescent="0.35">
      <c r="A215" s="3" t="s">
        <v>386</v>
      </c>
      <c r="B215" s="4"/>
      <c r="C215" s="4"/>
      <c r="D215" s="4"/>
      <c r="E215" s="4"/>
      <c r="F215" s="4">
        <v>188951.3984375</v>
      </c>
      <c r="G215" s="4">
        <v>141514.546875</v>
      </c>
      <c r="H215" s="4"/>
      <c r="I215" s="4"/>
      <c r="J215" s="4"/>
      <c r="L215" s="3" t="s">
        <v>386</v>
      </c>
      <c r="M215" s="4"/>
      <c r="N215" s="4"/>
      <c r="O215" s="4"/>
      <c r="P215" s="4"/>
      <c r="Q215" s="4">
        <v>2</v>
      </c>
      <c r="R215" s="4">
        <v>2</v>
      </c>
      <c r="S215" s="4"/>
      <c r="T215" s="4"/>
      <c r="U215" s="4"/>
    </row>
    <row r="216" spans="1:21" x14ac:dyDescent="0.35">
      <c r="A216" s="3" t="s">
        <v>1277</v>
      </c>
      <c r="B216" s="4"/>
      <c r="C216" s="4"/>
      <c r="D216" s="4"/>
      <c r="E216" s="4">
        <v>20001.009765625</v>
      </c>
      <c r="F216" s="4"/>
      <c r="G216" s="4">
        <v>170008.5</v>
      </c>
      <c r="H216" s="4"/>
      <c r="I216" s="4"/>
      <c r="J216" s="4"/>
      <c r="L216" s="3" t="s">
        <v>1277</v>
      </c>
      <c r="M216" s="4"/>
      <c r="N216" s="4"/>
      <c r="O216" s="4"/>
      <c r="P216" s="4">
        <v>1</v>
      </c>
      <c r="Q216" s="4"/>
      <c r="R216" s="4">
        <v>1</v>
      </c>
      <c r="S216" s="4"/>
      <c r="T216" s="4"/>
      <c r="U216" s="4"/>
    </row>
    <row r="217" spans="1:21" x14ac:dyDescent="0.35">
      <c r="A217" s="3" t="s">
        <v>261</v>
      </c>
      <c r="B217" s="4">
        <v>102210.6796875</v>
      </c>
      <c r="C217" s="4"/>
      <c r="D217" s="4"/>
      <c r="E217" s="4">
        <v>664909.03515625</v>
      </c>
      <c r="F217" s="4">
        <v>163431.7734375</v>
      </c>
      <c r="G217" s="4"/>
      <c r="H217" s="4"/>
      <c r="I217" s="4">
        <v>44470.34765625</v>
      </c>
      <c r="J217" s="4">
        <v>139783.328125</v>
      </c>
      <c r="L217" s="3" t="s">
        <v>261</v>
      </c>
      <c r="M217" s="4">
        <v>1</v>
      </c>
      <c r="N217" s="4"/>
      <c r="O217" s="4"/>
      <c r="P217" s="4">
        <v>6</v>
      </c>
      <c r="Q217" s="4">
        <v>2</v>
      </c>
      <c r="R217" s="4"/>
      <c r="S217" s="4"/>
      <c r="T217" s="4">
        <v>1</v>
      </c>
      <c r="U217" s="4">
        <v>1</v>
      </c>
    </row>
    <row r="218" spans="1:21" x14ac:dyDescent="0.35">
      <c r="A218" s="3" t="s">
        <v>1479</v>
      </c>
      <c r="B218" s="4"/>
      <c r="C218" s="4"/>
      <c r="D218" s="4"/>
      <c r="E218" s="4"/>
      <c r="F218" s="4"/>
      <c r="G218" s="4"/>
      <c r="H218" s="4"/>
      <c r="I218" s="4">
        <v>80003.9921875</v>
      </c>
      <c r="J218" s="4"/>
      <c r="L218" s="3" t="s">
        <v>1479</v>
      </c>
      <c r="M218" s="4"/>
      <c r="N218" s="4"/>
      <c r="O218" s="4"/>
      <c r="P218" s="4"/>
      <c r="Q218" s="4"/>
      <c r="R218" s="4"/>
      <c r="S218" s="4"/>
      <c r="T218" s="4">
        <v>1</v>
      </c>
      <c r="U218" s="4"/>
    </row>
    <row r="219" spans="1:21" x14ac:dyDescent="0.35">
      <c r="A219" s="3" t="s">
        <v>62</v>
      </c>
      <c r="B219" s="4">
        <v>105586.34375</v>
      </c>
      <c r="C219" s="4"/>
      <c r="D219" s="4"/>
      <c r="E219" s="4">
        <v>44633.29296875</v>
      </c>
      <c r="F219" s="4">
        <v>66778.59375</v>
      </c>
      <c r="G219" s="4">
        <v>53444.83984375</v>
      </c>
      <c r="H219" s="4">
        <v>107789.56640625</v>
      </c>
      <c r="I219" s="4">
        <v>668938.72802734375</v>
      </c>
      <c r="J219" s="4"/>
      <c r="L219" s="3" t="s">
        <v>62</v>
      </c>
      <c r="M219" s="4">
        <v>1</v>
      </c>
      <c r="N219" s="4"/>
      <c r="O219" s="4"/>
      <c r="P219" s="4">
        <v>1</v>
      </c>
      <c r="Q219" s="4">
        <v>1</v>
      </c>
      <c r="R219" s="4">
        <v>1</v>
      </c>
      <c r="S219" s="4">
        <v>2</v>
      </c>
      <c r="T219" s="4">
        <v>6</v>
      </c>
      <c r="U219" s="4"/>
    </row>
    <row r="220" spans="1:21" x14ac:dyDescent="0.35">
      <c r="A220" s="3" t="s">
        <v>247</v>
      </c>
      <c r="B220" s="4">
        <v>12552.24609375</v>
      </c>
      <c r="C220" s="4">
        <v>91484.8125</v>
      </c>
      <c r="D220" s="4">
        <v>54667.43359375</v>
      </c>
      <c r="E220" s="4">
        <v>140615.609375</v>
      </c>
      <c r="F220" s="4">
        <v>113720.169921875</v>
      </c>
      <c r="G220" s="4">
        <v>246156.4921875</v>
      </c>
      <c r="H220" s="4"/>
      <c r="I220" s="4"/>
      <c r="J220" s="4">
        <v>421157.96655273438</v>
      </c>
      <c r="L220" s="3" t="s">
        <v>247</v>
      </c>
      <c r="M220" s="4">
        <v>1</v>
      </c>
      <c r="N220" s="4">
        <v>2</v>
      </c>
      <c r="O220" s="4">
        <v>1</v>
      </c>
      <c r="P220" s="4">
        <v>1</v>
      </c>
      <c r="Q220" s="4">
        <v>2</v>
      </c>
      <c r="R220" s="4">
        <v>2</v>
      </c>
      <c r="S220" s="4"/>
      <c r="T220" s="4"/>
      <c r="U220" s="4">
        <v>5</v>
      </c>
    </row>
    <row r="221" spans="1:21" x14ac:dyDescent="0.35">
      <c r="A221" s="3" t="s">
        <v>1499</v>
      </c>
      <c r="B221" s="4"/>
      <c r="C221" s="4"/>
      <c r="D221" s="4"/>
      <c r="E221" s="4"/>
      <c r="F221" s="4"/>
      <c r="G221" s="4"/>
      <c r="H221" s="4"/>
      <c r="I221" s="4">
        <v>75670.5625</v>
      </c>
      <c r="J221" s="4"/>
      <c r="L221" s="3" t="s">
        <v>1499</v>
      </c>
      <c r="M221" s="4"/>
      <c r="N221" s="4"/>
      <c r="O221" s="4"/>
      <c r="P221" s="4"/>
      <c r="Q221" s="4"/>
      <c r="R221" s="4"/>
      <c r="S221" s="4"/>
      <c r="T221" s="4">
        <v>1</v>
      </c>
      <c r="U221" s="4"/>
    </row>
    <row r="222" spans="1:21" x14ac:dyDescent="0.35">
      <c r="A222" s="3" t="s">
        <v>258</v>
      </c>
      <c r="B222" s="4">
        <v>38380.439453125</v>
      </c>
      <c r="C222" s="4">
        <v>460491.1083984375</v>
      </c>
      <c r="D222" s="4">
        <v>112812.8046875</v>
      </c>
      <c r="E222" s="4">
        <v>84011.71875</v>
      </c>
      <c r="F222" s="4">
        <v>161874.68908691406</v>
      </c>
      <c r="G222" s="4"/>
      <c r="H222" s="4">
        <v>360995.421875</v>
      </c>
      <c r="I222" s="4">
        <v>98984.0234375</v>
      </c>
      <c r="J222" s="4">
        <v>26776.255859375</v>
      </c>
      <c r="L222" s="3" t="s">
        <v>258</v>
      </c>
      <c r="M222" s="4">
        <v>2</v>
      </c>
      <c r="N222" s="4">
        <v>4</v>
      </c>
      <c r="O222" s="4">
        <v>2</v>
      </c>
      <c r="P222" s="4">
        <v>1</v>
      </c>
      <c r="Q222" s="4">
        <v>2</v>
      </c>
      <c r="R222" s="4"/>
      <c r="S222" s="4">
        <v>3</v>
      </c>
      <c r="T222" s="4">
        <v>1</v>
      </c>
      <c r="U222" s="4">
        <v>1</v>
      </c>
    </row>
    <row r="223" spans="1:21" x14ac:dyDescent="0.35">
      <c r="A223" s="3" t="s">
        <v>318</v>
      </c>
      <c r="B223" s="4">
        <v>43814.078125</v>
      </c>
      <c r="C223" s="4"/>
      <c r="D223" s="4">
        <v>79756.4609375</v>
      </c>
      <c r="E223" s="4">
        <v>99304.9453125</v>
      </c>
      <c r="F223" s="4">
        <v>120913.86541748047</v>
      </c>
      <c r="G223" s="4">
        <v>36780.58203125</v>
      </c>
      <c r="H223" s="4">
        <v>173805.296875</v>
      </c>
      <c r="I223" s="4">
        <v>154708.8525390625</v>
      </c>
      <c r="J223" s="4">
        <v>142879.416015625</v>
      </c>
      <c r="L223" s="3" t="s">
        <v>318</v>
      </c>
      <c r="M223" s="4">
        <v>1</v>
      </c>
      <c r="N223" s="4"/>
      <c r="O223" s="4">
        <v>1</v>
      </c>
      <c r="P223" s="4">
        <v>1</v>
      </c>
      <c r="Q223" s="4">
        <v>3</v>
      </c>
      <c r="R223" s="4">
        <v>1</v>
      </c>
      <c r="S223" s="4">
        <v>2</v>
      </c>
      <c r="T223" s="4">
        <v>4</v>
      </c>
      <c r="U223" s="4">
        <v>2</v>
      </c>
    </row>
    <row r="224" spans="1:21" x14ac:dyDescent="0.35">
      <c r="A224" s="3" t="s">
        <v>279</v>
      </c>
      <c r="B224" s="4"/>
      <c r="C224" s="4"/>
      <c r="D224" s="4"/>
      <c r="E224" s="4">
        <v>267204.375</v>
      </c>
      <c r="F224" s="4">
        <v>62716.78125</v>
      </c>
      <c r="G224" s="4"/>
      <c r="H224" s="4">
        <v>349912.85546875</v>
      </c>
      <c r="I224" s="4">
        <v>37128.83203125</v>
      </c>
      <c r="J224" s="4">
        <v>291543.40893554688</v>
      </c>
      <c r="L224" s="3" t="s">
        <v>279</v>
      </c>
      <c r="M224" s="4"/>
      <c r="N224" s="4"/>
      <c r="O224" s="4"/>
      <c r="P224" s="4">
        <v>1</v>
      </c>
      <c r="Q224" s="4">
        <v>1</v>
      </c>
      <c r="R224" s="4"/>
      <c r="S224" s="4">
        <v>3</v>
      </c>
      <c r="T224" s="4">
        <v>1</v>
      </c>
      <c r="U224" s="4">
        <v>3</v>
      </c>
    </row>
    <row r="225" spans="1:21" x14ac:dyDescent="0.35">
      <c r="A225" s="3" t="s">
        <v>235</v>
      </c>
      <c r="B225" s="4">
        <v>264249.322265625</v>
      </c>
      <c r="C225" s="4">
        <v>123446.7421875</v>
      </c>
      <c r="D225" s="4"/>
      <c r="E225" s="4"/>
      <c r="F225" s="4"/>
      <c r="G225" s="4"/>
      <c r="H225" s="4"/>
      <c r="I225" s="4"/>
      <c r="J225" s="4"/>
      <c r="L225" s="3" t="s">
        <v>235</v>
      </c>
      <c r="M225" s="4">
        <v>3</v>
      </c>
      <c r="N225" s="4">
        <v>1</v>
      </c>
      <c r="O225" s="4"/>
      <c r="P225" s="4"/>
      <c r="Q225" s="4"/>
      <c r="R225" s="4"/>
      <c r="S225" s="4"/>
      <c r="T225" s="4"/>
      <c r="U225" s="4"/>
    </row>
    <row r="226" spans="1:21" x14ac:dyDescent="0.35">
      <c r="A226" s="3" t="s">
        <v>83</v>
      </c>
      <c r="B226" s="4"/>
      <c r="C226" s="4">
        <v>263308.09375</v>
      </c>
      <c r="D226" s="4">
        <v>81601.658203125</v>
      </c>
      <c r="E226" s="4">
        <v>40517.7333984375</v>
      </c>
      <c r="F226" s="4">
        <v>139503.8671875</v>
      </c>
      <c r="G226" s="4"/>
      <c r="H226" s="4"/>
      <c r="I226" s="4">
        <v>36251.17578125</v>
      </c>
      <c r="J226" s="4">
        <v>11795.8779296875</v>
      </c>
      <c r="L226" s="3" t="s">
        <v>83</v>
      </c>
      <c r="M226" s="4"/>
      <c r="N226" s="4">
        <v>2</v>
      </c>
      <c r="O226" s="4">
        <v>2</v>
      </c>
      <c r="P226" s="4">
        <v>2</v>
      </c>
      <c r="Q226" s="4">
        <v>2</v>
      </c>
      <c r="R226" s="4"/>
      <c r="S226" s="4"/>
      <c r="T226" s="4">
        <v>1</v>
      </c>
      <c r="U226" s="4">
        <v>1</v>
      </c>
    </row>
    <row r="227" spans="1:21" x14ac:dyDescent="0.35">
      <c r="A227" s="3" t="s">
        <v>171</v>
      </c>
      <c r="B227" s="4"/>
      <c r="C227" s="4"/>
      <c r="D227" s="4"/>
      <c r="E227" s="4"/>
      <c r="F227" s="4">
        <v>291941.81640625</v>
      </c>
      <c r="G227" s="4">
        <v>407075.2392578125</v>
      </c>
      <c r="H227" s="4">
        <v>145764.359375</v>
      </c>
      <c r="I227" s="4">
        <v>73214.1796875</v>
      </c>
      <c r="J227" s="4"/>
      <c r="L227" s="3" t="s">
        <v>171</v>
      </c>
      <c r="M227" s="4"/>
      <c r="N227" s="4"/>
      <c r="O227" s="4"/>
      <c r="P227" s="4"/>
      <c r="Q227" s="4">
        <v>3</v>
      </c>
      <c r="R227" s="4">
        <v>3</v>
      </c>
      <c r="S227" s="4">
        <v>1</v>
      </c>
      <c r="T227" s="4">
        <v>1</v>
      </c>
      <c r="U227" s="4"/>
    </row>
    <row r="228" spans="1:21" x14ac:dyDescent="0.35">
      <c r="A228" s="3" t="s">
        <v>1077</v>
      </c>
      <c r="B228" s="4"/>
      <c r="C228" s="4"/>
      <c r="D228" s="4"/>
      <c r="E228" s="4"/>
      <c r="F228" s="4"/>
      <c r="G228" s="4"/>
      <c r="H228" s="4"/>
      <c r="I228" s="4">
        <v>49999.4375</v>
      </c>
      <c r="J228" s="4"/>
      <c r="L228" s="3" t="s">
        <v>1077</v>
      </c>
      <c r="M228" s="4"/>
      <c r="N228" s="4"/>
      <c r="O228" s="4"/>
      <c r="P228" s="4"/>
      <c r="Q228" s="4"/>
      <c r="R228" s="4"/>
      <c r="S228" s="4"/>
      <c r="T228" s="4">
        <v>1</v>
      </c>
      <c r="U228" s="4"/>
    </row>
    <row r="229" spans="1:21" x14ac:dyDescent="0.35">
      <c r="A229" s="3" t="s">
        <v>1060</v>
      </c>
      <c r="B229" s="4">
        <v>120006.0078125</v>
      </c>
      <c r="C229" s="4"/>
      <c r="D229" s="4"/>
      <c r="E229" s="4"/>
      <c r="F229" s="4"/>
      <c r="G229" s="4"/>
      <c r="H229" s="4"/>
      <c r="I229" s="4"/>
      <c r="J229" s="4"/>
      <c r="L229" s="3" t="s">
        <v>1060</v>
      </c>
      <c r="M229" s="4">
        <v>1</v>
      </c>
      <c r="N229" s="4"/>
      <c r="O229" s="4"/>
      <c r="P229" s="4"/>
      <c r="Q229" s="4"/>
      <c r="R229" s="4"/>
      <c r="S229" s="4"/>
      <c r="T229" s="4"/>
      <c r="U229" s="4"/>
    </row>
    <row r="230" spans="1:21" x14ac:dyDescent="0.35">
      <c r="A230" s="3" t="s">
        <v>274</v>
      </c>
      <c r="B230" s="4"/>
      <c r="C230" s="4">
        <v>66552.2734375</v>
      </c>
      <c r="D230" s="4">
        <v>257980.82055664063</v>
      </c>
      <c r="E230" s="4">
        <v>53687.14453125</v>
      </c>
      <c r="F230" s="4">
        <v>189106.484375</v>
      </c>
      <c r="G230" s="4"/>
      <c r="H230" s="4">
        <v>229475.90087890625</v>
      </c>
      <c r="I230" s="4"/>
      <c r="J230" s="4">
        <v>883790.19921875</v>
      </c>
      <c r="L230" s="3" t="s">
        <v>274</v>
      </c>
      <c r="M230" s="4"/>
      <c r="N230" s="4">
        <v>1</v>
      </c>
      <c r="O230" s="4">
        <v>4</v>
      </c>
      <c r="P230" s="4">
        <v>1</v>
      </c>
      <c r="Q230" s="4">
        <v>2</v>
      </c>
      <c r="R230" s="4"/>
      <c r="S230" s="4">
        <v>3</v>
      </c>
      <c r="T230" s="4"/>
      <c r="U230" s="4">
        <v>6</v>
      </c>
    </row>
    <row r="231" spans="1:21" x14ac:dyDescent="0.35">
      <c r="A231" s="3" t="s">
        <v>130</v>
      </c>
      <c r="B231" s="4">
        <v>286125.34375</v>
      </c>
      <c r="C231" s="4"/>
      <c r="D231" s="4">
        <v>228361.53125</v>
      </c>
      <c r="E231" s="4"/>
      <c r="F231" s="4">
        <v>70015.421875</v>
      </c>
      <c r="G231" s="4"/>
      <c r="H231" s="4"/>
      <c r="I231" s="4">
        <v>710035.2578125</v>
      </c>
      <c r="J231" s="4">
        <v>120006</v>
      </c>
      <c r="L231" s="3" t="s">
        <v>130</v>
      </c>
      <c r="M231" s="4">
        <v>1</v>
      </c>
      <c r="N231" s="4"/>
      <c r="O231" s="4">
        <v>3</v>
      </c>
      <c r="P231" s="4"/>
      <c r="Q231" s="4">
        <v>1</v>
      </c>
      <c r="R231" s="4"/>
      <c r="S231" s="4"/>
      <c r="T231" s="4">
        <v>4</v>
      </c>
      <c r="U231" s="4">
        <v>1</v>
      </c>
    </row>
    <row r="232" spans="1:21" x14ac:dyDescent="0.35">
      <c r="A232" s="3" t="s">
        <v>397</v>
      </c>
      <c r="B232" s="4"/>
      <c r="C232" s="4"/>
      <c r="D232" s="4"/>
      <c r="E232" s="4"/>
      <c r="F232" s="4"/>
      <c r="G232" s="4"/>
      <c r="H232" s="4"/>
      <c r="I232" s="4">
        <v>291038.740234375</v>
      </c>
      <c r="J232" s="4">
        <v>39131.27734375</v>
      </c>
      <c r="L232" s="3" t="s">
        <v>397</v>
      </c>
      <c r="M232" s="4"/>
      <c r="N232" s="4"/>
      <c r="O232" s="4"/>
      <c r="P232" s="4"/>
      <c r="Q232" s="4"/>
      <c r="R232" s="4"/>
      <c r="S232" s="4"/>
      <c r="T232" s="4">
        <v>4</v>
      </c>
      <c r="U232" s="4">
        <v>1</v>
      </c>
    </row>
    <row r="233" spans="1:21" x14ac:dyDescent="0.35">
      <c r="A233" s="3" t="s">
        <v>424</v>
      </c>
      <c r="B233" s="4">
        <v>111836.171875</v>
      </c>
      <c r="C233" s="4"/>
      <c r="D233" s="4">
        <v>66228.0859375</v>
      </c>
      <c r="E233" s="4">
        <v>37165.0546875</v>
      </c>
      <c r="F233" s="4">
        <v>66278.078125</v>
      </c>
      <c r="G233" s="4">
        <v>394667.138671875</v>
      </c>
      <c r="H233" s="4">
        <v>268686.072265625</v>
      </c>
      <c r="I233" s="4"/>
      <c r="J233" s="4">
        <v>164592.4072265625</v>
      </c>
      <c r="L233" s="3" t="s">
        <v>424</v>
      </c>
      <c r="M233" s="4">
        <v>1</v>
      </c>
      <c r="N233" s="4"/>
      <c r="O233" s="4">
        <v>1</v>
      </c>
      <c r="P233" s="4">
        <v>1</v>
      </c>
      <c r="Q233" s="4">
        <v>1</v>
      </c>
      <c r="R233" s="4">
        <v>4</v>
      </c>
      <c r="S233" s="4">
        <v>2</v>
      </c>
      <c r="T233" s="4"/>
      <c r="U233" s="4">
        <v>4</v>
      </c>
    </row>
    <row r="234" spans="1:21" x14ac:dyDescent="0.35">
      <c r="A234" s="3" t="s">
        <v>1664</v>
      </c>
      <c r="B234" s="4">
        <v>4832560.7802734375</v>
      </c>
      <c r="C234" s="4">
        <v>6884414.7758789063</v>
      </c>
      <c r="D234" s="4">
        <v>5855256.7648925781</v>
      </c>
      <c r="E234" s="4">
        <v>9124623.912109375</v>
      </c>
      <c r="F234" s="4">
        <v>9393894.9248657227</v>
      </c>
      <c r="G234" s="4">
        <v>9975719.3922729492</v>
      </c>
      <c r="H234" s="4">
        <v>9802760.556640625</v>
      </c>
      <c r="I234" s="4">
        <v>10079465.807373047</v>
      </c>
      <c r="J234" s="4">
        <v>12048289.586181641</v>
      </c>
      <c r="L234" s="3" t="s">
        <v>1664</v>
      </c>
      <c r="M234" s="4">
        <v>50</v>
      </c>
      <c r="N234" s="4">
        <v>65</v>
      </c>
      <c r="O234" s="4">
        <v>71</v>
      </c>
      <c r="P234" s="4">
        <v>94</v>
      </c>
      <c r="Q234" s="4">
        <v>99</v>
      </c>
      <c r="R234" s="4">
        <v>95</v>
      </c>
      <c r="S234" s="4">
        <v>109</v>
      </c>
      <c r="T234" s="4">
        <v>115</v>
      </c>
      <c r="U234" s="4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78F3-756F-4F52-8C04-40861285172F}">
  <dimension ref="A1:AO1367"/>
  <sheetViews>
    <sheetView topLeftCell="G1" workbookViewId="0">
      <selection activeCell="AJ23" sqref="Y23:AJ23"/>
    </sheetView>
  </sheetViews>
  <sheetFormatPr baseColWidth="10" defaultRowHeight="14.5" x14ac:dyDescent="0.35"/>
  <sheetData>
    <row r="1" spans="1:41" x14ac:dyDescent="0.35">
      <c r="A1" t="s">
        <v>1615</v>
      </c>
      <c r="B1" t="s">
        <v>1616</v>
      </c>
      <c r="C1" t="s">
        <v>1617</v>
      </c>
      <c r="D1" t="s">
        <v>1618</v>
      </c>
      <c r="E1" t="s">
        <v>1619</v>
      </c>
      <c r="F1" t="s">
        <v>1620</v>
      </c>
      <c r="G1" t="s">
        <v>1621</v>
      </c>
      <c r="H1" t="s">
        <v>1622</v>
      </c>
      <c r="I1" t="s">
        <v>1623</v>
      </c>
      <c r="J1" t="s">
        <v>1624</v>
      </c>
      <c r="K1" t="s">
        <v>1625</v>
      </c>
      <c r="L1" t="s">
        <v>1626</v>
      </c>
      <c r="M1" t="s">
        <v>1627</v>
      </c>
      <c r="N1" t="s">
        <v>1628</v>
      </c>
      <c r="O1" t="s">
        <v>1629</v>
      </c>
      <c r="P1" t="s">
        <v>1630</v>
      </c>
      <c r="Q1" t="s">
        <v>1631</v>
      </c>
      <c r="R1" t="s">
        <v>1632</v>
      </c>
      <c r="S1" t="s">
        <v>1633</v>
      </c>
      <c r="T1" t="s">
        <v>1634</v>
      </c>
      <c r="U1" t="s">
        <v>1635</v>
      </c>
      <c r="V1" t="s">
        <v>1636</v>
      </c>
      <c r="W1" t="s">
        <v>1637</v>
      </c>
      <c r="X1" t="s">
        <v>1638</v>
      </c>
      <c r="Y1" t="s">
        <v>1639</v>
      </c>
      <c r="Z1" t="s">
        <v>1640</v>
      </c>
      <c r="AA1" t="s">
        <v>1641</v>
      </c>
      <c r="AB1" t="s">
        <v>1642</v>
      </c>
      <c r="AC1" t="s">
        <v>1643</v>
      </c>
      <c r="AD1" t="s">
        <v>1644</v>
      </c>
      <c r="AE1" t="s">
        <v>1645</v>
      </c>
      <c r="AF1" t="s">
        <v>1646</v>
      </c>
      <c r="AG1" t="s">
        <v>1647</v>
      </c>
      <c r="AH1" t="s">
        <v>1648</v>
      </c>
      <c r="AI1" t="s">
        <v>1649</v>
      </c>
      <c r="AJ1" t="s">
        <v>1650</v>
      </c>
      <c r="AK1" t="s">
        <v>1651</v>
      </c>
      <c r="AL1" t="s">
        <v>1652</v>
      </c>
      <c r="AM1" t="s">
        <v>1653</v>
      </c>
      <c r="AN1" t="s">
        <v>1654</v>
      </c>
      <c r="AO1" t="s">
        <v>1655</v>
      </c>
    </row>
    <row r="2" spans="1:41" x14ac:dyDescent="0.35">
      <c r="A2">
        <v>14258385</v>
      </c>
      <c r="B2">
        <v>202512</v>
      </c>
      <c r="C2">
        <v>20514372765</v>
      </c>
      <c r="D2" t="s">
        <v>0</v>
      </c>
      <c r="E2" t="s">
        <v>1</v>
      </c>
      <c r="F2">
        <v>10143726</v>
      </c>
      <c r="G2" t="s">
        <v>2</v>
      </c>
      <c r="H2" t="s">
        <v>3</v>
      </c>
      <c r="I2">
        <v>17624.642578125</v>
      </c>
      <c r="J2" s="1">
        <v>45776</v>
      </c>
      <c r="K2">
        <v>18.7</v>
      </c>
      <c r="L2" t="s">
        <v>4</v>
      </c>
      <c r="M2" t="s">
        <v>4</v>
      </c>
      <c r="N2" t="s">
        <v>5</v>
      </c>
      <c r="O2">
        <v>202504</v>
      </c>
      <c r="P2">
        <v>40002</v>
      </c>
      <c r="Q2" t="s">
        <v>3</v>
      </c>
      <c r="R2" t="s">
        <v>6</v>
      </c>
      <c r="S2" t="s">
        <v>7</v>
      </c>
      <c r="T2" t="s">
        <v>8</v>
      </c>
      <c r="U2" t="s">
        <v>9</v>
      </c>
      <c r="V2">
        <v>1</v>
      </c>
      <c r="W2" t="s">
        <v>10</v>
      </c>
      <c r="X2" t="s">
        <v>11</v>
      </c>
      <c r="Y2">
        <v>1</v>
      </c>
      <c r="Z2">
        <v>1</v>
      </c>
      <c r="AA2">
        <v>0</v>
      </c>
      <c r="AB2">
        <v>1</v>
      </c>
      <c r="AC2">
        <v>1</v>
      </c>
      <c r="AD2">
        <v>1</v>
      </c>
      <c r="AE2">
        <v>0</v>
      </c>
      <c r="AF2" t="s">
        <v>12</v>
      </c>
      <c r="AG2" t="s">
        <v>12</v>
      </c>
      <c r="AH2" t="s">
        <v>12</v>
      </c>
      <c r="AI2" t="s">
        <v>12</v>
      </c>
      <c r="AJ2" t="s">
        <v>12</v>
      </c>
      <c r="AK2">
        <v>0</v>
      </c>
      <c r="AL2">
        <v>0</v>
      </c>
      <c r="AM2">
        <v>0.19</v>
      </c>
      <c r="AN2" t="s">
        <v>12</v>
      </c>
      <c r="AO2" t="s">
        <v>12</v>
      </c>
    </row>
    <row r="3" spans="1:41" x14ac:dyDescent="0.35">
      <c r="A3">
        <v>21057574</v>
      </c>
      <c r="B3">
        <v>202601</v>
      </c>
      <c r="C3">
        <v>20601523338</v>
      </c>
      <c r="D3" t="s">
        <v>13</v>
      </c>
      <c r="E3" t="s">
        <v>1</v>
      </c>
      <c r="F3">
        <v>10273941</v>
      </c>
      <c r="G3" t="s">
        <v>14</v>
      </c>
      <c r="H3" t="s">
        <v>15</v>
      </c>
      <c r="I3">
        <v>46195.62109375</v>
      </c>
      <c r="J3" s="1">
        <v>46007</v>
      </c>
      <c r="K3">
        <v>17.5</v>
      </c>
      <c r="L3" t="s">
        <v>4</v>
      </c>
      <c r="M3" t="s">
        <v>4</v>
      </c>
      <c r="N3" t="s">
        <v>16</v>
      </c>
      <c r="O3">
        <v>202512</v>
      </c>
      <c r="P3">
        <v>50002.5</v>
      </c>
      <c r="Q3" t="s">
        <v>15</v>
      </c>
      <c r="R3" t="s">
        <v>17</v>
      </c>
      <c r="S3" t="s">
        <v>18</v>
      </c>
      <c r="T3" t="s">
        <v>19</v>
      </c>
      <c r="U3" t="s">
        <v>20</v>
      </c>
      <c r="V3">
        <v>1</v>
      </c>
      <c r="W3" t="s">
        <v>21</v>
      </c>
      <c r="X3" t="s">
        <v>22</v>
      </c>
      <c r="Y3">
        <v>1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12</v>
      </c>
      <c r="AG3" t="s">
        <v>12</v>
      </c>
      <c r="AH3" t="s">
        <v>12</v>
      </c>
      <c r="AI3" t="s">
        <v>12</v>
      </c>
      <c r="AJ3" t="s">
        <v>12</v>
      </c>
      <c r="AK3">
        <v>1</v>
      </c>
      <c r="AL3">
        <v>1</v>
      </c>
      <c r="AM3">
        <v>0.24</v>
      </c>
      <c r="AN3" t="s">
        <v>12</v>
      </c>
      <c r="AO3" t="s">
        <v>12</v>
      </c>
    </row>
    <row r="4" spans="1:41" x14ac:dyDescent="0.35">
      <c r="A4">
        <v>16105248</v>
      </c>
      <c r="B4">
        <v>202508</v>
      </c>
      <c r="C4">
        <v>20604523282</v>
      </c>
      <c r="D4" t="s">
        <v>23</v>
      </c>
      <c r="E4" t="s">
        <v>1</v>
      </c>
      <c r="F4">
        <v>10266915</v>
      </c>
      <c r="G4" t="s">
        <v>24</v>
      </c>
      <c r="H4" t="s">
        <v>25</v>
      </c>
      <c r="I4">
        <v>68518.484375</v>
      </c>
      <c r="J4" s="1">
        <v>45755</v>
      </c>
      <c r="K4">
        <v>18</v>
      </c>
      <c r="L4" t="s">
        <v>4</v>
      </c>
      <c r="M4" t="s">
        <v>4</v>
      </c>
      <c r="N4" t="s">
        <v>26</v>
      </c>
      <c r="O4">
        <v>202504</v>
      </c>
      <c r="P4">
        <v>100005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12</v>
      </c>
      <c r="AE4" t="s">
        <v>12</v>
      </c>
      <c r="AF4" t="s">
        <v>12</v>
      </c>
      <c r="AG4" t="s">
        <v>12</v>
      </c>
      <c r="AH4" t="s">
        <v>12</v>
      </c>
      <c r="AI4" t="s">
        <v>12</v>
      </c>
      <c r="AJ4" t="s">
        <v>12</v>
      </c>
      <c r="AK4" t="s">
        <v>12</v>
      </c>
      <c r="AL4" t="s">
        <v>12</v>
      </c>
      <c r="AM4" t="s">
        <v>12</v>
      </c>
      <c r="AN4" t="s">
        <v>12</v>
      </c>
      <c r="AO4" t="s">
        <v>12</v>
      </c>
    </row>
    <row r="5" spans="1:41" x14ac:dyDescent="0.35">
      <c r="A5">
        <v>21525687</v>
      </c>
      <c r="B5">
        <v>202503</v>
      </c>
      <c r="C5">
        <v>20611407786</v>
      </c>
      <c r="D5" t="s">
        <v>27</v>
      </c>
      <c r="E5" t="s">
        <v>1</v>
      </c>
      <c r="F5">
        <v>10266137</v>
      </c>
      <c r="G5" t="s">
        <v>28</v>
      </c>
      <c r="H5" t="s">
        <v>29</v>
      </c>
      <c r="I5">
        <v>90004.5</v>
      </c>
      <c r="J5" s="1">
        <v>45729</v>
      </c>
      <c r="K5">
        <v>19</v>
      </c>
      <c r="L5" t="s">
        <v>4</v>
      </c>
      <c r="M5" t="s">
        <v>4</v>
      </c>
      <c r="N5" t="s">
        <v>26</v>
      </c>
      <c r="O5">
        <v>202503</v>
      </c>
      <c r="P5">
        <v>90004.5</v>
      </c>
      <c r="Q5" t="s">
        <v>29</v>
      </c>
      <c r="R5" t="s">
        <v>30</v>
      </c>
      <c r="S5" t="s">
        <v>31</v>
      </c>
      <c r="T5" t="s">
        <v>32</v>
      </c>
      <c r="U5" t="s">
        <v>26</v>
      </c>
      <c r="V5">
        <v>1</v>
      </c>
      <c r="W5" t="s">
        <v>10</v>
      </c>
      <c r="X5" t="s">
        <v>12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90004.5</v>
      </c>
      <c r="AF5">
        <v>19</v>
      </c>
      <c r="AG5" s="1">
        <v>45729</v>
      </c>
      <c r="AH5" t="s">
        <v>26</v>
      </c>
      <c r="AI5" t="s">
        <v>4</v>
      </c>
      <c r="AJ5" t="s">
        <v>33</v>
      </c>
      <c r="AK5">
        <v>0</v>
      </c>
      <c r="AL5">
        <v>0.20499999999999999</v>
      </c>
      <c r="AM5">
        <v>0.185</v>
      </c>
      <c r="AN5" t="s">
        <v>12</v>
      </c>
      <c r="AO5" t="s">
        <v>12</v>
      </c>
    </row>
    <row r="6" spans="1:41" x14ac:dyDescent="0.35">
      <c r="A6">
        <v>18194763</v>
      </c>
      <c r="B6">
        <v>202503</v>
      </c>
      <c r="C6">
        <v>20608454706</v>
      </c>
      <c r="D6" t="s">
        <v>34</v>
      </c>
      <c r="E6" t="s">
        <v>1</v>
      </c>
      <c r="F6">
        <v>10240420</v>
      </c>
      <c r="G6" t="s">
        <v>35</v>
      </c>
      <c r="H6" t="s">
        <v>36</v>
      </c>
      <c r="I6">
        <v>13153.66796875</v>
      </c>
      <c r="J6" s="1">
        <v>45099</v>
      </c>
      <c r="K6">
        <v>20</v>
      </c>
      <c r="L6" t="s">
        <v>37</v>
      </c>
      <c r="M6" t="s">
        <v>37</v>
      </c>
      <c r="N6" t="s">
        <v>12</v>
      </c>
      <c r="O6">
        <v>202306</v>
      </c>
      <c r="P6">
        <v>90004.5</v>
      </c>
      <c r="Q6" t="s">
        <v>36</v>
      </c>
      <c r="R6" t="s">
        <v>38</v>
      </c>
      <c r="S6" t="s">
        <v>39</v>
      </c>
      <c r="T6" t="s">
        <v>40</v>
      </c>
      <c r="U6" t="s">
        <v>41</v>
      </c>
      <c r="V6">
        <v>1</v>
      </c>
      <c r="W6" t="s">
        <v>10</v>
      </c>
      <c r="X6" t="s">
        <v>12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>
        <v>150000</v>
      </c>
      <c r="AL6">
        <v>0.22</v>
      </c>
      <c r="AM6">
        <v>0.20200000000000001</v>
      </c>
      <c r="AN6" t="s">
        <v>12</v>
      </c>
      <c r="AO6" t="s">
        <v>12</v>
      </c>
    </row>
    <row r="7" spans="1:41" x14ac:dyDescent="0.35">
      <c r="A7">
        <v>18778265</v>
      </c>
      <c r="B7">
        <v>202502</v>
      </c>
      <c r="C7">
        <v>20554461051</v>
      </c>
      <c r="D7" t="s">
        <v>42</v>
      </c>
      <c r="E7" t="s">
        <v>1</v>
      </c>
      <c r="F7">
        <v>10224216</v>
      </c>
      <c r="G7" t="s">
        <v>28</v>
      </c>
      <c r="H7" t="s">
        <v>43</v>
      </c>
      <c r="I7">
        <v>18801.052734375</v>
      </c>
      <c r="J7" s="1">
        <v>44663</v>
      </c>
      <c r="K7">
        <v>21</v>
      </c>
      <c r="L7" t="s">
        <v>4</v>
      </c>
      <c r="M7" t="s">
        <v>4</v>
      </c>
      <c r="N7" t="s">
        <v>26</v>
      </c>
      <c r="O7">
        <v>202204</v>
      </c>
      <c r="P7">
        <v>70003.5</v>
      </c>
      <c r="Q7" t="s">
        <v>12</v>
      </c>
      <c r="R7" t="s">
        <v>12</v>
      </c>
      <c r="S7" t="s">
        <v>12</v>
      </c>
      <c r="T7" t="s">
        <v>12</v>
      </c>
      <c r="U7" t="s">
        <v>12</v>
      </c>
      <c r="V7" t="s">
        <v>12</v>
      </c>
      <c r="W7" t="s">
        <v>12</v>
      </c>
      <c r="X7" t="s">
        <v>12</v>
      </c>
      <c r="Y7" t="s">
        <v>12</v>
      </c>
      <c r="Z7" t="s">
        <v>12</v>
      </c>
      <c r="AA7" t="s">
        <v>12</v>
      </c>
      <c r="AB7" t="s">
        <v>12</v>
      </c>
      <c r="AC7" t="s">
        <v>12</v>
      </c>
      <c r="AD7" t="s">
        <v>12</v>
      </c>
      <c r="AE7" t="s">
        <v>12</v>
      </c>
      <c r="AF7" t="s">
        <v>12</v>
      </c>
      <c r="AG7" t="s">
        <v>12</v>
      </c>
      <c r="AH7" t="s">
        <v>12</v>
      </c>
      <c r="AI7" t="s">
        <v>12</v>
      </c>
      <c r="AJ7" t="s">
        <v>12</v>
      </c>
      <c r="AK7" t="s">
        <v>12</v>
      </c>
      <c r="AL7" t="s">
        <v>12</v>
      </c>
      <c r="AM7" t="s">
        <v>12</v>
      </c>
      <c r="AN7" t="s">
        <v>12</v>
      </c>
      <c r="AO7" t="s">
        <v>12</v>
      </c>
    </row>
    <row r="8" spans="1:41" x14ac:dyDescent="0.35">
      <c r="A8">
        <v>20008737</v>
      </c>
      <c r="B8">
        <v>202509</v>
      </c>
      <c r="C8">
        <v>20608324730</v>
      </c>
      <c r="D8" t="s">
        <v>44</v>
      </c>
      <c r="E8" t="s">
        <v>1</v>
      </c>
      <c r="F8">
        <v>10260965</v>
      </c>
      <c r="G8" t="s">
        <v>45</v>
      </c>
      <c r="H8" t="s">
        <v>46</v>
      </c>
      <c r="I8">
        <v>63159.58984375</v>
      </c>
      <c r="J8" s="1">
        <v>45561</v>
      </c>
      <c r="K8">
        <v>14.7</v>
      </c>
      <c r="L8" t="s">
        <v>4</v>
      </c>
      <c r="M8" t="s">
        <v>4</v>
      </c>
      <c r="N8" t="s">
        <v>47</v>
      </c>
      <c r="O8">
        <v>202409</v>
      </c>
      <c r="P8">
        <v>90004.5</v>
      </c>
      <c r="Q8" t="s">
        <v>46</v>
      </c>
      <c r="R8" t="s">
        <v>48</v>
      </c>
      <c r="S8" t="s">
        <v>49</v>
      </c>
      <c r="T8" t="s">
        <v>50</v>
      </c>
      <c r="U8" t="s">
        <v>20</v>
      </c>
      <c r="V8">
        <v>1</v>
      </c>
      <c r="W8" t="s">
        <v>10</v>
      </c>
      <c r="X8" t="s">
        <v>51</v>
      </c>
      <c r="Y8">
        <v>1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12</v>
      </c>
      <c r="AG8" t="s">
        <v>12</v>
      </c>
      <c r="AH8" t="s">
        <v>12</v>
      </c>
      <c r="AI8" t="s">
        <v>12</v>
      </c>
      <c r="AJ8" t="s">
        <v>12</v>
      </c>
      <c r="AK8">
        <v>1</v>
      </c>
      <c r="AL8">
        <v>1</v>
      </c>
      <c r="AM8" t="s">
        <v>12</v>
      </c>
      <c r="AN8" t="s">
        <v>12</v>
      </c>
      <c r="AO8" t="s">
        <v>12</v>
      </c>
    </row>
    <row r="9" spans="1:41" x14ac:dyDescent="0.35">
      <c r="A9">
        <v>16398854</v>
      </c>
      <c r="B9">
        <v>202508</v>
      </c>
      <c r="C9">
        <v>20555386461</v>
      </c>
      <c r="D9" t="s">
        <v>52</v>
      </c>
      <c r="E9" t="s">
        <v>1</v>
      </c>
      <c r="F9">
        <v>10261020</v>
      </c>
      <c r="G9" t="s">
        <v>53</v>
      </c>
      <c r="H9" t="s">
        <v>54</v>
      </c>
      <c r="I9">
        <v>76999.3359375</v>
      </c>
      <c r="J9" s="1">
        <v>45561</v>
      </c>
      <c r="K9">
        <v>17.700001</v>
      </c>
      <c r="L9" t="s">
        <v>4</v>
      </c>
      <c r="M9" t="s">
        <v>4</v>
      </c>
      <c r="N9" t="s">
        <v>47</v>
      </c>
      <c r="O9">
        <v>202409</v>
      </c>
      <c r="P9">
        <v>90004.5</v>
      </c>
      <c r="Q9" t="s">
        <v>54</v>
      </c>
      <c r="R9" t="s">
        <v>55</v>
      </c>
      <c r="S9" t="s">
        <v>31</v>
      </c>
      <c r="T9" t="s">
        <v>32</v>
      </c>
      <c r="U9" t="s">
        <v>20</v>
      </c>
      <c r="V9">
        <v>1</v>
      </c>
      <c r="W9" t="s">
        <v>10</v>
      </c>
      <c r="X9" t="s">
        <v>12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12</v>
      </c>
      <c r="AG9" t="s">
        <v>12</v>
      </c>
      <c r="AH9" t="s">
        <v>12</v>
      </c>
      <c r="AI9" t="s">
        <v>12</v>
      </c>
      <c r="AJ9" t="s">
        <v>12</v>
      </c>
      <c r="AK9">
        <v>1</v>
      </c>
      <c r="AL9">
        <v>0.17829999999999999</v>
      </c>
      <c r="AM9">
        <v>0</v>
      </c>
      <c r="AN9" t="s">
        <v>12</v>
      </c>
      <c r="AO9" t="s">
        <v>12</v>
      </c>
    </row>
    <row r="10" spans="1:41" x14ac:dyDescent="0.35">
      <c r="A10">
        <v>16645514</v>
      </c>
      <c r="B10">
        <v>202509</v>
      </c>
      <c r="C10">
        <v>10403862725</v>
      </c>
      <c r="D10" t="s">
        <v>56</v>
      </c>
      <c r="E10">
        <v>40386272</v>
      </c>
      <c r="F10">
        <v>10252276</v>
      </c>
      <c r="G10" t="s">
        <v>53</v>
      </c>
      <c r="H10" t="s">
        <v>57</v>
      </c>
      <c r="I10">
        <v>42194.75</v>
      </c>
      <c r="J10" s="1">
        <v>45412</v>
      </c>
      <c r="K10">
        <v>16</v>
      </c>
      <c r="L10" t="s">
        <v>37</v>
      </c>
      <c r="M10" t="s">
        <v>37</v>
      </c>
      <c r="N10" t="s">
        <v>47</v>
      </c>
      <c r="O10">
        <v>202404</v>
      </c>
      <c r="P10">
        <v>68053.399999999994</v>
      </c>
      <c r="Q10" t="s">
        <v>57</v>
      </c>
      <c r="R10" t="s">
        <v>58</v>
      </c>
      <c r="S10" t="s">
        <v>39</v>
      </c>
      <c r="T10" t="s">
        <v>40</v>
      </c>
      <c r="U10" t="s">
        <v>20</v>
      </c>
      <c r="V10">
        <v>1</v>
      </c>
      <c r="W10" t="s">
        <v>10</v>
      </c>
      <c r="X10" t="s">
        <v>59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12</v>
      </c>
      <c r="AG10" t="s">
        <v>12</v>
      </c>
      <c r="AH10" t="s">
        <v>12</v>
      </c>
      <c r="AI10" t="s">
        <v>12</v>
      </c>
      <c r="AJ10" t="s">
        <v>12</v>
      </c>
      <c r="AK10">
        <v>1</v>
      </c>
      <c r="AL10">
        <v>1</v>
      </c>
      <c r="AM10" t="s">
        <v>12</v>
      </c>
      <c r="AN10" t="s">
        <v>12</v>
      </c>
      <c r="AO10" t="s">
        <v>12</v>
      </c>
    </row>
    <row r="11" spans="1:41" x14ac:dyDescent="0.35">
      <c r="A11">
        <v>19998286</v>
      </c>
      <c r="B11">
        <v>202601</v>
      </c>
      <c r="C11">
        <v>20601953405</v>
      </c>
      <c r="D11" t="s">
        <v>60</v>
      </c>
      <c r="E11" t="s">
        <v>1</v>
      </c>
      <c r="F11">
        <v>10259708</v>
      </c>
      <c r="G11" t="s">
        <v>45</v>
      </c>
      <c r="H11" t="s">
        <v>61</v>
      </c>
      <c r="I11">
        <v>3649.87646484375</v>
      </c>
      <c r="J11" s="1">
        <v>45531</v>
      </c>
      <c r="K11">
        <v>16.399999999999999</v>
      </c>
      <c r="L11" t="s">
        <v>37</v>
      </c>
      <c r="M11" t="s">
        <v>37</v>
      </c>
      <c r="N11" t="s">
        <v>47</v>
      </c>
      <c r="O11">
        <v>202408</v>
      </c>
      <c r="P11">
        <v>90004.5</v>
      </c>
      <c r="Q11" t="s">
        <v>61</v>
      </c>
      <c r="R11" t="s">
        <v>62</v>
      </c>
      <c r="S11" t="s">
        <v>39</v>
      </c>
      <c r="T11" t="s">
        <v>40</v>
      </c>
      <c r="U11" t="s">
        <v>63</v>
      </c>
      <c r="V11">
        <v>1</v>
      </c>
      <c r="W11" t="s">
        <v>21</v>
      </c>
      <c r="X11" t="s">
        <v>22</v>
      </c>
      <c r="Y11">
        <v>1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12</v>
      </c>
      <c r="AG11" t="s">
        <v>12</v>
      </c>
      <c r="AH11" t="s">
        <v>12</v>
      </c>
      <c r="AI11" t="s">
        <v>12</v>
      </c>
      <c r="AJ11" t="s">
        <v>12</v>
      </c>
      <c r="AK11">
        <v>250000</v>
      </c>
      <c r="AL11">
        <v>0.21</v>
      </c>
      <c r="AM11">
        <v>0.19</v>
      </c>
      <c r="AN11" t="s">
        <v>12</v>
      </c>
      <c r="AO11" t="s">
        <v>12</v>
      </c>
    </row>
    <row r="12" spans="1:41" x14ac:dyDescent="0.35">
      <c r="A12">
        <v>11421893</v>
      </c>
      <c r="B12">
        <v>202508</v>
      </c>
      <c r="C12">
        <v>10412246794</v>
      </c>
      <c r="D12" t="s">
        <v>64</v>
      </c>
      <c r="E12">
        <v>41224679</v>
      </c>
      <c r="F12">
        <v>10252213</v>
      </c>
      <c r="G12" t="s">
        <v>65</v>
      </c>
      <c r="H12" t="s">
        <v>66</v>
      </c>
      <c r="I12">
        <v>33440.921875</v>
      </c>
      <c r="J12" s="1">
        <v>45412</v>
      </c>
      <c r="K12">
        <v>14.7</v>
      </c>
      <c r="L12" t="s">
        <v>37</v>
      </c>
      <c r="M12" t="s">
        <v>37</v>
      </c>
      <c r="N12" t="s">
        <v>47</v>
      </c>
      <c r="O12">
        <v>202404</v>
      </c>
      <c r="P12">
        <v>50902.5</v>
      </c>
      <c r="Q12" t="s">
        <v>12</v>
      </c>
      <c r="R12" t="s">
        <v>12</v>
      </c>
      <c r="S12" t="s">
        <v>12</v>
      </c>
      <c r="T12" t="s">
        <v>12</v>
      </c>
      <c r="U12" t="s">
        <v>12</v>
      </c>
      <c r="V12" t="s">
        <v>12</v>
      </c>
      <c r="W12" t="s">
        <v>12</v>
      </c>
      <c r="X12" t="s">
        <v>12</v>
      </c>
      <c r="Y12" t="s">
        <v>12</v>
      </c>
      <c r="Z12" t="s">
        <v>12</v>
      </c>
      <c r="AA12" t="s">
        <v>12</v>
      </c>
      <c r="AB12" t="s">
        <v>12</v>
      </c>
      <c r="AC12" t="s">
        <v>12</v>
      </c>
      <c r="AD12" t="s">
        <v>12</v>
      </c>
      <c r="AE12" t="s">
        <v>12</v>
      </c>
      <c r="AF12" t="s">
        <v>12</v>
      </c>
      <c r="AG12" t="s">
        <v>12</v>
      </c>
      <c r="AH12" t="s">
        <v>12</v>
      </c>
      <c r="AI12" t="s">
        <v>12</v>
      </c>
      <c r="AJ12" t="s">
        <v>12</v>
      </c>
      <c r="AK12" t="s">
        <v>12</v>
      </c>
      <c r="AL12" t="s">
        <v>12</v>
      </c>
      <c r="AM12" t="s">
        <v>12</v>
      </c>
      <c r="AN12" t="s">
        <v>12</v>
      </c>
      <c r="AO12" t="s">
        <v>12</v>
      </c>
    </row>
    <row r="13" spans="1:41" x14ac:dyDescent="0.35">
      <c r="A13">
        <v>15711477</v>
      </c>
      <c r="B13">
        <v>202601</v>
      </c>
      <c r="C13">
        <v>20506026131</v>
      </c>
      <c r="D13" t="s">
        <v>67</v>
      </c>
      <c r="E13" t="s">
        <v>1</v>
      </c>
      <c r="F13">
        <v>10270278</v>
      </c>
      <c r="G13" t="s">
        <v>68</v>
      </c>
      <c r="H13" t="s">
        <v>69</v>
      </c>
      <c r="I13">
        <v>104410.0390625</v>
      </c>
      <c r="J13" s="1">
        <v>45880</v>
      </c>
      <c r="K13">
        <v>17</v>
      </c>
      <c r="L13" t="s">
        <v>4</v>
      </c>
      <c r="M13" t="s">
        <v>4</v>
      </c>
      <c r="N13" t="s">
        <v>70</v>
      </c>
      <c r="O13">
        <v>202508</v>
      </c>
      <c r="P13">
        <v>172008.6</v>
      </c>
      <c r="Q13" t="s">
        <v>69</v>
      </c>
      <c r="R13" t="s">
        <v>71</v>
      </c>
      <c r="S13" t="s">
        <v>7</v>
      </c>
      <c r="T13" t="s">
        <v>8</v>
      </c>
      <c r="U13" t="s">
        <v>41</v>
      </c>
      <c r="V13">
        <v>1</v>
      </c>
      <c r="W13" t="s">
        <v>21</v>
      </c>
      <c r="X13" t="s">
        <v>51</v>
      </c>
      <c r="Y13">
        <v>1</v>
      </c>
      <c r="Z13">
        <v>1</v>
      </c>
      <c r="AA13">
        <v>0</v>
      </c>
      <c r="AB13">
        <v>0</v>
      </c>
      <c r="AC13">
        <v>1</v>
      </c>
      <c r="AD13">
        <v>1</v>
      </c>
      <c r="AE13">
        <v>0</v>
      </c>
      <c r="AF13" t="s">
        <v>12</v>
      </c>
      <c r="AG13" t="s">
        <v>12</v>
      </c>
      <c r="AH13" t="s">
        <v>12</v>
      </c>
      <c r="AI13" t="s">
        <v>12</v>
      </c>
      <c r="AJ13" t="s">
        <v>12</v>
      </c>
      <c r="AK13">
        <v>250000</v>
      </c>
      <c r="AL13">
        <v>0.21</v>
      </c>
      <c r="AM13">
        <v>0.19</v>
      </c>
      <c r="AN13" t="s">
        <v>12</v>
      </c>
      <c r="AO13" t="s">
        <v>12</v>
      </c>
    </row>
    <row r="14" spans="1:41" x14ac:dyDescent="0.35">
      <c r="A14">
        <v>21627140</v>
      </c>
      <c r="B14">
        <v>202510</v>
      </c>
      <c r="C14">
        <v>20602698646</v>
      </c>
      <c r="D14" t="s">
        <v>72</v>
      </c>
      <c r="E14" t="s">
        <v>1</v>
      </c>
      <c r="F14">
        <v>10267916</v>
      </c>
      <c r="G14" t="s">
        <v>73</v>
      </c>
      <c r="H14" t="s">
        <v>74</v>
      </c>
      <c r="I14">
        <v>114756.34375</v>
      </c>
      <c r="J14" s="1">
        <v>45796</v>
      </c>
      <c r="K14">
        <v>19</v>
      </c>
      <c r="L14" t="s">
        <v>4</v>
      </c>
      <c r="M14" t="s">
        <v>75</v>
      </c>
      <c r="N14" t="s">
        <v>20</v>
      </c>
      <c r="O14">
        <v>202505</v>
      </c>
      <c r="P14">
        <v>140007</v>
      </c>
      <c r="Q14" t="s">
        <v>74</v>
      </c>
      <c r="R14" t="s">
        <v>76</v>
      </c>
      <c r="S14" t="s">
        <v>31</v>
      </c>
      <c r="T14" t="s">
        <v>32</v>
      </c>
      <c r="U14" t="s">
        <v>20</v>
      </c>
      <c r="V14">
        <v>1</v>
      </c>
      <c r="W14" t="s">
        <v>10</v>
      </c>
      <c r="X14" t="s">
        <v>12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>
        <v>1</v>
      </c>
      <c r="AL14">
        <v>1</v>
      </c>
      <c r="AM14" t="s">
        <v>12</v>
      </c>
      <c r="AN14" t="s">
        <v>12</v>
      </c>
      <c r="AO14" t="s">
        <v>12</v>
      </c>
    </row>
    <row r="15" spans="1:41" x14ac:dyDescent="0.35">
      <c r="A15">
        <v>21188949</v>
      </c>
      <c r="B15">
        <v>202511</v>
      </c>
      <c r="C15">
        <v>20552766688</v>
      </c>
      <c r="D15" t="s">
        <v>77</v>
      </c>
      <c r="E15" t="s">
        <v>1</v>
      </c>
      <c r="F15">
        <v>10268820</v>
      </c>
      <c r="G15" t="s">
        <v>78</v>
      </c>
      <c r="H15" t="s">
        <v>79</v>
      </c>
      <c r="I15">
        <v>272308.75</v>
      </c>
      <c r="J15" s="1">
        <v>45826</v>
      </c>
      <c r="K15">
        <v>17</v>
      </c>
      <c r="L15" t="s">
        <v>4</v>
      </c>
      <c r="M15" t="s">
        <v>4</v>
      </c>
      <c r="N15" t="s">
        <v>41</v>
      </c>
      <c r="O15">
        <v>202506</v>
      </c>
      <c r="P15">
        <v>365018.25</v>
      </c>
      <c r="Q15" t="s">
        <v>79</v>
      </c>
      <c r="R15" t="s">
        <v>80</v>
      </c>
      <c r="S15" t="s">
        <v>31</v>
      </c>
      <c r="T15" t="s">
        <v>32</v>
      </c>
      <c r="U15" t="s">
        <v>9</v>
      </c>
      <c r="V15">
        <v>1</v>
      </c>
      <c r="W15" t="s">
        <v>10</v>
      </c>
      <c r="X15" t="s">
        <v>11</v>
      </c>
      <c r="Y15">
        <v>1</v>
      </c>
      <c r="Z15">
        <v>1</v>
      </c>
      <c r="AA15">
        <v>0</v>
      </c>
      <c r="AB15">
        <v>0</v>
      </c>
      <c r="AC15">
        <v>1</v>
      </c>
      <c r="AD15">
        <v>1</v>
      </c>
      <c r="AE15">
        <v>0</v>
      </c>
      <c r="AF15" t="s">
        <v>12</v>
      </c>
      <c r="AG15" t="s">
        <v>12</v>
      </c>
      <c r="AH15" t="s">
        <v>12</v>
      </c>
      <c r="AI15" t="s">
        <v>12</v>
      </c>
      <c r="AJ15" t="s">
        <v>12</v>
      </c>
      <c r="AK15">
        <v>0</v>
      </c>
      <c r="AL15">
        <v>0</v>
      </c>
      <c r="AM15">
        <v>0.19</v>
      </c>
      <c r="AN15" t="s">
        <v>12</v>
      </c>
      <c r="AO15" t="s">
        <v>12</v>
      </c>
    </row>
    <row r="16" spans="1:41" x14ac:dyDescent="0.35">
      <c r="A16">
        <v>11587541</v>
      </c>
      <c r="B16">
        <v>202507</v>
      </c>
      <c r="C16">
        <v>20479582450</v>
      </c>
      <c r="D16" t="s">
        <v>81</v>
      </c>
      <c r="E16" t="s">
        <v>1</v>
      </c>
      <c r="F16">
        <v>10160485</v>
      </c>
      <c r="G16" t="s">
        <v>2</v>
      </c>
      <c r="H16" t="s">
        <v>82</v>
      </c>
      <c r="I16">
        <v>190009.5</v>
      </c>
      <c r="J16" s="1">
        <v>45862</v>
      </c>
      <c r="K16">
        <v>16</v>
      </c>
      <c r="L16" t="s">
        <v>4</v>
      </c>
      <c r="M16" t="s">
        <v>4</v>
      </c>
      <c r="N16" t="s">
        <v>5</v>
      </c>
      <c r="O16">
        <v>202507</v>
      </c>
      <c r="P16">
        <v>190009.5</v>
      </c>
      <c r="Q16" t="s">
        <v>82</v>
      </c>
      <c r="R16" t="s">
        <v>83</v>
      </c>
      <c r="S16" t="s">
        <v>49</v>
      </c>
      <c r="T16" t="s">
        <v>50</v>
      </c>
      <c r="U16" t="s">
        <v>5</v>
      </c>
      <c r="V16">
        <v>1</v>
      </c>
      <c r="W16" t="s">
        <v>10</v>
      </c>
      <c r="X16" t="s">
        <v>12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190009.5</v>
      </c>
      <c r="AF16">
        <v>16</v>
      </c>
      <c r="AG16" s="1">
        <v>45862</v>
      </c>
      <c r="AH16" t="s">
        <v>5</v>
      </c>
      <c r="AI16" t="s">
        <v>4</v>
      </c>
      <c r="AJ16" t="s">
        <v>33</v>
      </c>
      <c r="AK16">
        <v>190000</v>
      </c>
      <c r="AL16">
        <v>0.21</v>
      </c>
      <c r="AM16">
        <v>0.19</v>
      </c>
      <c r="AN16" t="s">
        <v>12</v>
      </c>
      <c r="AO16" t="s">
        <v>12</v>
      </c>
    </row>
    <row r="17" spans="1:41" x14ac:dyDescent="0.35">
      <c r="A17">
        <v>11587541</v>
      </c>
      <c r="B17">
        <v>202505</v>
      </c>
      <c r="C17">
        <v>20479582450</v>
      </c>
      <c r="D17" t="s">
        <v>81</v>
      </c>
      <c r="E17" t="s">
        <v>1</v>
      </c>
      <c r="F17">
        <v>10160485</v>
      </c>
      <c r="G17" t="s">
        <v>2</v>
      </c>
      <c r="H17" t="s">
        <v>82</v>
      </c>
      <c r="I17">
        <v>177878.828125</v>
      </c>
      <c r="J17" s="1">
        <v>45862</v>
      </c>
      <c r="K17">
        <v>16</v>
      </c>
      <c r="L17" t="s">
        <v>4</v>
      </c>
      <c r="M17" t="s">
        <v>4</v>
      </c>
      <c r="N17" t="s">
        <v>5</v>
      </c>
      <c r="O17">
        <v>202507</v>
      </c>
      <c r="P17">
        <v>190009.5</v>
      </c>
      <c r="Q17" t="s">
        <v>82</v>
      </c>
      <c r="R17" t="s">
        <v>83</v>
      </c>
      <c r="S17" t="s">
        <v>49</v>
      </c>
      <c r="T17" t="s">
        <v>50</v>
      </c>
      <c r="U17" t="s">
        <v>70</v>
      </c>
      <c r="V17">
        <v>1</v>
      </c>
      <c r="W17" t="s">
        <v>10</v>
      </c>
      <c r="X17" t="s">
        <v>12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12</v>
      </c>
      <c r="AG17" t="s">
        <v>12</v>
      </c>
      <c r="AH17" t="s">
        <v>12</v>
      </c>
      <c r="AI17" t="s">
        <v>12</v>
      </c>
      <c r="AJ17" t="s">
        <v>12</v>
      </c>
      <c r="AK17">
        <v>90000</v>
      </c>
      <c r="AL17">
        <v>0.24</v>
      </c>
      <c r="AM17">
        <v>0.21779999999999999</v>
      </c>
      <c r="AN17" t="s">
        <v>12</v>
      </c>
      <c r="AO17" t="s">
        <v>12</v>
      </c>
    </row>
    <row r="18" spans="1:41" x14ac:dyDescent="0.35">
      <c r="A18">
        <v>17209898</v>
      </c>
      <c r="B18">
        <v>202509</v>
      </c>
      <c r="C18">
        <v>10167986868</v>
      </c>
      <c r="D18" t="s">
        <v>84</v>
      </c>
      <c r="E18">
        <v>16798686</v>
      </c>
      <c r="F18">
        <v>10269508</v>
      </c>
      <c r="G18" t="s">
        <v>78</v>
      </c>
      <c r="H18" t="s">
        <v>85</v>
      </c>
      <c r="I18">
        <v>53386.9921875</v>
      </c>
      <c r="J18" s="1">
        <v>45849</v>
      </c>
      <c r="K18">
        <v>24.280000999999999</v>
      </c>
      <c r="L18" t="s">
        <v>86</v>
      </c>
      <c r="M18" t="s">
        <v>86</v>
      </c>
      <c r="N18" t="s">
        <v>41</v>
      </c>
      <c r="O18">
        <v>202507</v>
      </c>
      <c r="P18">
        <v>59402.95</v>
      </c>
      <c r="Q18" t="s">
        <v>85</v>
      </c>
      <c r="R18" t="s">
        <v>87</v>
      </c>
      <c r="S18" t="s">
        <v>88</v>
      </c>
      <c r="T18" t="s">
        <v>89</v>
      </c>
      <c r="U18" t="s">
        <v>41</v>
      </c>
      <c r="V18">
        <v>2</v>
      </c>
      <c r="W18" t="s">
        <v>90</v>
      </c>
      <c r="X18" t="s">
        <v>59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>
        <v>35500</v>
      </c>
      <c r="AL18">
        <v>0.25</v>
      </c>
      <c r="AM18">
        <v>0.22520000000000001</v>
      </c>
      <c r="AN18" t="s">
        <v>12</v>
      </c>
      <c r="AO18" t="s">
        <v>12</v>
      </c>
    </row>
    <row r="19" spans="1:41" x14ac:dyDescent="0.35">
      <c r="A19">
        <v>18623385</v>
      </c>
      <c r="B19">
        <v>202602</v>
      </c>
      <c r="C19">
        <v>20602004105</v>
      </c>
      <c r="D19" t="s">
        <v>91</v>
      </c>
      <c r="E19" t="s">
        <v>1</v>
      </c>
      <c r="F19">
        <v>10274465</v>
      </c>
      <c r="G19" t="s">
        <v>92</v>
      </c>
      <c r="H19" t="s">
        <v>93</v>
      </c>
      <c r="I19">
        <v>464396.6875</v>
      </c>
      <c r="J19" s="1">
        <v>46034</v>
      </c>
      <c r="K19">
        <v>17</v>
      </c>
      <c r="L19" t="s">
        <v>4</v>
      </c>
      <c r="M19" t="s">
        <v>4</v>
      </c>
      <c r="N19" t="s">
        <v>41</v>
      </c>
      <c r="O19">
        <v>202601</v>
      </c>
      <c r="P19">
        <v>337400.37</v>
      </c>
      <c r="Q19" t="s">
        <v>93</v>
      </c>
      <c r="R19" t="s">
        <v>94</v>
      </c>
      <c r="S19" t="s">
        <v>7</v>
      </c>
      <c r="T19" t="s">
        <v>8</v>
      </c>
      <c r="U19" t="s">
        <v>95</v>
      </c>
      <c r="V19">
        <v>1</v>
      </c>
      <c r="W19" t="s">
        <v>10</v>
      </c>
      <c r="X19" t="s">
        <v>11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12</v>
      </c>
      <c r="AG19" t="s">
        <v>12</v>
      </c>
      <c r="AH19" t="s">
        <v>12</v>
      </c>
      <c r="AI19" t="s">
        <v>12</v>
      </c>
      <c r="AJ19" t="s">
        <v>12</v>
      </c>
      <c r="AK19">
        <v>500000</v>
      </c>
      <c r="AL19">
        <v>0.21</v>
      </c>
      <c r="AM19">
        <v>0.19</v>
      </c>
      <c r="AN19" t="s">
        <v>12</v>
      </c>
      <c r="AO19" t="s">
        <v>12</v>
      </c>
    </row>
    <row r="20" spans="1:41" x14ac:dyDescent="0.35">
      <c r="A20">
        <v>9314336</v>
      </c>
      <c r="B20">
        <v>202507</v>
      </c>
      <c r="C20">
        <v>10107253381</v>
      </c>
      <c r="D20" t="s">
        <v>96</v>
      </c>
      <c r="E20">
        <v>10725338</v>
      </c>
      <c r="F20">
        <v>10266764</v>
      </c>
      <c r="G20" t="s">
        <v>24</v>
      </c>
      <c r="H20" t="s">
        <v>97</v>
      </c>
      <c r="I20">
        <v>15762.7744140625</v>
      </c>
      <c r="J20" s="1">
        <v>45747</v>
      </c>
      <c r="K20">
        <v>24.5</v>
      </c>
      <c r="L20" t="s">
        <v>37</v>
      </c>
      <c r="M20" t="s">
        <v>75</v>
      </c>
      <c r="N20" t="s">
        <v>98</v>
      </c>
      <c r="O20">
        <v>202503</v>
      </c>
      <c r="P20">
        <v>18300.900000000001</v>
      </c>
      <c r="Q20" t="s">
        <v>12</v>
      </c>
      <c r="R20" t="s">
        <v>12</v>
      </c>
      <c r="S20" t="s">
        <v>12</v>
      </c>
      <c r="T20" t="s">
        <v>12</v>
      </c>
      <c r="U20" t="s">
        <v>12</v>
      </c>
      <c r="V20" t="s">
        <v>12</v>
      </c>
      <c r="W20" t="s">
        <v>12</v>
      </c>
      <c r="X20" t="s">
        <v>12</v>
      </c>
      <c r="Y20" t="s">
        <v>12</v>
      </c>
      <c r="Z20" t="s">
        <v>12</v>
      </c>
      <c r="AA20" t="s">
        <v>12</v>
      </c>
      <c r="AB20" t="s">
        <v>12</v>
      </c>
      <c r="AC20" t="s">
        <v>12</v>
      </c>
      <c r="AD20" t="s">
        <v>12</v>
      </c>
      <c r="AE20" t="s">
        <v>12</v>
      </c>
      <c r="AF20" t="s">
        <v>12</v>
      </c>
      <c r="AG20" t="s">
        <v>12</v>
      </c>
      <c r="AH20" t="s">
        <v>12</v>
      </c>
      <c r="AI20" t="s">
        <v>12</v>
      </c>
      <c r="AJ20" t="s">
        <v>12</v>
      </c>
      <c r="AK20" t="s">
        <v>12</v>
      </c>
      <c r="AL20" t="s">
        <v>12</v>
      </c>
      <c r="AM20" t="s">
        <v>12</v>
      </c>
      <c r="AN20" t="s">
        <v>12</v>
      </c>
      <c r="AO20" t="s">
        <v>12</v>
      </c>
    </row>
    <row r="21" spans="1:41" x14ac:dyDescent="0.35">
      <c r="A21">
        <v>17252931</v>
      </c>
      <c r="B21">
        <v>202508</v>
      </c>
      <c r="C21">
        <v>20544532724</v>
      </c>
      <c r="D21" t="s">
        <v>99</v>
      </c>
      <c r="E21" t="s">
        <v>1</v>
      </c>
      <c r="F21">
        <v>10267148</v>
      </c>
      <c r="G21" t="s">
        <v>100</v>
      </c>
      <c r="H21" t="s">
        <v>101</v>
      </c>
      <c r="I21">
        <v>131290.53125</v>
      </c>
      <c r="J21" s="1">
        <v>45763</v>
      </c>
      <c r="K21">
        <v>14</v>
      </c>
      <c r="L21" t="s">
        <v>37</v>
      </c>
      <c r="M21" t="s">
        <v>37</v>
      </c>
      <c r="N21" t="s">
        <v>102</v>
      </c>
      <c r="O21">
        <v>202504</v>
      </c>
      <c r="P21">
        <v>153007.65</v>
      </c>
      <c r="Q21" t="s">
        <v>101</v>
      </c>
      <c r="R21" t="s">
        <v>103</v>
      </c>
      <c r="S21" t="s">
        <v>88</v>
      </c>
      <c r="T21" t="s">
        <v>89</v>
      </c>
      <c r="U21" t="s">
        <v>20</v>
      </c>
      <c r="V21">
        <v>2</v>
      </c>
      <c r="W21" t="s">
        <v>10</v>
      </c>
      <c r="X21" t="s">
        <v>12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12</v>
      </c>
      <c r="AG21" t="s">
        <v>12</v>
      </c>
      <c r="AH21" t="s">
        <v>12</v>
      </c>
      <c r="AI21" t="s">
        <v>12</v>
      </c>
      <c r="AJ21" t="s">
        <v>12</v>
      </c>
      <c r="AK21">
        <v>1</v>
      </c>
      <c r="AL21">
        <v>0.14230000000000001</v>
      </c>
      <c r="AM21">
        <v>0</v>
      </c>
      <c r="AN21" t="s">
        <v>12</v>
      </c>
      <c r="AO21" t="s">
        <v>12</v>
      </c>
    </row>
    <row r="22" spans="1:41" x14ac:dyDescent="0.35">
      <c r="A22">
        <v>13053642</v>
      </c>
      <c r="B22">
        <v>202602</v>
      </c>
      <c r="C22">
        <v>20531280092</v>
      </c>
      <c r="D22" t="s">
        <v>104</v>
      </c>
      <c r="E22" t="s">
        <v>1</v>
      </c>
      <c r="F22">
        <v>10265654</v>
      </c>
      <c r="G22" t="s">
        <v>14</v>
      </c>
      <c r="H22" t="s">
        <v>105</v>
      </c>
      <c r="I22">
        <v>49178.96484375</v>
      </c>
      <c r="J22" s="1">
        <v>45713</v>
      </c>
      <c r="K22">
        <v>18.2</v>
      </c>
      <c r="L22" t="s">
        <v>37</v>
      </c>
      <c r="M22" t="s">
        <v>37</v>
      </c>
      <c r="N22" t="s">
        <v>16</v>
      </c>
      <c r="O22">
        <v>202502</v>
      </c>
      <c r="P22">
        <v>90604.5</v>
      </c>
      <c r="Q22" t="s">
        <v>105</v>
      </c>
      <c r="R22" t="s">
        <v>106</v>
      </c>
      <c r="S22" t="s">
        <v>88</v>
      </c>
      <c r="T22" t="s">
        <v>89</v>
      </c>
      <c r="U22" t="s">
        <v>20</v>
      </c>
      <c r="V22">
        <v>2</v>
      </c>
      <c r="W22" t="s">
        <v>10</v>
      </c>
      <c r="X22" t="s">
        <v>51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>
        <v>1</v>
      </c>
      <c r="AL22">
        <v>1</v>
      </c>
      <c r="AM22" t="s">
        <v>12</v>
      </c>
      <c r="AN22" t="s">
        <v>12</v>
      </c>
      <c r="AO22" t="s">
        <v>12</v>
      </c>
    </row>
    <row r="23" spans="1:41" x14ac:dyDescent="0.35">
      <c r="A23">
        <v>15370169</v>
      </c>
      <c r="B23">
        <v>202503</v>
      </c>
      <c r="C23">
        <v>10060386426</v>
      </c>
      <c r="D23" t="s">
        <v>107</v>
      </c>
      <c r="E23">
        <v>6038642</v>
      </c>
      <c r="F23">
        <v>10266381</v>
      </c>
      <c r="G23" t="s">
        <v>92</v>
      </c>
      <c r="H23" t="s">
        <v>97</v>
      </c>
      <c r="I23">
        <v>110005.484375</v>
      </c>
      <c r="J23" s="1">
        <v>45736</v>
      </c>
      <c r="K23">
        <v>19</v>
      </c>
      <c r="L23" t="s">
        <v>4</v>
      </c>
      <c r="M23" t="s">
        <v>4</v>
      </c>
      <c r="N23" t="s">
        <v>41</v>
      </c>
      <c r="O23">
        <v>202503</v>
      </c>
      <c r="P23">
        <v>110005.5</v>
      </c>
      <c r="Q23" t="s">
        <v>93</v>
      </c>
      <c r="R23" t="s">
        <v>94</v>
      </c>
      <c r="S23" t="s">
        <v>7</v>
      </c>
      <c r="T23" t="s">
        <v>8</v>
      </c>
      <c r="U23" t="s">
        <v>41</v>
      </c>
      <c r="V23">
        <v>1</v>
      </c>
      <c r="W23" t="s">
        <v>90</v>
      </c>
      <c r="X23" t="s">
        <v>12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110005.5</v>
      </c>
      <c r="AF23">
        <v>19</v>
      </c>
      <c r="AG23" s="1">
        <v>45736</v>
      </c>
      <c r="AH23" t="s">
        <v>41</v>
      </c>
      <c r="AI23" t="s">
        <v>4</v>
      </c>
      <c r="AJ23" t="s">
        <v>33</v>
      </c>
      <c r="AK23">
        <v>130000</v>
      </c>
      <c r="AL23">
        <v>0.24</v>
      </c>
      <c r="AM23">
        <v>0.217</v>
      </c>
      <c r="AN23" t="s">
        <v>12</v>
      </c>
      <c r="AO23" t="s">
        <v>12</v>
      </c>
    </row>
    <row r="24" spans="1:41" x14ac:dyDescent="0.35">
      <c r="A24">
        <v>21245280</v>
      </c>
      <c r="B24">
        <v>202512</v>
      </c>
      <c r="C24">
        <v>20517818993</v>
      </c>
      <c r="D24" t="s">
        <v>108</v>
      </c>
      <c r="E24" t="s">
        <v>1</v>
      </c>
      <c r="F24">
        <v>10262610</v>
      </c>
      <c r="G24" t="s">
        <v>45</v>
      </c>
      <c r="H24" t="s">
        <v>109</v>
      </c>
      <c r="I24">
        <v>66844.96875</v>
      </c>
      <c r="J24" s="1">
        <v>45610</v>
      </c>
      <c r="K24">
        <v>17.899999999999999</v>
      </c>
      <c r="L24" t="s">
        <v>37</v>
      </c>
      <c r="M24" t="s">
        <v>37</v>
      </c>
      <c r="N24" t="s">
        <v>47</v>
      </c>
      <c r="O24">
        <v>202411</v>
      </c>
      <c r="P24">
        <v>90004.5</v>
      </c>
      <c r="Q24" t="s">
        <v>109</v>
      </c>
      <c r="R24" t="s">
        <v>110</v>
      </c>
      <c r="S24" t="s">
        <v>111</v>
      </c>
      <c r="T24" t="s">
        <v>112</v>
      </c>
      <c r="U24" t="s">
        <v>41</v>
      </c>
      <c r="V24">
        <v>2</v>
      </c>
      <c r="W24" t="s">
        <v>10</v>
      </c>
      <c r="X24" t="s">
        <v>11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12</v>
      </c>
      <c r="AG24" t="s">
        <v>12</v>
      </c>
      <c r="AH24" t="s">
        <v>12</v>
      </c>
      <c r="AI24" t="s">
        <v>12</v>
      </c>
      <c r="AJ24" t="s">
        <v>12</v>
      </c>
      <c r="AK24">
        <v>400000</v>
      </c>
      <c r="AL24">
        <v>0.21</v>
      </c>
      <c r="AM24">
        <v>0.19</v>
      </c>
      <c r="AN24" t="s">
        <v>12</v>
      </c>
      <c r="AO24" t="s">
        <v>12</v>
      </c>
    </row>
    <row r="25" spans="1:41" x14ac:dyDescent="0.35">
      <c r="A25">
        <v>18044324</v>
      </c>
      <c r="B25">
        <v>202509</v>
      </c>
      <c r="C25">
        <v>20606054166</v>
      </c>
      <c r="D25" t="s">
        <v>113</v>
      </c>
      <c r="E25" t="s">
        <v>1</v>
      </c>
      <c r="F25">
        <v>10270504</v>
      </c>
      <c r="G25" t="s">
        <v>100</v>
      </c>
      <c r="H25" t="s">
        <v>114</v>
      </c>
      <c r="I25">
        <v>169609.140625</v>
      </c>
      <c r="J25" s="1">
        <v>45888</v>
      </c>
      <c r="K25">
        <v>14.8</v>
      </c>
      <c r="L25" t="s">
        <v>86</v>
      </c>
      <c r="M25" t="s">
        <v>86</v>
      </c>
      <c r="N25" t="s">
        <v>102</v>
      </c>
      <c r="O25">
        <v>202508</v>
      </c>
      <c r="P25">
        <v>224011.2</v>
      </c>
      <c r="Q25" t="s">
        <v>114</v>
      </c>
      <c r="R25" t="s">
        <v>115</v>
      </c>
      <c r="S25" t="s">
        <v>111</v>
      </c>
      <c r="T25" t="s">
        <v>112</v>
      </c>
      <c r="U25" t="s">
        <v>20</v>
      </c>
      <c r="V25">
        <v>2</v>
      </c>
      <c r="W25" t="s">
        <v>10</v>
      </c>
      <c r="X25" t="s">
        <v>59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12</v>
      </c>
      <c r="AG25" t="s">
        <v>12</v>
      </c>
      <c r="AH25" t="s">
        <v>12</v>
      </c>
      <c r="AI25" t="s">
        <v>12</v>
      </c>
      <c r="AJ25" t="s">
        <v>12</v>
      </c>
      <c r="AK25">
        <v>1</v>
      </c>
      <c r="AL25">
        <v>1</v>
      </c>
      <c r="AM25" t="s">
        <v>12</v>
      </c>
      <c r="AN25" t="s">
        <v>12</v>
      </c>
      <c r="AO25" t="s">
        <v>12</v>
      </c>
    </row>
    <row r="26" spans="1:41" x14ac:dyDescent="0.35">
      <c r="A26">
        <v>10997270</v>
      </c>
      <c r="B26">
        <v>202508</v>
      </c>
      <c r="C26">
        <v>10293090802</v>
      </c>
      <c r="D26" t="s">
        <v>116</v>
      </c>
      <c r="E26">
        <v>29309080</v>
      </c>
      <c r="F26">
        <v>10167760</v>
      </c>
      <c r="G26" t="s">
        <v>2</v>
      </c>
      <c r="H26" t="s">
        <v>117</v>
      </c>
      <c r="I26">
        <v>42388.92578125</v>
      </c>
      <c r="J26" s="1">
        <v>45484</v>
      </c>
      <c r="K26">
        <v>19.899999999999999</v>
      </c>
      <c r="L26" t="s">
        <v>4</v>
      </c>
      <c r="M26" t="s">
        <v>4</v>
      </c>
      <c r="N26" t="s">
        <v>5</v>
      </c>
      <c r="O26">
        <v>202407</v>
      </c>
      <c r="P26">
        <v>100005</v>
      </c>
      <c r="Q26" t="s">
        <v>117</v>
      </c>
      <c r="R26" t="s">
        <v>118</v>
      </c>
      <c r="S26" t="s">
        <v>39</v>
      </c>
      <c r="T26" t="s">
        <v>40</v>
      </c>
      <c r="U26" t="s">
        <v>41</v>
      </c>
      <c r="V26">
        <v>1</v>
      </c>
      <c r="W26" t="s">
        <v>90</v>
      </c>
      <c r="X26" t="s">
        <v>12</v>
      </c>
      <c r="Y26">
        <v>1</v>
      </c>
      <c r="Z26">
        <v>1</v>
      </c>
      <c r="AA26">
        <v>0</v>
      </c>
      <c r="AB26">
        <v>0</v>
      </c>
      <c r="AC26">
        <v>1</v>
      </c>
      <c r="AD26">
        <v>1</v>
      </c>
      <c r="AE26">
        <v>0</v>
      </c>
      <c r="AF26" t="s">
        <v>12</v>
      </c>
      <c r="AG26" t="s">
        <v>12</v>
      </c>
      <c r="AH26" t="s">
        <v>12</v>
      </c>
      <c r="AI26" t="s">
        <v>12</v>
      </c>
      <c r="AJ26" t="s">
        <v>12</v>
      </c>
      <c r="AK26">
        <v>300000</v>
      </c>
      <c r="AL26">
        <v>0.21</v>
      </c>
      <c r="AM26">
        <v>0.19</v>
      </c>
      <c r="AN26" t="s">
        <v>12</v>
      </c>
      <c r="AO26" t="s">
        <v>12</v>
      </c>
    </row>
    <row r="27" spans="1:41" x14ac:dyDescent="0.35">
      <c r="A27">
        <v>21843659</v>
      </c>
      <c r="B27">
        <v>202509</v>
      </c>
      <c r="C27">
        <v>20610931821</v>
      </c>
      <c r="D27" t="s">
        <v>119</v>
      </c>
      <c r="E27" t="s">
        <v>1</v>
      </c>
      <c r="F27">
        <v>10271339</v>
      </c>
      <c r="G27" t="s">
        <v>28</v>
      </c>
      <c r="H27" t="s">
        <v>120</v>
      </c>
      <c r="I27">
        <v>160174.609375</v>
      </c>
      <c r="J27" s="1">
        <v>45915</v>
      </c>
      <c r="K27">
        <v>18</v>
      </c>
      <c r="L27" t="s">
        <v>4</v>
      </c>
      <c r="M27" t="s">
        <v>75</v>
      </c>
      <c r="N27" t="s">
        <v>26</v>
      </c>
      <c r="O27">
        <v>202509</v>
      </c>
      <c r="P27">
        <v>180009</v>
      </c>
      <c r="Q27" t="s">
        <v>120</v>
      </c>
      <c r="R27" t="s">
        <v>121</v>
      </c>
      <c r="S27" t="s">
        <v>18</v>
      </c>
      <c r="T27" t="s">
        <v>122</v>
      </c>
      <c r="U27" t="s">
        <v>26</v>
      </c>
      <c r="V27">
        <v>1</v>
      </c>
      <c r="W27" t="s">
        <v>10</v>
      </c>
      <c r="X27" t="s">
        <v>59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180009</v>
      </c>
      <c r="AF27">
        <v>18</v>
      </c>
      <c r="AG27" s="1">
        <v>45915</v>
      </c>
      <c r="AH27" t="s">
        <v>26</v>
      </c>
      <c r="AI27" t="s">
        <v>75</v>
      </c>
      <c r="AJ27" t="s">
        <v>33</v>
      </c>
      <c r="AK27">
        <v>180000</v>
      </c>
      <c r="AL27">
        <v>0.26900000000000002</v>
      </c>
      <c r="AM27">
        <v>0.249</v>
      </c>
      <c r="AN27" t="s">
        <v>12</v>
      </c>
      <c r="AO27" t="s">
        <v>12</v>
      </c>
    </row>
    <row r="28" spans="1:41" x14ac:dyDescent="0.35">
      <c r="A28">
        <v>11002265</v>
      </c>
      <c r="B28">
        <v>202510</v>
      </c>
      <c r="C28">
        <v>10157344477</v>
      </c>
      <c r="D28" t="s">
        <v>123</v>
      </c>
      <c r="E28">
        <v>15734447</v>
      </c>
      <c r="F28">
        <v>10269154</v>
      </c>
      <c r="G28" t="s">
        <v>100</v>
      </c>
      <c r="H28" t="s">
        <v>124</v>
      </c>
      <c r="I28">
        <v>103193.0546875</v>
      </c>
      <c r="J28" s="1">
        <v>45835</v>
      </c>
      <c r="K28">
        <v>17</v>
      </c>
      <c r="L28" t="s">
        <v>37</v>
      </c>
      <c r="M28" t="s">
        <v>37</v>
      </c>
      <c r="N28" t="s">
        <v>102</v>
      </c>
      <c r="O28">
        <v>202506</v>
      </c>
      <c r="P28">
        <v>112805.6</v>
      </c>
      <c r="Q28" t="s">
        <v>124</v>
      </c>
      <c r="R28" t="s">
        <v>125</v>
      </c>
      <c r="S28" t="s">
        <v>88</v>
      </c>
      <c r="T28" t="s">
        <v>89</v>
      </c>
      <c r="U28" t="s">
        <v>20</v>
      </c>
      <c r="V28">
        <v>2</v>
      </c>
      <c r="W28" t="s">
        <v>10</v>
      </c>
      <c r="X28" t="s">
        <v>12</v>
      </c>
      <c r="Y28">
        <v>1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12</v>
      </c>
      <c r="AG28" t="s">
        <v>12</v>
      </c>
      <c r="AH28" t="s">
        <v>12</v>
      </c>
      <c r="AI28" t="s">
        <v>12</v>
      </c>
      <c r="AJ28" t="s">
        <v>12</v>
      </c>
      <c r="AK28">
        <v>1</v>
      </c>
      <c r="AL28">
        <v>1</v>
      </c>
      <c r="AM28" t="s">
        <v>12</v>
      </c>
      <c r="AN28" t="s">
        <v>12</v>
      </c>
      <c r="AO28" t="s">
        <v>12</v>
      </c>
    </row>
    <row r="29" spans="1:41" x14ac:dyDescent="0.35">
      <c r="A29">
        <v>13709923</v>
      </c>
      <c r="B29">
        <v>202507</v>
      </c>
      <c r="C29">
        <v>20451721802</v>
      </c>
      <c r="D29" t="s">
        <v>126</v>
      </c>
      <c r="E29" t="s">
        <v>1</v>
      </c>
      <c r="F29">
        <v>10265962</v>
      </c>
      <c r="G29" t="s">
        <v>73</v>
      </c>
      <c r="H29" t="s">
        <v>127</v>
      </c>
      <c r="I29">
        <v>171092.015625</v>
      </c>
      <c r="J29" s="1">
        <v>45720</v>
      </c>
      <c r="K29">
        <v>18</v>
      </c>
      <c r="L29" t="s">
        <v>4</v>
      </c>
      <c r="M29" t="s">
        <v>4</v>
      </c>
      <c r="N29" t="s">
        <v>20</v>
      </c>
      <c r="O29">
        <v>202503</v>
      </c>
      <c r="P29">
        <v>200010</v>
      </c>
      <c r="Q29" t="s">
        <v>12</v>
      </c>
      <c r="R29" t="s">
        <v>12</v>
      </c>
      <c r="S29" t="s">
        <v>12</v>
      </c>
      <c r="T29" t="s">
        <v>12</v>
      </c>
      <c r="U29" t="s">
        <v>12</v>
      </c>
      <c r="V29" t="s">
        <v>12</v>
      </c>
      <c r="W29" t="s">
        <v>12</v>
      </c>
      <c r="X29" t="s">
        <v>12</v>
      </c>
      <c r="Y29" t="s">
        <v>12</v>
      </c>
      <c r="Z29" t="s">
        <v>12</v>
      </c>
      <c r="AA29" t="s">
        <v>12</v>
      </c>
      <c r="AB29" t="s">
        <v>12</v>
      </c>
      <c r="AC29" t="s">
        <v>12</v>
      </c>
      <c r="AD29" t="s">
        <v>12</v>
      </c>
      <c r="AE29" t="s">
        <v>12</v>
      </c>
      <c r="AF29" t="s">
        <v>12</v>
      </c>
      <c r="AG29" t="s">
        <v>12</v>
      </c>
      <c r="AH29" t="s">
        <v>12</v>
      </c>
      <c r="AI29" t="s">
        <v>12</v>
      </c>
      <c r="AJ29" t="s">
        <v>12</v>
      </c>
      <c r="AK29" t="s">
        <v>12</v>
      </c>
      <c r="AL29" t="s">
        <v>12</v>
      </c>
      <c r="AM29" t="s">
        <v>12</v>
      </c>
      <c r="AN29" t="s">
        <v>12</v>
      </c>
      <c r="AO29" t="s">
        <v>12</v>
      </c>
    </row>
    <row r="30" spans="1:41" x14ac:dyDescent="0.35">
      <c r="A30">
        <v>15435548</v>
      </c>
      <c r="B30">
        <v>202504</v>
      </c>
      <c r="C30">
        <v>20600337123</v>
      </c>
      <c r="D30" t="s">
        <v>128</v>
      </c>
      <c r="E30" t="s">
        <v>1</v>
      </c>
      <c r="F30">
        <v>10171238</v>
      </c>
      <c r="G30" t="s">
        <v>2</v>
      </c>
      <c r="H30" t="s">
        <v>129</v>
      </c>
      <c r="I30">
        <v>58386.12109375</v>
      </c>
      <c r="J30" s="1">
        <v>45441</v>
      </c>
      <c r="K30">
        <v>18.45</v>
      </c>
      <c r="L30" t="s">
        <v>4</v>
      </c>
      <c r="M30" t="s">
        <v>4</v>
      </c>
      <c r="N30" t="s">
        <v>5</v>
      </c>
      <c r="O30">
        <v>202405</v>
      </c>
      <c r="P30">
        <v>100005</v>
      </c>
      <c r="Q30" t="s">
        <v>129</v>
      </c>
      <c r="R30" t="s">
        <v>130</v>
      </c>
      <c r="S30" t="s">
        <v>49</v>
      </c>
      <c r="T30" t="s">
        <v>50</v>
      </c>
      <c r="U30" t="s">
        <v>20</v>
      </c>
      <c r="V30">
        <v>1</v>
      </c>
      <c r="W30" t="s">
        <v>10</v>
      </c>
      <c r="X30" t="s">
        <v>12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12</v>
      </c>
      <c r="AG30" t="s">
        <v>12</v>
      </c>
      <c r="AH30" t="s">
        <v>12</v>
      </c>
      <c r="AI30" t="s">
        <v>12</v>
      </c>
      <c r="AJ30" t="s">
        <v>12</v>
      </c>
      <c r="AK30">
        <v>0</v>
      </c>
      <c r="AL30">
        <v>0</v>
      </c>
      <c r="AM30">
        <v>0</v>
      </c>
      <c r="AN30" t="s">
        <v>12</v>
      </c>
      <c r="AO30" t="s">
        <v>12</v>
      </c>
    </row>
    <row r="31" spans="1:41" x14ac:dyDescent="0.35">
      <c r="A31">
        <v>17252942</v>
      </c>
      <c r="B31">
        <v>202507</v>
      </c>
      <c r="C31">
        <v>20601213657</v>
      </c>
      <c r="D31" t="s">
        <v>131</v>
      </c>
      <c r="E31" t="s">
        <v>1</v>
      </c>
      <c r="F31">
        <v>10257317</v>
      </c>
      <c r="G31" t="s">
        <v>45</v>
      </c>
      <c r="H31" t="s">
        <v>79</v>
      </c>
      <c r="I31">
        <v>69860.90625</v>
      </c>
      <c r="J31" s="1">
        <v>45489</v>
      </c>
      <c r="K31">
        <v>15.5</v>
      </c>
      <c r="L31" t="s">
        <v>37</v>
      </c>
      <c r="M31" t="s">
        <v>37</v>
      </c>
      <c r="N31" t="s">
        <v>47</v>
      </c>
      <c r="O31">
        <v>202407</v>
      </c>
      <c r="P31">
        <v>90004.5</v>
      </c>
      <c r="Q31" t="s">
        <v>79</v>
      </c>
      <c r="R31" t="s">
        <v>80</v>
      </c>
      <c r="S31" t="s">
        <v>31</v>
      </c>
      <c r="T31" t="s">
        <v>32</v>
      </c>
      <c r="U31" t="s">
        <v>41</v>
      </c>
      <c r="V31">
        <v>1</v>
      </c>
      <c r="W31" t="s">
        <v>10</v>
      </c>
      <c r="X31" t="s">
        <v>12</v>
      </c>
      <c r="Y31">
        <v>1</v>
      </c>
      <c r="Z31">
        <v>1</v>
      </c>
      <c r="AA31">
        <v>0</v>
      </c>
      <c r="AB31">
        <v>0</v>
      </c>
      <c r="AC31">
        <v>1</v>
      </c>
      <c r="AD31">
        <v>1</v>
      </c>
      <c r="AE31">
        <v>0</v>
      </c>
      <c r="AF31" t="s">
        <v>12</v>
      </c>
      <c r="AG31" t="s">
        <v>12</v>
      </c>
      <c r="AH31" t="s">
        <v>12</v>
      </c>
      <c r="AI31" t="s">
        <v>12</v>
      </c>
      <c r="AJ31" t="s">
        <v>12</v>
      </c>
      <c r="AK31">
        <v>400000</v>
      </c>
      <c r="AL31">
        <v>0.24</v>
      </c>
      <c r="AM31">
        <v>0.22</v>
      </c>
      <c r="AN31" t="s">
        <v>12</v>
      </c>
      <c r="AO31" t="s">
        <v>12</v>
      </c>
    </row>
    <row r="32" spans="1:41" x14ac:dyDescent="0.35">
      <c r="A32">
        <v>15693530</v>
      </c>
      <c r="B32">
        <v>202601</v>
      </c>
      <c r="C32">
        <v>20534483997</v>
      </c>
      <c r="D32" t="s">
        <v>132</v>
      </c>
      <c r="E32" t="s">
        <v>1</v>
      </c>
      <c r="F32">
        <v>10275090</v>
      </c>
      <c r="G32" t="s">
        <v>78</v>
      </c>
      <c r="H32" t="s">
        <v>61</v>
      </c>
      <c r="I32">
        <v>242012.09375</v>
      </c>
      <c r="J32" s="1">
        <v>46050</v>
      </c>
      <c r="K32">
        <v>16</v>
      </c>
      <c r="L32" t="s">
        <v>4</v>
      </c>
      <c r="M32" t="s">
        <v>4</v>
      </c>
      <c r="N32" t="s">
        <v>41</v>
      </c>
      <c r="O32">
        <v>202601</v>
      </c>
      <c r="P32">
        <v>242012.1</v>
      </c>
      <c r="Q32" t="s">
        <v>61</v>
      </c>
      <c r="R32" t="s">
        <v>62</v>
      </c>
      <c r="S32" t="s">
        <v>39</v>
      </c>
      <c r="T32" t="s">
        <v>40</v>
      </c>
      <c r="U32" t="s">
        <v>41</v>
      </c>
      <c r="V32">
        <v>1</v>
      </c>
      <c r="W32" t="s">
        <v>21</v>
      </c>
      <c r="X32" t="s">
        <v>22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242012.1</v>
      </c>
      <c r="AF32">
        <v>16</v>
      </c>
      <c r="AG32" s="1">
        <v>46050</v>
      </c>
      <c r="AH32" t="s">
        <v>41</v>
      </c>
      <c r="AI32" t="s">
        <v>4</v>
      </c>
      <c r="AJ32" t="s">
        <v>33</v>
      </c>
      <c r="AK32">
        <v>242600</v>
      </c>
      <c r="AL32">
        <v>0.21</v>
      </c>
      <c r="AM32">
        <v>0.19</v>
      </c>
      <c r="AN32" t="s">
        <v>12</v>
      </c>
      <c r="AO32" t="s">
        <v>12</v>
      </c>
    </row>
    <row r="33" spans="1:41" x14ac:dyDescent="0.35">
      <c r="A33">
        <v>3614633</v>
      </c>
      <c r="B33">
        <v>202510</v>
      </c>
      <c r="C33">
        <v>20215558437</v>
      </c>
      <c r="D33" t="s">
        <v>133</v>
      </c>
      <c r="E33" t="s">
        <v>1</v>
      </c>
      <c r="F33">
        <v>10253510</v>
      </c>
      <c r="G33" t="s">
        <v>65</v>
      </c>
      <c r="H33" t="s">
        <v>74</v>
      </c>
      <c r="I33">
        <v>15687.1015625</v>
      </c>
      <c r="J33" s="1">
        <v>45436</v>
      </c>
      <c r="K33">
        <v>14.9</v>
      </c>
      <c r="L33" t="s">
        <v>4</v>
      </c>
      <c r="M33" t="s">
        <v>4</v>
      </c>
      <c r="N33" t="s">
        <v>47</v>
      </c>
      <c r="O33">
        <v>202405</v>
      </c>
      <c r="P33">
        <v>300015</v>
      </c>
      <c r="Q33" t="s">
        <v>74</v>
      </c>
      <c r="R33" t="s">
        <v>76</v>
      </c>
      <c r="S33" t="s">
        <v>31</v>
      </c>
      <c r="T33" t="s">
        <v>32</v>
      </c>
      <c r="U33" t="s">
        <v>41</v>
      </c>
      <c r="V33">
        <v>1</v>
      </c>
      <c r="W33" t="s">
        <v>10</v>
      </c>
      <c r="X33" t="s">
        <v>12</v>
      </c>
      <c r="Y33">
        <v>1</v>
      </c>
      <c r="Z33">
        <v>1</v>
      </c>
      <c r="AA33">
        <v>0</v>
      </c>
      <c r="AB33">
        <v>0</v>
      </c>
      <c r="AC33">
        <v>1</v>
      </c>
      <c r="AD33">
        <v>1</v>
      </c>
      <c r="AE33">
        <v>0</v>
      </c>
      <c r="AF33" t="s">
        <v>12</v>
      </c>
      <c r="AG33" t="s">
        <v>12</v>
      </c>
      <c r="AH33" t="s">
        <v>12</v>
      </c>
      <c r="AI33" t="s">
        <v>12</v>
      </c>
      <c r="AJ33" t="s">
        <v>12</v>
      </c>
      <c r="AK33">
        <v>400000</v>
      </c>
      <c r="AL33">
        <v>0.21</v>
      </c>
      <c r="AM33">
        <v>0.19</v>
      </c>
      <c r="AN33" t="s">
        <v>12</v>
      </c>
      <c r="AO33" t="s">
        <v>12</v>
      </c>
    </row>
    <row r="34" spans="1:41" x14ac:dyDescent="0.35">
      <c r="A34">
        <v>3614633</v>
      </c>
      <c r="B34">
        <v>202504</v>
      </c>
      <c r="C34">
        <v>20215558437</v>
      </c>
      <c r="D34" t="s">
        <v>133</v>
      </c>
      <c r="E34" t="s">
        <v>1</v>
      </c>
      <c r="F34">
        <v>10253510</v>
      </c>
      <c r="G34" t="s">
        <v>65</v>
      </c>
      <c r="H34" t="s">
        <v>74</v>
      </c>
      <c r="I34">
        <v>158226.4375</v>
      </c>
      <c r="J34" s="1">
        <v>45436</v>
      </c>
      <c r="K34">
        <v>14.9</v>
      </c>
      <c r="L34" t="s">
        <v>4</v>
      </c>
      <c r="M34" t="s">
        <v>4</v>
      </c>
      <c r="N34" t="s">
        <v>47</v>
      </c>
      <c r="O34">
        <v>202405</v>
      </c>
      <c r="P34">
        <v>300015</v>
      </c>
      <c r="Q34" t="s">
        <v>74</v>
      </c>
      <c r="R34" t="s">
        <v>76</v>
      </c>
      <c r="S34" t="s">
        <v>31</v>
      </c>
      <c r="T34" t="s">
        <v>32</v>
      </c>
      <c r="U34" t="s">
        <v>20</v>
      </c>
      <c r="V34">
        <v>1</v>
      </c>
      <c r="W34" t="s">
        <v>10</v>
      </c>
      <c r="X34" t="s">
        <v>12</v>
      </c>
      <c r="Y34">
        <v>1</v>
      </c>
      <c r="Z34">
        <v>1</v>
      </c>
      <c r="AA34">
        <v>0</v>
      </c>
      <c r="AB34">
        <v>0</v>
      </c>
      <c r="AC34">
        <v>1</v>
      </c>
      <c r="AD34">
        <v>0</v>
      </c>
      <c r="AE34">
        <v>0</v>
      </c>
      <c r="AF34" t="s">
        <v>12</v>
      </c>
      <c r="AG34" t="s">
        <v>12</v>
      </c>
      <c r="AH34" t="s">
        <v>12</v>
      </c>
      <c r="AI34" t="s">
        <v>12</v>
      </c>
      <c r="AJ34" t="s">
        <v>12</v>
      </c>
      <c r="AK34">
        <v>0</v>
      </c>
      <c r="AL34">
        <v>0</v>
      </c>
      <c r="AM34">
        <v>0</v>
      </c>
      <c r="AN34" t="s">
        <v>12</v>
      </c>
      <c r="AO34" t="s">
        <v>12</v>
      </c>
    </row>
    <row r="35" spans="1:41" x14ac:dyDescent="0.35">
      <c r="A35">
        <v>19225144</v>
      </c>
      <c r="B35">
        <v>202602</v>
      </c>
      <c r="C35">
        <v>20600416473</v>
      </c>
      <c r="D35" t="s">
        <v>134</v>
      </c>
      <c r="E35" t="s">
        <v>1</v>
      </c>
      <c r="F35">
        <v>10272512</v>
      </c>
      <c r="G35" t="s">
        <v>78</v>
      </c>
      <c r="H35" t="s">
        <v>135</v>
      </c>
      <c r="I35">
        <v>27453.931640625</v>
      </c>
      <c r="J35" s="1">
        <v>45954</v>
      </c>
      <c r="K35">
        <v>17.2</v>
      </c>
      <c r="L35" t="s">
        <v>4</v>
      </c>
      <c r="M35" t="s">
        <v>4</v>
      </c>
      <c r="N35" t="s">
        <v>41</v>
      </c>
      <c r="O35">
        <v>202510</v>
      </c>
      <c r="P35">
        <v>180415.04</v>
      </c>
      <c r="Q35" t="s">
        <v>135</v>
      </c>
      <c r="R35" t="s">
        <v>136</v>
      </c>
      <c r="S35" t="s">
        <v>18</v>
      </c>
      <c r="T35" t="s">
        <v>19</v>
      </c>
      <c r="U35" t="s">
        <v>41</v>
      </c>
      <c r="V35">
        <v>1</v>
      </c>
      <c r="W35" t="s">
        <v>10</v>
      </c>
      <c r="X35" t="s">
        <v>22</v>
      </c>
      <c r="Y35">
        <v>1</v>
      </c>
      <c r="Z35">
        <v>1</v>
      </c>
      <c r="AA35">
        <v>0</v>
      </c>
      <c r="AB35">
        <v>0</v>
      </c>
      <c r="AC35">
        <v>1</v>
      </c>
      <c r="AD35">
        <v>1</v>
      </c>
      <c r="AE35">
        <v>0</v>
      </c>
      <c r="AF35" t="s">
        <v>12</v>
      </c>
      <c r="AG35" t="s">
        <v>12</v>
      </c>
      <c r="AH35" t="s">
        <v>12</v>
      </c>
      <c r="AI35" t="s">
        <v>12</v>
      </c>
      <c r="AJ35" t="s">
        <v>12</v>
      </c>
      <c r="AK35">
        <v>92800</v>
      </c>
      <c r="AL35">
        <v>0.26090000000000002</v>
      </c>
      <c r="AM35">
        <v>0.2409</v>
      </c>
      <c r="AN35" t="s">
        <v>12</v>
      </c>
      <c r="AO35" t="s">
        <v>12</v>
      </c>
    </row>
    <row r="36" spans="1:41" x14ac:dyDescent="0.35">
      <c r="A36">
        <v>21959815</v>
      </c>
      <c r="B36">
        <v>202602</v>
      </c>
      <c r="C36">
        <v>20448160751</v>
      </c>
      <c r="D36" t="s">
        <v>137</v>
      </c>
      <c r="E36" t="s">
        <v>1</v>
      </c>
      <c r="F36">
        <v>10273086</v>
      </c>
      <c r="G36" t="s">
        <v>24</v>
      </c>
      <c r="H36" t="s">
        <v>109</v>
      </c>
      <c r="I36">
        <v>84984.1328125</v>
      </c>
      <c r="J36" s="1">
        <v>45974</v>
      </c>
      <c r="K36">
        <v>17</v>
      </c>
      <c r="L36" t="s">
        <v>37</v>
      </c>
      <c r="M36" t="s">
        <v>37</v>
      </c>
      <c r="N36" t="s">
        <v>98</v>
      </c>
      <c r="O36">
        <v>202511</v>
      </c>
      <c r="P36">
        <v>100005</v>
      </c>
      <c r="Q36" t="s">
        <v>109</v>
      </c>
      <c r="R36" t="s">
        <v>110</v>
      </c>
      <c r="S36" t="s">
        <v>111</v>
      </c>
      <c r="T36" t="s">
        <v>112</v>
      </c>
      <c r="U36" t="s">
        <v>138</v>
      </c>
      <c r="V36">
        <v>2</v>
      </c>
      <c r="W36" t="s">
        <v>10</v>
      </c>
      <c r="X36" t="s">
        <v>11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12</v>
      </c>
      <c r="AG36" t="s">
        <v>12</v>
      </c>
      <c r="AH36" t="s">
        <v>12</v>
      </c>
      <c r="AI36" t="s">
        <v>12</v>
      </c>
      <c r="AJ36" t="s">
        <v>12</v>
      </c>
      <c r="AK36">
        <v>0</v>
      </c>
      <c r="AL36">
        <v>0</v>
      </c>
      <c r="AM36">
        <v>0</v>
      </c>
      <c r="AN36" t="s">
        <v>12</v>
      </c>
      <c r="AO36" t="s">
        <v>12</v>
      </c>
    </row>
    <row r="37" spans="1:41" x14ac:dyDescent="0.35">
      <c r="A37">
        <v>21498581</v>
      </c>
      <c r="B37">
        <v>202510</v>
      </c>
      <c r="C37">
        <v>10020404286</v>
      </c>
      <c r="D37" t="s">
        <v>139</v>
      </c>
      <c r="E37">
        <v>2040428</v>
      </c>
      <c r="F37">
        <v>10265668</v>
      </c>
      <c r="G37" t="s">
        <v>100</v>
      </c>
      <c r="H37" t="s">
        <v>140</v>
      </c>
      <c r="I37">
        <v>23508.158203125</v>
      </c>
      <c r="J37" s="1">
        <v>45713</v>
      </c>
      <c r="K37">
        <v>17</v>
      </c>
      <c r="L37" t="s">
        <v>37</v>
      </c>
      <c r="M37" t="s">
        <v>37</v>
      </c>
      <c r="N37" t="s">
        <v>102</v>
      </c>
      <c r="O37">
        <v>202502</v>
      </c>
      <c r="P37">
        <v>53558.65</v>
      </c>
      <c r="Q37" t="s">
        <v>140</v>
      </c>
      <c r="R37" t="s">
        <v>141</v>
      </c>
      <c r="S37" t="s">
        <v>111</v>
      </c>
      <c r="T37" t="s">
        <v>112</v>
      </c>
      <c r="U37" t="s">
        <v>41</v>
      </c>
      <c r="V37">
        <v>2</v>
      </c>
      <c r="W37" t="s">
        <v>10</v>
      </c>
      <c r="X37" t="s">
        <v>12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12</v>
      </c>
      <c r="AG37" t="s">
        <v>12</v>
      </c>
      <c r="AH37" t="s">
        <v>12</v>
      </c>
      <c r="AI37" t="s">
        <v>12</v>
      </c>
      <c r="AJ37" t="s">
        <v>12</v>
      </c>
      <c r="AK37">
        <v>100000</v>
      </c>
      <c r="AL37">
        <v>0.32769999999999999</v>
      </c>
      <c r="AM37">
        <v>0.30769999999999997</v>
      </c>
      <c r="AN37" t="s">
        <v>12</v>
      </c>
      <c r="AO37" t="s">
        <v>12</v>
      </c>
    </row>
    <row r="38" spans="1:41" x14ac:dyDescent="0.35">
      <c r="A38">
        <v>21085312</v>
      </c>
      <c r="B38">
        <v>202505</v>
      </c>
      <c r="C38">
        <v>20607281824</v>
      </c>
      <c r="D38" t="s">
        <v>142</v>
      </c>
      <c r="E38" t="s">
        <v>1</v>
      </c>
      <c r="F38">
        <v>10268330</v>
      </c>
      <c r="G38" t="s">
        <v>92</v>
      </c>
      <c r="H38" t="s">
        <v>82</v>
      </c>
      <c r="I38">
        <v>390019.5</v>
      </c>
      <c r="J38" s="1">
        <v>45807</v>
      </c>
      <c r="K38">
        <v>16</v>
      </c>
      <c r="L38" t="s">
        <v>4</v>
      </c>
      <c r="M38" t="s">
        <v>4</v>
      </c>
      <c r="N38" t="s">
        <v>41</v>
      </c>
      <c r="O38">
        <v>202505</v>
      </c>
      <c r="P38">
        <v>390019.5</v>
      </c>
      <c r="Q38" t="s">
        <v>82</v>
      </c>
      <c r="R38" t="s">
        <v>83</v>
      </c>
      <c r="S38" t="s">
        <v>49</v>
      </c>
      <c r="T38" t="s">
        <v>50</v>
      </c>
      <c r="U38" t="s">
        <v>41</v>
      </c>
      <c r="V38">
        <v>1</v>
      </c>
      <c r="W38" t="s">
        <v>10</v>
      </c>
      <c r="X38" t="s">
        <v>12</v>
      </c>
      <c r="Y38">
        <v>1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390019.5</v>
      </c>
      <c r="AF38">
        <v>16</v>
      </c>
      <c r="AG38" s="1">
        <v>45807</v>
      </c>
      <c r="AH38" t="s">
        <v>41</v>
      </c>
      <c r="AI38" t="s">
        <v>4</v>
      </c>
      <c r="AJ38" t="s">
        <v>33</v>
      </c>
      <c r="AK38">
        <v>400000</v>
      </c>
      <c r="AL38">
        <v>0.2</v>
      </c>
      <c r="AM38">
        <v>0.17780000000000001</v>
      </c>
      <c r="AN38" t="s">
        <v>12</v>
      </c>
      <c r="AO38" t="s">
        <v>12</v>
      </c>
    </row>
    <row r="39" spans="1:41" x14ac:dyDescent="0.35">
      <c r="A39">
        <v>12621035</v>
      </c>
      <c r="B39">
        <v>202502</v>
      </c>
      <c r="C39">
        <v>20306989830</v>
      </c>
      <c r="D39" t="s">
        <v>143</v>
      </c>
      <c r="E39" t="s">
        <v>1</v>
      </c>
      <c r="F39">
        <v>10263143</v>
      </c>
      <c r="G39" t="s">
        <v>144</v>
      </c>
      <c r="H39" t="s">
        <v>145</v>
      </c>
      <c r="I39">
        <v>787073.3125</v>
      </c>
      <c r="J39" s="1">
        <v>45623</v>
      </c>
      <c r="K39">
        <v>12</v>
      </c>
      <c r="L39" t="s">
        <v>4</v>
      </c>
      <c r="M39" t="s">
        <v>4</v>
      </c>
      <c r="N39" t="s">
        <v>12</v>
      </c>
      <c r="O39">
        <v>202411</v>
      </c>
      <c r="P39">
        <v>800040</v>
      </c>
      <c r="Q39" t="s">
        <v>145</v>
      </c>
      <c r="R39" t="s">
        <v>146</v>
      </c>
      <c r="S39" t="s">
        <v>127</v>
      </c>
      <c r="T39" t="s">
        <v>147</v>
      </c>
      <c r="U39" t="s">
        <v>20</v>
      </c>
      <c r="V39">
        <v>1</v>
      </c>
      <c r="W39" t="s">
        <v>10</v>
      </c>
      <c r="X39" t="s">
        <v>12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12</v>
      </c>
      <c r="AG39" t="s">
        <v>12</v>
      </c>
      <c r="AH39" t="s">
        <v>12</v>
      </c>
      <c r="AI39" t="s">
        <v>12</v>
      </c>
      <c r="AJ39" t="s">
        <v>12</v>
      </c>
      <c r="AK39">
        <v>998997273</v>
      </c>
      <c r="AL39">
        <v>0</v>
      </c>
      <c r="AM39">
        <v>0</v>
      </c>
      <c r="AN39" t="s">
        <v>12</v>
      </c>
      <c r="AO39" t="s">
        <v>12</v>
      </c>
    </row>
    <row r="40" spans="1:41" x14ac:dyDescent="0.35">
      <c r="A40">
        <v>19682453</v>
      </c>
      <c r="B40">
        <v>202507</v>
      </c>
      <c r="C40">
        <v>20602733476</v>
      </c>
      <c r="D40" t="s">
        <v>148</v>
      </c>
      <c r="E40" t="s">
        <v>1</v>
      </c>
      <c r="F40">
        <v>10268300</v>
      </c>
      <c r="G40" t="s">
        <v>24</v>
      </c>
      <c r="H40" t="s">
        <v>149</v>
      </c>
      <c r="I40">
        <v>202040.84375</v>
      </c>
      <c r="J40" s="1">
        <v>45806</v>
      </c>
      <c r="K40">
        <v>16.5</v>
      </c>
      <c r="L40" t="s">
        <v>4</v>
      </c>
      <c r="M40" t="s">
        <v>4</v>
      </c>
      <c r="N40" t="s">
        <v>26</v>
      </c>
      <c r="O40">
        <v>202505</v>
      </c>
      <c r="P40">
        <v>350017.5</v>
      </c>
      <c r="Q40" t="s">
        <v>149</v>
      </c>
      <c r="R40" t="s">
        <v>150</v>
      </c>
      <c r="S40" t="s">
        <v>7</v>
      </c>
      <c r="T40" t="s">
        <v>8</v>
      </c>
      <c r="U40" t="s">
        <v>20</v>
      </c>
      <c r="V40">
        <v>1</v>
      </c>
      <c r="W40" t="s">
        <v>10</v>
      </c>
      <c r="X40" t="s">
        <v>12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12</v>
      </c>
      <c r="AG40" t="s">
        <v>12</v>
      </c>
      <c r="AH40" t="s">
        <v>12</v>
      </c>
      <c r="AI40" t="s">
        <v>12</v>
      </c>
      <c r="AJ40" t="s">
        <v>12</v>
      </c>
      <c r="AK40">
        <v>1</v>
      </c>
      <c r="AL40">
        <v>0.2238</v>
      </c>
      <c r="AM40" t="s">
        <v>12</v>
      </c>
      <c r="AN40" t="s">
        <v>12</v>
      </c>
      <c r="AO40" t="s">
        <v>12</v>
      </c>
    </row>
    <row r="41" spans="1:41" x14ac:dyDescent="0.35">
      <c r="A41">
        <v>21483461</v>
      </c>
      <c r="B41">
        <v>202511</v>
      </c>
      <c r="C41">
        <v>20608812785</v>
      </c>
      <c r="D41" t="s">
        <v>151</v>
      </c>
      <c r="E41" t="s">
        <v>1</v>
      </c>
      <c r="F41">
        <v>10265553</v>
      </c>
      <c r="G41" t="s">
        <v>28</v>
      </c>
      <c r="H41" t="s">
        <v>105</v>
      </c>
      <c r="I41">
        <v>16864.15234375</v>
      </c>
      <c r="J41" s="1">
        <v>45709</v>
      </c>
      <c r="K41">
        <v>18.5</v>
      </c>
      <c r="L41" t="s">
        <v>4</v>
      </c>
      <c r="M41" t="s">
        <v>4</v>
      </c>
      <c r="N41" t="s">
        <v>26</v>
      </c>
      <c r="O41">
        <v>202502</v>
      </c>
      <c r="P41">
        <v>65003.25</v>
      </c>
      <c r="Q41" t="s">
        <v>105</v>
      </c>
      <c r="R41" t="s">
        <v>106</v>
      </c>
      <c r="S41" t="s">
        <v>88</v>
      </c>
      <c r="T41" t="s">
        <v>89</v>
      </c>
      <c r="U41" t="s">
        <v>20</v>
      </c>
      <c r="V41">
        <v>2</v>
      </c>
      <c r="W41" t="s">
        <v>10</v>
      </c>
      <c r="X41" t="s">
        <v>51</v>
      </c>
      <c r="Y41">
        <v>1</v>
      </c>
      <c r="Z41">
        <v>1</v>
      </c>
      <c r="AA41">
        <v>0</v>
      </c>
      <c r="AB41">
        <v>0</v>
      </c>
      <c r="AC41">
        <v>1</v>
      </c>
      <c r="AD41">
        <v>1</v>
      </c>
      <c r="AE41">
        <v>0</v>
      </c>
      <c r="AF41" t="s">
        <v>12</v>
      </c>
      <c r="AG41" t="s">
        <v>12</v>
      </c>
      <c r="AH41" t="s">
        <v>12</v>
      </c>
      <c r="AI41" t="s">
        <v>12</v>
      </c>
      <c r="AJ41" t="s">
        <v>12</v>
      </c>
      <c r="AK41">
        <v>1</v>
      </c>
      <c r="AL41">
        <v>1</v>
      </c>
      <c r="AM41" t="s">
        <v>12</v>
      </c>
      <c r="AN41" t="s">
        <v>12</v>
      </c>
      <c r="AO41" t="s">
        <v>12</v>
      </c>
    </row>
    <row r="42" spans="1:41" x14ac:dyDescent="0.35">
      <c r="A42">
        <v>13234771</v>
      </c>
      <c r="B42">
        <v>202512</v>
      </c>
      <c r="C42">
        <v>20551620264</v>
      </c>
      <c r="D42" t="s">
        <v>152</v>
      </c>
      <c r="E42" t="s">
        <v>1</v>
      </c>
      <c r="F42">
        <v>10263057</v>
      </c>
      <c r="G42" t="s">
        <v>45</v>
      </c>
      <c r="H42" t="s">
        <v>153</v>
      </c>
      <c r="I42">
        <v>31986.435546875</v>
      </c>
      <c r="J42" s="1">
        <v>45622</v>
      </c>
      <c r="K42">
        <v>15.5</v>
      </c>
      <c r="L42" t="s">
        <v>37</v>
      </c>
      <c r="M42" t="s">
        <v>37</v>
      </c>
      <c r="N42" t="s">
        <v>47</v>
      </c>
      <c r="O42">
        <v>202411</v>
      </c>
      <c r="P42">
        <v>43330.15</v>
      </c>
      <c r="Q42" t="s">
        <v>153</v>
      </c>
      <c r="R42" t="s">
        <v>154</v>
      </c>
      <c r="S42" t="s">
        <v>88</v>
      </c>
      <c r="T42" t="s">
        <v>89</v>
      </c>
      <c r="U42" t="s">
        <v>70</v>
      </c>
      <c r="V42">
        <v>2</v>
      </c>
      <c r="W42" t="s">
        <v>10</v>
      </c>
      <c r="X42" t="s">
        <v>51</v>
      </c>
      <c r="Y42">
        <v>1</v>
      </c>
      <c r="Z42">
        <v>1</v>
      </c>
      <c r="AA42">
        <v>0</v>
      </c>
      <c r="AB42">
        <v>0</v>
      </c>
      <c r="AC42">
        <v>1</v>
      </c>
      <c r="AD42">
        <v>1</v>
      </c>
      <c r="AE42">
        <v>0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>
        <v>52000</v>
      </c>
      <c r="AL42">
        <v>0.19520000000000001</v>
      </c>
      <c r="AM42">
        <v>0.17519999999999999</v>
      </c>
      <c r="AN42" t="s">
        <v>12</v>
      </c>
      <c r="AO42" t="s">
        <v>12</v>
      </c>
    </row>
    <row r="43" spans="1:41" x14ac:dyDescent="0.35">
      <c r="A43">
        <v>12886449</v>
      </c>
      <c r="B43">
        <v>202511</v>
      </c>
      <c r="C43">
        <v>10422969212</v>
      </c>
      <c r="D43" t="s">
        <v>155</v>
      </c>
      <c r="E43">
        <v>42296921</v>
      </c>
      <c r="F43">
        <v>10259580</v>
      </c>
      <c r="G43" t="s">
        <v>45</v>
      </c>
      <c r="H43" t="s">
        <v>101</v>
      </c>
      <c r="I43">
        <v>1930.80432128906</v>
      </c>
      <c r="J43" s="1">
        <v>45530</v>
      </c>
      <c r="K43">
        <v>14.5</v>
      </c>
      <c r="L43" t="s">
        <v>37</v>
      </c>
      <c r="M43" t="s">
        <v>37</v>
      </c>
      <c r="N43" t="s">
        <v>47</v>
      </c>
      <c r="O43">
        <v>202408</v>
      </c>
      <c r="P43">
        <v>48002.400000000001</v>
      </c>
      <c r="Q43" t="s">
        <v>101</v>
      </c>
      <c r="R43" t="s">
        <v>103</v>
      </c>
      <c r="S43" t="s">
        <v>88</v>
      </c>
      <c r="T43" t="s">
        <v>89</v>
      </c>
      <c r="U43" t="s">
        <v>20</v>
      </c>
      <c r="V43">
        <v>2</v>
      </c>
      <c r="W43" t="s">
        <v>10</v>
      </c>
      <c r="X43" t="s">
        <v>59</v>
      </c>
      <c r="Y43">
        <v>1</v>
      </c>
      <c r="Z43">
        <v>1</v>
      </c>
      <c r="AA43">
        <v>0</v>
      </c>
      <c r="AB43">
        <v>0</v>
      </c>
      <c r="AC43">
        <v>1</v>
      </c>
      <c r="AD43">
        <v>1</v>
      </c>
      <c r="AE43">
        <v>0</v>
      </c>
      <c r="AF43" t="s">
        <v>12</v>
      </c>
      <c r="AG43" t="s">
        <v>12</v>
      </c>
      <c r="AH43" t="s">
        <v>12</v>
      </c>
      <c r="AI43" t="s">
        <v>12</v>
      </c>
      <c r="AJ43" t="s">
        <v>12</v>
      </c>
      <c r="AK43">
        <v>1</v>
      </c>
      <c r="AL43">
        <v>1</v>
      </c>
      <c r="AM43" t="s">
        <v>12</v>
      </c>
      <c r="AN43" t="s">
        <v>12</v>
      </c>
      <c r="AO43" t="s">
        <v>12</v>
      </c>
    </row>
    <row r="44" spans="1:41" x14ac:dyDescent="0.35">
      <c r="A44">
        <v>21253861</v>
      </c>
      <c r="B44">
        <v>202509</v>
      </c>
      <c r="C44">
        <v>20604946248</v>
      </c>
      <c r="D44" t="s">
        <v>156</v>
      </c>
      <c r="E44" t="s">
        <v>1</v>
      </c>
      <c r="F44">
        <v>10268118</v>
      </c>
      <c r="G44" t="s">
        <v>28</v>
      </c>
      <c r="H44" t="s">
        <v>149</v>
      </c>
      <c r="I44">
        <v>93647.5625</v>
      </c>
      <c r="J44" s="1">
        <v>45803</v>
      </c>
      <c r="K44">
        <v>17</v>
      </c>
      <c r="L44" t="s">
        <v>4</v>
      </c>
      <c r="M44" t="s">
        <v>4</v>
      </c>
      <c r="N44" t="s">
        <v>26</v>
      </c>
      <c r="O44">
        <v>202505</v>
      </c>
      <c r="P44">
        <v>120006</v>
      </c>
      <c r="Q44" t="s">
        <v>149</v>
      </c>
      <c r="R44" t="s">
        <v>150</v>
      </c>
      <c r="S44" t="s">
        <v>7</v>
      </c>
      <c r="T44" t="s">
        <v>8</v>
      </c>
      <c r="U44" t="s">
        <v>20</v>
      </c>
      <c r="V44">
        <v>1</v>
      </c>
      <c r="W44" t="s">
        <v>10</v>
      </c>
      <c r="X44" t="s">
        <v>22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12</v>
      </c>
      <c r="AG44" t="s">
        <v>12</v>
      </c>
      <c r="AH44" t="s">
        <v>12</v>
      </c>
      <c r="AI44" t="s">
        <v>12</v>
      </c>
      <c r="AJ44" t="s">
        <v>12</v>
      </c>
      <c r="AK44">
        <v>1</v>
      </c>
      <c r="AL44">
        <v>1</v>
      </c>
      <c r="AM44" t="s">
        <v>12</v>
      </c>
      <c r="AN44" t="s">
        <v>12</v>
      </c>
      <c r="AO44" t="s">
        <v>12</v>
      </c>
    </row>
    <row r="45" spans="1:41" x14ac:dyDescent="0.35">
      <c r="A45">
        <v>18649597</v>
      </c>
      <c r="B45">
        <v>202506</v>
      </c>
      <c r="C45">
        <v>20605999264</v>
      </c>
      <c r="D45" t="s">
        <v>157</v>
      </c>
      <c r="E45" t="s">
        <v>1</v>
      </c>
      <c r="F45">
        <v>10267004</v>
      </c>
      <c r="G45" t="s">
        <v>28</v>
      </c>
      <c r="H45" t="s">
        <v>61</v>
      </c>
      <c r="I45">
        <v>105586.34375</v>
      </c>
      <c r="J45" s="1">
        <v>45758</v>
      </c>
      <c r="K45">
        <v>18</v>
      </c>
      <c r="L45" t="s">
        <v>4</v>
      </c>
      <c r="M45" t="s">
        <v>4</v>
      </c>
      <c r="N45" t="s">
        <v>26</v>
      </c>
      <c r="O45">
        <v>202504</v>
      </c>
      <c r="P45">
        <v>110005.5</v>
      </c>
      <c r="Q45" t="s">
        <v>61</v>
      </c>
      <c r="R45" t="s">
        <v>62</v>
      </c>
      <c r="S45" t="s">
        <v>39</v>
      </c>
      <c r="T45" t="s">
        <v>40</v>
      </c>
      <c r="U45" t="s">
        <v>20</v>
      </c>
      <c r="V45">
        <v>1</v>
      </c>
      <c r="W45" t="s">
        <v>10</v>
      </c>
      <c r="X45" t="s">
        <v>12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12</v>
      </c>
      <c r="AG45" t="s">
        <v>12</v>
      </c>
      <c r="AH45" t="s">
        <v>12</v>
      </c>
      <c r="AI45" t="s">
        <v>12</v>
      </c>
      <c r="AJ45" t="s">
        <v>12</v>
      </c>
      <c r="AK45">
        <v>1</v>
      </c>
      <c r="AL45">
        <v>0.2233</v>
      </c>
      <c r="AM45" t="s">
        <v>12</v>
      </c>
      <c r="AN45" t="s">
        <v>12</v>
      </c>
      <c r="AO45" t="s">
        <v>12</v>
      </c>
    </row>
    <row r="46" spans="1:41" x14ac:dyDescent="0.35">
      <c r="A46">
        <v>18862431</v>
      </c>
      <c r="B46">
        <v>202510</v>
      </c>
      <c r="C46">
        <v>20341409951</v>
      </c>
      <c r="D46" t="s">
        <v>158</v>
      </c>
      <c r="E46" t="s">
        <v>1</v>
      </c>
      <c r="F46">
        <v>10265021</v>
      </c>
      <c r="G46" t="s">
        <v>24</v>
      </c>
      <c r="H46" t="s">
        <v>159</v>
      </c>
      <c r="I46">
        <v>23777.44921875</v>
      </c>
      <c r="J46" s="1">
        <v>45687</v>
      </c>
      <c r="K46">
        <v>21.200001</v>
      </c>
      <c r="L46" t="s">
        <v>37</v>
      </c>
      <c r="M46" t="s">
        <v>37</v>
      </c>
      <c r="N46" t="s">
        <v>98</v>
      </c>
      <c r="O46">
        <v>202501</v>
      </c>
      <c r="P46">
        <v>40002</v>
      </c>
      <c r="Q46" t="s">
        <v>12</v>
      </c>
      <c r="R46" t="s">
        <v>12</v>
      </c>
      <c r="S46" t="s">
        <v>12</v>
      </c>
      <c r="T46" t="s">
        <v>12</v>
      </c>
      <c r="U46" t="s">
        <v>41</v>
      </c>
      <c r="V46">
        <v>2</v>
      </c>
      <c r="W46" t="s">
        <v>10</v>
      </c>
      <c r="X46" t="s">
        <v>12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>
        <v>250000</v>
      </c>
      <c r="AL46">
        <v>0.2387</v>
      </c>
      <c r="AM46">
        <v>0.21870000000000001</v>
      </c>
      <c r="AN46" t="s">
        <v>12</v>
      </c>
      <c r="AO46" t="s">
        <v>12</v>
      </c>
    </row>
    <row r="47" spans="1:41" x14ac:dyDescent="0.35">
      <c r="A47">
        <v>21494486</v>
      </c>
      <c r="B47">
        <v>202510</v>
      </c>
      <c r="C47">
        <v>20605769447</v>
      </c>
      <c r="D47" t="s">
        <v>160</v>
      </c>
      <c r="E47" t="s">
        <v>1</v>
      </c>
      <c r="F47">
        <v>10265630</v>
      </c>
      <c r="G47" t="s">
        <v>28</v>
      </c>
      <c r="H47" t="s">
        <v>54</v>
      </c>
      <c r="I47">
        <v>45389.8359375</v>
      </c>
      <c r="J47" s="1">
        <v>45713</v>
      </c>
      <c r="K47">
        <v>18</v>
      </c>
      <c r="L47" t="s">
        <v>4</v>
      </c>
      <c r="M47" t="s">
        <v>75</v>
      </c>
      <c r="N47" t="s">
        <v>26</v>
      </c>
      <c r="O47">
        <v>202502</v>
      </c>
      <c r="P47">
        <v>70003.5</v>
      </c>
      <c r="Q47" t="s">
        <v>54</v>
      </c>
      <c r="R47" t="s">
        <v>55</v>
      </c>
      <c r="S47" t="s">
        <v>31</v>
      </c>
      <c r="T47" t="s">
        <v>32</v>
      </c>
      <c r="U47" t="s">
        <v>41</v>
      </c>
      <c r="V47">
        <v>1</v>
      </c>
      <c r="W47" t="s">
        <v>10</v>
      </c>
      <c r="X47" t="s">
        <v>12</v>
      </c>
      <c r="Y47">
        <v>1</v>
      </c>
      <c r="Z47">
        <v>1</v>
      </c>
      <c r="AA47">
        <v>0</v>
      </c>
      <c r="AB47">
        <v>0</v>
      </c>
      <c r="AC47">
        <v>1</v>
      </c>
      <c r="AD47">
        <v>1</v>
      </c>
      <c r="AE47">
        <v>0</v>
      </c>
      <c r="AF47" t="s">
        <v>12</v>
      </c>
      <c r="AG47" t="s">
        <v>12</v>
      </c>
      <c r="AH47" t="s">
        <v>12</v>
      </c>
      <c r="AI47" t="s">
        <v>12</v>
      </c>
      <c r="AJ47" t="s">
        <v>12</v>
      </c>
      <c r="AK47">
        <v>250000</v>
      </c>
      <c r="AL47">
        <v>0.21</v>
      </c>
      <c r="AM47">
        <v>0.19</v>
      </c>
      <c r="AN47" t="s">
        <v>12</v>
      </c>
      <c r="AO47" t="s">
        <v>12</v>
      </c>
    </row>
    <row r="48" spans="1:41" x14ac:dyDescent="0.35">
      <c r="A48">
        <v>20449425</v>
      </c>
      <c r="B48">
        <v>202504</v>
      </c>
      <c r="C48">
        <v>20601183537</v>
      </c>
      <c r="D48" t="s">
        <v>161</v>
      </c>
      <c r="E48" t="s">
        <v>1</v>
      </c>
      <c r="F48">
        <v>10246050</v>
      </c>
      <c r="G48" t="s">
        <v>24</v>
      </c>
      <c r="H48" t="s">
        <v>159</v>
      </c>
      <c r="I48">
        <v>13256.9375</v>
      </c>
      <c r="J48" s="1">
        <v>45257</v>
      </c>
      <c r="K48">
        <v>21</v>
      </c>
      <c r="L48" t="s">
        <v>4</v>
      </c>
      <c r="M48" t="s">
        <v>4</v>
      </c>
      <c r="N48" t="s">
        <v>26</v>
      </c>
      <c r="O48">
        <v>202311</v>
      </c>
      <c r="P48">
        <v>35001.75</v>
      </c>
      <c r="Q48" t="s">
        <v>12</v>
      </c>
      <c r="R48" t="s">
        <v>12</v>
      </c>
      <c r="S48" t="s">
        <v>12</v>
      </c>
      <c r="T48" t="s">
        <v>12</v>
      </c>
      <c r="U48" t="s">
        <v>12</v>
      </c>
      <c r="V48" t="s">
        <v>12</v>
      </c>
      <c r="W48" t="s">
        <v>12</v>
      </c>
      <c r="X48" t="s">
        <v>12</v>
      </c>
      <c r="Y48" t="s">
        <v>12</v>
      </c>
      <c r="Z48" t="s">
        <v>12</v>
      </c>
      <c r="AA48" t="s">
        <v>12</v>
      </c>
      <c r="AB48" t="s">
        <v>12</v>
      </c>
      <c r="AC48" t="s">
        <v>12</v>
      </c>
      <c r="AD48" t="s">
        <v>12</v>
      </c>
      <c r="AE48" t="s">
        <v>12</v>
      </c>
      <c r="AF48" t="s">
        <v>12</v>
      </c>
      <c r="AG48" t="s">
        <v>12</v>
      </c>
      <c r="AH48" t="s">
        <v>12</v>
      </c>
      <c r="AI48" t="s">
        <v>12</v>
      </c>
      <c r="AJ48" t="s">
        <v>12</v>
      </c>
      <c r="AK48" t="s">
        <v>12</v>
      </c>
      <c r="AL48" t="s">
        <v>12</v>
      </c>
      <c r="AM48" t="s">
        <v>12</v>
      </c>
      <c r="AN48" t="s">
        <v>12</v>
      </c>
      <c r="AO48" t="s">
        <v>12</v>
      </c>
    </row>
    <row r="49" spans="1:41" x14ac:dyDescent="0.35">
      <c r="A49">
        <v>14795590</v>
      </c>
      <c r="B49">
        <v>202509</v>
      </c>
      <c r="C49">
        <v>10461520427</v>
      </c>
      <c r="D49" t="s">
        <v>162</v>
      </c>
      <c r="E49">
        <v>46152042</v>
      </c>
      <c r="F49">
        <v>10270029</v>
      </c>
      <c r="G49" t="s">
        <v>100</v>
      </c>
      <c r="H49" t="s">
        <v>159</v>
      </c>
      <c r="I49">
        <v>181822.96875</v>
      </c>
      <c r="J49" s="1">
        <v>45868</v>
      </c>
      <c r="K49">
        <v>13.5</v>
      </c>
      <c r="L49" t="s">
        <v>37</v>
      </c>
      <c r="M49" t="s">
        <v>37</v>
      </c>
      <c r="N49" t="s">
        <v>102</v>
      </c>
      <c r="O49">
        <v>202507</v>
      </c>
      <c r="P49">
        <v>287514.34999999998</v>
      </c>
      <c r="Q49" t="s">
        <v>12</v>
      </c>
      <c r="R49" t="s">
        <v>12</v>
      </c>
      <c r="S49" t="s">
        <v>12</v>
      </c>
      <c r="T49" t="s">
        <v>12</v>
      </c>
      <c r="U49" t="s">
        <v>12</v>
      </c>
      <c r="V49" t="s">
        <v>12</v>
      </c>
      <c r="W49" t="s">
        <v>12</v>
      </c>
      <c r="X49" t="s">
        <v>12</v>
      </c>
      <c r="Y49" t="s">
        <v>12</v>
      </c>
      <c r="Z49" t="s">
        <v>12</v>
      </c>
      <c r="AA49" t="s">
        <v>12</v>
      </c>
      <c r="AB49" t="s">
        <v>12</v>
      </c>
      <c r="AC49" t="s">
        <v>12</v>
      </c>
      <c r="AD49" t="s">
        <v>12</v>
      </c>
      <c r="AE49" t="s">
        <v>12</v>
      </c>
      <c r="AF49" t="s">
        <v>12</v>
      </c>
      <c r="AG49" t="s">
        <v>12</v>
      </c>
      <c r="AH49" t="s">
        <v>12</v>
      </c>
      <c r="AI49" t="s">
        <v>12</v>
      </c>
      <c r="AJ49" t="s">
        <v>12</v>
      </c>
      <c r="AK49" t="s">
        <v>12</v>
      </c>
      <c r="AL49" t="s">
        <v>12</v>
      </c>
      <c r="AM49" t="s">
        <v>12</v>
      </c>
      <c r="AN49" t="s">
        <v>12</v>
      </c>
      <c r="AO49" t="s">
        <v>12</v>
      </c>
    </row>
    <row r="50" spans="1:41" x14ac:dyDescent="0.35">
      <c r="A50">
        <v>21395995</v>
      </c>
      <c r="B50">
        <v>202505</v>
      </c>
      <c r="C50">
        <v>20602305296</v>
      </c>
      <c r="D50" t="s">
        <v>163</v>
      </c>
      <c r="E50" t="s">
        <v>1</v>
      </c>
      <c r="F50">
        <v>10264438</v>
      </c>
      <c r="G50" t="s">
        <v>14</v>
      </c>
      <c r="H50" t="s">
        <v>105</v>
      </c>
      <c r="I50">
        <v>64454.65234375</v>
      </c>
      <c r="J50" s="1">
        <v>45660</v>
      </c>
      <c r="K50">
        <v>19.200001</v>
      </c>
      <c r="L50" t="s">
        <v>37</v>
      </c>
      <c r="M50" t="s">
        <v>75</v>
      </c>
      <c r="N50" t="s">
        <v>16</v>
      </c>
      <c r="O50">
        <v>202501</v>
      </c>
      <c r="P50">
        <v>75303.75</v>
      </c>
      <c r="Q50" t="s">
        <v>105</v>
      </c>
      <c r="R50" t="s">
        <v>164</v>
      </c>
      <c r="S50" t="s">
        <v>88</v>
      </c>
      <c r="T50" t="s">
        <v>89</v>
      </c>
      <c r="U50" t="s">
        <v>20</v>
      </c>
      <c r="V50">
        <v>2</v>
      </c>
      <c r="W50" t="s">
        <v>10</v>
      </c>
      <c r="X50" t="s">
        <v>12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12</v>
      </c>
      <c r="AG50" t="s">
        <v>12</v>
      </c>
      <c r="AH50" t="s">
        <v>12</v>
      </c>
      <c r="AI50" t="s">
        <v>12</v>
      </c>
      <c r="AJ50" t="s">
        <v>12</v>
      </c>
      <c r="AK50">
        <v>0</v>
      </c>
      <c r="AL50">
        <v>0</v>
      </c>
      <c r="AM50">
        <v>0</v>
      </c>
      <c r="AN50" t="s">
        <v>12</v>
      </c>
      <c r="AO50" t="s">
        <v>12</v>
      </c>
    </row>
    <row r="51" spans="1:41" x14ac:dyDescent="0.35">
      <c r="A51">
        <v>20801704</v>
      </c>
      <c r="B51">
        <v>202601</v>
      </c>
      <c r="C51">
        <v>20601355885</v>
      </c>
      <c r="D51" t="s">
        <v>165</v>
      </c>
      <c r="E51" t="s">
        <v>1</v>
      </c>
      <c r="F51">
        <v>10273556</v>
      </c>
      <c r="G51" t="s">
        <v>14</v>
      </c>
      <c r="H51" t="s">
        <v>166</v>
      </c>
      <c r="I51">
        <v>47132.23828125</v>
      </c>
      <c r="J51" s="1">
        <v>45988</v>
      </c>
      <c r="K51">
        <v>16</v>
      </c>
      <c r="L51" t="s">
        <v>37</v>
      </c>
      <c r="M51" t="s">
        <v>37</v>
      </c>
      <c r="N51" t="s">
        <v>16</v>
      </c>
      <c r="O51">
        <v>202511</v>
      </c>
      <c r="P51">
        <v>50802.5</v>
      </c>
      <c r="Q51" t="s">
        <v>166</v>
      </c>
      <c r="R51" t="s">
        <v>167</v>
      </c>
      <c r="S51" t="s">
        <v>111</v>
      </c>
      <c r="T51" t="s">
        <v>112</v>
      </c>
      <c r="U51" t="s">
        <v>168</v>
      </c>
      <c r="V51">
        <v>2</v>
      </c>
      <c r="W51" t="s">
        <v>21</v>
      </c>
      <c r="X51" t="s">
        <v>11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12</v>
      </c>
      <c r="AG51" t="s">
        <v>12</v>
      </c>
      <c r="AH51" t="s">
        <v>12</v>
      </c>
      <c r="AI51" t="s">
        <v>12</v>
      </c>
      <c r="AJ51" t="s">
        <v>12</v>
      </c>
      <c r="AK51">
        <v>0</v>
      </c>
      <c r="AL51">
        <v>0</v>
      </c>
      <c r="AM51">
        <v>0</v>
      </c>
      <c r="AN51" t="s">
        <v>12</v>
      </c>
      <c r="AO51" t="s">
        <v>12</v>
      </c>
    </row>
    <row r="52" spans="1:41" x14ac:dyDescent="0.35">
      <c r="A52">
        <v>13243962</v>
      </c>
      <c r="B52">
        <v>202510</v>
      </c>
      <c r="C52">
        <v>10452573356</v>
      </c>
      <c r="D52" t="s">
        <v>169</v>
      </c>
      <c r="E52">
        <v>45257335</v>
      </c>
      <c r="F52">
        <v>10266859</v>
      </c>
      <c r="G52" t="s">
        <v>100</v>
      </c>
      <c r="H52" t="s">
        <v>170</v>
      </c>
      <c r="I52">
        <v>54824.0078125</v>
      </c>
      <c r="J52" s="1">
        <v>45750</v>
      </c>
      <c r="K52">
        <v>18.2</v>
      </c>
      <c r="L52" t="s">
        <v>37</v>
      </c>
      <c r="M52" t="s">
        <v>37</v>
      </c>
      <c r="N52" t="s">
        <v>102</v>
      </c>
      <c r="O52">
        <v>202504</v>
      </c>
      <c r="P52">
        <v>70103.5</v>
      </c>
      <c r="Q52" t="s">
        <v>170</v>
      </c>
      <c r="R52" t="s">
        <v>171</v>
      </c>
      <c r="S52" t="s">
        <v>111</v>
      </c>
      <c r="T52" t="s">
        <v>112</v>
      </c>
      <c r="U52" t="s">
        <v>20</v>
      </c>
      <c r="V52">
        <v>2</v>
      </c>
      <c r="W52" t="s">
        <v>10</v>
      </c>
      <c r="X52" t="s">
        <v>12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12</v>
      </c>
      <c r="AG52" t="s">
        <v>12</v>
      </c>
      <c r="AH52" t="s">
        <v>12</v>
      </c>
      <c r="AI52" t="s">
        <v>12</v>
      </c>
      <c r="AJ52" t="s">
        <v>12</v>
      </c>
      <c r="AK52">
        <v>1</v>
      </c>
      <c r="AL52">
        <v>1</v>
      </c>
      <c r="AM52" t="s">
        <v>12</v>
      </c>
      <c r="AN52" t="s">
        <v>12</v>
      </c>
      <c r="AO52" t="s">
        <v>12</v>
      </c>
    </row>
    <row r="53" spans="1:41" x14ac:dyDescent="0.35">
      <c r="A53">
        <v>13979132</v>
      </c>
      <c r="B53">
        <v>202509</v>
      </c>
      <c r="C53">
        <v>10426413863</v>
      </c>
      <c r="D53" t="s">
        <v>172</v>
      </c>
      <c r="E53">
        <v>42641386</v>
      </c>
      <c r="F53">
        <v>10270125</v>
      </c>
      <c r="G53" t="s">
        <v>24</v>
      </c>
      <c r="H53" t="s">
        <v>173</v>
      </c>
      <c r="I53">
        <v>37400.66796875</v>
      </c>
      <c r="J53" s="1">
        <v>45869</v>
      </c>
      <c r="K53">
        <v>25</v>
      </c>
      <c r="L53" t="s">
        <v>37</v>
      </c>
      <c r="M53" t="s">
        <v>37</v>
      </c>
      <c r="N53" t="s">
        <v>98</v>
      </c>
      <c r="O53">
        <v>202507</v>
      </c>
      <c r="P53">
        <v>39001.949999999997</v>
      </c>
      <c r="Q53" t="s">
        <v>12</v>
      </c>
      <c r="R53" t="s">
        <v>12</v>
      </c>
      <c r="S53" t="s">
        <v>12</v>
      </c>
      <c r="T53" t="s">
        <v>12</v>
      </c>
      <c r="U53" t="s">
        <v>12</v>
      </c>
      <c r="V53" t="s">
        <v>12</v>
      </c>
      <c r="W53" t="s">
        <v>12</v>
      </c>
      <c r="X53" t="s">
        <v>12</v>
      </c>
      <c r="Y53" t="s">
        <v>12</v>
      </c>
      <c r="Z53" t="s">
        <v>12</v>
      </c>
      <c r="AA53" t="s">
        <v>12</v>
      </c>
      <c r="AB53" t="s">
        <v>12</v>
      </c>
      <c r="AC53" t="s">
        <v>12</v>
      </c>
      <c r="AD53" t="s">
        <v>12</v>
      </c>
      <c r="AE53" t="s">
        <v>12</v>
      </c>
      <c r="AF53" t="s">
        <v>12</v>
      </c>
      <c r="AG53" t="s">
        <v>12</v>
      </c>
      <c r="AH53" t="s">
        <v>12</v>
      </c>
      <c r="AI53" t="s">
        <v>12</v>
      </c>
      <c r="AJ53" t="s">
        <v>12</v>
      </c>
      <c r="AK53" t="s">
        <v>12</v>
      </c>
      <c r="AL53" t="s">
        <v>12</v>
      </c>
      <c r="AM53" t="s">
        <v>12</v>
      </c>
      <c r="AN53" t="s">
        <v>12</v>
      </c>
      <c r="AO53" t="s">
        <v>12</v>
      </c>
    </row>
    <row r="54" spans="1:41" x14ac:dyDescent="0.35">
      <c r="A54">
        <v>17194347</v>
      </c>
      <c r="B54">
        <v>202602</v>
      </c>
      <c r="C54">
        <v>20524991943</v>
      </c>
      <c r="D54" t="s">
        <v>174</v>
      </c>
      <c r="E54" t="s">
        <v>1</v>
      </c>
      <c r="F54">
        <v>10261443</v>
      </c>
      <c r="G54" t="s">
        <v>45</v>
      </c>
      <c r="H54" t="s">
        <v>127</v>
      </c>
      <c r="I54">
        <v>55630.49609375</v>
      </c>
      <c r="J54" s="1">
        <v>45576</v>
      </c>
      <c r="K54">
        <v>15</v>
      </c>
      <c r="L54" t="s">
        <v>4</v>
      </c>
      <c r="M54" t="s">
        <v>4</v>
      </c>
      <c r="N54" t="s">
        <v>47</v>
      </c>
      <c r="O54">
        <v>202410</v>
      </c>
      <c r="P54">
        <v>90004.5</v>
      </c>
      <c r="Q54" t="s">
        <v>175</v>
      </c>
      <c r="R54" t="s">
        <v>176</v>
      </c>
      <c r="S54" t="s">
        <v>127</v>
      </c>
      <c r="T54" t="s">
        <v>147</v>
      </c>
      <c r="U54" t="s">
        <v>177</v>
      </c>
      <c r="V54">
        <v>1</v>
      </c>
      <c r="W54" t="s">
        <v>10</v>
      </c>
      <c r="X54" t="s">
        <v>11</v>
      </c>
      <c r="Y54">
        <v>1</v>
      </c>
      <c r="Z54">
        <v>1</v>
      </c>
      <c r="AA54">
        <v>0</v>
      </c>
      <c r="AB54">
        <v>0</v>
      </c>
      <c r="AC54">
        <v>1</v>
      </c>
      <c r="AD54">
        <v>1</v>
      </c>
      <c r="AE54">
        <v>0</v>
      </c>
      <c r="AF54" t="s">
        <v>12</v>
      </c>
      <c r="AG54" t="s">
        <v>12</v>
      </c>
      <c r="AH54" t="s">
        <v>12</v>
      </c>
      <c r="AI54" t="s">
        <v>12</v>
      </c>
      <c r="AJ54" t="s">
        <v>12</v>
      </c>
      <c r="AK54">
        <v>500000</v>
      </c>
      <c r="AL54">
        <v>0.15609999999999999</v>
      </c>
      <c r="AM54">
        <v>0.1361</v>
      </c>
      <c r="AN54" t="s">
        <v>12</v>
      </c>
      <c r="AO54" t="s">
        <v>12</v>
      </c>
    </row>
    <row r="55" spans="1:41" x14ac:dyDescent="0.35">
      <c r="A55">
        <v>20014995</v>
      </c>
      <c r="B55">
        <v>202510</v>
      </c>
      <c r="C55">
        <v>10472078521</v>
      </c>
      <c r="D55" t="s">
        <v>178</v>
      </c>
      <c r="E55">
        <v>47207852</v>
      </c>
      <c r="F55">
        <v>10269181</v>
      </c>
      <c r="G55" t="s">
        <v>68</v>
      </c>
      <c r="H55" t="s">
        <v>57</v>
      </c>
      <c r="I55">
        <v>174734.078125</v>
      </c>
      <c r="J55" s="1">
        <v>45835</v>
      </c>
      <c r="K55">
        <v>16.5</v>
      </c>
      <c r="L55" t="s">
        <v>4</v>
      </c>
      <c r="M55" t="s">
        <v>4</v>
      </c>
      <c r="N55" t="s">
        <v>70</v>
      </c>
      <c r="O55">
        <v>202506</v>
      </c>
      <c r="P55">
        <v>195509.75</v>
      </c>
      <c r="Q55" t="s">
        <v>12</v>
      </c>
      <c r="R55" t="s">
        <v>12</v>
      </c>
      <c r="S55" t="s">
        <v>12</v>
      </c>
      <c r="T55" t="s">
        <v>12</v>
      </c>
      <c r="U55" t="s">
        <v>12</v>
      </c>
      <c r="V55" t="s">
        <v>12</v>
      </c>
      <c r="W55" t="s">
        <v>12</v>
      </c>
      <c r="X55" t="s">
        <v>12</v>
      </c>
      <c r="Y55" t="s">
        <v>12</v>
      </c>
      <c r="Z55" t="s">
        <v>12</v>
      </c>
      <c r="AA55" t="s">
        <v>12</v>
      </c>
      <c r="AB55" t="s">
        <v>12</v>
      </c>
      <c r="AC55" t="s">
        <v>12</v>
      </c>
      <c r="AD55" t="s">
        <v>12</v>
      </c>
      <c r="AE55" t="s">
        <v>12</v>
      </c>
      <c r="AF55" t="s">
        <v>12</v>
      </c>
      <c r="AG55" t="s">
        <v>12</v>
      </c>
      <c r="AH55" t="s">
        <v>12</v>
      </c>
      <c r="AI55" t="s">
        <v>12</v>
      </c>
      <c r="AJ55" t="s">
        <v>12</v>
      </c>
      <c r="AK55" t="s">
        <v>12</v>
      </c>
      <c r="AL55" t="s">
        <v>12</v>
      </c>
      <c r="AM55" t="s">
        <v>12</v>
      </c>
      <c r="AN55" t="s">
        <v>12</v>
      </c>
      <c r="AO55" t="s">
        <v>12</v>
      </c>
    </row>
    <row r="56" spans="1:41" x14ac:dyDescent="0.35">
      <c r="A56">
        <v>11754821</v>
      </c>
      <c r="B56">
        <v>202512</v>
      </c>
      <c r="C56">
        <v>20522737730</v>
      </c>
      <c r="D56" t="s">
        <v>179</v>
      </c>
      <c r="E56" t="s">
        <v>1</v>
      </c>
      <c r="F56">
        <v>10271712</v>
      </c>
      <c r="G56" t="s">
        <v>78</v>
      </c>
      <c r="H56" t="s">
        <v>93</v>
      </c>
      <c r="I56">
        <v>233650.203125</v>
      </c>
      <c r="J56" s="1">
        <v>45925</v>
      </c>
      <c r="K56">
        <v>18</v>
      </c>
      <c r="L56" t="s">
        <v>4</v>
      </c>
      <c r="M56" t="s">
        <v>4</v>
      </c>
      <c r="N56" t="s">
        <v>41</v>
      </c>
      <c r="O56">
        <v>202509</v>
      </c>
      <c r="P56">
        <v>250012.5</v>
      </c>
      <c r="Q56" t="s">
        <v>93</v>
      </c>
      <c r="R56" t="s">
        <v>94</v>
      </c>
      <c r="S56" t="s">
        <v>7</v>
      </c>
      <c r="T56" t="s">
        <v>8</v>
      </c>
      <c r="U56" t="s">
        <v>9</v>
      </c>
      <c r="V56">
        <v>1</v>
      </c>
      <c r="W56" t="s">
        <v>10</v>
      </c>
      <c r="X56" t="s">
        <v>22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12</v>
      </c>
      <c r="AG56" t="s">
        <v>12</v>
      </c>
      <c r="AH56" t="s">
        <v>12</v>
      </c>
      <c r="AI56" t="s">
        <v>12</v>
      </c>
      <c r="AJ56" t="s">
        <v>12</v>
      </c>
      <c r="AK56">
        <v>0</v>
      </c>
      <c r="AL56">
        <v>0</v>
      </c>
      <c r="AM56">
        <v>0</v>
      </c>
      <c r="AN56" t="s">
        <v>12</v>
      </c>
      <c r="AO56" t="s">
        <v>12</v>
      </c>
    </row>
    <row r="57" spans="1:41" x14ac:dyDescent="0.35">
      <c r="A57">
        <v>21717332</v>
      </c>
      <c r="B57">
        <v>202601</v>
      </c>
      <c r="C57">
        <v>20605619071</v>
      </c>
      <c r="D57" t="s">
        <v>180</v>
      </c>
      <c r="E57" t="s">
        <v>1</v>
      </c>
      <c r="F57">
        <v>10269272</v>
      </c>
      <c r="G57" t="s">
        <v>100</v>
      </c>
      <c r="H57" t="s">
        <v>49</v>
      </c>
      <c r="I57">
        <v>24803.2578125</v>
      </c>
      <c r="J57" s="1">
        <v>45838</v>
      </c>
      <c r="K57">
        <v>16</v>
      </c>
      <c r="L57" t="s">
        <v>37</v>
      </c>
      <c r="M57" t="s">
        <v>37</v>
      </c>
      <c r="N57" t="s">
        <v>102</v>
      </c>
      <c r="O57">
        <v>202506</v>
      </c>
      <c r="P57">
        <v>83504.149999999994</v>
      </c>
      <c r="Q57" t="s">
        <v>46</v>
      </c>
      <c r="R57" t="s">
        <v>48</v>
      </c>
      <c r="S57" t="s">
        <v>49</v>
      </c>
      <c r="T57" t="s">
        <v>50</v>
      </c>
      <c r="U57" t="s">
        <v>41</v>
      </c>
      <c r="V57">
        <v>1</v>
      </c>
      <c r="W57" t="s">
        <v>10</v>
      </c>
      <c r="X57" t="s">
        <v>51</v>
      </c>
      <c r="Y57">
        <v>1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0</v>
      </c>
      <c r="AF57" t="s">
        <v>12</v>
      </c>
      <c r="AG57" t="s">
        <v>12</v>
      </c>
      <c r="AH57" t="s">
        <v>12</v>
      </c>
      <c r="AI57" t="s">
        <v>12</v>
      </c>
      <c r="AJ57" t="s">
        <v>12</v>
      </c>
      <c r="AK57">
        <v>250000</v>
      </c>
      <c r="AL57">
        <v>0.21</v>
      </c>
      <c r="AM57">
        <v>0.19</v>
      </c>
      <c r="AN57" t="s">
        <v>12</v>
      </c>
      <c r="AO57" t="s">
        <v>12</v>
      </c>
    </row>
    <row r="58" spans="1:41" x14ac:dyDescent="0.35">
      <c r="A58">
        <v>18828510</v>
      </c>
      <c r="B58">
        <v>202508</v>
      </c>
      <c r="C58">
        <v>20608344421</v>
      </c>
      <c r="D58" t="s">
        <v>181</v>
      </c>
      <c r="E58" t="s">
        <v>1</v>
      </c>
      <c r="F58">
        <v>10267775</v>
      </c>
      <c r="G58" t="s">
        <v>68</v>
      </c>
      <c r="H58" t="s">
        <v>93</v>
      </c>
      <c r="I58">
        <v>134056.03125</v>
      </c>
      <c r="J58" s="1">
        <v>45791</v>
      </c>
      <c r="K58">
        <v>18</v>
      </c>
      <c r="L58" t="s">
        <v>4</v>
      </c>
      <c r="M58" t="s">
        <v>4</v>
      </c>
      <c r="N58" t="s">
        <v>20</v>
      </c>
      <c r="O58">
        <v>202505</v>
      </c>
      <c r="P58">
        <v>150007.5</v>
      </c>
      <c r="Q58" t="s">
        <v>93</v>
      </c>
      <c r="R58" t="s">
        <v>94</v>
      </c>
      <c r="S58" t="s">
        <v>7</v>
      </c>
      <c r="T58" t="s">
        <v>8</v>
      </c>
      <c r="U58" t="s">
        <v>20</v>
      </c>
      <c r="V58">
        <v>1</v>
      </c>
      <c r="W58" t="s">
        <v>10</v>
      </c>
      <c r="X58" t="s">
        <v>12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12</v>
      </c>
      <c r="AG58" t="s">
        <v>12</v>
      </c>
      <c r="AH58" t="s">
        <v>12</v>
      </c>
      <c r="AI58" t="s">
        <v>12</v>
      </c>
      <c r="AJ58" t="s">
        <v>12</v>
      </c>
      <c r="AK58">
        <v>1</v>
      </c>
      <c r="AL58">
        <v>0.24329999999999999</v>
      </c>
      <c r="AM58">
        <v>0</v>
      </c>
      <c r="AN58" t="s">
        <v>12</v>
      </c>
      <c r="AO58" t="s">
        <v>12</v>
      </c>
    </row>
    <row r="59" spans="1:41" x14ac:dyDescent="0.35">
      <c r="A59">
        <v>21128446</v>
      </c>
      <c r="B59">
        <v>202502</v>
      </c>
      <c r="C59">
        <v>10104433958</v>
      </c>
      <c r="D59" t="s">
        <v>182</v>
      </c>
      <c r="E59">
        <v>10443395</v>
      </c>
      <c r="F59">
        <v>10259761</v>
      </c>
      <c r="G59" t="s">
        <v>65</v>
      </c>
      <c r="H59" t="s">
        <v>183</v>
      </c>
      <c r="I59">
        <v>53532.6328125</v>
      </c>
      <c r="J59" s="1">
        <v>45532</v>
      </c>
      <c r="K59">
        <v>15.5</v>
      </c>
      <c r="L59" t="s">
        <v>37</v>
      </c>
      <c r="M59" t="s">
        <v>37</v>
      </c>
      <c r="N59" t="s">
        <v>47</v>
      </c>
      <c r="O59">
        <v>202408</v>
      </c>
      <c r="P59">
        <v>53532.65</v>
      </c>
      <c r="Q59" t="s">
        <v>12</v>
      </c>
      <c r="R59" t="s">
        <v>12</v>
      </c>
      <c r="S59" t="s">
        <v>12</v>
      </c>
      <c r="T59" t="s">
        <v>12</v>
      </c>
      <c r="U59" t="s">
        <v>12</v>
      </c>
      <c r="V59" t="s">
        <v>12</v>
      </c>
      <c r="W59" t="s">
        <v>12</v>
      </c>
      <c r="X59" t="s">
        <v>12</v>
      </c>
      <c r="Y59" t="s">
        <v>12</v>
      </c>
      <c r="Z59" t="s">
        <v>12</v>
      </c>
      <c r="AA59" t="s">
        <v>12</v>
      </c>
      <c r="AB59" t="s">
        <v>12</v>
      </c>
      <c r="AC59" t="s">
        <v>12</v>
      </c>
      <c r="AD59" t="s">
        <v>12</v>
      </c>
      <c r="AE59" t="s">
        <v>12</v>
      </c>
      <c r="AF59" t="s">
        <v>12</v>
      </c>
      <c r="AG59" t="s">
        <v>12</v>
      </c>
      <c r="AH59" t="s">
        <v>12</v>
      </c>
      <c r="AI59" t="s">
        <v>12</v>
      </c>
      <c r="AJ59" t="s">
        <v>12</v>
      </c>
      <c r="AK59" t="s">
        <v>12</v>
      </c>
      <c r="AL59" t="s">
        <v>12</v>
      </c>
      <c r="AM59" t="s">
        <v>12</v>
      </c>
      <c r="AN59" t="s">
        <v>12</v>
      </c>
      <c r="AO59" t="s">
        <v>12</v>
      </c>
    </row>
    <row r="60" spans="1:41" x14ac:dyDescent="0.35">
      <c r="A60">
        <v>10926000</v>
      </c>
      <c r="B60">
        <v>202504</v>
      </c>
      <c r="C60">
        <v>10442099451</v>
      </c>
      <c r="D60" t="s">
        <v>184</v>
      </c>
      <c r="E60">
        <v>44209945</v>
      </c>
      <c r="F60">
        <v>10265194</v>
      </c>
      <c r="G60" t="s">
        <v>100</v>
      </c>
      <c r="H60" t="s">
        <v>185</v>
      </c>
      <c r="I60">
        <v>54813.17578125</v>
      </c>
      <c r="J60" s="1">
        <v>45698</v>
      </c>
      <c r="K60">
        <v>21</v>
      </c>
      <c r="L60" t="s">
        <v>37</v>
      </c>
      <c r="M60" t="s">
        <v>37</v>
      </c>
      <c r="N60" t="s">
        <v>102</v>
      </c>
      <c r="O60">
        <v>202502</v>
      </c>
      <c r="P60">
        <v>58871.4</v>
      </c>
      <c r="Q60" t="s">
        <v>12</v>
      </c>
      <c r="R60" t="s">
        <v>12</v>
      </c>
      <c r="S60" t="s">
        <v>12</v>
      </c>
      <c r="T60" t="s">
        <v>12</v>
      </c>
      <c r="U60" t="s">
        <v>12</v>
      </c>
      <c r="V60" t="s">
        <v>12</v>
      </c>
      <c r="W60" t="s">
        <v>12</v>
      </c>
      <c r="X60" t="s">
        <v>12</v>
      </c>
      <c r="Y60" t="s">
        <v>12</v>
      </c>
      <c r="Z60" t="s">
        <v>12</v>
      </c>
      <c r="AA60" t="s">
        <v>12</v>
      </c>
      <c r="AB60" t="s">
        <v>12</v>
      </c>
      <c r="AC60" t="s">
        <v>12</v>
      </c>
      <c r="AD60" t="s">
        <v>12</v>
      </c>
      <c r="AE60" t="s">
        <v>12</v>
      </c>
      <c r="AF60" t="s">
        <v>12</v>
      </c>
      <c r="AG60" t="s">
        <v>12</v>
      </c>
      <c r="AH60" t="s">
        <v>12</v>
      </c>
      <c r="AI60" t="s">
        <v>12</v>
      </c>
      <c r="AJ60" t="s">
        <v>12</v>
      </c>
      <c r="AK60" t="s">
        <v>12</v>
      </c>
      <c r="AL60" t="s">
        <v>12</v>
      </c>
      <c r="AM60" t="s">
        <v>12</v>
      </c>
      <c r="AN60" t="s">
        <v>12</v>
      </c>
      <c r="AO60" t="s">
        <v>12</v>
      </c>
    </row>
    <row r="61" spans="1:41" x14ac:dyDescent="0.35">
      <c r="A61">
        <v>19086186</v>
      </c>
      <c r="B61">
        <v>202503</v>
      </c>
      <c r="C61">
        <v>10447929193</v>
      </c>
      <c r="D61" t="s">
        <v>186</v>
      </c>
      <c r="E61">
        <v>44792919</v>
      </c>
      <c r="F61">
        <v>10264876</v>
      </c>
      <c r="G61" t="s">
        <v>14</v>
      </c>
      <c r="H61" t="s">
        <v>187</v>
      </c>
      <c r="I61">
        <v>27845.8046875</v>
      </c>
      <c r="J61" s="1">
        <v>45685</v>
      </c>
      <c r="K61">
        <v>18.2</v>
      </c>
      <c r="L61" t="s">
        <v>37</v>
      </c>
      <c r="M61" t="s">
        <v>37</v>
      </c>
      <c r="N61" t="s">
        <v>16</v>
      </c>
      <c r="O61">
        <v>202501</v>
      </c>
      <c r="P61">
        <v>30001.5</v>
      </c>
      <c r="Q61" t="s">
        <v>12</v>
      </c>
      <c r="R61" t="s">
        <v>12</v>
      </c>
      <c r="S61" t="s">
        <v>12</v>
      </c>
      <c r="T61" t="s">
        <v>12</v>
      </c>
      <c r="U61" t="s">
        <v>12</v>
      </c>
      <c r="V61" t="s">
        <v>12</v>
      </c>
      <c r="W61" t="s">
        <v>12</v>
      </c>
      <c r="X61" t="s">
        <v>12</v>
      </c>
      <c r="Y61" t="s">
        <v>12</v>
      </c>
      <c r="Z61" t="s">
        <v>12</v>
      </c>
      <c r="AA61" t="s">
        <v>12</v>
      </c>
      <c r="AB61" t="s">
        <v>12</v>
      </c>
      <c r="AC61" t="s">
        <v>12</v>
      </c>
      <c r="AD61" t="s">
        <v>12</v>
      </c>
      <c r="AE61" t="s">
        <v>12</v>
      </c>
      <c r="AF61" t="s">
        <v>12</v>
      </c>
      <c r="AG61" t="s">
        <v>12</v>
      </c>
      <c r="AH61" t="s">
        <v>12</v>
      </c>
      <c r="AI61" t="s">
        <v>12</v>
      </c>
      <c r="AJ61" t="s">
        <v>12</v>
      </c>
      <c r="AK61" t="s">
        <v>12</v>
      </c>
      <c r="AL61" t="s">
        <v>12</v>
      </c>
      <c r="AM61" t="s">
        <v>12</v>
      </c>
      <c r="AN61" t="s">
        <v>12</v>
      </c>
      <c r="AO61" t="s">
        <v>12</v>
      </c>
    </row>
    <row r="62" spans="1:41" x14ac:dyDescent="0.35">
      <c r="A62">
        <v>19285022</v>
      </c>
      <c r="B62">
        <v>202602</v>
      </c>
      <c r="C62">
        <v>20609827948</v>
      </c>
      <c r="D62" t="s">
        <v>188</v>
      </c>
      <c r="E62" t="s">
        <v>1</v>
      </c>
      <c r="F62">
        <v>10264037</v>
      </c>
      <c r="G62" t="s">
        <v>92</v>
      </c>
      <c r="H62" t="s">
        <v>39</v>
      </c>
      <c r="I62">
        <v>24087.0546875</v>
      </c>
      <c r="J62" s="1">
        <v>45646</v>
      </c>
      <c r="K62">
        <v>18.879999000000002</v>
      </c>
      <c r="L62" t="s">
        <v>4</v>
      </c>
      <c r="M62" t="s">
        <v>4</v>
      </c>
      <c r="N62" t="s">
        <v>41</v>
      </c>
      <c r="O62">
        <v>202412</v>
      </c>
      <c r="P62">
        <v>130006.5</v>
      </c>
      <c r="Q62" t="s">
        <v>12</v>
      </c>
      <c r="R62" t="s">
        <v>12</v>
      </c>
      <c r="S62" t="s">
        <v>12</v>
      </c>
      <c r="T62" t="s">
        <v>12</v>
      </c>
      <c r="U62" t="s">
        <v>12</v>
      </c>
      <c r="V62" t="s">
        <v>12</v>
      </c>
      <c r="W62" t="s">
        <v>12</v>
      </c>
      <c r="X62" t="s">
        <v>12</v>
      </c>
      <c r="Y62" t="s">
        <v>12</v>
      </c>
      <c r="Z62" t="s">
        <v>12</v>
      </c>
      <c r="AA62" t="s">
        <v>12</v>
      </c>
      <c r="AB62" t="s">
        <v>12</v>
      </c>
      <c r="AC62" t="s">
        <v>12</v>
      </c>
      <c r="AD62" t="s">
        <v>12</v>
      </c>
      <c r="AE62" t="s">
        <v>12</v>
      </c>
      <c r="AF62" t="s">
        <v>12</v>
      </c>
      <c r="AG62" t="s">
        <v>12</v>
      </c>
      <c r="AH62" t="s">
        <v>12</v>
      </c>
      <c r="AI62" t="s">
        <v>12</v>
      </c>
      <c r="AJ62" t="s">
        <v>12</v>
      </c>
      <c r="AK62" t="s">
        <v>12</v>
      </c>
      <c r="AL62" t="s">
        <v>12</v>
      </c>
      <c r="AM62" t="s">
        <v>12</v>
      </c>
      <c r="AN62" t="s">
        <v>12</v>
      </c>
      <c r="AO62" t="s">
        <v>12</v>
      </c>
    </row>
    <row r="63" spans="1:41" x14ac:dyDescent="0.35">
      <c r="A63">
        <v>16964281</v>
      </c>
      <c r="B63">
        <v>202505</v>
      </c>
      <c r="C63">
        <v>20605422366</v>
      </c>
      <c r="D63" t="s">
        <v>189</v>
      </c>
      <c r="E63" t="s">
        <v>1</v>
      </c>
      <c r="F63">
        <v>10252950</v>
      </c>
      <c r="G63" t="s">
        <v>45</v>
      </c>
      <c r="H63" t="s">
        <v>190</v>
      </c>
      <c r="I63">
        <v>20548.361328125</v>
      </c>
      <c r="J63" s="1">
        <v>45428</v>
      </c>
      <c r="K63">
        <v>16.5</v>
      </c>
      <c r="L63" t="s">
        <v>37</v>
      </c>
      <c r="M63" t="s">
        <v>37</v>
      </c>
      <c r="N63" t="s">
        <v>47</v>
      </c>
      <c r="O63">
        <v>202405</v>
      </c>
      <c r="P63">
        <v>90004.5</v>
      </c>
      <c r="Q63" t="s">
        <v>190</v>
      </c>
      <c r="R63" t="s">
        <v>191</v>
      </c>
      <c r="S63" t="s">
        <v>49</v>
      </c>
      <c r="T63" t="s">
        <v>50</v>
      </c>
      <c r="U63" t="s">
        <v>20</v>
      </c>
      <c r="V63">
        <v>1</v>
      </c>
      <c r="W63" t="s">
        <v>10</v>
      </c>
      <c r="X63" t="s">
        <v>12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12</v>
      </c>
      <c r="AG63" t="s">
        <v>12</v>
      </c>
      <c r="AH63" t="s">
        <v>12</v>
      </c>
      <c r="AI63" t="s">
        <v>12</v>
      </c>
      <c r="AJ63" t="s">
        <v>12</v>
      </c>
      <c r="AK63">
        <v>0</v>
      </c>
      <c r="AL63">
        <v>0</v>
      </c>
      <c r="AM63">
        <v>0.27079999999999999</v>
      </c>
      <c r="AN63" t="s">
        <v>12</v>
      </c>
      <c r="AO63" t="s">
        <v>12</v>
      </c>
    </row>
    <row r="64" spans="1:41" x14ac:dyDescent="0.35">
      <c r="A64">
        <v>15693530</v>
      </c>
      <c r="B64">
        <v>202601</v>
      </c>
      <c r="C64">
        <v>20534483997</v>
      </c>
      <c r="D64" t="s">
        <v>132</v>
      </c>
      <c r="E64" t="s">
        <v>1</v>
      </c>
      <c r="F64">
        <v>10262739</v>
      </c>
      <c r="G64" t="s">
        <v>65</v>
      </c>
      <c r="H64" t="s">
        <v>61</v>
      </c>
      <c r="I64" t="s">
        <v>12</v>
      </c>
      <c r="J64" s="1">
        <v>45615</v>
      </c>
      <c r="K64">
        <v>15.5</v>
      </c>
      <c r="L64" t="s">
        <v>37</v>
      </c>
      <c r="M64" t="s">
        <v>37</v>
      </c>
      <c r="N64" t="s">
        <v>47</v>
      </c>
      <c r="O64">
        <v>202411</v>
      </c>
      <c r="P64">
        <v>90004.5</v>
      </c>
      <c r="Q64" t="s">
        <v>61</v>
      </c>
      <c r="R64" t="s">
        <v>62</v>
      </c>
      <c r="S64" t="s">
        <v>39</v>
      </c>
      <c r="T64" t="s">
        <v>40</v>
      </c>
      <c r="U64" t="s">
        <v>41</v>
      </c>
      <c r="V64">
        <v>1</v>
      </c>
      <c r="W64" t="s">
        <v>21</v>
      </c>
      <c r="X64" t="s">
        <v>22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242012.1</v>
      </c>
      <c r="AF64">
        <v>16</v>
      </c>
      <c r="AG64" s="1">
        <v>46050</v>
      </c>
      <c r="AH64" t="s">
        <v>41</v>
      </c>
      <c r="AI64" t="s">
        <v>4</v>
      </c>
      <c r="AJ64" t="s">
        <v>33</v>
      </c>
      <c r="AK64">
        <v>242600</v>
      </c>
      <c r="AL64">
        <v>0.21</v>
      </c>
      <c r="AM64">
        <v>0.19</v>
      </c>
      <c r="AN64" t="s">
        <v>12</v>
      </c>
      <c r="AO64" t="s">
        <v>12</v>
      </c>
    </row>
    <row r="65" spans="1:41" x14ac:dyDescent="0.35">
      <c r="A65">
        <v>13349435</v>
      </c>
      <c r="B65">
        <v>202503</v>
      </c>
      <c r="C65">
        <v>20517924246</v>
      </c>
      <c r="D65" t="s">
        <v>192</v>
      </c>
      <c r="E65" t="s">
        <v>1</v>
      </c>
      <c r="F65">
        <v>10265956</v>
      </c>
      <c r="G65" t="s">
        <v>24</v>
      </c>
      <c r="H65" t="s">
        <v>193</v>
      </c>
      <c r="I65">
        <v>97312.5703125</v>
      </c>
      <c r="J65" s="1">
        <v>45719</v>
      </c>
      <c r="K65">
        <v>18</v>
      </c>
      <c r="L65" t="s">
        <v>4</v>
      </c>
      <c r="M65" t="s">
        <v>75</v>
      </c>
      <c r="N65" t="s">
        <v>26</v>
      </c>
      <c r="O65">
        <v>202503</v>
      </c>
      <c r="P65">
        <v>104005.2</v>
      </c>
      <c r="Q65" t="s">
        <v>194</v>
      </c>
      <c r="R65" t="s">
        <v>195</v>
      </c>
      <c r="S65" t="s">
        <v>7</v>
      </c>
      <c r="T65" t="s">
        <v>8</v>
      </c>
      <c r="U65" t="s">
        <v>26</v>
      </c>
      <c r="V65">
        <v>1</v>
      </c>
      <c r="W65" t="s">
        <v>10</v>
      </c>
      <c r="X65" t="s">
        <v>12</v>
      </c>
      <c r="Y65">
        <v>1</v>
      </c>
      <c r="Z65">
        <v>1</v>
      </c>
      <c r="AA65">
        <v>1</v>
      </c>
      <c r="AB65">
        <v>1</v>
      </c>
      <c r="AC65">
        <v>1</v>
      </c>
      <c r="AD65">
        <v>0</v>
      </c>
      <c r="AE65">
        <v>104005.2</v>
      </c>
      <c r="AF65">
        <v>18</v>
      </c>
      <c r="AG65" s="1">
        <v>45719</v>
      </c>
      <c r="AH65" t="s">
        <v>26</v>
      </c>
      <c r="AI65" t="s">
        <v>75</v>
      </c>
      <c r="AJ65" t="s">
        <v>33</v>
      </c>
      <c r="AK65">
        <v>0</v>
      </c>
      <c r="AL65">
        <v>0.245</v>
      </c>
      <c r="AM65">
        <v>0.22500000000000001</v>
      </c>
      <c r="AN65" t="s">
        <v>12</v>
      </c>
      <c r="AO65" t="s">
        <v>12</v>
      </c>
    </row>
    <row r="66" spans="1:41" x14ac:dyDescent="0.35">
      <c r="A66">
        <v>13349435</v>
      </c>
      <c r="B66">
        <v>202503</v>
      </c>
      <c r="C66">
        <v>20517924246</v>
      </c>
      <c r="D66" t="s">
        <v>192</v>
      </c>
      <c r="E66" t="s">
        <v>1</v>
      </c>
      <c r="F66">
        <v>10265956</v>
      </c>
      <c r="G66" t="s">
        <v>24</v>
      </c>
      <c r="H66" t="s">
        <v>193</v>
      </c>
      <c r="I66">
        <v>97312.5703125</v>
      </c>
      <c r="J66" s="1">
        <v>45719</v>
      </c>
      <c r="K66">
        <v>18</v>
      </c>
      <c r="L66" t="s">
        <v>4</v>
      </c>
      <c r="M66" t="s">
        <v>75</v>
      </c>
      <c r="N66" t="s">
        <v>26</v>
      </c>
      <c r="O66">
        <v>202503</v>
      </c>
      <c r="P66">
        <v>104005.2</v>
      </c>
      <c r="Q66" t="s">
        <v>12</v>
      </c>
      <c r="R66" t="s">
        <v>12</v>
      </c>
      <c r="S66" t="s">
        <v>12</v>
      </c>
      <c r="T66" t="s">
        <v>12</v>
      </c>
      <c r="U66" t="s">
        <v>196</v>
      </c>
      <c r="V66">
        <v>3</v>
      </c>
      <c r="W66" t="s">
        <v>10</v>
      </c>
      <c r="X66" t="s">
        <v>12</v>
      </c>
      <c r="Y66">
        <v>1</v>
      </c>
      <c r="Z66">
        <v>1</v>
      </c>
      <c r="AA66">
        <v>0</v>
      </c>
      <c r="AB66">
        <v>0</v>
      </c>
      <c r="AC66">
        <v>0</v>
      </c>
      <c r="AD66" t="s">
        <v>12</v>
      </c>
      <c r="AE66">
        <v>0</v>
      </c>
      <c r="AF66" t="s">
        <v>12</v>
      </c>
      <c r="AG66" t="s">
        <v>12</v>
      </c>
      <c r="AH66" t="s">
        <v>12</v>
      </c>
      <c r="AI66" t="s">
        <v>12</v>
      </c>
      <c r="AJ66" t="s">
        <v>12</v>
      </c>
      <c r="AK66" t="s">
        <v>12</v>
      </c>
      <c r="AL66" t="s">
        <v>12</v>
      </c>
      <c r="AM66" t="s">
        <v>12</v>
      </c>
      <c r="AN66" t="s">
        <v>197</v>
      </c>
      <c r="AO66" t="s">
        <v>33</v>
      </c>
    </row>
    <row r="67" spans="1:41" x14ac:dyDescent="0.35">
      <c r="A67">
        <v>14885888</v>
      </c>
      <c r="B67">
        <v>202506</v>
      </c>
      <c r="C67">
        <v>20600180658</v>
      </c>
      <c r="D67" t="s">
        <v>198</v>
      </c>
      <c r="E67" t="s">
        <v>1</v>
      </c>
      <c r="F67">
        <v>10194427</v>
      </c>
      <c r="G67" t="s">
        <v>199</v>
      </c>
      <c r="H67" t="s">
        <v>7</v>
      </c>
      <c r="I67">
        <v>15133.6904296875</v>
      </c>
      <c r="J67" t="s">
        <v>12</v>
      </c>
      <c r="K67" t="s">
        <v>12</v>
      </c>
      <c r="L67" t="s">
        <v>12</v>
      </c>
      <c r="M67" t="s">
        <v>12</v>
      </c>
      <c r="N67" t="s">
        <v>12</v>
      </c>
      <c r="O67" t="s">
        <v>12</v>
      </c>
      <c r="P67" t="s">
        <v>12</v>
      </c>
      <c r="Q67" t="s">
        <v>12</v>
      </c>
      <c r="R67" t="s">
        <v>12</v>
      </c>
      <c r="S67" t="s">
        <v>12</v>
      </c>
      <c r="T67" t="s">
        <v>12</v>
      </c>
      <c r="U67" t="s">
        <v>12</v>
      </c>
      <c r="V67" t="s">
        <v>12</v>
      </c>
      <c r="W67" t="s">
        <v>12</v>
      </c>
      <c r="X67" t="s">
        <v>12</v>
      </c>
      <c r="Y67" t="s">
        <v>12</v>
      </c>
      <c r="Z67" t="s">
        <v>12</v>
      </c>
      <c r="AA67" t="s">
        <v>12</v>
      </c>
      <c r="AB67" t="s">
        <v>12</v>
      </c>
      <c r="AC67" t="s">
        <v>12</v>
      </c>
      <c r="AD67" t="s">
        <v>12</v>
      </c>
      <c r="AE67" t="s">
        <v>12</v>
      </c>
      <c r="AF67" t="s">
        <v>12</v>
      </c>
      <c r="AG67" t="s">
        <v>12</v>
      </c>
      <c r="AH67" t="s">
        <v>12</v>
      </c>
      <c r="AI67" t="s">
        <v>12</v>
      </c>
      <c r="AJ67" t="s">
        <v>12</v>
      </c>
      <c r="AK67" t="s">
        <v>12</v>
      </c>
      <c r="AL67" t="s">
        <v>12</v>
      </c>
      <c r="AM67" t="s">
        <v>12</v>
      </c>
      <c r="AN67" t="s">
        <v>12</v>
      </c>
      <c r="AO67" t="s">
        <v>12</v>
      </c>
    </row>
    <row r="68" spans="1:41" x14ac:dyDescent="0.35">
      <c r="A68">
        <v>16143407</v>
      </c>
      <c r="B68">
        <v>202505</v>
      </c>
      <c r="C68">
        <v>20600663357</v>
      </c>
      <c r="D68" t="s">
        <v>200</v>
      </c>
      <c r="E68" t="s">
        <v>1</v>
      </c>
      <c r="F68">
        <v>10185371</v>
      </c>
      <c r="G68" t="s">
        <v>199</v>
      </c>
      <c r="H68" t="s">
        <v>201</v>
      </c>
      <c r="I68">
        <v>13465.44140625</v>
      </c>
      <c r="J68" t="s">
        <v>12</v>
      </c>
      <c r="K68" t="s">
        <v>12</v>
      </c>
      <c r="L68" t="s">
        <v>12</v>
      </c>
      <c r="M68" t="s">
        <v>12</v>
      </c>
      <c r="N68" t="s">
        <v>12</v>
      </c>
      <c r="O68" t="s">
        <v>12</v>
      </c>
      <c r="P68" t="s">
        <v>12</v>
      </c>
      <c r="Q68" t="s">
        <v>201</v>
      </c>
      <c r="R68" t="s">
        <v>202</v>
      </c>
      <c r="S68" t="s">
        <v>111</v>
      </c>
      <c r="T68" t="s">
        <v>112</v>
      </c>
      <c r="U68" t="s">
        <v>20</v>
      </c>
      <c r="V68">
        <v>2</v>
      </c>
      <c r="W68" t="s">
        <v>10</v>
      </c>
      <c r="X68" t="s">
        <v>12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12</v>
      </c>
      <c r="AG68" t="s">
        <v>12</v>
      </c>
      <c r="AH68" t="s">
        <v>12</v>
      </c>
      <c r="AI68" t="s">
        <v>12</v>
      </c>
      <c r="AJ68" t="s">
        <v>12</v>
      </c>
      <c r="AK68">
        <v>0</v>
      </c>
      <c r="AL68">
        <v>0</v>
      </c>
      <c r="AM68">
        <v>0.23780000000000001</v>
      </c>
      <c r="AN68" t="s">
        <v>12</v>
      </c>
      <c r="AO68" t="s">
        <v>12</v>
      </c>
    </row>
    <row r="69" spans="1:41" x14ac:dyDescent="0.35">
      <c r="A69">
        <v>15921518</v>
      </c>
      <c r="B69">
        <v>202510</v>
      </c>
      <c r="C69">
        <v>20600748735</v>
      </c>
      <c r="D69" t="s">
        <v>203</v>
      </c>
      <c r="E69" t="s">
        <v>1</v>
      </c>
      <c r="F69">
        <v>10271403</v>
      </c>
      <c r="G69" t="s">
        <v>78</v>
      </c>
      <c r="H69" t="s">
        <v>204</v>
      </c>
      <c r="I69">
        <v>51522.75</v>
      </c>
      <c r="J69" s="1">
        <v>45916</v>
      </c>
      <c r="K69">
        <v>19</v>
      </c>
      <c r="L69" t="s">
        <v>4</v>
      </c>
      <c r="M69" t="s">
        <v>4</v>
      </c>
      <c r="N69" t="s">
        <v>41</v>
      </c>
      <c r="O69">
        <v>202509</v>
      </c>
      <c r="P69">
        <v>53402.65</v>
      </c>
      <c r="Q69" t="s">
        <v>12</v>
      </c>
      <c r="R69" t="s">
        <v>12</v>
      </c>
      <c r="S69" t="s">
        <v>12</v>
      </c>
      <c r="T69" t="s">
        <v>12</v>
      </c>
      <c r="U69" t="s">
        <v>12</v>
      </c>
      <c r="V69" t="s">
        <v>12</v>
      </c>
      <c r="W69" t="s">
        <v>12</v>
      </c>
      <c r="X69" t="s">
        <v>12</v>
      </c>
      <c r="Y69" t="s">
        <v>12</v>
      </c>
      <c r="Z69" t="s">
        <v>12</v>
      </c>
      <c r="AA69" t="s">
        <v>12</v>
      </c>
      <c r="AB69" t="s">
        <v>12</v>
      </c>
      <c r="AC69" t="s">
        <v>12</v>
      </c>
      <c r="AD69" t="s">
        <v>12</v>
      </c>
      <c r="AE69" t="s">
        <v>12</v>
      </c>
      <c r="AF69" t="s">
        <v>12</v>
      </c>
      <c r="AG69" t="s">
        <v>12</v>
      </c>
      <c r="AH69" t="s">
        <v>12</v>
      </c>
      <c r="AI69" t="s">
        <v>12</v>
      </c>
      <c r="AJ69" t="s">
        <v>12</v>
      </c>
      <c r="AK69" t="s">
        <v>12</v>
      </c>
      <c r="AL69" t="s">
        <v>12</v>
      </c>
      <c r="AM69" t="s">
        <v>12</v>
      </c>
      <c r="AN69" t="s">
        <v>12</v>
      </c>
      <c r="AO69" t="s">
        <v>12</v>
      </c>
    </row>
    <row r="70" spans="1:41" x14ac:dyDescent="0.35">
      <c r="A70">
        <v>21166714</v>
      </c>
      <c r="B70">
        <v>202506</v>
      </c>
      <c r="C70">
        <v>20609246180</v>
      </c>
      <c r="D70" t="s">
        <v>205</v>
      </c>
      <c r="E70" t="s">
        <v>1</v>
      </c>
      <c r="F70">
        <v>10267209</v>
      </c>
      <c r="G70" t="s">
        <v>92</v>
      </c>
      <c r="H70" t="s">
        <v>206</v>
      </c>
      <c r="I70">
        <v>56199.28515625</v>
      </c>
      <c r="J70" s="1">
        <v>45769</v>
      </c>
      <c r="K70">
        <v>17.200001</v>
      </c>
      <c r="L70" t="s">
        <v>4</v>
      </c>
      <c r="M70" t="s">
        <v>4</v>
      </c>
      <c r="N70" t="s">
        <v>41</v>
      </c>
      <c r="O70">
        <v>202504</v>
      </c>
      <c r="P70">
        <v>200010</v>
      </c>
      <c r="Q70" t="s">
        <v>206</v>
      </c>
      <c r="R70" t="s">
        <v>207</v>
      </c>
      <c r="S70" t="s">
        <v>39</v>
      </c>
      <c r="T70" t="s">
        <v>40</v>
      </c>
      <c r="U70" t="s">
        <v>20</v>
      </c>
      <c r="V70">
        <v>1</v>
      </c>
      <c r="W70" t="s">
        <v>10</v>
      </c>
      <c r="X70" t="s">
        <v>12</v>
      </c>
      <c r="Y70">
        <v>1</v>
      </c>
      <c r="Z70">
        <v>1</v>
      </c>
      <c r="AA70">
        <v>0</v>
      </c>
      <c r="AB70">
        <v>0</v>
      </c>
      <c r="AC70">
        <v>1</v>
      </c>
      <c r="AD70">
        <v>1</v>
      </c>
      <c r="AE70">
        <v>0</v>
      </c>
      <c r="AF70" t="s">
        <v>12</v>
      </c>
      <c r="AG70" t="s">
        <v>12</v>
      </c>
      <c r="AH70" t="s">
        <v>12</v>
      </c>
      <c r="AI70" t="s">
        <v>12</v>
      </c>
      <c r="AJ70" t="s">
        <v>12</v>
      </c>
      <c r="AK70">
        <v>1</v>
      </c>
      <c r="AL70">
        <v>0.1633</v>
      </c>
      <c r="AM70" t="s">
        <v>12</v>
      </c>
      <c r="AN70" t="s">
        <v>12</v>
      </c>
      <c r="AO70" t="s">
        <v>12</v>
      </c>
    </row>
    <row r="71" spans="1:41" x14ac:dyDescent="0.35">
      <c r="A71">
        <v>20009094</v>
      </c>
      <c r="B71">
        <v>202506</v>
      </c>
      <c r="C71">
        <v>20602569668</v>
      </c>
      <c r="D71" t="s">
        <v>208</v>
      </c>
      <c r="E71" t="s">
        <v>1</v>
      </c>
      <c r="F71">
        <v>10266240</v>
      </c>
      <c r="G71" t="s">
        <v>209</v>
      </c>
      <c r="H71" t="s">
        <v>210</v>
      </c>
      <c r="I71">
        <v>133806.140625</v>
      </c>
      <c r="J71" s="1">
        <v>45733</v>
      </c>
      <c r="K71">
        <v>17.5</v>
      </c>
      <c r="L71" t="s">
        <v>4</v>
      </c>
      <c r="M71" t="s">
        <v>4</v>
      </c>
      <c r="N71" t="s">
        <v>41</v>
      </c>
      <c r="O71">
        <v>202503</v>
      </c>
      <c r="P71">
        <v>128535.89</v>
      </c>
      <c r="Q71" t="s">
        <v>210</v>
      </c>
      <c r="R71" t="s">
        <v>211</v>
      </c>
      <c r="S71" t="s">
        <v>39</v>
      </c>
      <c r="T71" t="s">
        <v>40</v>
      </c>
      <c r="U71" t="s">
        <v>20</v>
      </c>
      <c r="V71">
        <v>1</v>
      </c>
      <c r="W71" t="s">
        <v>10</v>
      </c>
      <c r="X71" t="s">
        <v>12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12</v>
      </c>
      <c r="AG71" t="s">
        <v>12</v>
      </c>
      <c r="AH71" t="s">
        <v>12</v>
      </c>
      <c r="AI71" t="s">
        <v>12</v>
      </c>
      <c r="AJ71" t="s">
        <v>12</v>
      </c>
      <c r="AK71">
        <v>1</v>
      </c>
      <c r="AL71">
        <v>0.1883</v>
      </c>
      <c r="AM71" t="s">
        <v>12</v>
      </c>
      <c r="AN71" t="s">
        <v>12</v>
      </c>
      <c r="AO71" t="s">
        <v>12</v>
      </c>
    </row>
    <row r="72" spans="1:41" x14ac:dyDescent="0.35">
      <c r="A72">
        <v>17596456</v>
      </c>
      <c r="B72">
        <v>202507</v>
      </c>
      <c r="C72">
        <v>10480547123</v>
      </c>
      <c r="D72" t="s">
        <v>212</v>
      </c>
      <c r="E72">
        <v>48054712</v>
      </c>
      <c r="F72">
        <v>10249373</v>
      </c>
      <c r="G72" t="s">
        <v>65</v>
      </c>
      <c r="H72" t="s">
        <v>46</v>
      </c>
      <c r="I72">
        <v>84253.234375</v>
      </c>
      <c r="J72" s="1">
        <v>45366</v>
      </c>
      <c r="K72">
        <v>14.5</v>
      </c>
      <c r="L72" t="s">
        <v>4</v>
      </c>
      <c r="M72" t="s">
        <v>4</v>
      </c>
      <c r="N72" t="s">
        <v>47</v>
      </c>
      <c r="O72">
        <v>202403</v>
      </c>
      <c r="P72">
        <v>90004.5</v>
      </c>
      <c r="Q72" t="s">
        <v>46</v>
      </c>
      <c r="R72" t="s">
        <v>48</v>
      </c>
      <c r="S72" t="s">
        <v>49</v>
      </c>
      <c r="T72" t="s">
        <v>50</v>
      </c>
      <c r="U72" t="s">
        <v>41</v>
      </c>
      <c r="V72">
        <v>1</v>
      </c>
      <c r="W72" t="s">
        <v>10</v>
      </c>
      <c r="X72" t="s">
        <v>12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12</v>
      </c>
      <c r="AG72" t="s">
        <v>12</v>
      </c>
      <c r="AH72" t="s">
        <v>12</v>
      </c>
      <c r="AI72" t="s">
        <v>12</v>
      </c>
      <c r="AJ72" t="s">
        <v>12</v>
      </c>
      <c r="AK72">
        <v>200000</v>
      </c>
      <c r="AL72">
        <v>0.24</v>
      </c>
      <c r="AM72">
        <v>0.22</v>
      </c>
      <c r="AN72" t="s">
        <v>12</v>
      </c>
      <c r="AO72" t="s">
        <v>12</v>
      </c>
    </row>
    <row r="73" spans="1:41" x14ac:dyDescent="0.35">
      <c r="A73">
        <v>10195021</v>
      </c>
      <c r="B73">
        <v>202505</v>
      </c>
      <c r="C73">
        <v>10178290423</v>
      </c>
      <c r="D73" t="s">
        <v>213</v>
      </c>
      <c r="E73">
        <v>17829042</v>
      </c>
      <c r="F73">
        <v>10250148</v>
      </c>
      <c r="G73" t="s">
        <v>45</v>
      </c>
      <c r="H73" t="s">
        <v>153</v>
      </c>
      <c r="I73">
        <v>62639.04296875</v>
      </c>
      <c r="J73" s="1">
        <v>45378</v>
      </c>
      <c r="K73">
        <v>14.3</v>
      </c>
      <c r="L73" t="s">
        <v>37</v>
      </c>
      <c r="M73" t="s">
        <v>37</v>
      </c>
      <c r="N73" t="s">
        <v>47</v>
      </c>
      <c r="O73">
        <v>202403</v>
      </c>
      <c r="P73">
        <v>90004.5</v>
      </c>
      <c r="Q73" t="s">
        <v>153</v>
      </c>
      <c r="R73" t="s">
        <v>214</v>
      </c>
      <c r="S73" t="s">
        <v>88</v>
      </c>
      <c r="T73" t="s">
        <v>89</v>
      </c>
      <c r="U73" t="s">
        <v>41</v>
      </c>
      <c r="V73">
        <v>2</v>
      </c>
      <c r="W73" t="s">
        <v>10</v>
      </c>
      <c r="X73" t="s">
        <v>12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12</v>
      </c>
      <c r="AG73" t="s">
        <v>12</v>
      </c>
      <c r="AH73" t="s">
        <v>12</v>
      </c>
      <c r="AI73" t="s">
        <v>12</v>
      </c>
      <c r="AJ73" t="s">
        <v>12</v>
      </c>
      <c r="AK73">
        <v>300000</v>
      </c>
      <c r="AL73">
        <v>0.23</v>
      </c>
      <c r="AM73">
        <v>0.20780000000000001</v>
      </c>
      <c r="AN73" t="s">
        <v>12</v>
      </c>
      <c r="AO73" t="s">
        <v>12</v>
      </c>
    </row>
    <row r="74" spans="1:41" x14ac:dyDescent="0.35">
      <c r="A74">
        <v>15414149</v>
      </c>
      <c r="B74">
        <v>202504</v>
      </c>
      <c r="C74">
        <v>20516523809</v>
      </c>
      <c r="D74" t="s">
        <v>215</v>
      </c>
      <c r="E74" t="s">
        <v>1</v>
      </c>
      <c r="F74">
        <v>10156293</v>
      </c>
      <c r="G74" t="s">
        <v>2</v>
      </c>
      <c r="H74" t="s">
        <v>109</v>
      </c>
      <c r="I74">
        <v>193297.25</v>
      </c>
      <c r="J74" s="1">
        <v>45715</v>
      </c>
      <c r="K74">
        <v>15.5</v>
      </c>
      <c r="L74" t="s">
        <v>4</v>
      </c>
      <c r="M74" t="s">
        <v>4</v>
      </c>
      <c r="N74" t="s">
        <v>5</v>
      </c>
      <c r="O74">
        <v>202502</v>
      </c>
      <c r="P74">
        <v>200010</v>
      </c>
      <c r="Q74" t="s">
        <v>109</v>
      </c>
      <c r="R74" t="s">
        <v>110</v>
      </c>
      <c r="S74" t="s">
        <v>111</v>
      </c>
      <c r="T74" t="s">
        <v>112</v>
      </c>
      <c r="U74" t="s">
        <v>20</v>
      </c>
      <c r="V74">
        <v>2</v>
      </c>
      <c r="W74" t="s">
        <v>10</v>
      </c>
      <c r="X74" t="s">
        <v>12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12</v>
      </c>
      <c r="AG74" t="s">
        <v>12</v>
      </c>
      <c r="AH74" t="s">
        <v>12</v>
      </c>
      <c r="AI74" t="s">
        <v>12</v>
      </c>
      <c r="AJ74" t="s">
        <v>12</v>
      </c>
      <c r="AK74">
        <v>0</v>
      </c>
      <c r="AL74">
        <v>0</v>
      </c>
      <c r="AM74">
        <v>0</v>
      </c>
      <c r="AN74" t="s">
        <v>12</v>
      </c>
      <c r="AO74" t="s">
        <v>12</v>
      </c>
    </row>
    <row r="75" spans="1:41" x14ac:dyDescent="0.35">
      <c r="A75">
        <v>18730524</v>
      </c>
      <c r="B75">
        <v>202510</v>
      </c>
      <c r="C75">
        <v>20548226938</v>
      </c>
      <c r="D75" t="s">
        <v>216</v>
      </c>
      <c r="E75" t="s">
        <v>1</v>
      </c>
      <c r="F75">
        <v>10242294</v>
      </c>
      <c r="G75" t="s">
        <v>2</v>
      </c>
      <c r="H75" t="s">
        <v>217</v>
      </c>
      <c r="I75">
        <v>139983.796875</v>
      </c>
      <c r="J75" s="1">
        <v>45755</v>
      </c>
      <c r="K75">
        <v>17.5</v>
      </c>
      <c r="L75" t="s">
        <v>4</v>
      </c>
      <c r="M75" t="s">
        <v>4</v>
      </c>
      <c r="N75" t="s">
        <v>5</v>
      </c>
      <c r="O75">
        <v>202504</v>
      </c>
      <c r="P75">
        <v>200010</v>
      </c>
      <c r="Q75" t="s">
        <v>217</v>
      </c>
      <c r="R75" t="s">
        <v>218</v>
      </c>
      <c r="S75" t="s">
        <v>18</v>
      </c>
      <c r="T75" t="s">
        <v>122</v>
      </c>
      <c r="U75" t="s">
        <v>70</v>
      </c>
      <c r="V75">
        <v>1</v>
      </c>
      <c r="W75" t="s">
        <v>10</v>
      </c>
      <c r="X75" t="s">
        <v>12</v>
      </c>
      <c r="Y75">
        <v>1</v>
      </c>
      <c r="Z75">
        <v>1</v>
      </c>
      <c r="AA75">
        <v>0</v>
      </c>
      <c r="AB75">
        <v>0</v>
      </c>
      <c r="AC75">
        <v>1</v>
      </c>
      <c r="AD75">
        <v>1</v>
      </c>
      <c r="AE75">
        <v>0</v>
      </c>
      <c r="AF75" t="s">
        <v>12</v>
      </c>
      <c r="AG75" t="s">
        <v>12</v>
      </c>
      <c r="AH75" t="s">
        <v>12</v>
      </c>
      <c r="AI75" t="s">
        <v>12</v>
      </c>
      <c r="AJ75" t="s">
        <v>12</v>
      </c>
      <c r="AK75">
        <v>111000</v>
      </c>
      <c r="AL75">
        <v>0.1938</v>
      </c>
      <c r="AM75">
        <v>0.17380000000000001</v>
      </c>
      <c r="AN75" t="s">
        <v>12</v>
      </c>
      <c r="AO75" t="s">
        <v>12</v>
      </c>
    </row>
    <row r="76" spans="1:41" x14ac:dyDescent="0.35">
      <c r="A76">
        <v>11204698</v>
      </c>
      <c r="B76">
        <v>202602</v>
      </c>
      <c r="C76">
        <v>20518144872</v>
      </c>
      <c r="D76" t="s">
        <v>219</v>
      </c>
      <c r="E76" t="s">
        <v>1</v>
      </c>
      <c r="F76">
        <v>10251274</v>
      </c>
      <c r="G76" t="s">
        <v>65</v>
      </c>
      <c r="H76" t="s">
        <v>220</v>
      </c>
      <c r="I76">
        <v>108445.8125</v>
      </c>
      <c r="J76" s="1">
        <v>45404</v>
      </c>
      <c r="K76">
        <v>12.98</v>
      </c>
      <c r="L76" t="s">
        <v>4</v>
      </c>
      <c r="M76" t="s">
        <v>4</v>
      </c>
      <c r="N76" t="s">
        <v>47</v>
      </c>
      <c r="O76">
        <v>202404</v>
      </c>
      <c r="P76">
        <v>300015</v>
      </c>
      <c r="Q76" t="s">
        <v>220</v>
      </c>
      <c r="R76" t="s">
        <v>221</v>
      </c>
      <c r="S76" t="s">
        <v>127</v>
      </c>
      <c r="T76" t="s">
        <v>147</v>
      </c>
      <c r="U76" t="s">
        <v>20</v>
      </c>
      <c r="V76">
        <v>1</v>
      </c>
      <c r="W76" t="s">
        <v>10</v>
      </c>
      <c r="X76" t="s">
        <v>11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12</v>
      </c>
      <c r="AG76" t="s">
        <v>12</v>
      </c>
      <c r="AH76" t="s">
        <v>12</v>
      </c>
      <c r="AI76" t="s">
        <v>12</v>
      </c>
      <c r="AJ76" t="s">
        <v>12</v>
      </c>
      <c r="AK76">
        <v>1</v>
      </c>
      <c r="AL76">
        <v>1</v>
      </c>
      <c r="AM76" t="s">
        <v>12</v>
      </c>
      <c r="AN76" t="s">
        <v>12</v>
      </c>
      <c r="AO76" t="s">
        <v>12</v>
      </c>
    </row>
    <row r="77" spans="1:41" x14ac:dyDescent="0.35">
      <c r="A77">
        <v>15517965</v>
      </c>
      <c r="B77">
        <v>202502</v>
      </c>
      <c r="C77">
        <v>10276676933</v>
      </c>
      <c r="D77" t="s">
        <v>222</v>
      </c>
      <c r="E77">
        <v>27667693</v>
      </c>
      <c r="F77">
        <v>10164925</v>
      </c>
      <c r="G77" t="s">
        <v>2</v>
      </c>
      <c r="H77" t="s">
        <v>82</v>
      </c>
      <c r="I77">
        <v>93241.2578125</v>
      </c>
      <c r="J77" s="1">
        <v>45426</v>
      </c>
      <c r="K77">
        <v>19.45</v>
      </c>
      <c r="L77" t="s">
        <v>4</v>
      </c>
      <c r="M77" t="s">
        <v>4</v>
      </c>
      <c r="N77" t="s">
        <v>5</v>
      </c>
      <c r="O77">
        <v>202405</v>
      </c>
      <c r="P77">
        <v>93172.19</v>
      </c>
      <c r="Q77" t="s">
        <v>82</v>
      </c>
      <c r="R77" t="s">
        <v>83</v>
      </c>
      <c r="S77" t="s">
        <v>49</v>
      </c>
      <c r="T77" t="s">
        <v>50</v>
      </c>
      <c r="U77" t="s">
        <v>41</v>
      </c>
      <c r="V77">
        <v>1</v>
      </c>
      <c r="W77" t="s">
        <v>10</v>
      </c>
      <c r="X77" t="s">
        <v>12</v>
      </c>
      <c r="Y77">
        <v>1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0</v>
      </c>
      <c r="AF77" t="s">
        <v>12</v>
      </c>
      <c r="AG77" t="s">
        <v>12</v>
      </c>
      <c r="AH77" t="s">
        <v>12</v>
      </c>
      <c r="AI77" t="s">
        <v>12</v>
      </c>
      <c r="AJ77" t="s">
        <v>12</v>
      </c>
      <c r="AK77">
        <v>100000</v>
      </c>
      <c r="AL77">
        <v>0.22</v>
      </c>
      <c r="AM77">
        <v>0.1968</v>
      </c>
      <c r="AN77" t="s">
        <v>12</v>
      </c>
      <c r="AO77" t="s">
        <v>12</v>
      </c>
    </row>
    <row r="78" spans="1:41" x14ac:dyDescent="0.35">
      <c r="A78">
        <v>15324260</v>
      </c>
      <c r="B78">
        <v>202601</v>
      </c>
      <c r="C78">
        <v>20533159681</v>
      </c>
      <c r="D78" t="s">
        <v>223</v>
      </c>
      <c r="E78" t="s">
        <v>1</v>
      </c>
      <c r="F78">
        <v>10148000</v>
      </c>
      <c r="G78" t="s">
        <v>2</v>
      </c>
      <c r="H78" t="s">
        <v>39</v>
      </c>
      <c r="I78">
        <v>50998.40234375</v>
      </c>
      <c r="J78" s="1">
        <v>45950</v>
      </c>
      <c r="K78">
        <v>18</v>
      </c>
      <c r="L78" t="s">
        <v>4</v>
      </c>
      <c r="M78" t="s">
        <v>4</v>
      </c>
      <c r="N78" t="s">
        <v>5</v>
      </c>
      <c r="O78">
        <v>202510</v>
      </c>
      <c r="P78">
        <v>60003</v>
      </c>
      <c r="Q78" t="s">
        <v>12</v>
      </c>
      <c r="R78" t="s">
        <v>12</v>
      </c>
      <c r="S78" t="s">
        <v>12</v>
      </c>
      <c r="T78" t="s">
        <v>12</v>
      </c>
      <c r="U78" t="s">
        <v>12</v>
      </c>
      <c r="V78" t="s">
        <v>12</v>
      </c>
      <c r="W78" t="s">
        <v>12</v>
      </c>
      <c r="X78" t="s">
        <v>12</v>
      </c>
      <c r="Y78" t="s">
        <v>12</v>
      </c>
      <c r="Z78" t="s">
        <v>12</v>
      </c>
      <c r="AA78" t="s">
        <v>12</v>
      </c>
      <c r="AB78" t="s">
        <v>12</v>
      </c>
      <c r="AC78" t="s">
        <v>12</v>
      </c>
      <c r="AD78" t="s">
        <v>12</v>
      </c>
      <c r="AE78" t="s">
        <v>12</v>
      </c>
      <c r="AF78" t="s">
        <v>12</v>
      </c>
      <c r="AG78" t="s">
        <v>12</v>
      </c>
      <c r="AH78" t="s">
        <v>12</v>
      </c>
      <c r="AI78" t="s">
        <v>12</v>
      </c>
      <c r="AJ78" t="s">
        <v>12</v>
      </c>
      <c r="AK78" t="s">
        <v>12</v>
      </c>
      <c r="AL78" t="s">
        <v>12</v>
      </c>
      <c r="AM78" t="s">
        <v>12</v>
      </c>
      <c r="AN78" t="s">
        <v>12</v>
      </c>
      <c r="AO78" t="s">
        <v>12</v>
      </c>
    </row>
    <row r="79" spans="1:41" x14ac:dyDescent="0.35">
      <c r="A79">
        <v>10090489</v>
      </c>
      <c r="B79">
        <v>202503</v>
      </c>
      <c r="C79">
        <v>10294435391</v>
      </c>
      <c r="D79" t="s">
        <v>224</v>
      </c>
      <c r="E79">
        <v>29443539</v>
      </c>
      <c r="F79">
        <v>10259146</v>
      </c>
      <c r="G79" t="s">
        <v>65</v>
      </c>
      <c r="H79" t="s">
        <v>225</v>
      </c>
      <c r="I79">
        <v>12480.919921875</v>
      </c>
      <c r="J79" s="1">
        <v>45523</v>
      </c>
      <c r="K79">
        <v>14.8</v>
      </c>
      <c r="L79" t="s">
        <v>37</v>
      </c>
      <c r="M79" t="s">
        <v>37</v>
      </c>
      <c r="N79" t="s">
        <v>47</v>
      </c>
      <c r="O79">
        <v>202408</v>
      </c>
      <c r="P79">
        <v>12963.6</v>
      </c>
      <c r="Q79" t="s">
        <v>12</v>
      </c>
      <c r="R79" t="s">
        <v>12</v>
      </c>
      <c r="S79" t="s">
        <v>12</v>
      </c>
      <c r="T79" t="s">
        <v>12</v>
      </c>
      <c r="U79" t="s">
        <v>12</v>
      </c>
      <c r="V79" t="s">
        <v>12</v>
      </c>
      <c r="W79" t="s">
        <v>12</v>
      </c>
      <c r="X79" t="s">
        <v>12</v>
      </c>
      <c r="Y79" t="s">
        <v>12</v>
      </c>
      <c r="Z79" t="s">
        <v>12</v>
      </c>
      <c r="AA79" t="s">
        <v>12</v>
      </c>
      <c r="AB79" t="s">
        <v>12</v>
      </c>
      <c r="AC79" t="s">
        <v>12</v>
      </c>
      <c r="AD79" t="s">
        <v>12</v>
      </c>
      <c r="AE79" t="s">
        <v>12</v>
      </c>
      <c r="AF79" t="s">
        <v>12</v>
      </c>
      <c r="AG79" t="s">
        <v>12</v>
      </c>
      <c r="AH79" t="s">
        <v>12</v>
      </c>
      <c r="AI79" t="s">
        <v>12</v>
      </c>
      <c r="AJ79" t="s">
        <v>12</v>
      </c>
      <c r="AK79" t="s">
        <v>12</v>
      </c>
      <c r="AL79" t="s">
        <v>12</v>
      </c>
      <c r="AM79" t="s">
        <v>12</v>
      </c>
      <c r="AN79" t="s">
        <v>12</v>
      </c>
      <c r="AO79" t="s">
        <v>12</v>
      </c>
    </row>
    <row r="80" spans="1:41" x14ac:dyDescent="0.35">
      <c r="A80">
        <v>15949615</v>
      </c>
      <c r="B80">
        <v>202512</v>
      </c>
      <c r="C80">
        <v>20555123885</v>
      </c>
      <c r="D80" t="s">
        <v>226</v>
      </c>
      <c r="E80" t="s">
        <v>1</v>
      </c>
      <c r="F80">
        <v>10249820</v>
      </c>
      <c r="G80" t="s">
        <v>65</v>
      </c>
      <c r="H80" t="s">
        <v>145</v>
      </c>
      <c r="I80">
        <v>3881.25317382813</v>
      </c>
      <c r="J80" s="1">
        <v>45373</v>
      </c>
      <c r="K80">
        <v>13.9</v>
      </c>
      <c r="L80" t="s">
        <v>4</v>
      </c>
      <c r="M80" t="s">
        <v>4</v>
      </c>
      <c r="N80" t="s">
        <v>47</v>
      </c>
      <c r="O80">
        <v>202403</v>
      </c>
      <c r="P80">
        <v>90004.5</v>
      </c>
      <c r="Q80" t="s">
        <v>227</v>
      </c>
      <c r="R80" t="s">
        <v>228</v>
      </c>
      <c r="S80" t="s">
        <v>127</v>
      </c>
      <c r="T80" t="s">
        <v>147</v>
      </c>
      <c r="U80" t="s">
        <v>41</v>
      </c>
      <c r="V80">
        <v>1</v>
      </c>
      <c r="W80" t="s">
        <v>10</v>
      </c>
      <c r="X80" t="s">
        <v>11</v>
      </c>
      <c r="Y80">
        <v>1</v>
      </c>
      <c r="Z80">
        <v>1</v>
      </c>
      <c r="AA80">
        <v>0</v>
      </c>
      <c r="AB80">
        <v>0</v>
      </c>
      <c r="AC80">
        <v>1</v>
      </c>
      <c r="AD80">
        <v>1</v>
      </c>
      <c r="AE80">
        <v>0</v>
      </c>
      <c r="AF80" t="s">
        <v>12</v>
      </c>
      <c r="AG80" t="s">
        <v>12</v>
      </c>
      <c r="AH80" t="s">
        <v>12</v>
      </c>
      <c r="AI80" t="s">
        <v>12</v>
      </c>
      <c r="AJ80" t="s">
        <v>12</v>
      </c>
      <c r="AK80">
        <v>296300</v>
      </c>
      <c r="AL80">
        <v>0.21</v>
      </c>
      <c r="AM80">
        <v>0.19</v>
      </c>
      <c r="AN80" t="s">
        <v>12</v>
      </c>
      <c r="AO80" t="s">
        <v>12</v>
      </c>
    </row>
    <row r="81" spans="1:41" x14ac:dyDescent="0.35">
      <c r="A81">
        <v>15994700</v>
      </c>
      <c r="B81">
        <v>202503</v>
      </c>
      <c r="C81">
        <v>20539790332</v>
      </c>
      <c r="D81" t="s">
        <v>229</v>
      </c>
      <c r="E81" t="s">
        <v>1</v>
      </c>
      <c r="F81">
        <v>10163262</v>
      </c>
      <c r="G81" t="s">
        <v>2</v>
      </c>
      <c r="H81" t="s">
        <v>230</v>
      </c>
      <c r="I81">
        <v>43416.90625</v>
      </c>
      <c r="J81" s="1">
        <v>45562</v>
      </c>
      <c r="K81">
        <v>18.8</v>
      </c>
      <c r="L81" t="s">
        <v>4</v>
      </c>
      <c r="M81" t="s">
        <v>4</v>
      </c>
      <c r="N81" t="s">
        <v>5</v>
      </c>
      <c r="O81">
        <v>202409</v>
      </c>
      <c r="P81">
        <v>100005</v>
      </c>
      <c r="Q81" t="s">
        <v>12</v>
      </c>
      <c r="R81" t="s">
        <v>12</v>
      </c>
      <c r="S81" t="s">
        <v>12</v>
      </c>
      <c r="T81" t="s">
        <v>12</v>
      </c>
      <c r="U81" t="s">
        <v>12</v>
      </c>
      <c r="V81" t="s">
        <v>12</v>
      </c>
      <c r="W81" t="s">
        <v>12</v>
      </c>
      <c r="X81" t="s">
        <v>12</v>
      </c>
      <c r="Y81" t="s">
        <v>12</v>
      </c>
      <c r="Z81" t="s">
        <v>12</v>
      </c>
      <c r="AA81" t="s">
        <v>12</v>
      </c>
      <c r="AB81" t="s">
        <v>12</v>
      </c>
      <c r="AC81" t="s">
        <v>12</v>
      </c>
      <c r="AD81" t="s">
        <v>12</v>
      </c>
      <c r="AE81" t="s">
        <v>12</v>
      </c>
      <c r="AF81" t="s">
        <v>12</v>
      </c>
      <c r="AG81" t="s">
        <v>12</v>
      </c>
      <c r="AH81" t="s">
        <v>12</v>
      </c>
      <c r="AI81" t="s">
        <v>12</v>
      </c>
      <c r="AJ81" t="s">
        <v>12</v>
      </c>
      <c r="AK81" t="s">
        <v>12</v>
      </c>
      <c r="AL81" t="s">
        <v>12</v>
      </c>
      <c r="AM81" t="s">
        <v>12</v>
      </c>
      <c r="AN81" t="s">
        <v>12</v>
      </c>
      <c r="AO81" t="s">
        <v>12</v>
      </c>
    </row>
    <row r="82" spans="1:41" x14ac:dyDescent="0.35">
      <c r="A82">
        <v>19582860</v>
      </c>
      <c r="B82">
        <v>202506</v>
      </c>
      <c r="C82">
        <v>20482017925</v>
      </c>
      <c r="D82" t="s">
        <v>231</v>
      </c>
      <c r="E82" t="s">
        <v>1</v>
      </c>
      <c r="F82">
        <v>10261019</v>
      </c>
      <c r="G82" t="s">
        <v>65</v>
      </c>
      <c r="H82" t="s">
        <v>129</v>
      </c>
      <c r="I82">
        <v>286125.34375</v>
      </c>
      <c r="J82" s="1">
        <v>45561</v>
      </c>
      <c r="K82">
        <v>13</v>
      </c>
      <c r="L82" t="s">
        <v>4</v>
      </c>
      <c r="M82" t="s">
        <v>4</v>
      </c>
      <c r="N82" t="s">
        <v>47</v>
      </c>
      <c r="O82">
        <v>202409</v>
      </c>
      <c r="P82">
        <v>300015</v>
      </c>
      <c r="Q82" t="s">
        <v>129</v>
      </c>
      <c r="R82" t="s">
        <v>130</v>
      </c>
      <c r="S82" t="s">
        <v>49</v>
      </c>
      <c r="T82" t="s">
        <v>50</v>
      </c>
      <c r="U82" t="s">
        <v>41</v>
      </c>
      <c r="V82">
        <v>1</v>
      </c>
      <c r="W82" t="s">
        <v>10</v>
      </c>
      <c r="X82" t="s">
        <v>12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12</v>
      </c>
      <c r="AG82" t="s">
        <v>12</v>
      </c>
      <c r="AH82" t="s">
        <v>12</v>
      </c>
      <c r="AI82" t="s">
        <v>12</v>
      </c>
      <c r="AJ82" t="s">
        <v>12</v>
      </c>
      <c r="AK82">
        <v>400000</v>
      </c>
      <c r="AL82">
        <v>0.22</v>
      </c>
      <c r="AM82">
        <v>0.20330000000000001</v>
      </c>
      <c r="AN82" t="s">
        <v>12</v>
      </c>
      <c r="AO82" t="s">
        <v>12</v>
      </c>
    </row>
    <row r="83" spans="1:41" x14ac:dyDescent="0.35">
      <c r="A83">
        <v>19970426</v>
      </c>
      <c r="B83">
        <v>202508</v>
      </c>
      <c r="C83">
        <v>10105321266</v>
      </c>
      <c r="D83" t="s">
        <v>232</v>
      </c>
      <c r="E83">
        <v>10532126</v>
      </c>
      <c r="F83">
        <v>10256969</v>
      </c>
      <c r="G83" t="s">
        <v>53</v>
      </c>
      <c r="H83" t="s">
        <v>18</v>
      </c>
      <c r="I83">
        <v>62944.66796875</v>
      </c>
      <c r="J83" s="1">
        <v>45471</v>
      </c>
      <c r="K83">
        <v>16</v>
      </c>
      <c r="L83" t="s">
        <v>4</v>
      </c>
      <c r="M83" t="s">
        <v>4</v>
      </c>
      <c r="N83" t="s">
        <v>47</v>
      </c>
      <c r="O83">
        <v>202406</v>
      </c>
      <c r="P83">
        <v>90004.5</v>
      </c>
      <c r="Q83" t="s">
        <v>12</v>
      </c>
      <c r="R83" t="s">
        <v>12</v>
      </c>
      <c r="S83" t="s">
        <v>12</v>
      </c>
      <c r="T83" t="s">
        <v>12</v>
      </c>
      <c r="U83" t="s">
        <v>12</v>
      </c>
      <c r="V83" t="s">
        <v>12</v>
      </c>
      <c r="W83" t="s">
        <v>12</v>
      </c>
      <c r="X83" t="s">
        <v>12</v>
      </c>
      <c r="Y83" t="s">
        <v>12</v>
      </c>
      <c r="Z83" t="s">
        <v>12</v>
      </c>
      <c r="AA83" t="s">
        <v>12</v>
      </c>
      <c r="AB83" t="s">
        <v>12</v>
      </c>
      <c r="AC83" t="s">
        <v>12</v>
      </c>
      <c r="AD83" t="s">
        <v>12</v>
      </c>
      <c r="AE83" t="s">
        <v>12</v>
      </c>
      <c r="AF83" t="s">
        <v>12</v>
      </c>
      <c r="AG83" t="s">
        <v>12</v>
      </c>
      <c r="AH83" t="s">
        <v>12</v>
      </c>
      <c r="AI83" t="s">
        <v>12</v>
      </c>
      <c r="AJ83" t="s">
        <v>12</v>
      </c>
      <c r="AK83" t="s">
        <v>12</v>
      </c>
      <c r="AL83" t="s">
        <v>12</v>
      </c>
      <c r="AM83" t="s">
        <v>12</v>
      </c>
      <c r="AN83" t="s">
        <v>12</v>
      </c>
      <c r="AO83" t="s">
        <v>12</v>
      </c>
    </row>
    <row r="84" spans="1:41" x14ac:dyDescent="0.35">
      <c r="A84">
        <v>20984457</v>
      </c>
      <c r="B84">
        <v>202503</v>
      </c>
      <c r="C84">
        <v>20607025917</v>
      </c>
      <c r="D84" t="s">
        <v>233</v>
      </c>
      <c r="E84" t="s">
        <v>1</v>
      </c>
      <c r="F84">
        <v>10256990</v>
      </c>
      <c r="G84" t="s">
        <v>45</v>
      </c>
      <c r="H84" t="s">
        <v>234</v>
      </c>
      <c r="I84">
        <v>80099.9140625</v>
      </c>
      <c r="J84" s="1">
        <v>45471</v>
      </c>
      <c r="K84">
        <v>15.5</v>
      </c>
      <c r="L84" t="s">
        <v>37</v>
      </c>
      <c r="M84" t="s">
        <v>37</v>
      </c>
      <c r="N84" t="s">
        <v>47</v>
      </c>
      <c r="O84">
        <v>202406</v>
      </c>
      <c r="P84">
        <v>90004.5</v>
      </c>
      <c r="Q84" t="s">
        <v>234</v>
      </c>
      <c r="R84" t="s">
        <v>235</v>
      </c>
      <c r="S84" t="s">
        <v>49</v>
      </c>
      <c r="T84" t="s">
        <v>50</v>
      </c>
      <c r="U84" t="s">
        <v>20</v>
      </c>
      <c r="V84">
        <v>1</v>
      </c>
      <c r="W84" t="s">
        <v>10</v>
      </c>
      <c r="X84" t="s">
        <v>12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12</v>
      </c>
      <c r="AG84" t="s">
        <v>12</v>
      </c>
      <c r="AH84" t="s">
        <v>12</v>
      </c>
      <c r="AI84" t="s">
        <v>12</v>
      </c>
      <c r="AJ84" t="s">
        <v>12</v>
      </c>
      <c r="AK84">
        <v>992947235</v>
      </c>
      <c r="AL84">
        <v>0</v>
      </c>
      <c r="AM84">
        <v>0</v>
      </c>
      <c r="AN84" t="s">
        <v>12</v>
      </c>
      <c r="AO84" t="s">
        <v>12</v>
      </c>
    </row>
    <row r="85" spans="1:41" x14ac:dyDescent="0.35">
      <c r="A85">
        <v>17846822</v>
      </c>
      <c r="B85">
        <v>202509</v>
      </c>
      <c r="C85">
        <v>20607134716</v>
      </c>
      <c r="D85" t="s">
        <v>236</v>
      </c>
      <c r="E85" t="s">
        <v>1</v>
      </c>
      <c r="F85">
        <v>10253763</v>
      </c>
      <c r="G85" t="s">
        <v>45</v>
      </c>
      <c r="H85" t="s">
        <v>159</v>
      </c>
      <c r="I85">
        <v>49594.62890625</v>
      </c>
      <c r="J85" s="1">
        <v>45439</v>
      </c>
      <c r="K85">
        <v>15.5</v>
      </c>
      <c r="L85" t="s">
        <v>37</v>
      </c>
      <c r="M85" t="s">
        <v>37</v>
      </c>
      <c r="N85" t="s">
        <v>47</v>
      </c>
      <c r="O85">
        <v>202405</v>
      </c>
      <c r="P85">
        <v>80191</v>
      </c>
      <c r="Q85" t="s">
        <v>117</v>
      </c>
      <c r="R85" t="s">
        <v>118</v>
      </c>
      <c r="S85" t="s">
        <v>39</v>
      </c>
      <c r="T85" t="s">
        <v>40</v>
      </c>
      <c r="U85" t="s">
        <v>41</v>
      </c>
      <c r="V85">
        <v>1</v>
      </c>
      <c r="W85" t="s">
        <v>10</v>
      </c>
      <c r="X85" t="s">
        <v>11</v>
      </c>
      <c r="Y85">
        <v>1</v>
      </c>
      <c r="Z85">
        <v>1</v>
      </c>
      <c r="AA85">
        <v>0</v>
      </c>
      <c r="AB85">
        <v>0</v>
      </c>
      <c r="AC85">
        <v>1</v>
      </c>
      <c r="AD85">
        <v>0</v>
      </c>
      <c r="AE85">
        <v>0</v>
      </c>
      <c r="AF85" t="s">
        <v>12</v>
      </c>
      <c r="AG85" t="s">
        <v>12</v>
      </c>
      <c r="AH85" t="s">
        <v>12</v>
      </c>
      <c r="AI85" t="s">
        <v>12</v>
      </c>
      <c r="AJ85" t="s">
        <v>12</v>
      </c>
      <c r="AK85">
        <v>400000</v>
      </c>
      <c r="AL85">
        <v>0.2</v>
      </c>
      <c r="AM85">
        <v>0.18</v>
      </c>
      <c r="AN85" t="s">
        <v>12</v>
      </c>
      <c r="AO85" t="s">
        <v>12</v>
      </c>
    </row>
    <row r="86" spans="1:41" x14ac:dyDescent="0.35">
      <c r="A86">
        <v>18938516</v>
      </c>
      <c r="B86">
        <v>202602</v>
      </c>
      <c r="C86">
        <v>20609450691</v>
      </c>
      <c r="D86" t="s">
        <v>237</v>
      </c>
      <c r="E86" t="s">
        <v>1</v>
      </c>
      <c r="F86">
        <v>10272572</v>
      </c>
      <c r="G86" t="s">
        <v>92</v>
      </c>
      <c r="H86" t="s">
        <v>227</v>
      </c>
      <c r="I86">
        <v>171807.84375</v>
      </c>
      <c r="J86" s="1">
        <v>45957</v>
      </c>
      <c r="K86">
        <v>20.5</v>
      </c>
      <c r="L86" t="s">
        <v>4</v>
      </c>
      <c r="M86" t="s">
        <v>4</v>
      </c>
      <c r="N86" t="s">
        <v>41</v>
      </c>
      <c r="O86">
        <v>202510</v>
      </c>
      <c r="P86">
        <v>200010</v>
      </c>
      <c r="Q86" t="s">
        <v>227</v>
      </c>
      <c r="R86" t="s">
        <v>228</v>
      </c>
      <c r="S86" t="s">
        <v>127</v>
      </c>
      <c r="T86" t="s">
        <v>147</v>
      </c>
      <c r="U86" t="s">
        <v>20</v>
      </c>
      <c r="V86">
        <v>1</v>
      </c>
      <c r="W86" t="s">
        <v>10</v>
      </c>
      <c r="X86" t="s">
        <v>22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12</v>
      </c>
      <c r="AG86" t="s">
        <v>12</v>
      </c>
      <c r="AH86" t="s">
        <v>12</v>
      </c>
      <c r="AI86" t="s">
        <v>12</v>
      </c>
      <c r="AJ86" t="s">
        <v>12</v>
      </c>
      <c r="AK86">
        <v>1</v>
      </c>
      <c r="AL86">
        <v>1</v>
      </c>
      <c r="AM86" t="s">
        <v>12</v>
      </c>
      <c r="AN86" t="s">
        <v>12</v>
      </c>
      <c r="AO86" t="s">
        <v>12</v>
      </c>
    </row>
    <row r="87" spans="1:41" x14ac:dyDescent="0.35">
      <c r="A87">
        <v>17907616</v>
      </c>
      <c r="B87">
        <v>202510</v>
      </c>
      <c r="C87">
        <v>20606476036</v>
      </c>
      <c r="D87" t="s">
        <v>238</v>
      </c>
      <c r="E87" t="s">
        <v>1</v>
      </c>
      <c r="F87">
        <v>10253089</v>
      </c>
      <c r="G87" t="s">
        <v>45</v>
      </c>
      <c r="H87" t="s">
        <v>49</v>
      </c>
      <c r="I87">
        <v>52177.8359375</v>
      </c>
      <c r="J87" s="1">
        <v>45432</v>
      </c>
      <c r="K87">
        <v>16.5</v>
      </c>
      <c r="L87" t="s">
        <v>37</v>
      </c>
      <c r="M87" t="s">
        <v>37</v>
      </c>
      <c r="N87" t="s">
        <v>47</v>
      </c>
      <c r="O87">
        <v>202405</v>
      </c>
      <c r="P87">
        <v>90004.5</v>
      </c>
      <c r="Q87" t="s">
        <v>12</v>
      </c>
      <c r="R87" t="s">
        <v>12</v>
      </c>
      <c r="S87" t="s">
        <v>12</v>
      </c>
      <c r="T87" t="s">
        <v>12</v>
      </c>
      <c r="U87" t="s">
        <v>12</v>
      </c>
      <c r="V87" t="s">
        <v>12</v>
      </c>
      <c r="W87" t="s">
        <v>12</v>
      </c>
      <c r="X87" t="s">
        <v>12</v>
      </c>
      <c r="Y87" t="s">
        <v>12</v>
      </c>
      <c r="Z87" t="s">
        <v>12</v>
      </c>
      <c r="AA87" t="s">
        <v>12</v>
      </c>
      <c r="AB87" t="s">
        <v>12</v>
      </c>
      <c r="AC87" t="s">
        <v>12</v>
      </c>
      <c r="AD87" t="s">
        <v>12</v>
      </c>
      <c r="AE87" t="s">
        <v>12</v>
      </c>
      <c r="AF87" t="s">
        <v>12</v>
      </c>
      <c r="AG87" t="s">
        <v>12</v>
      </c>
      <c r="AH87" t="s">
        <v>12</v>
      </c>
      <c r="AI87" t="s">
        <v>12</v>
      </c>
      <c r="AJ87" t="s">
        <v>12</v>
      </c>
      <c r="AK87" t="s">
        <v>12</v>
      </c>
      <c r="AL87" t="s">
        <v>12</v>
      </c>
      <c r="AM87" t="s">
        <v>12</v>
      </c>
      <c r="AN87" t="s">
        <v>12</v>
      </c>
      <c r="AO87" t="s">
        <v>12</v>
      </c>
    </row>
    <row r="88" spans="1:41" x14ac:dyDescent="0.35">
      <c r="A88">
        <v>21471059</v>
      </c>
      <c r="B88">
        <v>202512</v>
      </c>
      <c r="C88">
        <v>20569280576</v>
      </c>
      <c r="D88" t="s">
        <v>239</v>
      </c>
      <c r="E88" t="s">
        <v>1</v>
      </c>
      <c r="F88">
        <v>10265222</v>
      </c>
      <c r="G88" t="s">
        <v>24</v>
      </c>
      <c r="H88" t="s">
        <v>240</v>
      </c>
      <c r="I88">
        <v>62428.81640625</v>
      </c>
      <c r="J88" s="1">
        <v>45699</v>
      </c>
      <c r="K88">
        <v>18.200001</v>
      </c>
      <c r="L88" t="s">
        <v>37</v>
      </c>
      <c r="M88" t="s">
        <v>37</v>
      </c>
      <c r="N88" t="s">
        <v>98</v>
      </c>
      <c r="O88">
        <v>202502</v>
      </c>
      <c r="P88">
        <v>100005</v>
      </c>
      <c r="Q88" t="s">
        <v>240</v>
      </c>
      <c r="R88" t="s">
        <v>241</v>
      </c>
      <c r="S88" t="s">
        <v>39</v>
      </c>
      <c r="T88" t="s">
        <v>40</v>
      </c>
      <c r="U88" t="s">
        <v>70</v>
      </c>
      <c r="V88">
        <v>1</v>
      </c>
      <c r="W88" t="s">
        <v>10</v>
      </c>
      <c r="X88" t="s">
        <v>11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12</v>
      </c>
      <c r="AG88" t="s">
        <v>12</v>
      </c>
      <c r="AH88" t="s">
        <v>12</v>
      </c>
      <c r="AI88" t="s">
        <v>12</v>
      </c>
      <c r="AJ88" t="s">
        <v>12</v>
      </c>
      <c r="AK88">
        <v>200000</v>
      </c>
      <c r="AL88">
        <v>0.19</v>
      </c>
      <c r="AM88">
        <v>0.17</v>
      </c>
      <c r="AN88" t="s">
        <v>12</v>
      </c>
      <c r="AO88" t="s">
        <v>12</v>
      </c>
    </row>
    <row r="89" spans="1:41" x14ac:dyDescent="0.35">
      <c r="A89">
        <v>22026843</v>
      </c>
      <c r="B89">
        <v>202601</v>
      </c>
      <c r="C89">
        <v>20477711619</v>
      </c>
      <c r="D89" t="s">
        <v>242</v>
      </c>
      <c r="E89" t="s">
        <v>1</v>
      </c>
      <c r="F89">
        <v>10274080</v>
      </c>
      <c r="G89" t="s">
        <v>24</v>
      </c>
      <c r="H89" t="s">
        <v>159</v>
      </c>
      <c r="I89">
        <v>166429.28125</v>
      </c>
      <c r="J89" s="1">
        <v>46010</v>
      </c>
      <c r="K89">
        <v>16</v>
      </c>
      <c r="L89" t="s">
        <v>37</v>
      </c>
      <c r="M89" t="s">
        <v>37</v>
      </c>
      <c r="N89" t="s">
        <v>98</v>
      </c>
      <c r="O89">
        <v>202512</v>
      </c>
      <c r="P89">
        <v>190009.5</v>
      </c>
      <c r="Q89" t="s">
        <v>12</v>
      </c>
      <c r="R89" t="s">
        <v>12</v>
      </c>
      <c r="S89" t="s">
        <v>12</v>
      </c>
      <c r="T89" t="s">
        <v>12</v>
      </c>
      <c r="U89" t="s">
        <v>12</v>
      </c>
      <c r="V89" t="s">
        <v>12</v>
      </c>
      <c r="W89" t="s">
        <v>12</v>
      </c>
      <c r="X89" t="s">
        <v>12</v>
      </c>
      <c r="Y89" t="s">
        <v>12</v>
      </c>
      <c r="Z89" t="s">
        <v>12</v>
      </c>
      <c r="AA89" t="s">
        <v>12</v>
      </c>
      <c r="AB89" t="s">
        <v>12</v>
      </c>
      <c r="AC89" t="s">
        <v>12</v>
      </c>
      <c r="AD89" t="s">
        <v>12</v>
      </c>
      <c r="AE89" t="s">
        <v>12</v>
      </c>
      <c r="AF89" t="s">
        <v>12</v>
      </c>
      <c r="AG89" t="s">
        <v>12</v>
      </c>
      <c r="AH89" t="s">
        <v>12</v>
      </c>
      <c r="AI89" t="s">
        <v>12</v>
      </c>
      <c r="AJ89" t="s">
        <v>12</v>
      </c>
      <c r="AK89" t="s">
        <v>12</v>
      </c>
      <c r="AL89" t="s">
        <v>12</v>
      </c>
      <c r="AM89" t="s">
        <v>12</v>
      </c>
      <c r="AN89" t="s">
        <v>12</v>
      </c>
      <c r="AO89" t="s">
        <v>12</v>
      </c>
    </row>
    <row r="90" spans="1:41" x14ac:dyDescent="0.35">
      <c r="A90">
        <v>21824849</v>
      </c>
      <c r="B90">
        <v>202512</v>
      </c>
      <c r="C90">
        <v>20611840820</v>
      </c>
      <c r="D90" t="s">
        <v>243</v>
      </c>
      <c r="E90" t="s">
        <v>1</v>
      </c>
      <c r="F90">
        <v>10270989</v>
      </c>
      <c r="G90" t="s">
        <v>73</v>
      </c>
      <c r="H90" t="s">
        <v>244</v>
      </c>
      <c r="I90">
        <v>128052.1796875</v>
      </c>
      <c r="J90" s="1">
        <v>45898</v>
      </c>
      <c r="K90">
        <v>20</v>
      </c>
      <c r="L90" t="s">
        <v>4</v>
      </c>
      <c r="M90" t="s">
        <v>75</v>
      </c>
      <c r="N90" t="s">
        <v>20</v>
      </c>
      <c r="O90">
        <v>202508</v>
      </c>
      <c r="P90">
        <v>150007.5</v>
      </c>
      <c r="Q90" t="s">
        <v>3</v>
      </c>
      <c r="R90" t="s">
        <v>6</v>
      </c>
      <c r="S90" t="s">
        <v>7</v>
      </c>
      <c r="T90" t="s">
        <v>8</v>
      </c>
      <c r="U90" t="s">
        <v>9</v>
      </c>
      <c r="V90">
        <v>1</v>
      </c>
      <c r="W90" t="s">
        <v>10</v>
      </c>
      <c r="X90" t="s">
        <v>51</v>
      </c>
      <c r="Y90">
        <v>1</v>
      </c>
      <c r="Z90">
        <v>1</v>
      </c>
      <c r="AA90">
        <v>0</v>
      </c>
      <c r="AB90">
        <v>0</v>
      </c>
      <c r="AC90">
        <v>1</v>
      </c>
      <c r="AD90">
        <v>1</v>
      </c>
      <c r="AE90">
        <v>0</v>
      </c>
      <c r="AF90" t="s">
        <v>12</v>
      </c>
      <c r="AG90" t="s">
        <v>12</v>
      </c>
      <c r="AH90" t="s">
        <v>12</v>
      </c>
      <c r="AI90" t="s">
        <v>12</v>
      </c>
      <c r="AJ90" t="s">
        <v>12</v>
      </c>
      <c r="AK90">
        <v>0</v>
      </c>
      <c r="AL90">
        <v>0</v>
      </c>
      <c r="AM90">
        <v>0</v>
      </c>
      <c r="AN90" t="s">
        <v>12</v>
      </c>
      <c r="AO90" t="s">
        <v>12</v>
      </c>
    </row>
    <row r="91" spans="1:41" x14ac:dyDescent="0.35">
      <c r="A91">
        <v>17846680</v>
      </c>
      <c r="B91">
        <v>202511</v>
      </c>
      <c r="C91">
        <v>10296176155</v>
      </c>
      <c r="D91" t="s">
        <v>245</v>
      </c>
      <c r="E91">
        <v>29617615</v>
      </c>
      <c r="F91">
        <v>10272590</v>
      </c>
      <c r="G91" t="s">
        <v>92</v>
      </c>
      <c r="H91" t="s">
        <v>246</v>
      </c>
      <c r="I91">
        <v>35078.5703125</v>
      </c>
      <c r="J91" s="1">
        <v>45958</v>
      </c>
      <c r="K91">
        <v>19.969999000000001</v>
      </c>
      <c r="L91" t="s">
        <v>4</v>
      </c>
      <c r="M91" t="s">
        <v>4</v>
      </c>
      <c r="N91" t="s">
        <v>41</v>
      </c>
      <c r="O91">
        <v>202510</v>
      </c>
      <c r="P91">
        <v>50002.5</v>
      </c>
      <c r="Q91" t="s">
        <v>246</v>
      </c>
      <c r="R91" t="s">
        <v>247</v>
      </c>
      <c r="S91" t="s">
        <v>18</v>
      </c>
      <c r="T91" t="s">
        <v>122</v>
      </c>
      <c r="U91" t="s">
        <v>20</v>
      </c>
      <c r="V91">
        <v>1</v>
      </c>
      <c r="W91" t="s">
        <v>10</v>
      </c>
      <c r="X91" t="s">
        <v>59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12</v>
      </c>
      <c r="AG91" t="s">
        <v>12</v>
      </c>
      <c r="AH91" t="s">
        <v>12</v>
      </c>
      <c r="AI91" t="s">
        <v>12</v>
      </c>
      <c r="AJ91" t="s">
        <v>12</v>
      </c>
      <c r="AK91">
        <v>1</v>
      </c>
      <c r="AL91">
        <v>1</v>
      </c>
      <c r="AM91" t="s">
        <v>12</v>
      </c>
      <c r="AN91" t="s">
        <v>12</v>
      </c>
      <c r="AO91" t="s">
        <v>12</v>
      </c>
    </row>
    <row r="92" spans="1:41" x14ac:dyDescent="0.35">
      <c r="A92">
        <v>14871125</v>
      </c>
      <c r="B92">
        <v>202510</v>
      </c>
      <c r="C92">
        <v>10400626231</v>
      </c>
      <c r="D92" t="s">
        <v>248</v>
      </c>
      <c r="E92">
        <v>40062623</v>
      </c>
      <c r="F92">
        <v>10269713</v>
      </c>
      <c r="G92" t="s">
        <v>100</v>
      </c>
      <c r="H92" t="s">
        <v>249</v>
      </c>
      <c r="I92">
        <v>129753.96875</v>
      </c>
      <c r="J92" s="1">
        <v>45855</v>
      </c>
      <c r="K92">
        <v>15</v>
      </c>
      <c r="L92" t="s">
        <v>37</v>
      </c>
      <c r="M92" t="s">
        <v>37</v>
      </c>
      <c r="N92" t="s">
        <v>102</v>
      </c>
      <c r="O92">
        <v>202507</v>
      </c>
      <c r="P92">
        <v>139156.95000000001</v>
      </c>
      <c r="Q92" t="s">
        <v>249</v>
      </c>
      <c r="R92" t="s">
        <v>12</v>
      </c>
      <c r="S92" t="s">
        <v>12</v>
      </c>
      <c r="T92" t="s">
        <v>12</v>
      </c>
      <c r="U92" t="s">
        <v>20</v>
      </c>
      <c r="V92">
        <v>2</v>
      </c>
      <c r="W92" t="s">
        <v>90</v>
      </c>
      <c r="X92" t="s">
        <v>12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12</v>
      </c>
      <c r="AG92" t="s">
        <v>12</v>
      </c>
      <c r="AH92" t="s">
        <v>12</v>
      </c>
      <c r="AI92" t="s">
        <v>12</v>
      </c>
      <c r="AJ92" t="s">
        <v>12</v>
      </c>
      <c r="AK92">
        <v>1</v>
      </c>
      <c r="AL92">
        <v>1</v>
      </c>
      <c r="AM92" t="s">
        <v>12</v>
      </c>
      <c r="AN92" t="s">
        <v>12</v>
      </c>
      <c r="AO92" t="s">
        <v>12</v>
      </c>
    </row>
    <row r="93" spans="1:41" x14ac:dyDescent="0.35">
      <c r="A93">
        <v>18193892</v>
      </c>
      <c r="B93">
        <v>202506</v>
      </c>
      <c r="C93">
        <v>20555136430</v>
      </c>
      <c r="D93" t="s">
        <v>250</v>
      </c>
      <c r="E93" t="s">
        <v>1</v>
      </c>
      <c r="F93">
        <v>10267593</v>
      </c>
      <c r="G93" t="s">
        <v>92</v>
      </c>
      <c r="H93" t="s">
        <v>251</v>
      </c>
      <c r="I93">
        <v>289595.8125</v>
      </c>
      <c r="J93" s="1">
        <v>45777</v>
      </c>
      <c r="K93">
        <v>16.5</v>
      </c>
      <c r="L93" t="s">
        <v>86</v>
      </c>
      <c r="M93" t="s">
        <v>86</v>
      </c>
      <c r="N93" t="s">
        <v>41</v>
      </c>
      <c r="O93">
        <v>202504</v>
      </c>
      <c r="P93">
        <v>300015</v>
      </c>
      <c r="Q93" t="s">
        <v>251</v>
      </c>
      <c r="R93" t="s">
        <v>252</v>
      </c>
      <c r="S93" t="s">
        <v>111</v>
      </c>
      <c r="T93" t="s">
        <v>112</v>
      </c>
      <c r="U93" t="s">
        <v>20</v>
      </c>
      <c r="V93">
        <v>2</v>
      </c>
      <c r="W93" t="s">
        <v>10</v>
      </c>
      <c r="X93" t="s">
        <v>12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12</v>
      </c>
      <c r="AG93" t="s">
        <v>12</v>
      </c>
      <c r="AH93" t="s">
        <v>12</v>
      </c>
      <c r="AI93" t="s">
        <v>12</v>
      </c>
      <c r="AJ93" t="s">
        <v>12</v>
      </c>
      <c r="AK93">
        <v>1</v>
      </c>
      <c r="AL93">
        <v>0.2233</v>
      </c>
      <c r="AM93" t="s">
        <v>12</v>
      </c>
      <c r="AN93" t="s">
        <v>12</v>
      </c>
      <c r="AO93" t="s">
        <v>12</v>
      </c>
    </row>
    <row r="94" spans="1:41" x14ac:dyDescent="0.35">
      <c r="A94">
        <v>18485477</v>
      </c>
      <c r="B94">
        <v>202507</v>
      </c>
      <c r="C94">
        <v>10428341606</v>
      </c>
      <c r="D94" t="s">
        <v>253</v>
      </c>
      <c r="E94">
        <v>42834160</v>
      </c>
      <c r="F94">
        <v>10266248</v>
      </c>
      <c r="G94" t="s">
        <v>14</v>
      </c>
      <c r="H94" t="s">
        <v>254</v>
      </c>
      <c r="I94">
        <v>51373.09765625</v>
      </c>
      <c r="J94" s="1">
        <v>45733</v>
      </c>
      <c r="K94">
        <v>18</v>
      </c>
      <c r="L94" t="s">
        <v>37</v>
      </c>
      <c r="M94" t="s">
        <v>37</v>
      </c>
      <c r="N94" t="s">
        <v>16</v>
      </c>
      <c r="O94">
        <v>202503</v>
      </c>
      <c r="P94">
        <v>60003</v>
      </c>
      <c r="Q94" t="s">
        <v>12</v>
      </c>
      <c r="R94" t="s">
        <v>12</v>
      </c>
      <c r="S94" t="s">
        <v>12</v>
      </c>
      <c r="T94" t="s">
        <v>12</v>
      </c>
      <c r="U94" t="s">
        <v>12</v>
      </c>
      <c r="V94" t="s">
        <v>12</v>
      </c>
      <c r="W94" t="s">
        <v>12</v>
      </c>
      <c r="X94" t="s">
        <v>12</v>
      </c>
      <c r="Y94" t="s">
        <v>12</v>
      </c>
      <c r="Z94" t="s">
        <v>12</v>
      </c>
      <c r="AA94" t="s">
        <v>12</v>
      </c>
      <c r="AB94" t="s">
        <v>12</v>
      </c>
      <c r="AC94" t="s">
        <v>12</v>
      </c>
      <c r="AD94" t="s">
        <v>12</v>
      </c>
      <c r="AE94" t="s">
        <v>12</v>
      </c>
      <c r="AF94" t="s">
        <v>12</v>
      </c>
      <c r="AG94" t="s">
        <v>12</v>
      </c>
      <c r="AH94" t="s">
        <v>12</v>
      </c>
      <c r="AI94" t="s">
        <v>12</v>
      </c>
      <c r="AJ94" t="s">
        <v>12</v>
      </c>
      <c r="AK94" t="s">
        <v>12</v>
      </c>
      <c r="AL94" t="s">
        <v>12</v>
      </c>
      <c r="AM94" t="s">
        <v>12</v>
      </c>
      <c r="AN94" t="s">
        <v>12</v>
      </c>
      <c r="AO94" t="s">
        <v>12</v>
      </c>
    </row>
    <row r="95" spans="1:41" x14ac:dyDescent="0.35">
      <c r="A95">
        <v>16084437</v>
      </c>
      <c r="B95">
        <v>202502</v>
      </c>
      <c r="C95">
        <v>20600855892</v>
      </c>
      <c r="D95" t="s">
        <v>255</v>
      </c>
      <c r="E95" t="s">
        <v>1</v>
      </c>
      <c r="F95">
        <v>10168223</v>
      </c>
      <c r="G95" t="s">
        <v>2</v>
      </c>
      <c r="H95" t="s">
        <v>82</v>
      </c>
      <c r="I95">
        <v>111617.140625</v>
      </c>
      <c r="J95" s="1">
        <v>45649</v>
      </c>
      <c r="K95">
        <v>18.38</v>
      </c>
      <c r="L95" t="s">
        <v>4</v>
      </c>
      <c r="M95" t="s">
        <v>4</v>
      </c>
      <c r="N95" t="s">
        <v>5</v>
      </c>
      <c r="O95">
        <v>202412</v>
      </c>
      <c r="P95">
        <v>120006</v>
      </c>
      <c r="Q95" t="s">
        <v>82</v>
      </c>
      <c r="R95" t="s">
        <v>83</v>
      </c>
      <c r="S95" t="s">
        <v>49</v>
      </c>
      <c r="T95" t="s">
        <v>50</v>
      </c>
      <c r="U95" t="s">
        <v>20</v>
      </c>
      <c r="V95">
        <v>1</v>
      </c>
      <c r="W95" t="s">
        <v>10</v>
      </c>
      <c r="X95" t="s">
        <v>12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12</v>
      </c>
      <c r="AG95" t="s">
        <v>12</v>
      </c>
      <c r="AH95" t="s">
        <v>12</v>
      </c>
      <c r="AI95" t="s">
        <v>12</v>
      </c>
      <c r="AJ95" t="s">
        <v>12</v>
      </c>
      <c r="AK95">
        <v>986245610</v>
      </c>
      <c r="AL95">
        <v>0</v>
      </c>
      <c r="AM95">
        <v>0</v>
      </c>
      <c r="AN95" t="s">
        <v>12</v>
      </c>
      <c r="AO95" t="s">
        <v>12</v>
      </c>
    </row>
    <row r="96" spans="1:41" x14ac:dyDescent="0.35">
      <c r="A96">
        <v>13441837</v>
      </c>
      <c r="B96">
        <v>202512</v>
      </c>
      <c r="C96">
        <v>20487956687</v>
      </c>
      <c r="D96" t="s">
        <v>256</v>
      </c>
      <c r="E96" t="s">
        <v>1</v>
      </c>
      <c r="F96">
        <v>10249900</v>
      </c>
      <c r="G96" t="s">
        <v>65</v>
      </c>
      <c r="H96" t="s">
        <v>257</v>
      </c>
      <c r="I96">
        <v>121276.7734375</v>
      </c>
      <c r="J96" s="1">
        <v>45377</v>
      </c>
      <c r="K96">
        <v>12.98</v>
      </c>
      <c r="L96" t="s">
        <v>4</v>
      </c>
      <c r="M96" t="s">
        <v>4</v>
      </c>
      <c r="N96" t="s">
        <v>47</v>
      </c>
      <c r="O96">
        <v>202403</v>
      </c>
      <c r="P96">
        <v>300015</v>
      </c>
      <c r="Q96" t="s">
        <v>257</v>
      </c>
      <c r="R96" t="s">
        <v>258</v>
      </c>
      <c r="S96" t="s">
        <v>49</v>
      </c>
      <c r="T96" t="s">
        <v>50</v>
      </c>
      <c r="U96" t="s">
        <v>20</v>
      </c>
      <c r="V96">
        <v>1</v>
      </c>
      <c r="W96" t="s">
        <v>10</v>
      </c>
      <c r="X96" t="s">
        <v>22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12</v>
      </c>
      <c r="AG96" t="s">
        <v>12</v>
      </c>
      <c r="AH96" t="s">
        <v>12</v>
      </c>
      <c r="AI96" t="s">
        <v>12</v>
      </c>
      <c r="AJ96" t="s">
        <v>12</v>
      </c>
      <c r="AK96">
        <v>1</v>
      </c>
      <c r="AL96">
        <v>1</v>
      </c>
      <c r="AM96" t="s">
        <v>12</v>
      </c>
      <c r="AN96" t="s">
        <v>12</v>
      </c>
      <c r="AO96" t="s">
        <v>12</v>
      </c>
    </row>
    <row r="97" spans="1:41" x14ac:dyDescent="0.35">
      <c r="A97">
        <v>21578123</v>
      </c>
      <c r="B97">
        <v>202510</v>
      </c>
      <c r="C97">
        <v>20608146114</v>
      </c>
      <c r="D97" t="s">
        <v>259</v>
      </c>
      <c r="E97" t="s">
        <v>1</v>
      </c>
      <c r="F97">
        <v>10266975</v>
      </c>
      <c r="G97" t="s">
        <v>100</v>
      </c>
      <c r="H97" t="s">
        <v>260</v>
      </c>
      <c r="I97">
        <v>134131.171875</v>
      </c>
      <c r="J97" s="1">
        <v>45757</v>
      </c>
      <c r="K97">
        <v>18</v>
      </c>
      <c r="L97" t="s">
        <v>37</v>
      </c>
      <c r="M97" t="s">
        <v>37</v>
      </c>
      <c r="N97" t="s">
        <v>102</v>
      </c>
      <c r="O97">
        <v>202504</v>
      </c>
      <c r="P97">
        <v>199009.95</v>
      </c>
      <c r="Q97" t="s">
        <v>260</v>
      </c>
      <c r="R97" t="s">
        <v>261</v>
      </c>
      <c r="S97" t="s">
        <v>18</v>
      </c>
      <c r="T97" t="s">
        <v>122</v>
      </c>
      <c r="U97" t="s">
        <v>70</v>
      </c>
      <c r="V97">
        <v>1</v>
      </c>
      <c r="W97" t="s">
        <v>10</v>
      </c>
      <c r="X97" t="s">
        <v>12</v>
      </c>
      <c r="Y97">
        <v>1</v>
      </c>
      <c r="Z97">
        <v>1</v>
      </c>
      <c r="AA97">
        <v>0</v>
      </c>
      <c r="AB97">
        <v>0</v>
      </c>
      <c r="AC97">
        <v>1</v>
      </c>
      <c r="AD97">
        <v>1</v>
      </c>
      <c r="AE97">
        <v>0</v>
      </c>
      <c r="AF97" t="s">
        <v>12</v>
      </c>
      <c r="AG97" t="s">
        <v>12</v>
      </c>
      <c r="AH97" t="s">
        <v>12</v>
      </c>
      <c r="AI97" t="s">
        <v>12</v>
      </c>
      <c r="AJ97" t="s">
        <v>12</v>
      </c>
      <c r="AK97">
        <v>140000</v>
      </c>
      <c r="AL97">
        <v>0.19670000000000001</v>
      </c>
      <c r="AM97">
        <v>0.1767</v>
      </c>
      <c r="AN97" t="s">
        <v>12</v>
      </c>
      <c r="AO97" t="s">
        <v>12</v>
      </c>
    </row>
    <row r="98" spans="1:41" x14ac:dyDescent="0.35">
      <c r="A98">
        <v>21452834</v>
      </c>
      <c r="B98">
        <v>202506</v>
      </c>
      <c r="C98">
        <v>20480161468</v>
      </c>
      <c r="D98" t="s">
        <v>262</v>
      </c>
      <c r="E98" t="s">
        <v>1</v>
      </c>
      <c r="F98">
        <v>10264908</v>
      </c>
      <c r="G98" t="s">
        <v>24</v>
      </c>
      <c r="H98" t="s">
        <v>124</v>
      </c>
      <c r="I98">
        <v>96319.1640625</v>
      </c>
      <c r="J98" s="1">
        <v>45686</v>
      </c>
      <c r="K98">
        <v>18.200001</v>
      </c>
      <c r="L98" t="s">
        <v>37</v>
      </c>
      <c r="M98" t="s">
        <v>37</v>
      </c>
      <c r="N98" t="s">
        <v>98</v>
      </c>
      <c r="O98">
        <v>202501</v>
      </c>
      <c r="P98">
        <v>120006</v>
      </c>
      <c r="Q98" t="s">
        <v>124</v>
      </c>
      <c r="R98" t="s">
        <v>125</v>
      </c>
      <c r="S98" t="s">
        <v>88</v>
      </c>
      <c r="T98" t="s">
        <v>89</v>
      </c>
      <c r="U98" t="s">
        <v>20</v>
      </c>
      <c r="V98">
        <v>2</v>
      </c>
      <c r="W98" t="s">
        <v>10</v>
      </c>
      <c r="X98" t="s">
        <v>12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12</v>
      </c>
      <c r="AG98" t="s">
        <v>12</v>
      </c>
      <c r="AH98" t="s">
        <v>12</v>
      </c>
      <c r="AI98" t="s">
        <v>12</v>
      </c>
      <c r="AJ98" t="s">
        <v>12</v>
      </c>
      <c r="AK98">
        <v>1</v>
      </c>
      <c r="AL98">
        <v>0.2283</v>
      </c>
      <c r="AM98" t="s">
        <v>12</v>
      </c>
      <c r="AN98" t="s">
        <v>12</v>
      </c>
      <c r="AO98" t="s">
        <v>12</v>
      </c>
    </row>
    <row r="99" spans="1:41" x14ac:dyDescent="0.35">
      <c r="A99">
        <v>14858332</v>
      </c>
      <c r="B99">
        <v>202512</v>
      </c>
      <c r="C99">
        <v>10461020564</v>
      </c>
      <c r="D99" t="s">
        <v>263</v>
      </c>
      <c r="E99">
        <v>46102056</v>
      </c>
      <c r="F99">
        <v>10258728</v>
      </c>
      <c r="G99" t="s">
        <v>45</v>
      </c>
      <c r="H99" t="s">
        <v>175</v>
      </c>
      <c r="I99">
        <v>1894.25866699219</v>
      </c>
      <c r="J99" s="1">
        <v>45513</v>
      </c>
      <c r="K99">
        <v>14.5</v>
      </c>
      <c r="L99" t="s">
        <v>37</v>
      </c>
      <c r="M99" t="s">
        <v>37</v>
      </c>
      <c r="N99" t="s">
        <v>47</v>
      </c>
      <c r="O99">
        <v>202408</v>
      </c>
      <c r="P99">
        <v>46513.3</v>
      </c>
      <c r="Q99" t="s">
        <v>175</v>
      </c>
      <c r="R99" t="s">
        <v>176</v>
      </c>
      <c r="S99" t="s">
        <v>127</v>
      </c>
      <c r="T99" t="s">
        <v>147</v>
      </c>
      <c r="U99" t="s">
        <v>20</v>
      </c>
      <c r="V99">
        <v>1</v>
      </c>
      <c r="W99" t="s">
        <v>10</v>
      </c>
      <c r="X99" t="s">
        <v>59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12</v>
      </c>
      <c r="AG99" t="s">
        <v>12</v>
      </c>
      <c r="AH99" t="s">
        <v>12</v>
      </c>
      <c r="AI99" t="s">
        <v>12</v>
      </c>
      <c r="AJ99" t="s">
        <v>12</v>
      </c>
      <c r="AK99">
        <v>1</v>
      </c>
      <c r="AL99">
        <v>1</v>
      </c>
      <c r="AM99" t="s">
        <v>12</v>
      </c>
      <c r="AN99" t="s">
        <v>12</v>
      </c>
      <c r="AO99" t="s">
        <v>12</v>
      </c>
    </row>
    <row r="100" spans="1:41" x14ac:dyDescent="0.35">
      <c r="A100">
        <v>9484503</v>
      </c>
      <c r="B100">
        <v>202502</v>
      </c>
      <c r="C100">
        <v>10098889103</v>
      </c>
      <c r="D100" t="s">
        <v>264</v>
      </c>
      <c r="E100">
        <v>9888910</v>
      </c>
      <c r="F100">
        <v>10170574</v>
      </c>
      <c r="G100" t="s">
        <v>2</v>
      </c>
      <c r="H100" t="s">
        <v>265</v>
      </c>
      <c r="I100">
        <v>22902.708984375</v>
      </c>
      <c r="J100" s="1">
        <v>45593</v>
      </c>
      <c r="K100">
        <v>17</v>
      </c>
      <c r="L100" t="s">
        <v>4</v>
      </c>
      <c r="M100" t="s">
        <v>4</v>
      </c>
      <c r="N100" t="s">
        <v>5</v>
      </c>
      <c r="O100">
        <v>202410</v>
      </c>
      <c r="P100">
        <v>128006.39999999999</v>
      </c>
      <c r="Q100" t="s">
        <v>265</v>
      </c>
      <c r="R100" t="s">
        <v>266</v>
      </c>
      <c r="S100" t="s">
        <v>18</v>
      </c>
      <c r="T100" t="s">
        <v>122</v>
      </c>
      <c r="U100" t="s">
        <v>20</v>
      </c>
      <c r="V100">
        <v>1</v>
      </c>
      <c r="W100" t="s">
        <v>90</v>
      </c>
      <c r="X100" t="s">
        <v>12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12</v>
      </c>
      <c r="AG100" t="s">
        <v>12</v>
      </c>
      <c r="AH100" t="s">
        <v>12</v>
      </c>
      <c r="AI100" t="s">
        <v>12</v>
      </c>
      <c r="AJ100" t="s">
        <v>12</v>
      </c>
      <c r="AK100">
        <v>990076169</v>
      </c>
      <c r="AL100">
        <v>0</v>
      </c>
      <c r="AM100">
        <v>0</v>
      </c>
      <c r="AN100" t="s">
        <v>12</v>
      </c>
      <c r="AO100" t="s">
        <v>12</v>
      </c>
    </row>
    <row r="101" spans="1:41" x14ac:dyDescent="0.35">
      <c r="A101">
        <v>12183475</v>
      </c>
      <c r="B101">
        <v>202511</v>
      </c>
      <c r="C101">
        <v>20451512804</v>
      </c>
      <c r="D101" t="s">
        <v>267</v>
      </c>
      <c r="E101" t="s">
        <v>1</v>
      </c>
      <c r="F101">
        <v>10271432</v>
      </c>
      <c r="G101" t="s">
        <v>268</v>
      </c>
      <c r="H101" t="s">
        <v>159</v>
      </c>
      <c r="I101">
        <v>45224.546875</v>
      </c>
      <c r="J101" s="1">
        <v>45917</v>
      </c>
      <c r="K101">
        <v>24</v>
      </c>
      <c r="L101" t="s">
        <v>37</v>
      </c>
      <c r="M101" t="s">
        <v>37</v>
      </c>
      <c r="N101" t="s">
        <v>98</v>
      </c>
      <c r="O101">
        <v>202509</v>
      </c>
      <c r="P101">
        <v>50002.5</v>
      </c>
      <c r="Q101" t="s">
        <v>12</v>
      </c>
      <c r="R101" t="s">
        <v>12</v>
      </c>
      <c r="S101" t="s">
        <v>12</v>
      </c>
      <c r="T101" t="s">
        <v>12</v>
      </c>
      <c r="U101" t="s">
        <v>196</v>
      </c>
      <c r="V101">
        <v>3</v>
      </c>
      <c r="W101" t="s">
        <v>10</v>
      </c>
      <c r="X101" t="s">
        <v>51</v>
      </c>
      <c r="Y101">
        <v>1</v>
      </c>
      <c r="Z101">
        <v>1</v>
      </c>
      <c r="AA101">
        <v>0</v>
      </c>
      <c r="AB101">
        <v>0</v>
      </c>
      <c r="AC101">
        <v>1</v>
      </c>
      <c r="AD101" t="s">
        <v>12</v>
      </c>
      <c r="AE101">
        <v>0</v>
      </c>
      <c r="AF101" t="s">
        <v>12</v>
      </c>
      <c r="AG101" t="s">
        <v>12</v>
      </c>
      <c r="AH101" t="s">
        <v>12</v>
      </c>
      <c r="AI101" t="s">
        <v>12</v>
      </c>
      <c r="AJ101" t="s">
        <v>12</v>
      </c>
      <c r="AK101" t="s">
        <v>12</v>
      </c>
      <c r="AL101" t="s">
        <v>12</v>
      </c>
      <c r="AM101" t="s">
        <v>12</v>
      </c>
      <c r="AN101" t="s">
        <v>269</v>
      </c>
      <c r="AO101" t="s">
        <v>270</v>
      </c>
    </row>
    <row r="102" spans="1:41" x14ac:dyDescent="0.35">
      <c r="A102">
        <v>20012438</v>
      </c>
      <c r="B102">
        <v>202510</v>
      </c>
      <c r="C102">
        <v>20548434026</v>
      </c>
      <c r="D102" t="s">
        <v>271</v>
      </c>
      <c r="E102" t="s">
        <v>1</v>
      </c>
      <c r="F102">
        <v>10269400</v>
      </c>
      <c r="G102" t="s">
        <v>100</v>
      </c>
      <c r="H102" t="s">
        <v>159</v>
      </c>
      <c r="I102">
        <v>58884.50390625</v>
      </c>
      <c r="J102" s="1">
        <v>45846</v>
      </c>
      <c r="K102">
        <v>17.25</v>
      </c>
      <c r="L102" t="s">
        <v>37</v>
      </c>
      <c r="M102" t="s">
        <v>37</v>
      </c>
      <c r="N102" t="s">
        <v>102</v>
      </c>
      <c r="O102">
        <v>202507</v>
      </c>
      <c r="P102">
        <v>65003.25</v>
      </c>
      <c r="Q102" t="s">
        <v>12</v>
      </c>
      <c r="R102" t="s">
        <v>12</v>
      </c>
      <c r="S102" t="s">
        <v>12</v>
      </c>
      <c r="T102" t="s">
        <v>12</v>
      </c>
      <c r="U102" t="s">
        <v>12</v>
      </c>
      <c r="V102" t="s">
        <v>12</v>
      </c>
      <c r="W102" t="s">
        <v>12</v>
      </c>
      <c r="X102" t="s">
        <v>12</v>
      </c>
      <c r="Y102" t="s">
        <v>12</v>
      </c>
      <c r="Z102" t="s">
        <v>12</v>
      </c>
      <c r="AA102" t="s">
        <v>12</v>
      </c>
      <c r="AB102" t="s">
        <v>12</v>
      </c>
      <c r="AC102" t="s">
        <v>12</v>
      </c>
      <c r="AD102" t="s">
        <v>12</v>
      </c>
      <c r="AE102" t="s">
        <v>12</v>
      </c>
      <c r="AF102" t="s">
        <v>12</v>
      </c>
      <c r="AG102" t="s">
        <v>12</v>
      </c>
      <c r="AH102" t="s">
        <v>12</v>
      </c>
      <c r="AI102" t="s">
        <v>12</v>
      </c>
      <c r="AJ102" t="s">
        <v>12</v>
      </c>
      <c r="AK102" t="s">
        <v>12</v>
      </c>
      <c r="AL102" t="s">
        <v>12</v>
      </c>
      <c r="AM102" t="s">
        <v>12</v>
      </c>
      <c r="AN102" t="s">
        <v>12</v>
      </c>
      <c r="AO102" t="s">
        <v>12</v>
      </c>
    </row>
    <row r="103" spans="1:41" x14ac:dyDescent="0.35">
      <c r="A103">
        <v>16359292</v>
      </c>
      <c r="B103">
        <v>202508</v>
      </c>
      <c r="C103">
        <v>10740903107</v>
      </c>
      <c r="D103" t="s">
        <v>272</v>
      </c>
      <c r="E103">
        <v>74090310</v>
      </c>
      <c r="F103">
        <v>10256211</v>
      </c>
      <c r="G103" t="s">
        <v>65</v>
      </c>
      <c r="H103" t="s">
        <v>159</v>
      </c>
      <c r="I103">
        <v>52392.73046875</v>
      </c>
      <c r="J103" s="1">
        <v>45467</v>
      </c>
      <c r="K103">
        <v>15.4</v>
      </c>
      <c r="L103" t="s">
        <v>4</v>
      </c>
      <c r="M103" t="s">
        <v>4</v>
      </c>
      <c r="N103" t="s">
        <v>47</v>
      </c>
      <c r="O103">
        <v>202406</v>
      </c>
      <c r="P103">
        <v>75003.75</v>
      </c>
      <c r="Q103" t="s">
        <v>273</v>
      </c>
      <c r="R103" t="s">
        <v>12</v>
      </c>
      <c r="S103" t="s">
        <v>12</v>
      </c>
      <c r="T103" t="s">
        <v>12</v>
      </c>
      <c r="U103" t="s">
        <v>41</v>
      </c>
      <c r="V103">
        <v>2</v>
      </c>
      <c r="W103" t="s">
        <v>90</v>
      </c>
      <c r="X103" t="s">
        <v>12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12</v>
      </c>
      <c r="AG103" t="s">
        <v>12</v>
      </c>
      <c r="AH103" t="s">
        <v>12</v>
      </c>
      <c r="AI103" t="s">
        <v>12</v>
      </c>
      <c r="AJ103" t="s">
        <v>12</v>
      </c>
      <c r="AK103">
        <v>300000</v>
      </c>
      <c r="AL103">
        <v>0.21</v>
      </c>
      <c r="AM103">
        <v>0.19</v>
      </c>
      <c r="AN103" t="s">
        <v>12</v>
      </c>
      <c r="AO103" t="s">
        <v>12</v>
      </c>
    </row>
    <row r="104" spans="1:41" x14ac:dyDescent="0.35">
      <c r="A104">
        <v>16359292</v>
      </c>
      <c r="B104">
        <v>202508</v>
      </c>
      <c r="C104">
        <v>10740903107</v>
      </c>
      <c r="D104" t="s">
        <v>272</v>
      </c>
      <c r="E104">
        <v>74090310</v>
      </c>
      <c r="F104">
        <v>10256211</v>
      </c>
      <c r="G104" t="s">
        <v>65</v>
      </c>
      <c r="H104" t="s">
        <v>159</v>
      </c>
      <c r="I104">
        <v>52392.73046875</v>
      </c>
      <c r="J104" s="1">
        <v>45467</v>
      </c>
      <c r="K104">
        <v>15.4</v>
      </c>
      <c r="L104" t="s">
        <v>4</v>
      </c>
      <c r="M104" t="s">
        <v>4</v>
      </c>
      <c r="N104" t="s">
        <v>47</v>
      </c>
      <c r="O104">
        <v>202406</v>
      </c>
      <c r="P104">
        <v>75003.75</v>
      </c>
      <c r="Q104" t="s">
        <v>273</v>
      </c>
      <c r="R104" t="s">
        <v>274</v>
      </c>
      <c r="S104" t="s">
        <v>39</v>
      </c>
      <c r="T104" t="s">
        <v>40</v>
      </c>
      <c r="U104" t="s">
        <v>41</v>
      </c>
      <c r="V104">
        <v>1</v>
      </c>
      <c r="W104" t="s">
        <v>90</v>
      </c>
      <c r="X104" t="s">
        <v>12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12</v>
      </c>
      <c r="AG104" t="s">
        <v>12</v>
      </c>
      <c r="AH104" t="s">
        <v>12</v>
      </c>
      <c r="AI104" t="s">
        <v>12</v>
      </c>
      <c r="AJ104" t="s">
        <v>12</v>
      </c>
      <c r="AK104">
        <v>300000</v>
      </c>
      <c r="AL104">
        <v>0.21</v>
      </c>
      <c r="AM104">
        <v>0.19</v>
      </c>
      <c r="AN104" t="s">
        <v>12</v>
      </c>
      <c r="AO104" t="s">
        <v>12</v>
      </c>
    </row>
    <row r="105" spans="1:41" x14ac:dyDescent="0.35">
      <c r="A105">
        <v>21031029</v>
      </c>
      <c r="B105">
        <v>202504</v>
      </c>
      <c r="C105">
        <v>20603209487</v>
      </c>
      <c r="D105" t="s">
        <v>275</v>
      </c>
      <c r="E105" t="s">
        <v>1</v>
      </c>
      <c r="F105">
        <v>10257949</v>
      </c>
      <c r="G105" t="s">
        <v>45</v>
      </c>
      <c r="H105" t="s">
        <v>159</v>
      </c>
      <c r="I105">
        <v>44498.73828125</v>
      </c>
      <c r="J105" s="1">
        <v>45498</v>
      </c>
      <c r="K105">
        <v>15.5</v>
      </c>
      <c r="L105" t="s">
        <v>37</v>
      </c>
      <c r="M105" t="s">
        <v>37</v>
      </c>
      <c r="N105" t="s">
        <v>47</v>
      </c>
      <c r="O105">
        <v>202407</v>
      </c>
      <c r="P105">
        <v>50002.5</v>
      </c>
      <c r="Q105" t="s">
        <v>12</v>
      </c>
      <c r="R105" t="s">
        <v>12</v>
      </c>
      <c r="S105" t="s">
        <v>12</v>
      </c>
      <c r="T105" t="s">
        <v>12</v>
      </c>
      <c r="U105" t="s">
        <v>12</v>
      </c>
      <c r="V105" t="s">
        <v>12</v>
      </c>
      <c r="W105" t="s">
        <v>12</v>
      </c>
      <c r="X105" t="s">
        <v>12</v>
      </c>
      <c r="Y105" t="s">
        <v>12</v>
      </c>
      <c r="Z105" t="s">
        <v>12</v>
      </c>
      <c r="AA105" t="s">
        <v>12</v>
      </c>
      <c r="AB105" t="s">
        <v>12</v>
      </c>
      <c r="AC105" t="s">
        <v>12</v>
      </c>
      <c r="AD105" t="s">
        <v>12</v>
      </c>
      <c r="AE105" t="s">
        <v>12</v>
      </c>
      <c r="AF105" t="s">
        <v>12</v>
      </c>
      <c r="AG105" t="s">
        <v>12</v>
      </c>
      <c r="AH105" t="s">
        <v>12</v>
      </c>
      <c r="AI105" t="s">
        <v>12</v>
      </c>
      <c r="AJ105" t="s">
        <v>12</v>
      </c>
      <c r="AK105" t="s">
        <v>12</v>
      </c>
      <c r="AL105" t="s">
        <v>12</v>
      </c>
      <c r="AM105" t="s">
        <v>12</v>
      </c>
      <c r="AN105" t="s">
        <v>12</v>
      </c>
      <c r="AO105" t="s">
        <v>12</v>
      </c>
    </row>
    <row r="106" spans="1:41" x14ac:dyDescent="0.35">
      <c r="A106">
        <v>21281626</v>
      </c>
      <c r="B106">
        <v>202511</v>
      </c>
      <c r="C106">
        <v>20603038071</v>
      </c>
      <c r="D106" t="s">
        <v>276</v>
      </c>
      <c r="E106" t="s">
        <v>1</v>
      </c>
      <c r="F106">
        <v>10262245</v>
      </c>
      <c r="G106" t="s">
        <v>65</v>
      </c>
      <c r="H106" t="s">
        <v>124</v>
      </c>
      <c r="I106">
        <v>69888.078125</v>
      </c>
      <c r="J106" s="1">
        <v>45596</v>
      </c>
      <c r="K106">
        <v>14.9</v>
      </c>
      <c r="L106" t="s">
        <v>37</v>
      </c>
      <c r="M106" t="s">
        <v>37</v>
      </c>
      <c r="N106" t="s">
        <v>47</v>
      </c>
      <c r="O106">
        <v>202410</v>
      </c>
      <c r="P106">
        <v>90004.5</v>
      </c>
      <c r="Q106" t="s">
        <v>124</v>
      </c>
      <c r="R106" t="s">
        <v>125</v>
      </c>
      <c r="S106" t="s">
        <v>88</v>
      </c>
      <c r="T106" t="s">
        <v>89</v>
      </c>
      <c r="U106" t="s">
        <v>20</v>
      </c>
      <c r="V106">
        <v>2</v>
      </c>
      <c r="W106" t="s">
        <v>10</v>
      </c>
      <c r="X106" t="s">
        <v>51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12</v>
      </c>
      <c r="AG106" t="s">
        <v>12</v>
      </c>
      <c r="AH106" t="s">
        <v>12</v>
      </c>
      <c r="AI106" t="s">
        <v>12</v>
      </c>
      <c r="AJ106" t="s">
        <v>12</v>
      </c>
      <c r="AK106">
        <v>1</v>
      </c>
      <c r="AL106">
        <v>1</v>
      </c>
      <c r="AM106" t="s">
        <v>12</v>
      </c>
      <c r="AN106" t="s">
        <v>12</v>
      </c>
      <c r="AO106" t="s">
        <v>12</v>
      </c>
    </row>
    <row r="107" spans="1:41" x14ac:dyDescent="0.35">
      <c r="A107">
        <v>21046898</v>
      </c>
      <c r="B107">
        <v>202502</v>
      </c>
      <c r="C107">
        <v>20569169462</v>
      </c>
      <c r="D107" t="s">
        <v>277</v>
      </c>
      <c r="E107" t="s">
        <v>1</v>
      </c>
      <c r="F107">
        <v>10258245</v>
      </c>
      <c r="G107" t="s">
        <v>65</v>
      </c>
      <c r="H107" t="s">
        <v>159</v>
      </c>
      <c r="I107">
        <v>33711.83984375</v>
      </c>
      <c r="J107" s="1">
        <v>45503</v>
      </c>
      <c r="K107">
        <v>14.8</v>
      </c>
      <c r="L107" t="s">
        <v>37</v>
      </c>
      <c r="M107" t="s">
        <v>37</v>
      </c>
      <c r="N107" t="s">
        <v>47</v>
      </c>
      <c r="O107">
        <v>202407</v>
      </c>
      <c r="P107">
        <v>35001.75</v>
      </c>
      <c r="Q107" t="s">
        <v>12</v>
      </c>
      <c r="R107" t="s">
        <v>12</v>
      </c>
      <c r="S107" t="s">
        <v>12</v>
      </c>
      <c r="T107" t="s">
        <v>12</v>
      </c>
      <c r="U107" t="s">
        <v>12</v>
      </c>
      <c r="V107" t="s">
        <v>12</v>
      </c>
      <c r="W107" t="s">
        <v>12</v>
      </c>
      <c r="X107" t="s">
        <v>12</v>
      </c>
      <c r="Y107" t="s">
        <v>12</v>
      </c>
      <c r="Z107" t="s">
        <v>12</v>
      </c>
      <c r="AA107" t="s">
        <v>12</v>
      </c>
      <c r="AB107" t="s">
        <v>12</v>
      </c>
      <c r="AC107" t="s">
        <v>12</v>
      </c>
      <c r="AD107" t="s">
        <v>12</v>
      </c>
      <c r="AE107" t="s">
        <v>12</v>
      </c>
      <c r="AF107" t="s">
        <v>12</v>
      </c>
      <c r="AG107" t="s">
        <v>12</v>
      </c>
      <c r="AH107" t="s">
        <v>12</v>
      </c>
      <c r="AI107" t="s">
        <v>12</v>
      </c>
      <c r="AJ107" t="s">
        <v>12</v>
      </c>
      <c r="AK107" t="s">
        <v>12</v>
      </c>
      <c r="AL107" t="s">
        <v>12</v>
      </c>
      <c r="AM107" t="s">
        <v>12</v>
      </c>
      <c r="AN107" t="s">
        <v>12</v>
      </c>
      <c r="AO107" t="s">
        <v>12</v>
      </c>
    </row>
    <row r="108" spans="1:41" x14ac:dyDescent="0.35">
      <c r="A108">
        <v>21780932</v>
      </c>
      <c r="B108">
        <v>202602</v>
      </c>
      <c r="C108">
        <v>20606999012</v>
      </c>
      <c r="D108" t="s">
        <v>278</v>
      </c>
      <c r="E108" t="s">
        <v>1</v>
      </c>
      <c r="F108">
        <v>10270218</v>
      </c>
      <c r="G108" t="s">
        <v>100</v>
      </c>
      <c r="H108" t="s">
        <v>7</v>
      </c>
      <c r="I108">
        <v>171589.359375</v>
      </c>
      <c r="J108" s="1">
        <v>45876</v>
      </c>
      <c r="K108">
        <v>15</v>
      </c>
      <c r="L108" t="s">
        <v>37</v>
      </c>
      <c r="M108" t="s">
        <v>37</v>
      </c>
      <c r="N108" t="s">
        <v>102</v>
      </c>
      <c r="O108">
        <v>202508</v>
      </c>
      <c r="P108">
        <v>232092.6</v>
      </c>
      <c r="Q108" t="s">
        <v>25</v>
      </c>
      <c r="R108" t="s">
        <v>279</v>
      </c>
      <c r="S108" t="s">
        <v>7</v>
      </c>
      <c r="T108" t="s">
        <v>8</v>
      </c>
      <c r="U108" t="s">
        <v>63</v>
      </c>
      <c r="V108">
        <v>1</v>
      </c>
      <c r="W108" t="s">
        <v>10</v>
      </c>
      <c r="X108" t="s">
        <v>22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12</v>
      </c>
      <c r="AG108" t="s">
        <v>12</v>
      </c>
      <c r="AH108" t="s">
        <v>12</v>
      </c>
      <c r="AI108" t="s">
        <v>12</v>
      </c>
      <c r="AJ108" t="s">
        <v>12</v>
      </c>
      <c r="AK108">
        <v>250000</v>
      </c>
      <c r="AL108">
        <v>0.21</v>
      </c>
      <c r="AM108">
        <v>0.19</v>
      </c>
      <c r="AN108" t="s">
        <v>12</v>
      </c>
      <c r="AO108" t="s">
        <v>12</v>
      </c>
    </row>
    <row r="109" spans="1:41" x14ac:dyDescent="0.35">
      <c r="A109">
        <v>21599160</v>
      </c>
      <c r="B109">
        <v>202512</v>
      </c>
      <c r="C109">
        <v>20608526286</v>
      </c>
      <c r="D109" t="s">
        <v>280</v>
      </c>
      <c r="E109" t="s">
        <v>1</v>
      </c>
      <c r="F109">
        <v>10267237</v>
      </c>
      <c r="G109" t="s">
        <v>28</v>
      </c>
      <c r="H109" t="s">
        <v>57</v>
      </c>
      <c r="I109">
        <v>95664.3359375</v>
      </c>
      <c r="J109" s="1">
        <v>45769</v>
      </c>
      <c r="K109">
        <v>18</v>
      </c>
      <c r="L109" t="s">
        <v>4</v>
      </c>
      <c r="M109" t="s">
        <v>75</v>
      </c>
      <c r="N109" t="s">
        <v>26</v>
      </c>
      <c r="O109">
        <v>202504</v>
      </c>
      <c r="P109">
        <v>136006.79999999999</v>
      </c>
      <c r="Q109" t="s">
        <v>57</v>
      </c>
      <c r="R109" t="s">
        <v>58</v>
      </c>
      <c r="S109" t="s">
        <v>39</v>
      </c>
      <c r="T109" t="s">
        <v>40</v>
      </c>
      <c r="U109" t="s">
        <v>41</v>
      </c>
      <c r="V109">
        <v>1</v>
      </c>
      <c r="W109" t="s">
        <v>10</v>
      </c>
      <c r="X109" t="s">
        <v>51</v>
      </c>
      <c r="Y109">
        <v>1</v>
      </c>
      <c r="Z109">
        <v>1</v>
      </c>
      <c r="AA109">
        <v>0</v>
      </c>
      <c r="AB109">
        <v>0</v>
      </c>
      <c r="AC109">
        <v>1</v>
      </c>
      <c r="AD109">
        <v>1</v>
      </c>
      <c r="AE109">
        <v>0</v>
      </c>
      <c r="AF109" t="s">
        <v>12</v>
      </c>
      <c r="AG109" t="s">
        <v>12</v>
      </c>
      <c r="AH109" t="s">
        <v>12</v>
      </c>
      <c r="AI109" t="s">
        <v>12</v>
      </c>
      <c r="AJ109" t="s">
        <v>12</v>
      </c>
      <c r="AK109">
        <v>68500</v>
      </c>
      <c r="AL109">
        <v>0.21</v>
      </c>
      <c r="AM109">
        <v>0.17</v>
      </c>
      <c r="AN109" t="s">
        <v>12</v>
      </c>
      <c r="AO109" t="s">
        <v>12</v>
      </c>
    </row>
    <row r="110" spans="1:41" x14ac:dyDescent="0.35">
      <c r="A110">
        <v>20718991</v>
      </c>
      <c r="B110">
        <v>202511</v>
      </c>
      <c r="C110">
        <v>20605271007</v>
      </c>
      <c r="D110" t="s">
        <v>281</v>
      </c>
      <c r="E110" t="s">
        <v>1</v>
      </c>
      <c r="F110">
        <v>10264385</v>
      </c>
      <c r="G110" t="s">
        <v>65</v>
      </c>
      <c r="H110" t="s">
        <v>85</v>
      </c>
      <c r="I110">
        <v>76653.328125</v>
      </c>
      <c r="J110" s="1">
        <v>45656</v>
      </c>
      <c r="K110">
        <v>14</v>
      </c>
      <c r="L110" t="s">
        <v>37</v>
      </c>
      <c r="M110" t="s">
        <v>37</v>
      </c>
      <c r="N110" t="s">
        <v>47</v>
      </c>
      <c r="O110">
        <v>202412</v>
      </c>
      <c r="P110">
        <v>90004.5</v>
      </c>
      <c r="Q110" t="s">
        <v>85</v>
      </c>
      <c r="R110" t="s">
        <v>87</v>
      </c>
      <c r="S110" t="s">
        <v>88</v>
      </c>
      <c r="T110" t="s">
        <v>89</v>
      </c>
      <c r="U110" t="s">
        <v>41</v>
      </c>
      <c r="V110">
        <v>2</v>
      </c>
      <c r="W110" t="s">
        <v>10</v>
      </c>
      <c r="X110" t="s">
        <v>51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12</v>
      </c>
      <c r="AG110" t="s">
        <v>12</v>
      </c>
      <c r="AH110" t="s">
        <v>12</v>
      </c>
      <c r="AI110" t="s">
        <v>12</v>
      </c>
      <c r="AJ110" t="s">
        <v>12</v>
      </c>
      <c r="AK110">
        <v>60200</v>
      </c>
      <c r="AL110">
        <v>0.21</v>
      </c>
      <c r="AM110">
        <v>0.19</v>
      </c>
      <c r="AN110" t="s">
        <v>12</v>
      </c>
      <c r="AO110" t="s">
        <v>12</v>
      </c>
    </row>
    <row r="111" spans="1:41" x14ac:dyDescent="0.35">
      <c r="A111">
        <v>12608210</v>
      </c>
      <c r="B111">
        <v>202601</v>
      </c>
      <c r="C111">
        <v>20544539907</v>
      </c>
      <c r="D111" t="s">
        <v>282</v>
      </c>
      <c r="E111" t="s">
        <v>1</v>
      </c>
      <c r="F111">
        <v>10265791</v>
      </c>
      <c r="G111" t="s">
        <v>268</v>
      </c>
      <c r="H111" t="s">
        <v>159</v>
      </c>
      <c r="I111">
        <v>11271.9140625</v>
      </c>
      <c r="J111" s="1">
        <v>45715</v>
      </c>
      <c r="K111">
        <v>21.700001</v>
      </c>
      <c r="L111" t="s">
        <v>37</v>
      </c>
      <c r="M111" t="s">
        <v>37</v>
      </c>
      <c r="N111" t="s">
        <v>98</v>
      </c>
      <c r="O111">
        <v>202502</v>
      </c>
      <c r="P111">
        <v>30001.5</v>
      </c>
      <c r="Q111" t="s">
        <v>85</v>
      </c>
      <c r="R111" t="s">
        <v>87</v>
      </c>
      <c r="S111" t="s">
        <v>88</v>
      </c>
      <c r="T111" t="s">
        <v>89</v>
      </c>
      <c r="U111" t="s">
        <v>63</v>
      </c>
      <c r="V111">
        <v>2</v>
      </c>
      <c r="W111" t="s">
        <v>21</v>
      </c>
      <c r="X111" t="s">
        <v>59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 t="s">
        <v>12</v>
      </c>
      <c r="AG111" t="s">
        <v>12</v>
      </c>
      <c r="AH111" t="s">
        <v>12</v>
      </c>
      <c r="AI111" t="s">
        <v>12</v>
      </c>
      <c r="AJ111" t="s">
        <v>12</v>
      </c>
      <c r="AK111">
        <v>50000</v>
      </c>
      <c r="AL111">
        <v>0.22170000000000001</v>
      </c>
      <c r="AM111">
        <v>0.20169999999999999</v>
      </c>
      <c r="AN111" t="s">
        <v>12</v>
      </c>
      <c r="AO111" t="s">
        <v>12</v>
      </c>
    </row>
    <row r="112" spans="1:41" x14ac:dyDescent="0.35">
      <c r="A112">
        <v>21499161</v>
      </c>
      <c r="B112">
        <v>202601</v>
      </c>
      <c r="C112">
        <v>20602235646</v>
      </c>
      <c r="D112" t="s">
        <v>283</v>
      </c>
      <c r="E112" t="s">
        <v>1</v>
      </c>
      <c r="F112">
        <v>10265714</v>
      </c>
      <c r="G112" t="s">
        <v>100</v>
      </c>
      <c r="H112" t="s">
        <v>284</v>
      </c>
      <c r="I112">
        <v>183304.359375</v>
      </c>
      <c r="J112" s="1">
        <v>45714</v>
      </c>
      <c r="K112">
        <v>13</v>
      </c>
      <c r="L112" t="s">
        <v>37</v>
      </c>
      <c r="M112" t="s">
        <v>37</v>
      </c>
      <c r="N112" t="s">
        <v>102</v>
      </c>
      <c r="O112">
        <v>202502</v>
      </c>
      <c r="P112">
        <v>250012.5</v>
      </c>
      <c r="Q112" t="s">
        <v>284</v>
      </c>
      <c r="R112" t="s">
        <v>285</v>
      </c>
      <c r="S112" t="s">
        <v>31</v>
      </c>
      <c r="T112" t="s">
        <v>32</v>
      </c>
      <c r="U112" t="s">
        <v>63</v>
      </c>
      <c r="V112">
        <v>1</v>
      </c>
      <c r="W112" t="s">
        <v>10</v>
      </c>
      <c r="X112" t="s">
        <v>22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12</v>
      </c>
      <c r="AG112" t="s">
        <v>12</v>
      </c>
      <c r="AH112" t="s">
        <v>12</v>
      </c>
      <c r="AI112" t="s">
        <v>12</v>
      </c>
      <c r="AJ112" t="s">
        <v>12</v>
      </c>
      <c r="AK112">
        <v>130000</v>
      </c>
      <c r="AL112">
        <v>0.26169999999999999</v>
      </c>
      <c r="AM112">
        <v>0.2417</v>
      </c>
      <c r="AN112" t="s">
        <v>12</v>
      </c>
      <c r="AO112" t="s">
        <v>12</v>
      </c>
    </row>
    <row r="113" spans="1:41" x14ac:dyDescent="0.35">
      <c r="A113">
        <v>21550338</v>
      </c>
      <c r="B113">
        <v>202511</v>
      </c>
      <c r="C113">
        <v>20605458212</v>
      </c>
      <c r="D113" t="s">
        <v>286</v>
      </c>
      <c r="E113" t="s">
        <v>1</v>
      </c>
      <c r="F113">
        <v>10266634</v>
      </c>
      <c r="G113" t="s">
        <v>28</v>
      </c>
      <c r="H113" t="s">
        <v>273</v>
      </c>
      <c r="I113">
        <v>64311.8984375</v>
      </c>
      <c r="J113" s="1">
        <v>45743</v>
      </c>
      <c r="K113">
        <v>18</v>
      </c>
      <c r="L113" t="s">
        <v>4</v>
      </c>
      <c r="M113" t="s">
        <v>75</v>
      </c>
      <c r="N113" t="s">
        <v>26</v>
      </c>
      <c r="O113">
        <v>202503</v>
      </c>
      <c r="P113">
        <v>100005</v>
      </c>
      <c r="Q113" t="s">
        <v>12</v>
      </c>
      <c r="R113" t="s">
        <v>12</v>
      </c>
      <c r="S113" t="s">
        <v>12</v>
      </c>
      <c r="T113" t="s">
        <v>12</v>
      </c>
      <c r="U113" t="s">
        <v>12</v>
      </c>
      <c r="V113" t="s">
        <v>12</v>
      </c>
      <c r="W113" t="s">
        <v>12</v>
      </c>
      <c r="X113" t="s">
        <v>12</v>
      </c>
      <c r="Y113" t="s">
        <v>12</v>
      </c>
      <c r="Z113" t="s">
        <v>12</v>
      </c>
      <c r="AA113" t="s">
        <v>12</v>
      </c>
      <c r="AB113" t="s">
        <v>12</v>
      </c>
      <c r="AC113" t="s">
        <v>12</v>
      </c>
      <c r="AD113" t="s">
        <v>12</v>
      </c>
      <c r="AE113" t="s">
        <v>12</v>
      </c>
      <c r="AF113" t="s">
        <v>12</v>
      </c>
      <c r="AG113" t="s">
        <v>12</v>
      </c>
      <c r="AH113" t="s">
        <v>12</v>
      </c>
      <c r="AI113" t="s">
        <v>12</v>
      </c>
      <c r="AJ113" t="s">
        <v>12</v>
      </c>
      <c r="AK113" t="s">
        <v>12</v>
      </c>
      <c r="AL113" t="s">
        <v>12</v>
      </c>
      <c r="AM113" t="s">
        <v>12</v>
      </c>
      <c r="AN113" t="s">
        <v>12</v>
      </c>
      <c r="AO113" t="s">
        <v>12</v>
      </c>
    </row>
    <row r="114" spans="1:41" x14ac:dyDescent="0.35">
      <c r="A114">
        <v>12603884</v>
      </c>
      <c r="B114">
        <v>202505</v>
      </c>
      <c r="C114">
        <v>10293129679</v>
      </c>
      <c r="D114" t="s">
        <v>287</v>
      </c>
      <c r="E114">
        <v>29312967</v>
      </c>
      <c r="F114">
        <v>10267574</v>
      </c>
      <c r="G114" t="s">
        <v>24</v>
      </c>
      <c r="H114" t="s">
        <v>288</v>
      </c>
      <c r="I114">
        <v>50002.50390625</v>
      </c>
      <c r="J114" s="1">
        <v>45777</v>
      </c>
      <c r="K114">
        <v>22</v>
      </c>
      <c r="L114" t="s">
        <v>37</v>
      </c>
      <c r="M114" t="s">
        <v>37</v>
      </c>
      <c r="N114" t="s">
        <v>98</v>
      </c>
      <c r="O114">
        <v>202504</v>
      </c>
      <c r="P114">
        <v>50002.5</v>
      </c>
      <c r="Q114" t="s">
        <v>12</v>
      </c>
      <c r="R114" t="s">
        <v>12</v>
      </c>
      <c r="S114" t="s">
        <v>12</v>
      </c>
      <c r="T114" t="s">
        <v>12</v>
      </c>
      <c r="U114" t="s">
        <v>12</v>
      </c>
      <c r="V114" t="s">
        <v>12</v>
      </c>
      <c r="W114" t="s">
        <v>12</v>
      </c>
      <c r="X114" t="s">
        <v>12</v>
      </c>
      <c r="Y114" t="s">
        <v>12</v>
      </c>
      <c r="Z114" t="s">
        <v>12</v>
      </c>
      <c r="AA114" t="s">
        <v>12</v>
      </c>
      <c r="AB114" t="s">
        <v>12</v>
      </c>
      <c r="AC114" t="s">
        <v>12</v>
      </c>
      <c r="AD114" t="s">
        <v>12</v>
      </c>
      <c r="AE114" t="s">
        <v>12</v>
      </c>
      <c r="AF114" t="s">
        <v>12</v>
      </c>
      <c r="AG114" t="s">
        <v>12</v>
      </c>
      <c r="AH114" t="s">
        <v>12</v>
      </c>
      <c r="AI114" t="s">
        <v>12</v>
      </c>
      <c r="AJ114" t="s">
        <v>12</v>
      </c>
      <c r="AK114" t="s">
        <v>12</v>
      </c>
      <c r="AL114" t="s">
        <v>12</v>
      </c>
      <c r="AM114" t="s">
        <v>12</v>
      </c>
      <c r="AN114" t="s">
        <v>12</v>
      </c>
      <c r="AO114" t="s">
        <v>12</v>
      </c>
    </row>
    <row r="115" spans="1:41" x14ac:dyDescent="0.35">
      <c r="A115">
        <v>21502563</v>
      </c>
      <c r="B115">
        <v>202511</v>
      </c>
      <c r="C115">
        <v>20607916684</v>
      </c>
      <c r="D115" t="s">
        <v>289</v>
      </c>
      <c r="E115" t="s">
        <v>1</v>
      </c>
      <c r="F115">
        <v>10265738</v>
      </c>
      <c r="G115" t="s">
        <v>28</v>
      </c>
      <c r="H115" t="s">
        <v>124</v>
      </c>
      <c r="I115">
        <v>82122.6328125</v>
      </c>
      <c r="J115" s="1">
        <v>45714</v>
      </c>
      <c r="K115">
        <v>17</v>
      </c>
      <c r="L115" t="s">
        <v>4</v>
      </c>
      <c r="M115" t="s">
        <v>4</v>
      </c>
      <c r="N115" t="s">
        <v>26</v>
      </c>
      <c r="O115">
        <v>202502</v>
      </c>
      <c r="P115">
        <v>140007</v>
      </c>
      <c r="Q115" t="s">
        <v>124</v>
      </c>
      <c r="R115" t="s">
        <v>125</v>
      </c>
      <c r="S115" t="s">
        <v>88</v>
      </c>
      <c r="T115" t="s">
        <v>89</v>
      </c>
      <c r="U115" t="s">
        <v>41</v>
      </c>
      <c r="V115">
        <v>2</v>
      </c>
      <c r="W115" t="s">
        <v>10</v>
      </c>
      <c r="X115" t="s">
        <v>11</v>
      </c>
      <c r="Y115">
        <v>1</v>
      </c>
      <c r="Z115">
        <v>1</v>
      </c>
      <c r="AA115">
        <v>0</v>
      </c>
      <c r="AB115">
        <v>0</v>
      </c>
      <c r="AC115">
        <v>1</v>
      </c>
      <c r="AD115">
        <v>1</v>
      </c>
      <c r="AE115">
        <v>0</v>
      </c>
      <c r="AF115" t="s">
        <v>12</v>
      </c>
      <c r="AG115" t="s">
        <v>12</v>
      </c>
      <c r="AH115" t="s">
        <v>12</v>
      </c>
      <c r="AI115" t="s">
        <v>12</v>
      </c>
      <c r="AJ115" t="s">
        <v>12</v>
      </c>
      <c r="AK115">
        <v>400000</v>
      </c>
      <c r="AL115">
        <v>0.21</v>
      </c>
      <c r="AM115">
        <v>0.19</v>
      </c>
      <c r="AN115" t="s">
        <v>12</v>
      </c>
      <c r="AO115" t="s">
        <v>12</v>
      </c>
    </row>
    <row r="116" spans="1:41" x14ac:dyDescent="0.35">
      <c r="A116">
        <v>12834906</v>
      </c>
      <c r="B116">
        <v>202509</v>
      </c>
      <c r="C116">
        <v>20546048072</v>
      </c>
      <c r="D116" t="s">
        <v>290</v>
      </c>
      <c r="E116" t="s">
        <v>1</v>
      </c>
      <c r="F116">
        <v>10266192</v>
      </c>
      <c r="G116" t="s">
        <v>73</v>
      </c>
      <c r="H116" t="s">
        <v>204</v>
      </c>
      <c r="I116">
        <v>247616.90625</v>
      </c>
      <c r="J116" s="1">
        <v>45730</v>
      </c>
      <c r="K116">
        <v>14.5</v>
      </c>
      <c r="L116" t="s">
        <v>4</v>
      </c>
      <c r="M116" t="s">
        <v>4</v>
      </c>
      <c r="N116" t="s">
        <v>20</v>
      </c>
      <c r="O116">
        <v>202503</v>
      </c>
      <c r="P116">
        <v>300015</v>
      </c>
      <c r="Q116" t="s">
        <v>204</v>
      </c>
      <c r="R116" t="s">
        <v>291</v>
      </c>
      <c r="S116" t="s">
        <v>127</v>
      </c>
      <c r="T116" t="s">
        <v>147</v>
      </c>
      <c r="U116" t="s">
        <v>41</v>
      </c>
      <c r="V116">
        <v>1</v>
      </c>
      <c r="W116" t="s">
        <v>10</v>
      </c>
      <c r="X116" t="s">
        <v>11</v>
      </c>
      <c r="Y116">
        <v>1</v>
      </c>
      <c r="Z116">
        <v>1</v>
      </c>
      <c r="AA116">
        <v>0</v>
      </c>
      <c r="AB116">
        <v>0</v>
      </c>
      <c r="AC116">
        <v>1</v>
      </c>
      <c r="AD116">
        <v>1</v>
      </c>
      <c r="AE116">
        <v>0</v>
      </c>
      <c r="AF116" t="s">
        <v>12</v>
      </c>
      <c r="AG116" t="s">
        <v>12</v>
      </c>
      <c r="AH116" t="s">
        <v>12</v>
      </c>
      <c r="AI116" t="s">
        <v>12</v>
      </c>
      <c r="AJ116" t="s">
        <v>12</v>
      </c>
      <c r="AK116">
        <v>140800</v>
      </c>
      <c r="AL116">
        <v>0.18</v>
      </c>
      <c r="AM116">
        <v>0.16</v>
      </c>
      <c r="AN116" t="s">
        <v>12</v>
      </c>
      <c r="AO116" t="s">
        <v>12</v>
      </c>
    </row>
    <row r="117" spans="1:41" x14ac:dyDescent="0.35">
      <c r="A117">
        <v>16164562</v>
      </c>
      <c r="B117">
        <v>202507</v>
      </c>
      <c r="C117">
        <v>20600011813</v>
      </c>
      <c r="D117" t="s">
        <v>292</v>
      </c>
      <c r="E117" t="s">
        <v>1</v>
      </c>
      <c r="F117">
        <v>10262994</v>
      </c>
      <c r="G117" t="s">
        <v>293</v>
      </c>
      <c r="H117" t="s">
        <v>294</v>
      </c>
      <c r="I117">
        <v>323239.875</v>
      </c>
      <c r="J117" s="1">
        <v>45621</v>
      </c>
      <c r="K117">
        <v>11.9</v>
      </c>
      <c r="L117" t="s">
        <v>4</v>
      </c>
      <c r="M117" t="s">
        <v>4</v>
      </c>
      <c r="N117" t="s">
        <v>12</v>
      </c>
      <c r="O117">
        <v>202411</v>
      </c>
      <c r="P117">
        <v>400020</v>
      </c>
      <c r="Q117" t="s">
        <v>294</v>
      </c>
      <c r="R117" t="s">
        <v>295</v>
      </c>
      <c r="S117" t="s">
        <v>7</v>
      </c>
      <c r="T117" t="s">
        <v>8</v>
      </c>
      <c r="U117" t="s">
        <v>5</v>
      </c>
      <c r="V117">
        <v>1</v>
      </c>
      <c r="W117" t="s">
        <v>10</v>
      </c>
      <c r="X117" t="s">
        <v>12</v>
      </c>
      <c r="Y117">
        <v>1</v>
      </c>
      <c r="Z117">
        <v>1</v>
      </c>
      <c r="AA117">
        <v>0</v>
      </c>
      <c r="AB117">
        <v>0</v>
      </c>
      <c r="AC117">
        <v>1</v>
      </c>
      <c r="AD117">
        <v>1</v>
      </c>
      <c r="AE117">
        <v>0</v>
      </c>
      <c r="AF117" t="s">
        <v>12</v>
      </c>
      <c r="AG117" t="s">
        <v>12</v>
      </c>
      <c r="AH117" t="s">
        <v>12</v>
      </c>
      <c r="AI117" t="s">
        <v>12</v>
      </c>
      <c r="AJ117" t="s">
        <v>12</v>
      </c>
      <c r="AK117">
        <v>120000</v>
      </c>
      <c r="AL117">
        <v>0.21</v>
      </c>
      <c r="AM117">
        <v>0.19</v>
      </c>
      <c r="AN117" t="s">
        <v>12</v>
      </c>
      <c r="AO117" t="s">
        <v>12</v>
      </c>
    </row>
    <row r="118" spans="1:41" x14ac:dyDescent="0.35">
      <c r="A118">
        <v>21650898</v>
      </c>
      <c r="B118">
        <v>202511</v>
      </c>
      <c r="C118">
        <v>20554910549</v>
      </c>
      <c r="D118" t="s">
        <v>296</v>
      </c>
      <c r="E118" t="s">
        <v>1</v>
      </c>
      <c r="F118">
        <v>10268132</v>
      </c>
      <c r="G118" t="s">
        <v>24</v>
      </c>
      <c r="H118" t="s">
        <v>244</v>
      </c>
      <c r="I118">
        <v>116880.265625</v>
      </c>
      <c r="J118" s="1">
        <v>45803</v>
      </c>
      <c r="K118">
        <v>17</v>
      </c>
      <c r="L118" t="s">
        <v>37</v>
      </c>
      <c r="M118" t="s">
        <v>37</v>
      </c>
      <c r="N118" t="s">
        <v>98</v>
      </c>
      <c r="O118">
        <v>202505</v>
      </c>
      <c r="P118">
        <v>150007.5</v>
      </c>
      <c r="Q118" t="s">
        <v>244</v>
      </c>
      <c r="R118" t="s">
        <v>297</v>
      </c>
      <c r="S118" t="s">
        <v>7</v>
      </c>
      <c r="T118" t="s">
        <v>8</v>
      </c>
      <c r="U118" t="s">
        <v>41</v>
      </c>
      <c r="V118">
        <v>1</v>
      </c>
      <c r="W118" t="s">
        <v>10</v>
      </c>
      <c r="X118" t="s">
        <v>22</v>
      </c>
      <c r="Y118">
        <v>1</v>
      </c>
      <c r="Z118">
        <v>1</v>
      </c>
      <c r="AA118">
        <v>0</v>
      </c>
      <c r="AB118">
        <v>0</v>
      </c>
      <c r="AC118">
        <v>1</v>
      </c>
      <c r="AD118">
        <v>1</v>
      </c>
      <c r="AE118">
        <v>0</v>
      </c>
      <c r="AF118" t="s">
        <v>12</v>
      </c>
      <c r="AG118" t="s">
        <v>12</v>
      </c>
      <c r="AH118" t="s">
        <v>12</v>
      </c>
      <c r="AI118" t="s">
        <v>12</v>
      </c>
      <c r="AJ118" t="s">
        <v>12</v>
      </c>
      <c r="AK118">
        <v>250000</v>
      </c>
      <c r="AL118">
        <v>0.26379999999999998</v>
      </c>
      <c r="AM118">
        <v>0.24379999999999999</v>
      </c>
      <c r="AN118" t="s">
        <v>12</v>
      </c>
      <c r="AO118" t="s">
        <v>12</v>
      </c>
    </row>
    <row r="119" spans="1:41" x14ac:dyDescent="0.35">
      <c r="A119">
        <v>15206598</v>
      </c>
      <c r="B119">
        <v>202505</v>
      </c>
      <c r="C119">
        <v>20555229101</v>
      </c>
      <c r="D119" t="s">
        <v>298</v>
      </c>
      <c r="E119" t="s">
        <v>1</v>
      </c>
      <c r="F119">
        <v>10264394</v>
      </c>
      <c r="G119" t="s">
        <v>73</v>
      </c>
      <c r="H119" t="s">
        <v>227</v>
      </c>
      <c r="I119">
        <v>298671.8125</v>
      </c>
      <c r="J119" s="1">
        <v>45656</v>
      </c>
      <c r="K119">
        <v>16</v>
      </c>
      <c r="L119" t="s">
        <v>4</v>
      </c>
      <c r="M119" t="s">
        <v>4</v>
      </c>
      <c r="N119" t="s">
        <v>12</v>
      </c>
      <c r="O119">
        <v>202412</v>
      </c>
      <c r="P119">
        <v>300015</v>
      </c>
      <c r="Q119" t="s">
        <v>227</v>
      </c>
      <c r="R119" t="s">
        <v>228</v>
      </c>
      <c r="S119" t="s">
        <v>127</v>
      </c>
      <c r="T119" t="s">
        <v>147</v>
      </c>
      <c r="U119" t="s">
        <v>20</v>
      </c>
      <c r="V119">
        <v>1</v>
      </c>
      <c r="W119" t="s">
        <v>10</v>
      </c>
      <c r="X119" t="s">
        <v>12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12</v>
      </c>
      <c r="AG119" t="s">
        <v>12</v>
      </c>
      <c r="AH119" t="s">
        <v>12</v>
      </c>
      <c r="AI119" t="s">
        <v>12</v>
      </c>
      <c r="AJ119" t="s">
        <v>12</v>
      </c>
      <c r="AK119">
        <v>0</v>
      </c>
      <c r="AL119">
        <v>0</v>
      </c>
      <c r="AM119">
        <v>0.23780000000000001</v>
      </c>
      <c r="AN119" t="s">
        <v>12</v>
      </c>
      <c r="AO119" t="s">
        <v>12</v>
      </c>
    </row>
    <row r="120" spans="1:41" x14ac:dyDescent="0.35">
      <c r="A120">
        <v>21441344</v>
      </c>
      <c r="B120">
        <v>202503</v>
      </c>
      <c r="C120">
        <v>20604823910</v>
      </c>
      <c r="D120" t="s">
        <v>299</v>
      </c>
      <c r="E120" t="s">
        <v>1</v>
      </c>
      <c r="F120">
        <v>10264764</v>
      </c>
      <c r="G120" t="s">
        <v>28</v>
      </c>
      <c r="H120" t="s">
        <v>194</v>
      </c>
      <c r="I120">
        <v>117098.515625</v>
      </c>
      <c r="J120" s="1">
        <v>45680</v>
      </c>
      <c r="K120">
        <v>21.200001</v>
      </c>
      <c r="L120" t="s">
        <v>4</v>
      </c>
      <c r="M120" t="s">
        <v>4</v>
      </c>
      <c r="N120" t="s">
        <v>26</v>
      </c>
      <c r="O120">
        <v>202501</v>
      </c>
      <c r="P120">
        <v>120006</v>
      </c>
      <c r="Q120" t="s">
        <v>194</v>
      </c>
      <c r="R120" t="s">
        <v>195</v>
      </c>
      <c r="S120" t="s">
        <v>7</v>
      </c>
      <c r="T120" t="s">
        <v>8</v>
      </c>
      <c r="U120" t="s">
        <v>20</v>
      </c>
      <c r="V120">
        <v>1</v>
      </c>
      <c r="W120" t="s">
        <v>10</v>
      </c>
      <c r="X120" t="s">
        <v>12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12</v>
      </c>
      <c r="AG120" t="s">
        <v>12</v>
      </c>
      <c r="AH120" t="s">
        <v>12</v>
      </c>
      <c r="AI120" t="s">
        <v>12</v>
      </c>
      <c r="AJ120" t="s">
        <v>12</v>
      </c>
      <c r="AK120">
        <v>0</v>
      </c>
      <c r="AL120">
        <v>0</v>
      </c>
      <c r="AM120">
        <v>0</v>
      </c>
      <c r="AN120" t="s">
        <v>12</v>
      </c>
      <c r="AO120" t="s">
        <v>12</v>
      </c>
    </row>
    <row r="121" spans="1:41" x14ac:dyDescent="0.35">
      <c r="A121">
        <v>19300448</v>
      </c>
      <c r="B121">
        <v>202510</v>
      </c>
      <c r="C121">
        <v>20601363802</v>
      </c>
      <c r="D121" t="s">
        <v>300</v>
      </c>
      <c r="E121" t="s">
        <v>1</v>
      </c>
      <c r="F121">
        <v>10271453</v>
      </c>
      <c r="G121" t="s">
        <v>92</v>
      </c>
      <c r="H121" t="s">
        <v>301</v>
      </c>
      <c r="I121">
        <v>3402.6484375</v>
      </c>
      <c r="J121" s="1">
        <v>45917</v>
      </c>
      <c r="K121">
        <v>23.219999000000001</v>
      </c>
      <c r="L121" t="s">
        <v>4</v>
      </c>
      <c r="M121" t="s">
        <v>4</v>
      </c>
      <c r="N121" t="s">
        <v>41</v>
      </c>
      <c r="O121">
        <v>202509</v>
      </c>
      <c r="P121">
        <v>100005</v>
      </c>
      <c r="Q121" t="s">
        <v>12</v>
      </c>
      <c r="R121" t="s">
        <v>12</v>
      </c>
      <c r="S121" t="s">
        <v>12</v>
      </c>
      <c r="T121" t="s">
        <v>12</v>
      </c>
      <c r="U121" t="s">
        <v>12</v>
      </c>
      <c r="V121" t="s">
        <v>12</v>
      </c>
      <c r="W121" t="s">
        <v>12</v>
      </c>
      <c r="X121" t="s">
        <v>12</v>
      </c>
      <c r="Y121" t="s">
        <v>12</v>
      </c>
      <c r="Z121" t="s">
        <v>12</v>
      </c>
      <c r="AA121" t="s">
        <v>12</v>
      </c>
      <c r="AB121" t="s">
        <v>12</v>
      </c>
      <c r="AC121" t="s">
        <v>12</v>
      </c>
      <c r="AD121" t="s">
        <v>12</v>
      </c>
      <c r="AE121" t="s">
        <v>12</v>
      </c>
      <c r="AF121" t="s">
        <v>12</v>
      </c>
      <c r="AG121" t="s">
        <v>12</v>
      </c>
      <c r="AH121" t="s">
        <v>12</v>
      </c>
      <c r="AI121" t="s">
        <v>12</v>
      </c>
      <c r="AJ121" t="s">
        <v>12</v>
      </c>
      <c r="AK121" t="s">
        <v>12</v>
      </c>
      <c r="AL121" t="s">
        <v>12</v>
      </c>
      <c r="AM121" t="s">
        <v>12</v>
      </c>
      <c r="AN121" t="s">
        <v>12</v>
      </c>
      <c r="AO121" t="s">
        <v>12</v>
      </c>
    </row>
    <row r="122" spans="1:41" x14ac:dyDescent="0.35">
      <c r="A122">
        <v>21821693</v>
      </c>
      <c r="B122">
        <v>202511</v>
      </c>
      <c r="C122">
        <v>20392676083</v>
      </c>
      <c r="D122" t="s">
        <v>302</v>
      </c>
      <c r="E122" t="s">
        <v>1</v>
      </c>
      <c r="F122">
        <v>10271182</v>
      </c>
      <c r="G122" t="s">
        <v>73</v>
      </c>
      <c r="H122" t="s">
        <v>217</v>
      </c>
      <c r="I122">
        <v>139169.28125</v>
      </c>
      <c r="J122" s="1">
        <v>45910</v>
      </c>
      <c r="K122">
        <v>16</v>
      </c>
      <c r="L122" t="s">
        <v>4</v>
      </c>
      <c r="M122" t="s">
        <v>75</v>
      </c>
      <c r="N122" t="s">
        <v>20</v>
      </c>
      <c r="O122">
        <v>202509</v>
      </c>
      <c r="P122">
        <v>150007.5</v>
      </c>
      <c r="Q122" t="s">
        <v>217</v>
      </c>
      <c r="R122" t="s">
        <v>218</v>
      </c>
      <c r="S122" t="s">
        <v>18</v>
      </c>
      <c r="T122" t="s">
        <v>122</v>
      </c>
      <c r="U122" t="s">
        <v>20</v>
      </c>
      <c r="V122">
        <v>1</v>
      </c>
      <c r="W122" t="s">
        <v>10</v>
      </c>
      <c r="X122" t="s">
        <v>51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12</v>
      </c>
      <c r="AG122" t="s">
        <v>12</v>
      </c>
      <c r="AH122" t="s">
        <v>12</v>
      </c>
      <c r="AI122" t="s">
        <v>12</v>
      </c>
      <c r="AJ122" t="s">
        <v>12</v>
      </c>
      <c r="AK122">
        <v>1</v>
      </c>
      <c r="AL122">
        <v>1</v>
      </c>
      <c r="AM122" t="s">
        <v>12</v>
      </c>
      <c r="AN122" t="s">
        <v>12</v>
      </c>
      <c r="AO122" t="s">
        <v>12</v>
      </c>
    </row>
    <row r="123" spans="1:41" x14ac:dyDescent="0.35">
      <c r="A123">
        <v>17795304</v>
      </c>
      <c r="B123">
        <v>202511</v>
      </c>
      <c r="C123">
        <v>20602271774</v>
      </c>
      <c r="D123" t="s">
        <v>303</v>
      </c>
      <c r="E123" t="s">
        <v>1</v>
      </c>
      <c r="F123">
        <v>10271478</v>
      </c>
      <c r="G123" t="s">
        <v>100</v>
      </c>
      <c r="H123" t="s">
        <v>170</v>
      </c>
      <c r="I123">
        <v>162995.78125</v>
      </c>
      <c r="J123" s="1">
        <v>45918</v>
      </c>
      <c r="K123">
        <v>14</v>
      </c>
      <c r="L123" t="s">
        <v>37</v>
      </c>
      <c r="M123" t="s">
        <v>37</v>
      </c>
      <c r="N123" t="s">
        <v>102</v>
      </c>
      <c r="O123">
        <v>202509</v>
      </c>
      <c r="P123">
        <v>170795</v>
      </c>
      <c r="Q123" t="s">
        <v>170</v>
      </c>
      <c r="R123" t="s">
        <v>171</v>
      </c>
      <c r="S123" t="s">
        <v>111</v>
      </c>
      <c r="T123" t="s">
        <v>112</v>
      </c>
      <c r="U123" t="s">
        <v>20</v>
      </c>
      <c r="V123">
        <v>2</v>
      </c>
      <c r="W123" t="s">
        <v>10</v>
      </c>
      <c r="X123" t="s">
        <v>22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12</v>
      </c>
      <c r="AG123" t="s">
        <v>12</v>
      </c>
      <c r="AH123" t="s">
        <v>12</v>
      </c>
      <c r="AI123" t="s">
        <v>12</v>
      </c>
      <c r="AJ123" t="s">
        <v>12</v>
      </c>
      <c r="AK123">
        <v>1</v>
      </c>
      <c r="AL123">
        <v>1</v>
      </c>
      <c r="AM123" t="s">
        <v>12</v>
      </c>
      <c r="AN123" t="s">
        <v>12</v>
      </c>
      <c r="AO123" t="s">
        <v>12</v>
      </c>
    </row>
    <row r="124" spans="1:41" x14ac:dyDescent="0.35">
      <c r="A124">
        <v>21514368</v>
      </c>
      <c r="B124">
        <v>202512</v>
      </c>
      <c r="C124">
        <v>20514431362</v>
      </c>
      <c r="D124" t="s">
        <v>304</v>
      </c>
      <c r="E124" t="s">
        <v>1</v>
      </c>
      <c r="F124">
        <v>10271600</v>
      </c>
      <c r="G124" t="s">
        <v>92</v>
      </c>
      <c r="H124" t="s">
        <v>305</v>
      </c>
      <c r="I124">
        <v>222871.21875</v>
      </c>
      <c r="J124" s="1">
        <v>45922</v>
      </c>
      <c r="K124">
        <v>16.8</v>
      </c>
      <c r="L124" t="s">
        <v>4</v>
      </c>
      <c r="M124" t="s">
        <v>4</v>
      </c>
      <c r="N124" t="s">
        <v>41</v>
      </c>
      <c r="O124">
        <v>202509</v>
      </c>
      <c r="P124">
        <v>250012.5</v>
      </c>
      <c r="Q124" t="s">
        <v>305</v>
      </c>
      <c r="R124" t="s">
        <v>306</v>
      </c>
      <c r="S124" t="s">
        <v>7</v>
      </c>
      <c r="T124" t="s">
        <v>8</v>
      </c>
      <c r="U124" t="s">
        <v>9</v>
      </c>
      <c r="V124">
        <v>1</v>
      </c>
      <c r="W124" t="s">
        <v>10</v>
      </c>
      <c r="X124" t="s">
        <v>22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12</v>
      </c>
      <c r="AG124" t="s">
        <v>12</v>
      </c>
      <c r="AH124" t="s">
        <v>12</v>
      </c>
      <c r="AI124" t="s">
        <v>12</v>
      </c>
      <c r="AJ124" t="s">
        <v>12</v>
      </c>
      <c r="AK124">
        <v>0</v>
      </c>
      <c r="AL124">
        <v>0</v>
      </c>
      <c r="AM124">
        <v>0</v>
      </c>
      <c r="AN124" t="s">
        <v>12</v>
      </c>
      <c r="AO124" t="s">
        <v>12</v>
      </c>
    </row>
    <row r="125" spans="1:41" x14ac:dyDescent="0.35">
      <c r="A125">
        <v>13834361</v>
      </c>
      <c r="B125">
        <v>202509</v>
      </c>
      <c r="C125">
        <v>20553205191</v>
      </c>
      <c r="D125" t="s">
        <v>307</v>
      </c>
      <c r="E125" t="s">
        <v>1</v>
      </c>
      <c r="F125">
        <v>10268631</v>
      </c>
      <c r="G125" t="s">
        <v>92</v>
      </c>
      <c r="H125" t="s">
        <v>25</v>
      </c>
      <c r="I125">
        <v>267204.375</v>
      </c>
      <c r="J125" s="1">
        <v>45820</v>
      </c>
      <c r="K125">
        <v>15.5</v>
      </c>
      <c r="L125" t="s">
        <v>4</v>
      </c>
      <c r="M125" t="s">
        <v>4</v>
      </c>
      <c r="N125" t="s">
        <v>41</v>
      </c>
      <c r="O125">
        <v>202506</v>
      </c>
      <c r="P125">
        <v>300015</v>
      </c>
      <c r="Q125" t="s">
        <v>25</v>
      </c>
      <c r="R125" t="s">
        <v>279</v>
      </c>
      <c r="S125" t="s">
        <v>7</v>
      </c>
      <c r="T125" t="s">
        <v>8</v>
      </c>
      <c r="U125" t="s">
        <v>70</v>
      </c>
      <c r="V125">
        <v>1</v>
      </c>
      <c r="W125" t="s">
        <v>10</v>
      </c>
      <c r="X125" t="s">
        <v>51</v>
      </c>
      <c r="Y125">
        <v>1</v>
      </c>
      <c r="Z125">
        <v>1</v>
      </c>
      <c r="AA125">
        <v>0</v>
      </c>
      <c r="AB125">
        <v>0</v>
      </c>
      <c r="AC125">
        <v>1</v>
      </c>
      <c r="AD125">
        <v>1</v>
      </c>
      <c r="AE125">
        <v>0</v>
      </c>
      <c r="AF125" t="s">
        <v>12</v>
      </c>
      <c r="AG125" t="s">
        <v>12</v>
      </c>
      <c r="AH125" t="s">
        <v>12</v>
      </c>
      <c r="AI125" t="s">
        <v>12</v>
      </c>
      <c r="AJ125" t="s">
        <v>12</v>
      </c>
      <c r="AK125">
        <v>43000</v>
      </c>
      <c r="AL125">
        <v>0.19</v>
      </c>
      <c r="AM125">
        <v>0.17</v>
      </c>
      <c r="AN125" t="s">
        <v>12</v>
      </c>
      <c r="AO125" t="s">
        <v>12</v>
      </c>
    </row>
    <row r="126" spans="1:41" x14ac:dyDescent="0.35">
      <c r="A126">
        <v>20185249</v>
      </c>
      <c r="B126">
        <v>202510</v>
      </c>
      <c r="C126">
        <v>20487461106</v>
      </c>
      <c r="D126" t="s">
        <v>308</v>
      </c>
      <c r="E126" t="s">
        <v>1</v>
      </c>
      <c r="F126">
        <v>10268663</v>
      </c>
      <c r="G126" t="s">
        <v>24</v>
      </c>
      <c r="H126" t="s">
        <v>114</v>
      </c>
      <c r="I126">
        <v>34137.484375</v>
      </c>
      <c r="J126" s="1">
        <v>45821</v>
      </c>
      <c r="K126">
        <v>18</v>
      </c>
      <c r="L126" t="s">
        <v>37</v>
      </c>
      <c r="M126" t="s">
        <v>37</v>
      </c>
      <c r="N126" t="s">
        <v>98</v>
      </c>
      <c r="O126">
        <v>202506</v>
      </c>
      <c r="P126">
        <v>39886.949999999997</v>
      </c>
      <c r="Q126" t="s">
        <v>114</v>
      </c>
      <c r="R126" t="s">
        <v>115</v>
      </c>
      <c r="S126" t="s">
        <v>111</v>
      </c>
      <c r="T126" t="s">
        <v>112</v>
      </c>
      <c r="U126" t="s">
        <v>20</v>
      </c>
      <c r="V126">
        <v>2</v>
      </c>
      <c r="W126" t="s">
        <v>10</v>
      </c>
      <c r="X126" t="s">
        <v>12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12</v>
      </c>
      <c r="AG126" t="s">
        <v>12</v>
      </c>
      <c r="AH126" t="s">
        <v>12</v>
      </c>
      <c r="AI126" t="s">
        <v>12</v>
      </c>
      <c r="AJ126" t="s">
        <v>12</v>
      </c>
      <c r="AK126">
        <v>1</v>
      </c>
      <c r="AL126">
        <v>1</v>
      </c>
      <c r="AM126" t="s">
        <v>12</v>
      </c>
      <c r="AN126" t="s">
        <v>12</v>
      </c>
      <c r="AO126" t="s">
        <v>12</v>
      </c>
    </row>
    <row r="127" spans="1:41" x14ac:dyDescent="0.35">
      <c r="A127">
        <v>16644708</v>
      </c>
      <c r="B127">
        <v>202507</v>
      </c>
      <c r="C127">
        <v>10463959442</v>
      </c>
      <c r="D127" t="s">
        <v>309</v>
      </c>
      <c r="E127">
        <v>46395944</v>
      </c>
      <c r="F127">
        <v>10267461</v>
      </c>
      <c r="G127" t="s">
        <v>73</v>
      </c>
      <c r="H127" t="s">
        <v>301</v>
      </c>
      <c r="I127">
        <v>93071.3359375</v>
      </c>
      <c r="J127" s="1">
        <v>45776</v>
      </c>
      <c r="K127">
        <v>18</v>
      </c>
      <c r="L127" t="s">
        <v>4</v>
      </c>
      <c r="M127" t="s">
        <v>75</v>
      </c>
      <c r="N127" t="s">
        <v>20</v>
      </c>
      <c r="O127">
        <v>202504</v>
      </c>
      <c r="P127">
        <v>100005</v>
      </c>
      <c r="Q127" t="s">
        <v>301</v>
      </c>
      <c r="R127" t="s">
        <v>310</v>
      </c>
      <c r="S127" t="s">
        <v>49</v>
      </c>
      <c r="T127" t="s">
        <v>50</v>
      </c>
      <c r="U127" t="s">
        <v>20</v>
      </c>
      <c r="V127">
        <v>1</v>
      </c>
      <c r="W127" t="s">
        <v>90</v>
      </c>
      <c r="X127" t="s">
        <v>12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12</v>
      </c>
      <c r="AG127" t="s">
        <v>12</v>
      </c>
      <c r="AH127" t="s">
        <v>12</v>
      </c>
      <c r="AI127" t="s">
        <v>12</v>
      </c>
      <c r="AJ127" t="s">
        <v>12</v>
      </c>
      <c r="AK127">
        <v>1</v>
      </c>
      <c r="AL127">
        <v>0.21279999999999999</v>
      </c>
      <c r="AM127">
        <v>0</v>
      </c>
      <c r="AN127" t="s">
        <v>12</v>
      </c>
      <c r="AO127" t="s">
        <v>12</v>
      </c>
    </row>
    <row r="128" spans="1:41" x14ac:dyDescent="0.35">
      <c r="A128">
        <v>17846680</v>
      </c>
      <c r="B128">
        <v>202506</v>
      </c>
      <c r="C128">
        <v>10296176155</v>
      </c>
      <c r="D128" t="s">
        <v>245</v>
      </c>
      <c r="E128">
        <v>29617615</v>
      </c>
      <c r="F128">
        <v>10263715</v>
      </c>
      <c r="G128" t="s">
        <v>65</v>
      </c>
      <c r="H128" t="s">
        <v>311</v>
      </c>
      <c r="I128">
        <v>48199.60546875</v>
      </c>
      <c r="J128" s="1">
        <v>45639</v>
      </c>
      <c r="K128">
        <v>16.200001</v>
      </c>
      <c r="L128" t="s">
        <v>37</v>
      </c>
      <c r="M128" t="s">
        <v>37</v>
      </c>
      <c r="N128" t="s">
        <v>47</v>
      </c>
      <c r="O128">
        <v>202412</v>
      </c>
      <c r="P128">
        <v>50002.5</v>
      </c>
      <c r="Q128" t="s">
        <v>12</v>
      </c>
      <c r="R128" t="s">
        <v>12</v>
      </c>
      <c r="S128" t="s">
        <v>12</v>
      </c>
      <c r="T128" t="s">
        <v>12</v>
      </c>
      <c r="U128" t="s">
        <v>12</v>
      </c>
      <c r="V128" t="s">
        <v>12</v>
      </c>
      <c r="W128" t="s">
        <v>12</v>
      </c>
      <c r="X128" t="s">
        <v>12</v>
      </c>
      <c r="Y128" t="s">
        <v>12</v>
      </c>
      <c r="Z128" t="s">
        <v>12</v>
      </c>
      <c r="AA128" t="s">
        <v>12</v>
      </c>
      <c r="AB128" t="s">
        <v>12</v>
      </c>
      <c r="AC128" t="s">
        <v>12</v>
      </c>
      <c r="AD128" t="s">
        <v>12</v>
      </c>
      <c r="AE128" t="s">
        <v>12</v>
      </c>
      <c r="AF128" t="s">
        <v>12</v>
      </c>
      <c r="AG128" t="s">
        <v>12</v>
      </c>
      <c r="AH128" t="s">
        <v>12</v>
      </c>
      <c r="AI128" t="s">
        <v>12</v>
      </c>
      <c r="AJ128" t="s">
        <v>12</v>
      </c>
      <c r="AK128" t="s">
        <v>12</v>
      </c>
      <c r="AL128" t="s">
        <v>12</v>
      </c>
      <c r="AM128" t="s">
        <v>12</v>
      </c>
      <c r="AN128" t="s">
        <v>12</v>
      </c>
      <c r="AO128" t="s">
        <v>12</v>
      </c>
    </row>
    <row r="129" spans="1:41" x14ac:dyDescent="0.35">
      <c r="A129">
        <v>16891004</v>
      </c>
      <c r="B129">
        <v>202505</v>
      </c>
      <c r="C129">
        <v>20601590299</v>
      </c>
      <c r="D129" t="s">
        <v>312</v>
      </c>
      <c r="E129" t="s">
        <v>1</v>
      </c>
      <c r="F129">
        <v>10262088</v>
      </c>
      <c r="G129" t="s">
        <v>45</v>
      </c>
      <c r="H129" t="s">
        <v>313</v>
      </c>
      <c r="I129">
        <v>50002.50390625</v>
      </c>
      <c r="J129" s="1">
        <v>45593</v>
      </c>
      <c r="K129">
        <v>16.829999999999998</v>
      </c>
      <c r="L129" t="s">
        <v>37</v>
      </c>
      <c r="M129" t="s">
        <v>37</v>
      </c>
      <c r="N129" t="s">
        <v>47</v>
      </c>
      <c r="O129">
        <v>202410</v>
      </c>
      <c r="P129">
        <v>50002.5</v>
      </c>
      <c r="Q129" t="s">
        <v>12</v>
      </c>
      <c r="R129" t="s">
        <v>12</v>
      </c>
      <c r="S129" t="s">
        <v>12</v>
      </c>
      <c r="T129" t="s">
        <v>12</v>
      </c>
      <c r="U129" t="s">
        <v>12</v>
      </c>
      <c r="V129" t="s">
        <v>12</v>
      </c>
      <c r="W129" t="s">
        <v>12</v>
      </c>
      <c r="X129" t="s">
        <v>12</v>
      </c>
      <c r="Y129" t="s">
        <v>12</v>
      </c>
      <c r="Z129" t="s">
        <v>12</v>
      </c>
      <c r="AA129" t="s">
        <v>12</v>
      </c>
      <c r="AB129" t="s">
        <v>12</v>
      </c>
      <c r="AC129" t="s">
        <v>12</v>
      </c>
      <c r="AD129" t="s">
        <v>12</v>
      </c>
      <c r="AE129" t="s">
        <v>12</v>
      </c>
      <c r="AF129" t="s">
        <v>12</v>
      </c>
      <c r="AG129" t="s">
        <v>12</v>
      </c>
      <c r="AH129" t="s">
        <v>12</v>
      </c>
      <c r="AI129" t="s">
        <v>12</v>
      </c>
      <c r="AJ129" t="s">
        <v>12</v>
      </c>
      <c r="AK129" t="s">
        <v>12</v>
      </c>
      <c r="AL129" t="s">
        <v>12</v>
      </c>
      <c r="AM129" t="s">
        <v>12</v>
      </c>
      <c r="AN129" t="s">
        <v>12</v>
      </c>
      <c r="AO129" t="s">
        <v>12</v>
      </c>
    </row>
    <row r="130" spans="1:41" x14ac:dyDescent="0.35">
      <c r="A130">
        <v>16449392</v>
      </c>
      <c r="B130">
        <v>202511</v>
      </c>
      <c r="C130">
        <v>20603960093</v>
      </c>
      <c r="D130" t="s">
        <v>314</v>
      </c>
      <c r="E130" t="s">
        <v>1</v>
      </c>
      <c r="F130">
        <v>10262142</v>
      </c>
      <c r="G130" t="s">
        <v>45</v>
      </c>
      <c r="H130" t="s">
        <v>305</v>
      </c>
      <c r="I130">
        <v>70118.9453125</v>
      </c>
      <c r="J130" s="1">
        <v>45593</v>
      </c>
      <c r="K130">
        <v>16.5</v>
      </c>
      <c r="L130" t="s">
        <v>4</v>
      </c>
      <c r="M130" t="s">
        <v>4</v>
      </c>
      <c r="N130" t="s">
        <v>47</v>
      </c>
      <c r="O130">
        <v>202410</v>
      </c>
      <c r="P130">
        <v>90004.5</v>
      </c>
      <c r="Q130" t="s">
        <v>305</v>
      </c>
      <c r="R130" t="s">
        <v>306</v>
      </c>
      <c r="S130" t="s">
        <v>7</v>
      </c>
      <c r="T130" t="s">
        <v>8</v>
      </c>
      <c r="U130" t="s">
        <v>20</v>
      </c>
      <c r="V130">
        <v>1</v>
      </c>
      <c r="W130" t="s">
        <v>10</v>
      </c>
      <c r="X130" t="s">
        <v>51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12</v>
      </c>
      <c r="AG130" t="s">
        <v>12</v>
      </c>
      <c r="AH130" t="s">
        <v>12</v>
      </c>
      <c r="AI130" t="s">
        <v>12</v>
      </c>
      <c r="AJ130" t="s">
        <v>12</v>
      </c>
      <c r="AK130">
        <v>1</v>
      </c>
      <c r="AL130">
        <v>1</v>
      </c>
      <c r="AM130" t="s">
        <v>12</v>
      </c>
      <c r="AN130" t="s">
        <v>12</v>
      </c>
      <c r="AO130" t="s">
        <v>12</v>
      </c>
    </row>
    <row r="131" spans="1:41" x14ac:dyDescent="0.35">
      <c r="A131">
        <v>20904379</v>
      </c>
      <c r="B131">
        <v>202504</v>
      </c>
      <c r="C131">
        <v>20609161036</v>
      </c>
      <c r="D131" t="s">
        <v>315</v>
      </c>
      <c r="E131" t="s">
        <v>1</v>
      </c>
      <c r="F131">
        <v>10255388</v>
      </c>
      <c r="G131" t="s">
        <v>45</v>
      </c>
      <c r="H131" t="s">
        <v>183</v>
      </c>
      <c r="I131">
        <v>51165.99609375</v>
      </c>
      <c r="J131" s="1">
        <v>45461</v>
      </c>
      <c r="K131">
        <v>15.5</v>
      </c>
      <c r="L131" t="s">
        <v>37</v>
      </c>
      <c r="M131" t="s">
        <v>37</v>
      </c>
      <c r="N131" t="s">
        <v>47</v>
      </c>
      <c r="O131">
        <v>202406</v>
      </c>
      <c r="P131">
        <v>60003</v>
      </c>
      <c r="Q131" t="s">
        <v>12</v>
      </c>
      <c r="R131" t="s">
        <v>12</v>
      </c>
      <c r="S131" t="s">
        <v>12</v>
      </c>
      <c r="T131" t="s">
        <v>12</v>
      </c>
      <c r="U131" t="s">
        <v>12</v>
      </c>
      <c r="V131" t="s">
        <v>12</v>
      </c>
      <c r="W131" t="s">
        <v>12</v>
      </c>
      <c r="X131" t="s">
        <v>12</v>
      </c>
      <c r="Y131" t="s">
        <v>12</v>
      </c>
      <c r="Z131" t="s">
        <v>12</v>
      </c>
      <c r="AA131" t="s">
        <v>12</v>
      </c>
      <c r="AB131" t="s">
        <v>12</v>
      </c>
      <c r="AC131" t="s">
        <v>12</v>
      </c>
      <c r="AD131" t="s">
        <v>12</v>
      </c>
      <c r="AE131" t="s">
        <v>12</v>
      </c>
      <c r="AF131" t="s">
        <v>12</v>
      </c>
      <c r="AG131" t="s">
        <v>12</v>
      </c>
      <c r="AH131" t="s">
        <v>12</v>
      </c>
      <c r="AI131" t="s">
        <v>12</v>
      </c>
      <c r="AJ131" t="s">
        <v>12</v>
      </c>
      <c r="AK131" t="s">
        <v>12</v>
      </c>
      <c r="AL131" t="s">
        <v>12</v>
      </c>
      <c r="AM131" t="s">
        <v>12</v>
      </c>
      <c r="AN131" t="s">
        <v>12</v>
      </c>
      <c r="AO131" t="s">
        <v>12</v>
      </c>
    </row>
    <row r="132" spans="1:41" x14ac:dyDescent="0.35">
      <c r="A132">
        <v>16006863</v>
      </c>
      <c r="B132">
        <v>202601</v>
      </c>
      <c r="C132">
        <v>20601200601</v>
      </c>
      <c r="D132" t="s">
        <v>316</v>
      </c>
      <c r="E132" t="s">
        <v>1</v>
      </c>
      <c r="F132">
        <v>10272480</v>
      </c>
      <c r="G132" t="s">
        <v>24</v>
      </c>
      <c r="H132" t="s">
        <v>317</v>
      </c>
      <c r="I132">
        <v>89245.5625</v>
      </c>
      <c r="J132" s="1">
        <v>45953</v>
      </c>
      <c r="K132">
        <v>17</v>
      </c>
      <c r="L132" t="s">
        <v>86</v>
      </c>
      <c r="M132" t="s">
        <v>86</v>
      </c>
      <c r="N132" t="s">
        <v>98</v>
      </c>
      <c r="O132">
        <v>202510</v>
      </c>
      <c r="P132">
        <v>100005</v>
      </c>
      <c r="Q132" t="s">
        <v>317</v>
      </c>
      <c r="R132" t="s">
        <v>318</v>
      </c>
      <c r="S132" t="s">
        <v>88</v>
      </c>
      <c r="T132" t="s">
        <v>89</v>
      </c>
      <c r="U132" t="s">
        <v>20</v>
      </c>
      <c r="V132">
        <v>2</v>
      </c>
      <c r="W132" t="s">
        <v>21</v>
      </c>
      <c r="X132" t="s">
        <v>22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12</v>
      </c>
      <c r="AG132" t="s">
        <v>12</v>
      </c>
      <c r="AH132" t="s">
        <v>12</v>
      </c>
      <c r="AI132" t="s">
        <v>12</v>
      </c>
      <c r="AJ132" t="s">
        <v>12</v>
      </c>
      <c r="AK132">
        <v>1</v>
      </c>
      <c r="AL132">
        <v>1</v>
      </c>
      <c r="AM132">
        <v>0.24</v>
      </c>
      <c r="AN132" t="s">
        <v>12</v>
      </c>
      <c r="AO132" t="s">
        <v>12</v>
      </c>
    </row>
    <row r="133" spans="1:41" x14ac:dyDescent="0.35">
      <c r="A133">
        <v>21786724</v>
      </c>
      <c r="B133">
        <v>202510</v>
      </c>
      <c r="C133">
        <v>20568570520</v>
      </c>
      <c r="D133" t="s">
        <v>319</v>
      </c>
      <c r="E133" t="s">
        <v>1</v>
      </c>
      <c r="F133">
        <v>10270338</v>
      </c>
      <c r="G133" t="s">
        <v>14</v>
      </c>
      <c r="H133" t="s">
        <v>101</v>
      </c>
      <c r="I133">
        <v>45073.125</v>
      </c>
      <c r="J133" s="1">
        <v>45882</v>
      </c>
      <c r="K133">
        <v>18.7</v>
      </c>
      <c r="L133" t="s">
        <v>37</v>
      </c>
      <c r="M133" t="s">
        <v>75</v>
      </c>
      <c r="N133" t="s">
        <v>16</v>
      </c>
      <c r="O133">
        <v>202508</v>
      </c>
      <c r="P133">
        <v>50002.5</v>
      </c>
      <c r="Q133" t="s">
        <v>101</v>
      </c>
      <c r="R133" t="s">
        <v>103</v>
      </c>
      <c r="S133" t="s">
        <v>88</v>
      </c>
      <c r="T133" t="s">
        <v>89</v>
      </c>
      <c r="U133" t="s">
        <v>20</v>
      </c>
      <c r="V133">
        <v>2</v>
      </c>
      <c r="W133" t="s">
        <v>10</v>
      </c>
      <c r="X133" t="s">
        <v>12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12</v>
      </c>
      <c r="AG133" t="s">
        <v>12</v>
      </c>
      <c r="AH133" t="s">
        <v>12</v>
      </c>
      <c r="AI133" t="s">
        <v>12</v>
      </c>
      <c r="AJ133" t="s">
        <v>12</v>
      </c>
      <c r="AK133">
        <v>1</v>
      </c>
      <c r="AL133">
        <v>1</v>
      </c>
      <c r="AM133" t="s">
        <v>12</v>
      </c>
      <c r="AN133" t="s">
        <v>12</v>
      </c>
      <c r="AO133" t="s">
        <v>12</v>
      </c>
    </row>
    <row r="134" spans="1:41" x14ac:dyDescent="0.35">
      <c r="A134">
        <v>21025709</v>
      </c>
      <c r="B134">
        <v>202509</v>
      </c>
      <c r="C134">
        <v>20606077433</v>
      </c>
      <c r="D134" t="s">
        <v>320</v>
      </c>
      <c r="E134" t="s">
        <v>1</v>
      </c>
      <c r="F134">
        <v>10257427</v>
      </c>
      <c r="G134" t="s">
        <v>45</v>
      </c>
      <c r="H134" t="s">
        <v>284</v>
      </c>
      <c r="I134">
        <v>63012.76953125</v>
      </c>
      <c r="J134" s="1">
        <v>45490</v>
      </c>
      <c r="K134">
        <v>16.399999999999999</v>
      </c>
      <c r="L134" t="s">
        <v>37</v>
      </c>
      <c r="M134" t="s">
        <v>37</v>
      </c>
      <c r="N134" t="s">
        <v>47</v>
      </c>
      <c r="O134">
        <v>202407</v>
      </c>
      <c r="P134">
        <v>90004.5</v>
      </c>
      <c r="Q134" t="s">
        <v>284</v>
      </c>
      <c r="R134" t="s">
        <v>285</v>
      </c>
      <c r="S134" t="s">
        <v>31</v>
      </c>
      <c r="T134" t="s">
        <v>32</v>
      </c>
      <c r="U134" t="s">
        <v>20</v>
      </c>
      <c r="V134">
        <v>1</v>
      </c>
      <c r="W134" t="s">
        <v>10</v>
      </c>
      <c r="X134" t="s">
        <v>51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12</v>
      </c>
      <c r="AG134" t="s">
        <v>12</v>
      </c>
      <c r="AH134" t="s">
        <v>12</v>
      </c>
      <c r="AI134" t="s">
        <v>12</v>
      </c>
      <c r="AJ134" t="s">
        <v>12</v>
      </c>
      <c r="AK134">
        <v>1</v>
      </c>
      <c r="AL134">
        <v>1</v>
      </c>
      <c r="AM134" t="s">
        <v>12</v>
      </c>
      <c r="AN134" t="s">
        <v>12</v>
      </c>
      <c r="AO134" t="s">
        <v>12</v>
      </c>
    </row>
    <row r="135" spans="1:41" x14ac:dyDescent="0.35">
      <c r="A135">
        <v>21506495</v>
      </c>
      <c r="B135">
        <v>202602</v>
      </c>
      <c r="C135">
        <v>20522148823</v>
      </c>
      <c r="D135" t="s">
        <v>321</v>
      </c>
      <c r="E135" t="s">
        <v>1</v>
      </c>
      <c r="F135">
        <v>10265909</v>
      </c>
      <c r="G135" t="s">
        <v>73</v>
      </c>
      <c r="H135" t="s">
        <v>54</v>
      </c>
      <c r="I135">
        <v>75814.984375</v>
      </c>
      <c r="J135" s="1">
        <v>45716</v>
      </c>
      <c r="K135">
        <v>17.5</v>
      </c>
      <c r="L135" t="s">
        <v>4</v>
      </c>
      <c r="M135" t="s">
        <v>75</v>
      </c>
      <c r="N135" t="s">
        <v>20</v>
      </c>
      <c r="O135">
        <v>202502</v>
      </c>
      <c r="P135">
        <v>130006.5</v>
      </c>
      <c r="Q135" t="s">
        <v>54</v>
      </c>
      <c r="R135" t="s">
        <v>55</v>
      </c>
      <c r="S135" t="s">
        <v>31</v>
      </c>
      <c r="T135" t="s">
        <v>32</v>
      </c>
      <c r="U135" t="s">
        <v>63</v>
      </c>
      <c r="V135">
        <v>1</v>
      </c>
      <c r="W135" t="s">
        <v>10</v>
      </c>
      <c r="X135" t="s">
        <v>22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12</v>
      </c>
      <c r="AG135" t="s">
        <v>12</v>
      </c>
      <c r="AH135" t="s">
        <v>12</v>
      </c>
      <c r="AI135" t="s">
        <v>12</v>
      </c>
      <c r="AJ135" t="s">
        <v>12</v>
      </c>
      <c r="AK135">
        <v>250000</v>
      </c>
      <c r="AL135">
        <v>0.21</v>
      </c>
      <c r="AM135">
        <v>0.19</v>
      </c>
      <c r="AN135" t="s">
        <v>12</v>
      </c>
      <c r="AO135" t="s">
        <v>12</v>
      </c>
    </row>
    <row r="136" spans="1:41" x14ac:dyDescent="0.35">
      <c r="A136">
        <v>15321182</v>
      </c>
      <c r="B136">
        <v>202510</v>
      </c>
      <c r="C136">
        <v>10703495406</v>
      </c>
      <c r="D136" t="s">
        <v>322</v>
      </c>
      <c r="E136">
        <v>70349540</v>
      </c>
      <c r="F136">
        <v>10263050</v>
      </c>
      <c r="G136" t="s">
        <v>45</v>
      </c>
      <c r="H136" t="s">
        <v>140</v>
      </c>
      <c r="I136">
        <v>25209.529296875</v>
      </c>
      <c r="J136" s="1">
        <v>45622</v>
      </c>
      <c r="K136">
        <v>14.8</v>
      </c>
      <c r="L136" t="s">
        <v>37</v>
      </c>
      <c r="M136" t="s">
        <v>37</v>
      </c>
      <c r="N136" t="s">
        <v>47</v>
      </c>
      <c r="O136">
        <v>202411</v>
      </c>
      <c r="P136">
        <v>90004.5</v>
      </c>
      <c r="Q136" t="s">
        <v>140</v>
      </c>
      <c r="R136" t="s">
        <v>141</v>
      </c>
      <c r="S136" t="s">
        <v>111</v>
      </c>
      <c r="T136" t="s">
        <v>112</v>
      </c>
      <c r="U136" t="s">
        <v>41</v>
      </c>
      <c r="V136">
        <v>2</v>
      </c>
      <c r="W136" t="s">
        <v>90</v>
      </c>
      <c r="X136" t="s">
        <v>12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12</v>
      </c>
      <c r="AG136" t="s">
        <v>12</v>
      </c>
      <c r="AH136" t="s">
        <v>12</v>
      </c>
      <c r="AI136" t="s">
        <v>12</v>
      </c>
      <c r="AJ136" t="s">
        <v>12</v>
      </c>
      <c r="AK136">
        <v>200000</v>
      </c>
      <c r="AL136">
        <v>0.22670000000000001</v>
      </c>
      <c r="AM136">
        <v>0.20669999999999999</v>
      </c>
      <c r="AN136" t="s">
        <v>12</v>
      </c>
      <c r="AO136" t="s">
        <v>12</v>
      </c>
    </row>
    <row r="137" spans="1:41" x14ac:dyDescent="0.35">
      <c r="A137">
        <v>15637007</v>
      </c>
      <c r="B137">
        <v>202510</v>
      </c>
      <c r="C137">
        <v>20602439152</v>
      </c>
      <c r="D137" t="s">
        <v>323</v>
      </c>
      <c r="E137" t="s">
        <v>1</v>
      </c>
      <c r="F137">
        <v>10261097</v>
      </c>
      <c r="G137" t="s">
        <v>65</v>
      </c>
      <c r="H137" t="s">
        <v>117</v>
      </c>
      <c r="I137">
        <v>264060.71875</v>
      </c>
      <c r="J137" s="1">
        <v>45562</v>
      </c>
      <c r="K137">
        <v>13.49</v>
      </c>
      <c r="L137" t="s">
        <v>37</v>
      </c>
      <c r="M137" t="s">
        <v>37</v>
      </c>
      <c r="N137" t="s">
        <v>47</v>
      </c>
      <c r="O137">
        <v>202409</v>
      </c>
      <c r="P137">
        <v>300015</v>
      </c>
      <c r="Q137" t="s">
        <v>117</v>
      </c>
      <c r="R137" t="s">
        <v>118</v>
      </c>
      <c r="S137" t="s">
        <v>39</v>
      </c>
      <c r="T137" t="s">
        <v>40</v>
      </c>
      <c r="U137" t="s">
        <v>9</v>
      </c>
      <c r="V137">
        <v>1</v>
      </c>
      <c r="W137" t="s">
        <v>10</v>
      </c>
      <c r="X137" t="s">
        <v>12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12</v>
      </c>
      <c r="AG137" t="s">
        <v>12</v>
      </c>
      <c r="AH137" t="s">
        <v>12</v>
      </c>
      <c r="AI137" t="s">
        <v>12</v>
      </c>
      <c r="AJ137" t="s">
        <v>12</v>
      </c>
      <c r="AK137">
        <v>0</v>
      </c>
      <c r="AL137">
        <v>0</v>
      </c>
      <c r="AM137">
        <v>0.20169999999999999</v>
      </c>
      <c r="AN137" t="s">
        <v>12</v>
      </c>
      <c r="AO137" t="s">
        <v>12</v>
      </c>
    </row>
    <row r="138" spans="1:41" x14ac:dyDescent="0.35">
      <c r="A138">
        <v>15983657</v>
      </c>
      <c r="B138">
        <v>202502</v>
      </c>
      <c r="C138">
        <v>10804905532</v>
      </c>
      <c r="D138" t="s">
        <v>324</v>
      </c>
      <c r="E138">
        <v>80490553</v>
      </c>
      <c r="F138">
        <v>10259828</v>
      </c>
      <c r="G138" t="s">
        <v>65</v>
      </c>
      <c r="H138" t="s">
        <v>183</v>
      </c>
      <c r="I138">
        <v>15000.7626953125</v>
      </c>
      <c r="J138" s="1">
        <v>45532</v>
      </c>
      <c r="K138">
        <v>15.5</v>
      </c>
      <c r="L138" t="s">
        <v>37</v>
      </c>
      <c r="M138" t="s">
        <v>37</v>
      </c>
      <c r="N138" t="s">
        <v>47</v>
      </c>
      <c r="O138">
        <v>202408</v>
      </c>
      <c r="P138">
        <v>15000.75</v>
      </c>
      <c r="Q138" t="s">
        <v>12</v>
      </c>
      <c r="R138" t="s">
        <v>12</v>
      </c>
      <c r="S138" t="s">
        <v>12</v>
      </c>
      <c r="T138" t="s">
        <v>12</v>
      </c>
      <c r="U138" t="s">
        <v>12</v>
      </c>
      <c r="V138" t="s">
        <v>12</v>
      </c>
      <c r="W138" t="s">
        <v>12</v>
      </c>
      <c r="X138" t="s">
        <v>12</v>
      </c>
      <c r="Y138" t="s">
        <v>12</v>
      </c>
      <c r="Z138" t="s">
        <v>12</v>
      </c>
      <c r="AA138" t="s">
        <v>12</v>
      </c>
      <c r="AB138" t="s">
        <v>12</v>
      </c>
      <c r="AC138" t="s">
        <v>12</v>
      </c>
      <c r="AD138" t="s">
        <v>12</v>
      </c>
      <c r="AE138" t="s">
        <v>12</v>
      </c>
      <c r="AF138" t="s">
        <v>12</v>
      </c>
      <c r="AG138" t="s">
        <v>12</v>
      </c>
      <c r="AH138" t="s">
        <v>12</v>
      </c>
      <c r="AI138" t="s">
        <v>12</v>
      </c>
      <c r="AJ138" t="s">
        <v>12</v>
      </c>
      <c r="AK138" t="s">
        <v>12</v>
      </c>
      <c r="AL138" t="s">
        <v>12</v>
      </c>
      <c r="AM138" t="s">
        <v>12</v>
      </c>
      <c r="AN138" t="s">
        <v>12</v>
      </c>
      <c r="AO138" t="s">
        <v>12</v>
      </c>
    </row>
    <row r="139" spans="1:41" x14ac:dyDescent="0.35">
      <c r="A139">
        <v>20636770</v>
      </c>
      <c r="B139">
        <v>202601</v>
      </c>
      <c r="C139">
        <v>20612056707</v>
      </c>
      <c r="D139" t="s">
        <v>325</v>
      </c>
      <c r="E139" t="s">
        <v>1</v>
      </c>
      <c r="F139">
        <v>10272396</v>
      </c>
      <c r="G139" t="s">
        <v>92</v>
      </c>
      <c r="H139" t="s">
        <v>46</v>
      </c>
      <c r="I139">
        <v>72345.515625</v>
      </c>
      <c r="J139" s="1">
        <v>45951</v>
      </c>
      <c r="K139">
        <v>19</v>
      </c>
      <c r="L139" t="s">
        <v>86</v>
      </c>
      <c r="M139" t="s">
        <v>86</v>
      </c>
      <c r="N139" t="s">
        <v>41</v>
      </c>
      <c r="O139">
        <v>202510</v>
      </c>
      <c r="P139">
        <v>85004.25</v>
      </c>
      <c r="Q139" t="s">
        <v>46</v>
      </c>
      <c r="R139" t="s">
        <v>48</v>
      </c>
      <c r="S139" t="s">
        <v>49</v>
      </c>
      <c r="T139" t="s">
        <v>50</v>
      </c>
      <c r="U139" t="s">
        <v>20</v>
      </c>
      <c r="V139">
        <v>1</v>
      </c>
      <c r="W139" t="s">
        <v>10</v>
      </c>
      <c r="X139" t="s">
        <v>51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12</v>
      </c>
      <c r="AG139" t="s">
        <v>12</v>
      </c>
      <c r="AH139" t="s">
        <v>12</v>
      </c>
      <c r="AI139" t="s">
        <v>12</v>
      </c>
      <c r="AJ139" t="s">
        <v>12</v>
      </c>
      <c r="AK139">
        <v>1</v>
      </c>
      <c r="AL139">
        <v>1</v>
      </c>
      <c r="AM139">
        <v>0.24</v>
      </c>
      <c r="AN139" t="s">
        <v>12</v>
      </c>
      <c r="AO139" t="s">
        <v>12</v>
      </c>
    </row>
    <row r="140" spans="1:41" x14ac:dyDescent="0.35">
      <c r="A140">
        <v>14247474</v>
      </c>
      <c r="B140">
        <v>202508</v>
      </c>
      <c r="C140">
        <v>10020481663</v>
      </c>
      <c r="D140" t="s">
        <v>326</v>
      </c>
      <c r="E140">
        <v>2048166</v>
      </c>
      <c r="F140">
        <v>10254537</v>
      </c>
      <c r="G140" t="s">
        <v>45</v>
      </c>
      <c r="H140" t="s">
        <v>183</v>
      </c>
      <c r="I140">
        <v>51421.69921875</v>
      </c>
      <c r="J140" s="1">
        <v>45443</v>
      </c>
      <c r="K140">
        <v>14.7</v>
      </c>
      <c r="L140" t="s">
        <v>37</v>
      </c>
      <c r="M140" t="s">
        <v>37</v>
      </c>
      <c r="N140" t="s">
        <v>47</v>
      </c>
      <c r="O140">
        <v>202405</v>
      </c>
      <c r="P140">
        <v>78273.899999999994</v>
      </c>
      <c r="Q140" t="s">
        <v>109</v>
      </c>
      <c r="R140" t="s">
        <v>110</v>
      </c>
      <c r="S140" t="s">
        <v>111</v>
      </c>
      <c r="T140" t="s">
        <v>112</v>
      </c>
      <c r="U140" t="s">
        <v>41</v>
      </c>
      <c r="V140">
        <v>2</v>
      </c>
      <c r="W140" t="s">
        <v>90</v>
      </c>
      <c r="X140" t="s">
        <v>12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12</v>
      </c>
      <c r="AG140" t="s">
        <v>12</v>
      </c>
      <c r="AH140" t="s">
        <v>12</v>
      </c>
      <c r="AI140" t="s">
        <v>12</v>
      </c>
      <c r="AJ140" t="s">
        <v>12</v>
      </c>
      <c r="AK140">
        <v>200000</v>
      </c>
      <c r="AL140">
        <v>0.25</v>
      </c>
      <c r="AM140">
        <v>0.23330000000000001</v>
      </c>
      <c r="AN140" t="s">
        <v>12</v>
      </c>
      <c r="AO140" t="s">
        <v>12</v>
      </c>
    </row>
    <row r="141" spans="1:41" x14ac:dyDescent="0.35">
      <c r="A141">
        <v>21976019</v>
      </c>
      <c r="B141">
        <v>202511</v>
      </c>
      <c r="C141">
        <v>20608434659</v>
      </c>
      <c r="D141" t="s">
        <v>327</v>
      </c>
      <c r="E141" t="s">
        <v>1</v>
      </c>
      <c r="F141">
        <v>10273596</v>
      </c>
      <c r="G141" t="s">
        <v>293</v>
      </c>
      <c r="H141" t="s">
        <v>159</v>
      </c>
      <c r="I141">
        <v>915495.3125</v>
      </c>
      <c r="J141" s="1">
        <v>45989</v>
      </c>
      <c r="K141">
        <v>11.8</v>
      </c>
      <c r="L141" t="s">
        <v>4</v>
      </c>
      <c r="M141" t="s">
        <v>75</v>
      </c>
      <c r="N141" t="s">
        <v>20</v>
      </c>
      <c r="O141">
        <v>202511</v>
      </c>
      <c r="P141">
        <v>924846.2</v>
      </c>
      <c r="Q141" t="s">
        <v>57</v>
      </c>
      <c r="R141" t="s">
        <v>58</v>
      </c>
      <c r="S141" t="s">
        <v>39</v>
      </c>
      <c r="T141" t="s">
        <v>40</v>
      </c>
      <c r="U141" t="s">
        <v>20</v>
      </c>
      <c r="V141">
        <v>1</v>
      </c>
      <c r="W141" t="s">
        <v>10</v>
      </c>
      <c r="X141" t="s">
        <v>59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0</v>
      </c>
      <c r="AE141">
        <v>924846.2</v>
      </c>
      <c r="AF141">
        <v>11.8</v>
      </c>
      <c r="AG141" s="1">
        <v>45989</v>
      </c>
      <c r="AH141" t="s">
        <v>20</v>
      </c>
      <c r="AI141" t="s">
        <v>75</v>
      </c>
      <c r="AJ141" t="s">
        <v>33</v>
      </c>
      <c r="AK141" t="s">
        <v>12</v>
      </c>
      <c r="AL141" t="s">
        <v>12</v>
      </c>
      <c r="AM141" t="s">
        <v>12</v>
      </c>
      <c r="AN141" t="s">
        <v>12</v>
      </c>
      <c r="AO141" t="s">
        <v>12</v>
      </c>
    </row>
    <row r="142" spans="1:41" x14ac:dyDescent="0.35">
      <c r="A142">
        <v>18124964</v>
      </c>
      <c r="B142">
        <v>202512</v>
      </c>
      <c r="C142">
        <v>20558224763</v>
      </c>
      <c r="D142" t="s">
        <v>328</v>
      </c>
      <c r="E142" t="s">
        <v>1</v>
      </c>
      <c r="F142">
        <v>10269583</v>
      </c>
      <c r="G142" t="s">
        <v>24</v>
      </c>
      <c r="H142" t="s">
        <v>329</v>
      </c>
      <c r="I142">
        <v>64998.99609375</v>
      </c>
      <c r="J142" s="1">
        <v>45852</v>
      </c>
      <c r="K142">
        <v>21.6</v>
      </c>
      <c r="L142" t="s">
        <v>86</v>
      </c>
      <c r="M142" t="s">
        <v>86</v>
      </c>
      <c r="N142" t="s">
        <v>98</v>
      </c>
      <c r="O142">
        <v>202507</v>
      </c>
      <c r="P142">
        <v>102924.1</v>
      </c>
      <c r="Q142" t="s">
        <v>329</v>
      </c>
      <c r="R142" t="s">
        <v>330</v>
      </c>
      <c r="S142" t="s">
        <v>111</v>
      </c>
      <c r="T142" t="s">
        <v>112</v>
      </c>
      <c r="U142" t="s">
        <v>20</v>
      </c>
      <c r="V142">
        <v>2</v>
      </c>
      <c r="W142" t="s">
        <v>10</v>
      </c>
      <c r="X142" t="s">
        <v>11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v>1</v>
      </c>
      <c r="AE142">
        <v>0</v>
      </c>
      <c r="AF142" t="s">
        <v>12</v>
      </c>
      <c r="AG142" t="s">
        <v>12</v>
      </c>
      <c r="AH142" t="s">
        <v>12</v>
      </c>
      <c r="AI142" t="s">
        <v>12</v>
      </c>
      <c r="AJ142" t="s">
        <v>12</v>
      </c>
      <c r="AK142">
        <v>1</v>
      </c>
      <c r="AL142">
        <v>1</v>
      </c>
      <c r="AM142" t="s">
        <v>12</v>
      </c>
      <c r="AN142" t="s">
        <v>12</v>
      </c>
      <c r="AO142" t="s">
        <v>12</v>
      </c>
    </row>
    <row r="143" spans="1:41" x14ac:dyDescent="0.35">
      <c r="A143">
        <v>9145351</v>
      </c>
      <c r="B143">
        <v>202504</v>
      </c>
      <c r="C143">
        <v>20214791103</v>
      </c>
      <c r="D143" t="s">
        <v>331</v>
      </c>
      <c r="E143" t="s">
        <v>1</v>
      </c>
      <c r="F143">
        <v>10266814</v>
      </c>
      <c r="G143" t="s">
        <v>332</v>
      </c>
      <c r="H143" t="s">
        <v>159</v>
      </c>
      <c r="I143">
        <v>20684.994140625</v>
      </c>
      <c r="J143" s="1">
        <v>45747</v>
      </c>
      <c r="K143">
        <v>20.48</v>
      </c>
      <c r="L143" t="s">
        <v>37</v>
      </c>
      <c r="M143" t="s">
        <v>75</v>
      </c>
      <c r="N143" t="s">
        <v>47</v>
      </c>
      <c r="O143">
        <v>202503</v>
      </c>
      <c r="P143">
        <v>60403</v>
      </c>
      <c r="Q143" t="s">
        <v>166</v>
      </c>
      <c r="R143" t="s">
        <v>12</v>
      </c>
      <c r="S143" t="s">
        <v>12</v>
      </c>
      <c r="T143" t="s">
        <v>12</v>
      </c>
      <c r="U143" t="s">
        <v>333</v>
      </c>
      <c r="V143">
        <v>2</v>
      </c>
      <c r="W143" t="s">
        <v>10</v>
      </c>
      <c r="X143" t="s">
        <v>12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12</v>
      </c>
      <c r="AG143" t="s">
        <v>12</v>
      </c>
      <c r="AH143" t="s">
        <v>12</v>
      </c>
      <c r="AI143" t="s">
        <v>12</v>
      </c>
      <c r="AJ143" t="s">
        <v>12</v>
      </c>
      <c r="AK143">
        <v>600000</v>
      </c>
      <c r="AL143">
        <v>0.17899999999999999</v>
      </c>
      <c r="AM143">
        <v>0.159</v>
      </c>
      <c r="AN143" t="s">
        <v>12</v>
      </c>
      <c r="AO143" t="s">
        <v>12</v>
      </c>
    </row>
    <row r="144" spans="1:41" x14ac:dyDescent="0.35">
      <c r="A144">
        <v>20165487</v>
      </c>
      <c r="B144">
        <v>202507</v>
      </c>
      <c r="C144">
        <v>20604093555</v>
      </c>
      <c r="D144" t="s">
        <v>334</v>
      </c>
      <c r="E144" t="s">
        <v>1</v>
      </c>
      <c r="F144">
        <v>10267121</v>
      </c>
      <c r="G144" t="s">
        <v>68</v>
      </c>
      <c r="H144" t="s">
        <v>210</v>
      </c>
      <c r="I144">
        <v>280399.59375</v>
      </c>
      <c r="J144" s="1">
        <v>45763</v>
      </c>
      <c r="K144">
        <v>16</v>
      </c>
      <c r="L144" t="s">
        <v>4</v>
      </c>
      <c r="M144" t="s">
        <v>4</v>
      </c>
      <c r="N144" t="s">
        <v>70</v>
      </c>
      <c r="O144">
        <v>202504</v>
      </c>
      <c r="P144">
        <v>300015</v>
      </c>
      <c r="Q144" t="s">
        <v>210</v>
      </c>
      <c r="R144" t="s">
        <v>211</v>
      </c>
      <c r="S144" t="s">
        <v>39</v>
      </c>
      <c r="T144" t="s">
        <v>40</v>
      </c>
      <c r="U144" t="s">
        <v>20</v>
      </c>
      <c r="V144">
        <v>1</v>
      </c>
      <c r="W144" t="s">
        <v>10</v>
      </c>
      <c r="X144" t="s">
        <v>12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12</v>
      </c>
      <c r="AG144" t="s">
        <v>12</v>
      </c>
      <c r="AH144" t="s">
        <v>12</v>
      </c>
      <c r="AI144" t="s">
        <v>12</v>
      </c>
      <c r="AJ144" t="s">
        <v>12</v>
      </c>
      <c r="AK144">
        <v>1</v>
      </c>
      <c r="AL144">
        <v>0.20380000000000001</v>
      </c>
      <c r="AM144">
        <v>0</v>
      </c>
      <c r="AN144" t="s">
        <v>12</v>
      </c>
      <c r="AO144" t="s">
        <v>12</v>
      </c>
    </row>
    <row r="145" spans="1:41" x14ac:dyDescent="0.35">
      <c r="A145">
        <v>10815756</v>
      </c>
      <c r="B145">
        <v>202504</v>
      </c>
      <c r="C145">
        <v>10223031728</v>
      </c>
      <c r="D145" t="s">
        <v>335</v>
      </c>
      <c r="E145">
        <v>22303172</v>
      </c>
      <c r="F145">
        <v>10265726</v>
      </c>
      <c r="G145" t="s">
        <v>100</v>
      </c>
      <c r="H145" t="s">
        <v>336</v>
      </c>
      <c r="I145">
        <v>61309.25390625</v>
      </c>
      <c r="J145" s="1">
        <v>45714</v>
      </c>
      <c r="K145">
        <v>16.7</v>
      </c>
      <c r="L145" t="s">
        <v>37</v>
      </c>
      <c r="M145" t="s">
        <v>37</v>
      </c>
      <c r="N145" t="s">
        <v>102</v>
      </c>
      <c r="O145">
        <v>202502</v>
      </c>
      <c r="P145">
        <v>72606.44</v>
      </c>
      <c r="Q145" t="s">
        <v>12</v>
      </c>
      <c r="R145" t="s">
        <v>12</v>
      </c>
      <c r="S145" t="s">
        <v>12</v>
      </c>
      <c r="T145" t="s">
        <v>12</v>
      </c>
      <c r="U145" t="s">
        <v>12</v>
      </c>
      <c r="V145" t="s">
        <v>12</v>
      </c>
      <c r="W145" t="s">
        <v>12</v>
      </c>
      <c r="X145" t="s">
        <v>12</v>
      </c>
      <c r="Y145" t="s">
        <v>12</v>
      </c>
      <c r="Z145" t="s">
        <v>12</v>
      </c>
      <c r="AA145" t="s">
        <v>12</v>
      </c>
      <c r="AB145" t="s">
        <v>12</v>
      </c>
      <c r="AC145" t="s">
        <v>12</v>
      </c>
      <c r="AD145" t="s">
        <v>12</v>
      </c>
      <c r="AE145" t="s">
        <v>12</v>
      </c>
      <c r="AF145" t="s">
        <v>12</v>
      </c>
      <c r="AG145" t="s">
        <v>12</v>
      </c>
      <c r="AH145" t="s">
        <v>12</v>
      </c>
      <c r="AI145" t="s">
        <v>12</v>
      </c>
      <c r="AJ145" t="s">
        <v>12</v>
      </c>
      <c r="AK145" t="s">
        <v>12</v>
      </c>
      <c r="AL145" t="s">
        <v>12</v>
      </c>
      <c r="AM145" t="s">
        <v>12</v>
      </c>
      <c r="AN145" t="s">
        <v>12</v>
      </c>
      <c r="AO145" t="s">
        <v>12</v>
      </c>
    </row>
    <row r="146" spans="1:41" x14ac:dyDescent="0.35">
      <c r="A146">
        <v>19794911</v>
      </c>
      <c r="B146">
        <v>202510</v>
      </c>
      <c r="C146">
        <v>20602167748</v>
      </c>
      <c r="D146" t="s">
        <v>337</v>
      </c>
      <c r="E146" t="s">
        <v>1</v>
      </c>
      <c r="F146">
        <v>10235463</v>
      </c>
      <c r="G146" t="s">
        <v>28</v>
      </c>
      <c r="H146" t="s">
        <v>338</v>
      </c>
      <c r="I146">
        <v>9206.021484375</v>
      </c>
      <c r="J146" s="1">
        <v>45009</v>
      </c>
      <c r="K146">
        <v>22.9</v>
      </c>
      <c r="L146" t="s">
        <v>4</v>
      </c>
      <c r="M146" t="s">
        <v>4</v>
      </c>
      <c r="N146" t="s">
        <v>26</v>
      </c>
      <c r="O146">
        <v>202303</v>
      </c>
      <c r="P146">
        <v>100005</v>
      </c>
      <c r="Q146" t="s">
        <v>12</v>
      </c>
      <c r="R146" t="s">
        <v>12</v>
      </c>
      <c r="S146" t="s">
        <v>12</v>
      </c>
      <c r="T146" t="s">
        <v>12</v>
      </c>
      <c r="U146" t="s">
        <v>12</v>
      </c>
      <c r="V146" t="s">
        <v>12</v>
      </c>
      <c r="W146" t="s">
        <v>12</v>
      </c>
      <c r="X146" t="s">
        <v>12</v>
      </c>
      <c r="Y146" t="s">
        <v>12</v>
      </c>
      <c r="Z146" t="s">
        <v>12</v>
      </c>
      <c r="AA146" t="s">
        <v>12</v>
      </c>
      <c r="AB146" t="s">
        <v>12</v>
      </c>
      <c r="AC146" t="s">
        <v>12</v>
      </c>
      <c r="AD146" t="s">
        <v>12</v>
      </c>
      <c r="AE146" t="s">
        <v>12</v>
      </c>
      <c r="AF146" t="s">
        <v>12</v>
      </c>
      <c r="AG146" t="s">
        <v>12</v>
      </c>
      <c r="AH146" t="s">
        <v>12</v>
      </c>
      <c r="AI146" t="s">
        <v>12</v>
      </c>
      <c r="AJ146" t="s">
        <v>12</v>
      </c>
      <c r="AK146" t="s">
        <v>12</v>
      </c>
      <c r="AL146" t="s">
        <v>12</v>
      </c>
      <c r="AM146" t="s">
        <v>12</v>
      </c>
      <c r="AN146" t="s">
        <v>12</v>
      </c>
      <c r="AO146" t="s">
        <v>12</v>
      </c>
    </row>
    <row r="147" spans="1:41" x14ac:dyDescent="0.35">
      <c r="A147">
        <v>13376666</v>
      </c>
      <c r="B147">
        <v>202508</v>
      </c>
      <c r="C147">
        <v>10401098807</v>
      </c>
      <c r="D147" t="s">
        <v>339</v>
      </c>
      <c r="E147">
        <v>40109880</v>
      </c>
      <c r="F147">
        <v>10250782</v>
      </c>
      <c r="G147" t="s">
        <v>53</v>
      </c>
      <c r="H147" t="s">
        <v>159</v>
      </c>
      <c r="I147">
        <v>52337.58203125</v>
      </c>
      <c r="J147" s="1">
        <v>45394</v>
      </c>
      <c r="K147">
        <v>14.2</v>
      </c>
      <c r="L147" t="s">
        <v>4</v>
      </c>
      <c r="M147" t="s">
        <v>4</v>
      </c>
      <c r="N147" t="s">
        <v>47</v>
      </c>
      <c r="O147">
        <v>202404</v>
      </c>
      <c r="P147">
        <v>85004.25</v>
      </c>
      <c r="Q147" t="s">
        <v>12</v>
      </c>
      <c r="R147" t="s">
        <v>12</v>
      </c>
      <c r="S147" t="s">
        <v>12</v>
      </c>
      <c r="T147" t="s">
        <v>12</v>
      </c>
      <c r="U147" t="s">
        <v>12</v>
      </c>
      <c r="V147" t="s">
        <v>12</v>
      </c>
      <c r="W147" t="s">
        <v>12</v>
      </c>
      <c r="X147" t="s">
        <v>12</v>
      </c>
      <c r="Y147" t="s">
        <v>12</v>
      </c>
      <c r="Z147" t="s">
        <v>12</v>
      </c>
      <c r="AA147" t="s">
        <v>12</v>
      </c>
      <c r="AB147" t="s">
        <v>12</v>
      </c>
      <c r="AC147" t="s">
        <v>12</v>
      </c>
      <c r="AD147" t="s">
        <v>12</v>
      </c>
      <c r="AE147" t="s">
        <v>12</v>
      </c>
      <c r="AF147" t="s">
        <v>12</v>
      </c>
      <c r="AG147" t="s">
        <v>12</v>
      </c>
      <c r="AH147" t="s">
        <v>12</v>
      </c>
      <c r="AI147" t="s">
        <v>12</v>
      </c>
      <c r="AJ147" t="s">
        <v>12</v>
      </c>
      <c r="AK147" t="s">
        <v>12</v>
      </c>
      <c r="AL147" t="s">
        <v>12</v>
      </c>
      <c r="AM147" t="s">
        <v>12</v>
      </c>
      <c r="AN147" t="s">
        <v>12</v>
      </c>
      <c r="AO147" t="s">
        <v>12</v>
      </c>
    </row>
    <row r="148" spans="1:41" x14ac:dyDescent="0.35">
      <c r="A148">
        <v>13206134</v>
      </c>
      <c r="B148">
        <v>202506</v>
      </c>
      <c r="C148">
        <v>20552283610</v>
      </c>
      <c r="D148" t="s">
        <v>340</v>
      </c>
      <c r="E148" t="s">
        <v>1</v>
      </c>
      <c r="F148">
        <v>10191375</v>
      </c>
      <c r="G148" t="s">
        <v>199</v>
      </c>
      <c r="H148" t="s">
        <v>114</v>
      </c>
      <c r="I148">
        <v>11373.220703125</v>
      </c>
      <c r="J148" t="s">
        <v>12</v>
      </c>
      <c r="K148" t="s">
        <v>12</v>
      </c>
      <c r="L148" t="s">
        <v>12</v>
      </c>
      <c r="M148" t="s">
        <v>12</v>
      </c>
      <c r="N148" t="s">
        <v>12</v>
      </c>
      <c r="O148" t="s">
        <v>12</v>
      </c>
      <c r="P148" t="s">
        <v>12</v>
      </c>
      <c r="Q148" t="s">
        <v>114</v>
      </c>
      <c r="R148" t="s">
        <v>341</v>
      </c>
      <c r="S148" t="s">
        <v>111</v>
      </c>
      <c r="T148" t="s">
        <v>112</v>
      </c>
      <c r="U148" t="s">
        <v>20</v>
      </c>
      <c r="V148">
        <v>2</v>
      </c>
      <c r="W148" t="s">
        <v>10</v>
      </c>
      <c r="X148" t="s">
        <v>12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12</v>
      </c>
      <c r="AG148" t="s">
        <v>12</v>
      </c>
      <c r="AH148" t="s">
        <v>12</v>
      </c>
      <c r="AI148" t="s">
        <v>12</v>
      </c>
      <c r="AJ148" t="s">
        <v>12</v>
      </c>
      <c r="AK148">
        <v>1</v>
      </c>
      <c r="AL148">
        <v>0.2283</v>
      </c>
      <c r="AM148" t="s">
        <v>12</v>
      </c>
      <c r="AN148" t="s">
        <v>12</v>
      </c>
      <c r="AO148" t="s">
        <v>12</v>
      </c>
    </row>
    <row r="149" spans="1:41" x14ac:dyDescent="0.35">
      <c r="A149">
        <v>14380698</v>
      </c>
      <c r="B149">
        <v>202507</v>
      </c>
      <c r="C149">
        <v>20477613951</v>
      </c>
      <c r="D149" t="s">
        <v>342</v>
      </c>
      <c r="E149" t="s">
        <v>1</v>
      </c>
      <c r="F149">
        <v>10203161</v>
      </c>
      <c r="G149" t="s">
        <v>199</v>
      </c>
      <c r="H149" t="s">
        <v>140</v>
      </c>
      <c r="I149">
        <v>14336.712890625</v>
      </c>
      <c r="J149" t="s">
        <v>12</v>
      </c>
      <c r="K149" t="s">
        <v>12</v>
      </c>
      <c r="L149" t="s">
        <v>12</v>
      </c>
      <c r="M149" t="s">
        <v>12</v>
      </c>
      <c r="N149" t="s">
        <v>12</v>
      </c>
      <c r="O149" t="s">
        <v>12</v>
      </c>
      <c r="P149" t="s">
        <v>12</v>
      </c>
      <c r="Q149" t="s">
        <v>140</v>
      </c>
      <c r="R149" t="s">
        <v>141</v>
      </c>
      <c r="S149" t="s">
        <v>111</v>
      </c>
      <c r="T149" t="s">
        <v>112</v>
      </c>
      <c r="U149" t="s">
        <v>20</v>
      </c>
      <c r="V149">
        <v>2</v>
      </c>
      <c r="W149" t="s">
        <v>10</v>
      </c>
      <c r="X149" t="s">
        <v>12</v>
      </c>
      <c r="Y149">
        <v>1</v>
      </c>
      <c r="Z149">
        <v>1</v>
      </c>
      <c r="AA149">
        <v>0</v>
      </c>
      <c r="AB149">
        <v>0</v>
      </c>
      <c r="AC149">
        <v>1</v>
      </c>
      <c r="AD149">
        <v>1</v>
      </c>
      <c r="AE149">
        <v>0</v>
      </c>
      <c r="AF149" t="s">
        <v>12</v>
      </c>
      <c r="AG149" t="s">
        <v>12</v>
      </c>
      <c r="AH149" t="s">
        <v>12</v>
      </c>
      <c r="AI149" t="s">
        <v>12</v>
      </c>
      <c r="AJ149" t="s">
        <v>12</v>
      </c>
      <c r="AK149">
        <v>1</v>
      </c>
      <c r="AL149">
        <v>0.2238</v>
      </c>
      <c r="AM149" t="s">
        <v>12</v>
      </c>
      <c r="AN149" t="s">
        <v>12</v>
      </c>
      <c r="AO149" t="s">
        <v>12</v>
      </c>
    </row>
    <row r="150" spans="1:41" x14ac:dyDescent="0.35">
      <c r="A150">
        <v>17190647</v>
      </c>
      <c r="B150">
        <v>202502</v>
      </c>
      <c r="C150">
        <v>20606489308</v>
      </c>
      <c r="D150" t="s">
        <v>343</v>
      </c>
      <c r="E150" t="s">
        <v>1</v>
      </c>
      <c r="F150">
        <v>10264958</v>
      </c>
      <c r="G150" t="s">
        <v>28</v>
      </c>
      <c r="H150" t="s">
        <v>82</v>
      </c>
      <c r="I150">
        <v>30200.341796875</v>
      </c>
      <c r="J150" s="1">
        <v>45687</v>
      </c>
      <c r="K150">
        <v>19.200001</v>
      </c>
      <c r="L150" t="s">
        <v>4</v>
      </c>
      <c r="M150" t="s">
        <v>4</v>
      </c>
      <c r="N150" t="s">
        <v>26</v>
      </c>
      <c r="O150">
        <v>202501</v>
      </c>
      <c r="P150">
        <v>100005</v>
      </c>
      <c r="Q150" t="s">
        <v>12</v>
      </c>
      <c r="R150" t="s">
        <v>12</v>
      </c>
      <c r="S150" t="s">
        <v>12</v>
      </c>
      <c r="T150" t="s">
        <v>12</v>
      </c>
      <c r="U150" t="s">
        <v>12</v>
      </c>
      <c r="V150" t="s">
        <v>12</v>
      </c>
      <c r="W150" t="s">
        <v>12</v>
      </c>
      <c r="X150" t="s">
        <v>12</v>
      </c>
      <c r="Y150" t="s">
        <v>12</v>
      </c>
      <c r="Z150" t="s">
        <v>12</v>
      </c>
      <c r="AA150" t="s">
        <v>12</v>
      </c>
      <c r="AB150" t="s">
        <v>12</v>
      </c>
      <c r="AC150" t="s">
        <v>12</v>
      </c>
      <c r="AD150" t="s">
        <v>12</v>
      </c>
      <c r="AE150" t="s">
        <v>12</v>
      </c>
      <c r="AF150" t="s">
        <v>12</v>
      </c>
      <c r="AG150" t="s">
        <v>12</v>
      </c>
      <c r="AH150" t="s">
        <v>12</v>
      </c>
      <c r="AI150" t="s">
        <v>12</v>
      </c>
      <c r="AJ150" t="s">
        <v>12</v>
      </c>
      <c r="AK150" t="s">
        <v>12</v>
      </c>
      <c r="AL150" t="s">
        <v>12</v>
      </c>
      <c r="AM150" t="s">
        <v>12</v>
      </c>
      <c r="AN150" t="s">
        <v>12</v>
      </c>
      <c r="AO150" t="s">
        <v>12</v>
      </c>
    </row>
    <row r="151" spans="1:41" x14ac:dyDescent="0.35">
      <c r="A151">
        <v>18422232</v>
      </c>
      <c r="B151">
        <v>202509</v>
      </c>
      <c r="C151">
        <v>20608805401</v>
      </c>
      <c r="D151" t="s">
        <v>344</v>
      </c>
      <c r="E151" t="s">
        <v>1</v>
      </c>
      <c r="F151">
        <v>10253023</v>
      </c>
      <c r="G151" t="s">
        <v>65</v>
      </c>
      <c r="H151" t="s">
        <v>36</v>
      </c>
      <c r="I151">
        <v>55849.7890625</v>
      </c>
      <c r="J151" s="1">
        <v>45428</v>
      </c>
      <c r="K151">
        <v>16.5</v>
      </c>
      <c r="L151" t="s">
        <v>37</v>
      </c>
      <c r="M151" t="s">
        <v>37</v>
      </c>
      <c r="N151" t="s">
        <v>47</v>
      </c>
      <c r="O151">
        <v>202405</v>
      </c>
      <c r="P151">
        <v>90004.5</v>
      </c>
      <c r="Q151" t="s">
        <v>36</v>
      </c>
      <c r="R151" t="s">
        <v>38</v>
      </c>
      <c r="S151" t="s">
        <v>39</v>
      </c>
      <c r="T151" t="s">
        <v>40</v>
      </c>
      <c r="U151" t="s">
        <v>20</v>
      </c>
      <c r="V151">
        <v>1</v>
      </c>
      <c r="W151" t="s">
        <v>10</v>
      </c>
      <c r="X151" t="s">
        <v>51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12</v>
      </c>
      <c r="AG151" t="s">
        <v>12</v>
      </c>
      <c r="AH151" t="s">
        <v>12</v>
      </c>
      <c r="AI151" t="s">
        <v>12</v>
      </c>
      <c r="AJ151" t="s">
        <v>12</v>
      </c>
      <c r="AK151">
        <v>1</v>
      </c>
      <c r="AL151">
        <v>1</v>
      </c>
      <c r="AM151" t="s">
        <v>12</v>
      </c>
      <c r="AN151" t="s">
        <v>12</v>
      </c>
      <c r="AO151" t="s">
        <v>12</v>
      </c>
    </row>
    <row r="152" spans="1:41" x14ac:dyDescent="0.35">
      <c r="A152">
        <v>13710382</v>
      </c>
      <c r="B152">
        <v>202504</v>
      </c>
      <c r="C152">
        <v>10180567254</v>
      </c>
      <c r="D152" t="s">
        <v>345</v>
      </c>
      <c r="E152">
        <v>18056725</v>
      </c>
      <c r="F152">
        <v>10250181</v>
      </c>
      <c r="G152" t="s">
        <v>65</v>
      </c>
      <c r="H152" t="s">
        <v>159</v>
      </c>
      <c r="I152">
        <v>22112.62109375</v>
      </c>
      <c r="J152" s="1">
        <v>45378</v>
      </c>
      <c r="K152">
        <v>15</v>
      </c>
      <c r="L152" t="s">
        <v>4</v>
      </c>
      <c r="M152" t="s">
        <v>4</v>
      </c>
      <c r="N152" t="s">
        <v>47</v>
      </c>
      <c r="O152">
        <v>202403</v>
      </c>
      <c r="P152">
        <v>30001.5</v>
      </c>
      <c r="Q152" t="s">
        <v>153</v>
      </c>
      <c r="R152" t="s">
        <v>12</v>
      </c>
      <c r="S152" t="s">
        <v>12</v>
      </c>
      <c r="T152" t="s">
        <v>12</v>
      </c>
      <c r="U152" t="s">
        <v>41</v>
      </c>
      <c r="V152">
        <v>2</v>
      </c>
      <c r="W152" t="s">
        <v>10</v>
      </c>
      <c r="X152" t="s">
        <v>12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0</v>
      </c>
      <c r="AF152" t="s">
        <v>12</v>
      </c>
      <c r="AG152" t="s">
        <v>12</v>
      </c>
      <c r="AH152" t="s">
        <v>12</v>
      </c>
      <c r="AI152" t="s">
        <v>12</v>
      </c>
      <c r="AJ152" t="s">
        <v>12</v>
      </c>
      <c r="AK152">
        <v>100000</v>
      </c>
      <c r="AL152">
        <v>0.22</v>
      </c>
      <c r="AM152">
        <v>0.20200000000000001</v>
      </c>
      <c r="AN152" t="s">
        <v>12</v>
      </c>
      <c r="AO152" t="s">
        <v>12</v>
      </c>
    </row>
    <row r="153" spans="1:41" x14ac:dyDescent="0.35">
      <c r="A153">
        <v>14469541</v>
      </c>
      <c r="B153">
        <v>202509</v>
      </c>
      <c r="C153">
        <v>10709214140</v>
      </c>
      <c r="D153" t="s">
        <v>346</v>
      </c>
      <c r="E153">
        <v>70921414</v>
      </c>
      <c r="F153">
        <v>10251355</v>
      </c>
      <c r="G153" t="s">
        <v>53</v>
      </c>
      <c r="H153" t="s">
        <v>217</v>
      </c>
      <c r="I153">
        <v>172181.78125</v>
      </c>
      <c r="J153" s="1">
        <v>45405</v>
      </c>
      <c r="K153">
        <v>13.7</v>
      </c>
      <c r="L153" t="s">
        <v>4</v>
      </c>
      <c r="M153" t="s">
        <v>4</v>
      </c>
      <c r="N153" t="s">
        <v>47</v>
      </c>
      <c r="O153">
        <v>202404</v>
      </c>
      <c r="P153">
        <v>300015</v>
      </c>
      <c r="Q153" t="s">
        <v>217</v>
      </c>
      <c r="R153" t="s">
        <v>218</v>
      </c>
      <c r="S153" t="s">
        <v>18</v>
      </c>
      <c r="T153" t="s">
        <v>122</v>
      </c>
      <c r="U153" t="s">
        <v>41</v>
      </c>
      <c r="V153">
        <v>1</v>
      </c>
      <c r="W153" t="s">
        <v>10</v>
      </c>
      <c r="X153" t="s">
        <v>59</v>
      </c>
      <c r="Y153">
        <v>1</v>
      </c>
      <c r="Z153">
        <v>1</v>
      </c>
      <c r="AA153">
        <v>0</v>
      </c>
      <c r="AB153">
        <v>0</v>
      </c>
      <c r="AC153">
        <v>1</v>
      </c>
      <c r="AD153">
        <v>1</v>
      </c>
      <c r="AE153">
        <v>0</v>
      </c>
      <c r="AF153" t="s">
        <v>12</v>
      </c>
      <c r="AG153" t="s">
        <v>12</v>
      </c>
      <c r="AH153" t="s">
        <v>12</v>
      </c>
      <c r="AI153" t="s">
        <v>12</v>
      </c>
      <c r="AJ153" t="s">
        <v>12</v>
      </c>
      <c r="AK153">
        <v>200000</v>
      </c>
      <c r="AL153">
        <v>0.22</v>
      </c>
      <c r="AM153">
        <v>0.2</v>
      </c>
      <c r="AN153" t="s">
        <v>12</v>
      </c>
      <c r="AO153" t="s">
        <v>12</v>
      </c>
    </row>
    <row r="154" spans="1:41" x14ac:dyDescent="0.35">
      <c r="A154">
        <v>16666456</v>
      </c>
      <c r="B154">
        <v>202506</v>
      </c>
      <c r="C154">
        <v>20601830338</v>
      </c>
      <c r="D154" t="s">
        <v>347</v>
      </c>
      <c r="E154" t="s">
        <v>1</v>
      </c>
      <c r="F154">
        <v>10256107</v>
      </c>
      <c r="G154" t="s">
        <v>65</v>
      </c>
      <c r="H154" t="s">
        <v>220</v>
      </c>
      <c r="I154">
        <v>3508.1171875</v>
      </c>
      <c r="J154" s="1">
        <v>45467</v>
      </c>
      <c r="K154">
        <v>15.4</v>
      </c>
      <c r="L154" t="s">
        <v>4</v>
      </c>
      <c r="M154" t="s">
        <v>4</v>
      </c>
      <c r="N154" t="s">
        <v>47</v>
      </c>
      <c r="O154">
        <v>202406</v>
      </c>
      <c r="P154">
        <v>90004.5</v>
      </c>
      <c r="Q154" t="s">
        <v>220</v>
      </c>
      <c r="R154" t="s">
        <v>221</v>
      </c>
      <c r="S154" t="s">
        <v>127</v>
      </c>
      <c r="T154" t="s">
        <v>147</v>
      </c>
      <c r="U154" t="s">
        <v>20</v>
      </c>
      <c r="V154">
        <v>1</v>
      </c>
      <c r="W154" t="s">
        <v>10</v>
      </c>
      <c r="X154" t="s">
        <v>12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12</v>
      </c>
      <c r="AG154" t="s">
        <v>12</v>
      </c>
      <c r="AH154" t="s">
        <v>12</v>
      </c>
      <c r="AI154" t="s">
        <v>12</v>
      </c>
      <c r="AJ154" t="s">
        <v>12</v>
      </c>
      <c r="AK154">
        <v>1</v>
      </c>
      <c r="AL154">
        <v>0.20330000000000001</v>
      </c>
      <c r="AM154" t="s">
        <v>12</v>
      </c>
      <c r="AN154" t="s">
        <v>12</v>
      </c>
      <c r="AO154" t="s">
        <v>12</v>
      </c>
    </row>
    <row r="155" spans="1:41" x14ac:dyDescent="0.35">
      <c r="A155">
        <v>11016998</v>
      </c>
      <c r="B155">
        <v>202502</v>
      </c>
      <c r="C155">
        <v>20506439133</v>
      </c>
      <c r="D155" t="s">
        <v>348</v>
      </c>
      <c r="E155" t="s">
        <v>1</v>
      </c>
      <c r="F155">
        <v>10244024</v>
      </c>
      <c r="G155" t="s">
        <v>2</v>
      </c>
      <c r="H155" t="s">
        <v>349</v>
      </c>
      <c r="I155">
        <v>12749.041015625</v>
      </c>
      <c r="J155" s="1">
        <v>45189</v>
      </c>
      <c r="K155">
        <v>21.45</v>
      </c>
      <c r="L155" t="s">
        <v>4</v>
      </c>
      <c r="M155" t="s">
        <v>4</v>
      </c>
      <c r="N155" t="s">
        <v>41</v>
      </c>
      <c r="O155">
        <v>202309</v>
      </c>
      <c r="P155">
        <v>200010</v>
      </c>
      <c r="Q155" t="s">
        <v>12</v>
      </c>
      <c r="R155" t="s">
        <v>12</v>
      </c>
      <c r="S155" t="s">
        <v>12</v>
      </c>
      <c r="T155" t="s">
        <v>12</v>
      </c>
      <c r="U155" t="s">
        <v>12</v>
      </c>
      <c r="V155" t="s">
        <v>12</v>
      </c>
      <c r="W155" t="s">
        <v>12</v>
      </c>
      <c r="X155" t="s">
        <v>12</v>
      </c>
      <c r="Y155" t="s">
        <v>12</v>
      </c>
      <c r="Z155" t="s">
        <v>12</v>
      </c>
      <c r="AA155" t="s">
        <v>12</v>
      </c>
      <c r="AB155" t="s">
        <v>12</v>
      </c>
      <c r="AC155" t="s">
        <v>12</v>
      </c>
      <c r="AD155" t="s">
        <v>12</v>
      </c>
      <c r="AE155" t="s">
        <v>12</v>
      </c>
      <c r="AF155" t="s">
        <v>12</v>
      </c>
      <c r="AG155" t="s">
        <v>12</v>
      </c>
      <c r="AH155" t="s">
        <v>12</v>
      </c>
      <c r="AI155" t="s">
        <v>12</v>
      </c>
      <c r="AJ155" t="s">
        <v>12</v>
      </c>
      <c r="AK155" t="s">
        <v>12</v>
      </c>
      <c r="AL155" t="s">
        <v>12</v>
      </c>
      <c r="AM155" t="s">
        <v>12</v>
      </c>
      <c r="AN155" t="s">
        <v>12</v>
      </c>
      <c r="AO155" t="s">
        <v>12</v>
      </c>
    </row>
    <row r="156" spans="1:41" x14ac:dyDescent="0.35">
      <c r="A156">
        <v>13785461</v>
      </c>
      <c r="B156">
        <v>202511</v>
      </c>
      <c r="C156">
        <v>20451813324</v>
      </c>
      <c r="D156" t="s">
        <v>350</v>
      </c>
      <c r="E156" t="s">
        <v>1</v>
      </c>
      <c r="F156">
        <v>10172372</v>
      </c>
      <c r="G156" t="s">
        <v>2</v>
      </c>
      <c r="H156" t="s">
        <v>145</v>
      </c>
      <c r="I156">
        <v>41082.6328125</v>
      </c>
      <c r="J156" s="1">
        <v>45845</v>
      </c>
      <c r="K156">
        <v>16</v>
      </c>
      <c r="L156" t="s">
        <v>4</v>
      </c>
      <c r="M156" t="s">
        <v>4</v>
      </c>
      <c r="N156" t="s">
        <v>5</v>
      </c>
      <c r="O156">
        <v>202507</v>
      </c>
      <c r="P156">
        <v>120006</v>
      </c>
      <c r="Q156" t="s">
        <v>175</v>
      </c>
      <c r="R156" t="s">
        <v>176</v>
      </c>
      <c r="S156" t="s">
        <v>127</v>
      </c>
      <c r="T156" t="s">
        <v>147</v>
      </c>
      <c r="U156" t="s">
        <v>20</v>
      </c>
      <c r="V156">
        <v>1</v>
      </c>
      <c r="W156" t="s">
        <v>10</v>
      </c>
      <c r="X156" t="s">
        <v>22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12</v>
      </c>
      <c r="AG156" t="s">
        <v>12</v>
      </c>
      <c r="AH156" t="s">
        <v>12</v>
      </c>
      <c r="AI156" t="s">
        <v>12</v>
      </c>
      <c r="AJ156" t="s">
        <v>12</v>
      </c>
      <c r="AK156">
        <v>1</v>
      </c>
      <c r="AL156">
        <v>1</v>
      </c>
      <c r="AM156" t="s">
        <v>12</v>
      </c>
      <c r="AN156" t="s">
        <v>12</v>
      </c>
      <c r="AO156" t="s">
        <v>12</v>
      </c>
    </row>
    <row r="157" spans="1:41" x14ac:dyDescent="0.35">
      <c r="A157">
        <v>13441837</v>
      </c>
      <c r="B157">
        <v>202512</v>
      </c>
      <c r="C157">
        <v>20487956687</v>
      </c>
      <c r="D157" t="s">
        <v>256</v>
      </c>
      <c r="E157" t="s">
        <v>1</v>
      </c>
      <c r="F157">
        <v>10260724</v>
      </c>
      <c r="G157" t="s">
        <v>2</v>
      </c>
      <c r="H157" t="s">
        <v>257</v>
      </c>
      <c r="I157">
        <v>169940.265625</v>
      </c>
      <c r="J157" s="1">
        <v>45909</v>
      </c>
      <c r="K157">
        <v>19</v>
      </c>
      <c r="L157" t="s">
        <v>4</v>
      </c>
      <c r="M157" t="s">
        <v>4</v>
      </c>
      <c r="N157" t="s">
        <v>5</v>
      </c>
      <c r="O157">
        <v>202509</v>
      </c>
      <c r="P157">
        <v>81504.05</v>
      </c>
      <c r="Q157" t="s">
        <v>257</v>
      </c>
      <c r="R157" t="s">
        <v>258</v>
      </c>
      <c r="S157" t="s">
        <v>49</v>
      </c>
      <c r="T157" t="s">
        <v>50</v>
      </c>
      <c r="U157" t="s">
        <v>20</v>
      </c>
      <c r="V157">
        <v>1</v>
      </c>
      <c r="W157" t="s">
        <v>10</v>
      </c>
      <c r="X157" t="s">
        <v>22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12</v>
      </c>
      <c r="AG157" t="s">
        <v>12</v>
      </c>
      <c r="AH157" t="s">
        <v>12</v>
      </c>
      <c r="AI157" t="s">
        <v>12</v>
      </c>
      <c r="AJ157" t="s">
        <v>12</v>
      </c>
      <c r="AK157">
        <v>1</v>
      </c>
      <c r="AL157">
        <v>1</v>
      </c>
      <c r="AM157" t="s">
        <v>12</v>
      </c>
      <c r="AN157" t="s">
        <v>12</v>
      </c>
      <c r="AO157" t="s">
        <v>12</v>
      </c>
    </row>
    <row r="158" spans="1:41" x14ac:dyDescent="0.35">
      <c r="A158">
        <v>7720329</v>
      </c>
      <c r="B158">
        <v>202508</v>
      </c>
      <c r="C158">
        <v>10167693861</v>
      </c>
      <c r="D158" t="s">
        <v>351</v>
      </c>
      <c r="E158">
        <v>16769386</v>
      </c>
      <c r="F158">
        <v>10254971</v>
      </c>
      <c r="G158" t="s">
        <v>65</v>
      </c>
      <c r="H158" t="s">
        <v>105</v>
      </c>
      <c r="I158">
        <v>62844.02734375</v>
      </c>
      <c r="J158" s="1">
        <v>45455</v>
      </c>
      <c r="K158">
        <v>15.4</v>
      </c>
      <c r="L158" t="s">
        <v>4</v>
      </c>
      <c r="M158" t="s">
        <v>4</v>
      </c>
      <c r="N158" t="s">
        <v>47</v>
      </c>
      <c r="O158">
        <v>202406</v>
      </c>
      <c r="P158">
        <v>90004.5</v>
      </c>
      <c r="Q158" t="s">
        <v>105</v>
      </c>
      <c r="R158" t="s">
        <v>106</v>
      </c>
      <c r="S158" t="s">
        <v>88</v>
      </c>
      <c r="T158" t="s">
        <v>89</v>
      </c>
      <c r="U158" t="s">
        <v>20</v>
      </c>
      <c r="V158">
        <v>2</v>
      </c>
      <c r="W158" t="s">
        <v>90</v>
      </c>
      <c r="X158" t="s">
        <v>12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12</v>
      </c>
      <c r="AG158" t="s">
        <v>12</v>
      </c>
      <c r="AH158" t="s">
        <v>12</v>
      </c>
      <c r="AI158" t="s">
        <v>12</v>
      </c>
      <c r="AJ158" t="s">
        <v>12</v>
      </c>
      <c r="AK158">
        <v>1</v>
      </c>
      <c r="AL158">
        <v>0.2843</v>
      </c>
      <c r="AM158" t="s">
        <v>12</v>
      </c>
      <c r="AN158" t="s">
        <v>12</v>
      </c>
      <c r="AO158" t="s">
        <v>12</v>
      </c>
    </row>
    <row r="159" spans="1:41" x14ac:dyDescent="0.35">
      <c r="A159">
        <v>15335516</v>
      </c>
      <c r="B159">
        <v>202508</v>
      </c>
      <c r="C159">
        <v>10455511556</v>
      </c>
      <c r="D159" t="s">
        <v>352</v>
      </c>
      <c r="E159">
        <v>45551155</v>
      </c>
      <c r="F159">
        <v>10255459</v>
      </c>
      <c r="G159" t="s">
        <v>65</v>
      </c>
      <c r="H159" t="s">
        <v>183</v>
      </c>
      <c r="I159">
        <v>27938.943359375</v>
      </c>
      <c r="J159" s="1">
        <v>45461</v>
      </c>
      <c r="K159">
        <v>15.5</v>
      </c>
      <c r="L159" t="s">
        <v>37</v>
      </c>
      <c r="M159" t="s">
        <v>37</v>
      </c>
      <c r="N159" t="s">
        <v>47</v>
      </c>
      <c r="O159">
        <v>202406</v>
      </c>
      <c r="P159">
        <v>40002</v>
      </c>
      <c r="Q159" t="s">
        <v>12</v>
      </c>
      <c r="R159" t="s">
        <v>12</v>
      </c>
      <c r="S159" t="s">
        <v>12</v>
      </c>
      <c r="T159" t="s">
        <v>12</v>
      </c>
      <c r="U159" t="s">
        <v>12</v>
      </c>
      <c r="V159" t="s">
        <v>12</v>
      </c>
      <c r="W159" t="s">
        <v>12</v>
      </c>
      <c r="X159" t="s">
        <v>12</v>
      </c>
      <c r="Y159" t="s">
        <v>12</v>
      </c>
      <c r="Z159" t="s">
        <v>12</v>
      </c>
      <c r="AA159" t="s">
        <v>12</v>
      </c>
      <c r="AB159" t="s">
        <v>12</v>
      </c>
      <c r="AC159" t="s">
        <v>12</v>
      </c>
      <c r="AD159" t="s">
        <v>12</v>
      </c>
      <c r="AE159" t="s">
        <v>12</v>
      </c>
      <c r="AF159" t="s">
        <v>12</v>
      </c>
      <c r="AG159" t="s">
        <v>12</v>
      </c>
      <c r="AH159" t="s">
        <v>12</v>
      </c>
      <c r="AI159" t="s">
        <v>12</v>
      </c>
      <c r="AJ159" t="s">
        <v>12</v>
      </c>
      <c r="AK159" t="s">
        <v>12</v>
      </c>
      <c r="AL159" t="s">
        <v>12</v>
      </c>
      <c r="AM159" t="s">
        <v>12</v>
      </c>
      <c r="AN159" t="s">
        <v>12</v>
      </c>
      <c r="AO159" t="s">
        <v>12</v>
      </c>
    </row>
    <row r="160" spans="1:41" x14ac:dyDescent="0.35">
      <c r="A160">
        <v>9645522</v>
      </c>
      <c r="B160">
        <v>202503</v>
      </c>
      <c r="C160">
        <v>10074737051</v>
      </c>
      <c r="D160" t="s">
        <v>353</v>
      </c>
      <c r="E160">
        <v>7473705</v>
      </c>
      <c r="F160">
        <v>10176037</v>
      </c>
      <c r="G160" t="s">
        <v>2</v>
      </c>
      <c r="H160" t="s">
        <v>159</v>
      </c>
      <c r="I160">
        <v>13557.587890625</v>
      </c>
      <c r="J160" s="1">
        <v>45421</v>
      </c>
      <c r="K160">
        <v>19.45</v>
      </c>
      <c r="L160" t="s">
        <v>4</v>
      </c>
      <c r="M160" t="s">
        <v>4</v>
      </c>
      <c r="N160" t="s">
        <v>5</v>
      </c>
      <c r="O160">
        <v>202405</v>
      </c>
      <c r="P160">
        <v>50002.5</v>
      </c>
      <c r="Q160" t="s">
        <v>12</v>
      </c>
      <c r="R160" t="s">
        <v>12</v>
      </c>
      <c r="S160" t="s">
        <v>12</v>
      </c>
      <c r="T160" t="s">
        <v>12</v>
      </c>
      <c r="U160" t="s">
        <v>12</v>
      </c>
      <c r="V160" t="s">
        <v>12</v>
      </c>
      <c r="W160" t="s">
        <v>12</v>
      </c>
      <c r="X160" t="s">
        <v>12</v>
      </c>
      <c r="Y160" t="s">
        <v>12</v>
      </c>
      <c r="Z160" t="s">
        <v>12</v>
      </c>
      <c r="AA160" t="s">
        <v>12</v>
      </c>
      <c r="AB160" t="s">
        <v>12</v>
      </c>
      <c r="AC160" t="s">
        <v>12</v>
      </c>
      <c r="AD160" t="s">
        <v>12</v>
      </c>
      <c r="AE160" t="s">
        <v>12</v>
      </c>
      <c r="AF160" t="s">
        <v>12</v>
      </c>
      <c r="AG160" t="s">
        <v>12</v>
      </c>
      <c r="AH160" t="s">
        <v>12</v>
      </c>
      <c r="AI160" t="s">
        <v>12</v>
      </c>
      <c r="AJ160" t="s">
        <v>12</v>
      </c>
      <c r="AK160" t="s">
        <v>12</v>
      </c>
      <c r="AL160" t="s">
        <v>12</v>
      </c>
      <c r="AM160" t="s">
        <v>12</v>
      </c>
      <c r="AN160" t="s">
        <v>12</v>
      </c>
      <c r="AO160" t="s">
        <v>12</v>
      </c>
    </row>
    <row r="161" spans="1:41" x14ac:dyDescent="0.35">
      <c r="A161">
        <v>14691100</v>
      </c>
      <c r="B161">
        <v>202509</v>
      </c>
      <c r="C161">
        <v>20511388300</v>
      </c>
      <c r="D161" t="s">
        <v>354</v>
      </c>
      <c r="E161" t="s">
        <v>1</v>
      </c>
      <c r="F161">
        <v>10251679</v>
      </c>
      <c r="G161" t="s">
        <v>53</v>
      </c>
      <c r="H161" t="s">
        <v>135</v>
      </c>
      <c r="I161">
        <v>103307.6640625</v>
      </c>
      <c r="J161" s="1">
        <v>45407</v>
      </c>
      <c r="K161">
        <v>13.7</v>
      </c>
      <c r="L161" t="s">
        <v>4</v>
      </c>
      <c r="M161" t="s">
        <v>4</v>
      </c>
      <c r="N161" t="s">
        <v>47</v>
      </c>
      <c r="O161">
        <v>202404</v>
      </c>
      <c r="P161">
        <v>180009</v>
      </c>
      <c r="Q161" t="s">
        <v>135</v>
      </c>
      <c r="R161" t="s">
        <v>136</v>
      </c>
      <c r="S161" t="s">
        <v>18</v>
      </c>
      <c r="T161" t="s">
        <v>122</v>
      </c>
      <c r="U161" t="s">
        <v>41</v>
      </c>
      <c r="V161">
        <v>1</v>
      </c>
      <c r="W161" t="s">
        <v>10</v>
      </c>
      <c r="X161" t="s">
        <v>22</v>
      </c>
      <c r="Y161">
        <v>1</v>
      </c>
      <c r="Z161">
        <v>1</v>
      </c>
      <c r="AA161">
        <v>0</v>
      </c>
      <c r="AB161">
        <v>1</v>
      </c>
      <c r="AC161">
        <v>1</v>
      </c>
      <c r="AD161">
        <v>1</v>
      </c>
      <c r="AE161">
        <v>0</v>
      </c>
      <c r="AF161" t="s">
        <v>12</v>
      </c>
      <c r="AG161" t="s">
        <v>12</v>
      </c>
      <c r="AH161" t="s">
        <v>12</v>
      </c>
      <c r="AI161" t="s">
        <v>12</v>
      </c>
      <c r="AJ161" t="s">
        <v>12</v>
      </c>
      <c r="AK161">
        <v>250000</v>
      </c>
      <c r="AL161">
        <v>0.19</v>
      </c>
      <c r="AM161">
        <v>0.17</v>
      </c>
      <c r="AN161" t="s">
        <v>12</v>
      </c>
      <c r="AO161" t="s">
        <v>12</v>
      </c>
    </row>
    <row r="162" spans="1:41" x14ac:dyDescent="0.35">
      <c r="A162">
        <v>21490640</v>
      </c>
      <c r="B162">
        <v>202506</v>
      </c>
      <c r="C162">
        <v>20610628231</v>
      </c>
      <c r="D162" t="s">
        <v>355</v>
      </c>
      <c r="E162" t="s">
        <v>1</v>
      </c>
      <c r="F162">
        <v>10265512</v>
      </c>
      <c r="G162" t="s">
        <v>100</v>
      </c>
      <c r="H162" t="s">
        <v>159</v>
      </c>
      <c r="I162">
        <v>30461.73046875</v>
      </c>
      <c r="J162" s="1">
        <v>45708</v>
      </c>
      <c r="K162">
        <v>21</v>
      </c>
      <c r="L162" t="s">
        <v>37</v>
      </c>
      <c r="M162" t="s">
        <v>37</v>
      </c>
      <c r="N162" t="s">
        <v>102</v>
      </c>
      <c r="O162">
        <v>202502</v>
      </c>
      <c r="P162">
        <v>37951.85</v>
      </c>
      <c r="Q162" t="s">
        <v>12</v>
      </c>
      <c r="R162" t="s">
        <v>12</v>
      </c>
      <c r="S162" t="s">
        <v>12</v>
      </c>
      <c r="T162" t="s">
        <v>12</v>
      </c>
      <c r="U162" t="s">
        <v>12</v>
      </c>
      <c r="V162" t="s">
        <v>12</v>
      </c>
      <c r="W162" t="s">
        <v>12</v>
      </c>
      <c r="X162" t="s">
        <v>12</v>
      </c>
      <c r="Y162" t="s">
        <v>12</v>
      </c>
      <c r="Z162" t="s">
        <v>12</v>
      </c>
      <c r="AA162" t="s">
        <v>12</v>
      </c>
      <c r="AB162" t="s">
        <v>12</v>
      </c>
      <c r="AC162" t="s">
        <v>12</v>
      </c>
      <c r="AD162" t="s">
        <v>12</v>
      </c>
      <c r="AE162" t="s">
        <v>12</v>
      </c>
      <c r="AF162" t="s">
        <v>12</v>
      </c>
      <c r="AG162" t="s">
        <v>12</v>
      </c>
      <c r="AH162" t="s">
        <v>12</v>
      </c>
      <c r="AI162" t="s">
        <v>12</v>
      </c>
      <c r="AJ162" t="s">
        <v>12</v>
      </c>
      <c r="AK162" t="s">
        <v>12</v>
      </c>
      <c r="AL162" t="s">
        <v>12</v>
      </c>
      <c r="AM162" t="s">
        <v>12</v>
      </c>
      <c r="AN162" t="s">
        <v>12</v>
      </c>
      <c r="AO162" t="s">
        <v>12</v>
      </c>
    </row>
    <row r="163" spans="1:41" x14ac:dyDescent="0.35">
      <c r="A163">
        <v>14924921</v>
      </c>
      <c r="B163">
        <v>202512</v>
      </c>
      <c r="C163">
        <v>20487869440</v>
      </c>
      <c r="D163" t="s">
        <v>356</v>
      </c>
      <c r="E163" t="s">
        <v>1</v>
      </c>
      <c r="F163">
        <v>10156525</v>
      </c>
      <c r="G163" t="s">
        <v>2</v>
      </c>
      <c r="H163" t="s">
        <v>230</v>
      </c>
      <c r="I163">
        <v>87494.6015625</v>
      </c>
      <c r="J163" s="1">
        <v>45947</v>
      </c>
      <c r="K163">
        <v>16.3</v>
      </c>
      <c r="L163" t="s">
        <v>86</v>
      </c>
      <c r="M163" t="s">
        <v>86</v>
      </c>
      <c r="N163" t="s">
        <v>5</v>
      </c>
      <c r="O163">
        <v>202510</v>
      </c>
      <c r="P163">
        <v>90004.5</v>
      </c>
      <c r="Q163" t="s">
        <v>12</v>
      </c>
      <c r="R163" t="s">
        <v>12</v>
      </c>
      <c r="S163" t="s">
        <v>12</v>
      </c>
      <c r="T163" t="s">
        <v>12</v>
      </c>
      <c r="U163" t="s">
        <v>196</v>
      </c>
      <c r="V163">
        <v>3</v>
      </c>
      <c r="W163" t="s">
        <v>10</v>
      </c>
      <c r="X163" t="s">
        <v>51</v>
      </c>
      <c r="Y163">
        <v>1</v>
      </c>
      <c r="Z163">
        <v>1</v>
      </c>
      <c r="AA163">
        <v>0</v>
      </c>
      <c r="AB163">
        <v>0</v>
      </c>
      <c r="AC163">
        <v>1</v>
      </c>
      <c r="AD163" t="s">
        <v>12</v>
      </c>
      <c r="AE163">
        <v>0</v>
      </c>
      <c r="AF163" t="s">
        <v>12</v>
      </c>
      <c r="AG163" t="s">
        <v>12</v>
      </c>
      <c r="AH163" t="s">
        <v>12</v>
      </c>
      <c r="AI163" t="s">
        <v>12</v>
      </c>
      <c r="AJ163" t="s">
        <v>12</v>
      </c>
      <c r="AK163" t="s">
        <v>12</v>
      </c>
      <c r="AL163" t="s">
        <v>12</v>
      </c>
      <c r="AM163" t="s">
        <v>12</v>
      </c>
      <c r="AN163" t="s">
        <v>269</v>
      </c>
      <c r="AO163" t="s">
        <v>270</v>
      </c>
    </row>
    <row r="164" spans="1:41" x14ac:dyDescent="0.35">
      <c r="A164">
        <v>13712020</v>
      </c>
      <c r="B164">
        <v>202510</v>
      </c>
      <c r="C164">
        <v>10266017940</v>
      </c>
      <c r="D164" t="s">
        <v>357</v>
      </c>
      <c r="E164">
        <v>26601794</v>
      </c>
      <c r="F164">
        <v>10269870</v>
      </c>
      <c r="G164" t="s">
        <v>100</v>
      </c>
      <c r="H164" t="s">
        <v>159</v>
      </c>
      <c r="I164">
        <v>63307.84375</v>
      </c>
      <c r="J164" s="1">
        <v>45862</v>
      </c>
      <c r="K164">
        <v>18.489999999999998</v>
      </c>
      <c r="L164" t="s">
        <v>37</v>
      </c>
      <c r="M164" t="s">
        <v>37</v>
      </c>
      <c r="N164" t="s">
        <v>102</v>
      </c>
      <c r="O164">
        <v>202507</v>
      </c>
      <c r="P164">
        <v>84453.96</v>
      </c>
      <c r="Q164" t="s">
        <v>12</v>
      </c>
      <c r="R164" t="s">
        <v>12</v>
      </c>
      <c r="S164" t="s">
        <v>12</v>
      </c>
      <c r="T164" t="s">
        <v>12</v>
      </c>
      <c r="U164" t="s">
        <v>12</v>
      </c>
      <c r="V164" t="s">
        <v>12</v>
      </c>
      <c r="W164" t="s">
        <v>12</v>
      </c>
      <c r="X164" t="s">
        <v>12</v>
      </c>
      <c r="Y164" t="s">
        <v>12</v>
      </c>
      <c r="Z164" t="s">
        <v>12</v>
      </c>
      <c r="AA164" t="s">
        <v>12</v>
      </c>
      <c r="AB164" t="s">
        <v>12</v>
      </c>
      <c r="AC164" t="s">
        <v>12</v>
      </c>
      <c r="AD164" t="s">
        <v>12</v>
      </c>
      <c r="AE164" t="s">
        <v>12</v>
      </c>
      <c r="AF164" t="s">
        <v>12</v>
      </c>
      <c r="AG164" t="s">
        <v>12</v>
      </c>
      <c r="AH164" t="s">
        <v>12</v>
      </c>
      <c r="AI164" t="s">
        <v>12</v>
      </c>
      <c r="AJ164" t="s">
        <v>12</v>
      </c>
      <c r="AK164" t="s">
        <v>12</v>
      </c>
      <c r="AL164" t="s">
        <v>12</v>
      </c>
      <c r="AM164" t="s">
        <v>12</v>
      </c>
      <c r="AN164" t="s">
        <v>12</v>
      </c>
      <c r="AO164" t="s">
        <v>12</v>
      </c>
    </row>
    <row r="165" spans="1:41" x14ac:dyDescent="0.35">
      <c r="A165">
        <v>21808817</v>
      </c>
      <c r="B165">
        <v>202602</v>
      </c>
      <c r="C165">
        <v>20555612819</v>
      </c>
      <c r="D165" t="s">
        <v>358</v>
      </c>
      <c r="E165" t="s">
        <v>1</v>
      </c>
      <c r="F165">
        <v>10270714</v>
      </c>
      <c r="G165" t="s">
        <v>100</v>
      </c>
      <c r="H165" t="s">
        <v>284</v>
      </c>
      <c r="I165">
        <v>193165.671875</v>
      </c>
      <c r="J165" s="1">
        <v>45895</v>
      </c>
      <c r="K165">
        <v>17</v>
      </c>
      <c r="L165" t="s">
        <v>37</v>
      </c>
      <c r="M165" t="s">
        <v>37</v>
      </c>
      <c r="N165" t="s">
        <v>102</v>
      </c>
      <c r="O165">
        <v>202508</v>
      </c>
      <c r="P165">
        <v>223341.15</v>
      </c>
      <c r="Q165" t="s">
        <v>284</v>
      </c>
      <c r="R165" t="s">
        <v>285</v>
      </c>
      <c r="S165" t="s">
        <v>31</v>
      </c>
      <c r="T165" t="s">
        <v>32</v>
      </c>
      <c r="U165" t="s">
        <v>63</v>
      </c>
      <c r="V165">
        <v>1</v>
      </c>
      <c r="W165" t="s">
        <v>10</v>
      </c>
      <c r="X165" t="s">
        <v>11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12</v>
      </c>
      <c r="AG165" t="s">
        <v>12</v>
      </c>
      <c r="AH165" t="s">
        <v>12</v>
      </c>
      <c r="AI165" t="s">
        <v>12</v>
      </c>
      <c r="AJ165" t="s">
        <v>12</v>
      </c>
      <c r="AK165">
        <v>500000</v>
      </c>
      <c r="AL165">
        <v>0.21</v>
      </c>
      <c r="AM165">
        <v>0.19</v>
      </c>
      <c r="AN165" t="s">
        <v>12</v>
      </c>
      <c r="AO165" t="s">
        <v>12</v>
      </c>
    </row>
    <row r="166" spans="1:41" x14ac:dyDescent="0.35">
      <c r="A166">
        <v>18902481</v>
      </c>
      <c r="B166">
        <v>202511</v>
      </c>
      <c r="C166">
        <v>20552831765</v>
      </c>
      <c r="D166" t="s">
        <v>359</v>
      </c>
      <c r="E166" t="s">
        <v>1</v>
      </c>
      <c r="F166">
        <v>10264858</v>
      </c>
      <c r="G166" t="s">
        <v>24</v>
      </c>
      <c r="H166" t="s">
        <v>120</v>
      </c>
      <c r="I166">
        <v>801.86578369140602</v>
      </c>
      <c r="J166" s="1">
        <v>45685</v>
      </c>
      <c r="K166">
        <v>21.5</v>
      </c>
      <c r="L166" t="s">
        <v>37</v>
      </c>
      <c r="M166" t="s">
        <v>75</v>
      </c>
      <c r="N166" t="s">
        <v>98</v>
      </c>
      <c r="O166">
        <v>202501</v>
      </c>
      <c r="P166">
        <v>20001</v>
      </c>
      <c r="Q166" t="s">
        <v>120</v>
      </c>
      <c r="R166" t="s">
        <v>121</v>
      </c>
      <c r="S166" t="s">
        <v>18</v>
      </c>
      <c r="T166" t="s">
        <v>122</v>
      </c>
      <c r="U166" t="s">
        <v>20</v>
      </c>
      <c r="V166">
        <v>1</v>
      </c>
      <c r="W166" t="s">
        <v>10</v>
      </c>
      <c r="X166" t="s">
        <v>51</v>
      </c>
      <c r="Y166">
        <v>1</v>
      </c>
      <c r="Z166">
        <v>1</v>
      </c>
      <c r="AA166">
        <v>0</v>
      </c>
      <c r="AB166">
        <v>1</v>
      </c>
      <c r="AC166">
        <v>1</v>
      </c>
      <c r="AD166">
        <v>1</v>
      </c>
      <c r="AE166">
        <v>0</v>
      </c>
      <c r="AF166" t="s">
        <v>12</v>
      </c>
      <c r="AG166" t="s">
        <v>12</v>
      </c>
      <c r="AH166" t="s">
        <v>12</v>
      </c>
      <c r="AI166" t="s">
        <v>12</v>
      </c>
      <c r="AJ166" t="s">
        <v>12</v>
      </c>
      <c r="AK166">
        <v>1</v>
      </c>
      <c r="AL166">
        <v>1</v>
      </c>
      <c r="AM166" t="s">
        <v>12</v>
      </c>
      <c r="AN166" t="s">
        <v>12</v>
      </c>
      <c r="AO166" t="s">
        <v>12</v>
      </c>
    </row>
    <row r="167" spans="1:41" x14ac:dyDescent="0.35">
      <c r="A167">
        <v>21441667</v>
      </c>
      <c r="B167">
        <v>202511</v>
      </c>
      <c r="C167">
        <v>20608748343</v>
      </c>
      <c r="D167" t="s">
        <v>360</v>
      </c>
      <c r="E167" t="s">
        <v>1</v>
      </c>
      <c r="F167">
        <v>10264864</v>
      </c>
      <c r="G167" t="s">
        <v>14</v>
      </c>
      <c r="H167" t="s">
        <v>124</v>
      </c>
      <c r="I167">
        <v>26244.78125</v>
      </c>
      <c r="J167" s="1">
        <v>45685</v>
      </c>
      <c r="K167">
        <v>18.200001</v>
      </c>
      <c r="L167" t="s">
        <v>37</v>
      </c>
      <c r="M167" t="s">
        <v>37</v>
      </c>
      <c r="N167" t="s">
        <v>98</v>
      </c>
      <c r="O167">
        <v>202501</v>
      </c>
      <c r="P167">
        <v>130006.5</v>
      </c>
      <c r="Q167" t="s">
        <v>124</v>
      </c>
      <c r="R167" t="s">
        <v>125</v>
      </c>
      <c r="S167" t="s">
        <v>88</v>
      </c>
      <c r="T167" t="s">
        <v>89</v>
      </c>
      <c r="U167" t="s">
        <v>20</v>
      </c>
      <c r="V167">
        <v>2</v>
      </c>
      <c r="W167" t="s">
        <v>10</v>
      </c>
      <c r="X167" t="s">
        <v>51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12</v>
      </c>
      <c r="AG167" t="s">
        <v>12</v>
      </c>
      <c r="AH167" t="s">
        <v>12</v>
      </c>
      <c r="AI167" t="s">
        <v>12</v>
      </c>
      <c r="AJ167" t="s">
        <v>12</v>
      </c>
      <c r="AK167">
        <v>1</v>
      </c>
      <c r="AL167">
        <v>1</v>
      </c>
      <c r="AM167" t="s">
        <v>12</v>
      </c>
      <c r="AN167" t="s">
        <v>12</v>
      </c>
      <c r="AO167" t="s">
        <v>12</v>
      </c>
    </row>
    <row r="168" spans="1:41" x14ac:dyDescent="0.35">
      <c r="A168">
        <v>16857545</v>
      </c>
      <c r="B168">
        <v>202510</v>
      </c>
      <c r="C168">
        <v>20602632955</v>
      </c>
      <c r="D168" t="s">
        <v>361</v>
      </c>
      <c r="E168" t="s">
        <v>1</v>
      </c>
      <c r="F168">
        <v>10270604</v>
      </c>
      <c r="G168" t="s">
        <v>100</v>
      </c>
      <c r="H168" t="s">
        <v>317</v>
      </c>
      <c r="I168">
        <v>89980.640625</v>
      </c>
      <c r="J168" s="1">
        <v>45891</v>
      </c>
      <c r="K168">
        <v>16</v>
      </c>
      <c r="L168" t="s">
        <v>86</v>
      </c>
      <c r="M168" t="s">
        <v>86</v>
      </c>
      <c r="N168" t="s">
        <v>102</v>
      </c>
      <c r="O168">
        <v>202508</v>
      </c>
      <c r="P168">
        <v>100005</v>
      </c>
      <c r="Q168" t="s">
        <v>317</v>
      </c>
      <c r="R168" t="s">
        <v>318</v>
      </c>
      <c r="S168" t="s">
        <v>88</v>
      </c>
      <c r="T168" t="s">
        <v>89</v>
      </c>
      <c r="U168" t="s">
        <v>20</v>
      </c>
      <c r="V168">
        <v>2</v>
      </c>
      <c r="W168" t="s">
        <v>10</v>
      </c>
      <c r="X168" t="s">
        <v>12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12</v>
      </c>
      <c r="AG168" t="s">
        <v>12</v>
      </c>
      <c r="AH168" t="s">
        <v>12</v>
      </c>
      <c r="AI168" t="s">
        <v>12</v>
      </c>
      <c r="AJ168" t="s">
        <v>12</v>
      </c>
      <c r="AK168">
        <v>1</v>
      </c>
      <c r="AL168">
        <v>1</v>
      </c>
      <c r="AM168" t="s">
        <v>12</v>
      </c>
      <c r="AN168" t="s">
        <v>12</v>
      </c>
      <c r="AO168" t="s">
        <v>12</v>
      </c>
    </row>
    <row r="169" spans="1:41" x14ac:dyDescent="0.35">
      <c r="A169">
        <v>15170488</v>
      </c>
      <c r="B169">
        <v>202507</v>
      </c>
      <c r="C169">
        <v>10806602120</v>
      </c>
      <c r="D169" t="s">
        <v>362</v>
      </c>
      <c r="E169">
        <v>80660212</v>
      </c>
      <c r="F169">
        <v>10267403</v>
      </c>
      <c r="G169" t="s">
        <v>100</v>
      </c>
      <c r="H169" t="s">
        <v>61</v>
      </c>
      <c r="I169">
        <v>195109.5625</v>
      </c>
      <c r="J169" s="1">
        <v>45775</v>
      </c>
      <c r="K169">
        <v>16.8</v>
      </c>
      <c r="L169" t="s">
        <v>37</v>
      </c>
      <c r="M169" t="s">
        <v>37</v>
      </c>
      <c r="N169" t="s">
        <v>102</v>
      </c>
      <c r="O169">
        <v>202504</v>
      </c>
      <c r="P169">
        <v>208907.9</v>
      </c>
      <c r="Q169" t="s">
        <v>12</v>
      </c>
      <c r="R169" t="s">
        <v>12</v>
      </c>
      <c r="S169" t="s">
        <v>12</v>
      </c>
      <c r="T169" t="s">
        <v>12</v>
      </c>
      <c r="U169" t="s">
        <v>12</v>
      </c>
      <c r="V169" t="s">
        <v>12</v>
      </c>
      <c r="W169" t="s">
        <v>12</v>
      </c>
      <c r="X169" t="s">
        <v>12</v>
      </c>
      <c r="Y169" t="s">
        <v>12</v>
      </c>
      <c r="Z169" t="s">
        <v>12</v>
      </c>
      <c r="AA169" t="s">
        <v>12</v>
      </c>
      <c r="AB169" t="s">
        <v>12</v>
      </c>
      <c r="AC169" t="s">
        <v>12</v>
      </c>
      <c r="AD169" t="s">
        <v>12</v>
      </c>
      <c r="AE169" t="s">
        <v>12</v>
      </c>
      <c r="AF169" t="s">
        <v>12</v>
      </c>
      <c r="AG169" t="s">
        <v>12</v>
      </c>
      <c r="AH169" t="s">
        <v>12</v>
      </c>
      <c r="AI169" t="s">
        <v>12</v>
      </c>
      <c r="AJ169" t="s">
        <v>12</v>
      </c>
      <c r="AK169" t="s">
        <v>12</v>
      </c>
      <c r="AL169" t="s">
        <v>12</v>
      </c>
      <c r="AM169" t="s">
        <v>12</v>
      </c>
      <c r="AN169" t="s">
        <v>12</v>
      </c>
      <c r="AO169" t="s">
        <v>12</v>
      </c>
    </row>
    <row r="170" spans="1:41" x14ac:dyDescent="0.35">
      <c r="A170">
        <v>12049312</v>
      </c>
      <c r="B170">
        <v>202505</v>
      </c>
      <c r="C170">
        <v>20521322404</v>
      </c>
      <c r="D170" t="s">
        <v>363</v>
      </c>
      <c r="E170" t="s">
        <v>1</v>
      </c>
      <c r="F170">
        <v>10264846</v>
      </c>
      <c r="G170" t="s">
        <v>364</v>
      </c>
      <c r="H170" t="s">
        <v>265</v>
      </c>
      <c r="I170">
        <v>73121.203125</v>
      </c>
      <c r="J170" s="1">
        <v>45685</v>
      </c>
      <c r="K170">
        <v>21.33</v>
      </c>
      <c r="L170" t="s">
        <v>4</v>
      </c>
      <c r="M170" t="s">
        <v>4</v>
      </c>
      <c r="N170" t="s">
        <v>41</v>
      </c>
      <c r="O170">
        <v>202501</v>
      </c>
      <c r="P170">
        <v>77596.89</v>
      </c>
      <c r="Q170" t="s">
        <v>265</v>
      </c>
      <c r="R170" t="s">
        <v>266</v>
      </c>
      <c r="S170" t="s">
        <v>18</v>
      </c>
      <c r="T170" t="s">
        <v>122</v>
      </c>
      <c r="U170" t="s">
        <v>20</v>
      </c>
      <c r="V170">
        <v>1</v>
      </c>
      <c r="W170" t="s">
        <v>10</v>
      </c>
      <c r="X170" t="s">
        <v>12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12</v>
      </c>
      <c r="AG170" t="s">
        <v>12</v>
      </c>
      <c r="AH170" t="s">
        <v>12</v>
      </c>
      <c r="AI170" t="s">
        <v>12</v>
      </c>
      <c r="AJ170" t="s">
        <v>12</v>
      </c>
      <c r="AK170">
        <v>0</v>
      </c>
      <c r="AL170">
        <v>0</v>
      </c>
      <c r="AM170">
        <v>0.27079999999999999</v>
      </c>
      <c r="AN170" t="s">
        <v>12</v>
      </c>
      <c r="AO170" t="s">
        <v>12</v>
      </c>
    </row>
    <row r="171" spans="1:41" x14ac:dyDescent="0.35">
      <c r="A171">
        <v>10982875</v>
      </c>
      <c r="B171">
        <v>202508</v>
      </c>
      <c r="C171">
        <v>20518171683</v>
      </c>
      <c r="D171" t="s">
        <v>365</v>
      </c>
      <c r="E171" t="s">
        <v>1</v>
      </c>
      <c r="F171">
        <v>10139112</v>
      </c>
      <c r="G171" t="s">
        <v>2</v>
      </c>
      <c r="H171" t="s">
        <v>145</v>
      </c>
      <c r="I171">
        <v>22914.294921875</v>
      </c>
      <c r="J171" s="1">
        <v>45618</v>
      </c>
      <c r="K171">
        <v>18.5</v>
      </c>
      <c r="L171" t="s">
        <v>4</v>
      </c>
      <c r="M171" t="s">
        <v>4</v>
      </c>
      <c r="N171" t="s">
        <v>5</v>
      </c>
      <c r="O171">
        <v>202411</v>
      </c>
      <c r="P171">
        <v>38501.9</v>
      </c>
      <c r="Q171" t="s">
        <v>145</v>
      </c>
      <c r="R171" t="s">
        <v>146</v>
      </c>
      <c r="S171" t="s">
        <v>127</v>
      </c>
      <c r="T171" t="s">
        <v>147</v>
      </c>
      <c r="U171" t="s">
        <v>5</v>
      </c>
      <c r="V171">
        <v>1</v>
      </c>
      <c r="W171" t="s">
        <v>10</v>
      </c>
      <c r="X171" t="s">
        <v>12</v>
      </c>
      <c r="Y171">
        <v>1</v>
      </c>
      <c r="Z171">
        <v>1</v>
      </c>
      <c r="AA171">
        <v>0</v>
      </c>
      <c r="AB171">
        <v>0</v>
      </c>
      <c r="AC171">
        <v>1</v>
      </c>
      <c r="AD171">
        <v>1</v>
      </c>
      <c r="AE171">
        <v>0</v>
      </c>
      <c r="AF171" t="s">
        <v>12</v>
      </c>
      <c r="AG171" t="s">
        <v>12</v>
      </c>
      <c r="AH171" t="s">
        <v>12</v>
      </c>
      <c r="AI171" t="s">
        <v>12</v>
      </c>
      <c r="AJ171" t="s">
        <v>12</v>
      </c>
      <c r="AK171">
        <v>55000</v>
      </c>
      <c r="AL171">
        <v>0.21</v>
      </c>
      <c r="AM171">
        <v>0.19</v>
      </c>
      <c r="AN171" t="s">
        <v>12</v>
      </c>
      <c r="AO171" t="s">
        <v>12</v>
      </c>
    </row>
    <row r="172" spans="1:41" x14ac:dyDescent="0.35">
      <c r="A172">
        <v>14138356</v>
      </c>
      <c r="B172">
        <v>202511</v>
      </c>
      <c r="C172">
        <v>20549898069</v>
      </c>
      <c r="D172" t="s">
        <v>366</v>
      </c>
      <c r="E172" t="s">
        <v>1</v>
      </c>
      <c r="F172">
        <v>10148923</v>
      </c>
      <c r="G172" t="s">
        <v>2</v>
      </c>
      <c r="H172" t="s">
        <v>230</v>
      </c>
      <c r="I172">
        <v>120005.984375</v>
      </c>
      <c r="J172" s="1">
        <v>45989</v>
      </c>
      <c r="K172">
        <v>18</v>
      </c>
      <c r="L172" t="s">
        <v>4</v>
      </c>
      <c r="M172" t="s">
        <v>4</v>
      </c>
      <c r="N172" t="s">
        <v>5</v>
      </c>
      <c r="O172">
        <v>202511</v>
      </c>
      <c r="P172">
        <v>120006</v>
      </c>
      <c r="Q172" t="s">
        <v>3</v>
      </c>
      <c r="R172" t="s">
        <v>6</v>
      </c>
      <c r="S172" t="s">
        <v>7</v>
      </c>
      <c r="T172" t="s">
        <v>8</v>
      </c>
      <c r="U172" t="s">
        <v>367</v>
      </c>
      <c r="V172">
        <v>1</v>
      </c>
      <c r="W172" t="s">
        <v>10</v>
      </c>
      <c r="X172" t="s">
        <v>51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0</v>
      </c>
      <c r="AE172">
        <v>120006</v>
      </c>
      <c r="AF172">
        <v>18</v>
      </c>
      <c r="AG172" s="1">
        <v>45989</v>
      </c>
      <c r="AH172" t="s">
        <v>5</v>
      </c>
      <c r="AI172" t="s">
        <v>4</v>
      </c>
      <c r="AJ172" t="s">
        <v>33</v>
      </c>
      <c r="AK172" t="s">
        <v>12</v>
      </c>
      <c r="AL172" t="s">
        <v>12</v>
      </c>
      <c r="AM172" t="s">
        <v>12</v>
      </c>
      <c r="AN172" t="s">
        <v>12</v>
      </c>
      <c r="AO172" t="s">
        <v>12</v>
      </c>
    </row>
    <row r="173" spans="1:41" x14ac:dyDescent="0.35">
      <c r="A173">
        <v>13572919</v>
      </c>
      <c r="B173">
        <v>202602</v>
      </c>
      <c r="C173">
        <v>20455268525</v>
      </c>
      <c r="D173" t="s">
        <v>368</v>
      </c>
      <c r="E173" t="s">
        <v>1</v>
      </c>
      <c r="F173">
        <v>10272244</v>
      </c>
      <c r="G173" t="s">
        <v>24</v>
      </c>
      <c r="H173" t="s">
        <v>210</v>
      </c>
      <c r="I173">
        <v>238960.84375</v>
      </c>
      <c r="J173" s="1">
        <v>45945</v>
      </c>
      <c r="K173">
        <v>15.5</v>
      </c>
      <c r="L173" t="s">
        <v>4</v>
      </c>
      <c r="M173" t="s">
        <v>4</v>
      </c>
      <c r="N173" t="s">
        <v>26</v>
      </c>
      <c r="O173">
        <v>202510</v>
      </c>
      <c r="P173">
        <v>300015</v>
      </c>
      <c r="Q173" t="s">
        <v>210</v>
      </c>
      <c r="R173" t="s">
        <v>211</v>
      </c>
      <c r="S173" t="s">
        <v>39</v>
      </c>
      <c r="T173" t="s">
        <v>40</v>
      </c>
      <c r="U173" t="s">
        <v>63</v>
      </c>
      <c r="V173">
        <v>1</v>
      </c>
      <c r="W173" t="s">
        <v>10</v>
      </c>
      <c r="X173" t="s">
        <v>22</v>
      </c>
      <c r="Y173">
        <v>1</v>
      </c>
      <c r="Z173">
        <v>1</v>
      </c>
      <c r="AA173">
        <v>0</v>
      </c>
      <c r="AB173">
        <v>0</v>
      </c>
      <c r="AC173">
        <v>1</v>
      </c>
      <c r="AD173">
        <v>1</v>
      </c>
      <c r="AE173">
        <v>0</v>
      </c>
      <c r="AF173" t="s">
        <v>12</v>
      </c>
      <c r="AG173" t="s">
        <v>12</v>
      </c>
      <c r="AH173" t="s">
        <v>12</v>
      </c>
      <c r="AI173" t="s">
        <v>12</v>
      </c>
      <c r="AJ173" t="s">
        <v>12</v>
      </c>
      <c r="AK173">
        <v>90000</v>
      </c>
      <c r="AL173">
        <v>0.21</v>
      </c>
      <c r="AM173">
        <v>0.19</v>
      </c>
      <c r="AN173" t="s">
        <v>12</v>
      </c>
      <c r="AO173" t="s">
        <v>12</v>
      </c>
    </row>
    <row r="174" spans="1:41" x14ac:dyDescent="0.35">
      <c r="A174">
        <v>12644087</v>
      </c>
      <c r="B174">
        <v>202512</v>
      </c>
      <c r="C174">
        <v>10408606921</v>
      </c>
      <c r="D174" t="s">
        <v>369</v>
      </c>
      <c r="E174">
        <v>40860692</v>
      </c>
      <c r="F174">
        <v>10268521</v>
      </c>
      <c r="G174" t="s">
        <v>24</v>
      </c>
      <c r="H174" t="s">
        <v>101</v>
      </c>
      <c r="I174">
        <v>23057.298828125</v>
      </c>
      <c r="J174" s="1">
        <v>45817</v>
      </c>
      <c r="K174">
        <v>20</v>
      </c>
      <c r="L174" t="s">
        <v>37</v>
      </c>
      <c r="M174" t="s">
        <v>37</v>
      </c>
      <c r="N174" t="s">
        <v>98</v>
      </c>
      <c r="O174">
        <v>202506</v>
      </c>
      <c r="P174">
        <v>50002.5</v>
      </c>
      <c r="Q174" t="s">
        <v>101</v>
      </c>
      <c r="R174" t="s">
        <v>103</v>
      </c>
      <c r="S174" t="s">
        <v>88</v>
      </c>
      <c r="T174" t="s">
        <v>89</v>
      </c>
      <c r="U174" t="s">
        <v>9</v>
      </c>
      <c r="V174">
        <v>2</v>
      </c>
      <c r="W174" t="s">
        <v>90</v>
      </c>
      <c r="X174" t="s">
        <v>59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12</v>
      </c>
      <c r="AG174" t="s">
        <v>12</v>
      </c>
      <c r="AH174" t="s">
        <v>12</v>
      </c>
      <c r="AI174" t="s">
        <v>12</v>
      </c>
      <c r="AJ174" t="s">
        <v>12</v>
      </c>
      <c r="AK174">
        <v>0</v>
      </c>
      <c r="AL174">
        <v>0</v>
      </c>
      <c r="AM174">
        <v>0</v>
      </c>
      <c r="AN174" t="s">
        <v>12</v>
      </c>
      <c r="AO174" t="s">
        <v>12</v>
      </c>
    </row>
    <row r="175" spans="1:41" x14ac:dyDescent="0.35">
      <c r="A175">
        <v>20863838</v>
      </c>
      <c r="B175">
        <v>202512</v>
      </c>
      <c r="C175">
        <v>20602742360</v>
      </c>
      <c r="D175" t="s">
        <v>370</v>
      </c>
      <c r="E175" t="s">
        <v>1</v>
      </c>
      <c r="F175">
        <v>10268340</v>
      </c>
      <c r="G175" t="s">
        <v>28</v>
      </c>
      <c r="H175" t="s">
        <v>301</v>
      </c>
      <c r="I175">
        <v>139076.65625</v>
      </c>
      <c r="J175" s="1">
        <v>45807</v>
      </c>
      <c r="K175">
        <v>18</v>
      </c>
      <c r="L175" t="s">
        <v>4</v>
      </c>
      <c r="M175" t="s">
        <v>4</v>
      </c>
      <c r="N175" t="s">
        <v>26</v>
      </c>
      <c r="O175">
        <v>202505</v>
      </c>
      <c r="P175">
        <v>200010</v>
      </c>
      <c r="Q175" t="s">
        <v>46</v>
      </c>
      <c r="R175" t="s">
        <v>48</v>
      </c>
      <c r="S175" t="s">
        <v>49</v>
      </c>
      <c r="T175" t="s">
        <v>50</v>
      </c>
      <c r="U175" t="s">
        <v>9</v>
      </c>
      <c r="V175">
        <v>1</v>
      </c>
      <c r="W175" t="s">
        <v>10</v>
      </c>
      <c r="X175" t="s">
        <v>22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12</v>
      </c>
      <c r="AG175" t="s">
        <v>12</v>
      </c>
      <c r="AH175" t="s">
        <v>12</v>
      </c>
      <c r="AI175" t="s">
        <v>12</v>
      </c>
      <c r="AJ175" t="s">
        <v>12</v>
      </c>
      <c r="AK175">
        <v>0</v>
      </c>
      <c r="AL175">
        <v>0</v>
      </c>
      <c r="AM175">
        <v>0</v>
      </c>
      <c r="AN175" t="s">
        <v>12</v>
      </c>
      <c r="AO175" t="s">
        <v>12</v>
      </c>
    </row>
    <row r="176" spans="1:41" x14ac:dyDescent="0.35">
      <c r="A176">
        <v>21668356</v>
      </c>
      <c r="B176">
        <v>202601</v>
      </c>
      <c r="C176">
        <v>20603092440</v>
      </c>
      <c r="D176" t="s">
        <v>371</v>
      </c>
      <c r="E176" t="s">
        <v>1</v>
      </c>
      <c r="F176">
        <v>10268385</v>
      </c>
      <c r="G176" t="s">
        <v>24</v>
      </c>
      <c r="H176" t="s">
        <v>49</v>
      </c>
      <c r="I176">
        <v>223227.640625</v>
      </c>
      <c r="J176" s="1">
        <v>45807</v>
      </c>
      <c r="K176">
        <v>17</v>
      </c>
      <c r="L176" t="s">
        <v>37</v>
      </c>
      <c r="M176" t="s">
        <v>37</v>
      </c>
      <c r="N176" t="s">
        <v>98</v>
      </c>
      <c r="O176">
        <v>202505</v>
      </c>
      <c r="P176">
        <v>300015</v>
      </c>
      <c r="Q176" t="s">
        <v>372</v>
      </c>
      <c r="R176" t="s">
        <v>373</v>
      </c>
      <c r="S176" t="s">
        <v>49</v>
      </c>
      <c r="T176" t="s">
        <v>50</v>
      </c>
      <c r="U176" t="s">
        <v>20</v>
      </c>
      <c r="V176">
        <v>1</v>
      </c>
      <c r="W176" t="s">
        <v>10</v>
      </c>
      <c r="X176" t="s">
        <v>22</v>
      </c>
      <c r="Y176">
        <v>1</v>
      </c>
      <c r="Z176">
        <v>1</v>
      </c>
      <c r="AA176">
        <v>0</v>
      </c>
      <c r="AB176">
        <v>0</v>
      </c>
      <c r="AC176">
        <v>1</v>
      </c>
      <c r="AD176">
        <v>1</v>
      </c>
      <c r="AE176">
        <v>0</v>
      </c>
      <c r="AF176" t="s">
        <v>12</v>
      </c>
      <c r="AG176" t="s">
        <v>12</v>
      </c>
      <c r="AH176" t="s">
        <v>12</v>
      </c>
      <c r="AI176" t="s">
        <v>12</v>
      </c>
      <c r="AJ176" t="s">
        <v>12</v>
      </c>
      <c r="AK176">
        <v>1</v>
      </c>
      <c r="AL176">
        <v>1</v>
      </c>
      <c r="AM176">
        <v>0.24</v>
      </c>
      <c r="AN176" t="s">
        <v>12</v>
      </c>
      <c r="AO176" t="s">
        <v>12</v>
      </c>
    </row>
    <row r="177" spans="1:41" x14ac:dyDescent="0.35">
      <c r="A177">
        <v>18656340</v>
      </c>
      <c r="B177">
        <v>202602</v>
      </c>
      <c r="C177">
        <v>20602613471</v>
      </c>
      <c r="D177" t="s">
        <v>374</v>
      </c>
      <c r="E177" t="s">
        <v>1</v>
      </c>
      <c r="F177">
        <v>10266794</v>
      </c>
      <c r="G177" t="s">
        <v>24</v>
      </c>
      <c r="H177" t="s">
        <v>49</v>
      </c>
      <c r="I177">
        <v>49227.98046875</v>
      </c>
      <c r="J177" s="1">
        <v>45747</v>
      </c>
      <c r="K177">
        <v>20.5</v>
      </c>
      <c r="L177" t="s">
        <v>37</v>
      </c>
      <c r="M177" t="s">
        <v>37</v>
      </c>
      <c r="N177" t="s">
        <v>98</v>
      </c>
      <c r="O177">
        <v>202503</v>
      </c>
      <c r="P177">
        <v>102005.1</v>
      </c>
      <c r="Q177" t="s">
        <v>190</v>
      </c>
      <c r="R177" t="s">
        <v>191</v>
      </c>
      <c r="S177" t="s">
        <v>49</v>
      </c>
      <c r="T177" t="s">
        <v>50</v>
      </c>
      <c r="U177" t="s">
        <v>63</v>
      </c>
      <c r="V177">
        <v>1</v>
      </c>
      <c r="W177" t="s">
        <v>10</v>
      </c>
      <c r="X177" t="s">
        <v>51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12</v>
      </c>
      <c r="AG177" t="s">
        <v>12</v>
      </c>
      <c r="AH177" t="s">
        <v>12</v>
      </c>
      <c r="AI177" t="s">
        <v>12</v>
      </c>
      <c r="AJ177" t="s">
        <v>12</v>
      </c>
      <c r="AK177">
        <v>250000</v>
      </c>
      <c r="AL177">
        <v>0.21</v>
      </c>
      <c r="AM177">
        <v>0.19</v>
      </c>
      <c r="AN177" t="s">
        <v>12</v>
      </c>
      <c r="AO177" t="s">
        <v>12</v>
      </c>
    </row>
    <row r="178" spans="1:41" x14ac:dyDescent="0.35">
      <c r="A178">
        <v>21439070</v>
      </c>
      <c r="B178">
        <v>202512</v>
      </c>
      <c r="C178">
        <v>20609461790</v>
      </c>
      <c r="D178" t="s">
        <v>375</v>
      </c>
      <c r="E178" t="s">
        <v>1</v>
      </c>
      <c r="F178">
        <v>10265164</v>
      </c>
      <c r="G178" t="s">
        <v>28</v>
      </c>
      <c r="H178" t="s">
        <v>244</v>
      </c>
      <c r="I178">
        <v>74899.1875</v>
      </c>
      <c r="J178" s="1">
        <v>45694</v>
      </c>
      <c r="K178">
        <v>18</v>
      </c>
      <c r="L178" t="s">
        <v>4</v>
      </c>
      <c r="M178" t="s">
        <v>4</v>
      </c>
      <c r="N178" t="s">
        <v>26</v>
      </c>
      <c r="O178">
        <v>202502</v>
      </c>
      <c r="P178">
        <v>120006</v>
      </c>
      <c r="Q178" t="s">
        <v>69</v>
      </c>
      <c r="R178" t="s">
        <v>71</v>
      </c>
      <c r="S178" t="s">
        <v>7</v>
      </c>
      <c r="T178" t="s">
        <v>8</v>
      </c>
      <c r="U178" t="s">
        <v>70</v>
      </c>
      <c r="V178">
        <v>1</v>
      </c>
      <c r="W178" t="s">
        <v>10</v>
      </c>
      <c r="X178" t="s">
        <v>51</v>
      </c>
      <c r="Y178">
        <v>1</v>
      </c>
      <c r="Z178">
        <v>1</v>
      </c>
      <c r="AA178">
        <v>0</v>
      </c>
      <c r="AB178">
        <v>0</v>
      </c>
      <c r="AC178">
        <v>1</v>
      </c>
      <c r="AD178">
        <v>1</v>
      </c>
      <c r="AE178">
        <v>0</v>
      </c>
      <c r="AF178" t="s">
        <v>12</v>
      </c>
      <c r="AG178" t="s">
        <v>12</v>
      </c>
      <c r="AH178" t="s">
        <v>12</v>
      </c>
      <c r="AI178" t="s">
        <v>12</v>
      </c>
      <c r="AJ178" t="s">
        <v>12</v>
      </c>
      <c r="AK178">
        <v>106000</v>
      </c>
      <c r="AL178">
        <v>0.19620000000000001</v>
      </c>
      <c r="AM178">
        <v>0.1762</v>
      </c>
      <c r="AN178" t="s">
        <v>12</v>
      </c>
      <c r="AO178" t="s">
        <v>12</v>
      </c>
    </row>
    <row r="179" spans="1:41" x14ac:dyDescent="0.35">
      <c r="A179">
        <v>9293100</v>
      </c>
      <c r="B179">
        <v>202503</v>
      </c>
      <c r="C179">
        <v>10426288350</v>
      </c>
      <c r="D179" t="s">
        <v>376</v>
      </c>
      <c r="E179">
        <v>42628835</v>
      </c>
      <c r="F179">
        <v>10264598</v>
      </c>
      <c r="G179" t="s">
        <v>24</v>
      </c>
      <c r="H179" t="s">
        <v>377</v>
      </c>
      <c r="I179">
        <v>55844.30859375</v>
      </c>
      <c r="J179" s="1">
        <v>45673</v>
      </c>
      <c r="K179">
        <v>23.200001</v>
      </c>
      <c r="L179" t="s">
        <v>37</v>
      </c>
      <c r="M179" t="s">
        <v>75</v>
      </c>
      <c r="N179" t="s">
        <v>98</v>
      </c>
      <c r="O179">
        <v>202501</v>
      </c>
      <c r="P179">
        <v>60003</v>
      </c>
      <c r="Q179" t="s">
        <v>12</v>
      </c>
      <c r="R179" t="s">
        <v>12</v>
      </c>
      <c r="S179" t="s">
        <v>12</v>
      </c>
      <c r="T179" t="s">
        <v>12</v>
      </c>
      <c r="U179" t="s">
        <v>12</v>
      </c>
      <c r="V179" t="s">
        <v>12</v>
      </c>
      <c r="W179" t="s">
        <v>12</v>
      </c>
      <c r="X179" t="s">
        <v>12</v>
      </c>
      <c r="Y179" t="s">
        <v>12</v>
      </c>
      <c r="Z179" t="s">
        <v>12</v>
      </c>
      <c r="AA179" t="s">
        <v>12</v>
      </c>
      <c r="AB179" t="s">
        <v>12</v>
      </c>
      <c r="AC179" t="s">
        <v>12</v>
      </c>
      <c r="AD179" t="s">
        <v>12</v>
      </c>
      <c r="AE179" t="s">
        <v>12</v>
      </c>
      <c r="AF179" t="s">
        <v>12</v>
      </c>
      <c r="AG179" t="s">
        <v>12</v>
      </c>
      <c r="AH179" t="s">
        <v>12</v>
      </c>
      <c r="AI179" t="s">
        <v>12</v>
      </c>
      <c r="AJ179" t="s">
        <v>12</v>
      </c>
      <c r="AK179" t="s">
        <v>12</v>
      </c>
      <c r="AL179" t="s">
        <v>12</v>
      </c>
      <c r="AM179" t="s">
        <v>12</v>
      </c>
      <c r="AN179" t="s">
        <v>12</v>
      </c>
      <c r="AO179" t="s">
        <v>12</v>
      </c>
    </row>
    <row r="180" spans="1:41" x14ac:dyDescent="0.35">
      <c r="A180">
        <v>17236623</v>
      </c>
      <c r="B180">
        <v>202508</v>
      </c>
      <c r="C180">
        <v>20477646027</v>
      </c>
      <c r="D180" t="s">
        <v>378</v>
      </c>
      <c r="E180" t="s">
        <v>1</v>
      </c>
      <c r="F180">
        <v>10269342</v>
      </c>
      <c r="G180" t="s">
        <v>14</v>
      </c>
      <c r="H180" t="s">
        <v>230</v>
      </c>
      <c r="I180">
        <v>96484.2890625</v>
      </c>
      <c r="J180" s="1">
        <v>45842</v>
      </c>
      <c r="K180">
        <v>19</v>
      </c>
      <c r="L180" t="s">
        <v>37</v>
      </c>
      <c r="M180" t="s">
        <v>37</v>
      </c>
      <c r="N180" t="s">
        <v>16</v>
      </c>
      <c r="O180">
        <v>202507</v>
      </c>
      <c r="P180">
        <v>100005</v>
      </c>
      <c r="Q180" t="s">
        <v>12</v>
      </c>
      <c r="R180" t="s">
        <v>12</v>
      </c>
      <c r="S180" t="s">
        <v>12</v>
      </c>
      <c r="T180" t="s">
        <v>12</v>
      </c>
      <c r="U180" t="s">
        <v>12</v>
      </c>
      <c r="V180" t="s">
        <v>12</v>
      </c>
      <c r="W180" t="s">
        <v>12</v>
      </c>
      <c r="X180" t="s">
        <v>12</v>
      </c>
      <c r="Y180" t="s">
        <v>12</v>
      </c>
      <c r="Z180" t="s">
        <v>12</v>
      </c>
      <c r="AA180" t="s">
        <v>12</v>
      </c>
      <c r="AB180" t="s">
        <v>12</v>
      </c>
      <c r="AC180" t="s">
        <v>12</v>
      </c>
      <c r="AD180" t="s">
        <v>12</v>
      </c>
      <c r="AE180" t="s">
        <v>12</v>
      </c>
      <c r="AF180" t="s">
        <v>12</v>
      </c>
      <c r="AG180" t="s">
        <v>12</v>
      </c>
      <c r="AH180" t="s">
        <v>12</v>
      </c>
      <c r="AI180" t="s">
        <v>12</v>
      </c>
      <c r="AJ180" t="s">
        <v>12</v>
      </c>
      <c r="AK180" t="s">
        <v>12</v>
      </c>
      <c r="AL180" t="s">
        <v>12</v>
      </c>
      <c r="AM180" t="s">
        <v>12</v>
      </c>
      <c r="AN180" t="s">
        <v>12</v>
      </c>
      <c r="AO180" t="s">
        <v>12</v>
      </c>
    </row>
    <row r="181" spans="1:41" x14ac:dyDescent="0.35">
      <c r="A181">
        <v>18960058</v>
      </c>
      <c r="B181">
        <v>202509</v>
      </c>
      <c r="C181">
        <v>20545436893</v>
      </c>
      <c r="D181" t="s">
        <v>379</v>
      </c>
      <c r="E181" t="s">
        <v>1</v>
      </c>
      <c r="F181">
        <v>10266653</v>
      </c>
      <c r="G181" t="s">
        <v>268</v>
      </c>
      <c r="H181" t="s">
        <v>114</v>
      </c>
      <c r="I181">
        <v>34924.71875</v>
      </c>
      <c r="J181" s="1">
        <v>45744</v>
      </c>
      <c r="K181">
        <v>21</v>
      </c>
      <c r="L181" t="s">
        <v>37</v>
      </c>
      <c r="M181" t="s">
        <v>37</v>
      </c>
      <c r="N181" t="s">
        <v>98</v>
      </c>
      <c r="O181">
        <v>202503</v>
      </c>
      <c r="P181">
        <v>50002.5</v>
      </c>
      <c r="Q181" t="s">
        <v>114</v>
      </c>
      <c r="R181" t="s">
        <v>115</v>
      </c>
      <c r="S181" t="s">
        <v>111</v>
      </c>
      <c r="T181" t="s">
        <v>112</v>
      </c>
      <c r="U181" t="s">
        <v>20</v>
      </c>
      <c r="V181">
        <v>2</v>
      </c>
      <c r="W181" t="s">
        <v>10</v>
      </c>
      <c r="X181" t="s">
        <v>51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12</v>
      </c>
      <c r="AG181" t="s">
        <v>12</v>
      </c>
      <c r="AH181" t="s">
        <v>12</v>
      </c>
      <c r="AI181" t="s">
        <v>12</v>
      </c>
      <c r="AJ181" t="s">
        <v>12</v>
      </c>
      <c r="AK181">
        <v>1</v>
      </c>
      <c r="AL181">
        <v>1</v>
      </c>
      <c r="AM181" t="s">
        <v>12</v>
      </c>
      <c r="AN181" t="s">
        <v>12</v>
      </c>
      <c r="AO181" t="s">
        <v>12</v>
      </c>
    </row>
    <row r="182" spans="1:41" x14ac:dyDescent="0.35">
      <c r="A182">
        <v>21457038</v>
      </c>
      <c r="B182">
        <v>202508</v>
      </c>
      <c r="C182">
        <v>20602130062</v>
      </c>
      <c r="D182" t="s">
        <v>380</v>
      </c>
      <c r="E182" t="s">
        <v>1</v>
      </c>
      <c r="F182">
        <v>10265113</v>
      </c>
      <c r="G182" t="s">
        <v>100</v>
      </c>
      <c r="H182" t="s">
        <v>105</v>
      </c>
      <c r="I182">
        <v>185481.265625</v>
      </c>
      <c r="J182" s="1">
        <v>45688</v>
      </c>
      <c r="K182">
        <v>13</v>
      </c>
      <c r="L182" t="s">
        <v>37</v>
      </c>
      <c r="M182" t="s">
        <v>37</v>
      </c>
      <c r="N182" t="s">
        <v>102</v>
      </c>
      <c r="O182">
        <v>202501</v>
      </c>
      <c r="P182">
        <v>240012</v>
      </c>
      <c r="Q182" t="s">
        <v>105</v>
      </c>
      <c r="R182" t="s">
        <v>106</v>
      </c>
      <c r="S182" t="s">
        <v>88</v>
      </c>
      <c r="T182" t="s">
        <v>89</v>
      </c>
      <c r="U182" t="s">
        <v>41</v>
      </c>
      <c r="V182">
        <v>2</v>
      </c>
      <c r="W182" t="s">
        <v>10</v>
      </c>
      <c r="X182" t="s">
        <v>12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12</v>
      </c>
      <c r="AG182" t="s">
        <v>12</v>
      </c>
      <c r="AH182" t="s">
        <v>12</v>
      </c>
      <c r="AI182" t="s">
        <v>12</v>
      </c>
      <c r="AJ182" t="s">
        <v>12</v>
      </c>
      <c r="AK182">
        <v>400000</v>
      </c>
      <c r="AL182">
        <v>0.21</v>
      </c>
      <c r="AM182">
        <v>0.19</v>
      </c>
      <c r="AN182" t="s">
        <v>12</v>
      </c>
      <c r="AO182" t="s">
        <v>12</v>
      </c>
    </row>
    <row r="183" spans="1:41" x14ac:dyDescent="0.35">
      <c r="A183">
        <v>16256737</v>
      </c>
      <c r="B183">
        <v>202509</v>
      </c>
      <c r="C183">
        <v>20455787808</v>
      </c>
      <c r="D183" t="s">
        <v>381</v>
      </c>
      <c r="E183" t="s">
        <v>1</v>
      </c>
      <c r="F183">
        <v>10265746</v>
      </c>
      <c r="G183" t="s">
        <v>2</v>
      </c>
      <c r="H183" t="s">
        <v>206</v>
      </c>
      <c r="I183">
        <v>97439.1640625</v>
      </c>
      <c r="J183" s="1">
        <v>45714</v>
      </c>
      <c r="K183">
        <v>17.799999</v>
      </c>
      <c r="L183" t="s">
        <v>4</v>
      </c>
      <c r="M183" t="s">
        <v>4</v>
      </c>
      <c r="N183" t="s">
        <v>41</v>
      </c>
      <c r="O183">
        <v>202502</v>
      </c>
      <c r="P183">
        <v>140007</v>
      </c>
      <c r="Q183" t="s">
        <v>206</v>
      </c>
      <c r="R183" t="s">
        <v>207</v>
      </c>
      <c r="S183" t="s">
        <v>39</v>
      </c>
      <c r="T183" t="s">
        <v>40</v>
      </c>
      <c r="U183" t="s">
        <v>20</v>
      </c>
      <c r="V183">
        <v>1</v>
      </c>
      <c r="W183" t="s">
        <v>10</v>
      </c>
      <c r="X183" t="s">
        <v>51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12</v>
      </c>
      <c r="AG183" t="s">
        <v>12</v>
      </c>
      <c r="AH183" t="s">
        <v>12</v>
      </c>
      <c r="AI183" t="s">
        <v>12</v>
      </c>
      <c r="AJ183" t="s">
        <v>12</v>
      </c>
      <c r="AK183">
        <v>1</v>
      </c>
      <c r="AL183">
        <v>1</v>
      </c>
      <c r="AM183" t="s">
        <v>12</v>
      </c>
      <c r="AN183" t="s">
        <v>12</v>
      </c>
      <c r="AO183" t="s">
        <v>12</v>
      </c>
    </row>
    <row r="184" spans="1:41" x14ac:dyDescent="0.35">
      <c r="A184">
        <v>18498476</v>
      </c>
      <c r="B184">
        <v>202511</v>
      </c>
      <c r="C184">
        <v>10460888692</v>
      </c>
      <c r="D184" t="s">
        <v>382</v>
      </c>
      <c r="E184">
        <v>46088869</v>
      </c>
      <c r="F184">
        <v>10265010</v>
      </c>
      <c r="G184" t="s">
        <v>100</v>
      </c>
      <c r="H184" t="s">
        <v>249</v>
      </c>
      <c r="I184">
        <v>30779.951171875</v>
      </c>
      <c r="J184" s="1">
        <v>45687</v>
      </c>
      <c r="K184">
        <v>20.89</v>
      </c>
      <c r="L184" t="s">
        <v>37</v>
      </c>
      <c r="M184" t="s">
        <v>37</v>
      </c>
      <c r="N184" t="s">
        <v>102</v>
      </c>
      <c r="O184">
        <v>202501</v>
      </c>
      <c r="P184">
        <v>58020.4</v>
      </c>
      <c r="Q184" t="s">
        <v>249</v>
      </c>
      <c r="R184" t="s">
        <v>383</v>
      </c>
      <c r="S184" t="s">
        <v>111</v>
      </c>
      <c r="T184" t="s">
        <v>112</v>
      </c>
      <c r="U184" t="s">
        <v>41</v>
      </c>
      <c r="V184">
        <v>2</v>
      </c>
      <c r="W184" t="s">
        <v>10</v>
      </c>
      <c r="X184" t="s">
        <v>59</v>
      </c>
      <c r="Y184">
        <v>1</v>
      </c>
      <c r="Z184">
        <v>1</v>
      </c>
      <c r="AA184">
        <v>0</v>
      </c>
      <c r="AB184">
        <v>1</v>
      </c>
      <c r="AC184">
        <v>1</v>
      </c>
      <c r="AD184">
        <v>1</v>
      </c>
      <c r="AE184">
        <v>0</v>
      </c>
      <c r="AF184" t="s">
        <v>12</v>
      </c>
      <c r="AG184" t="s">
        <v>12</v>
      </c>
      <c r="AH184" t="s">
        <v>12</v>
      </c>
      <c r="AI184" t="s">
        <v>12</v>
      </c>
      <c r="AJ184" t="s">
        <v>12</v>
      </c>
      <c r="AK184">
        <v>200000</v>
      </c>
      <c r="AL184">
        <v>0.22889999999999999</v>
      </c>
      <c r="AM184">
        <v>0.2089</v>
      </c>
      <c r="AN184" t="s">
        <v>12</v>
      </c>
      <c r="AO184" t="s">
        <v>12</v>
      </c>
    </row>
    <row r="185" spans="1:41" x14ac:dyDescent="0.35">
      <c r="A185">
        <v>17546106</v>
      </c>
      <c r="B185">
        <v>202511</v>
      </c>
      <c r="C185">
        <v>10181544223</v>
      </c>
      <c r="D185" t="s">
        <v>384</v>
      </c>
      <c r="E185">
        <v>18154422</v>
      </c>
      <c r="F185">
        <v>10255702</v>
      </c>
      <c r="G185" t="s">
        <v>53</v>
      </c>
      <c r="H185" t="s">
        <v>385</v>
      </c>
      <c r="I185">
        <v>51674.6796875</v>
      </c>
      <c r="J185" s="1">
        <v>45463</v>
      </c>
      <c r="K185">
        <v>13.8</v>
      </c>
      <c r="L185" t="s">
        <v>4</v>
      </c>
      <c r="M185" t="s">
        <v>4</v>
      </c>
      <c r="N185" t="s">
        <v>47</v>
      </c>
      <c r="O185">
        <v>202406</v>
      </c>
      <c r="P185">
        <v>90005.5</v>
      </c>
      <c r="Q185" t="s">
        <v>385</v>
      </c>
      <c r="R185" t="s">
        <v>386</v>
      </c>
      <c r="S185" t="s">
        <v>31</v>
      </c>
      <c r="T185" t="s">
        <v>32</v>
      </c>
      <c r="U185" t="s">
        <v>20</v>
      </c>
      <c r="V185">
        <v>1</v>
      </c>
      <c r="W185" t="s">
        <v>90</v>
      </c>
      <c r="X185" t="s">
        <v>59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12</v>
      </c>
      <c r="AG185" t="s">
        <v>12</v>
      </c>
      <c r="AH185" t="s">
        <v>12</v>
      </c>
      <c r="AI185" t="s">
        <v>12</v>
      </c>
      <c r="AJ185" t="s">
        <v>12</v>
      </c>
      <c r="AK185">
        <v>1</v>
      </c>
      <c r="AL185">
        <v>1</v>
      </c>
      <c r="AM185" t="s">
        <v>12</v>
      </c>
      <c r="AN185" t="s">
        <v>12</v>
      </c>
      <c r="AO185" t="s">
        <v>12</v>
      </c>
    </row>
    <row r="186" spans="1:41" x14ac:dyDescent="0.35">
      <c r="A186">
        <v>9531898</v>
      </c>
      <c r="B186">
        <v>202601</v>
      </c>
      <c r="C186">
        <v>20480881631</v>
      </c>
      <c r="D186" t="s">
        <v>387</v>
      </c>
      <c r="E186" t="s">
        <v>1</v>
      </c>
      <c r="F186">
        <v>10132232</v>
      </c>
      <c r="G186" t="s">
        <v>2</v>
      </c>
      <c r="H186" t="s">
        <v>49</v>
      </c>
      <c r="I186">
        <v>76198.1328125</v>
      </c>
      <c r="J186" s="1">
        <v>45617</v>
      </c>
      <c r="K186">
        <v>18.5</v>
      </c>
      <c r="L186" t="s">
        <v>4</v>
      </c>
      <c r="M186" t="s">
        <v>4</v>
      </c>
      <c r="N186" t="s">
        <v>5</v>
      </c>
      <c r="O186">
        <v>202411</v>
      </c>
      <c r="P186">
        <v>150007.5</v>
      </c>
      <c r="Q186" t="s">
        <v>12</v>
      </c>
      <c r="R186" t="s">
        <v>12</v>
      </c>
      <c r="S186" t="s">
        <v>12</v>
      </c>
      <c r="T186" t="s">
        <v>12</v>
      </c>
      <c r="U186" t="s">
        <v>12</v>
      </c>
      <c r="V186" t="s">
        <v>12</v>
      </c>
      <c r="W186" t="s">
        <v>12</v>
      </c>
      <c r="X186" t="s">
        <v>12</v>
      </c>
      <c r="Y186" t="s">
        <v>12</v>
      </c>
      <c r="Z186" t="s">
        <v>12</v>
      </c>
      <c r="AA186" t="s">
        <v>12</v>
      </c>
      <c r="AB186" t="s">
        <v>12</v>
      </c>
      <c r="AC186" t="s">
        <v>12</v>
      </c>
      <c r="AD186" t="s">
        <v>12</v>
      </c>
      <c r="AE186" t="s">
        <v>12</v>
      </c>
      <c r="AF186" t="s">
        <v>12</v>
      </c>
      <c r="AG186" t="s">
        <v>12</v>
      </c>
      <c r="AH186" t="s">
        <v>12</v>
      </c>
      <c r="AI186" t="s">
        <v>12</v>
      </c>
      <c r="AJ186" t="s">
        <v>12</v>
      </c>
      <c r="AK186" t="s">
        <v>12</v>
      </c>
      <c r="AL186" t="s">
        <v>12</v>
      </c>
      <c r="AM186" t="s">
        <v>12</v>
      </c>
      <c r="AN186" t="s">
        <v>12</v>
      </c>
      <c r="AO186" t="s">
        <v>12</v>
      </c>
    </row>
    <row r="187" spans="1:41" x14ac:dyDescent="0.35">
      <c r="A187">
        <v>20581671</v>
      </c>
      <c r="B187">
        <v>202512</v>
      </c>
      <c r="C187">
        <v>20609057204</v>
      </c>
      <c r="D187" t="s">
        <v>388</v>
      </c>
      <c r="E187" t="s">
        <v>1</v>
      </c>
      <c r="F187">
        <v>10255093</v>
      </c>
      <c r="G187" t="s">
        <v>53</v>
      </c>
      <c r="H187" t="s">
        <v>159</v>
      </c>
      <c r="I187">
        <v>34363.16796875</v>
      </c>
      <c r="J187" s="1">
        <v>45456</v>
      </c>
      <c r="K187">
        <v>15.7</v>
      </c>
      <c r="L187" t="s">
        <v>4</v>
      </c>
      <c r="M187" t="s">
        <v>4</v>
      </c>
      <c r="N187" t="s">
        <v>47</v>
      </c>
      <c r="O187">
        <v>202406</v>
      </c>
      <c r="P187">
        <v>64003.199999999997</v>
      </c>
      <c r="Q187" t="s">
        <v>3</v>
      </c>
      <c r="R187" t="s">
        <v>6</v>
      </c>
      <c r="S187" t="s">
        <v>7</v>
      </c>
      <c r="T187" t="s">
        <v>8</v>
      </c>
      <c r="U187" t="s">
        <v>41</v>
      </c>
      <c r="V187">
        <v>1</v>
      </c>
      <c r="W187" t="s">
        <v>10</v>
      </c>
      <c r="X187" t="s">
        <v>51</v>
      </c>
      <c r="Y187">
        <v>1</v>
      </c>
      <c r="Z187">
        <v>1</v>
      </c>
      <c r="AA187">
        <v>0</v>
      </c>
      <c r="AB187">
        <v>1</v>
      </c>
      <c r="AC187">
        <v>1</v>
      </c>
      <c r="AD187">
        <v>0</v>
      </c>
      <c r="AE187">
        <v>0</v>
      </c>
      <c r="AF187" t="s">
        <v>12</v>
      </c>
      <c r="AG187" t="s">
        <v>12</v>
      </c>
      <c r="AH187" t="s">
        <v>12</v>
      </c>
      <c r="AI187" t="s">
        <v>12</v>
      </c>
      <c r="AJ187" t="s">
        <v>12</v>
      </c>
      <c r="AK187">
        <v>250000</v>
      </c>
      <c r="AL187">
        <v>0.22220000000000001</v>
      </c>
      <c r="AM187">
        <v>0.20219999999999999</v>
      </c>
      <c r="AN187" t="s">
        <v>12</v>
      </c>
      <c r="AO187" t="s">
        <v>12</v>
      </c>
    </row>
    <row r="188" spans="1:41" x14ac:dyDescent="0.35">
      <c r="A188">
        <v>19585221</v>
      </c>
      <c r="B188">
        <v>202602</v>
      </c>
      <c r="C188">
        <v>20601422698</v>
      </c>
      <c r="D188" t="s">
        <v>389</v>
      </c>
      <c r="E188" t="s">
        <v>1</v>
      </c>
      <c r="F188">
        <v>10273469</v>
      </c>
      <c r="G188" t="s">
        <v>24</v>
      </c>
      <c r="H188" t="s">
        <v>273</v>
      </c>
      <c r="I188">
        <v>179564.5625</v>
      </c>
      <c r="J188" s="1">
        <v>45987</v>
      </c>
      <c r="K188">
        <v>17</v>
      </c>
      <c r="L188" t="s">
        <v>4</v>
      </c>
      <c r="M188" t="s">
        <v>75</v>
      </c>
      <c r="N188" t="s">
        <v>26</v>
      </c>
      <c r="O188">
        <v>202511</v>
      </c>
      <c r="P188">
        <v>250012.5</v>
      </c>
      <c r="Q188" t="s">
        <v>273</v>
      </c>
      <c r="R188" t="s">
        <v>274</v>
      </c>
      <c r="S188" t="s">
        <v>39</v>
      </c>
      <c r="T188" t="s">
        <v>40</v>
      </c>
      <c r="U188" t="s">
        <v>41</v>
      </c>
      <c r="V188">
        <v>1</v>
      </c>
      <c r="W188" t="s">
        <v>10</v>
      </c>
      <c r="X188" t="s">
        <v>22</v>
      </c>
      <c r="Y188">
        <v>1</v>
      </c>
      <c r="Z188">
        <v>1</v>
      </c>
      <c r="AA188">
        <v>0</v>
      </c>
      <c r="AB188">
        <v>0</v>
      </c>
      <c r="AC188">
        <v>1</v>
      </c>
      <c r="AD188">
        <v>1</v>
      </c>
      <c r="AE188">
        <v>0</v>
      </c>
      <c r="AF188" t="s">
        <v>12</v>
      </c>
      <c r="AG188" t="s">
        <v>12</v>
      </c>
      <c r="AH188" t="s">
        <v>12</v>
      </c>
      <c r="AI188" t="s">
        <v>12</v>
      </c>
      <c r="AJ188" t="s">
        <v>12</v>
      </c>
      <c r="AK188">
        <v>140600</v>
      </c>
      <c r="AL188">
        <v>0.21</v>
      </c>
      <c r="AM188">
        <v>0.19</v>
      </c>
      <c r="AN188" t="s">
        <v>12</v>
      </c>
      <c r="AO188" t="s">
        <v>12</v>
      </c>
    </row>
    <row r="189" spans="1:41" x14ac:dyDescent="0.35">
      <c r="A189">
        <v>21763312</v>
      </c>
      <c r="B189">
        <v>202602</v>
      </c>
      <c r="C189">
        <v>20602806023</v>
      </c>
      <c r="D189" t="s">
        <v>390</v>
      </c>
      <c r="E189" t="s">
        <v>1</v>
      </c>
      <c r="F189">
        <v>10274494</v>
      </c>
      <c r="G189" t="s">
        <v>92</v>
      </c>
      <c r="H189" t="s">
        <v>145</v>
      </c>
      <c r="I189">
        <v>75003.7421875</v>
      </c>
      <c r="J189" s="1">
        <v>46035</v>
      </c>
      <c r="K189">
        <v>19</v>
      </c>
      <c r="L189" t="s">
        <v>4</v>
      </c>
      <c r="M189" t="s">
        <v>4</v>
      </c>
      <c r="N189" t="s">
        <v>41</v>
      </c>
      <c r="O189">
        <v>202601</v>
      </c>
      <c r="P189">
        <v>75003.75</v>
      </c>
      <c r="Q189" t="s">
        <v>145</v>
      </c>
      <c r="R189" t="s">
        <v>146</v>
      </c>
      <c r="S189" t="s">
        <v>127</v>
      </c>
      <c r="T189" t="s">
        <v>147</v>
      </c>
      <c r="U189" t="s">
        <v>95</v>
      </c>
      <c r="V189">
        <v>1</v>
      </c>
      <c r="W189" t="s">
        <v>10</v>
      </c>
      <c r="X189" t="s">
        <v>22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12</v>
      </c>
      <c r="AG189" t="s">
        <v>12</v>
      </c>
      <c r="AH189" t="s">
        <v>12</v>
      </c>
      <c r="AI189" t="s">
        <v>12</v>
      </c>
      <c r="AJ189" t="s">
        <v>12</v>
      </c>
      <c r="AK189">
        <v>250000</v>
      </c>
      <c r="AL189">
        <v>0.26090000000000002</v>
      </c>
      <c r="AM189">
        <v>0.2409</v>
      </c>
      <c r="AN189" t="s">
        <v>12</v>
      </c>
      <c r="AO189" t="s">
        <v>12</v>
      </c>
    </row>
    <row r="190" spans="1:41" x14ac:dyDescent="0.35">
      <c r="A190">
        <v>21640820</v>
      </c>
      <c r="B190">
        <v>202512</v>
      </c>
      <c r="C190">
        <v>20610982884</v>
      </c>
      <c r="D190" t="s">
        <v>391</v>
      </c>
      <c r="E190" t="s">
        <v>1</v>
      </c>
      <c r="F190">
        <v>10272912</v>
      </c>
      <c r="G190" t="s">
        <v>78</v>
      </c>
      <c r="H190" t="s">
        <v>210</v>
      </c>
      <c r="I190">
        <v>237513.453125</v>
      </c>
      <c r="J190" s="1">
        <v>45967</v>
      </c>
      <c r="K190">
        <v>16</v>
      </c>
      <c r="L190" t="s">
        <v>4</v>
      </c>
      <c r="M190" t="s">
        <v>4</v>
      </c>
      <c r="N190" t="s">
        <v>41</v>
      </c>
      <c r="O190">
        <v>202511</v>
      </c>
      <c r="P190">
        <v>250012.5</v>
      </c>
      <c r="Q190" t="s">
        <v>210</v>
      </c>
      <c r="R190" t="s">
        <v>211</v>
      </c>
      <c r="S190" t="s">
        <v>39</v>
      </c>
      <c r="T190" t="s">
        <v>40</v>
      </c>
      <c r="U190" t="s">
        <v>20</v>
      </c>
      <c r="V190">
        <v>1</v>
      </c>
      <c r="W190" t="s">
        <v>10</v>
      </c>
      <c r="X190" t="s">
        <v>59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12</v>
      </c>
      <c r="AG190" t="s">
        <v>12</v>
      </c>
      <c r="AH190" t="s">
        <v>12</v>
      </c>
      <c r="AI190" t="s">
        <v>12</v>
      </c>
      <c r="AJ190" t="s">
        <v>12</v>
      </c>
      <c r="AK190">
        <v>1</v>
      </c>
      <c r="AL190">
        <v>1</v>
      </c>
      <c r="AM190" t="s">
        <v>12</v>
      </c>
      <c r="AN190" t="s">
        <v>12</v>
      </c>
      <c r="AO190" t="s">
        <v>12</v>
      </c>
    </row>
    <row r="191" spans="1:41" x14ac:dyDescent="0.35">
      <c r="A191">
        <v>14424200</v>
      </c>
      <c r="B191">
        <v>202502</v>
      </c>
      <c r="C191">
        <v>20548328692</v>
      </c>
      <c r="D191" t="s">
        <v>392</v>
      </c>
      <c r="E191" t="s">
        <v>1</v>
      </c>
      <c r="F191">
        <v>10255318</v>
      </c>
      <c r="G191" t="s">
        <v>53</v>
      </c>
      <c r="H191" t="s">
        <v>260</v>
      </c>
      <c r="I191">
        <v>105443.7109375</v>
      </c>
      <c r="J191" s="1">
        <v>45460</v>
      </c>
      <c r="K191">
        <v>14.6</v>
      </c>
      <c r="L191" t="s">
        <v>4</v>
      </c>
      <c r="M191" t="s">
        <v>4</v>
      </c>
      <c r="N191" t="s">
        <v>47</v>
      </c>
      <c r="O191">
        <v>202406</v>
      </c>
      <c r="P191">
        <v>113715.65</v>
      </c>
      <c r="Q191" t="s">
        <v>260</v>
      </c>
      <c r="R191" t="s">
        <v>261</v>
      </c>
      <c r="S191" t="s">
        <v>18</v>
      </c>
      <c r="T191" t="s">
        <v>122</v>
      </c>
      <c r="U191" t="s">
        <v>20</v>
      </c>
      <c r="V191">
        <v>1</v>
      </c>
      <c r="W191" t="s">
        <v>10</v>
      </c>
      <c r="X191" t="s">
        <v>12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12</v>
      </c>
      <c r="AG191" t="s">
        <v>12</v>
      </c>
      <c r="AH191" t="s">
        <v>12</v>
      </c>
      <c r="AI191" t="s">
        <v>12</v>
      </c>
      <c r="AJ191" t="s">
        <v>12</v>
      </c>
      <c r="AK191">
        <v>996463574</v>
      </c>
      <c r="AL191">
        <v>0</v>
      </c>
      <c r="AM191">
        <v>0</v>
      </c>
      <c r="AN191" t="s">
        <v>12</v>
      </c>
      <c r="AO191" t="s">
        <v>12</v>
      </c>
    </row>
    <row r="192" spans="1:41" x14ac:dyDescent="0.35">
      <c r="A192">
        <v>19937314</v>
      </c>
      <c r="B192">
        <v>202505</v>
      </c>
      <c r="C192">
        <v>10455159321</v>
      </c>
      <c r="D192" t="s">
        <v>393</v>
      </c>
      <c r="E192">
        <v>45515932</v>
      </c>
      <c r="F192">
        <v>10249430</v>
      </c>
      <c r="G192" t="s">
        <v>65</v>
      </c>
      <c r="H192" t="s">
        <v>183</v>
      </c>
      <c r="I192">
        <v>10420.3984375</v>
      </c>
      <c r="J192" s="1">
        <v>45366</v>
      </c>
      <c r="K192">
        <v>13.8</v>
      </c>
      <c r="L192" t="s">
        <v>37</v>
      </c>
      <c r="M192" t="s">
        <v>37</v>
      </c>
      <c r="N192" t="s">
        <v>47</v>
      </c>
      <c r="O192">
        <v>202403</v>
      </c>
      <c r="P192">
        <v>14998.7</v>
      </c>
      <c r="Q192" t="s">
        <v>12</v>
      </c>
      <c r="R192" t="s">
        <v>12</v>
      </c>
      <c r="S192" t="s">
        <v>12</v>
      </c>
      <c r="T192" t="s">
        <v>12</v>
      </c>
      <c r="U192" t="s">
        <v>12</v>
      </c>
      <c r="V192" t="s">
        <v>12</v>
      </c>
      <c r="W192" t="s">
        <v>12</v>
      </c>
      <c r="X192" t="s">
        <v>12</v>
      </c>
      <c r="Y192" t="s">
        <v>12</v>
      </c>
      <c r="Z192" t="s">
        <v>12</v>
      </c>
      <c r="AA192" t="s">
        <v>12</v>
      </c>
      <c r="AB192" t="s">
        <v>12</v>
      </c>
      <c r="AC192" t="s">
        <v>12</v>
      </c>
      <c r="AD192" t="s">
        <v>12</v>
      </c>
      <c r="AE192" t="s">
        <v>12</v>
      </c>
      <c r="AF192" t="s">
        <v>12</v>
      </c>
      <c r="AG192" t="s">
        <v>12</v>
      </c>
      <c r="AH192" t="s">
        <v>12</v>
      </c>
      <c r="AI192" t="s">
        <v>12</v>
      </c>
      <c r="AJ192" t="s">
        <v>12</v>
      </c>
      <c r="AK192" t="s">
        <v>12</v>
      </c>
      <c r="AL192" t="s">
        <v>12</v>
      </c>
      <c r="AM192" t="s">
        <v>12</v>
      </c>
      <c r="AN192" t="s">
        <v>12</v>
      </c>
      <c r="AO192" t="s">
        <v>12</v>
      </c>
    </row>
    <row r="193" spans="1:41" x14ac:dyDescent="0.35">
      <c r="A193">
        <v>16374486</v>
      </c>
      <c r="B193">
        <v>202508</v>
      </c>
      <c r="C193">
        <v>20605161732</v>
      </c>
      <c r="D193" t="s">
        <v>394</v>
      </c>
      <c r="E193" t="s">
        <v>1</v>
      </c>
      <c r="F193">
        <v>10254795</v>
      </c>
      <c r="G193" t="s">
        <v>65</v>
      </c>
      <c r="H193" t="s">
        <v>153</v>
      </c>
      <c r="I193">
        <v>34943.05078125</v>
      </c>
      <c r="J193" s="1">
        <v>45449</v>
      </c>
      <c r="K193">
        <v>15.7</v>
      </c>
      <c r="L193" t="s">
        <v>4</v>
      </c>
      <c r="M193" t="s">
        <v>4</v>
      </c>
      <c r="N193" t="s">
        <v>47</v>
      </c>
      <c r="O193">
        <v>202406</v>
      </c>
      <c r="P193">
        <v>50002.5</v>
      </c>
      <c r="Q193" t="s">
        <v>153</v>
      </c>
      <c r="R193" t="s">
        <v>154</v>
      </c>
      <c r="S193" t="s">
        <v>88</v>
      </c>
      <c r="T193" t="s">
        <v>89</v>
      </c>
      <c r="U193" t="s">
        <v>20</v>
      </c>
      <c r="V193">
        <v>2</v>
      </c>
      <c r="W193" t="s">
        <v>10</v>
      </c>
      <c r="X193" t="s">
        <v>12</v>
      </c>
      <c r="Y193">
        <v>1</v>
      </c>
      <c r="Z193">
        <v>1</v>
      </c>
      <c r="AA193">
        <v>0</v>
      </c>
      <c r="AB193">
        <v>1</v>
      </c>
      <c r="AC193">
        <v>1</v>
      </c>
      <c r="AD193">
        <v>1</v>
      </c>
      <c r="AE193">
        <v>0</v>
      </c>
      <c r="AF193" t="s">
        <v>12</v>
      </c>
      <c r="AG193" t="s">
        <v>12</v>
      </c>
      <c r="AH193" t="s">
        <v>12</v>
      </c>
      <c r="AI193" t="s">
        <v>12</v>
      </c>
      <c r="AJ193" t="s">
        <v>12</v>
      </c>
      <c r="AK193">
        <v>1</v>
      </c>
      <c r="AL193">
        <v>0.30830000000000002</v>
      </c>
      <c r="AM193" t="s">
        <v>12</v>
      </c>
      <c r="AN193" t="s">
        <v>12</v>
      </c>
      <c r="AO193" t="s">
        <v>12</v>
      </c>
    </row>
    <row r="194" spans="1:41" x14ac:dyDescent="0.35">
      <c r="A194">
        <v>17595640</v>
      </c>
      <c r="B194">
        <v>202601</v>
      </c>
      <c r="C194">
        <v>20606569123</v>
      </c>
      <c r="D194" t="s">
        <v>395</v>
      </c>
      <c r="E194" t="s">
        <v>1</v>
      </c>
      <c r="F194">
        <v>10253282</v>
      </c>
      <c r="G194" t="s">
        <v>65</v>
      </c>
      <c r="H194" t="s">
        <v>396</v>
      </c>
      <c r="I194">
        <v>27787.611328125</v>
      </c>
      <c r="J194" s="1">
        <v>45434</v>
      </c>
      <c r="K194">
        <v>14.9</v>
      </c>
      <c r="L194" t="s">
        <v>37</v>
      </c>
      <c r="M194" t="s">
        <v>37</v>
      </c>
      <c r="N194" t="s">
        <v>47</v>
      </c>
      <c r="O194">
        <v>202405</v>
      </c>
      <c r="P194">
        <v>61603.05</v>
      </c>
      <c r="Q194" t="s">
        <v>396</v>
      </c>
      <c r="R194" t="s">
        <v>397</v>
      </c>
      <c r="S194" t="s">
        <v>18</v>
      </c>
      <c r="T194" t="s">
        <v>19</v>
      </c>
      <c r="U194" t="s">
        <v>41</v>
      </c>
      <c r="V194">
        <v>1</v>
      </c>
      <c r="W194" t="s">
        <v>21</v>
      </c>
      <c r="X194" t="s">
        <v>11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256612.8</v>
      </c>
      <c r="AF194">
        <v>16</v>
      </c>
      <c r="AG194" s="1">
        <v>46035</v>
      </c>
      <c r="AH194" t="s">
        <v>41</v>
      </c>
      <c r="AI194" t="s">
        <v>4</v>
      </c>
      <c r="AJ194" t="s">
        <v>33</v>
      </c>
      <c r="AK194">
        <v>256600</v>
      </c>
      <c r="AL194">
        <v>0.21</v>
      </c>
      <c r="AM194">
        <v>0.19</v>
      </c>
      <c r="AN194" t="s">
        <v>12</v>
      </c>
      <c r="AO194" t="s">
        <v>12</v>
      </c>
    </row>
    <row r="195" spans="1:41" x14ac:dyDescent="0.35">
      <c r="A195">
        <v>20088714</v>
      </c>
      <c r="B195">
        <v>202503</v>
      </c>
      <c r="C195">
        <v>20455580022</v>
      </c>
      <c r="D195" t="s">
        <v>398</v>
      </c>
      <c r="E195" t="s">
        <v>1</v>
      </c>
      <c r="F195">
        <v>10264649</v>
      </c>
      <c r="G195" t="s">
        <v>28</v>
      </c>
      <c r="H195" t="s">
        <v>57</v>
      </c>
      <c r="I195">
        <v>92745.3828125</v>
      </c>
      <c r="J195" s="1">
        <v>45677</v>
      </c>
      <c r="K195">
        <v>17.5</v>
      </c>
      <c r="L195" t="s">
        <v>4</v>
      </c>
      <c r="M195" t="s">
        <v>4</v>
      </c>
      <c r="N195" t="s">
        <v>26</v>
      </c>
      <c r="O195">
        <v>202501</v>
      </c>
      <c r="P195">
        <v>100005</v>
      </c>
      <c r="Q195" t="s">
        <v>57</v>
      </c>
      <c r="R195" t="s">
        <v>58</v>
      </c>
      <c r="S195" t="s">
        <v>39</v>
      </c>
      <c r="T195" t="s">
        <v>40</v>
      </c>
      <c r="U195" t="s">
        <v>20</v>
      </c>
      <c r="V195">
        <v>1</v>
      </c>
      <c r="W195" t="s">
        <v>10</v>
      </c>
      <c r="X195" t="s">
        <v>12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12</v>
      </c>
      <c r="AG195" t="s">
        <v>12</v>
      </c>
      <c r="AH195" t="s">
        <v>12</v>
      </c>
      <c r="AI195" t="s">
        <v>12</v>
      </c>
      <c r="AJ195" t="s">
        <v>12</v>
      </c>
      <c r="AK195">
        <v>959650595</v>
      </c>
      <c r="AL195">
        <v>0</v>
      </c>
      <c r="AM195">
        <v>0</v>
      </c>
      <c r="AN195" t="s">
        <v>12</v>
      </c>
      <c r="AO195" t="s">
        <v>12</v>
      </c>
    </row>
    <row r="196" spans="1:41" x14ac:dyDescent="0.35">
      <c r="A196">
        <v>18265746</v>
      </c>
      <c r="B196">
        <v>202508</v>
      </c>
      <c r="C196">
        <v>20604427381</v>
      </c>
      <c r="D196" t="s">
        <v>399</v>
      </c>
      <c r="E196" t="s">
        <v>1</v>
      </c>
      <c r="F196">
        <v>10264969</v>
      </c>
      <c r="G196" t="s">
        <v>14</v>
      </c>
      <c r="H196" t="s">
        <v>82</v>
      </c>
      <c r="I196">
        <v>63934.75390625</v>
      </c>
      <c r="J196" s="1">
        <v>45687</v>
      </c>
      <c r="K196">
        <v>17</v>
      </c>
      <c r="L196" t="s">
        <v>37</v>
      </c>
      <c r="M196" t="s">
        <v>37</v>
      </c>
      <c r="N196" t="s">
        <v>16</v>
      </c>
      <c r="O196">
        <v>202501</v>
      </c>
      <c r="P196">
        <v>81704.05</v>
      </c>
      <c r="Q196" t="s">
        <v>82</v>
      </c>
      <c r="R196" t="s">
        <v>83</v>
      </c>
      <c r="S196" t="s">
        <v>49</v>
      </c>
      <c r="T196" t="s">
        <v>50</v>
      </c>
      <c r="U196" t="s">
        <v>20</v>
      </c>
      <c r="V196">
        <v>1</v>
      </c>
      <c r="W196" t="s">
        <v>10</v>
      </c>
      <c r="X196" t="s">
        <v>12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12</v>
      </c>
      <c r="AG196" t="s">
        <v>12</v>
      </c>
      <c r="AH196" t="s">
        <v>12</v>
      </c>
      <c r="AI196" t="s">
        <v>12</v>
      </c>
      <c r="AJ196" t="s">
        <v>12</v>
      </c>
      <c r="AK196">
        <v>1</v>
      </c>
      <c r="AL196">
        <v>0.17829999999999999</v>
      </c>
      <c r="AM196">
        <v>0</v>
      </c>
      <c r="AN196" t="s">
        <v>12</v>
      </c>
      <c r="AO196" t="s">
        <v>12</v>
      </c>
    </row>
    <row r="197" spans="1:41" x14ac:dyDescent="0.35">
      <c r="A197">
        <v>14315565</v>
      </c>
      <c r="B197">
        <v>202509</v>
      </c>
      <c r="C197">
        <v>20553606340</v>
      </c>
      <c r="D197" t="s">
        <v>400</v>
      </c>
      <c r="E197" t="s">
        <v>1</v>
      </c>
      <c r="F197">
        <v>10155202</v>
      </c>
      <c r="G197" t="s">
        <v>2</v>
      </c>
      <c r="H197" t="s">
        <v>127</v>
      </c>
      <c r="I197">
        <v>18456.861328125</v>
      </c>
      <c r="J197" s="1">
        <v>45497</v>
      </c>
      <c r="K197">
        <v>19</v>
      </c>
      <c r="L197" t="s">
        <v>4</v>
      </c>
      <c r="M197" t="s">
        <v>4</v>
      </c>
      <c r="N197" t="s">
        <v>5</v>
      </c>
      <c r="O197">
        <v>202407</v>
      </c>
      <c r="P197">
        <v>250012.5</v>
      </c>
      <c r="Q197" t="s">
        <v>227</v>
      </c>
      <c r="R197" t="s">
        <v>228</v>
      </c>
      <c r="S197" t="s">
        <v>127</v>
      </c>
      <c r="T197" t="s">
        <v>147</v>
      </c>
      <c r="U197" t="s">
        <v>5</v>
      </c>
      <c r="V197">
        <v>1</v>
      </c>
      <c r="W197" t="s">
        <v>10</v>
      </c>
      <c r="X197" t="s">
        <v>11</v>
      </c>
      <c r="Y197">
        <v>1</v>
      </c>
      <c r="Z197">
        <v>1</v>
      </c>
      <c r="AA197">
        <v>0</v>
      </c>
      <c r="AB197">
        <v>0</v>
      </c>
      <c r="AC197">
        <v>1</v>
      </c>
      <c r="AD197">
        <v>1</v>
      </c>
      <c r="AE197">
        <v>0</v>
      </c>
      <c r="AF197" t="s">
        <v>12</v>
      </c>
      <c r="AG197" t="s">
        <v>12</v>
      </c>
      <c r="AH197" t="s">
        <v>12</v>
      </c>
      <c r="AI197" t="s">
        <v>12</v>
      </c>
      <c r="AJ197" t="s">
        <v>12</v>
      </c>
      <c r="AK197">
        <v>195400</v>
      </c>
      <c r="AL197">
        <v>0.21</v>
      </c>
      <c r="AM197">
        <v>0.19</v>
      </c>
      <c r="AN197" t="s">
        <v>12</v>
      </c>
      <c r="AO197" t="s">
        <v>12</v>
      </c>
    </row>
    <row r="198" spans="1:41" x14ac:dyDescent="0.35">
      <c r="A198">
        <v>12889604</v>
      </c>
      <c r="B198">
        <v>202602</v>
      </c>
      <c r="C198">
        <v>10409354977</v>
      </c>
      <c r="D198" t="s">
        <v>401</v>
      </c>
      <c r="E198">
        <v>40935497</v>
      </c>
      <c r="F198">
        <v>10272835</v>
      </c>
      <c r="G198" t="s">
        <v>24</v>
      </c>
      <c r="H198" t="s">
        <v>402</v>
      </c>
      <c r="I198">
        <v>75842.5234375</v>
      </c>
      <c r="J198" s="1">
        <v>45961</v>
      </c>
      <c r="K198">
        <v>18</v>
      </c>
      <c r="L198" t="s">
        <v>37</v>
      </c>
      <c r="M198" t="s">
        <v>37</v>
      </c>
      <c r="N198" t="s">
        <v>98</v>
      </c>
      <c r="O198">
        <v>202510</v>
      </c>
      <c r="P198">
        <v>84476.2</v>
      </c>
      <c r="Q198" t="s">
        <v>12</v>
      </c>
      <c r="R198" t="s">
        <v>12</v>
      </c>
      <c r="S198" t="s">
        <v>12</v>
      </c>
      <c r="T198" t="s">
        <v>12</v>
      </c>
      <c r="U198" t="s">
        <v>12</v>
      </c>
      <c r="V198" t="s">
        <v>12</v>
      </c>
      <c r="W198" t="s">
        <v>12</v>
      </c>
      <c r="X198" t="s">
        <v>12</v>
      </c>
      <c r="Y198" t="s">
        <v>12</v>
      </c>
      <c r="Z198" t="s">
        <v>12</v>
      </c>
      <c r="AA198" t="s">
        <v>12</v>
      </c>
      <c r="AB198" t="s">
        <v>12</v>
      </c>
      <c r="AC198" t="s">
        <v>12</v>
      </c>
      <c r="AD198" t="s">
        <v>12</v>
      </c>
      <c r="AE198" t="s">
        <v>12</v>
      </c>
      <c r="AF198" t="s">
        <v>12</v>
      </c>
      <c r="AG198" t="s">
        <v>12</v>
      </c>
      <c r="AH198" t="s">
        <v>12</v>
      </c>
      <c r="AI198" t="s">
        <v>12</v>
      </c>
      <c r="AJ198" t="s">
        <v>12</v>
      </c>
      <c r="AK198" t="s">
        <v>12</v>
      </c>
      <c r="AL198" t="s">
        <v>12</v>
      </c>
      <c r="AM198" t="s">
        <v>12</v>
      </c>
      <c r="AN198" t="s">
        <v>12</v>
      </c>
      <c r="AO198" t="s">
        <v>12</v>
      </c>
    </row>
    <row r="199" spans="1:41" x14ac:dyDescent="0.35">
      <c r="A199">
        <v>20322049</v>
      </c>
      <c r="B199">
        <v>202505</v>
      </c>
      <c r="C199">
        <v>10432795638</v>
      </c>
      <c r="D199" t="s">
        <v>403</v>
      </c>
      <c r="E199">
        <v>43279563</v>
      </c>
      <c r="F199">
        <v>10263208</v>
      </c>
      <c r="G199" t="s">
        <v>45</v>
      </c>
      <c r="H199" t="s">
        <v>404</v>
      </c>
      <c r="I199">
        <v>30001.48828125</v>
      </c>
      <c r="J199" s="1">
        <v>45624</v>
      </c>
      <c r="K199">
        <v>14.5</v>
      </c>
      <c r="L199" t="s">
        <v>37</v>
      </c>
      <c r="M199" t="s">
        <v>37</v>
      </c>
      <c r="N199" t="s">
        <v>47</v>
      </c>
      <c r="O199">
        <v>202411</v>
      </c>
      <c r="P199">
        <v>30001.5</v>
      </c>
      <c r="Q199" t="s">
        <v>12</v>
      </c>
      <c r="R199" t="s">
        <v>12</v>
      </c>
      <c r="S199" t="s">
        <v>12</v>
      </c>
      <c r="T199" t="s">
        <v>12</v>
      </c>
      <c r="U199" t="s">
        <v>12</v>
      </c>
      <c r="V199" t="s">
        <v>12</v>
      </c>
      <c r="W199" t="s">
        <v>12</v>
      </c>
      <c r="X199" t="s">
        <v>12</v>
      </c>
      <c r="Y199" t="s">
        <v>12</v>
      </c>
      <c r="Z199" t="s">
        <v>12</v>
      </c>
      <c r="AA199" t="s">
        <v>12</v>
      </c>
      <c r="AB199" t="s">
        <v>12</v>
      </c>
      <c r="AC199" t="s">
        <v>12</v>
      </c>
      <c r="AD199" t="s">
        <v>12</v>
      </c>
      <c r="AE199" t="s">
        <v>12</v>
      </c>
      <c r="AF199" t="s">
        <v>12</v>
      </c>
      <c r="AG199" t="s">
        <v>12</v>
      </c>
      <c r="AH199" t="s">
        <v>12</v>
      </c>
      <c r="AI199" t="s">
        <v>12</v>
      </c>
      <c r="AJ199" t="s">
        <v>12</v>
      </c>
      <c r="AK199" t="s">
        <v>12</v>
      </c>
      <c r="AL199" t="s">
        <v>12</v>
      </c>
      <c r="AM199" t="s">
        <v>12</v>
      </c>
      <c r="AN199" t="s">
        <v>12</v>
      </c>
      <c r="AO199" t="s">
        <v>12</v>
      </c>
    </row>
    <row r="200" spans="1:41" x14ac:dyDescent="0.35">
      <c r="A200">
        <v>21632358</v>
      </c>
      <c r="B200">
        <v>202509</v>
      </c>
      <c r="C200">
        <v>20603123108</v>
      </c>
      <c r="D200" t="s">
        <v>405</v>
      </c>
      <c r="E200" t="s">
        <v>1</v>
      </c>
      <c r="F200">
        <v>10267696</v>
      </c>
      <c r="G200" t="s">
        <v>14</v>
      </c>
      <c r="H200" t="s">
        <v>260</v>
      </c>
      <c r="I200">
        <v>52036.12109375</v>
      </c>
      <c r="J200" s="1">
        <v>45789</v>
      </c>
      <c r="K200">
        <v>18</v>
      </c>
      <c r="L200" t="s">
        <v>37</v>
      </c>
      <c r="M200" t="s">
        <v>75</v>
      </c>
      <c r="N200" t="s">
        <v>16</v>
      </c>
      <c r="O200">
        <v>202505</v>
      </c>
      <c r="P200">
        <v>120006</v>
      </c>
      <c r="Q200" t="s">
        <v>260</v>
      </c>
      <c r="R200" t="s">
        <v>261</v>
      </c>
      <c r="S200" t="s">
        <v>18</v>
      </c>
      <c r="T200" t="s">
        <v>122</v>
      </c>
      <c r="U200" t="s">
        <v>20</v>
      </c>
      <c r="V200">
        <v>1</v>
      </c>
      <c r="W200" t="s">
        <v>10</v>
      </c>
      <c r="X200" t="s">
        <v>51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12</v>
      </c>
      <c r="AG200" t="s">
        <v>12</v>
      </c>
      <c r="AH200" t="s">
        <v>12</v>
      </c>
      <c r="AI200" t="s">
        <v>12</v>
      </c>
      <c r="AJ200" t="s">
        <v>12</v>
      </c>
      <c r="AK200">
        <v>1</v>
      </c>
      <c r="AL200">
        <v>1</v>
      </c>
      <c r="AM200" t="s">
        <v>12</v>
      </c>
      <c r="AN200" t="s">
        <v>12</v>
      </c>
      <c r="AO200" t="s">
        <v>12</v>
      </c>
    </row>
    <row r="201" spans="1:41" x14ac:dyDescent="0.35">
      <c r="A201">
        <v>19873407</v>
      </c>
      <c r="B201">
        <v>202507</v>
      </c>
      <c r="C201">
        <v>20601363861</v>
      </c>
      <c r="D201" t="s">
        <v>406</v>
      </c>
      <c r="E201" t="s">
        <v>1</v>
      </c>
      <c r="F201">
        <v>10266973</v>
      </c>
      <c r="G201" t="s">
        <v>24</v>
      </c>
      <c r="H201" t="s">
        <v>159</v>
      </c>
      <c r="I201">
        <v>85019.9921875</v>
      </c>
      <c r="J201" s="1">
        <v>45757</v>
      </c>
      <c r="K201">
        <v>18</v>
      </c>
      <c r="L201" t="s">
        <v>37</v>
      </c>
      <c r="M201" t="s">
        <v>37</v>
      </c>
      <c r="N201" t="s">
        <v>98</v>
      </c>
      <c r="O201">
        <v>202504</v>
      </c>
      <c r="P201">
        <v>100005</v>
      </c>
      <c r="Q201" t="s">
        <v>12</v>
      </c>
      <c r="R201" t="s">
        <v>12</v>
      </c>
      <c r="S201" t="s">
        <v>12</v>
      </c>
      <c r="T201" t="s">
        <v>12</v>
      </c>
      <c r="U201" t="s">
        <v>12</v>
      </c>
      <c r="V201" t="s">
        <v>12</v>
      </c>
      <c r="W201" t="s">
        <v>12</v>
      </c>
      <c r="X201" t="s">
        <v>12</v>
      </c>
      <c r="Y201" t="s">
        <v>12</v>
      </c>
      <c r="Z201" t="s">
        <v>12</v>
      </c>
      <c r="AA201" t="s">
        <v>12</v>
      </c>
      <c r="AB201" t="s">
        <v>12</v>
      </c>
      <c r="AC201" t="s">
        <v>12</v>
      </c>
      <c r="AD201" t="s">
        <v>12</v>
      </c>
      <c r="AE201" t="s">
        <v>12</v>
      </c>
      <c r="AF201" t="s">
        <v>12</v>
      </c>
      <c r="AG201" t="s">
        <v>12</v>
      </c>
      <c r="AH201" t="s">
        <v>12</v>
      </c>
      <c r="AI201" t="s">
        <v>12</v>
      </c>
      <c r="AJ201" t="s">
        <v>12</v>
      </c>
      <c r="AK201" t="s">
        <v>12</v>
      </c>
      <c r="AL201" t="s">
        <v>12</v>
      </c>
      <c r="AM201" t="s">
        <v>12</v>
      </c>
      <c r="AN201" t="s">
        <v>12</v>
      </c>
      <c r="AO201" t="s">
        <v>12</v>
      </c>
    </row>
    <row r="202" spans="1:41" x14ac:dyDescent="0.35">
      <c r="A202">
        <v>6785737</v>
      </c>
      <c r="B202">
        <v>202502</v>
      </c>
      <c r="C202">
        <v>10091932666</v>
      </c>
      <c r="D202" t="s">
        <v>407</v>
      </c>
      <c r="E202">
        <v>9193266</v>
      </c>
      <c r="F202">
        <v>10173458</v>
      </c>
      <c r="G202" t="s">
        <v>2</v>
      </c>
      <c r="H202" t="s">
        <v>61</v>
      </c>
      <c r="I202">
        <v>154279.96875</v>
      </c>
      <c r="J202" s="1">
        <v>45916</v>
      </c>
      <c r="K202">
        <v>16</v>
      </c>
      <c r="L202" t="s">
        <v>4</v>
      </c>
      <c r="M202" t="s">
        <v>4</v>
      </c>
      <c r="N202" t="s">
        <v>5</v>
      </c>
      <c r="O202">
        <v>202509</v>
      </c>
      <c r="P202">
        <v>180007.95</v>
      </c>
      <c r="Q202" t="s">
        <v>61</v>
      </c>
      <c r="R202" t="s">
        <v>62</v>
      </c>
      <c r="S202" t="s">
        <v>39</v>
      </c>
      <c r="T202" t="s">
        <v>40</v>
      </c>
      <c r="U202" t="s">
        <v>20</v>
      </c>
      <c r="V202">
        <v>1</v>
      </c>
      <c r="W202" t="s">
        <v>90</v>
      </c>
      <c r="X202" t="s">
        <v>12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12</v>
      </c>
      <c r="AG202" t="s">
        <v>12</v>
      </c>
      <c r="AH202" t="s">
        <v>12</v>
      </c>
      <c r="AI202" t="s">
        <v>12</v>
      </c>
      <c r="AJ202" t="s">
        <v>12</v>
      </c>
      <c r="AK202">
        <v>947927364</v>
      </c>
      <c r="AL202">
        <v>0</v>
      </c>
      <c r="AM202">
        <v>0</v>
      </c>
      <c r="AN202" t="s">
        <v>12</v>
      </c>
      <c r="AO202" t="s">
        <v>12</v>
      </c>
    </row>
    <row r="203" spans="1:41" x14ac:dyDescent="0.35">
      <c r="A203">
        <v>14267552</v>
      </c>
      <c r="B203">
        <v>202602</v>
      </c>
      <c r="C203">
        <v>20560035684</v>
      </c>
      <c r="D203" t="s">
        <v>408</v>
      </c>
      <c r="E203" t="s">
        <v>1</v>
      </c>
      <c r="F203">
        <v>10275839</v>
      </c>
      <c r="G203" t="s">
        <v>73</v>
      </c>
      <c r="H203" t="s">
        <v>129</v>
      </c>
      <c r="I203">
        <v>120006</v>
      </c>
      <c r="J203" s="1">
        <v>46070</v>
      </c>
      <c r="K203">
        <v>17</v>
      </c>
      <c r="L203" t="s">
        <v>4</v>
      </c>
      <c r="M203" t="s">
        <v>4</v>
      </c>
      <c r="N203" t="s">
        <v>26</v>
      </c>
      <c r="O203">
        <v>202602</v>
      </c>
      <c r="P203">
        <v>120006</v>
      </c>
      <c r="Q203" t="s">
        <v>129</v>
      </c>
      <c r="R203" t="s">
        <v>130</v>
      </c>
      <c r="S203" t="s">
        <v>49</v>
      </c>
      <c r="T203" t="s">
        <v>50</v>
      </c>
      <c r="U203" t="s">
        <v>26</v>
      </c>
      <c r="V203">
        <v>1</v>
      </c>
      <c r="W203" t="s">
        <v>10</v>
      </c>
      <c r="X203" t="s">
        <v>59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120006</v>
      </c>
      <c r="AF203">
        <v>17</v>
      </c>
      <c r="AG203" s="1">
        <v>46070</v>
      </c>
      <c r="AH203" t="s">
        <v>26</v>
      </c>
      <c r="AI203" t="s">
        <v>4</v>
      </c>
      <c r="AJ203" t="s">
        <v>33</v>
      </c>
      <c r="AK203">
        <v>400000</v>
      </c>
      <c r="AL203">
        <v>0.25290000000000001</v>
      </c>
      <c r="AM203">
        <v>0.2329</v>
      </c>
      <c r="AN203" t="s">
        <v>12</v>
      </c>
      <c r="AO203" t="s">
        <v>12</v>
      </c>
    </row>
    <row r="204" spans="1:41" x14ac:dyDescent="0.35">
      <c r="A204">
        <v>15168907</v>
      </c>
      <c r="B204">
        <v>202512</v>
      </c>
      <c r="C204">
        <v>10099028543</v>
      </c>
      <c r="D204" t="s">
        <v>409</v>
      </c>
      <c r="E204">
        <v>9902854</v>
      </c>
      <c r="F204">
        <v>10257332</v>
      </c>
      <c r="G204" t="s">
        <v>65</v>
      </c>
      <c r="H204" t="s">
        <v>410</v>
      </c>
      <c r="I204">
        <v>11522.34375</v>
      </c>
      <c r="J204" s="1">
        <v>45489</v>
      </c>
      <c r="K204">
        <v>14.8</v>
      </c>
      <c r="L204" t="s">
        <v>37</v>
      </c>
      <c r="M204" t="s">
        <v>37</v>
      </c>
      <c r="N204" t="s">
        <v>47</v>
      </c>
      <c r="O204">
        <v>202407</v>
      </c>
      <c r="P204">
        <v>20001</v>
      </c>
      <c r="Q204" t="s">
        <v>12</v>
      </c>
      <c r="R204" t="s">
        <v>12</v>
      </c>
      <c r="S204" t="s">
        <v>12</v>
      </c>
      <c r="T204" t="s">
        <v>12</v>
      </c>
      <c r="U204" t="s">
        <v>12</v>
      </c>
      <c r="V204" t="s">
        <v>12</v>
      </c>
      <c r="W204" t="s">
        <v>12</v>
      </c>
      <c r="X204" t="s">
        <v>12</v>
      </c>
      <c r="Y204" t="s">
        <v>12</v>
      </c>
      <c r="Z204" t="s">
        <v>12</v>
      </c>
      <c r="AA204" t="s">
        <v>12</v>
      </c>
      <c r="AB204" t="s">
        <v>12</v>
      </c>
      <c r="AC204" t="s">
        <v>12</v>
      </c>
      <c r="AD204" t="s">
        <v>12</v>
      </c>
      <c r="AE204" t="s">
        <v>12</v>
      </c>
      <c r="AF204" t="s">
        <v>12</v>
      </c>
      <c r="AG204" t="s">
        <v>12</v>
      </c>
      <c r="AH204" t="s">
        <v>12</v>
      </c>
      <c r="AI204" t="s">
        <v>12</v>
      </c>
      <c r="AJ204" t="s">
        <v>12</v>
      </c>
      <c r="AK204" t="s">
        <v>12</v>
      </c>
      <c r="AL204" t="s">
        <v>12</v>
      </c>
      <c r="AM204" t="s">
        <v>12</v>
      </c>
      <c r="AN204" t="s">
        <v>12</v>
      </c>
      <c r="AO204" t="s">
        <v>12</v>
      </c>
    </row>
    <row r="205" spans="1:41" x14ac:dyDescent="0.35">
      <c r="A205">
        <v>21761878</v>
      </c>
      <c r="B205">
        <v>202511</v>
      </c>
      <c r="C205">
        <v>20603658621</v>
      </c>
      <c r="D205" t="s">
        <v>411</v>
      </c>
      <c r="E205" t="s">
        <v>1</v>
      </c>
      <c r="F205">
        <v>10270019</v>
      </c>
      <c r="G205" t="s">
        <v>100</v>
      </c>
      <c r="H205" t="s">
        <v>412</v>
      </c>
      <c r="I205">
        <v>123026.171875</v>
      </c>
      <c r="J205" s="1">
        <v>45868</v>
      </c>
      <c r="K205">
        <v>14</v>
      </c>
      <c r="L205" t="s">
        <v>37</v>
      </c>
      <c r="M205" t="s">
        <v>37</v>
      </c>
      <c r="N205" t="s">
        <v>102</v>
      </c>
      <c r="O205">
        <v>202507</v>
      </c>
      <c r="P205">
        <v>132006.6</v>
      </c>
      <c r="Q205" t="s">
        <v>412</v>
      </c>
      <c r="R205" t="s">
        <v>413</v>
      </c>
      <c r="S205" t="s">
        <v>88</v>
      </c>
      <c r="T205" t="s">
        <v>89</v>
      </c>
      <c r="U205" t="s">
        <v>9</v>
      </c>
      <c r="V205">
        <v>2</v>
      </c>
      <c r="W205" t="s">
        <v>10</v>
      </c>
      <c r="X205" t="s">
        <v>51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12</v>
      </c>
      <c r="AG205" t="s">
        <v>12</v>
      </c>
      <c r="AH205" t="s">
        <v>12</v>
      </c>
      <c r="AI205" t="s">
        <v>12</v>
      </c>
      <c r="AJ205" t="s">
        <v>12</v>
      </c>
      <c r="AK205">
        <v>0</v>
      </c>
      <c r="AL205">
        <v>0</v>
      </c>
      <c r="AM205">
        <v>0</v>
      </c>
      <c r="AN205" t="s">
        <v>12</v>
      </c>
      <c r="AO205" t="s">
        <v>12</v>
      </c>
    </row>
    <row r="206" spans="1:41" x14ac:dyDescent="0.35">
      <c r="A206">
        <v>11947325</v>
      </c>
      <c r="B206">
        <v>202506</v>
      </c>
      <c r="C206">
        <v>20488631242</v>
      </c>
      <c r="D206" t="s">
        <v>414</v>
      </c>
      <c r="E206" t="s">
        <v>1</v>
      </c>
      <c r="F206">
        <v>10164577</v>
      </c>
      <c r="G206" t="s">
        <v>2</v>
      </c>
      <c r="H206" t="s">
        <v>234</v>
      </c>
      <c r="I206">
        <v>13799.455078125</v>
      </c>
      <c r="J206" s="1">
        <v>46038</v>
      </c>
      <c r="K206">
        <v>19</v>
      </c>
      <c r="L206" t="s">
        <v>86</v>
      </c>
      <c r="M206" t="s">
        <v>86</v>
      </c>
      <c r="N206" t="s">
        <v>5</v>
      </c>
      <c r="O206">
        <v>202601</v>
      </c>
      <c r="P206">
        <v>58502.9</v>
      </c>
      <c r="Q206" t="s">
        <v>234</v>
      </c>
      <c r="R206" t="s">
        <v>235</v>
      </c>
      <c r="S206" t="s">
        <v>49</v>
      </c>
      <c r="T206" t="s">
        <v>50</v>
      </c>
      <c r="U206" t="s">
        <v>70</v>
      </c>
      <c r="V206">
        <v>1</v>
      </c>
      <c r="W206" t="s">
        <v>10</v>
      </c>
      <c r="X206" t="s">
        <v>12</v>
      </c>
      <c r="Y206">
        <v>1</v>
      </c>
      <c r="Z206">
        <v>1</v>
      </c>
      <c r="AA206">
        <v>0</v>
      </c>
      <c r="AB206">
        <v>1</v>
      </c>
      <c r="AC206">
        <v>1</v>
      </c>
      <c r="AD206">
        <v>1</v>
      </c>
      <c r="AE206">
        <v>0</v>
      </c>
      <c r="AF206" t="s">
        <v>12</v>
      </c>
      <c r="AG206" t="s">
        <v>12</v>
      </c>
      <c r="AH206" t="s">
        <v>12</v>
      </c>
      <c r="AI206" t="s">
        <v>12</v>
      </c>
      <c r="AJ206" t="s">
        <v>12</v>
      </c>
      <c r="AK206">
        <v>53000</v>
      </c>
      <c r="AL206">
        <v>0.24</v>
      </c>
      <c r="AM206">
        <v>0.2233</v>
      </c>
      <c r="AN206" t="s">
        <v>12</v>
      </c>
      <c r="AO206" t="s">
        <v>12</v>
      </c>
    </row>
    <row r="207" spans="1:41" x14ac:dyDescent="0.35">
      <c r="A207">
        <v>9838845</v>
      </c>
      <c r="B207">
        <v>202504</v>
      </c>
      <c r="C207">
        <v>20513676183</v>
      </c>
      <c r="D207" t="s">
        <v>415</v>
      </c>
      <c r="E207" t="s">
        <v>1</v>
      </c>
      <c r="F207">
        <v>10263485</v>
      </c>
      <c r="G207" t="s">
        <v>45</v>
      </c>
      <c r="H207" t="s">
        <v>109</v>
      </c>
      <c r="I207">
        <v>88004.4140625</v>
      </c>
      <c r="J207" s="1">
        <v>45629</v>
      </c>
      <c r="K207">
        <v>14.5</v>
      </c>
      <c r="L207" t="s">
        <v>37</v>
      </c>
      <c r="M207" t="s">
        <v>37</v>
      </c>
      <c r="N207" t="s">
        <v>47</v>
      </c>
      <c r="O207">
        <v>202412</v>
      </c>
      <c r="P207">
        <v>88004.4</v>
      </c>
      <c r="Q207" t="s">
        <v>109</v>
      </c>
      <c r="R207" t="s">
        <v>110</v>
      </c>
      <c r="S207" t="s">
        <v>111</v>
      </c>
      <c r="T207" t="s">
        <v>112</v>
      </c>
      <c r="U207" t="s">
        <v>20</v>
      </c>
      <c r="V207">
        <v>2</v>
      </c>
      <c r="W207" t="s">
        <v>10</v>
      </c>
      <c r="X207" t="s">
        <v>12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12</v>
      </c>
      <c r="AG207" t="s">
        <v>12</v>
      </c>
      <c r="AH207" t="s">
        <v>12</v>
      </c>
      <c r="AI207" t="s">
        <v>12</v>
      </c>
      <c r="AJ207" t="s">
        <v>12</v>
      </c>
      <c r="AK207">
        <v>0</v>
      </c>
      <c r="AL207">
        <v>0</v>
      </c>
      <c r="AM207">
        <v>0</v>
      </c>
      <c r="AN207" t="s">
        <v>12</v>
      </c>
      <c r="AO207" t="s">
        <v>12</v>
      </c>
    </row>
    <row r="208" spans="1:41" x14ac:dyDescent="0.35">
      <c r="A208">
        <v>15996927</v>
      </c>
      <c r="B208">
        <v>202602</v>
      </c>
      <c r="C208">
        <v>20602565280</v>
      </c>
      <c r="D208" t="s">
        <v>416</v>
      </c>
      <c r="E208" t="s">
        <v>1</v>
      </c>
      <c r="F208">
        <v>10270005</v>
      </c>
      <c r="G208" t="s">
        <v>24</v>
      </c>
      <c r="H208" t="s">
        <v>417</v>
      </c>
      <c r="I208">
        <v>120059.1796875</v>
      </c>
      <c r="J208" s="1">
        <v>45863</v>
      </c>
      <c r="K208">
        <v>16</v>
      </c>
      <c r="L208" t="s">
        <v>4</v>
      </c>
      <c r="M208" t="s">
        <v>4</v>
      </c>
      <c r="N208" t="s">
        <v>26</v>
      </c>
      <c r="O208">
        <v>202507</v>
      </c>
      <c r="P208">
        <v>300015</v>
      </c>
      <c r="Q208" t="s">
        <v>417</v>
      </c>
      <c r="R208" t="s">
        <v>418</v>
      </c>
      <c r="S208" t="s">
        <v>31</v>
      </c>
      <c r="T208" t="s">
        <v>32</v>
      </c>
      <c r="U208" t="s">
        <v>63</v>
      </c>
      <c r="V208">
        <v>1</v>
      </c>
      <c r="W208" t="s">
        <v>10</v>
      </c>
      <c r="X208" t="s">
        <v>51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12</v>
      </c>
      <c r="AG208" t="s">
        <v>12</v>
      </c>
      <c r="AH208" t="s">
        <v>12</v>
      </c>
      <c r="AI208" t="s">
        <v>12</v>
      </c>
      <c r="AJ208" t="s">
        <v>12</v>
      </c>
      <c r="AK208">
        <v>90000</v>
      </c>
      <c r="AL208">
        <v>0.18890000000000001</v>
      </c>
      <c r="AM208">
        <v>0.16889999999999999</v>
      </c>
      <c r="AN208" t="s">
        <v>12</v>
      </c>
      <c r="AO208" t="s">
        <v>12</v>
      </c>
    </row>
    <row r="209" spans="1:41" x14ac:dyDescent="0.35">
      <c r="A209">
        <v>15693530</v>
      </c>
      <c r="B209">
        <v>202601</v>
      </c>
      <c r="C209">
        <v>20534483997</v>
      </c>
      <c r="D209" t="s">
        <v>132</v>
      </c>
      <c r="E209" t="s">
        <v>1</v>
      </c>
      <c r="F209">
        <v>10270553</v>
      </c>
      <c r="G209" t="s">
        <v>68</v>
      </c>
      <c r="H209" t="s">
        <v>61</v>
      </c>
      <c r="I209">
        <v>149901.203125</v>
      </c>
      <c r="J209" s="1">
        <v>45889</v>
      </c>
      <c r="K209">
        <v>17</v>
      </c>
      <c r="L209" t="s">
        <v>86</v>
      </c>
      <c r="M209" t="s">
        <v>86</v>
      </c>
      <c r="N209" t="s">
        <v>20</v>
      </c>
      <c r="O209">
        <v>202508</v>
      </c>
      <c r="P209">
        <v>202010.1</v>
      </c>
      <c r="Q209" t="s">
        <v>61</v>
      </c>
      <c r="R209" t="s">
        <v>62</v>
      </c>
      <c r="S209" t="s">
        <v>39</v>
      </c>
      <c r="T209" t="s">
        <v>40</v>
      </c>
      <c r="U209" t="s">
        <v>41</v>
      </c>
      <c r="V209">
        <v>1</v>
      </c>
      <c r="W209" t="s">
        <v>21</v>
      </c>
      <c r="X209" t="s">
        <v>22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242012.1</v>
      </c>
      <c r="AF209">
        <v>16</v>
      </c>
      <c r="AG209" s="1">
        <v>46050</v>
      </c>
      <c r="AH209" t="s">
        <v>41</v>
      </c>
      <c r="AI209" t="s">
        <v>4</v>
      </c>
      <c r="AJ209" t="s">
        <v>33</v>
      </c>
      <c r="AK209">
        <v>242600</v>
      </c>
      <c r="AL209">
        <v>0.21</v>
      </c>
      <c r="AM209">
        <v>0.19</v>
      </c>
      <c r="AN209" t="s">
        <v>12</v>
      </c>
      <c r="AO209" t="s">
        <v>12</v>
      </c>
    </row>
    <row r="210" spans="1:41" x14ac:dyDescent="0.35">
      <c r="A210">
        <v>15639760</v>
      </c>
      <c r="B210">
        <v>202601</v>
      </c>
      <c r="C210">
        <v>20603074387</v>
      </c>
      <c r="D210" t="s">
        <v>419</v>
      </c>
      <c r="E210" t="s">
        <v>1</v>
      </c>
      <c r="F210">
        <v>10256352</v>
      </c>
      <c r="G210" t="s">
        <v>65</v>
      </c>
      <c r="H210" t="s">
        <v>244</v>
      </c>
      <c r="I210">
        <v>3794.46752929688</v>
      </c>
      <c r="J210" s="1">
        <v>45468</v>
      </c>
      <c r="K210">
        <v>14.7</v>
      </c>
      <c r="L210" t="s">
        <v>4</v>
      </c>
      <c r="M210" t="s">
        <v>4</v>
      </c>
      <c r="N210" t="s">
        <v>47</v>
      </c>
      <c r="O210">
        <v>202406</v>
      </c>
      <c r="P210">
        <v>90004.5</v>
      </c>
      <c r="Q210" t="s">
        <v>244</v>
      </c>
      <c r="R210" t="s">
        <v>297</v>
      </c>
      <c r="S210" t="s">
        <v>7</v>
      </c>
      <c r="T210" t="s">
        <v>8</v>
      </c>
      <c r="U210" t="s">
        <v>20</v>
      </c>
      <c r="V210">
        <v>1</v>
      </c>
      <c r="W210" t="s">
        <v>10</v>
      </c>
      <c r="X210" t="s">
        <v>51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12</v>
      </c>
      <c r="AG210" t="s">
        <v>12</v>
      </c>
      <c r="AH210" t="s">
        <v>12</v>
      </c>
      <c r="AI210" t="s">
        <v>12</v>
      </c>
      <c r="AJ210" t="s">
        <v>12</v>
      </c>
      <c r="AK210">
        <v>1</v>
      </c>
      <c r="AL210">
        <v>1</v>
      </c>
      <c r="AM210">
        <v>0.24</v>
      </c>
      <c r="AN210" t="s">
        <v>12</v>
      </c>
      <c r="AO210" t="s">
        <v>12</v>
      </c>
    </row>
    <row r="211" spans="1:41" x14ac:dyDescent="0.35">
      <c r="A211">
        <v>20902293</v>
      </c>
      <c r="B211">
        <v>202506</v>
      </c>
      <c r="C211">
        <v>20559263797</v>
      </c>
      <c r="D211" t="s">
        <v>420</v>
      </c>
      <c r="E211" t="s">
        <v>1</v>
      </c>
      <c r="F211">
        <v>10254564</v>
      </c>
      <c r="G211" t="s">
        <v>65</v>
      </c>
      <c r="H211" t="s">
        <v>159</v>
      </c>
      <c r="I211">
        <v>43814.078125</v>
      </c>
      <c r="J211" s="1">
        <v>45443</v>
      </c>
      <c r="K211">
        <v>15.5</v>
      </c>
      <c r="L211" t="s">
        <v>37</v>
      </c>
      <c r="M211" t="s">
        <v>37</v>
      </c>
      <c r="N211" t="s">
        <v>47</v>
      </c>
      <c r="O211">
        <v>202405</v>
      </c>
      <c r="P211">
        <v>59402.95</v>
      </c>
      <c r="Q211" t="s">
        <v>317</v>
      </c>
      <c r="R211" t="s">
        <v>318</v>
      </c>
      <c r="S211" t="s">
        <v>88</v>
      </c>
      <c r="T211" t="s">
        <v>89</v>
      </c>
      <c r="U211" t="s">
        <v>41</v>
      </c>
      <c r="V211">
        <v>2</v>
      </c>
      <c r="W211" t="s">
        <v>10</v>
      </c>
      <c r="X211" t="s">
        <v>12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12</v>
      </c>
      <c r="AG211" t="s">
        <v>12</v>
      </c>
      <c r="AH211" t="s">
        <v>12</v>
      </c>
      <c r="AI211" t="s">
        <v>12</v>
      </c>
      <c r="AJ211" t="s">
        <v>12</v>
      </c>
      <c r="AK211">
        <v>400000</v>
      </c>
      <c r="AL211">
        <v>0.2</v>
      </c>
      <c r="AM211">
        <v>0.18</v>
      </c>
      <c r="AN211" t="s">
        <v>12</v>
      </c>
      <c r="AO211" t="s">
        <v>12</v>
      </c>
    </row>
    <row r="212" spans="1:41" x14ac:dyDescent="0.35">
      <c r="A212">
        <v>15135539</v>
      </c>
      <c r="B212">
        <v>202506</v>
      </c>
      <c r="C212">
        <v>20563648113</v>
      </c>
      <c r="D212" t="s">
        <v>421</v>
      </c>
      <c r="E212" t="s">
        <v>1</v>
      </c>
      <c r="F212">
        <v>10168509</v>
      </c>
      <c r="G212" t="s">
        <v>2</v>
      </c>
      <c r="H212" t="s">
        <v>422</v>
      </c>
      <c r="I212">
        <v>111836.171875</v>
      </c>
      <c r="J212" s="1">
        <v>45761</v>
      </c>
      <c r="K212">
        <v>18.600000000000001</v>
      </c>
      <c r="L212" t="s">
        <v>423</v>
      </c>
      <c r="M212" t="s">
        <v>423</v>
      </c>
      <c r="N212" t="s">
        <v>5</v>
      </c>
      <c r="O212">
        <v>202504</v>
      </c>
      <c r="P212">
        <v>120006</v>
      </c>
      <c r="Q212" t="s">
        <v>422</v>
      </c>
      <c r="R212" t="s">
        <v>424</v>
      </c>
      <c r="S212" t="s">
        <v>88</v>
      </c>
      <c r="T212" t="s">
        <v>89</v>
      </c>
      <c r="U212" t="s">
        <v>41</v>
      </c>
      <c r="V212">
        <v>2</v>
      </c>
      <c r="W212" t="s">
        <v>10</v>
      </c>
      <c r="X212" t="s">
        <v>12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12</v>
      </c>
      <c r="AG212" t="s">
        <v>12</v>
      </c>
      <c r="AH212" t="s">
        <v>12</v>
      </c>
      <c r="AI212" t="s">
        <v>12</v>
      </c>
      <c r="AJ212" t="s">
        <v>12</v>
      </c>
      <c r="AK212">
        <v>400000</v>
      </c>
      <c r="AL212">
        <v>0.2</v>
      </c>
      <c r="AM212">
        <v>0.18</v>
      </c>
      <c r="AN212" t="s">
        <v>12</v>
      </c>
      <c r="AO212" t="s">
        <v>12</v>
      </c>
    </row>
    <row r="213" spans="1:41" x14ac:dyDescent="0.35">
      <c r="A213">
        <v>12227795</v>
      </c>
      <c r="B213">
        <v>202510</v>
      </c>
      <c r="C213">
        <v>10431098976</v>
      </c>
      <c r="D213" t="s">
        <v>425</v>
      </c>
      <c r="E213">
        <v>43109897</v>
      </c>
      <c r="F213">
        <v>10261274</v>
      </c>
      <c r="G213" t="s">
        <v>45</v>
      </c>
      <c r="H213" t="s">
        <v>257</v>
      </c>
      <c r="I213">
        <v>1345.28283691406</v>
      </c>
      <c r="J213" s="1">
        <v>45565</v>
      </c>
      <c r="K213">
        <v>15.5</v>
      </c>
      <c r="L213" t="s">
        <v>37</v>
      </c>
      <c r="M213" t="s">
        <v>37</v>
      </c>
      <c r="N213" t="s">
        <v>47</v>
      </c>
      <c r="O213">
        <v>202409</v>
      </c>
      <c r="P213">
        <v>34801.699999999997</v>
      </c>
      <c r="Q213" t="s">
        <v>257</v>
      </c>
      <c r="R213" t="s">
        <v>258</v>
      </c>
      <c r="S213" t="s">
        <v>49</v>
      </c>
      <c r="T213" t="s">
        <v>50</v>
      </c>
      <c r="U213" t="s">
        <v>20</v>
      </c>
      <c r="V213">
        <v>1</v>
      </c>
      <c r="W213" t="s">
        <v>10</v>
      </c>
      <c r="X213" t="s">
        <v>12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12</v>
      </c>
      <c r="AG213" t="s">
        <v>12</v>
      </c>
      <c r="AH213" t="s">
        <v>12</v>
      </c>
      <c r="AI213" t="s">
        <v>12</v>
      </c>
      <c r="AJ213" t="s">
        <v>12</v>
      </c>
      <c r="AK213">
        <v>1</v>
      </c>
      <c r="AL213">
        <v>1</v>
      </c>
      <c r="AM213" t="s">
        <v>12</v>
      </c>
      <c r="AN213" t="s">
        <v>12</v>
      </c>
      <c r="AO213" t="s">
        <v>12</v>
      </c>
    </row>
    <row r="214" spans="1:41" x14ac:dyDescent="0.35">
      <c r="A214">
        <v>14704329</v>
      </c>
      <c r="B214">
        <v>202510</v>
      </c>
      <c r="C214">
        <v>20478061863</v>
      </c>
      <c r="D214" t="s">
        <v>426</v>
      </c>
      <c r="E214" t="s">
        <v>1</v>
      </c>
      <c r="F214">
        <v>10264844</v>
      </c>
      <c r="G214" t="s">
        <v>92</v>
      </c>
      <c r="H214" t="s">
        <v>284</v>
      </c>
      <c r="I214">
        <v>112130.4609375</v>
      </c>
      <c r="J214" s="1">
        <v>45685</v>
      </c>
      <c r="K214">
        <v>16</v>
      </c>
      <c r="L214" t="s">
        <v>4</v>
      </c>
      <c r="M214" t="s">
        <v>4</v>
      </c>
      <c r="N214" t="s">
        <v>41</v>
      </c>
      <c r="O214">
        <v>202501</v>
      </c>
      <c r="P214">
        <v>160008</v>
      </c>
      <c r="Q214" t="s">
        <v>284</v>
      </c>
      <c r="R214" t="s">
        <v>285</v>
      </c>
      <c r="S214" t="s">
        <v>31</v>
      </c>
      <c r="T214" t="s">
        <v>32</v>
      </c>
      <c r="U214" t="s">
        <v>41</v>
      </c>
      <c r="V214">
        <v>1</v>
      </c>
      <c r="W214" t="s">
        <v>10</v>
      </c>
      <c r="X214" t="s">
        <v>12</v>
      </c>
      <c r="Y214">
        <v>1</v>
      </c>
      <c r="Z214">
        <v>1</v>
      </c>
      <c r="AA214">
        <v>0</v>
      </c>
      <c r="AB214">
        <v>1</v>
      </c>
      <c r="AC214">
        <v>1</v>
      </c>
      <c r="AD214">
        <v>1</v>
      </c>
      <c r="AE214">
        <v>0</v>
      </c>
      <c r="AF214" t="s">
        <v>12</v>
      </c>
      <c r="AG214" t="s">
        <v>12</v>
      </c>
      <c r="AH214" t="s">
        <v>12</v>
      </c>
      <c r="AI214" t="s">
        <v>12</v>
      </c>
      <c r="AJ214" t="s">
        <v>12</v>
      </c>
      <c r="AK214">
        <v>219900</v>
      </c>
      <c r="AL214">
        <v>0.21</v>
      </c>
      <c r="AM214">
        <v>0.19</v>
      </c>
      <c r="AN214" t="s">
        <v>12</v>
      </c>
      <c r="AO214" t="s">
        <v>12</v>
      </c>
    </row>
    <row r="215" spans="1:41" x14ac:dyDescent="0.35">
      <c r="A215">
        <v>21281799</v>
      </c>
      <c r="B215">
        <v>202505</v>
      </c>
      <c r="C215">
        <v>20601010446</v>
      </c>
      <c r="D215" t="s">
        <v>427</v>
      </c>
      <c r="E215" t="s">
        <v>1</v>
      </c>
      <c r="F215">
        <v>10262540</v>
      </c>
      <c r="G215" t="s">
        <v>45</v>
      </c>
      <c r="H215" t="s">
        <v>428</v>
      </c>
      <c r="I215">
        <v>70003.484375</v>
      </c>
      <c r="J215" s="1">
        <v>45608</v>
      </c>
      <c r="K215">
        <v>15.7</v>
      </c>
      <c r="L215" t="s">
        <v>37</v>
      </c>
      <c r="M215" t="s">
        <v>37</v>
      </c>
      <c r="N215" t="s">
        <v>47</v>
      </c>
      <c r="O215">
        <v>202411</v>
      </c>
      <c r="P215">
        <v>70003.5</v>
      </c>
      <c r="Q215" t="s">
        <v>12</v>
      </c>
      <c r="R215" t="s">
        <v>12</v>
      </c>
      <c r="S215" t="s">
        <v>12</v>
      </c>
      <c r="T215" t="s">
        <v>12</v>
      </c>
      <c r="U215" t="s">
        <v>12</v>
      </c>
      <c r="V215" t="s">
        <v>12</v>
      </c>
      <c r="W215" t="s">
        <v>12</v>
      </c>
      <c r="X215" t="s">
        <v>12</v>
      </c>
      <c r="Y215" t="s">
        <v>12</v>
      </c>
      <c r="Z215" t="s">
        <v>12</v>
      </c>
      <c r="AA215" t="s">
        <v>12</v>
      </c>
      <c r="AB215" t="s">
        <v>12</v>
      </c>
      <c r="AC215" t="s">
        <v>12</v>
      </c>
      <c r="AD215" t="s">
        <v>12</v>
      </c>
      <c r="AE215" t="s">
        <v>12</v>
      </c>
      <c r="AF215" t="s">
        <v>12</v>
      </c>
      <c r="AG215" t="s">
        <v>12</v>
      </c>
      <c r="AH215" t="s">
        <v>12</v>
      </c>
      <c r="AI215" t="s">
        <v>12</v>
      </c>
      <c r="AJ215" t="s">
        <v>12</v>
      </c>
      <c r="AK215" t="s">
        <v>12</v>
      </c>
      <c r="AL215" t="s">
        <v>12</v>
      </c>
      <c r="AM215" t="s">
        <v>12</v>
      </c>
      <c r="AN215" t="s">
        <v>12</v>
      </c>
      <c r="AO215" t="s">
        <v>12</v>
      </c>
    </row>
    <row r="216" spans="1:41" x14ac:dyDescent="0.35">
      <c r="A216">
        <v>18259511</v>
      </c>
      <c r="B216">
        <v>202602</v>
      </c>
      <c r="C216">
        <v>20607797782</v>
      </c>
      <c r="D216" t="s">
        <v>429</v>
      </c>
      <c r="E216" t="s">
        <v>1</v>
      </c>
      <c r="F216">
        <v>10257854</v>
      </c>
      <c r="G216" t="s">
        <v>45</v>
      </c>
      <c r="H216" t="s">
        <v>240</v>
      </c>
      <c r="I216">
        <v>46990.12890625</v>
      </c>
      <c r="J216" s="1">
        <v>45497</v>
      </c>
      <c r="K216">
        <v>15.5</v>
      </c>
      <c r="L216" t="s">
        <v>37</v>
      </c>
      <c r="M216" t="s">
        <v>37</v>
      </c>
      <c r="N216" t="s">
        <v>47</v>
      </c>
      <c r="O216">
        <v>202407</v>
      </c>
      <c r="P216">
        <v>90004.5</v>
      </c>
      <c r="Q216" t="s">
        <v>240</v>
      </c>
      <c r="R216" t="s">
        <v>241</v>
      </c>
      <c r="S216" t="s">
        <v>39</v>
      </c>
      <c r="T216" t="s">
        <v>40</v>
      </c>
      <c r="U216" t="s">
        <v>20</v>
      </c>
      <c r="V216">
        <v>1</v>
      </c>
      <c r="W216" t="s">
        <v>10</v>
      </c>
      <c r="X216" t="s">
        <v>51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12</v>
      </c>
      <c r="AG216" t="s">
        <v>12</v>
      </c>
      <c r="AH216" t="s">
        <v>12</v>
      </c>
      <c r="AI216" t="s">
        <v>12</v>
      </c>
      <c r="AJ216" t="s">
        <v>12</v>
      </c>
      <c r="AK216">
        <v>1</v>
      </c>
      <c r="AL216">
        <v>1</v>
      </c>
      <c r="AM216" t="s">
        <v>12</v>
      </c>
      <c r="AN216" t="s">
        <v>12</v>
      </c>
      <c r="AO216" t="s">
        <v>12</v>
      </c>
    </row>
    <row r="217" spans="1:41" x14ac:dyDescent="0.35">
      <c r="A217">
        <v>21256009</v>
      </c>
      <c r="B217">
        <v>202510</v>
      </c>
      <c r="C217">
        <v>20605420398</v>
      </c>
      <c r="D217" t="s">
        <v>430</v>
      </c>
      <c r="E217" t="s">
        <v>1</v>
      </c>
      <c r="F217">
        <v>10261875</v>
      </c>
      <c r="G217" t="s">
        <v>65</v>
      </c>
      <c r="H217" t="s">
        <v>129</v>
      </c>
      <c r="I217">
        <v>70015.421875</v>
      </c>
      <c r="J217" s="1">
        <v>45587</v>
      </c>
      <c r="K217">
        <v>16.200001</v>
      </c>
      <c r="L217" t="s">
        <v>37</v>
      </c>
      <c r="M217" t="s">
        <v>37</v>
      </c>
      <c r="N217" t="s">
        <v>47</v>
      </c>
      <c r="O217">
        <v>202410</v>
      </c>
      <c r="P217">
        <v>90004.5</v>
      </c>
      <c r="Q217" t="s">
        <v>129</v>
      </c>
      <c r="R217" t="s">
        <v>130</v>
      </c>
      <c r="S217" t="s">
        <v>49</v>
      </c>
      <c r="T217" t="s">
        <v>50</v>
      </c>
      <c r="U217" t="s">
        <v>41</v>
      </c>
      <c r="V217">
        <v>1</v>
      </c>
      <c r="W217" t="s">
        <v>10</v>
      </c>
      <c r="X217" t="s">
        <v>12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12</v>
      </c>
      <c r="AG217" t="s">
        <v>12</v>
      </c>
      <c r="AH217" t="s">
        <v>12</v>
      </c>
      <c r="AI217" t="s">
        <v>12</v>
      </c>
      <c r="AJ217" t="s">
        <v>12</v>
      </c>
      <c r="AK217">
        <v>250000</v>
      </c>
      <c r="AL217">
        <v>0.21</v>
      </c>
      <c r="AM217">
        <v>0.19</v>
      </c>
      <c r="AN217" t="s">
        <v>12</v>
      </c>
      <c r="AO217" t="s">
        <v>12</v>
      </c>
    </row>
    <row r="218" spans="1:41" x14ac:dyDescent="0.35">
      <c r="A218">
        <v>19588917</v>
      </c>
      <c r="B218">
        <v>202507</v>
      </c>
      <c r="C218">
        <v>20603305486</v>
      </c>
      <c r="D218" t="s">
        <v>431</v>
      </c>
      <c r="E218" t="s">
        <v>1</v>
      </c>
      <c r="F218">
        <v>10255167</v>
      </c>
      <c r="G218" t="s">
        <v>65</v>
      </c>
      <c r="H218" t="s">
        <v>124</v>
      </c>
      <c r="I218">
        <v>66305.6875</v>
      </c>
      <c r="J218" s="1">
        <v>45457</v>
      </c>
      <c r="K218">
        <v>15</v>
      </c>
      <c r="L218" t="s">
        <v>4</v>
      </c>
      <c r="M218" t="s">
        <v>4</v>
      </c>
      <c r="N218" t="s">
        <v>47</v>
      </c>
      <c r="O218">
        <v>202406</v>
      </c>
      <c r="P218">
        <v>90004.5</v>
      </c>
      <c r="Q218" t="s">
        <v>124</v>
      </c>
      <c r="R218" t="s">
        <v>125</v>
      </c>
      <c r="S218" t="s">
        <v>88</v>
      </c>
      <c r="T218" t="s">
        <v>89</v>
      </c>
      <c r="U218" t="s">
        <v>41</v>
      </c>
      <c r="V218">
        <v>2</v>
      </c>
      <c r="W218" t="s">
        <v>10</v>
      </c>
      <c r="X218" t="s">
        <v>12</v>
      </c>
      <c r="Y218">
        <v>1</v>
      </c>
      <c r="Z218">
        <v>1</v>
      </c>
      <c r="AA218">
        <v>0</v>
      </c>
      <c r="AB218">
        <v>0</v>
      </c>
      <c r="AC218">
        <v>1</v>
      </c>
      <c r="AD218">
        <v>1</v>
      </c>
      <c r="AE218">
        <v>0</v>
      </c>
      <c r="AF218" t="s">
        <v>12</v>
      </c>
      <c r="AG218" t="s">
        <v>12</v>
      </c>
      <c r="AH218" t="s">
        <v>12</v>
      </c>
      <c r="AI218" t="s">
        <v>12</v>
      </c>
      <c r="AJ218" t="s">
        <v>12</v>
      </c>
      <c r="AK218">
        <v>250000</v>
      </c>
      <c r="AL218">
        <v>0.26</v>
      </c>
      <c r="AM218">
        <v>0.24</v>
      </c>
      <c r="AN218" t="s">
        <v>12</v>
      </c>
      <c r="AO218" t="s">
        <v>12</v>
      </c>
    </row>
    <row r="219" spans="1:41" x14ac:dyDescent="0.35">
      <c r="A219">
        <v>21050199</v>
      </c>
      <c r="B219">
        <v>202506</v>
      </c>
      <c r="C219">
        <v>20477767169</v>
      </c>
      <c r="D219" t="s">
        <v>432</v>
      </c>
      <c r="E219" t="s">
        <v>1</v>
      </c>
      <c r="F219">
        <v>10258233</v>
      </c>
      <c r="G219" t="s">
        <v>65</v>
      </c>
      <c r="H219" t="s">
        <v>145</v>
      </c>
      <c r="I219">
        <v>73323.015625</v>
      </c>
      <c r="J219" s="1">
        <v>45503</v>
      </c>
      <c r="K219">
        <v>15.5</v>
      </c>
      <c r="L219" t="s">
        <v>37</v>
      </c>
      <c r="M219" t="s">
        <v>37</v>
      </c>
      <c r="N219" t="s">
        <v>47</v>
      </c>
      <c r="O219">
        <v>202407</v>
      </c>
      <c r="P219">
        <v>90004.5</v>
      </c>
      <c r="Q219" t="s">
        <v>145</v>
      </c>
      <c r="R219" t="s">
        <v>146</v>
      </c>
      <c r="S219" t="s">
        <v>127</v>
      </c>
      <c r="T219" t="s">
        <v>147</v>
      </c>
      <c r="U219" t="s">
        <v>20</v>
      </c>
      <c r="V219">
        <v>1</v>
      </c>
      <c r="W219" t="s">
        <v>10</v>
      </c>
      <c r="X219" t="s">
        <v>12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12</v>
      </c>
      <c r="AG219" t="s">
        <v>12</v>
      </c>
      <c r="AH219" t="s">
        <v>12</v>
      </c>
      <c r="AI219" t="s">
        <v>12</v>
      </c>
      <c r="AJ219" t="s">
        <v>12</v>
      </c>
      <c r="AK219">
        <v>1</v>
      </c>
      <c r="AL219">
        <v>0.24929999999999999</v>
      </c>
      <c r="AM219" t="s">
        <v>12</v>
      </c>
      <c r="AN219" t="s">
        <v>12</v>
      </c>
      <c r="AO219" t="s">
        <v>12</v>
      </c>
    </row>
    <row r="220" spans="1:41" x14ac:dyDescent="0.35">
      <c r="A220">
        <v>13726697</v>
      </c>
      <c r="B220">
        <v>202502</v>
      </c>
      <c r="C220">
        <v>20520647831</v>
      </c>
      <c r="D220" t="s">
        <v>433</v>
      </c>
      <c r="E220" t="s">
        <v>1</v>
      </c>
      <c r="F220">
        <v>10252002</v>
      </c>
      <c r="G220" t="s">
        <v>53</v>
      </c>
      <c r="H220" t="s">
        <v>217</v>
      </c>
      <c r="I220">
        <v>204671.234375</v>
      </c>
      <c r="J220" s="1">
        <v>45411</v>
      </c>
      <c r="K220">
        <v>14.9</v>
      </c>
      <c r="L220" t="s">
        <v>4</v>
      </c>
      <c r="M220" t="s">
        <v>4</v>
      </c>
      <c r="N220" t="s">
        <v>47</v>
      </c>
      <c r="O220">
        <v>202404</v>
      </c>
      <c r="P220">
        <v>240012</v>
      </c>
      <c r="Q220" t="s">
        <v>217</v>
      </c>
      <c r="R220" t="s">
        <v>218</v>
      </c>
      <c r="S220" t="s">
        <v>18</v>
      </c>
      <c r="T220" t="s">
        <v>122</v>
      </c>
      <c r="U220" t="s">
        <v>20</v>
      </c>
      <c r="V220">
        <v>1</v>
      </c>
      <c r="W220" t="s">
        <v>10</v>
      </c>
      <c r="X220" t="s">
        <v>12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12</v>
      </c>
      <c r="AG220" t="s">
        <v>12</v>
      </c>
      <c r="AH220" t="s">
        <v>12</v>
      </c>
      <c r="AI220" t="s">
        <v>12</v>
      </c>
      <c r="AJ220" t="s">
        <v>12</v>
      </c>
      <c r="AK220">
        <v>946553401</v>
      </c>
      <c r="AL220">
        <v>0</v>
      </c>
      <c r="AM220">
        <v>0</v>
      </c>
      <c r="AN220" t="s">
        <v>12</v>
      </c>
      <c r="AO220" t="s">
        <v>12</v>
      </c>
    </row>
    <row r="221" spans="1:41" x14ac:dyDescent="0.35">
      <c r="A221">
        <v>20746811</v>
      </c>
      <c r="B221">
        <v>202601</v>
      </c>
      <c r="C221">
        <v>20608692623</v>
      </c>
      <c r="D221" t="s">
        <v>434</v>
      </c>
      <c r="E221" t="s">
        <v>1</v>
      </c>
      <c r="F221">
        <v>10270532</v>
      </c>
      <c r="G221" t="s">
        <v>2</v>
      </c>
      <c r="H221" t="s">
        <v>417</v>
      </c>
      <c r="I221">
        <v>139325.015625</v>
      </c>
      <c r="J221" s="1">
        <v>46105</v>
      </c>
      <c r="K221">
        <v>14.3</v>
      </c>
      <c r="L221" t="s">
        <v>4</v>
      </c>
      <c r="M221" t="s">
        <v>4</v>
      </c>
      <c r="N221" t="s">
        <v>5</v>
      </c>
      <c r="O221">
        <v>202603</v>
      </c>
      <c r="P221">
        <v>232611.6</v>
      </c>
      <c r="Q221" t="s">
        <v>417</v>
      </c>
      <c r="R221" t="s">
        <v>418</v>
      </c>
      <c r="S221" t="s">
        <v>31</v>
      </c>
      <c r="T221" t="s">
        <v>32</v>
      </c>
      <c r="U221" t="s">
        <v>41</v>
      </c>
      <c r="V221">
        <v>1</v>
      </c>
      <c r="W221" t="s">
        <v>21</v>
      </c>
      <c r="X221" t="s">
        <v>22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80304</v>
      </c>
      <c r="AF221">
        <v>19</v>
      </c>
      <c r="AG221" s="1">
        <v>46030</v>
      </c>
      <c r="AH221" t="s">
        <v>41</v>
      </c>
      <c r="AI221" t="s">
        <v>4</v>
      </c>
      <c r="AJ221" t="s">
        <v>33</v>
      </c>
      <c r="AK221">
        <v>80300</v>
      </c>
      <c r="AL221">
        <v>0.21</v>
      </c>
      <c r="AM221">
        <v>0.19</v>
      </c>
      <c r="AN221" t="s">
        <v>12</v>
      </c>
      <c r="AO221" t="s">
        <v>12</v>
      </c>
    </row>
    <row r="222" spans="1:41" x14ac:dyDescent="0.35">
      <c r="A222">
        <v>11907214</v>
      </c>
      <c r="B222">
        <v>202601</v>
      </c>
      <c r="C222">
        <v>10451325511</v>
      </c>
      <c r="D222" t="s">
        <v>435</v>
      </c>
      <c r="E222">
        <v>45132551</v>
      </c>
      <c r="F222">
        <v>10271125</v>
      </c>
      <c r="G222" t="s">
        <v>100</v>
      </c>
      <c r="H222" t="s">
        <v>206</v>
      </c>
      <c r="I222">
        <v>117255.9765625</v>
      </c>
      <c r="J222" s="1">
        <v>45908</v>
      </c>
      <c r="K222">
        <v>14.4</v>
      </c>
      <c r="L222" t="s">
        <v>37</v>
      </c>
      <c r="M222" t="s">
        <v>37</v>
      </c>
      <c r="N222" t="s">
        <v>102</v>
      </c>
      <c r="O222">
        <v>202509</v>
      </c>
      <c r="P222">
        <v>129006.45</v>
      </c>
      <c r="Q222" t="s">
        <v>36</v>
      </c>
      <c r="R222" t="s">
        <v>38</v>
      </c>
      <c r="S222" t="s">
        <v>39</v>
      </c>
      <c r="T222" t="s">
        <v>40</v>
      </c>
      <c r="U222" t="s">
        <v>168</v>
      </c>
      <c r="V222">
        <v>1</v>
      </c>
      <c r="W222" t="s">
        <v>21</v>
      </c>
      <c r="X222" t="s">
        <v>59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12</v>
      </c>
      <c r="AG222" t="s">
        <v>12</v>
      </c>
      <c r="AH222" t="s">
        <v>12</v>
      </c>
      <c r="AI222" t="s">
        <v>12</v>
      </c>
      <c r="AJ222" t="s">
        <v>12</v>
      </c>
      <c r="AK222">
        <v>0</v>
      </c>
      <c r="AL222">
        <v>0</v>
      </c>
      <c r="AM222">
        <v>0</v>
      </c>
      <c r="AN222" t="s">
        <v>12</v>
      </c>
      <c r="AO222" t="s">
        <v>12</v>
      </c>
    </row>
    <row r="223" spans="1:41" x14ac:dyDescent="0.35">
      <c r="A223">
        <v>18931378</v>
      </c>
      <c r="B223">
        <v>202601</v>
      </c>
      <c r="C223">
        <v>20606320516</v>
      </c>
      <c r="D223" t="s">
        <v>436</v>
      </c>
      <c r="E223" t="s">
        <v>1</v>
      </c>
      <c r="F223">
        <v>10268036</v>
      </c>
      <c r="G223" t="s">
        <v>92</v>
      </c>
      <c r="H223" t="s">
        <v>129</v>
      </c>
      <c r="I223">
        <v>175404.265625</v>
      </c>
      <c r="J223" s="1">
        <v>45799</v>
      </c>
      <c r="K223">
        <v>17</v>
      </c>
      <c r="L223" t="s">
        <v>4</v>
      </c>
      <c r="M223" t="s">
        <v>4</v>
      </c>
      <c r="N223" t="s">
        <v>41</v>
      </c>
      <c r="O223">
        <v>202505</v>
      </c>
      <c r="P223">
        <v>250012.5</v>
      </c>
      <c r="Q223" t="s">
        <v>129</v>
      </c>
      <c r="R223" t="s">
        <v>130</v>
      </c>
      <c r="S223" t="s">
        <v>49</v>
      </c>
      <c r="T223" t="s">
        <v>50</v>
      </c>
      <c r="U223" t="s">
        <v>20</v>
      </c>
      <c r="V223">
        <v>1</v>
      </c>
      <c r="W223" t="s">
        <v>21</v>
      </c>
      <c r="X223" t="s">
        <v>22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12</v>
      </c>
      <c r="AG223" t="s">
        <v>12</v>
      </c>
      <c r="AH223" t="s">
        <v>12</v>
      </c>
      <c r="AI223" t="s">
        <v>12</v>
      </c>
      <c r="AJ223" t="s">
        <v>12</v>
      </c>
      <c r="AK223">
        <v>1</v>
      </c>
      <c r="AL223">
        <v>1</v>
      </c>
      <c r="AM223">
        <v>0.24</v>
      </c>
      <c r="AN223" t="s">
        <v>12</v>
      </c>
      <c r="AO223" t="s">
        <v>12</v>
      </c>
    </row>
    <row r="224" spans="1:41" x14ac:dyDescent="0.35">
      <c r="A224">
        <v>10133918</v>
      </c>
      <c r="B224">
        <v>202504</v>
      </c>
      <c r="C224">
        <v>10432248521</v>
      </c>
      <c r="D224" t="s">
        <v>437</v>
      </c>
      <c r="E224">
        <v>43224852</v>
      </c>
      <c r="F224">
        <v>10249913</v>
      </c>
      <c r="G224" t="s">
        <v>45</v>
      </c>
      <c r="H224" t="s">
        <v>49</v>
      </c>
      <c r="I224">
        <v>66388.984375</v>
      </c>
      <c r="J224" s="1">
        <v>45376</v>
      </c>
      <c r="K224">
        <v>15.5</v>
      </c>
      <c r="L224" t="s">
        <v>37</v>
      </c>
      <c r="M224" t="s">
        <v>37</v>
      </c>
      <c r="N224" t="s">
        <v>47</v>
      </c>
      <c r="O224">
        <v>202403</v>
      </c>
      <c r="P224">
        <v>90004.5</v>
      </c>
      <c r="Q224" t="s">
        <v>12</v>
      </c>
      <c r="R224" t="s">
        <v>12</v>
      </c>
      <c r="S224" t="s">
        <v>12</v>
      </c>
      <c r="T224" t="s">
        <v>12</v>
      </c>
      <c r="U224" t="s">
        <v>12</v>
      </c>
      <c r="V224" t="s">
        <v>12</v>
      </c>
      <c r="W224" t="s">
        <v>12</v>
      </c>
      <c r="X224" t="s">
        <v>12</v>
      </c>
      <c r="Y224" t="s">
        <v>12</v>
      </c>
      <c r="Z224" t="s">
        <v>12</v>
      </c>
      <c r="AA224" t="s">
        <v>12</v>
      </c>
      <c r="AB224" t="s">
        <v>12</v>
      </c>
      <c r="AC224" t="s">
        <v>12</v>
      </c>
      <c r="AD224" t="s">
        <v>12</v>
      </c>
      <c r="AE224" t="s">
        <v>12</v>
      </c>
      <c r="AF224" t="s">
        <v>12</v>
      </c>
      <c r="AG224" t="s">
        <v>12</v>
      </c>
      <c r="AH224" t="s">
        <v>12</v>
      </c>
      <c r="AI224" t="s">
        <v>12</v>
      </c>
      <c r="AJ224" t="s">
        <v>12</v>
      </c>
      <c r="AK224" t="s">
        <v>12</v>
      </c>
      <c r="AL224" t="s">
        <v>12</v>
      </c>
      <c r="AM224" t="s">
        <v>12</v>
      </c>
      <c r="AN224" t="s">
        <v>12</v>
      </c>
      <c r="AO224" t="s">
        <v>12</v>
      </c>
    </row>
    <row r="225" spans="1:41" x14ac:dyDescent="0.35">
      <c r="A225">
        <v>11998909</v>
      </c>
      <c r="B225">
        <v>202508</v>
      </c>
      <c r="C225">
        <v>20524223377</v>
      </c>
      <c r="D225" t="s">
        <v>438</v>
      </c>
      <c r="E225" t="s">
        <v>1</v>
      </c>
      <c r="F225">
        <v>10204062</v>
      </c>
      <c r="G225" t="s">
        <v>199</v>
      </c>
      <c r="H225" t="s">
        <v>244</v>
      </c>
      <c r="I225">
        <v>18278.63671875</v>
      </c>
      <c r="J225" t="s">
        <v>12</v>
      </c>
      <c r="K225" t="s">
        <v>12</v>
      </c>
      <c r="L225" t="s">
        <v>12</v>
      </c>
      <c r="M225" t="s">
        <v>12</v>
      </c>
      <c r="N225" t="s">
        <v>12</v>
      </c>
      <c r="O225" t="s">
        <v>12</v>
      </c>
      <c r="P225" t="s">
        <v>12</v>
      </c>
      <c r="Q225" t="s">
        <v>244</v>
      </c>
      <c r="R225" t="s">
        <v>297</v>
      </c>
      <c r="S225" t="s">
        <v>7</v>
      </c>
      <c r="T225" t="s">
        <v>8</v>
      </c>
      <c r="U225" t="s">
        <v>41</v>
      </c>
      <c r="V225">
        <v>1</v>
      </c>
      <c r="W225" t="s">
        <v>10</v>
      </c>
      <c r="X225" t="s">
        <v>12</v>
      </c>
      <c r="Y225">
        <v>1</v>
      </c>
      <c r="Z225">
        <v>1</v>
      </c>
      <c r="AA225">
        <v>0</v>
      </c>
      <c r="AB225">
        <v>0</v>
      </c>
      <c r="AC225">
        <v>1</v>
      </c>
      <c r="AD225">
        <v>1</v>
      </c>
      <c r="AE225">
        <v>0</v>
      </c>
      <c r="AF225" t="s">
        <v>12</v>
      </c>
      <c r="AG225" t="s">
        <v>12</v>
      </c>
      <c r="AH225" t="s">
        <v>12</v>
      </c>
      <c r="AI225" t="s">
        <v>12</v>
      </c>
      <c r="AJ225" t="s">
        <v>12</v>
      </c>
      <c r="AK225">
        <v>400000</v>
      </c>
      <c r="AL225">
        <v>0.21</v>
      </c>
      <c r="AM225">
        <v>0.19</v>
      </c>
      <c r="AN225" t="s">
        <v>12</v>
      </c>
      <c r="AO225" t="s">
        <v>12</v>
      </c>
    </row>
    <row r="226" spans="1:41" x14ac:dyDescent="0.35">
      <c r="A226">
        <v>14842243</v>
      </c>
      <c r="B226">
        <v>202503</v>
      </c>
      <c r="C226">
        <v>20601506697</v>
      </c>
      <c r="D226" t="s">
        <v>439</v>
      </c>
      <c r="E226" t="s">
        <v>1</v>
      </c>
      <c r="F226">
        <v>10206732</v>
      </c>
      <c r="G226" t="s">
        <v>199</v>
      </c>
      <c r="H226" t="s">
        <v>230</v>
      </c>
      <c r="I226">
        <v>16713.314453125</v>
      </c>
      <c r="J226" t="s">
        <v>12</v>
      </c>
      <c r="K226" t="s">
        <v>12</v>
      </c>
      <c r="L226" t="s">
        <v>12</v>
      </c>
      <c r="M226" t="s">
        <v>12</v>
      </c>
      <c r="N226" t="s">
        <v>12</v>
      </c>
      <c r="O226" t="s">
        <v>12</v>
      </c>
      <c r="P226" t="s">
        <v>12</v>
      </c>
      <c r="Q226" t="s">
        <v>12</v>
      </c>
      <c r="R226" t="s">
        <v>12</v>
      </c>
      <c r="S226" t="s">
        <v>12</v>
      </c>
      <c r="T226" t="s">
        <v>12</v>
      </c>
      <c r="U226" t="s">
        <v>12</v>
      </c>
      <c r="V226" t="s">
        <v>12</v>
      </c>
      <c r="W226" t="s">
        <v>12</v>
      </c>
      <c r="X226" t="s">
        <v>12</v>
      </c>
      <c r="Y226" t="s">
        <v>12</v>
      </c>
      <c r="Z226" t="s">
        <v>12</v>
      </c>
      <c r="AA226" t="s">
        <v>12</v>
      </c>
      <c r="AB226" t="s">
        <v>12</v>
      </c>
      <c r="AC226" t="s">
        <v>12</v>
      </c>
      <c r="AD226" t="s">
        <v>12</v>
      </c>
      <c r="AE226" t="s">
        <v>12</v>
      </c>
      <c r="AF226" t="s">
        <v>12</v>
      </c>
      <c r="AG226" t="s">
        <v>12</v>
      </c>
      <c r="AH226" t="s">
        <v>12</v>
      </c>
      <c r="AI226" t="s">
        <v>12</v>
      </c>
      <c r="AJ226" t="s">
        <v>12</v>
      </c>
      <c r="AK226" t="s">
        <v>12</v>
      </c>
      <c r="AL226" t="s">
        <v>12</v>
      </c>
      <c r="AM226" t="s">
        <v>12</v>
      </c>
      <c r="AN226" t="s">
        <v>12</v>
      </c>
      <c r="AO226" t="s">
        <v>12</v>
      </c>
    </row>
    <row r="227" spans="1:41" x14ac:dyDescent="0.35">
      <c r="A227">
        <v>13749430</v>
      </c>
      <c r="B227">
        <v>202507</v>
      </c>
      <c r="C227">
        <v>20521190494</v>
      </c>
      <c r="D227" t="s">
        <v>440</v>
      </c>
      <c r="E227" t="s">
        <v>1</v>
      </c>
      <c r="F227">
        <v>10175630</v>
      </c>
      <c r="G227" t="s">
        <v>2</v>
      </c>
      <c r="H227" t="s">
        <v>105</v>
      </c>
      <c r="I227">
        <v>86008.5625</v>
      </c>
      <c r="J227" s="1">
        <v>45953</v>
      </c>
      <c r="K227">
        <v>16</v>
      </c>
      <c r="L227" t="s">
        <v>86</v>
      </c>
      <c r="M227" t="s">
        <v>86</v>
      </c>
      <c r="N227" t="s">
        <v>5</v>
      </c>
      <c r="O227">
        <v>202510</v>
      </c>
      <c r="P227">
        <v>146007.29999999999</v>
      </c>
      <c r="Q227" t="s">
        <v>105</v>
      </c>
      <c r="R227" t="s">
        <v>106</v>
      </c>
      <c r="S227" t="s">
        <v>88</v>
      </c>
      <c r="T227" t="s">
        <v>89</v>
      </c>
      <c r="U227" t="s">
        <v>5</v>
      </c>
      <c r="V227">
        <v>2</v>
      </c>
      <c r="W227" t="s">
        <v>10</v>
      </c>
      <c r="X227" t="s">
        <v>12</v>
      </c>
      <c r="Y227">
        <v>1</v>
      </c>
      <c r="Z227">
        <v>1</v>
      </c>
      <c r="AA227">
        <v>0</v>
      </c>
      <c r="AB227">
        <v>0</v>
      </c>
      <c r="AC227">
        <v>1</v>
      </c>
      <c r="AD227">
        <v>1</v>
      </c>
      <c r="AE227">
        <v>0</v>
      </c>
      <c r="AF227" t="s">
        <v>12</v>
      </c>
      <c r="AG227" t="s">
        <v>12</v>
      </c>
      <c r="AH227" t="s">
        <v>12</v>
      </c>
      <c r="AI227" t="s">
        <v>12</v>
      </c>
      <c r="AJ227" t="s">
        <v>12</v>
      </c>
      <c r="AK227">
        <v>52000</v>
      </c>
      <c r="AL227">
        <v>0.21</v>
      </c>
      <c r="AM227">
        <v>0.19</v>
      </c>
      <c r="AN227" t="s">
        <v>12</v>
      </c>
      <c r="AO227" t="s">
        <v>12</v>
      </c>
    </row>
    <row r="228" spans="1:41" x14ac:dyDescent="0.35">
      <c r="A228">
        <v>16720074</v>
      </c>
      <c r="B228">
        <v>202512</v>
      </c>
      <c r="C228">
        <v>20601327440</v>
      </c>
      <c r="D228" t="s">
        <v>441</v>
      </c>
      <c r="E228" t="s">
        <v>1</v>
      </c>
      <c r="F228">
        <v>10248567</v>
      </c>
      <c r="G228" t="s">
        <v>45</v>
      </c>
      <c r="H228" t="s">
        <v>204</v>
      </c>
      <c r="I228">
        <v>3938.70263671875</v>
      </c>
      <c r="J228" s="1">
        <v>45350</v>
      </c>
      <c r="K228">
        <v>13.9</v>
      </c>
      <c r="L228" t="s">
        <v>4</v>
      </c>
      <c r="M228" t="s">
        <v>4</v>
      </c>
      <c r="N228" t="s">
        <v>47</v>
      </c>
      <c r="O228">
        <v>202402</v>
      </c>
      <c r="P228">
        <v>90004.5</v>
      </c>
      <c r="Q228" t="s">
        <v>204</v>
      </c>
      <c r="R228" t="s">
        <v>291</v>
      </c>
      <c r="S228" t="s">
        <v>127</v>
      </c>
      <c r="T228" t="s">
        <v>147</v>
      </c>
      <c r="U228" t="s">
        <v>20</v>
      </c>
      <c r="V228">
        <v>1</v>
      </c>
      <c r="W228" t="s">
        <v>10</v>
      </c>
      <c r="X228" t="s">
        <v>22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12</v>
      </c>
      <c r="AG228" t="s">
        <v>12</v>
      </c>
      <c r="AH228" t="s">
        <v>12</v>
      </c>
      <c r="AI228" t="s">
        <v>12</v>
      </c>
      <c r="AJ228" t="s">
        <v>12</v>
      </c>
      <c r="AK228">
        <v>1</v>
      </c>
      <c r="AL228">
        <v>1</v>
      </c>
      <c r="AM228" t="s">
        <v>12</v>
      </c>
      <c r="AN228" t="s">
        <v>12</v>
      </c>
      <c r="AO228" t="s">
        <v>12</v>
      </c>
    </row>
    <row r="229" spans="1:41" x14ac:dyDescent="0.35">
      <c r="A229">
        <v>13826176</v>
      </c>
      <c r="B229">
        <v>202504</v>
      </c>
      <c r="C229">
        <v>10453530669</v>
      </c>
      <c r="D229" t="s">
        <v>442</v>
      </c>
      <c r="E229">
        <v>45353066</v>
      </c>
      <c r="F229">
        <v>10252173</v>
      </c>
      <c r="G229" t="s">
        <v>53</v>
      </c>
      <c r="H229" t="s">
        <v>82</v>
      </c>
      <c r="I229">
        <v>69962.7421875</v>
      </c>
      <c r="J229" s="1">
        <v>45412</v>
      </c>
      <c r="K229">
        <v>16</v>
      </c>
      <c r="L229" t="s">
        <v>4</v>
      </c>
      <c r="M229" t="s">
        <v>4</v>
      </c>
      <c r="N229" t="s">
        <v>47</v>
      </c>
      <c r="O229">
        <v>202404</v>
      </c>
      <c r="P229">
        <v>90004.5</v>
      </c>
      <c r="Q229" t="s">
        <v>82</v>
      </c>
      <c r="R229" t="s">
        <v>83</v>
      </c>
      <c r="S229" t="s">
        <v>49</v>
      </c>
      <c r="T229" t="s">
        <v>50</v>
      </c>
      <c r="U229" t="s">
        <v>20</v>
      </c>
      <c r="V229">
        <v>1</v>
      </c>
      <c r="W229" t="s">
        <v>10</v>
      </c>
      <c r="X229" t="s">
        <v>12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12</v>
      </c>
      <c r="AG229" t="s">
        <v>12</v>
      </c>
      <c r="AH229" t="s">
        <v>12</v>
      </c>
      <c r="AI229" t="s">
        <v>12</v>
      </c>
      <c r="AJ229" t="s">
        <v>12</v>
      </c>
      <c r="AK229">
        <v>0</v>
      </c>
      <c r="AL229">
        <v>0</v>
      </c>
      <c r="AM229">
        <v>0</v>
      </c>
      <c r="AN229" t="s">
        <v>12</v>
      </c>
      <c r="AO229" t="s">
        <v>12</v>
      </c>
    </row>
    <row r="230" spans="1:41" x14ac:dyDescent="0.35">
      <c r="A230">
        <v>18119941</v>
      </c>
      <c r="B230">
        <v>202602</v>
      </c>
      <c r="C230">
        <v>20602303595</v>
      </c>
      <c r="D230" t="s">
        <v>443</v>
      </c>
      <c r="E230" t="s">
        <v>1</v>
      </c>
      <c r="F230">
        <v>10249716</v>
      </c>
      <c r="G230" t="s">
        <v>65</v>
      </c>
      <c r="H230" t="s">
        <v>31</v>
      </c>
      <c r="I230">
        <v>222340.875</v>
      </c>
      <c r="J230" s="1">
        <v>45371</v>
      </c>
      <c r="K230">
        <v>12.5</v>
      </c>
      <c r="L230" t="s">
        <v>4</v>
      </c>
      <c r="M230" t="s">
        <v>4</v>
      </c>
      <c r="N230" t="s">
        <v>47</v>
      </c>
      <c r="O230">
        <v>202403</v>
      </c>
      <c r="P230">
        <v>300015</v>
      </c>
      <c r="Q230" t="s">
        <v>417</v>
      </c>
      <c r="R230" t="s">
        <v>418</v>
      </c>
      <c r="S230" t="s">
        <v>31</v>
      </c>
      <c r="T230" t="s">
        <v>32</v>
      </c>
      <c r="U230" t="s">
        <v>63</v>
      </c>
      <c r="V230">
        <v>1</v>
      </c>
      <c r="W230" t="s">
        <v>10</v>
      </c>
      <c r="X230" t="s">
        <v>22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12</v>
      </c>
      <c r="AG230" t="s">
        <v>12</v>
      </c>
      <c r="AH230" t="s">
        <v>12</v>
      </c>
      <c r="AI230" t="s">
        <v>12</v>
      </c>
      <c r="AJ230" t="s">
        <v>12</v>
      </c>
      <c r="AK230">
        <v>250000</v>
      </c>
      <c r="AL230">
        <v>0.21</v>
      </c>
      <c r="AM230">
        <v>0.19</v>
      </c>
      <c r="AN230" t="s">
        <v>12</v>
      </c>
      <c r="AO230" t="s">
        <v>12</v>
      </c>
    </row>
    <row r="231" spans="1:41" x14ac:dyDescent="0.35">
      <c r="A231">
        <v>14525550</v>
      </c>
      <c r="B231">
        <v>202503</v>
      </c>
      <c r="C231">
        <v>20448390676</v>
      </c>
      <c r="D231" t="s">
        <v>444</v>
      </c>
      <c r="E231" t="s">
        <v>1</v>
      </c>
      <c r="F231">
        <v>10259619</v>
      </c>
      <c r="G231" t="s">
        <v>65</v>
      </c>
      <c r="H231" t="s">
        <v>206</v>
      </c>
      <c r="I231">
        <v>86650.9609375</v>
      </c>
      <c r="J231" s="1">
        <v>45531</v>
      </c>
      <c r="K231">
        <v>14.7</v>
      </c>
      <c r="L231" t="s">
        <v>4</v>
      </c>
      <c r="M231" t="s">
        <v>4</v>
      </c>
      <c r="N231" t="s">
        <v>47</v>
      </c>
      <c r="O231">
        <v>202408</v>
      </c>
      <c r="P231">
        <v>90004.5</v>
      </c>
      <c r="Q231" t="s">
        <v>12</v>
      </c>
      <c r="R231" t="s">
        <v>12</v>
      </c>
      <c r="S231" t="s">
        <v>12</v>
      </c>
      <c r="T231" t="s">
        <v>12</v>
      </c>
      <c r="U231" t="s">
        <v>12</v>
      </c>
      <c r="V231" t="s">
        <v>12</v>
      </c>
      <c r="W231" t="s">
        <v>12</v>
      </c>
      <c r="X231" t="s">
        <v>12</v>
      </c>
      <c r="Y231" t="s">
        <v>12</v>
      </c>
      <c r="Z231" t="s">
        <v>12</v>
      </c>
      <c r="AA231" t="s">
        <v>12</v>
      </c>
      <c r="AB231" t="s">
        <v>12</v>
      </c>
      <c r="AC231" t="s">
        <v>12</v>
      </c>
      <c r="AD231" t="s">
        <v>12</v>
      </c>
      <c r="AE231" t="s">
        <v>12</v>
      </c>
      <c r="AF231" t="s">
        <v>12</v>
      </c>
      <c r="AG231" t="s">
        <v>12</v>
      </c>
      <c r="AH231" t="s">
        <v>12</v>
      </c>
      <c r="AI231" t="s">
        <v>12</v>
      </c>
      <c r="AJ231" t="s">
        <v>12</v>
      </c>
      <c r="AK231" t="s">
        <v>12</v>
      </c>
      <c r="AL231" t="s">
        <v>12</v>
      </c>
      <c r="AM231" t="s">
        <v>12</v>
      </c>
      <c r="AN231" t="s">
        <v>12</v>
      </c>
      <c r="AO231" t="s">
        <v>12</v>
      </c>
    </row>
    <row r="232" spans="1:41" x14ac:dyDescent="0.35">
      <c r="A232">
        <v>14525550</v>
      </c>
      <c r="B232">
        <v>202503</v>
      </c>
      <c r="C232">
        <v>20448390676</v>
      </c>
      <c r="D232" t="s">
        <v>444</v>
      </c>
      <c r="E232" t="s">
        <v>1</v>
      </c>
      <c r="F232">
        <v>10246824</v>
      </c>
      <c r="G232" t="s">
        <v>28</v>
      </c>
      <c r="H232" t="s">
        <v>206</v>
      </c>
      <c r="I232">
        <v>139538.9375</v>
      </c>
      <c r="J232" s="1">
        <v>45282</v>
      </c>
      <c r="K232">
        <v>19.440000000000001</v>
      </c>
      <c r="L232" t="s">
        <v>4</v>
      </c>
      <c r="M232" t="s">
        <v>4</v>
      </c>
      <c r="N232" t="s">
        <v>26</v>
      </c>
      <c r="O232">
        <v>202312</v>
      </c>
      <c r="P232">
        <v>220011</v>
      </c>
      <c r="Q232" t="s">
        <v>12</v>
      </c>
      <c r="R232" t="s">
        <v>12</v>
      </c>
      <c r="S232" t="s">
        <v>12</v>
      </c>
      <c r="T232" t="s">
        <v>12</v>
      </c>
      <c r="U232" t="s">
        <v>12</v>
      </c>
      <c r="V232" t="s">
        <v>12</v>
      </c>
      <c r="W232" t="s">
        <v>12</v>
      </c>
      <c r="X232" t="s">
        <v>12</v>
      </c>
      <c r="Y232" t="s">
        <v>12</v>
      </c>
      <c r="Z232" t="s">
        <v>12</v>
      </c>
      <c r="AA232" t="s">
        <v>12</v>
      </c>
      <c r="AB232" t="s">
        <v>12</v>
      </c>
      <c r="AC232" t="s">
        <v>12</v>
      </c>
      <c r="AD232" t="s">
        <v>12</v>
      </c>
      <c r="AE232" t="s">
        <v>12</v>
      </c>
      <c r="AF232" t="s">
        <v>12</v>
      </c>
      <c r="AG232" t="s">
        <v>12</v>
      </c>
      <c r="AH232" t="s">
        <v>12</v>
      </c>
      <c r="AI232" t="s">
        <v>12</v>
      </c>
      <c r="AJ232" t="s">
        <v>12</v>
      </c>
      <c r="AK232" t="s">
        <v>12</v>
      </c>
      <c r="AL232" t="s">
        <v>12</v>
      </c>
      <c r="AM232" t="s">
        <v>12</v>
      </c>
      <c r="AN232" t="s">
        <v>12</v>
      </c>
      <c r="AO232" t="s">
        <v>12</v>
      </c>
    </row>
    <row r="233" spans="1:41" x14ac:dyDescent="0.35">
      <c r="A233">
        <v>16568843</v>
      </c>
      <c r="B233">
        <v>202506</v>
      </c>
      <c r="C233">
        <v>20541378180</v>
      </c>
      <c r="D233" t="s">
        <v>445</v>
      </c>
      <c r="E233" t="s">
        <v>1</v>
      </c>
      <c r="F233">
        <v>10174871</v>
      </c>
      <c r="G233" t="s">
        <v>2</v>
      </c>
      <c r="H233" t="s">
        <v>149</v>
      </c>
      <c r="I233">
        <v>18355.84765625</v>
      </c>
      <c r="J233" s="1">
        <v>45491</v>
      </c>
      <c r="K233">
        <v>21.9</v>
      </c>
      <c r="L233" t="s">
        <v>4</v>
      </c>
      <c r="M233" t="s">
        <v>4</v>
      </c>
      <c r="N233" t="s">
        <v>5</v>
      </c>
      <c r="O233">
        <v>202407</v>
      </c>
      <c r="P233">
        <v>200010</v>
      </c>
      <c r="Q233" t="s">
        <v>149</v>
      </c>
      <c r="R233" t="s">
        <v>150</v>
      </c>
      <c r="S233" t="s">
        <v>7</v>
      </c>
      <c r="T233" t="s">
        <v>8</v>
      </c>
      <c r="U233" t="s">
        <v>41</v>
      </c>
      <c r="V233">
        <v>1</v>
      </c>
      <c r="W233" t="s">
        <v>10</v>
      </c>
      <c r="X233" t="s">
        <v>12</v>
      </c>
      <c r="Y233">
        <v>1</v>
      </c>
      <c r="Z233">
        <v>1</v>
      </c>
      <c r="AA233">
        <v>0</v>
      </c>
      <c r="AB233">
        <v>0</v>
      </c>
      <c r="AC233">
        <v>1</v>
      </c>
      <c r="AD233">
        <v>1</v>
      </c>
      <c r="AE233">
        <v>0</v>
      </c>
      <c r="AF233" t="s">
        <v>12</v>
      </c>
      <c r="AG233" t="s">
        <v>12</v>
      </c>
      <c r="AH233" t="s">
        <v>12</v>
      </c>
      <c r="AI233" t="s">
        <v>12</v>
      </c>
      <c r="AJ233" t="s">
        <v>12</v>
      </c>
      <c r="AK233">
        <v>400000</v>
      </c>
      <c r="AL233">
        <v>0.21</v>
      </c>
      <c r="AM233">
        <v>0.1883</v>
      </c>
      <c r="AN233" t="s">
        <v>12</v>
      </c>
      <c r="AO233" t="s">
        <v>12</v>
      </c>
    </row>
    <row r="234" spans="1:41" x14ac:dyDescent="0.35">
      <c r="A234">
        <v>17169552</v>
      </c>
      <c r="B234">
        <v>202602</v>
      </c>
      <c r="C234">
        <v>20601171644</v>
      </c>
      <c r="D234" t="s">
        <v>446</v>
      </c>
      <c r="E234" t="s">
        <v>1</v>
      </c>
      <c r="F234">
        <v>10259664</v>
      </c>
      <c r="G234" t="s">
        <v>65</v>
      </c>
      <c r="H234" t="s">
        <v>273</v>
      </c>
      <c r="I234">
        <v>76044.0625</v>
      </c>
      <c r="J234" s="1">
        <v>45531</v>
      </c>
      <c r="K234">
        <v>15</v>
      </c>
      <c r="L234" t="s">
        <v>4</v>
      </c>
      <c r="M234" t="s">
        <v>4</v>
      </c>
      <c r="N234" t="s">
        <v>47</v>
      </c>
      <c r="O234">
        <v>202408</v>
      </c>
      <c r="P234">
        <v>90004.5</v>
      </c>
      <c r="Q234" t="s">
        <v>273</v>
      </c>
      <c r="R234" t="s">
        <v>274</v>
      </c>
      <c r="S234" t="s">
        <v>39</v>
      </c>
      <c r="T234" t="s">
        <v>40</v>
      </c>
      <c r="U234" t="s">
        <v>20</v>
      </c>
      <c r="V234">
        <v>1</v>
      </c>
      <c r="W234" t="s">
        <v>10</v>
      </c>
      <c r="X234" t="s">
        <v>51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12</v>
      </c>
      <c r="AG234" t="s">
        <v>12</v>
      </c>
      <c r="AH234" t="s">
        <v>12</v>
      </c>
      <c r="AI234" t="s">
        <v>12</v>
      </c>
      <c r="AJ234" t="s">
        <v>12</v>
      </c>
      <c r="AK234">
        <v>1</v>
      </c>
      <c r="AL234">
        <v>1</v>
      </c>
      <c r="AM234" t="s">
        <v>12</v>
      </c>
      <c r="AN234" t="s">
        <v>12</v>
      </c>
      <c r="AO234" t="s">
        <v>12</v>
      </c>
    </row>
    <row r="235" spans="1:41" x14ac:dyDescent="0.35">
      <c r="A235">
        <v>16312986</v>
      </c>
      <c r="B235">
        <v>202504</v>
      </c>
      <c r="C235">
        <v>20605092749</v>
      </c>
      <c r="D235" t="s">
        <v>447</v>
      </c>
      <c r="E235" t="s">
        <v>1</v>
      </c>
      <c r="F235">
        <v>10260039</v>
      </c>
      <c r="G235" t="s">
        <v>65</v>
      </c>
      <c r="H235" t="s">
        <v>111</v>
      </c>
      <c r="I235">
        <v>86745.03125</v>
      </c>
      <c r="J235" s="1">
        <v>45540</v>
      </c>
      <c r="K235">
        <v>14.5</v>
      </c>
      <c r="L235" t="s">
        <v>37</v>
      </c>
      <c r="M235" t="s">
        <v>37</v>
      </c>
      <c r="N235" t="s">
        <v>47</v>
      </c>
      <c r="O235">
        <v>202409</v>
      </c>
      <c r="P235">
        <v>90004.5</v>
      </c>
      <c r="Q235" t="s">
        <v>166</v>
      </c>
      <c r="R235" t="s">
        <v>12</v>
      </c>
      <c r="S235" t="s">
        <v>12</v>
      </c>
      <c r="T235" t="s">
        <v>12</v>
      </c>
      <c r="U235" t="s">
        <v>20</v>
      </c>
      <c r="V235">
        <v>2</v>
      </c>
      <c r="W235" t="s">
        <v>10</v>
      </c>
      <c r="X235" t="s">
        <v>12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12</v>
      </c>
      <c r="AG235" t="s">
        <v>12</v>
      </c>
      <c r="AH235" t="s">
        <v>12</v>
      </c>
      <c r="AI235" t="s">
        <v>12</v>
      </c>
      <c r="AJ235" t="s">
        <v>12</v>
      </c>
      <c r="AK235">
        <v>0</v>
      </c>
      <c r="AL235">
        <v>0</v>
      </c>
      <c r="AM235">
        <v>0</v>
      </c>
      <c r="AN235" t="s">
        <v>12</v>
      </c>
      <c r="AO235" t="s">
        <v>12</v>
      </c>
    </row>
    <row r="236" spans="1:41" x14ac:dyDescent="0.35">
      <c r="A236">
        <v>9257120</v>
      </c>
      <c r="B236">
        <v>202507</v>
      </c>
      <c r="C236">
        <v>20371703137</v>
      </c>
      <c r="D236" t="s">
        <v>448</v>
      </c>
      <c r="E236" t="s">
        <v>1</v>
      </c>
      <c r="F236">
        <v>10157063</v>
      </c>
      <c r="G236" t="s">
        <v>2</v>
      </c>
      <c r="H236" t="s">
        <v>135</v>
      </c>
      <c r="I236">
        <v>155390.546875</v>
      </c>
      <c r="J236" s="1">
        <v>45666</v>
      </c>
      <c r="K236">
        <v>15</v>
      </c>
      <c r="L236" t="s">
        <v>4</v>
      </c>
      <c r="M236" t="s">
        <v>4</v>
      </c>
      <c r="N236" t="s">
        <v>5</v>
      </c>
      <c r="O236">
        <v>202501</v>
      </c>
      <c r="P236">
        <v>200010</v>
      </c>
      <c r="Q236" t="s">
        <v>135</v>
      </c>
      <c r="R236" t="s">
        <v>136</v>
      </c>
      <c r="S236" t="s">
        <v>18</v>
      </c>
      <c r="T236" t="s">
        <v>122</v>
      </c>
      <c r="U236" t="s">
        <v>5</v>
      </c>
      <c r="V236">
        <v>1</v>
      </c>
      <c r="W236" t="s">
        <v>10</v>
      </c>
      <c r="X236" t="s">
        <v>12</v>
      </c>
      <c r="Y236">
        <v>1</v>
      </c>
      <c r="Z236">
        <v>1</v>
      </c>
      <c r="AA236">
        <v>0</v>
      </c>
      <c r="AB236">
        <v>0</v>
      </c>
      <c r="AC236">
        <v>1</v>
      </c>
      <c r="AD236">
        <v>1</v>
      </c>
      <c r="AE236">
        <v>0</v>
      </c>
      <c r="AF236" t="s">
        <v>12</v>
      </c>
      <c r="AG236" t="s">
        <v>12</v>
      </c>
      <c r="AH236" t="s">
        <v>12</v>
      </c>
      <c r="AI236" t="s">
        <v>12</v>
      </c>
      <c r="AJ236" t="s">
        <v>12</v>
      </c>
      <c r="AK236">
        <v>36900</v>
      </c>
      <c r="AL236">
        <v>0.21</v>
      </c>
      <c r="AM236">
        <v>0.19</v>
      </c>
      <c r="AN236" t="s">
        <v>12</v>
      </c>
      <c r="AO236" t="s">
        <v>12</v>
      </c>
    </row>
    <row r="237" spans="1:41" x14ac:dyDescent="0.35">
      <c r="A237">
        <v>15704772</v>
      </c>
      <c r="B237">
        <v>202509</v>
      </c>
      <c r="C237">
        <v>20547163541</v>
      </c>
      <c r="D237" t="s">
        <v>449</v>
      </c>
      <c r="E237" t="s">
        <v>1</v>
      </c>
      <c r="F237">
        <v>10157678</v>
      </c>
      <c r="G237" t="s">
        <v>2</v>
      </c>
      <c r="H237" t="s">
        <v>265</v>
      </c>
      <c r="I237">
        <v>57279.21875</v>
      </c>
      <c r="J237" s="1">
        <v>46126</v>
      </c>
      <c r="K237">
        <v>17.5</v>
      </c>
      <c r="L237" t="s">
        <v>4</v>
      </c>
      <c r="M237" t="s">
        <v>4</v>
      </c>
      <c r="N237" t="s">
        <v>5</v>
      </c>
      <c r="O237">
        <v>202604</v>
      </c>
      <c r="P237">
        <v>100005</v>
      </c>
      <c r="Q237" t="s">
        <v>12</v>
      </c>
      <c r="R237" t="s">
        <v>12</v>
      </c>
      <c r="S237" t="s">
        <v>12</v>
      </c>
      <c r="T237" t="s">
        <v>12</v>
      </c>
      <c r="U237" t="s">
        <v>12</v>
      </c>
      <c r="V237" t="s">
        <v>12</v>
      </c>
      <c r="W237" t="s">
        <v>12</v>
      </c>
      <c r="X237" t="s">
        <v>12</v>
      </c>
      <c r="Y237" t="s">
        <v>12</v>
      </c>
      <c r="Z237" t="s">
        <v>12</v>
      </c>
      <c r="AA237" t="s">
        <v>12</v>
      </c>
      <c r="AB237" t="s">
        <v>12</v>
      </c>
      <c r="AC237" t="s">
        <v>12</v>
      </c>
      <c r="AD237" t="s">
        <v>12</v>
      </c>
      <c r="AE237" t="s">
        <v>12</v>
      </c>
      <c r="AF237" t="s">
        <v>12</v>
      </c>
      <c r="AG237" t="s">
        <v>12</v>
      </c>
      <c r="AH237" t="s">
        <v>12</v>
      </c>
      <c r="AI237" t="s">
        <v>12</v>
      </c>
      <c r="AJ237" t="s">
        <v>12</v>
      </c>
      <c r="AK237" t="s">
        <v>12</v>
      </c>
      <c r="AL237" t="s">
        <v>12</v>
      </c>
      <c r="AM237" t="s">
        <v>12</v>
      </c>
      <c r="AN237" t="s">
        <v>12</v>
      </c>
      <c r="AO237" t="s">
        <v>12</v>
      </c>
    </row>
    <row r="238" spans="1:41" x14ac:dyDescent="0.35">
      <c r="A238">
        <v>21491671</v>
      </c>
      <c r="B238">
        <v>202505</v>
      </c>
      <c r="C238">
        <v>20609432684</v>
      </c>
      <c r="D238" t="s">
        <v>450</v>
      </c>
      <c r="E238" t="s">
        <v>1</v>
      </c>
      <c r="F238">
        <v>10265570</v>
      </c>
      <c r="G238" t="s">
        <v>28</v>
      </c>
      <c r="H238" t="s">
        <v>428</v>
      </c>
      <c r="I238">
        <v>127186.625</v>
      </c>
      <c r="J238" s="1">
        <v>45709</v>
      </c>
      <c r="K238">
        <v>18</v>
      </c>
      <c r="L238" t="s">
        <v>4</v>
      </c>
      <c r="M238" t="s">
        <v>75</v>
      </c>
      <c r="N238" t="s">
        <v>26</v>
      </c>
      <c r="O238">
        <v>202502</v>
      </c>
      <c r="P238">
        <v>150007.5</v>
      </c>
      <c r="Q238" t="s">
        <v>12</v>
      </c>
      <c r="R238" t="s">
        <v>12</v>
      </c>
      <c r="S238" t="s">
        <v>12</v>
      </c>
      <c r="T238" t="s">
        <v>12</v>
      </c>
      <c r="U238" t="s">
        <v>12</v>
      </c>
      <c r="V238" t="s">
        <v>12</v>
      </c>
      <c r="W238" t="s">
        <v>12</v>
      </c>
      <c r="X238" t="s">
        <v>12</v>
      </c>
      <c r="Y238" t="s">
        <v>12</v>
      </c>
      <c r="Z238" t="s">
        <v>12</v>
      </c>
      <c r="AA238" t="s">
        <v>12</v>
      </c>
      <c r="AB238" t="s">
        <v>12</v>
      </c>
      <c r="AC238" t="s">
        <v>12</v>
      </c>
      <c r="AD238" t="s">
        <v>12</v>
      </c>
      <c r="AE238" t="s">
        <v>12</v>
      </c>
      <c r="AF238" t="s">
        <v>12</v>
      </c>
      <c r="AG238" t="s">
        <v>12</v>
      </c>
      <c r="AH238" t="s">
        <v>12</v>
      </c>
      <c r="AI238" t="s">
        <v>12</v>
      </c>
      <c r="AJ238" t="s">
        <v>12</v>
      </c>
      <c r="AK238" t="s">
        <v>12</v>
      </c>
      <c r="AL238" t="s">
        <v>12</v>
      </c>
      <c r="AM238" t="s">
        <v>12</v>
      </c>
      <c r="AN238" t="s">
        <v>12</v>
      </c>
      <c r="AO238" t="s">
        <v>12</v>
      </c>
    </row>
    <row r="239" spans="1:41" x14ac:dyDescent="0.35">
      <c r="A239">
        <v>20636770</v>
      </c>
      <c r="B239">
        <v>202601</v>
      </c>
      <c r="C239">
        <v>20612056707</v>
      </c>
      <c r="D239" t="s">
        <v>325</v>
      </c>
      <c r="E239" t="s">
        <v>1</v>
      </c>
      <c r="F239">
        <v>10265183</v>
      </c>
      <c r="G239" t="s">
        <v>268</v>
      </c>
      <c r="H239" t="s">
        <v>46</v>
      </c>
      <c r="I239">
        <v>21200.126953125</v>
      </c>
      <c r="J239" s="1">
        <v>45695</v>
      </c>
      <c r="K239">
        <v>21</v>
      </c>
      <c r="L239" t="s">
        <v>37</v>
      </c>
      <c r="M239" t="s">
        <v>37</v>
      </c>
      <c r="N239" t="s">
        <v>98</v>
      </c>
      <c r="O239">
        <v>202502</v>
      </c>
      <c r="P239">
        <v>50002.5</v>
      </c>
      <c r="Q239" t="s">
        <v>46</v>
      </c>
      <c r="R239" t="s">
        <v>48</v>
      </c>
      <c r="S239" t="s">
        <v>49</v>
      </c>
      <c r="T239" t="s">
        <v>50</v>
      </c>
      <c r="U239" t="s">
        <v>20</v>
      </c>
      <c r="V239">
        <v>1</v>
      </c>
      <c r="W239" t="s">
        <v>10</v>
      </c>
      <c r="X239" t="s">
        <v>51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12</v>
      </c>
      <c r="AG239" t="s">
        <v>12</v>
      </c>
      <c r="AH239" t="s">
        <v>12</v>
      </c>
      <c r="AI239" t="s">
        <v>12</v>
      </c>
      <c r="AJ239" t="s">
        <v>12</v>
      </c>
      <c r="AK239">
        <v>1</v>
      </c>
      <c r="AL239">
        <v>1</v>
      </c>
      <c r="AM239">
        <v>0.24</v>
      </c>
      <c r="AN239" t="s">
        <v>12</v>
      </c>
      <c r="AO239" t="s">
        <v>12</v>
      </c>
    </row>
    <row r="240" spans="1:41" x14ac:dyDescent="0.35">
      <c r="A240">
        <v>18938433</v>
      </c>
      <c r="B240">
        <v>202507</v>
      </c>
      <c r="C240">
        <v>20522891739</v>
      </c>
      <c r="D240" t="s">
        <v>451</v>
      </c>
      <c r="E240" t="s">
        <v>1</v>
      </c>
      <c r="F240">
        <v>10253537</v>
      </c>
      <c r="G240" t="s">
        <v>65</v>
      </c>
      <c r="H240" t="s">
        <v>31</v>
      </c>
      <c r="I240">
        <v>208388.453125</v>
      </c>
      <c r="J240" s="1">
        <v>45436</v>
      </c>
      <c r="K240">
        <v>13.6</v>
      </c>
      <c r="L240" t="s">
        <v>4</v>
      </c>
      <c r="M240" t="s">
        <v>4</v>
      </c>
      <c r="N240" t="s">
        <v>47</v>
      </c>
      <c r="O240">
        <v>202405</v>
      </c>
      <c r="P240">
        <v>300015</v>
      </c>
      <c r="Q240" t="s">
        <v>452</v>
      </c>
      <c r="R240" t="s">
        <v>453</v>
      </c>
      <c r="S240" t="s">
        <v>31</v>
      </c>
      <c r="T240" t="s">
        <v>32</v>
      </c>
      <c r="U240" t="s">
        <v>20</v>
      </c>
      <c r="V240">
        <v>1</v>
      </c>
      <c r="W240" t="s">
        <v>10</v>
      </c>
      <c r="X240" t="s">
        <v>12</v>
      </c>
      <c r="Y240">
        <v>1</v>
      </c>
      <c r="Z240">
        <v>1</v>
      </c>
      <c r="AA240">
        <v>0</v>
      </c>
      <c r="AB240">
        <v>0</v>
      </c>
      <c r="AC240">
        <v>1</v>
      </c>
      <c r="AD240">
        <v>1</v>
      </c>
      <c r="AE240">
        <v>0</v>
      </c>
      <c r="AF240" t="s">
        <v>12</v>
      </c>
      <c r="AG240" t="s">
        <v>12</v>
      </c>
      <c r="AH240" t="s">
        <v>12</v>
      </c>
      <c r="AI240" t="s">
        <v>12</v>
      </c>
      <c r="AJ240" t="s">
        <v>12</v>
      </c>
      <c r="AK240">
        <v>1</v>
      </c>
      <c r="AL240">
        <v>0.1963</v>
      </c>
      <c r="AM240" t="s">
        <v>12</v>
      </c>
      <c r="AN240" t="s">
        <v>12</v>
      </c>
      <c r="AO240" t="s">
        <v>12</v>
      </c>
    </row>
    <row r="241" spans="1:41" x14ac:dyDescent="0.35">
      <c r="A241">
        <v>21771476</v>
      </c>
      <c r="B241">
        <v>202509</v>
      </c>
      <c r="C241">
        <v>20605563962</v>
      </c>
      <c r="D241" t="s">
        <v>454</v>
      </c>
      <c r="E241" t="s">
        <v>1</v>
      </c>
      <c r="F241">
        <v>10270142</v>
      </c>
      <c r="G241" t="s">
        <v>100</v>
      </c>
      <c r="H241" t="s">
        <v>159</v>
      </c>
      <c r="I241">
        <v>166014.546875</v>
      </c>
      <c r="J241" s="1">
        <v>45869</v>
      </c>
      <c r="K241">
        <v>15</v>
      </c>
      <c r="L241" t="s">
        <v>37</v>
      </c>
      <c r="M241" t="s">
        <v>37</v>
      </c>
      <c r="N241" t="s">
        <v>102</v>
      </c>
      <c r="O241">
        <v>202507</v>
      </c>
      <c r="P241">
        <v>169651.85</v>
      </c>
      <c r="Q241" t="s">
        <v>12</v>
      </c>
      <c r="R241" t="s">
        <v>12</v>
      </c>
      <c r="S241" t="s">
        <v>12</v>
      </c>
      <c r="T241" t="s">
        <v>12</v>
      </c>
      <c r="U241" t="s">
        <v>12</v>
      </c>
      <c r="V241" t="s">
        <v>12</v>
      </c>
      <c r="W241" t="s">
        <v>12</v>
      </c>
      <c r="X241" t="s">
        <v>12</v>
      </c>
      <c r="Y241" t="s">
        <v>12</v>
      </c>
      <c r="Z241" t="s">
        <v>12</v>
      </c>
      <c r="AA241" t="s">
        <v>12</v>
      </c>
      <c r="AB241" t="s">
        <v>12</v>
      </c>
      <c r="AC241" t="s">
        <v>12</v>
      </c>
      <c r="AD241" t="s">
        <v>12</v>
      </c>
      <c r="AE241" t="s">
        <v>12</v>
      </c>
      <c r="AF241" t="s">
        <v>12</v>
      </c>
      <c r="AG241" t="s">
        <v>12</v>
      </c>
      <c r="AH241" t="s">
        <v>12</v>
      </c>
      <c r="AI241" t="s">
        <v>12</v>
      </c>
      <c r="AJ241" t="s">
        <v>12</v>
      </c>
      <c r="AK241" t="s">
        <v>12</v>
      </c>
      <c r="AL241" t="s">
        <v>12</v>
      </c>
      <c r="AM241" t="s">
        <v>12</v>
      </c>
      <c r="AN241" t="s">
        <v>12</v>
      </c>
      <c r="AO241" t="s">
        <v>12</v>
      </c>
    </row>
    <row r="242" spans="1:41" x14ac:dyDescent="0.35">
      <c r="A242">
        <v>20401816</v>
      </c>
      <c r="B242">
        <v>202510</v>
      </c>
      <c r="C242">
        <v>20608493337</v>
      </c>
      <c r="D242" t="s">
        <v>455</v>
      </c>
      <c r="E242" t="s">
        <v>1</v>
      </c>
      <c r="F242">
        <v>10269019</v>
      </c>
      <c r="G242" t="s">
        <v>28</v>
      </c>
      <c r="H242" t="s">
        <v>170</v>
      </c>
      <c r="I242">
        <v>41268.62109375</v>
      </c>
      <c r="J242" s="1">
        <v>45833</v>
      </c>
      <c r="K242">
        <v>18</v>
      </c>
      <c r="L242" t="s">
        <v>86</v>
      </c>
      <c r="M242" t="s">
        <v>75</v>
      </c>
      <c r="N242" t="s">
        <v>26</v>
      </c>
      <c r="O242">
        <v>202506</v>
      </c>
      <c r="P242">
        <v>100005</v>
      </c>
      <c r="Q242" t="s">
        <v>170</v>
      </c>
      <c r="R242" t="s">
        <v>171</v>
      </c>
      <c r="S242" t="s">
        <v>111</v>
      </c>
      <c r="T242" t="s">
        <v>112</v>
      </c>
      <c r="U242" t="s">
        <v>41</v>
      </c>
      <c r="V242">
        <v>2</v>
      </c>
      <c r="W242" t="s">
        <v>10</v>
      </c>
      <c r="X242" t="s">
        <v>12</v>
      </c>
      <c r="Y242">
        <v>1</v>
      </c>
      <c r="Z242">
        <v>1</v>
      </c>
      <c r="AA242">
        <v>0</v>
      </c>
      <c r="AB242">
        <v>1</v>
      </c>
      <c r="AC242">
        <v>1</v>
      </c>
      <c r="AD242">
        <v>1</v>
      </c>
      <c r="AE242">
        <v>0</v>
      </c>
      <c r="AF242" t="s">
        <v>12</v>
      </c>
      <c r="AG242" t="s">
        <v>12</v>
      </c>
      <c r="AH242" t="s">
        <v>12</v>
      </c>
      <c r="AI242" t="s">
        <v>12</v>
      </c>
      <c r="AJ242" t="s">
        <v>12</v>
      </c>
      <c r="AK242">
        <v>100000</v>
      </c>
      <c r="AL242">
        <v>0.21</v>
      </c>
      <c r="AM242">
        <v>0.19</v>
      </c>
      <c r="AN242" t="s">
        <v>12</v>
      </c>
      <c r="AO242" t="s">
        <v>12</v>
      </c>
    </row>
    <row r="243" spans="1:41" x14ac:dyDescent="0.35">
      <c r="A243">
        <v>9453042</v>
      </c>
      <c r="B243">
        <v>202602</v>
      </c>
      <c r="C243">
        <v>20107121146</v>
      </c>
      <c r="D243" t="s">
        <v>456</v>
      </c>
      <c r="E243" t="s">
        <v>1</v>
      </c>
      <c r="F243">
        <v>10270071</v>
      </c>
      <c r="G243" t="s">
        <v>14</v>
      </c>
      <c r="H243" t="s">
        <v>284</v>
      </c>
      <c r="I243">
        <v>62425.51171875</v>
      </c>
      <c r="J243" s="1">
        <v>45869</v>
      </c>
      <c r="K243">
        <v>17</v>
      </c>
      <c r="L243" t="s">
        <v>37</v>
      </c>
      <c r="M243" t="s">
        <v>37</v>
      </c>
      <c r="N243" t="s">
        <v>16</v>
      </c>
      <c r="O243">
        <v>202507</v>
      </c>
      <c r="P243">
        <v>80004</v>
      </c>
      <c r="Q243" t="s">
        <v>284</v>
      </c>
      <c r="R243" t="s">
        <v>285</v>
      </c>
      <c r="S243" t="s">
        <v>31</v>
      </c>
      <c r="T243" t="s">
        <v>32</v>
      </c>
      <c r="U243" t="s">
        <v>63</v>
      </c>
      <c r="V243">
        <v>1</v>
      </c>
      <c r="W243" t="s">
        <v>10</v>
      </c>
      <c r="X243" t="s">
        <v>51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12</v>
      </c>
      <c r="AG243" t="s">
        <v>12</v>
      </c>
      <c r="AH243" t="s">
        <v>12</v>
      </c>
      <c r="AI243" t="s">
        <v>12</v>
      </c>
      <c r="AJ243" t="s">
        <v>12</v>
      </c>
      <c r="AK243">
        <v>250000</v>
      </c>
      <c r="AL243">
        <v>0.21190000000000001</v>
      </c>
      <c r="AM243">
        <v>0.19189999999999999</v>
      </c>
      <c r="AN243" t="s">
        <v>12</v>
      </c>
      <c r="AO243" t="s">
        <v>12</v>
      </c>
    </row>
    <row r="244" spans="1:41" x14ac:dyDescent="0.35">
      <c r="A244">
        <v>21611793</v>
      </c>
      <c r="B244">
        <v>202509</v>
      </c>
      <c r="C244">
        <v>20603464509</v>
      </c>
      <c r="D244" t="s">
        <v>457</v>
      </c>
      <c r="E244" t="s">
        <v>1</v>
      </c>
      <c r="F244">
        <v>10267471</v>
      </c>
      <c r="G244" t="s">
        <v>24</v>
      </c>
      <c r="H244" t="s">
        <v>458</v>
      </c>
      <c r="I244">
        <v>82265.4765625</v>
      </c>
      <c r="J244" s="1">
        <v>45776</v>
      </c>
      <c r="K244">
        <v>21</v>
      </c>
      <c r="L244" t="s">
        <v>37</v>
      </c>
      <c r="M244" t="s">
        <v>37</v>
      </c>
      <c r="N244" t="s">
        <v>98</v>
      </c>
      <c r="O244">
        <v>202504</v>
      </c>
      <c r="P244">
        <v>102005.1</v>
      </c>
      <c r="Q244" t="s">
        <v>458</v>
      </c>
      <c r="R244" t="s">
        <v>459</v>
      </c>
      <c r="S244" t="s">
        <v>31</v>
      </c>
      <c r="T244" t="s">
        <v>32</v>
      </c>
      <c r="U244" t="s">
        <v>20</v>
      </c>
      <c r="V244">
        <v>1</v>
      </c>
      <c r="W244" t="s">
        <v>10</v>
      </c>
      <c r="X244" t="s">
        <v>51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12</v>
      </c>
      <c r="AG244" t="s">
        <v>12</v>
      </c>
      <c r="AH244" t="s">
        <v>12</v>
      </c>
      <c r="AI244" t="s">
        <v>12</v>
      </c>
      <c r="AJ244" t="s">
        <v>12</v>
      </c>
      <c r="AK244">
        <v>1</v>
      </c>
      <c r="AL244">
        <v>1</v>
      </c>
      <c r="AM244" t="s">
        <v>12</v>
      </c>
      <c r="AN244" t="s">
        <v>12</v>
      </c>
      <c r="AO244" t="s">
        <v>12</v>
      </c>
    </row>
    <row r="245" spans="1:41" x14ac:dyDescent="0.35">
      <c r="A245">
        <v>21475422</v>
      </c>
      <c r="B245">
        <v>202505</v>
      </c>
      <c r="C245">
        <v>20601237858</v>
      </c>
      <c r="D245" t="s">
        <v>460</v>
      </c>
      <c r="E245" t="s">
        <v>1</v>
      </c>
      <c r="F245">
        <v>10265519</v>
      </c>
      <c r="G245" t="s">
        <v>73</v>
      </c>
      <c r="H245" t="s">
        <v>85</v>
      </c>
      <c r="I245">
        <v>159901.09375</v>
      </c>
      <c r="J245" s="1">
        <v>45708</v>
      </c>
      <c r="K245">
        <v>17.5</v>
      </c>
      <c r="L245" t="s">
        <v>4</v>
      </c>
      <c r="M245" t="s">
        <v>75</v>
      </c>
      <c r="N245" t="s">
        <v>20</v>
      </c>
      <c r="O245">
        <v>202502</v>
      </c>
      <c r="P245">
        <v>171208.55</v>
      </c>
      <c r="Q245" t="s">
        <v>85</v>
      </c>
      <c r="R245" t="s">
        <v>461</v>
      </c>
      <c r="S245" t="s">
        <v>88</v>
      </c>
      <c r="T245" t="s">
        <v>89</v>
      </c>
      <c r="U245" t="s">
        <v>20</v>
      </c>
      <c r="V245">
        <v>2</v>
      </c>
      <c r="W245" t="s">
        <v>10</v>
      </c>
      <c r="X245" t="s">
        <v>12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12</v>
      </c>
      <c r="AG245" t="s">
        <v>12</v>
      </c>
      <c r="AH245" t="s">
        <v>12</v>
      </c>
      <c r="AI245" t="s">
        <v>12</v>
      </c>
      <c r="AJ245" t="s">
        <v>12</v>
      </c>
      <c r="AK245">
        <v>0</v>
      </c>
      <c r="AL245">
        <v>0</v>
      </c>
      <c r="AM245">
        <v>0</v>
      </c>
      <c r="AN245" t="s">
        <v>12</v>
      </c>
      <c r="AO245" t="s">
        <v>12</v>
      </c>
    </row>
    <row r="246" spans="1:41" x14ac:dyDescent="0.35">
      <c r="A246">
        <v>10829657</v>
      </c>
      <c r="B246">
        <v>202507</v>
      </c>
      <c r="C246">
        <v>10167033143</v>
      </c>
      <c r="D246" t="s">
        <v>462</v>
      </c>
      <c r="E246">
        <v>16703314</v>
      </c>
      <c r="F246">
        <v>10146226</v>
      </c>
      <c r="G246" t="s">
        <v>2</v>
      </c>
      <c r="H246" t="s">
        <v>49</v>
      </c>
      <c r="I246">
        <v>123446.7421875</v>
      </c>
      <c r="J246" s="1">
        <v>45681</v>
      </c>
      <c r="K246">
        <v>18.7</v>
      </c>
      <c r="L246" t="s">
        <v>4</v>
      </c>
      <c r="M246" t="s">
        <v>4</v>
      </c>
      <c r="N246" t="s">
        <v>5</v>
      </c>
      <c r="O246">
        <v>202501</v>
      </c>
      <c r="P246">
        <v>150007.5</v>
      </c>
      <c r="Q246" t="s">
        <v>234</v>
      </c>
      <c r="R246" t="s">
        <v>235</v>
      </c>
      <c r="S246" t="s">
        <v>49</v>
      </c>
      <c r="T246" t="s">
        <v>50</v>
      </c>
      <c r="U246" t="s">
        <v>41</v>
      </c>
      <c r="V246">
        <v>1</v>
      </c>
      <c r="W246" t="s">
        <v>90</v>
      </c>
      <c r="X246" t="s">
        <v>12</v>
      </c>
      <c r="Y246">
        <v>1</v>
      </c>
      <c r="Z246">
        <v>1</v>
      </c>
      <c r="AA246">
        <v>0</v>
      </c>
      <c r="AB246">
        <v>0</v>
      </c>
      <c r="AC246">
        <v>1</v>
      </c>
      <c r="AD246">
        <v>1</v>
      </c>
      <c r="AE246">
        <v>0</v>
      </c>
      <c r="AF246" t="s">
        <v>12</v>
      </c>
      <c r="AG246" t="s">
        <v>12</v>
      </c>
      <c r="AH246" t="s">
        <v>12</v>
      </c>
      <c r="AI246" t="s">
        <v>12</v>
      </c>
      <c r="AJ246" t="s">
        <v>12</v>
      </c>
      <c r="AK246">
        <v>200000</v>
      </c>
      <c r="AL246">
        <v>0.25</v>
      </c>
      <c r="AM246">
        <v>0.23</v>
      </c>
      <c r="AN246" t="s">
        <v>12</v>
      </c>
      <c r="AO246" t="s">
        <v>12</v>
      </c>
    </row>
    <row r="247" spans="1:41" x14ac:dyDescent="0.35">
      <c r="A247">
        <v>20653639</v>
      </c>
      <c r="B247">
        <v>202508</v>
      </c>
      <c r="C247">
        <v>20607167355</v>
      </c>
      <c r="D247" t="s">
        <v>463</v>
      </c>
      <c r="E247" t="s">
        <v>1</v>
      </c>
      <c r="F247">
        <v>10248186</v>
      </c>
      <c r="G247" t="s">
        <v>65</v>
      </c>
      <c r="H247" t="s">
        <v>149</v>
      </c>
      <c r="I247">
        <v>48384.60546875</v>
      </c>
      <c r="J247" s="1">
        <v>45342</v>
      </c>
      <c r="K247">
        <v>16</v>
      </c>
      <c r="L247" t="s">
        <v>37</v>
      </c>
      <c r="M247" t="s">
        <v>37</v>
      </c>
      <c r="N247" t="s">
        <v>47</v>
      </c>
      <c r="O247">
        <v>202402</v>
      </c>
      <c r="P247">
        <v>90004.5</v>
      </c>
      <c r="Q247" t="s">
        <v>149</v>
      </c>
      <c r="R247" t="s">
        <v>150</v>
      </c>
      <c r="S247" t="s">
        <v>7</v>
      </c>
      <c r="T247" t="s">
        <v>8</v>
      </c>
      <c r="U247" t="s">
        <v>20</v>
      </c>
      <c r="V247">
        <v>1</v>
      </c>
      <c r="W247" t="s">
        <v>10</v>
      </c>
      <c r="X247" t="s">
        <v>12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12</v>
      </c>
      <c r="AG247" t="s">
        <v>12</v>
      </c>
      <c r="AH247" t="s">
        <v>12</v>
      </c>
      <c r="AI247" t="s">
        <v>12</v>
      </c>
      <c r="AJ247" t="s">
        <v>12</v>
      </c>
      <c r="AK247">
        <v>1</v>
      </c>
      <c r="AL247">
        <v>0.30830000000000002</v>
      </c>
      <c r="AM247" t="s">
        <v>12</v>
      </c>
      <c r="AN247" t="s">
        <v>12</v>
      </c>
      <c r="AO247" t="s">
        <v>12</v>
      </c>
    </row>
    <row r="248" spans="1:41" x14ac:dyDescent="0.35">
      <c r="A248">
        <v>21761256</v>
      </c>
      <c r="B248">
        <v>202508</v>
      </c>
      <c r="C248">
        <v>20603528108</v>
      </c>
      <c r="D248" t="s">
        <v>464</v>
      </c>
      <c r="E248" t="s">
        <v>1</v>
      </c>
      <c r="F248">
        <v>10269977</v>
      </c>
      <c r="G248" t="s">
        <v>268</v>
      </c>
      <c r="H248" t="s">
        <v>159</v>
      </c>
      <c r="I248">
        <v>200010.015625</v>
      </c>
      <c r="J248" s="1">
        <v>45863</v>
      </c>
      <c r="K248">
        <v>19</v>
      </c>
      <c r="L248" t="s">
        <v>37</v>
      </c>
      <c r="M248" t="s">
        <v>37</v>
      </c>
      <c r="N248" t="s">
        <v>98</v>
      </c>
      <c r="O248">
        <v>202507</v>
      </c>
      <c r="P248">
        <v>200010</v>
      </c>
      <c r="Q248" t="s">
        <v>12</v>
      </c>
      <c r="R248" t="s">
        <v>12</v>
      </c>
      <c r="S248" t="s">
        <v>12</v>
      </c>
      <c r="T248" t="s">
        <v>12</v>
      </c>
      <c r="U248" t="s">
        <v>12</v>
      </c>
      <c r="V248" t="s">
        <v>12</v>
      </c>
      <c r="W248" t="s">
        <v>12</v>
      </c>
      <c r="X248" t="s">
        <v>12</v>
      </c>
      <c r="Y248" t="s">
        <v>12</v>
      </c>
      <c r="Z248" t="s">
        <v>12</v>
      </c>
      <c r="AA248" t="s">
        <v>12</v>
      </c>
      <c r="AB248" t="s">
        <v>12</v>
      </c>
      <c r="AC248" t="s">
        <v>12</v>
      </c>
      <c r="AD248" t="s">
        <v>12</v>
      </c>
      <c r="AE248" t="s">
        <v>12</v>
      </c>
      <c r="AF248" t="s">
        <v>12</v>
      </c>
      <c r="AG248" t="s">
        <v>12</v>
      </c>
      <c r="AH248" t="s">
        <v>12</v>
      </c>
      <c r="AI248" t="s">
        <v>12</v>
      </c>
      <c r="AJ248" t="s">
        <v>12</v>
      </c>
      <c r="AK248" t="s">
        <v>12</v>
      </c>
      <c r="AL248" t="s">
        <v>12</v>
      </c>
      <c r="AM248" t="s">
        <v>12</v>
      </c>
      <c r="AN248" t="s">
        <v>12</v>
      </c>
      <c r="AO248" t="s">
        <v>12</v>
      </c>
    </row>
    <row r="249" spans="1:41" x14ac:dyDescent="0.35">
      <c r="A249">
        <v>14225376</v>
      </c>
      <c r="B249">
        <v>202508</v>
      </c>
      <c r="C249">
        <v>20487453936</v>
      </c>
      <c r="D249" t="s">
        <v>465</v>
      </c>
      <c r="E249" t="s">
        <v>1</v>
      </c>
      <c r="F249">
        <v>10268868</v>
      </c>
      <c r="G249" t="s">
        <v>100</v>
      </c>
      <c r="H249" t="s">
        <v>129</v>
      </c>
      <c r="I249">
        <v>125164.7734375</v>
      </c>
      <c r="J249" s="1">
        <v>45828</v>
      </c>
      <c r="K249">
        <v>15</v>
      </c>
      <c r="L249" t="s">
        <v>37</v>
      </c>
      <c r="M249" t="s">
        <v>37</v>
      </c>
      <c r="N249" t="s">
        <v>102</v>
      </c>
      <c r="O249">
        <v>202506</v>
      </c>
      <c r="P249">
        <v>135006.75</v>
      </c>
      <c r="Q249" t="s">
        <v>129</v>
      </c>
      <c r="R249" t="s">
        <v>130</v>
      </c>
      <c r="S249" t="s">
        <v>49</v>
      </c>
      <c r="T249" t="s">
        <v>50</v>
      </c>
      <c r="U249" t="s">
        <v>20</v>
      </c>
      <c r="V249">
        <v>1</v>
      </c>
      <c r="W249" t="s">
        <v>10</v>
      </c>
      <c r="X249" t="s">
        <v>12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12</v>
      </c>
      <c r="AG249" t="s">
        <v>12</v>
      </c>
      <c r="AH249" t="s">
        <v>12</v>
      </c>
      <c r="AI249" t="s">
        <v>12</v>
      </c>
      <c r="AJ249" t="s">
        <v>12</v>
      </c>
      <c r="AK249">
        <v>1</v>
      </c>
      <c r="AL249">
        <v>0.1613</v>
      </c>
      <c r="AM249" t="s">
        <v>12</v>
      </c>
      <c r="AN249" t="s">
        <v>12</v>
      </c>
      <c r="AO249" t="s">
        <v>12</v>
      </c>
    </row>
    <row r="250" spans="1:41" x14ac:dyDescent="0.35">
      <c r="A250">
        <v>11153672</v>
      </c>
      <c r="B250">
        <v>202601</v>
      </c>
      <c r="C250">
        <v>10414006057</v>
      </c>
      <c r="D250" t="s">
        <v>466</v>
      </c>
      <c r="E250">
        <v>41400605</v>
      </c>
      <c r="F250">
        <v>10268056</v>
      </c>
      <c r="G250" t="s">
        <v>100</v>
      </c>
      <c r="H250" t="s">
        <v>49</v>
      </c>
      <c r="I250">
        <v>82259.0859375</v>
      </c>
      <c r="J250" s="1">
        <v>45799</v>
      </c>
      <c r="K250">
        <v>16.010000000000002</v>
      </c>
      <c r="L250" t="s">
        <v>37</v>
      </c>
      <c r="M250" t="s">
        <v>37</v>
      </c>
      <c r="N250" t="s">
        <v>102</v>
      </c>
      <c r="O250">
        <v>202505</v>
      </c>
      <c r="P250">
        <v>100400</v>
      </c>
      <c r="Q250" t="s">
        <v>372</v>
      </c>
      <c r="R250" t="s">
        <v>373</v>
      </c>
      <c r="S250" t="s">
        <v>49</v>
      </c>
      <c r="T250" t="s">
        <v>50</v>
      </c>
      <c r="U250" t="s">
        <v>20</v>
      </c>
      <c r="V250">
        <v>1</v>
      </c>
      <c r="W250" t="s">
        <v>21</v>
      </c>
      <c r="X250" t="s">
        <v>59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12</v>
      </c>
      <c r="AG250" t="s">
        <v>12</v>
      </c>
      <c r="AH250" t="s">
        <v>12</v>
      </c>
      <c r="AI250" t="s">
        <v>12</v>
      </c>
      <c r="AJ250" t="s">
        <v>12</v>
      </c>
      <c r="AK250">
        <v>1</v>
      </c>
      <c r="AL250">
        <v>1</v>
      </c>
      <c r="AM250">
        <v>0.24</v>
      </c>
      <c r="AN250" t="s">
        <v>12</v>
      </c>
      <c r="AO250" t="s">
        <v>12</v>
      </c>
    </row>
    <row r="251" spans="1:41" x14ac:dyDescent="0.35">
      <c r="A251">
        <v>15057104</v>
      </c>
      <c r="B251">
        <v>202601</v>
      </c>
      <c r="C251">
        <v>10420321941</v>
      </c>
      <c r="D251" t="s">
        <v>467</v>
      </c>
      <c r="E251">
        <v>42032194</v>
      </c>
      <c r="F251">
        <v>10255783</v>
      </c>
      <c r="G251" t="s">
        <v>53</v>
      </c>
      <c r="H251" t="s">
        <v>135</v>
      </c>
      <c r="I251">
        <v>44432.73828125</v>
      </c>
      <c r="J251" s="1">
        <v>45464</v>
      </c>
      <c r="K251">
        <v>15</v>
      </c>
      <c r="L251" t="s">
        <v>4</v>
      </c>
      <c r="M251" t="s">
        <v>4</v>
      </c>
      <c r="N251" t="s">
        <v>47</v>
      </c>
      <c r="O251">
        <v>202406</v>
      </c>
      <c r="P251">
        <v>90004.5</v>
      </c>
      <c r="Q251" t="s">
        <v>135</v>
      </c>
      <c r="R251" t="s">
        <v>136</v>
      </c>
      <c r="S251" t="s">
        <v>18</v>
      </c>
      <c r="T251" t="s">
        <v>19</v>
      </c>
      <c r="U251" t="s">
        <v>20</v>
      </c>
      <c r="V251">
        <v>1</v>
      </c>
      <c r="W251" t="s">
        <v>21</v>
      </c>
      <c r="X251" t="s">
        <v>59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12</v>
      </c>
      <c r="AG251" t="s">
        <v>12</v>
      </c>
      <c r="AH251" t="s">
        <v>12</v>
      </c>
      <c r="AI251" t="s">
        <v>12</v>
      </c>
      <c r="AJ251" t="s">
        <v>12</v>
      </c>
      <c r="AK251">
        <v>1</v>
      </c>
      <c r="AL251">
        <v>1</v>
      </c>
      <c r="AM251">
        <v>0.24</v>
      </c>
      <c r="AN251" t="s">
        <v>12</v>
      </c>
      <c r="AO251" t="s">
        <v>12</v>
      </c>
    </row>
    <row r="252" spans="1:41" x14ac:dyDescent="0.35">
      <c r="A252">
        <v>16789285</v>
      </c>
      <c r="B252">
        <v>202512</v>
      </c>
      <c r="C252">
        <v>10452469681</v>
      </c>
      <c r="D252" t="s">
        <v>468</v>
      </c>
      <c r="E252">
        <v>45246968</v>
      </c>
      <c r="F252">
        <v>10264190</v>
      </c>
      <c r="G252" t="s">
        <v>65</v>
      </c>
      <c r="H252" t="s">
        <v>124</v>
      </c>
      <c r="I252">
        <v>48841.65625</v>
      </c>
      <c r="J252" s="1">
        <v>45650</v>
      </c>
      <c r="K252">
        <v>14.5</v>
      </c>
      <c r="L252" t="s">
        <v>37</v>
      </c>
      <c r="M252" t="s">
        <v>37</v>
      </c>
      <c r="N252" t="s">
        <v>47</v>
      </c>
      <c r="O252">
        <v>202412</v>
      </c>
      <c r="P252">
        <v>60003</v>
      </c>
      <c r="Q252" t="s">
        <v>124</v>
      </c>
      <c r="R252" t="s">
        <v>125</v>
      </c>
      <c r="S252" t="s">
        <v>88</v>
      </c>
      <c r="T252" t="s">
        <v>89</v>
      </c>
      <c r="U252" t="s">
        <v>9</v>
      </c>
      <c r="V252">
        <v>2</v>
      </c>
      <c r="W252" t="s">
        <v>10</v>
      </c>
      <c r="X252" t="s">
        <v>59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12</v>
      </c>
      <c r="AG252" t="s">
        <v>12</v>
      </c>
      <c r="AH252" t="s">
        <v>12</v>
      </c>
      <c r="AI252" t="s">
        <v>12</v>
      </c>
      <c r="AJ252" t="s">
        <v>12</v>
      </c>
      <c r="AK252">
        <v>0</v>
      </c>
      <c r="AL252">
        <v>0</v>
      </c>
      <c r="AM252">
        <v>0</v>
      </c>
      <c r="AN252" t="s">
        <v>12</v>
      </c>
      <c r="AO252" t="s">
        <v>12</v>
      </c>
    </row>
    <row r="253" spans="1:41" x14ac:dyDescent="0.35">
      <c r="A253">
        <v>19887848</v>
      </c>
      <c r="B253">
        <v>202503</v>
      </c>
      <c r="C253">
        <v>20609334402</v>
      </c>
      <c r="D253" t="s">
        <v>469</v>
      </c>
      <c r="E253" t="s">
        <v>1</v>
      </c>
      <c r="F253">
        <v>10264487</v>
      </c>
      <c r="G253" t="s">
        <v>24</v>
      </c>
      <c r="H253" t="s">
        <v>159</v>
      </c>
      <c r="I253">
        <v>45067.91015625</v>
      </c>
      <c r="J253" s="1">
        <v>45666</v>
      </c>
      <c r="K253">
        <v>21</v>
      </c>
      <c r="L253" t="s">
        <v>37</v>
      </c>
      <c r="M253" t="s">
        <v>37</v>
      </c>
      <c r="N253" t="s">
        <v>98</v>
      </c>
      <c r="O253">
        <v>202501</v>
      </c>
      <c r="P253">
        <v>50002.5</v>
      </c>
      <c r="Q253" t="s">
        <v>12</v>
      </c>
      <c r="R253" t="s">
        <v>12</v>
      </c>
      <c r="S253" t="s">
        <v>12</v>
      </c>
      <c r="T253" t="s">
        <v>12</v>
      </c>
      <c r="U253" t="s">
        <v>12</v>
      </c>
      <c r="V253" t="s">
        <v>12</v>
      </c>
      <c r="W253" t="s">
        <v>12</v>
      </c>
      <c r="X253" t="s">
        <v>12</v>
      </c>
      <c r="Y253" t="s">
        <v>12</v>
      </c>
      <c r="Z253" t="s">
        <v>12</v>
      </c>
      <c r="AA253" t="s">
        <v>12</v>
      </c>
      <c r="AB253" t="s">
        <v>12</v>
      </c>
      <c r="AC253" t="s">
        <v>12</v>
      </c>
      <c r="AD253" t="s">
        <v>12</v>
      </c>
      <c r="AE253" t="s">
        <v>12</v>
      </c>
      <c r="AF253" t="s">
        <v>12</v>
      </c>
      <c r="AG253" t="s">
        <v>12</v>
      </c>
      <c r="AH253" t="s">
        <v>12</v>
      </c>
      <c r="AI253" t="s">
        <v>12</v>
      </c>
      <c r="AJ253" t="s">
        <v>12</v>
      </c>
      <c r="AK253" t="s">
        <v>12</v>
      </c>
      <c r="AL253" t="s">
        <v>12</v>
      </c>
      <c r="AM253" t="s">
        <v>12</v>
      </c>
      <c r="AN253" t="s">
        <v>12</v>
      </c>
      <c r="AO253" t="s">
        <v>12</v>
      </c>
    </row>
    <row r="254" spans="1:41" x14ac:dyDescent="0.35">
      <c r="A254">
        <v>15969728</v>
      </c>
      <c r="B254">
        <v>202511</v>
      </c>
      <c r="C254">
        <v>20555553626</v>
      </c>
      <c r="D254" t="s">
        <v>470</v>
      </c>
      <c r="E254" t="s">
        <v>1</v>
      </c>
      <c r="F254">
        <v>10264704</v>
      </c>
      <c r="G254" t="s">
        <v>92</v>
      </c>
      <c r="H254" t="s">
        <v>175</v>
      </c>
      <c r="I254">
        <v>61798.63671875</v>
      </c>
      <c r="J254" s="1">
        <v>45679</v>
      </c>
      <c r="K254">
        <v>18</v>
      </c>
      <c r="L254" t="s">
        <v>4</v>
      </c>
      <c r="M254" t="s">
        <v>4</v>
      </c>
      <c r="N254" t="s">
        <v>41</v>
      </c>
      <c r="O254">
        <v>202501</v>
      </c>
      <c r="P254">
        <v>130006.5</v>
      </c>
      <c r="Q254" t="s">
        <v>175</v>
      </c>
      <c r="R254" t="s">
        <v>176</v>
      </c>
      <c r="S254" t="s">
        <v>127</v>
      </c>
      <c r="T254" t="s">
        <v>147</v>
      </c>
      <c r="U254" t="s">
        <v>20</v>
      </c>
      <c r="V254">
        <v>1</v>
      </c>
      <c r="W254" t="s">
        <v>10</v>
      </c>
      <c r="X254" t="s">
        <v>22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12</v>
      </c>
      <c r="AG254" t="s">
        <v>12</v>
      </c>
      <c r="AH254" t="s">
        <v>12</v>
      </c>
      <c r="AI254" t="s">
        <v>12</v>
      </c>
      <c r="AJ254" t="s">
        <v>12</v>
      </c>
      <c r="AK254">
        <v>1</v>
      </c>
      <c r="AL254">
        <v>1</v>
      </c>
      <c r="AM254" t="s">
        <v>12</v>
      </c>
      <c r="AN254" t="s">
        <v>12</v>
      </c>
      <c r="AO254" t="s">
        <v>12</v>
      </c>
    </row>
    <row r="255" spans="1:41" x14ac:dyDescent="0.35">
      <c r="A255">
        <v>13311887</v>
      </c>
      <c r="B255">
        <v>202505</v>
      </c>
      <c r="C255">
        <v>20544260970</v>
      </c>
      <c r="D255" t="s">
        <v>471</v>
      </c>
      <c r="E255" t="s">
        <v>1</v>
      </c>
      <c r="F255">
        <v>10157352</v>
      </c>
      <c r="G255" t="s">
        <v>2</v>
      </c>
      <c r="H255" t="s">
        <v>472</v>
      </c>
      <c r="I255">
        <v>134919.078125</v>
      </c>
      <c r="J255" s="1">
        <v>45568</v>
      </c>
      <c r="K255">
        <v>17.899999999999999</v>
      </c>
      <c r="L255" t="s">
        <v>4</v>
      </c>
      <c r="M255" t="s">
        <v>4</v>
      </c>
      <c r="N255" t="s">
        <v>5</v>
      </c>
      <c r="O255">
        <v>202410</v>
      </c>
      <c r="P255">
        <v>180009</v>
      </c>
      <c r="Q255" t="s">
        <v>12</v>
      </c>
      <c r="R255" t="s">
        <v>12</v>
      </c>
      <c r="S255" t="s">
        <v>12</v>
      </c>
      <c r="T255" t="s">
        <v>12</v>
      </c>
      <c r="U255" t="s">
        <v>12</v>
      </c>
      <c r="V255" t="s">
        <v>12</v>
      </c>
      <c r="W255" t="s">
        <v>12</v>
      </c>
      <c r="X255" t="s">
        <v>12</v>
      </c>
      <c r="Y255" t="s">
        <v>12</v>
      </c>
      <c r="Z255" t="s">
        <v>12</v>
      </c>
      <c r="AA255" t="s">
        <v>12</v>
      </c>
      <c r="AB255" t="s">
        <v>12</v>
      </c>
      <c r="AC255" t="s">
        <v>12</v>
      </c>
      <c r="AD255" t="s">
        <v>12</v>
      </c>
      <c r="AE255" t="s">
        <v>12</v>
      </c>
      <c r="AF255" t="s">
        <v>12</v>
      </c>
      <c r="AG255" t="s">
        <v>12</v>
      </c>
      <c r="AH255" t="s">
        <v>12</v>
      </c>
      <c r="AI255" t="s">
        <v>12</v>
      </c>
      <c r="AJ255" t="s">
        <v>12</v>
      </c>
      <c r="AK255" t="s">
        <v>12</v>
      </c>
      <c r="AL255" t="s">
        <v>12</v>
      </c>
      <c r="AM255" t="s">
        <v>12</v>
      </c>
      <c r="AN255" t="s">
        <v>12</v>
      </c>
      <c r="AO255" t="s">
        <v>12</v>
      </c>
    </row>
    <row r="256" spans="1:41" x14ac:dyDescent="0.35">
      <c r="A256">
        <v>21255453</v>
      </c>
      <c r="B256">
        <v>202601</v>
      </c>
      <c r="C256">
        <v>20600807448</v>
      </c>
      <c r="D256" t="s">
        <v>473</v>
      </c>
      <c r="E256" t="s">
        <v>1</v>
      </c>
      <c r="F256">
        <v>10270863</v>
      </c>
      <c r="G256" t="s">
        <v>78</v>
      </c>
      <c r="H256" t="s">
        <v>93</v>
      </c>
      <c r="I256">
        <v>128867.5078125</v>
      </c>
      <c r="J256" s="1">
        <v>45897</v>
      </c>
      <c r="K256">
        <v>18</v>
      </c>
      <c r="L256" t="s">
        <v>4</v>
      </c>
      <c r="M256" t="s">
        <v>4</v>
      </c>
      <c r="N256" t="s">
        <v>41</v>
      </c>
      <c r="O256">
        <v>202508</v>
      </c>
      <c r="P256">
        <v>150007.5</v>
      </c>
      <c r="Q256" t="s">
        <v>93</v>
      </c>
      <c r="R256" t="s">
        <v>94</v>
      </c>
      <c r="S256" t="s">
        <v>7</v>
      </c>
      <c r="T256" t="s">
        <v>8</v>
      </c>
      <c r="U256" t="s">
        <v>63</v>
      </c>
      <c r="V256">
        <v>1</v>
      </c>
      <c r="W256" t="s">
        <v>21</v>
      </c>
      <c r="X256" t="s">
        <v>22</v>
      </c>
      <c r="Y256">
        <v>1</v>
      </c>
      <c r="Z256">
        <v>1</v>
      </c>
      <c r="AA256">
        <v>0</v>
      </c>
      <c r="AB256">
        <v>0</v>
      </c>
      <c r="AC256">
        <v>1</v>
      </c>
      <c r="AD256">
        <v>1</v>
      </c>
      <c r="AE256">
        <v>0</v>
      </c>
      <c r="AF256" t="s">
        <v>12</v>
      </c>
      <c r="AG256" t="s">
        <v>12</v>
      </c>
      <c r="AH256" t="s">
        <v>12</v>
      </c>
      <c r="AI256" t="s">
        <v>12</v>
      </c>
      <c r="AJ256" t="s">
        <v>12</v>
      </c>
      <c r="AK256">
        <v>50000</v>
      </c>
      <c r="AL256">
        <v>0.21</v>
      </c>
      <c r="AM256">
        <v>0.19</v>
      </c>
      <c r="AN256" t="s">
        <v>12</v>
      </c>
      <c r="AO256" t="s">
        <v>12</v>
      </c>
    </row>
    <row r="257" spans="1:41" x14ac:dyDescent="0.35">
      <c r="A257">
        <v>16176775</v>
      </c>
      <c r="B257">
        <v>202506</v>
      </c>
      <c r="C257">
        <v>20602132600</v>
      </c>
      <c r="D257" t="s">
        <v>474</v>
      </c>
      <c r="E257" t="s">
        <v>1</v>
      </c>
      <c r="F257">
        <v>10267076</v>
      </c>
      <c r="G257" t="s">
        <v>24</v>
      </c>
      <c r="H257" t="s">
        <v>159</v>
      </c>
      <c r="I257">
        <v>66305.953125</v>
      </c>
      <c r="J257" s="1">
        <v>45762</v>
      </c>
      <c r="K257">
        <v>18.200001</v>
      </c>
      <c r="L257" t="s">
        <v>37</v>
      </c>
      <c r="M257" t="s">
        <v>37</v>
      </c>
      <c r="N257" t="s">
        <v>98</v>
      </c>
      <c r="O257">
        <v>202504</v>
      </c>
      <c r="P257">
        <v>100005</v>
      </c>
      <c r="Q257" t="s">
        <v>12</v>
      </c>
      <c r="R257" t="s">
        <v>12</v>
      </c>
      <c r="S257" t="s">
        <v>12</v>
      </c>
      <c r="T257" t="s">
        <v>12</v>
      </c>
      <c r="U257" t="s">
        <v>12</v>
      </c>
      <c r="V257" t="s">
        <v>12</v>
      </c>
      <c r="W257" t="s">
        <v>12</v>
      </c>
      <c r="X257" t="s">
        <v>12</v>
      </c>
      <c r="Y257" t="s">
        <v>12</v>
      </c>
      <c r="Z257" t="s">
        <v>12</v>
      </c>
      <c r="AA257" t="s">
        <v>12</v>
      </c>
      <c r="AB257" t="s">
        <v>12</v>
      </c>
      <c r="AC257" t="s">
        <v>12</v>
      </c>
      <c r="AD257" t="s">
        <v>12</v>
      </c>
      <c r="AE257" t="s">
        <v>12</v>
      </c>
      <c r="AF257" t="s">
        <v>12</v>
      </c>
      <c r="AG257" t="s">
        <v>12</v>
      </c>
      <c r="AH257" t="s">
        <v>12</v>
      </c>
      <c r="AI257" t="s">
        <v>12</v>
      </c>
      <c r="AJ257" t="s">
        <v>12</v>
      </c>
      <c r="AK257" t="s">
        <v>12</v>
      </c>
      <c r="AL257" t="s">
        <v>12</v>
      </c>
      <c r="AM257" t="s">
        <v>12</v>
      </c>
      <c r="AN257" t="s">
        <v>12</v>
      </c>
      <c r="AO257" t="s">
        <v>12</v>
      </c>
    </row>
    <row r="258" spans="1:41" x14ac:dyDescent="0.35">
      <c r="A258">
        <v>17798751</v>
      </c>
      <c r="B258">
        <v>202506</v>
      </c>
      <c r="C258">
        <v>20603907389</v>
      </c>
      <c r="D258" t="s">
        <v>475</v>
      </c>
      <c r="E258" t="s">
        <v>1</v>
      </c>
      <c r="F258">
        <v>10267268</v>
      </c>
      <c r="G258" t="s">
        <v>24</v>
      </c>
      <c r="H258" t="s">
        <v>159</v>
      </c>
      <c r="I258">
        <v>58629.55859375</v>
      </c>
      <c r="J258" s="1">
        <v>45770</v>
      </c>
      <c r="K258">
        <v>18</v>
      </c>
      <c r="L258" t="s">
        <v>37</v>
      </c>
      <c r="M258" t="s">
        <v>37</v>
      </c>
      <c r="N258" t="s">
        <v>98</v>
      </c>
      <c r="O258">
        <v>202504</v>
      </c>
      <c r="P258">
        <v>60509</v>
      </c>
      <c r="Q258" t="s">
        <v>12</v>
      </c>
      <c r="R258" t="s">
        <v>12</v>
      </c>
      <c r="S258" t="s">
        <v>12</v>
      </c>
      <c r="T258" t="s">
        <v>12</v>
      </c>
      <c r="U258" t="s">
        <v>12</v>
      </c>
      <c r="V258" t="s">
        <v>12</v>
      </c>
      <c r="W258" t="s">
        <v>12</v>
      </c>
      <c r="X258" t="s">
        <v>12</v>
      </c>
      <c r="Y258" t="s">
        <v>12</v>
      </c>
      <c r="Z258" t="s">
        <v>12</v>
      </c>
      <c r="AA258" t="s">
        <v>12</v>
      </c>
      <c r="AB258" t="s">
        <v>12</v>
      </c>
      <c r="AC258" t="s">
        <v>12</v>
      </c>
      <c r="AD258" t="s">
        <v>12</v>
      </c>
      <c r="AE258" t="s">
        <v>12</v>
      </c>
      <c r="AF258" t="s">
        <v>12</v>
      </c>
      <c r="AG258" t="s">
        <v>12</v>
      </c>
      <c r="AH258" t="s">
        <v>12</v>
      </c>
      <c r="AI258" t="s">
        <v>12</v>
      </c>
      <c r="AJ258" t="s">
        <v>12</v>
      </c>
      <c r="AK258" t="s">
        <v>12</v>
      </c>
      <c r="AL258" t="s">
        <v>12</v>
      </c>
      <c r="AM258" t="s">
        <v>12</v>
      </c>
      <c r="AN258" t="s">
        <v>12</v>
      </c>
      <c r="AO258" t="s">
        <v>12</v>
      </c>
    </row>
    <row r="259" spans="1:41" x14ac:dyDescent="0.35">
      <c r="A259">
        <v>21600162</v>
      </c>
      <c r="B259">
        <v>202506</v>
      </c>
      <c r="C259">
        <v>20610099310</v>
      </c>
      <c r="D259" t="s">
        <v>476</v>
      </c>
      <c r="E259" t="s">
        <v>1</v>
      </c>
      <c r="F259">
        <v>10267534</v>
      </c>
      <c r="G259" t="s">
        <v>268</v>
      </c>
      <c r="H259" t="s">
        <v>159</v>
      </c>
      <c r="I259">
        <v>35258.44921875</v>
      </c>
      <c r="J259" s="1">
        <v>45777</v>
      </c>
      <c r="K259">
        <v>24</v>
      </c>
      <c r="L259" t="s">
        <v>37</v>
      </c>
      <c r="M259" t="s">
        <v>37</v>
      </c>
      <c r="N259" t="s">
        <v>98</v>
      </c>
      <c r="O259">
        <v>202504</v>
      </c>
      <c r="P259">
        <v>36801.800000000003</v>
      </c>
      <c r="Q259" t="s">
        <v>12</v>
      </c>
      <c r="R259" t="s">
        <v>12</v>
      </c>
      <c r="S259" t="s">
        <v>12</v>
      </c>
      <c r="T259" t="s">
        <v>12</v>
      </c>
      <c r="U259" t="s">
        <v>12</v>
      </c>
      <c r="V259" t="s">
        <v>12</v>
      </c>
      <c r="W259" t="s">
        <v>12</v>
      </c>
      <c r="X259" t="s">
        <v>12</v>
      </c>
      <c r="Y259" t="s">
        <v>12</v>
      </c>
      <c r="Z259" t="s">
        <v>12</v>
      </c>
      <c r="AA259" t="s">
        <v>12</v>
      </c>
      <c r="AB259" t="s">
        <v>12</v>
      </c>
      <c r="AC259" t="s">
        <v>12</v>
      </c>
      <c r="AD259" t="s">
        <v>12</v>
      </c>
      <c r="AE259" t="s">
        <v>12</v>
      </c>
      <c r="AF259" t="s">
        <v>12</v>
      </c>
      <c r="AG259" t="s">
        <v>12</v>
      </c>
      <c r="AH259" t="s">
        <v>12</v>
      </c>
      <c r="AI259" t="s">
        <v>12</v>
      </c>
      <c r="AJ259" t="s">
        <v>12</v>
      </c>
      <c r="AK259" t="s">
        <v>12</v>
      </c>
      <c r="AL259" t="s">
        <v>12</v>
      </c>
      <c r="AM259" t="s">
        <v>12</v>
      </c>
      <c r="AN259" t="s">
        <v>12</v>
      </c>
      <c r="AO259" t="s">
        <v>12</v>
      </c>
    </row>
    <row r="260" spans="1:41" x14ac:dyDescent="0.35">
      <c r="A260">
        <v>21447239</v>
      </c>
      <c r="B260">
        <v>202512</v>
      </c>
      <c r="C260">
        <v>20604493006</v>
      </c>
      <c r="D260" t="s">
        <v>477</v>
      </c>
      <c r="E260" t="s">
        <v>1</v>
      </c>
      <c r="F260">
        <v>10273745</v>
      </c>
      <c r="G260" t="s">
        <v>92</v>
      </c>
      <c r="H260" t="s">
        <v>217</v>
      </c>
      <c r="I260">
        <v>150007.484375</v>
      </c>
      <c r="J260" s="1">
        <v>45996</v>
      </c>
      <c r="K260">
        <v>16</v>
      </c>
      <c r="L260" t="s">
        <v>4</v>
      </c>
      <c r="M260" t="s">
        <v>4</v>
      </c>
      <c r="N260" t="s">
        <v>41</v>
      </c>
      <c r="O260">
        <v>202512</v>
      </c>
      <c r="P260">
        <v>150007.5</v>
      </c>
      <c r="Q260" t="s">
        <v>217</v>
      </c>
      <c r="R260" t="s">
        <v>218</v>
      </c>
      <c r="S260" t="s">
        <v>478</v>
      </c>
      <c r="T260" t="s">
        <v>479</v>
      </c>
      <c r="U260" t="s">
        <v>41</v>
      </c>
      <c r="V260">
        <v>1</v>
      </c>
      <c r="W260" t="s">
        <v>10</v>
      </c>
      <c r="X260" t="s">
        <v>51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150007.5</v>
      </c>
      <c r="AF260">
        <v>16</v>
      </c>
      <c r="AG260" s="1">
        <v>45996</v>
      </c>
      <c r="AH260" t="s">
        <v>41</v>
      </c>
      <c r="AI260" t="s">
        <v>4</v>
      </c>
      <c r="AJ260" t="s">
        <v>33</v>
      </c>
      <c r="AK260">
        <v>250000</v>
      </c>
      <c r="AL260">
        <v>0.21</v>
      </c>
      <c r="AM260">
        <v>0.19</v>
      </c>
      <c r="AN260" t="s">
        <v>12</v>
      </c>
      <c r="AO260" t="s">
        <v>12</v>
      </c>
    </row>
    <row r="261" spans="1:41" x14ac:dyDescent="0.35">
      <c r="A261">
        <v>15052700</v>
      </c>
      <c r="B261">
        <v>202505</v>
      </c>
      <c r="C261">
        <v>10756521875</v>
      </c>
      <c r="D261" t="s">
        <v>480</v>
      </c>
      <c r="E261">
        <v>75652187</v>
      </c>
      <c r="F261">
        <v>10249626</v>
      </c>
      <c r="G261" t="s">
        <v>65</v>
      </c>
      <c r="H261" t="s">
        <v>481</v>
      </c>
      <c r="I261">
        <v>62553.72265625</v>
      </c>
      <c r="J261" s="1">
        <v>45370</v>
      </c>
      <c r="K261">
        <v>13.8</v>
      </c>
      <c r="L261" t="s">
        <v>37</v>
      </c>
      <c r="M261" t="s">
        <v>37</v>
      </c>
      <c r="N261" t="s">
        <v>47</v>
      </c>
      <c r="O261">
        <v>202403</v>
      </c>
      <c r="P261">
        <v>90004.5</v>
      </c>
      <c r="Q261" t="s">
        <v>251</v>
      </c>
      <c r="R261" t="s">
        <v>252</v>
      </c>
      <c r="S261" t="s">
        <v>111</v>
      </c>
      <c r="T261" t="s">
        <v>112</v>
      </c>
      <c r="U261" t="s">
        <v>41</v>
      </c>
      <c r="V261">
        <v>2</v>
      </c>
      <c r="W261" t="s">
        <v>90</v>
      </c>
      <c r="X261" t="s">
        <v>12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 t="s">
        <v>12</v>
      </c>
      <c r="AG261" t="s">
        <v>12</v>
      </c>
      <c r="AH261" t="s">
        <v>12</v>
      </c>
      <c r="AI261" t="s">
        <v>12</v>
      </c>
      <c r="AJ261" t="s">
        <v>12</v>
      </c>
      <c r="AK261">
        <v>200000</v>
      </c>
      <c r="AL261">
        <v>0.2</v>
      </c>
      <c r="AM261">
        <v>0.17780000000000001</v>
      </c>
      <c r="AN261" t="s">
        <v>12</v>
      </c>
      <c r="AO261" t="s">
        <v>12</v>
      </c>
    </row>
    <row r="262" spans="1:41" x14ac:dyDescent="0.35">
      <c r="A262">
        <v>19312773</v>
      </c>
      <c r="B262">
        <v>202602</v>
      </c>
      <c r="C262">
        <v>10410040498</v>
      </c>
      <c r="D262" t="s">
        <v>482</v>
      </c>
      <c r="E262">
        <v>41004049</v>
      </c>
      <c r="F262">
        <v>10249162</v>
      </c>
      <c r="G262" t="s">
        <v>65</v>
      </c>
      <c r="H262" t="s">
        <v>483</v>
      </c>
      <c r="I262">
        <v>20716.48828125</v>
      </c>
      <c r="J262" s="1">
        <v>45363</v>
      </c>
      <c r="K262">
        <v>14.6</v>
      </c>
      <c r="L262" t="s">
        <v>37</v>
      </c>
      <c r="M262" t="s">
        <v>37</v>
      </c>
      <c r="N262" t="s">
        <v>47</v>
      </c>
      <c r="O262">
        <v>202403</v>
      </c>
      <c r="P262">
        <v>75603.75</v>
      </c>
      <c r="Q262" t="s">
        <v>12</v>
      </c>
      <c r="R262" t="s">
        <v>12</v>
      </c>
      <c r="S262" t="s">
        <v>12</v>
      </c>
      <c r="T262" t="s">
        <v>12</v>
      </c>
      <c r="U262" t="s">
        <v>196</v>
      </c>
      <c r="V262">
        <v>3</v>
      </c>
      <c r="W262" t="s">
        <v>90</v>
      </c>
      <c r="X262" t="s">
        <v>59</v>
      </c>
      <c r="Y262">
        <v>1</v>
      </c>
      <c r="Z262">
        <v>1</v>
      </c>
      <c r="AA262">
        <v>0</v>
      </c>
      <c r="AB262">
        <v>0</v>
      </c>
      <c r="AC262">
        <v>1</v>
      </c>
      <c r="AD262" t="s">
        <v>12</v>
      </c>
      <c r="AE262">
        <v>0</v>
      </c>
      <c r="AF262" t="s">
        <v>12</v>
      </c>
      <c r="AG262" t="s">
        <v>12</v>
      </c>
      <c r="AH262" t="s">
        <v>12</v>
      </c>
      <c r="AI262" t="s">
        <v>12</v>
      </c>
      <c r="AJ262" t="s">
        <v>12</v>
      </c>
      <c r="AK262" t="s">
        <v>12</v>
      </c>
      <c r="AL262" t="s">
        <v>12</v>
      </c>
      <c r="AM262" t="s">
        <v>12</v>
      </c>
      <c r="AN262" t="s">
        <v>269</v>
      </c>
      <c r="AO262" t="s">
        <v>270</v>
      </c>
    </row>
    <row r="263" spans="1:41" x14ac:dyDescent="0.35">
      <c r="A263">
        <v>19312773</v>
      </c>
      <c r="B263">
        <v>202602</v>
      </c>
      <c r="C263">
        <v>10410040498</v>
      </c>
      <c r="D263" t="s">
        <v>482</v>
      </c>
      <c r="E263">
        <v>41004049</v>
      </c>
      <c r="F263">
        <v>10249162</v>
      </c>
      <c r="G263" t="s">
        <v>65</v>
      </c>
      <c r="H263" t="s">
        <v>483</v>
      </c>
      <c r="I263">
        <v>20716.48828125</v>
      </c>
      <c r="J263" s="1">
        <v>45363</v>
      </c>
      <c r="K263">
        <v>14.6</v>
      </c>
      <c r="L263" t="s">
        <v>37</v>
      </c>
      <c r="M263" t="s">
        <v>37</v>
      </c>
      <c r="N263" t="s">
        <v>47</v>
      </c>
      <c r="O263">
        <v>202403</v>
      </c>
      <c r="P263">
        <v>75603.75</v>
      </c>
      <c r="Q263" t="s">
        <v>484</v>
      </c>
      <c r="R263" t="s">
        <v>485</v>
      </c>
      <c r="S263" t="s">
        <v>88</v>
      </c>
      <c r="T263" t="s">
        <v>89</v>
      </c>
      <c r="U263" t="s">
        <v>63</v>
      </c>
      <c r="V263">
        <v>2</v>
      </c>
      <c r="W263" t="s">
        <v>90</v>
      </c>
      <c r="X263" t="s">
        <v>59</v>
      </c>
      <c r="Y263">
        <v>1</v>
      </c>
      <c r="Z263">
        <v>1</v>
      </c>
      <c r="AA263">
        <v>0</v>
      </c>
      <c r="AB263">
        <v>0</v>
      </c>
      <c r="AC263">
        <v>1</v>
      </c>
      <c r="AD263">
        <v>0</v>
      </c>
      <c r="AE263">
        <v>0</v>
      </c>
      <c r="AF263" t="s">
        <v>12</v>
      </c>
      <c r="AG263" t="s">
        <v>12</v>
      </c>
      <c r="AH263" t="s">
        <v>12</v>
      </c>
      <c r="AI263" t="s">
        <v>12</v>
      </c>
      <c r="AJ263" t="s">
        <v>12</v>
      </c>
      <c r="AK263">
        <v>250000</v>
      </c>
      <c r="AL263">
        <v>0.22589999999999999</v>
      </c>
      <c r="AM263">
        <v>0.2059</v>
      </c>
      <c r="AN263" t="s">
        <v>12</v>
      </c>
      <c r="AO263" t="s">
        <v>12</v>
      </c>
    </row>
    <row r="264" spans="1:41" x14ac:dyDescent="0.35">
      <c r="A264">
        <v>17133657</v>
      </c>
      <c r="B264">
        <v>202511</v>
      </c>
      <c r="C264">
        <v>20523691261</v>
      </c>
      <c r="D264" t="s">
        <v>486</v>
      </c>
      <c r="E264" t="s">
        <v>1</v>
      </c>
      <c r="F264">
        <v>10248605</v>
      </c>
      <c r="G264" t="s">
        <v>65</v>
      </c>
      <c r="H264" t="s">
        <v>31</v>
      </c>
      <c r="I264">
        <v>3887.61767578125</v>
      </c>
      <c r="J264" s="1">
        <v>45350</v>
      </c>
      <c r="K264">
        <v>15</v>
      </c>
      <c r="L264" t="s">
        <v>37</v>
      </c>
      <c r="M264" t="s">
        <v>37</v>
      </c>
      <c r="N264" t="s">
        <v>47</v>
      </c>
      <c r="O264">
        <v>202402</v>
      </c>
      <c r="P264">
        <v>90004.5</v>
      </c>
      <c r="Q264" t="s">
        <v>12</v>
      </c>
      <c r="R264" t="s">
        <v>12</v>
      </c>
      <c r="S264" t="s">
        <v>12</v>
      </c>
      <c r="T264" t="s">
        <v>12</v>
      </c>
      <c r="U264" t="s">
        <v>12</v>
      </c>
      <c r="V264" t="s">
        <v>12</v>
      </c>
      <c r="W264" t="s">
        <v>12</v>
      </c>
      <c r="X264" t="s">
        <v>12</v>
      </c>
      <c r="Y264" t="s">
        <v>12</v>
      </c>
      <c r="Z264" t="s">
        <v>12</v>
      </c>
      <c r="AA264" t="s">
        <v>12</v>
      </c>
      <c r="AB264" t="s">
        <v>12</v>
      </c>
      <c r="AC264" t="s">
        <v>12</v>
      </c>
      <c r="AD264" t="s">
        <v>12</v>
      </c>
      <c r="AE264" t="s">
        <v>12</v>
      </c>
      <c r="AF264" t="s">
        <v>12</v>
      </c>
      <c r="AG264" t="s">
        <v>12</v>
      </c>
      <c r="AH264" t="s">
        <v>12</v>
      </c>
      <c r="AI264" t="s">
        <v>12</v>
      </c>
      <c r="AJ264" t="s">
        <v>12</v>
      </c>
      <c r="AK264" t="s">
        <v>12</v>
      </c>
      <c r="AL264" t="s">
        <v>12</v>
      </c>
      <c r="AM264" t="s">
        <v>12</v>
      </c>
      <c r="AN264" t="s">
        <v>12</v>
      </c>
      <c r="AO264" t="s">
        <v>12</v>
      </c>
    </row>
    <row r="265" spans="1:41" x14ac:dyDescent="0.35">
      <c r="A265">
        <v>19055692</v>
      </c>
      <c r="B265">
        <v>202601</v>
      </c>
      <c r="C265">
        <v>20609640198</v>
      </c>
      <c r="D265" t="s">
        <v>487</v>
      </c>
      <c r="E265" t="s">
        <v>1</v>
      </c>
      <c r="F265">
        <v>10265201</v>
      </c>
      <c r="G265" t="s">
        <v>92</v>
      </c>
      <c r="H265" t="s">
        <v>129</v>
      </c>
      <c r="I265">
        <v>104967.4140625</v>
      </c>
      <c r="J265" s="1">
        <v>45698</v>
      </c>
      <c r="K265">
        <v>17.879999000000002</v>
      </c>
      <c r="L265" t="s">
        <v>4</v>
      </c>
      <c r="M265" t="s">
        <v>4</v>
      </c>
      <c r="N265" t="s">
        <v>41</v>
      </c>
      <c r="O265">
        <v>202502</v>
      </c>
      <c r="P265">
        <v>180009</v>
      </c>
      <c r="Q265" t="s">
        <v>129</v>
      </c>
      <c r="R265" t="s">
        <v>130</v>
      </c>
      <c r="S265" t="s">
        <v>49</v>
      </c>
      <c r="T265" t="s">
        <v>50</v>
      </c>
      <c r="U265" t="s">
        <v>20</v>
      </c>
      <c r="V265">
        <v>1</v>
      </c>
      <c r="W265" t="s">
        <v>10</v>
      </c>
      <c r="X265" t="s">
        <v>51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12</v>
      </c>
      <c r="AG265" t="s">
        <v>12</v>
      </c>
      <c r="AH265" t="s">
        <v>12</v>
      </c>
      <c r="AI265" t="s">
        <v>12</v>
      </c>
      <c r="AJ265" t="s">
        <v>12</v>
      </c>
      <c r="AK265">
        <v>1</v>
      </c>
      <c r="AL265">
        <v>1</v>
      </c>
      <c r="AM265">
        <v>0.24</v>
      </c>
      <c r="AN265" t="s">
        <v>12</v>
      </c>
      <c r="AO265" t="s">
        <v>12</v>
      </c>
    </row>
    <row r="266" spans="1:41" x14ac:dyDescent="0.35">
      <c r="A266">
        <v>18135507</v>
      </c>
      <c r="B266">
        <v>202511</v>
      </c>
      <c r="C266">
        <v>10074574519</v>
      </c>
      <c r="D266" t="s">
        <v>488</v>
      </c>
      <c r="E266">
        <v>7457451</v>
      </c>
      <c r="F266">
        <v>10271602</v>
      </c>
      <c r="G266" t="s">
        <v>24</v>
      </c>
      <c r="H266" t="s">
        <v>183</v>
      </c>
      <c r="I266">
        <v>67858.84375</v>
      </c>
      <c r="J266" s="1">
        <v>45923</v>
      </c>
      <c r="K266">
        <v>19</v>
      </c>
      <c r="L266" t="s">
        <v>37</v>
      </c>
      <c r="M266" t="s">
        <v>37</v>
      </c>
      <c r="N266" t="s">
        <v>98</v>
      </c>
      <c r="O266">
        <v>202509</v>
      </c>
      <c r="P266">
        <v>70003.5</v>
      </c>
      <c r="Q266" t="s">
        <v>12</v>
      </c>
      <c r="R266" t="s">
        <v>12</v>
      </c>
      <c r="S266" t="s">
        <v>12</v>
      </c>
      <c r="T266" t="s">
        <v>12</v>
      </c>
      <c r="U266" t="s">
        <v>12</v>
      </c>
      <c r="V266" t="s">
        <v>12</v>
      </c>
      <c r="W266" t="s">
        <v>12</v>
      </c>
      <c r="X266" t="s">
        <v>12</v>
      </c>
      <c r="Y266" t="s">
        <v>12</v>
      </c>
      <c r="Z266" t="s">
        <v>12</v>
      </c>
      <c r="AA266" t="s">
        <v>12</v>
      </c>
      <c r="AB266" t="s">
        <v>12</v>
      </c>
      <c r="AC266" t="s">
        <v>12</v>
      </c>
      <c r="AD266" t="s">
        <v>12</v>
      </c>
      <c r="AE266" t="s">
        <v>12</v>
      </c>
      <c r="AF266" t="s">
        <v>12</v>
      </c>
      <c r="AG266" t="s">
        <v>12</v>
      </c>
      <c r="AH266" t="s">
        <v>12</v>
      </c>
      <c r="AI266" t="s">
        <v>12</v>
      </c>
      <c r="AJ266" t="s">
        <v>12</v>
      </c>
      <c r="AK266" t="s">
        <v>12</v>
      </c>
      <c r="AL266" t="s">
        <v>12</v>
      </c>
      <c r="AM266" t="s">
        <v>12</v>
      </c>
      <c r="AN266" t="s">
        <v>12</v>
      </c>
      <c r="AO266" t="s">
        <v>12</v>
      </c>
    </row>
    <row r="267" spans="1:41" x14ac:dyDescent="0.35">
      <c r="A267">
        <v>20346638</v>
      </c>
      <c r="B267">
        <v>202511</v>
      </c>
      <c r="C267">
        <v>20604561290</v>
      </c>
      <c r="D267" t="s">
        <v>489</v>
      </c>
      <c r="E267" t="s">
        <v>1</v>
      </c>
      <c r="F267">
        <v>10269645</v>
      </c>
      <c r="G267" t="s">
        <v>73</v>
      </c>
      <c r="H267" t="s">
        <v>153</v>
      </c>
      <c r="I267">
        <v>102777.484375</v>
      </c>
      <c r="J267" s="1">
        <v>45854</v>
      </c>
      <c r="K267">
        <v>18.5</v>
      </c>
      <c r="L267" t="s">
        <v>86</v>
      </c>
      <c r="M267" t="s">
        <v>86</v>
      </c>
      <c r="N267" t="s">
        <v>20</v>
      </c>
      <c r="O267">
        <v>202507</v>
      </c>
      <c r="P267">
        <v>120006</v>
      </c>
      <c r="Q267" t="s">
        <v>153</v>
      </c>
      <c r="R267" t="s">
        <v>154</v>
      </c>
      <c r="S267" t="s">
        <v>88</v>
      </c>
      <c r="T267" t="s">
        <v>89</v>
      </c>
      <c r="U267" t="s">
        <v>9</v>
      </c>
      <c r="V267">
        <v>2</v>
      </c>
      <c r="W267" t="s">
        <v>10</v>
      </c>
      <c r="X267" t="s">
        <v>22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12</v>
      </c>
      <c r="AG267" t="s">
        <v>12</v>
      </c>
      <c r="AH267" t="s">
        <v>12</v>
      </c>
      <c r="AI267" t="s">
        <v>12</v>
      </c>
      <c r="AJ267" t="s">
        <v>12</v>
      </c>
      <c r="AK267">
        <v>0</v>
      </c>
      <c r="AL267">
        <v>0</v>
      </c>
      <c r="AM267">
        <v>0</v>
      </c>
      <c r="AN267" t="s">
        <v>12</v>
      </c>
      <c r="AO267" t="s">
        <v>12</v>
      </c>
    </row>
    <row r="268" spans="1:41" x14ac:dyDescent="0.35">
      <c r="A268">
        <v>21644461</v>
      </c>
      <c r="B268">
        <v>202511</v>
      </c>
      <c r="C268">
        <v>20534882182</v>
      </c>
      <c r="D268" t="s">
        <v>490</v>
      </c>
      <c r="E268" t="s">
        <v>1</v>
      </c>
      <c r="F268">
        <v>10267923</v>
      </c>
      <c r="G268" t="s">
        <v>100</v>
      </c>
      <c r="H268" t="s">
        <v>240</v>
      </c>
      <c r="I268">
        <v>185405.890625</v>
      </c>
      <c r="J268" s="1">
        <v>45796</v>
      </c>
      <c r="K268">
        <v>15</v>
      </c>
      <c r="L268" t="s">
        <v>37</v>
      </c>
      <c r="M268" t="s">
        <v>37</v>
      </c>
      <c r="N268" t="s">
        <v>102</v>
      </c>
      <c r="O268">
        <v>202505</v>
      </c>
      <c r="P268">
        <v>215198.75</v>
      </c>
      <c r="Q268" t="s">
        <v>240</v>
      </c>
      <c r="R268" t="s">
        <v>241</v>
      </c>
      <c r="S268" t="s">
        <v>39</v>
      </c>
      <c r="T268" t="s">
        <v>40</v>
      </c>
      <c r="U268" t="s">
        <v>41</v>
      </c>
      <c r="V268">
        <v>1</v>
      </c>
      <c r="W268" t="s">
        <v>10</v>
      </c>
      <c r="X268" t="s">
        <v>22</v>
      </c>
      <c r="Y268">
        <v>1</v>
      </c>
      <c r="Z268">
        <v>1</v>
      </c>
      <c r="AA268">
        <v>0</v>
      </c>
      <c r="AB268">
        <v>0</v>
      </c>
      <c r="AC268">
        <v>1</v>
      </c>
      <c r="AD268">
        <v>1</v>
      </c>
      <c r="AE268">
        <v>0</v>
      </c>
      <c r="AF268" t="s">
        <v>12</v>
      </c>
      <c r="AG268" t="s">
        <v>12</v>
      </c>
      <c r="AH268" t="s">
        <v>12</v>
      </c>
      <c r="AI268" t="s">
        <v>12</v>
      </c>
      <c r="AJ268" t="s">
        <v>12</v>
      </c>
      <c r="AK268">
        <v>250000</v>
      </c>
      <c r="AL268">
        <v>0.21</v>
      </c>
      <c r="AM268">
        <v>0.19</v>
      </c>
      <c r="AN268" t="s">
        <v>12</v>
      </c>
      <c r="AO268" t="s">
        <v>12</v>
      </c>
    </row>
    <row r="269" spans="1:41" x14ac:dyDescent="0.35">
      <c r="A269">
        <v>21710505</v>
      </c>
      <c r="B269">
        <v>202602</v>
      </c>
      <c r="C269">
        <v>20611036010</v>
      </c>
      <c r="D269" t="s">
        <v>491</v>
      </c>
      <c r="E269" t="s">
        <v>1</v>
      </c>
      <c r="F269">
        <v>10269071</v>
      </c>
      <c r="G269" t="s">
        <v>100</v>
      </c>
      <c r="H269" t="s">
        <v>492</v>
      </c>
      <c r="I269">
        <v>12167.8466796875</v>
      </c>
      <c r="J269" s="1">
        <v>45834</v>
      </c>
      <c r="K269">
        <v>18</v>
      </c>
      <c r="L269" t="s">
        <v>37</v>
      </c>
      <c r="M269" t="s">
        <v>37</v>
      </c>
      <c r="N269" t="s">
        <v>102</v>
      </c>
      <c r="O269">
        <v>202506</v>
      </c>
      <c r="P269">
        <v>92372.6</v>
      </c>
      <c r="Q269" t="s">
        <v>492</v>
      </c>
      <c r="R269" t="s">
        <v>493</v>
      </c>
      <c r="S269" t="s">
        <v>49</v>
      </c>
      <c r="T269" t="s">
        <v>50</v>
      </c>
      <c r="U269" t="s">
        <v>177</v>
      </c>
      <c r="V269">
        <v>1</v>
      </c>
      <c r="W269" t="s">
        <v>10</v>
      </c>
      <c r="X269" t="s">
        <v>11</v>
      </c>
      <c r="Y269">
        <v>1</v>
      </c>
      <c r="Z269">
        <v>1</v>
      </c>
      <c r="AA269">
        <v>0</v>
      </c>
      <c r="AB269">
        <v>1</v>
      </c>
      <c r="AC269">
        <v>1</v>
      </c>
      <c r="AD269">
        <v>1</v>
      </c>
      <c r="AE269">
        <v>0</v>
      </c>
      <c r="AF269" t="s">
        <v>12</v>
      </c>
      <c r="AG269" t="s">
        <v>12</v>
      </c>
      <c r="AH269" t="s">
        <v>12</v>
      </c>
      <c r="AI269" t="s">
        <v>12</v>
      </c>
      <c r="AJ269" t="s">
        <v>12</v>
      </c>
      <c r="AK269">
        <v>500000</v>
      </c>
      <c r="AL269">
        <v>0.22</v>
      </c>
      <c r="AM269">
        <v>0.2</v>
      </c>
      <c r="AN269" t="s">
        <v>12</v>
      </c>
      <c r="AO269" t="s">
        <v>12</v>
      </c>
    </row>
    <row r="270" spans="1:41" x14ac:dyDescent="0.35">
      <c r="A270">
        <v>17728666</v>
      </c>
      <c r="B270">
        <v>202511</v>
      </c>
      <c r="C270">
        <v>10407166227</v>
      </c>
      <c r="D270" t="s">
        <v>494</v>
      </c>
      <c r="E270">
        <v>40716622</v>
      </c>
      <c r="F270">
        <v>10264891</v>
      </c>
      <c r="G270" t="s">
        <v>24</v>
      </c>
      <c r="H270" t="s">
        <v>85</v>
      </c>
      <c r="I270">
        <v>38113.48046875</v>
      </c>
      <c r="J270" s="1">
        <v>45685</v>
      </c>
      <c r="K270">
        <v>21.200001</v>
      </c>
      <c r="L270" t="s">
        <v>37</v>
      </c>
      <c r="M270" t="s">
        <v>75</v>
      </c>
      <c r="N270" t="s">
        <v>98</v>
      </c>
      <c r="O270">
        <v>202501</v>
      </c>
      <c r="P270">
        <v>60003</v>
      </c>
      <c r="Q270" t="s">
        <v>85</v>
      </c>
      <c r="R270" t="s">
        <v>87</v>
      </c>
      <c r="S270" t="s">
        <v>88</v>
      </c>
      <c r="T270" t="s">
        <v>89</v>
      </c>
      <c r="U270" t="s">
        <v>41</v>
      </c>
      <c r="V270">
        <v>2</v>
      </c>
      <c r="W270" t="s">
        <v>10</v>
      </c>
      <c r="X270" t="s">
        <v>59</v>
      </c>
      <c r="Y270">
        <v>1</v>
      </c>
      <c r="Z270">
        <v>1</v>
      </c>
      <c r="AA270">
        <v>0</v>
      </c>
      <c r="AB270">
        <v>0</v>
      </c>
      <c r="AC270">
        <v>1</v>
      </c>
      <c r="AD270">
        <v>1</v>
      </c>
      <c r="AE270">
        <v>0</v>
      </c>
      <c r="AF270" t="s">
        <v>12</v>
      </c>
      <c r="AG270" t="s">
        <v>12</v>
      </c>
      <c r="AH270" t="s">
        <v>12</v>
      </c>
      <c r="AI270" t="s">
        <v>12</v>
      </c>
      <c r="AJ270" t="s">
        <v>12</v>
      </c>
      <c r="AK270">
        <v>300000</v>
      </c>
      <c r="AL270">
        <v>0.23200000000000001</v>
      </c>
      <c r="AM270">
        <v>0.21199999999999999</v>
      </c>
      <c r="AN270" t="s">
        <v>12</v>
      </c>
      <c r="AO270" t="s">
        <v>12</v>
      </c>
    </row>
    <row r="271" spans="1:41" x14ac:dyDescent="0.35">
      <c r="A271">
        <v>21329203</v>
      </c>
      <c r="B271">
        <v>202512</v>
      </c>
      <c r="C271">
        <v>20570793633</v>
      </c>
      <c r="D271" t="s">
        <v>495</v>
      </c>
      <c r="E271" t="s">
        <v>1</v>
      </c>
      <c r="F271">
        <v>10263172</v>
      </c>
      <c r="G271" t="s">
        <v>65</v>
      </c>
      <c r="H271" t="s">
        <v>257</v>
      </c>
      <c r="I271">
        <v>69778.3828125</v>
      </c>
      <c r="J271" s="1">
        <v>45623</v>
      </c>
      <c r="K271">
        <v>14.5</v>
      </c>
      <c r="L271" t="s">
        <v>37</v>
      </c>
      <c r="M271" t="s">
        <v>37</v>
      </c>
      <c r="N271" t="s">
        <v>47</v>
      </c>
      <c r="O271">
        <v>202411</v>
      </c>
      <c r="P271">
        <v>90004.5</v>
      </c>
      <c r="Q271" t="s">
        <v>257</v>
      </c>
      <c r="R271" t="s">
        <v>258</v>
      </c>
      <c r="S271" t="s">
        <v>49</v>
      </c>
      <c r="T271" t="s">
        <v>50</v>
      </c>
      <c r="U271" t="s">
        <v>41</v>
      </c>
      <c r="V271">
        <v>1</v>
      </c>
      <c r="W271" t="s">
        <v>10</v>
      </c>
      <c r="X271" t="s">
        <v>51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12</v>
      </c>
      <c r="AG271" t="s">
        <v>12</v>
      </c>
      <c r="AH271" t="s">
        <v>12</v>
      </c>
      <c r="AI271" t="s">
        <v>12</v>
      </c>
      <c r="AJ271" t="s">
        <v>12</v>
      </c>
      <c r="AK271">
        <v>250000</v>
      </c>
      <c r="AL271">
        <v>0.21</v>
      </c>
      <c r="AM271">
        <v>0.19</v>
      </c>
      <c r="AN271" t="s">
        <v>12</v>
      </c>
      <c r="AO271" t="s">
        <v>12</v>
      </c>
    </row>
    <row r="272" spans="1:41" x14ac:dyDescent="0.35">
      <c r="A272">
        <v>21663515</v>
      </c>
      <c r="B272">
        <v>202510</v>
      </c>
      <c r="C272">
        <v>20604226342</v>
      </c>
      <c r="D272" t="s">
        <v>496</v>
      </c>
      <c r="E272" t="s">
        <v>1</v>
      </c>
      <c r="F272">
        <v>10268235</v>
      </c>
      <c r="G272" t="s">
        <v>268</v>
      </c>
      <c r="H272" t="s">
        <v>85</v>
      </c>
      <c r="I272">
        <v>103494.546875</v>
      </c>
      <c r="J272" s="1">
        <v>45805</v>
      </c>
      <c r="K272">
        <v>20</v>
      </c>
      <c r="L272" t="s">
        <v>37</v>
      </c>
      <c r="M272" t="s">
        <v>37</v>
      </c>
      <c r="N272" t="s">
        <v>98</v>
      </c>
      <c r="O272">
        <v>202505</v>
      </c>
      <c r="P272">
        <v>120006</v>
      </c>
      <c r="Q272" t="s">
        <v>85</v>
      </c>
      <c r="R272" t="s">
        <v>87</v>
      </c>
      <c r="S272" t="s">
        <v>88</v>
      </c>
      <c r="T272" t="s">
        <v>89</v>
      </c>
      <c r="U272" t="s">
        <v>20</v>
      </c>
      <c r="V272">
        <v>2</v>
      </c>
      <c r="W272" t="s">
        <v>10</v>
      </c>
      <c r="X272" t="s">
        <v>12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12</v>
      </c>
      <c r="AG272" t="s">
        <v>12</v>
      </c>
      <c r="AH272" t="s">
        <v>12</v>
      </c>
      <c r="AI272" t="s">
        <v>12</v>
      </c>
      <c r="AJ272" t="s">
        <v>12</v>
      </c>
      <c r="AK272">
        <v>1</v>
      </c>
      <c r="AL272">
        <v>1</v>
      </c>
      <c r="AM272" t="s">
        <v>12</v>
      </c>
      <c r="AN272" t="s">
        <v>12</v>
      </c>
      <c r="AO272" t="s">
        <v>12</v>
      </c>
    </row>
    <row r="273" spans="1:41" x14ac:dyDescent="0.35">
      <c r="A273">
        <v>21446326</v>
      </c>
      <c r="B273">
        <v>202503</v>
      </c>
      <c r="C273">
        <v>20513165332</v>
      </c>
      <c r="D273" t="s">
        <v>497</v>
      </c>
      <c r="E273" t="s">
        <v>1</v>
      </c>
      <c r="F273">
        <v>10264889</v>
      </c>
      <c r="G273" t="s">
        <v>14</v>
      </c>
      <c r="H273" t="s">
        <v>159</v>
      </c>
      <c r="I273">
        <v>140880.875</v>
      </c>
      <c r="J273" s="1">
        <v>45686</v>
      </c>
      <c r="K273">
        <v>19.200001</v>
      </c>
      <c r="L273" t="s">
        <v>37</v>
      </c>
      <c r="M273" t="s">
        <v>75</v>
      </c>
      <c r="N273" t="s">
        <v>16</v>
      </c>
      <c r="O273">
        <v>202501</v>
      </c>
      <c r="P273">
        <v>146007.29999999999</v>
      </c>
      <c r="Q273" t="s">
        <v>12</v>
      </c>
      <c r="R273" t="s">
        <v>12</v>
      </c>
      <c r="S273" t="s">
        <v>12</v>
      </c>
      <c r="T273" t="s">
        <v>12</v>
      </c>
      <c r="U273" t="s">
        <v>12</v>
      </c>
      <c r="V273" t="s">
        <v>12</v>
      </c>
      <c r="W273" t="s">
        <v>12</v>
      </c>
      <c r="X273" t="s">
        <v>12</v>
      </c>
      <c r="Y273" t="s">
        <v>12</v>
      </c>
      <c r="Z273" t="s">
        <v>12</v>
      </c>
      <c r="AA273" t="s">
        <v>12</v>
      </c>
      <c r="AB273" t="s">
        <v>12</v>
      </c>
      <c r="AC273" t="s">
        <v>12</v>
      </c>
      <c r="AD273" t="s">
        <v>12</v>
      </c>
      <c r="AE273" t="s">
        <v>12</v>
      </c>
      <c r="AF273" t="s">
        <v>12</v>
      </c>
      <c r="AG273" t="s">
        <v>12</v>
      </c>
      <c r="AH273" t="s">
        <v>12</v>
      </c>
      <c r="AI273" t="s">
        <v>12</v>
      </c>
      <c r="AJ273" t="s">
        <v>12</v>
      </c>
      <c r="AK273" t="s">
        <v>12</v>
      </c>
      <c r="AL273" t="s">
        <v>12</v>
      </c>
      <c r="AM273" t="s">
        <v>12</v>
      </c>
      <c r="AN273" t="s">
        <v>12</v>
      </c>
      <c r="AO273" t="s">
        <v>12</v>
      </c>
    </row>
    <row r="274" spans="1:41" x14ac:dyDescent="0.35">
      <c r="A274">
        <v>20921617</v>
      </c>
      <c r="B274">
        <v>202602</v>
      </c>
      <c r="C274">
        <v>10446148619</v>
      </c>
      <c r="D274" t="s">
        <v>498</v>
      </c>
      <c r="E274">
        <v>44614861</v>
      </c>
      <c r="F274">
        <v>10269685</v>
      </c>
      <c r="G274" t="s">
        <v>24</v>
      </c>
      <c r="H274" t="s">
        <v>183</v>
      </c>
      <c r="I274">
        <v>13020.85546875</v>
      </c>
      <c r="J274" s="1">
        <v>45855</v>
      </c>
      <c r="K274">
        <v>24</v>
      </c>
      <c r="L274" t="s">
        <v>37</v>
      </c>
      <c r="M274" t="s">
        <v>37</v>
      </c>
      <c r="N274" t="s">
        <v>98</v>
      </c>
      <c r="O274">
        <v>202507</v>
      </c>
      <c r="P274">
        <v>20001</v>
      </c>
      <c r="Q274" t="s">
        <v>484</v>
      </c>
      <c r="R274" t="s">
        <v>485</v>
      </c>
      <c r="S274" t="s">
        <v>88</v>
      </c>
      <c r="T274" t="s">
        <v>89</v>
      </c>
      <c r="U274" t="s">
        <v>63</v>
      </c>
      <c r="V274">
        <v>2</v>
      </c>
      <c r="W274" t="s">
        <v>90</v>
      </c>
      <c r="X274" t="s">
        <v>59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12</v>
      </c>
      <c r="AG274" t="s">
        <v>12</v>
      </c>
      <c r="AH274" t="s">
        <v>12</v>
      </c>
      <c r="AI274" t="s">
        <v>12</v>
      </c>
      <c r="AJ274" t="s">
        <v>12</v>
      </c>
      <c r="AK274">
        <v>50000</v>
      </c>
      <c r="AL274">
        <v>0.21890000000000001</v>
      </c>
      <c r="AM274">
        <v>0.19889999999999999</v>
      </c>
      <c r="AN274" t="s">
        <v>12</v>
      </c>
      <c r="AO274" t="s">
        <v>12</v>
      </c>
    </row>
    <row r="275" spans="1:41" x14ac:dyDescent="0.35">
      <c r="A275">
        <v>17362519</v>
      </c>
      <c r="B275">
        <v>202601</v>
      </c>
      <c r="C275">
        <v>20511341761</v>
      </c>
      <c r="D275" t="s">
        <v>499</v>
      </c>
      <c r="E275" t="s">
        <v>1</v>
      </c>
      <c r="F275">
        <v>10268147</v>
      </c>
      <c r="G275" t="s">
        <v>24</v>
      </c>
      <c r="H275" t="s">
        <v>500</v>
      </c>
      <c r="I275">
        <v>188080.3125</v>
      </c>
      <c r="J275" s="1">
        <v>45803</v>
      </c>
      <c r="K275">
        <v>17</v>
      </c>
      <c r="L275" t="s">
        <v>37</v>
      </c>
      <c r="M275" t="s">
        <v>37</v>
      </c>
      <c r="N275" t="s">
        <v>98</v>
      </c>
      <c r="O275">
        <v>202505</v>
      </c>
      <c r="P275">
        <v>230011.5</v>
      </c>
      <c r="Q275" t="s">
        <v>500</v>
      </c>
      <c r="R275" t="s">
        <v>501</v>
      </c>
      <c r="S275" t="s">
        <v>31</v>
      </c>
      <c r="T275" t="s">
        <v>32</v>
      </c>
      <c r="U275" t="s">
        <v>41</v>
      </c>
      <c r="V275">
        <v>1</v>
      </c>
      <c r="W275" t="s">
        <v>21</v>
      </c>
      <c r="X275" t="s">
        <v>22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150007.5</v>
      </c>
      <c r="AF275">
        <v>16</v>
      </c>
      <c r="AG275" s="1">
        <v>46034</v>
      </c>
      <c r="AH275" t="s">
        <v>41</v>
      </c>
      <c r="AI275" t="s">
        <v>4</v>
      </c>
      <c r="AJ275" t="s">
        <v>33</v>
      </c>
      <c r="AK275">
        <v>169900</v>
      </c>
      <c r="AL275">
        <v>0.21</v>
      </c>
      <c r="AM275">
        <v>0.19</v>
      </c>
      <c r="AN275" t="s">
        <v>12</v>
      </c>
      <c r="AO275" t="s">
        <v>12</v>
      </c>
    </row>
    <row r="276" spans="1:41" x14ac:dyDescent="0.35">
      <c r="A276">
        <v>21262795</v>
      </c>
      <c r="B276">
        <v>202512</v>
      </c>
      <c r="C276">
        <v>20603408609</v>
      </c>
      <c r="D276" t="s">
        <v>502</v>
      </c>
      <c r="E276" t="s">
        <v>1</v>
      </c>
      <c r="F276">
        <v>10266766</v>
      </c>
      <c r="G276" t="s">
        <v>24</v>
      </c>
      <c r="H276" t="s">
        <v>159</v>
      </c>
      <c r="I276">
        <v>26729.359375</v>
      </c>
      <c r="J276" s="1">
        <v>45747</v>
      </c>
      <c r="K276">
        <v>18.5</v>
      </c>
      <c r="L276" t="s">
        <v>37</v>
      </c>
      <c r="M276" t="s">
        <v>37</v>
      </c>
      <c r="N276" t="s">
        <v>98</v>
      </c>
      <c r="O276">
        <v>202503</v>
      </c>
      <c r="P276">
        <v>40002</v>
      </c>
      <c r="Q276" t="s">
        <v>12</v>
      </c>
      <c r="R276" t="s">
        <v>12</v>
      </c>
      <c r="S276" t="s">
        <v>12</v>
      </c>
      <c r="T276" t="s">
        <v>12</v>
      </c>
      <c r="U276" t="s">
        <v>196</v>
      </c>
      <c r="V276">
        <v>3</v>
      </c>
      <c r="W276" t="s">
        <v>10</v>
      </c>
      <c r="X276" t="s">
        <v>11</v>
      </c>
      <c r="Y276">
        <v>1</v>
      </c>
      <c r="Z276">
        <v>1</v>
      </c>
      <c r="AA276">
        <v>0</v>
      </c>
      <c r="AB276">
        <v>0</v>
      </c>
      <c r="AC276">
        <v>1</v>
      </c>
      <c r="AD276" t="s">
        <v>12</v>
      </c>
      <c r="AE276">
        <v>0</v>
      </c>
      <c r="AF276" t="s">
        <v>12</v>
      </c>
      <c r="AG276" t="s">
        <v>12</v>
      </c>
      <c r="AH276" t="s">
        <v>12</v>
      </c>
      <c r="AI276" t="s">
        <v>12</v>
      </c>
      <c r="AJ276" t="s">
        <v>12</v>
      </c>
      <c r="AK276" t="s">
        <v>12</v>
      </c>
      <c r="AL276" t="s">
        <v>12</v>
      </c>
      <c r="AM276" t="s">
        <v>12</v>
      </c>
      <c r="AN276" t="s">
        <v>269</v>
      </c>
      <c r="AO276" t="s">
        <v>270</v>
      </c>
    </row>
    <row r="277" spans="1:41" x14ac:dyDescent="0.35">
      <c r="A277">
        <v>9493252</v>
      </c>
      <c r="B277">
        <v>202602</v>
      </c>
      <c r="C277">
        <v>10428485519</v>
      </c>
      <c r="D277" t="s">
        <v>503</v>
      </c>
      <c r="E277">
        <v>42848551</v>
      </c>
      <c r="F277">
        <v>10272278</v>
      </c>
      <c r="G277" t="s">
        <v>92</v>
      </c>
      <c r="H277" t="s">
        <v>246</v>
      </c>
      <c r="I277">
        <v>160497.9375</v>
      </c>
      <c r="J277" s="1">
        <v>45946</v>
      </c>
      <c r="K277">
        <v>20.67</v>
      </c>
      <c r="L277" t="s">
        <v>4</v>
      </c>
      <c r="M277" t="s">
        <v>4</v>
      </c>
      <c r="N277" t="s">
        <v>41</v>
      </c>
      <c r="O277">
        <v>202510</v>
      </c>
      <c r="P277">
        <v>200010</v>
      </c>
      <c r="Q277" t="s">
        <v>246</v>
      </c>
      <c r="R277" t="s">
        <v>247</v>
      </c>
      <c r="S277" t="s">
        <v>18</v>
      </c>
      <c r="T277" t="s">
        <v>19</v>
      </c>
      <c r="U277" t="s">
        <v>138</v>
      </c>
      <c r="V277">
        <v>1</v>
      </c>
      <c r="W277" t="s">
        <v>10</v>
      </c>
      <c r="X277" t="s">
        <v>22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12</v>
      </c>
      <c r="AG277" t="s">
        <v>12</v>
      </c>
      <c r="AH277" t="s">
        <v>12</v>
      </c>
      <c r="AI277" t="s">
        <v>12</v>
      </c>
      <c r="AJ277" t="s">
        <v>12</v>
      </c>
      <c r="AK277">
        <v>0</v>
      </c>
      <c r="AL277">
        <v>0</v>
      </c>
      <c r="AM277">
        <v>0</v>
      </c>
      <c r="AN277" t="s">
        <v>12</v>
      </c>
      <c r="AO277" t="s">
        <v>12</v>
      </c>
    </row>
    <row r="278" spans="1:41" x14ac:dyDescent="0.35">
      <c r="A278">
        <v>14658309</v>
      </c>
      <c r="B278">
        <v>202505</v>
      </c>
      <c r="C278">
        <v>20494997283</v>
      </c>
      <c r="D278" t="s">
        <v>504</v>
      </c>
      <c r="E278" t="s">
        <v>1</v>
      </c>
      <c r="F278">
        <v>10154040</v>
      </c>
      <c r="G278" t="s">
        <v>2</v>
      </c>
      <c r="H278" t="s">
        <v>500</v>
      </c>
      <c r="I278">
        <v>34291.30078125</v>
      </c>
      <c r="J278" s="1">
        <v>45684</v>
      </c>
      <c r="K278">
        <v>19</v>
      </c>
      <c r="L278" t="s">
        <v>4</v>
      </c>
      <c r="M278" t="s">
        <v>4</v>
      </c>
      <c r="N278" t="s">
        <v>5</v>
      </c>
      <c r="O278">
        <v>202501</v>
      </c>
      <c r="P278">
        <v>38001.9</v>
      </c>
      <c r="Q278" t="s">
        <v>500</v>
      </c>
      <c r="R278" t="s">
        <v>501</v>
      </c>
      <c r="S278" t="s">
        <v>31</v>
      </c>
      <c r="T278" t="s">
        <v>32</v>
      </c>
      <c r="U278" t="s">
        <v>20</v>
      </c>
      <c r="V278">
        <v>1</v>
      </c>
      <c r="W278" t="s">
        <v>10</v>
      </c>
      <c r="X278" t="s">
        <v>12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12</v>
      </c>
      <c r="AG278" t="s">
        <v>12</v>
      </c>
      <c r="AH278" t="s">
        <v>12</v>
      </c>
      <c r="AI278" t="s">
        <v>12</v>
      </c>
      <c r="AJ278" t="s">
        <v>12</v>
      </c>
      <c r="AK278">
        <v>0</v>
      </c>
      <c r="AL278">
        <v>0</v>
      </c>
      <c r="AM278">
        <v>0.27079999999999999</v>
      </c>
      <c r="AN278" t="s">
        <v>12</v>
      </c>
      <c r="AO278" t="s">
        <v>12</v>
      </c>
    </row>
    <row r="279" spans="1:41" x14ac:dyDescent="0.35">
      <c r="A279">
        <v>12757585</v>
      </c>
      <c r="B279">
        <v>202512</v>
      </c>
      <c r="C279">
        <v>10450778830</v>
      </c>
      <c r="D279" t="s">
        <v>505</v>
      </c>
      <c r="E279">
        <v>45077883</v>
      </c>
      <c r="F279">
        <v>10262918</v>
      </c>
      <c r="G279" t="s">
        <v>45</v>
      </c>
      <c r="H279" t="s">
        <v>506</v>
      </c>
      <c r="I279">
        <v>44311.6953125</v>
      </c>
      <c r="J279" s="1">
        <v>45617</v>
      </c>
      <c r="K279">
        <v>15.5</v>
      </c>
      <c r="L279" t="s">
        <v>37</v>
      </c>
      <c r="M279" t="s">
        <v>37</v>
      </c>
      <c r="N279" t="s">
        <v>47</v>
      </c>
      <c r="O279">
        <v>202411</v>
      </c>
      <c r="P279">
        <v>60003</v>
      </c>
      <c r="Q279" t="s">
        <v>12</v>
      </c>
      <c r="R279" t="s">
        <v>12</v>
      </c>
      <c r="S279" t="s">
        <v>12</v>
      </c>
      <c r="T279" t="s">
        <v>12</v>
      </c>
      <c r="U279" t="s">
        <v>12</v>
      </c>
      <c r="V279" t="s">
        <v>12</v>
      </c>
      <c r="W279" t="s">
        <v>12</v>
      </c>
      <c r="X279" t="s">
        <v>12</v>
      </c>
      <c r="Y279" t="s">
        <v>12</v>
      </c>
      <c r="Z279" t="s">
        <v>12</v>
      </c>
      <c r="AA279" t="s">
        <v>12</v>
      </c>
      <c r="AB279" t="s">
        <v>12</v>
      </c>
      <c r="AC279" t="s">
        <v>12</v>
      </c>
      <c r="AD279" t="s">
        <v>12</v>
      </c>
      <c r="AE279" t="s">
        <v>12</v>
      </c>
      <c r="AF279" t="s">
        <v>12</v>
      </c>
      <c r="AG279" t="s">
        <v>12</v>
      </c>
      <c r="AH279" t="s">
        <v>12</v>
      </c>
      <c r="AI279" t="s">
        <v>12</v>
      </c>
      <c r="AJ279" t="s">
        <v>12</v>
      </c>
      <c r="AK279" t="s">
        <v>12</v>
      </c>
      <c r="AL279" t="s">
        <v>12</v>
      </c>
      <c r="AM279" t="s">
        <v>12</v>
      </c>
      <c r="AN279" t="s">
        <v>12</v>
      </c>
      <c r="AO279" t="s">
        <v>12</v>
      </c>
    </row>
    <row r="280" spans="1:41" x14ac:dyDescent="0.35">
      <c r="A280">
        <v>21524970</v>
      </c>
      <c r="B280">
        <v>202504</v>
      </c>
      <c r="C280">
        <v>20607664715</v>
      </c>
      <c r="D280" t="s">
        <v>507</v>
      </c>
      <c r="E280" t="s">
        <v>1</v>
      </c>
      <c r="F280">
        <v>10266263</v>
      </c>
      <c r="G280" t="s">
        <v>73</v>
      </c>
      <c r="H280" t="s">
        <v>159</v>
      </c>
      <c r="I280">
        <v>192787.15625</v>
      </c>
      <c r="J280" s="1">
        <v>45734</v>
      </c>
      <c r="K280">
        <v>16</v>
      </c>
      <c r="L280" t="s">
        <v>4</v>
      </c>
      <c r="M280" t="s">
        <v>4</v>
      </c>
      <c r="N280" t="s">
        <v>20</v>
      </c>
      <c r="O280">
        <v>202503</v>
      </c>
      <c r="P280">
        <v>200010</v>
      </c>
      <c r="Q280" t="s">
        <v>12</v>
      </c>
      <c r="R280" t="s">
        <v>12</v>
      </c>
      <c r="S280" t="s">
        <v>12</v>
      </c>
      <c r="T280" t="s">
        <v>12</v>
      </c>
      <c r="U280" t="s">
        <v>12</v>
      </c>
      <c r="V280" t="s">
        <v>12</v>
      </c>
      <c r="W280" t="s">
        <v>12</v>
      </c>
      <c r="X280" t="s">
        <v>12</v>
      </c>
      <c r="Y280" t="s">
        <v>12</v>
      </c>
      <c r="Z280" t="s">
        <v>12</v>
      </c>
      <c r="AA280" t="s">
        <v>12</v>
      </c>
      <c r="AB280" t="s">
        <v>12</v>
      </c>
      <c r="AC280" t="s">
        <v>12</v>
      </c>
      <c r="AD280" t="s">
        <v>12</v>
      </c>
      <c r="AE280" t="s">
        <v>12</v>
      </c>
      <c r="AF280" t="s">
        <v>12</v>
      </c>
      <c r="AG280" t="s">
        <v>12</v>
      </c>
      <c r="AH280" t="s">
        <v>12</v>
      </c>
      <c r="AI280" t="s">
        <v>12</v>
      </c>
      <c r="AJ280" t="s">
        <v>12</v>
      </c>
      <c r="AK280" t="s">
        <v>12</v>
      </c>
      <c r="AL280" t="s">
        <v>12</v>
      </c>
      <c r="AM280" t="s">
        <v>12</v>
      </c>
      <c r="AN280" t="s">
        <v>12</v>
      </c>
      <c r="AO280" t="s">
        <v>12</v>
      </c>
    </row>
    <row r="281" spans="1:41" x14ac:dyDescent="0.35">
      <c r="A281">
        <v>21597102</v>
      </c>
      <c r="B281">
        <v>202509</v>
      </c>
      <c r="C281">
        <v>20543142485</v>
      </c>
      <c r="D281" t="s">
        <v>508</v>
      </c>
      <c r="E281" t="s">
        <v>1</v>
      </c>
      <c r="F281">
        <v>10268612</v>
      </c>
      <c r="G281" t="s">
        <v>100</v>
      </c>
      <c r="H281" t="s">
        <v>159</v>
      </c>
      <c r="I281">
        <v>62595.609375</v>
      </c>
      <c r="J281" s="1">
        <v>45819</v>
      </c>
      <c r="K281">
        <v>15</v>
      </c>
      <c r="L281" t="s">
        <v>37</v>
      </c>
      <c r="M281" t="s">
        <v>37</v>
      </c>
      <c r="N281" t="s">
        <v>102</v>
      </c>
      <c r="O281">
        <v>202506</v>
      </c>
      <c r="P281">
        <v>82004.100000000006</v>
      </c>
      <c r="Q281" t="s">
        <v>12</v>
      </c>
      <c r="R281" t="s">
        <v>12</v>
      </c>
      <c r="S281" t="s">
        <v>12</v>
      </c>
      <c r="T281" t="s">
        <v>12</v>
      </c>
      <c r="U281" t="s">
        <v>12</v>
      </c>
      <c r="V281" t="s">
        <v>12</v>
      </c>
      <c r="W281" t="s">
        <v>12</v>
      </c>
      <c r="X281" t="s">
        <v>12</v>
      </c>
      <c r="Y281" t="s">
        <v>12</v>
      </c>
      <c r="Z281" t="s">
        <v>12</v>
      </c>
      <c r="AA281" t="s">
        <v>12</v>
      </c>
      <c r="AB281" t="s">
        <v>12</v>
      </c>
      <c r="AC281" t="s">
        <v>12</v>
      </c>
      <c r="AD281" t="s">
        <v>12</v>
      </c>
      <c r="AE281" t="s">
        <v>12</v>
      </c>
      <c r="AF281" t="s">
        <v>12</v>
      </c>
      <c r="AG281" t="s">
        <v>12</v>
      </c>
      <c r="AH281" t="s">
        <v>12</v>
      </c>
      <c r="AI281" t="s">
        <v>12</v>
      </c>
      <c r="AJ281" t="s">
        <v>12</v>
      </c>
      <c r="AK281" t="s">
        <v>12</v>
      </c>
      <c r="AL281" t="s">
        <v>12</v>
      </c>
      <c r="AM281" t="s">
        <v>12</v>
      </c>
      <c r="AN281" t="s">
        <v>12</v>
      </c>
      <c r="AO281" t="s">
        <v>12</v>
      </c>
    </row>
    <row r="282" spans="1:41" x14ac:dyDescent="0.35">
      <c r="A282">
        <v>21495425</v>
      </c>
      <c r="B282">
        <v>202505</v>
      </c>
      <c r="C282">
        <v>20607697036</v>
      </c>
      <c r="D282" t="s">
        <v>509</v>
      </c>
      <c r="E282" t="s">
        <v>1</v>
      </c>
      <c r="F282">
        <v>10265626</v>
      </c>
      <c r="G282" t="s">
        <v>28</v>
      </c>
      <c r="H282" t="s">
        <v>124</v>
      </c>
      <c r="I282">
        <v>93180.0390625</v>
      </c>
      <c r="J282" s="1">
        <v>45712</v>
      </c>
      <c r="K282">
        <v>19</v>
      </c>
      <c r="L282" t="s">
        <v>4</v>
      </c>
      <c r="M282" t="s">
        <v>75</v>
      </c>
      <c r="N282" t="s">
        <v>26</v>
      </c>
      <c r="O282">
        <v>202502</v>
      </c>
      <c r="P282">
        <v>100005</v>
      </c>
      <c r="Q282" t="s">
        <v>124</v>
      </c>
      <c r="R282" t="s">
        <v>510</v>
      </c>
      <c r="S282" t="s">
        <v>88</v>
      </c>
      <c r="T282" t="s">
        <v>89</v>
      </c>
      <c r="U282" t="s">
        <v>20</v>
      </c>
      <c r="V282">
        <v>2</v>
      </c>
      <c r="W282" t="s">
        <v>10</v>
      </c>
      <c r="X282" t="s">
        <v>12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12</v>
      </c>
      <c r="AG282" t="s">
        <v>12</v>
      </c>
      <c r="AH282" t="s">
        <v>12</v>
      </c>
      <c r="AI282" t="s">
        <v>12</v>
      </c>
      <c r="AJ282" t="s">
        <v>12</v>
      </c>
      <c r="AK282">
        <v>0</v>
      </c>
      <c r="AL282">
        <v>0</v>
      </c>
      <c r="AM282">
        <v>0</v>
      </c>
      <c r="AN282" t="s">
        <v>12</v>
      </c>
      <c r="AO282" t="s">
        <v>12</v>
      </c>
    </row>
    <row r="283" spans="1:41" x14ac:dyDescent="0.35">
      <c r="A283">
        <v>18776562</v>
      </c>
      <c r="B283">
        <v>202505</v>
      </c>
      <c r="C283">
        <v>10428628891</v>
      </c>
      <c r="D283" t="s">
        <v>511</v>
      </c>
      <c r="E283">
        <v>42862889</v>
      </c>
      <c r="F283">
        <v>10262345</v>
      </c>
      <c r="G283" t="s">
        <v>65</v>
      </c>
      <c r="H283" t="s">
        <v>183</v>
      </c>
      <c r="I283">
        <v>34001.69140625</v>
      </c>
      <c r="J283" s="1">
        <v>45601</v>
      </c>
      <c r="K283">
        <v>15.2</v>
      </c>
      <c r="L283" t="s">
        <v>37</v>
      </c>
      <c r="M283" t="s">
        <v>37</v>
      </c>
      <c r="N283" t="s">
        <v>47</v>
      </c>
      <c r="O283">
        <v>202411</v>
      </c>
      <c r="P283">
        <v>34001.699999999997</v>
      </c>
      <c r="Q283" t="s">
        <v>12</v>
      </c>
      <c r="R283" t="s">
        <v>12</v>
      </c>
      <c r="S283" t="s">
        <v>12</v>
      </c>
      <c r="T283" t="s">
        <v>12</v>
      </c>
      <c r="U283" t="s">
        <v>12</v>
      </c>
      <c r="V283" t="s">
        <v>12</v>
      </c>
      <c r="W283" t="s">
        <v>12</v>
      </c>
      <c r="X283" t="s">
        <v>12</v>
      </c>
      <c r="Y283" t="s">
        <v>12</v>
      </c>
      <c r="Z283" t="s">
        <v>12</v>
      </c>
      <c r="AA283" t="s">
        <v>12</v>
      </c>
      <c r="AB283" t="s">
        <v>12</v>
      </c>
      <c r="AC283" t="s">
        <v>12</v>
      </c>
      <c r="AD283" t="s">
        <v>12</v>
      </c>
      <c r="AE283" t="s">
        <v>12</v>
      </c>
      <c r="AF283" t="s">
        <v>12</v>
      </c>
      <c r="AG283" t="s">
        <v>12</v>
      </c>
      <c r="AH283" t="s">
        <v>12</v>
      </c>
      <c r="AI283" t="s">
        <v>12</v>
      </c>
      <c r="AJ283" t="s">
        <v>12</v>
      </c>
      <c r="AK283" t="s">
        <v>12</v>
      </c>
      <c r="AL283" t="s">
        <v>12</v>
      </c>
      <c r="AM283" t="s">
        <v>12</v>
      </c>
      <c r="AN283" t="s">
        <v>12</v>
      </c>
      <c r="AO283" t="s">
        <v>12</v>
      </c>
    </row>
    <row r="284" spans="1:41" x14ac:dyDescent="0.35">
      <c r="A284">
        <v>20786183</v>
      </c>
      <c r="B284">
        <v>202512</v>
      </c>
      <c r="C284">
        <v>10258187933</v>
      </c>
      <c r="D284" t="s">
        <v>512</v>
      </c>
      <c r="E284">
        <v>25818793</v>
      </c>
      <c r="F284">
        <v>10259731</v>
      </c>
      <c r="G284" t="s">
        <v>53</v>
      </c>
      <c r="H284" t="s">
        <v>513</v>
      </c>
      <c r="I284">
        <v>59331.08984375</v>
      </c>
      <c r="J284" s="1">
        <v>45532</v>
      </c>
      <c r="K284">
        <v>15.7</v>
      </c>
      <c r="L284" t="s">
        <v>4</v>
      </c>
      <c r="M284" t="s">
        <v>4</v>
      </c>
      <c r="N284" t="s">
        <v>47</v>
      </c>
      <c r="O284">
        <v>202408</v>
      </c>
      <c r="P284">
        <v>90004.5</v>
      </c>
      <c r="Q284" t="s">
        <v>513</v>
      </c>
      <c r="R284" t="s">
        <v>514</v>
      </c>
      <c r="S284" t="s">
        <v>111</v>
      </c>
      <c r="T284" t="s">
        <v>112</v>
      </c>
      <c r="U284" t="s">
        <v>70</v>
      </c>
      <c r="V284">
        <v>2</v>
      </c>
      <c r="W284" t="s">
        <v>90</v>
      </c>
      <c r="X284" t="s">
        <v>59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12</v>
      </c>
      <c r="AG284" t="s">
        <v>12</v>
      </c>
      <c r="AH284" t="s">
        <v>12</v>
      </c>
      <c r="AI284" t="s">
        <v>12</v>
      </c>
      <c r="AJ284" t="s">
        <v>12</v>
      </c>
      <c r="AK284">
        <v>52000</v>
      </c>
      <c r="AL284">
        <v>0.21920000000000001</v>
      </c>
      <c r="AM284">
        <v>0.19919999999999999</v>
      </c>
      <c r="AN284" t="s">
        <v>12</v>
      </c>
      <c r="AO284" t="s">
        <v>12</v>
      </c>
    </row>
    <row r="285" spans="1:41" x14ac:dyDescent="0.35">
      <c r="A285">
        <v>21778561</v>
      </c>
      <c r="B285">
        <v>202601</v>
      </c>
      <c r="C285">
        <v>20555116242</v>
      </c>
      <c r="D285" t="s">
        <v>515</v>
      </c>
      <c r="E285" t="s">
        <v>1</v>
      </c>
      <c r="F285">
        <v>10270189</v>
      </c>
      <c r="G285" t="s">
        <v>24</v>
      </c>
      <c r="H285" t="s">
        <v>317</v>
      </c>
      <c r="I285">
        <v>18897</v>
      </c>
      <c r="J285" s="1">
        <v>45874</v>
      </c>
      <c r="K285">
        <v>25</v>
      </c>
      <c r="L285" t="s">
        <v>37</v>
      </c>
      <c r="M285" t="s">
        <v>37</v>
      </c>
      <c r="N285" t="s">
        <v>98</v>
      </c>
      <c r="O285">
        <v>202508</v>
      </c>
      <c r="P285">
        <v>25001.25</v>
      </c>
      <c r="Q285" t="s">
        <v>317</v>
      </c>
      <c r="R285" t="s">
        <v>318</v>
      </c>
      <c r="S285" t="s">
        <v>88</v>
      </c>
      <c r="T285" t="s">
        <v>89</v>
      </c>
      <c r="U285" t="s">
        <v>9</v>
      </c>
      <c r="V285">
        <v>2</v>
      </c>
      <c r="W285" t="s">
        <v>21</v>
      </c>
      <c r="X285" t="s">
        <v>51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12</v>
      </c>
      <c r="AG285" t="s">
        <v>12</v>
      </c>
      <c r="AH285" t="s">
        <v>12</v>
      </c>
      <c r="AI285" t="s">
        <v>12</v>
      </c>
      <c r="AJ285" t="s">
        <v>12</v>
      </c>
      <c r="AK285">
        <v>0</v>
      </c>
      <c r="AL285">
        <v>0</v>
      </c>
      <c r="AM285">
        <v>0</v>
      </c>
      <c r="AN285" t="s">
        <v>12</v>
      </c>
      <c r="AO285" t="s">
        <v>12</v>
      </c>
    </row>
    <row r="286" spans="1:41" x14ac:dyDescent="0.35">
      <c r="A286">
        <v>21483117</v>
      </c>
      <c r="B286">
        <v>202507</v>
      </c>
      <c r="C286">
        <v>20604435502</v>
      </c>
      <c r="D286" t="s">
        <v>516</v>
      </c>
      <c r="E286" t="s">
        <v>1</v>
      </c>
      <c r="F286">
        <v>10265380</v>
      </c>
      <c r="G286" t="s">
        <v>28</v>
      </c>
      <c r="H286" t="s">
        <v>124</v>
      </c>
      <c r="I286">
        <v>119943.375</v>
      </c>
      <c r="J286" s="1">
        <v>45705</v>
      </c>
      <c r="K286">
        <v>18.5</v>
      </c>
      <c r="L286" t="s">
        <v>4</v>
      </c>
      <c r="M286" t="s">
        <v>4</v>
      </c>
      <c r="N286" t="s">
        <v>26</v>
      </c>
      <c r="O286">
        <v>202502</v>
      </c>
      <c r="P286">
        <v>150007.5</v>
      </c>
      <c r="Q286" t="s">
        <v>124</v>
      </c>
      <c r="R286" t="s">
        <v>125</v>
      </c>
      <c r="S286" t="s">
        <v>88</v>
      </c>
      <c r="T286" t="s">
        <v>89</v>
      </c>
      <c r="U286" t="s">
        <v>20</v>
      </c>
      <c r="V286">
        <v>2</v>
      </c>
      <c r="W286" t="s">
        <v>10</v>
      </c>
      <c r="X286" t="s">
        <v>12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12</v>
      </c>
      <c r="AG286" t="s">
        <v>12</v>
      </c>
      <c r="AH286" t="s">
        <v>12</v>
      </c>
      <c r="AI286" t="s">
        <v>12</v>
      </c>
      <c r="AJ286" t="s">
        <v>12</v>
      </c>
      <c r="AK286">
        <v>1</v>
      </c>
      <c r="AL286">
        <v>0.20380000000000001</v>
      </c>
      <c r="AM286" t="s">
        <v>12</v>
      </c>
      <c r="AN286" t="s">
        <v>12</v>
      </c>
      <c r="AO286" t="s">
        <v>12</v>
      </c>
    </row>
    <row r="287" spans="1:41" x14ac:dyDescent="0.35">
      <c r="A287">
        <v>18652457</v>
      </c>
      <c r="B287">
        <v>202509</v>
      </c>
      <c r="C287">
        <v>20608135538</v>
      </c>
      <c r="D287" t="s">
        <v>517</v>
      </c>
      <c r="E287" t="s">
        <v>1</v>
      </c>
      <c r="F287">
        <v>10263339</v>
      </c>
      <c r="G287" t="s">
        <v>45</v>
      </c>
      <c r="H287" t="s">
        <v>513</v>
      </c>
      <c r="I287">
        <v>76881.5625</v>
      </c>
      <c r="J287" s="1">
        <v>45625</v>
      </c>
      <c r="K287">
        <v>16.5</v>
      </c>
      <c r="L287" t="s">
        <v>37</v>
      </c>
      <c r="M287" t="s">
        <v>37</v>
      </c>
      <c r="N287" t="s">
        <v>47</v>
      </c>
      <c r="O287">
        <v>202411</v>
      </c>
      <c r="P287">
        <v>90004.5</v>
      </c>
      <c r="Q287" t="s">
        <v>513</v>
      </c>
      <c r="R287" t="s">
        <v>514</v>
      </c>
      <c r="S287" t="s">
        <v>111</v>
      </c>
      <c r="T287" t="s">
        <v>112</v>
      </c>
      <c r="U287" t="s">
        <v>20</v>
      </c>
      <c r="V287">
        <v>2</v>
      </c>
      <c r="W287" t="s">
        <v>10</v>
      </c>
      <c r="X287" t="s">
        <v>22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12</v>
      </c>
      <c r="AG287" t="s">
        <v>12</v>
      </c>
      <c r="AH287" t="s">
        <v>12</v>
      </c>
      <c r="AI287" t="s">
        <v>12</v>
      </c>
      <c r="AJ287" t="s">
        <v>12</v>
      </c>
      <c r="AK287">
        <v>1</v>
      </c>
      <c r="AL287">
        <v>1</v>
      </c>
      <c r="AM287" t="s">
        <v>12</v>
      </c>
      <c r="AN287" t="s">
        <v>12</v>
      </c>
      <c r="AO287" t="s">
        <v>12</v>
      </c>
    </row>
    <row r="288" spans="1:41" x14ac:dyDescent="0.35">
      <c r="A288">
        <v>21109015</v>
      </c>
      <c r="B288">
        <v>202601</v>
      </c>
      <c r="C288">
        <v>20607041891</v>
      </c>
      <c r="D288" t="s">
        <v>518</v>
      </c>
      <c r="E288" t="s">
        <v>1</v>
      </c>
      <c r="F288">
        <v>10260661</v>
      </c>
      <c r="G288" t="s">
        <v>73</v>
      </c>
      <c r="H288" t="s">
        <v>74</v>
      </c>
      <c r="I288">
        <v>56292.1796875</v>
      </c>
      <c r="J288" s="1">
        <v>45555</v>
      </c>
      <c r="K288">
        <v>20</v>
      </c>
      <c r="L288" t="s">
        <v>4</v>
      </c>
      <c r="M288" t="s">
        <v>4</v>
      </c>
      <c r="N288" t="s">
        <v>12</v>
      </c>
      <c r="O288">
        <v>202409</v>
      </c>
      <c r="P288">
        <v>133506.65</v>
      </c>
      <c r="Q288" t="s">
        <v>74</v>
      </c>
      <c r="R288" t="s">
        <v>76</v>
      </c>
      <c r="S288" t="s">
        <v>31</v>
      </c>
      <c r="T288" t="s">
        <v>32</v>
      </c>
      <c r="U288" t="s">
        <v>20</v>
      </c>
      <c r="V288">
        <v>1</v>
      </c>
      <c r="W288" t="s">
        <v>10</v>
      </c>
      <c r="X288" t="s">
        <v>51</v>
      </c>
      <c r="Y288">
        <v>1</v>
      </c>
      <c r="Z288">
        <v>1</v>
      </c>
      <c r="AA288">
        <v>0</v>
      </c>
      <c r="AB288">
        <v>0</v>
      </c>
      <c r="AC288">
        <v>1</v>
      </c>
      <c r="AD288">
        <v>1</v>
      </c>
      <c r="AE288">
        <v>0</v>
      </c>
      <c r="AF288" t="s">
        <v>12</v>
      </c>
      <c r="AG288" t="s">
        <v>12</v>
      </c>
      <c r="AH288" t="s">
        <v>12</v>
      </c>
      <c r="AI288" t="s">
        <v>12</v>
      </c>
      <c r="AJ288" t="s">
        <v>12</v>
      </c>
      <c r="AK288">
        <v>1</v>
      </c>
      <c r="AL288">
        <v>1</v>
      </c>
      <c r="AM288">
        <v>0.24</v>
      </c>
      <c r="AN288" t="s">
        <v>12</v>
      </c>
      <c r="AO288" t="s">
        <v>12</v>
      </c>
    </row>
    <row r="289" spans="1:41" x14ac:dyDescent="0.35">
      <c r="A289">
        <v>17133657</v>
      </c>
      <c r="B289">
        <v>202511</v>
      </c>
      <c r="C289">
        <v>20523691261</v>
      </c>
      <c r="D289" t="s">
        <v>486</v>
      </c>
      <c r="E289" t="s">
        <v>1</v>
      </c>
      <c r="F289">
        <v>10272778</v>
      </c>
      <c r="G289" t="s">
        <v>78</v>
      </c>
      <c r="H289" t="s">
        <v>31</v>
      </c>
      <c r="I289">
        <v>46502.8125</v>
      </c>
      <c r="J289" s="1">
        <v>45961</v>
      </c>
      <c r="K289">
        <v>19</v>
      </c>
      <c r="L289" t="s">
        <v>4</v>
      </c>
      <c r="M289" t="s">
        <v>4</v>
      </c>
      <c r="N289" t="s">
        <v>41</v>
      </c>
      <c r="O289">
        <v>202510</v>
      </c>
      <c r="P289">
        <v>50002.5</v>
      </c>
      <c r="Q289" t="s">
        <v>12</v>
      </c>
      <c r="R289" t="s">
        <v>12</v>
      </c>
      <c r="S289" t="s">
        <v>12</v>
      </c>
      <c r="T289" t="s">
        <v>12</v>
      </c>
      <c r="U289" t="s">
        <v>12</v>
      </c>
      <c r="V289" t="s">
        <v>12</v>
      </c>
      <c r="W289" t="s">
        <v>12</v>
      </c>
      <c r="X289" t="s">
        <v>12</v>
      </c>
      <c r="Y289" t="s">
        <v>12</v>
      </c>
      <c r="Z289" t="s">
        <v>12</v>
      </c>
      <c r="AA289" t="s">
        <v>12</v>
      </c>
      <c r="AB289" t="s">
        <v>12</v>
      </c>
      <c r="AC289" t="s">
        <v>12</v>
      </c>
      <c r="AD289" t="s">
        <v>12</v>
      </c>
      <c r="AE289" t="s">
        <v>12</v>
      </c>
      <c r="AF289" t="s">
        <v>12</v>
      </c>
      <c r="AG289" t="s">
        <v>12</v>
      </c>
      <c r="AH289" t="s">
        <v>12</v>
      </c>
      <c r="AI289" t="s">
        <v>12</v>
      </c>
      <c r="AJ289" t="s">
        <v>12</v>
      </c>
      <c r="AK289" t="s">
        <v>12</v>
      </c>
      <c r="AL289" t="s">
        <v>12</v>
      </c>
      <c r="AM289" t="s">
        <v>12</v>
      </c>
      <c r="AN289" t="s">
        <v>12</v>
      </c>
      <c r="AO289" t="s">
        <v>12</v>
      </c>
    </row>
    <row r="290" spans="1:41" x14ac:dyDescent="0.35">
      <c r="A290">
        <v>21662442</v>
      </c>
      <c r="B290">
        <v>202511</v>
      </c>
      <c r="C290">
        <v>20608826697</v>
      </c>
      <c r="D290" t="s">
        <v>519</v>
      </c>
      <c r="E290" t="s">
        <v>1</v>
      </c>
      <c r="F290">
        <v>10268201</v>
      </c>
      <c r="G290" t="s">
        <v>73</v>
      </c>
      <c r="H290" t="s">
        <v>458</v>
      </c>
      <c r="I290">
        <v>247922.078125</v>
      </c>
      <c r="J290" s="1">
        <v>45804</v>
      </c>
      <c r="K290">
        <v>17</v>
      </c>
      <c r="L290" t="s">
        <v>4</v>
      </c>
      <c r="M290" t="s">
        <v>75</v>
      </c>
      <c r="N290" t="s">
        <v>20</v>
      </c>
      <c r="O290">
        <v>202505</v>
      </c>
      <c r="P290">
        <v>300015</v>
      </c>
      <c r="Q290" t="s">
        <v>458</v>
      </c>
      <c r="R290" t="s">
        <v>459</v>
      </c>
      <c r="S290" t="s">
        <v>31</v>
      </c>
      <c r="T290" t="s">
        <v>32</v>
      </c>
      <c r="U290" t="s">
        <v>9</v>
      </c>
      <c r="V290">
        <v>1</v>
      </c>
      <c r="W290" t="s">
        <v>10</v>
      </c>
      <c r="X290" t="s">
        <v>51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12</v>
      </c>
      <c r="AG290" t="s">
        <v>12</v>
      </c>
      <c r="AH290" t="s">
        <v>12</v>
      </c>
      <c r="AI290" t="s">
        <v>12</v>
      </c>
      <c r="AJ290" t="s">
        <v>12</v>
      </c>
      <c r="AK290">
        <v>0</v>
      </c>
      <c r="AL290">
        <v>0</v>
      </c>
      <c r="AM290">
        <v>0.19</v>
      </c>
      <c r="AN290" t="s">
        <v>12</v>
      </c>
      <c r="AO290" t="s">
        <v>12</v>
      </c>
    </row>
    <row r="291" spans="1:41" x14ac:dyDescent="0.35">
      <c r="A291">
        <v>18184865</v>
      </c>
      <c r="B291">
        <v>202510</v>
      </c>
      <c r="C291">
        <v>20605861076</v>
      </c>
      <c r="D291" t="s">
        <v>520</v>
      </c>
      <c r="E291" t="s">
        <v>1</v>
      </c>
      <c r="F291">
        <v>10256530</v>
      </c>
      <c r="G291" t="s">
        <v>45</v>
      </c>
      <c r="H291" t="s">
        <v>74</v>
      </c>
      <c r="I291">
        <v>39795.234375</v>
      </c>
      <c r="J291" s="1">
        <v>45469</v>
      </c>
      <c r="K291">
        <v>14.7</v>
      </c>
      <c r="L291" t="s">
        <v>4</v>
      </c>
      <c r="M291" t="s">
        <v>4</v>
      </c>
      <c r="N291" t="s">
        <v>47</v>
      </c>
      <c r="O291">
        <v>202406</v>
      </c>
      <c r="P291">
        <v>90004.5</v>
      </c>
      <c r="Q291" t="s">
        <v>74</v>
      </c>
      <c r="R291" t="s">
        <v>76</v>
      </c>
      <c r="S291" t="s">
        <v>31</v>
      </c>
      <c r="T291" t="s">
        <v>32</v>
      </c>
      <c r="U291" t="s">
        <v>41</v>
      </c>
      <c r="V291">
        <v>1</v>
      </c>
      <c r="W291" t="s">
        <v>10</v>
      </c>
      <c r="X291" t="s">
        <v>12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12</v>
      </c>
      <c r="AG291" t="s">
        <v>12</v>
      </c>
      <c r="AH291" t="s">
        <v>12</v>
      </c>
      <c r="AI291" t="s">
        <v>12</v>
      </c>
      <c r="AJ291" t="s">
        <v>12</v>
      </c>
      <c r="AK291">
        <v>400000</v>
      </c>
      <c r="AL291">
        <v>0.21</v>
      </c>
      <c r="AM291">
        <v>0.19</v>
      </c>
      <c r="AN291" t="s">
        <v>12</v>
      </c>
      <c r="AO291" t="s">
        <v>12</v>
      </c>
    </row>
    <row r="292" spans="1:41" x14ac:dyDescent="0.35">
      <c r="A292">
        <v>12771874</v>
      </c>
      <c r="B292">
        <v>202601</v>
      </c>
      <c r="C292">
        <v>20547528574</v>
      </c>
      <c r="D292" t="s">
        <v>521</v>
      </c>
      <c r="E292" t="s">
        <v>1</v>
      </c>
      <c r="F292">
        <v>10257232</v>
      </c>
      <c r="G292" t="s">
        <v>65</v>
      </c>
      <c r="H292" t="s">
        <v>522</v>
      </c>
      <c r="I292">
        <v>47860.9609375</v>
      </c>
      <c r="J292" s="1">
        <v>45488</v>
      </c>
      <c r="K292">
        <v>13.4</v>
      </c>
      <c r="L292" t="s">
        <v>4</v>
      </c>
      <c r="M292" t="s">
        <v>4</v>
      </c>
      <c r="N292" t="s">
        <v>47</v>
      </c>
      <c r="O292">
        <v>202407</v>
      </c>
      <c r="P292">
        <v>90004.5</v>
      </c>
      <c r="Q292" t="s">
        <v>522</v>
      </c>
      <c r="R292" t="s">
        <v>523</v>
      </c>
      <c r="S292" t="s">
        <v>127</v>
      </c>
      <c r="T292" t="s">
        <v>147</v>
      </c>
      <c r="U292" t="s">
        <v>41</v>
      </c>
      <c r="V292">
        <v>1</v>
      </c>
      <c r="W292" t="s">
        <v>21</v>
      </c>
      <c r="X292" t="s">
        <v>11</v>
      </c>
      <c r="Y292">
        <v>1</v>
      </c>
      <c r="Z292">
        <v>1</v>
      </c>
      <c r="AA292">
        <v>0</v>
      </c>
      <c r="AB292">
        <v>1</v>
      </c>
      <c r="AC292">
        <v>1</v>
      </c>
      <c r="AD292">
        <v>1</v>
      </c>
      <c r="AE292">
        <v>0</v>
      </c>
      <c r="AF292" t="s">
        <v>12</v>
      </c>
      <c r="AG292" t="s">
        <v>12</v>
      </c>
      <c r="AH292" t="s">
        <v>12</v>
      </c>
      <c r="AI292" t="s">
        <v>12</v>
      </c>
      <c r="AJ292" t="s">
        <v>12</v>
      </c>
      <c r="AK292">
        <v>500000</v>
      </c>
      <c r="AL292">
        <v>0.21</v>
      </c>
      <c r="AM292">
        <v>0.19</v>
      </c>
      <c r="AN292" t="s">
        <v>12</v>
      </c>
      <c r="AO292" t="s">
        <v>12</v>
      </c>
    </row>
    <row r="293" spans="1:41" x14ac:dyDescent="0.35">
      <c r="A293">
        <v>9249913</v>
      </c>
      <c r="B293">
        <v>202509</v>
      </c>
      <c r="C293">
        <v>10076048717</v>
      </c>
      <c r="D293" t="s">
        <v>524</v>
      </c>
      <c r="E293">
        <v>7604871</v>
      </c>
      <c r="F293">
        <v>10257960</v>
      </c>
      <c r="G293" t="s">
        <v>53</v>
      </c>
      <c r="H293" t="s">
        <v>525</v>
      </c>
      <c r="I293">
        <v>54030.5390625</v>
      </c>
      <c r="J293" s="1">
        <v>45498</v>
      </c>
      <c r="K293">
        <v>15</v>
      </c>
      <c r="L293" t="s">
        <v>4</v>
      </c>
      <c r="M293" t="s">
        <v>4</v>
      </c>
      <c r="N293" t="s">
        <v>47</v>
      </c>
      <c r="O293">
        <v>202407</v>
      </c>
      <c r="P293">
        <v>77463.850000000006</v>
      </c>
      <c r="Q293" t="s">
        <v>217</v>
      </c>
      <c r="R293" t="s">
        <v>218</v>
      </c>
      <c r="S293" t="s">
        <v>18</v>
      </c>
      <c r="T293" t="s">
        <v>122</v>
      </c>
      <c r="U293" t="s">
        <v>70</v>
      </c>
      <c r="V293">
        <v>1</v>
      </c>
      <c r="W293" t="s">
        <v>90</v>
      </c>
      <c r="X293" t="s">
        <v>59</v>
      </c>
      <c r="Y293">
        <v>1</v>
      </c>
      <c r="Z293">
        <v>1</v>
      </c>
      <c r="AA293">
        <v>0</v>
      </c>
      <c r="AB293">
        <v>0</v>
      </c>
      <c r="AC293">
        <v>1</v>
      </c>
      <c r="AD293">
        <v>0</v>
      </c>
      <c r="AE293">
        <v>0</v>
      </c>
      <c r="AF293" t="s">
        <v>12</v>
      </c>
      <c r="AG293" t="s">
        <v>12</v>
      </c>
      <c r="AH293" t="s">
        <v>12</v>
      </c>
      <c r="AI293" t="s">
        <v>12</v>
      </c>
      <c r="AJ293" t="s">
        <v>12</v>
      </c>
      <c r="AK293">
        <v>83000</v>
      </c>
      <c r="AL293">
        <v>0.25</v>
      </c>
      <c r="AM293">
        <v>0.23</v>
      </c>
      <c r="AN293" t="s">
        <v>12</v>
      </c>
      <c r="AO293" t="s">
        <v>12</v>
      </c>
    </row>
    <row r="294" spans="1:41" x14ac:dyDescent="0.35">
      <c r="A294">
        <v>21541565</v>
      </c>
      <c r="B294">
        <v>202504</v>
      </c>
      <c r="C294">
        <v>20525128751</v>
      </c>
      <c r="D294" t="s">
        <v>526</v>
      </c>
      <c r="E294" t="s">
        <v>1</v>
      </c>
      <c r="F294">
        <v>10266444</v>
      </c>
      <c r="G294" t="s">
        <v>24</v>
      </c>
      <c r="H294" t="s">
        <v>159</v>
      </c>
      <c r="I294">
        <v>222207.453125</v>
      </c>
      <c r="J294" s="1">
        <v>45737</v>
      </c>
      <c r="K294">
        <v>15</v>
      </c>
      <c r="L294" t="s">
        <v>4</v>
      </c>
      <c r="M294" t="s">
        <v>4</v>
      </c>
      <c r="N294" t="s">
        <v>26</v>
      </c>
      <c r="O294">
        <v>202503</v>
      </c>
      <c r="P294">
        <v>280014</v>
      </c>
      <c r="Q294" t="s">
        <v>12</v>
      </c>
      <c r="R294" t="s">
        <v>12</v>
      </c>
      <c r="S294" t="s">
        <v>12</v>
      </c>
      <c r="T294" t="s">
        <v>12</v>
      </c>
      <c r="U294" t="s">
        <v>12</v>
      </c>
      <c r="V294" t="s">
        <v>12</v>
      </c>
      <c r="W294" t="s">
        <v>12</v>
      </c>
      <c r="X294" t="s">
        <v>12</v>
      </c>
      <c r="Y294" t="s">
        <v>12</v>
      </c>
      <c r="Z294" t="s">
        <v>12</v>
      </c>
      <c r="AA294" t="s">
        <v>12</v>
      </c>
      <c r="AB294" t="s">
        <v>12</v>
      </c>
      <c r="AC294" t="s">
        <v>12</v>
      </c>
      <c r="AD294" t="s">
        <v>12</v>
      </c>
      <c r="AE294" t="s">
        <v>12</v>
      </c>
      <c r="AF294" t="s">
        <v>12</v>
      </c>
      <c r="AG294" t="s">
        <v>12</v>
      </c>
      <c r="AH294" t="s">
        <v>12</v>
      </c>
      <c r="AI294" t="s">
        <v>12</v>
      </c>
      <c r="AJ294" t="s">
        <v>12</v>
      </c>
      <c r="AK294" t="s">
        <v>12</v>
      </c>
      <c r="AL294" t="s">
        <v>12</v>
      </c>
      <c r="AM294" t="s">
        <v>12</v>
      </c>
      <c r="AN294" t="s">
        <v>12</v>
      </c>
      <c r="AO294" t="s">
        <v>12</v>
      </c>
    </row>
    <row r="295" spans="1:41" x14ac:dyDescent="0.35">
      <c r="A295">
        <v>11450608</v>
      </c>
      <c r="B295">
        <v>202510</v>
      </c>
      <c r="C295">
        <v>10426120602</v>
      </c>
      <c r="D295" t="s">
        <v>527</v>
      </c>
      <c r="E295">
        <v>42612060</v>
      </c>
      <c r="F295">
        <v>10195950</v>
      </c>
      <c r="G295" t="s">
        <v>199</v>
      </c>
      <c r="H295" t="s">
        <v>317</v>
      </c>
      <c r="I295">
        <v>633.18377685546898</v>
      </c>
      <c r="J295" t="s">
        <v>12</v>
      </c>
      <c r="K295" t="s">
        <v>12</v>
      </c>
      <c r="L295" t="s">
        <v>12</v>
      </c>
      <c r="M295" t="s">
        <v>12</v>
      </c>
      <c r="N295" t="s">
        <v>12</v>
      </c>
      <c r="O295" t="s">
        <v>12</v>
      </c>
      <c r="P295" t="s">
        <v>12</v>
      </c>
      <c r="Q295" t="s">
        <v>317</v>
      </c>
      <c r="R295" t="s">
        <v>318</v>
      </c>
      <c r="S295" t="s">
        <v>88</v>
      </c>
      <c r="T295" t="s">
        <v>89</v>
      </c>
      <c r="U295" t="s">
        <v>20</v>
      </c>
      <c r="V295">
        <v>2</v>
      </c>
      <c r="W295" t="s">
        <v>10</v>
      </c>
      <c r="X295" t="s">
        <v>12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12</v>
      </c>
      <c r="AG295" t="s">
        <v>12</v>
      </c>
      <c r="AH295" t="s">
        <v>12</v>
      </c>
      <c r="AI295" t="s">
        <v>12</v>
      </c>
      <c r="AJ295" t="s">
        <v>12</v>
      </c>
      <c r="AK295">
        <v>1</v>
      </c>
      <c r="AL295">
        <v>1</v>
      </c>
      <c r="AM295" t="s">
        <v>12</v>
      </c>
      <c r="AN295" t="s">
        <v>12</v>
      </c>
      <c r="AO295" t="s">
        <v>12</v>
      </c>
    </row>
    <row r="296" spans="1:41" x14ac:dyDescent="0.35">
      <c r="A296">
        <v>11861711</v>
      </c>
      <c r="B296">
        <v>202509</v>
      </c>
      <c r="C296">
        <v>20333453721</v>
      </c>
      <c r="D296" t="s">
        <v>528</v>
      </c>
      <c r="E296" t="s">
        <v>1</v>
      </c>
      <c r="F296">
        <v>10268736</v>
      </c>
      <c r="G296" t="s">
        <v>92</v>
      </c>
      <c r="H296" t="s">
        <v>522</v>
      </c>
      <c r="I296">
        <v>356460.6875</v>
      </c>
      <c r="J296" s="1">
        <v>45825</v>
      </c>
      <c r="K296">
        <v>16</v>
      </c>
      <c r="L296" t="s">
        <v>4</v>
      </c>
      <c r="M296" t="s">
        <v>4</v>
      </c>
      <c r="N296" t="s">
        <v>41</v>
      </c>
      <c r="O296">
        <v>202506</v>
      </c>
      <c r="P296">
        <v>400020</v>
      </c>
      <c r="Q296" t="s">
        <v>522</v>
      </c>
      <c r="R296" t="s">
        <v>523</v>
      </c>
      <c r="S296" t="s">
        <v>127</v>
      </c>
      <c r="T296" t="s">
        <v>147</v>
      </c>
      <c r="U296" t="s">
        <v>20</v>
      </c>
      <c r="V296">
        <v>1</v>
      </c>
      <c r="W296" t="s">
        <v>10</v>
      </c>
      <c r="X296" t="s">
        <v>11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12</v>
      </c>
      <c r="AG296" t="s">
        <v>12</v>
      </c>
      <c r="AH296" t="s">
        <v>12</v>
      </c>
      <c r="AI296" t="s">
        <v>12</v>
      </c>
      <c r="AJ296" t="s">
        <v>12</v>
      </c>
      <c r="AK296">
        <v>1</v>
      </c>
      <c r="AL296">
        <v>1</v>
      </c>
      <c r="AM296" t="s">
        <v>12</v>
      </c>
      <c r="AN296" t="s">
        <v>12</v>
      </c>
      <c r="AO296" t="s">
        <v>12</v>
      </c>
    </row>
    <row r="297" spans="1:41" x14ac:dyDescent="0.35">
      <c r="A297">
        <v>20269944</v>
      </c>
      <c r="B297">
        <v>202506</v>
      </c>
      <c r="C297">
        <v>20602081461</v>
      </c>
      <c r="D297" t="s">
        <v>529</v>
      </c>
      <c r="E297" t="s">
        <v>1</v>
      </c>
      <c r="F297">
        <v>10267437</v>
      </c>
      <c r="G297" t="s">
        <v>73</v>
      </c>
      <c r="H297" t="s">
        <v>57</v>
      </c>
      <c r="I297">
        <v>231822.375</v>
      </c>
      <c r="J297" s="1">
        <v>45775</v>
      </c>
      <c r="K297">
        <v>17</v>
      </c>
      <c r="L297" t="s">
        <v>4</v>
      </c>
      <c r="M297" t="s">
        <v>4</v>
      </c>
      <c r="N297" t="s">
        <v>20</v>
      </c>
      <c r="O297">
        <v>202504</v>
      </c>
      <c r="P297">
        <v>240012</v>
      </c>
      <c r="Q297" t="s">
        <v>57</v>
      </c>
      <c r="R297" t="s">
        <v>58</v>
      </c>
      <c r="S297" t="s">
        <v>39</v>
      </c>
      <c r="T297" t="s">
        <v>40</v>
      </c>
      <c r="U297" t="s">
        <v>20</v>
      </c>
      <c r="V297">
        <v>1</v>
      </c>
      <c r="W297" t="s">
        <v>10</v>
      </c>
      <c r="X297" t="s">
        <v>12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12</v>
      </c>
      <c r="AG297" t="s">
        <v>12</v>
      </c>
      <c r="AH297" t="s">
        <v>12</v>
      </c>
      <c r="AI297" t="s">
        <v>12</v>
      </c>
      <c r="AJ297" t="s">
        <v>12</v>
      </c>
      <c r="AK297">
        <v>1</v>
      </c>
      <c r="AL297">
        <v>0.1883</v>
      </c>
      <c r="AM297" t="s">
        <v>12</v>
      </c>
      <c r="AN297" t="s">
        <v>12</v>
      </c>
      <c r="AO297" t="s">
        <v>12</v>
      </c>
    </row>
    <row r="298" spans="1:41" x14ac:dyDescent="0.35">
      <c r="A298">
        <v>19644875</v>
      </c>
      <c r="B298">
        <v>202601</v>
      </c>
      <c r="C298">
        <v>20605724591</v>
      </c>
      <c r="D298" t="s">
        <v>530</v>
      </c>
      <c r="E298" t="s">
        <v>1</v>
      </c>
      <c r="F298">
        <v>10247526</v>
      </c>
      <c r="G298" t="s">
        <v>92</v>
      </c>
      <c r="H298" t="s">
        <v>39</v>
      </c>
      <c r="I298">
        <v>11773.53125</v>
      </c>
      <c r="J298" s="1">
        <v>45316</v>
      </c>
      <c r="K298">
        <v>18.600000000000001</v>
      </c>
      <c r="L298" t="s">
        <v>4</v>
      </c>
      <c r="M298" t="s">
        <v>4</v>
      </c>
      <c r="N298" t="s">
        <v>41</v>
      </c>
      <c r="O298">
        <v>202401</v>
      </c>
      <c r="P298">
        <v>240012</v>
      </c>
      <c r="Q298" t="s">
        <v>531</v>
      </c>
      <c r="R298" t="s">
        <v>532</v>
      </c>
      <c r="S298" t="s">
        <v>39</v>
      </c>
      <c r="T298" t="s">
        <v>40</v>
      </c>
      <c r="U298" t="s">
        <v>63</v>
      </c>
      <c r="V298">
        <v>1</v>
      </c>
      <c r="W298" t="s">
        <v>21</v>
      </c>
      <c r="X298" t="s">
        <v>51</v>
      </c>
      <c r="Y298">
        <v>1</v>
      </c>
      <c r="Z298">
        <v>1</v>
      </c>
      <c r="AA298">
        <v>0</v>
      </c>
      <c r="AB298">
        <v>0</v>
      </c>
      <c r="AC298">
        <v>1</v>
      </c>
      <c r="AD298">
        <v>0</v>
      </c>
      <c r="AE298">
        <v>0</v>
      </c>
      <c r="AF298" t="s">
        <v>12</v>
      </c>
      <c r="AG298" t="s">
        <v>12</v>
      </c>
      <c r="AH298" t="s">
        <v>12</v>
      </c>
      <c r="AI298" t="s">
        <v>12</v>
      </c>
      <c r="AJ298" t="s">
        <v>12</v>
      </c>
      <c r="AK298">
        <v>250000</v>
      </c>
      <c r="AL298">
        <v>0.21</v>
      </c>
      <c r="AM298">
        <v>0.19</v>
      </c>
      <c r="AN298" t="s">
        <v>12</v>
      </c>
      <c r="AO298" t="s">
        <v>12</v>
      </c>
    </row>
    <row r="299" spans="1:41" x14ac:dyDescent="0.35">
      <c r="A299">
        <v>21908424</v>
      </c>
      <c r="B299">
        <v>202512</v>
      </c>
      <c r="C299">
        <v>20600999339</v>
      </c>
      <c r="D299" t="s">
        <v>533</v>
      </c>
      <c r="E299" t="s">
        <v>1</v>
      </c>
      <c r="F299">
        <v>10272347</v>
      </c>
      <c r="G299" t="s">
        <v>14</v>
      </c>
      <c r="H299" t="s">
        <v>159</v>
      </c>
      <c r="I299">
        <v>104214.9609375</v>
      </c>
      <c r="J299" s="1">
        <v>45947</v>
      </c>
      <c r="K299">
        <v>17</v>
      </c>
      <c r="L299" t="s">
        <v>37</v>
      </c>
      <c r="M299" t="s">
        <v>75</v>
      </c>
      <c r="N299" t="s">
        <v>16</v>
      </c>
      <c r="O299">
        <v>202510</v>
      </c>
      <c r="P299">
        <v>112305.60000000001</v>
      </c>
      <c r="Q299" t="s">
        <v>12</v>
      </c>
      <c r="R299" t="s">
        <v>12</v>
      </c>
      <c r="S299" t="s">
        <v>12</v>
      </c>
      <c r="T299" t="s">
        <v>12</v>
      </c>
      <c r="U299" t="s">
        <v>12</v>
      </c>
      <c r="V299" t="s">
        <v>12</v>
      </c>
      <c r="W299" t="s">
        <v>12</v>
      </c>
      <c r="X299" t="s">
        <v>12</v>
      </c>
      <c r="Y299" t="s">
        <v>12</v>
      </c>
      <c r="Z299" t="s">
        <v>12</v>
      </c>
      <c r="AA299" t="s">
        <v>12</v>
      </c>
      <c r="AB299" t="s">
        <v>12</v>
      </c>
      <c r="AC299" t="s">
        <v>12</v>
      </c>
      <c r="AD299" t="s">
        <v>12</v>
      </c>
      <c r="AE299" t="s">
        <v>12</v>
      </c>
      <c r="AF299" t="s">
        <v>12</v>
      </c>
      <c r="AG299" t="s">
        <v>12</v>
      </c>
      <c r="AH299" t="s">
        <v>12</v>
      </c>
      <c r="AI299" t="s">
        <v>12</v>
      </c>
      <c r="AJ299" t="s">
        <v>12</v>
      </c>
      <c r="AK299" t="s">
        <v>12</v>
      </c>
      <c r="AL299" t="s">
        <v>12</v>
      </c>
      <c r="AM299" t="s">
        <v>12</v>
      </c>
      <c r="AN299" t="s">
        <v>12</v>
      </c>
      <c r="AO299" t="s">
        <v>12</v>
      </c>
    </row>
    <row r="300" spans="1:41" x14ac:dyDescent="0.35">
      <c r="A300">
        <v>20686751</v>
      </c>
      <c r="B300">
        <v>202510</v>
      </c>
      <c r="C300">
        <v>20608475029</v>
      </c>
      <c r="D300" t="s">
        <v>534</v>
      </c>
      <c r="E300" t="s">
        <v>1</v>
      </c>
      <c r="F300">
        <v>10248579</v>
      </c>
      <c r="G300" t="s">
        <v>45</v>
      </c>
      <c r="H300" t="s">
        <v>531</v>
      </c>
      <c r="I300">
        <v>40815.8671875</v>
      </c>
      <c r="J300" s="1">
        <v>45350</v>
      </c>
      <c r="K300">
        <v>16</v>
      </c>
      <c r="L300" t="s">
        <v>37</v>
      </c>
      <c r="M300" t="s">
        <v>37</v>
      </c>
      <c r="N300" t="s">
        <v>47</v>
      </c>
      <c r="O300">
        <v>202402</v>
      </c>
      <c r="P300">
        <v>90004.5</v>
      </c>
      <c r="Q300" t="s">
        <v>531</v>
      </c>
      <c r="R300" t="s">
        <v>532</v>
      </c>
      <c r="S300" t="s">
        <v>39</v>
      </c>
      <c r="T300" t="s">
        <v>40</v>
      </c>
      <c r="U300" t="s">
        <v>20</v>
      </c>
      <c r="V300">
        <v>1</v>
      </c>
      <c r="W300" t="s">
        <v>10</v>
      </c>
      <c r="X300" t="s">
        <v>12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12</v>
      </c>
      <c r="AG300" t="s">
        <v>12</v>
      </c>
      <c r="AH300" t="s">
        <v>12</v>
      </c>
      <c r="AI300" t="s">
        <v>12</v>
      </c>
      <c r="AJ300" t="s">
        <v>12</v>
      </c>
      <c r="AK300">
        <v>1</v>
      </c>
      <c r="AL300">
        <v>1</v>
      </c>
      <c r="AM300" t="s">
        <v>12</v>
      </c>
      <c r="AN300" t="s">
        <v>12</v>
      </c>
      <c r="AO300" t="s">
        <v>12</v>
      </c>
    </row>
    <row r="301" spans="1:41" x14ac:dyDescent="0.35">
      <c r="A301">
        <v>20015645</v>
      </c>
      <c r="B301">
        <v>202511</v>
      </c>
      <c r="C301">
        <v>20487947262</v>
      </c>
      <c r="D301" t="s">
        <v>535</v>
      </c>
      <c r="E301" t="s">
        <v>1</v>
      </c>
      <c r="F301">
        <v>10248745</v>
      </c>
      <c r="G301" t="s">
        <v>65</v>
      </c>
      <c r="H301" t="s">
        <v>317</v>
      </c>
      <c r="I301">
        <v>36780.58203125</v>
      </c>
      <c r="J301" s="1">
        <v>45350</v>
      </c>
      <c r="K301">
        <v>15</v>
      </c>
      <c r="L301" t="s">
        <v>37</v>
      </c>
      <c r="M301" t="s">
        <v>37</v>
      </c>
      <c r="N301" t="s">
        <v>47</v>
      </c>
      <c r="O301">
        <v>202402</v>
      </c>
      <c r="P301">
        <v>90004.5</v>
      </c>
      <c r="Q301" t="s">
        <v>317</v>
      </c>
      <c r="R301" t="s">
        <v>318</v>
      </c>
      <c r="S301" t="s">
        <v>88</v>
      </c>
      <c r="T301" t="s">
        <v>89</v>
      </c>
      <c r="U301" t="s">
        <v>20</v>
      </c>
      <c r="V301">
        <v>2</v>
      </c>
      <c r="W301" t="s">
        <v>10</v>
      </c>
      <c r="X301" t="s">
        <v>51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12</v>
      </c>
      <c r="AG301" t="s">
        <v>12</v>
      </c>
      <c r="AH301" t="s">
        <v>12</v>
      </c>
      <c r="AI301" t="s">
        <v>12</v>
      </c>
      <c r="AJ301" t="s">
        <v>12</v>
      </c>
      <c r="AK301">
        <v>1</v>
      </c>
      <c r="AL301">
        <v>1</v>
      </c>
      <c r="AM301" t="s">
        <v>12</v>
      </c>
      <c r="AN301" t="s">
        <v>12</v>
      </c>
      <c r="AO301" t="s">
        <v>12</v>
      </c>
    </row>
    <row r="302" spans="1:41" x14ac:dyDescent="0.35">
      <c r="A302">
        <v>18354987</v>
      </c>
      <c r="B302">
        <v>202506</v>
      </c>
      <c r="C302">
        <v>10438279895</v>
      </c>
      <c r="D302" t="s">
        <v>536</v>
      </c>
      <c r="E302">
        <v>43827989</v>
      </c>
      <c r="F302">
        <v>10250243</v>
      </c>
      <c r="G302" t="s">
        <v>65</v>
      </c>
      <c r="H302" t="s">
        <v>183</v>
      </c>
      <c r="I302">
        <v>37639.9140625</v>
      </c>
      <c r="J302" s="1">
        <v>45378</v>
      </c>
      <c r="K302">
        <v>14.6</v>
      </c>
      <c r="L302" t="s">
        <v>37</v>
      </c>
      <c r="M302" t="s">
        <v>37</v>
      </c>
      <c r="N302" t="s">
        <v>47</v>
      </c>
      <c r="O302">
        <v>202403</v>
      </c>
      <c r="P302">
        <v>57309.85</v>
      </c>
      <c r="Q302" t="s">
        <v>124</v>
      </c>
      <c r="R302" t="s">
        <v>125</v>
      </c>
      <c r="S302" t="s">
        <v>88</v>
      </c>
      <c r="T302" t="s">
        <v>89</v>
      </c>
      <c r="U302" t="s">
        <v>41</v>
      </c>
      <c r="V302">
        <v>2</v>
      </c>
      <c r="W302" t="s">
        <v>90</v>
      </c>
      <c r="X302" t="s">
        <v>12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12</v>
      </c>
      <c r="AG302" t="s">
        <v>12</v>
      </c>
      <c r="AH302" t="s">
        <v>12</v>
      </c>
      <c r="AI302" t="s">
        <v>12</v>
      </c>
      <c r="AJ302" t="s">
        <v>12</v>
      </c>
      <c r="AK302">
        <v>300000</v>
      </c>
      <c r="AL302">
        <v>0.24</v>
      </c>
      <c r="AM302">
        <v>0.2223</v>
      </c>
      <c r="AN302" t="s">
        <v>12</v>
      </c>
      <c r="AO302" t="s">
        <v>12</v>
      </c>
    </row>
    <row r="303" spans="1:41" x14ac:dyDescent="0.35">
      <c r="A303">
        <v>15497418</v>
      </c>
      <c r="B303">
        <v>202506</v>
      </c>
      <c r="C303">
        <v>20600398815</v>
      </c>
      <c r="D303" t="s">
        <v>537</v>
      </c>
      <c r="E303" t="s">
        <v>1</v>
      </c>
      <c r="F303">
        <v>10251171</v>
      </c>
      <c r="G303" t="s">
        <v>53</v>
      </c>
      <c r="H303" t="s">
        <v>234</v>
      </c>
      <c r="I303">
        <v>150444.859375</v>
      </c>
      <c r="J303" s="1">
        <v>45401</v>
      </c>
      <c r="K303">
        <v>14</v>
      </c>
      <c r="L303" t="s">
        <v>4</v>
      </c>
      <c r="M303" t="s">
        <v>4</v>
      </c>
      <c r="N303" t="s">
        <v>47</v>
      </c>
      <c r="O303">
        <v>202404</v>
      </c>
      <c r="P303">
        <v>216270.8</v>
      </c>
      <c r="Q303" t="s">
        <v>234</v>
      </c>
      <c r="R303" t="s">
        <v>235</v>
      </c>
      <c r="S303" t="s">
        <v>49</v>
      </c>
      <c r="T303" t="s">
        <v>50</v>
      </c>
      <c r="U303" t="s">
        <v>20</v>
      </c>
      <c r="V303">
        <v>1</v>
      </c>
      <c r="W303" t="s">
        <v>10</v>
      </c>
      <c r="X303" t="s">
        <v>12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12</v>
      </c>
      <c r="AG303" t="s">
        <v>12</v>
      </c>
      <c r="AH303" t="s">
        <v>12</v>
      </c>
      <c r="AI303" t="s">
        <v>12</v>
      </c>
      <c r="AJ303" t="s">
        <v>12</v>
      </c>
      <c r="AK303">
        <v>1</v>
      </c>
      <c r="AL303">
        <v>0.20330000000000001</v>
      </c>
      <c r="AM303">
        <v>0</v>
      </c>
      <c r="AN303" t="s">
        <v>12</v>
      </c>
      <c r="AO303" t="s">
        <v>12</v>
      </c>
    </row>
    <row r="304" spans="1:41" x14ac:dyDescent="0.35">
      <c r="A304">
        <v>12267423</v>
      </c>
      <c r="B304">
        <v>202512</v>
      </c>
      <c r="C304">
        <v>20317074043</v>
      </c>
      <c r="D304" t="s">
        <v>538</v>
      </c>
      <c r="E304" t="s">
        <v>1</v>
      </c>
      <c r="F304">
        <v>10274056</v>
      </c>
      <c r="G304" t="s">
        <v>78</v>
      </c>
      <c r="H304" t="s">
        <v>273</v>
      </c>
      <c r="I304">
        <v>168608.40625</v>
      </c>
      <c r="J304" s="1">
        <v>46010</v>
      </c>
      <c r="K304">
        <v>17</v>
      </c>
      <c r="L304" t="s">
        <v>4</v>
      </c>
      <c r="M304" t="s">
        <v>4</v>
      </c>
      <c r="N304" t="s">
        <v>41</v>
      </c>
      <c r="O304">
        <v>202512</v>
      </c>
      <c r="P304">
        <v>168608.4</v>
      </c>
      <c r="Q304" t="s">
        <v>273</v>
      </c>
      <c r="R304" t="s">
        <v>274</v>
      </c>
      <c r="S304" t="s">
        <v>39</v>
      </c>
      <c r="T304" t="s">
        <v>40</v>
      </c>
      <c r="U304" t="s">
        <v>41</v>
      </c>
      <c r="V304">
        <v>1</v>
      </c>
      <c r="W304" t="s">
        <v>10</v>
      </c>
      <c r="X304" t="s">
        <v>11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168608.4</v>
      </c>
      <c r="AF304">
        <v>17</v>
      </c>
      <c r="AG304" s="1">
        <v>46010</v>
      </c>
      <c r="AH304" t="s">
        <v>41</v>
      </c>
      <c r="AI304" t="s">
        <v>4</v>
      </c>
      <c r="AJ304" t="s">
        <v>33</v>
      </c>
      <c r="AK304">
        <v>168600</v>
      </c>
      <c r="AL304">
        <v>0.21</v>
      </c>
      <c r="AM304">
        <v>0.19</v>
      </c>
      <c r="AN304" t="s">
        <v>12</v>
      </c>
      <c r="AO304" t="s">
        <v>12</v>
      </c>
    </row>
    <row r="305" spans="1:41" x14ac:dyDescent="0.35">
      <c r="A305">
        <v>22027302</v>
      </c>
      <c r="B305">
        <v>202601</v>
      </c>
      <c r="C305">
        <v>20553159068</v>
      </c>
      <c r="D305" t="s">
        <v>539</v>
      </c>
      <c r="E305" t="s">
        <v>1</v>
      </c>
      <c r="F305">
        <v>10274418</v>
      </c>
      <c r="G305" t="s">
        <v>28</v>
      </c>
      <c r="H305" t="s">
        <v>329</v>
      </c>
      <c r="I305">
        <v>18354.177734375</v>
      </c>
      <c r="J305" s="1">
        <v>46031</v>
      </c>
      <c r="K305">
        <v>16</v>
      </c>
      <c r="L305" t="s">
        <v>86</v>
      </c>
      <c r="M305" t="s">
        <v>86</v>
      </c>
      <c r="N305" t="s">
        <v>26</v>
      </c>
      <c r="O305">
        <v>202601</v>
      </c>
      <c r="P305">
        <v>50002.5</v>
      </c>
      <c r="Q305" t="s">
        <v>329</v>
      </c>
      <c r="R305" t="s">
        <v>330</v>
      </c>
      <c r="S305" t="s">
        <v>111</v>
      </c>
      <c r="T305" t="s">
        <v>112</v>
      </c>
      <c r="U305" t="s">
        <v>26</v>
      </c>
      <c r="V305">
        <v>2</v>
      </c>
      <c r="W305" t="s">
        <v>10</v>
      </c>
      <c r="X305" t="s">
        <v>59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0</v>
      </c>
      <c r="AE305">
        <v>50002.5</v>
      </c>
      <c r="AF305">
        <v>16</v>
      </c>
      <c r="AG305" s="1">
        <v>46031</v>
      </c>
      <c r="AH305" t="s">
        <v>26</v>
      </c>
      <c r="AI305" t="s">
        <v>86</v>
      </c>
      <c r="AJ305" t="s">
        <v>33</v>
      </c>
      <c r="AK305">
        <v>350000</v>
      </c>
      <c r="AL305">
        <v>0.22800000000000001</v>
      </c>
      <c r="AM305">
        <v>0.20799999999999999</v>
      </c>
      <c r="AN305" t="s">
        <v>12</v>
      </c>
      <c r="AO305" t="s">
        <v>12</v>
      </c>
    </row>
    <row r="306" spans="1:41" x14ac:dyDescent="0.35">
      <c r="A306">
        <v>10908641</v>
      </c>
      <c r="B306">
        <v>202510</v>
      </c>
      <c r="C306">
        <v>10004135054</v>
      </c>
      <c r="D306" t="s">
        <v>540</v>
      </c>
      <c r="E306">
        <v>413505</v>
      </c>
      <c r="F306">
        <v>10162455</v>
      </c>
      <c r="G306" t="s">
        <v>2</v>
      </c>
      <c r="H306" t="s">
        <v>190</v>
      </c>
      <c r="I306">
        <v>105658.96875</v>
      </c>
      <c r="J306" s="1">
        <v>45707</v>
      </c>
      <c r="K306">
        <v>16.68</v>
      </c>
      <c r="L306" t="s">
        <v>4</v>
      </c>
      <c r="M306" t="s">
        <v>4</v>
      </c>
      <c r="N306" t="s">
        <v>5</v>
      </c>
      <c r="O306">
        <v>202502</v>
      </c>
      <c r="P306">
        <v>150007.5</v>
      </c>
      <c r="Q306" t="s">
        <v>190</v>
      </c>
      <c r="R306" t="s">
        <v>191</v>
      </c>
      <c r="S306" t="s">
        <v>49</v>
      </c>
      <c r="T306" t="s">
        <v>50</v>
      </c>
      <c r="U306" t="s">
        <v>541</v>
      </c>
      <c r="V306">
        <v>1</v>
      </c>
      <c r="W306" t="s">
        <v>90</v>
      </c>
      <c r="X306" t="s">
        <v>12</v>
      </c>
      <c r="Y306">
        <v>1</v>
      </c>
      <c r="Z306">
        <v>1</v>
      </c>
      <c r="AA306">
        <v>0</v>
      </c>
      <c r="AB306">
        <v>0</v>
      </c>
      <c r="AC306">
        <v>1</v>
      </c>
      <c r="AD306">
        <v>1</v>
      </c>
      <c r="AE306">
        <v>0</v>
      </c>
      <c r="AF306" t="s">
        <v>12</v>
      </c>
      <c r="AG306" t="s">
        <v>12</v>
      </c>
      <c r="AH306" t="s">
        <v>12</v>
      </c>
      <c r="AI306" t="s">
        <v>12</v>
      </c>
      <c r="AJ306" t="s">
        <v>12</v>
      </c>
      <c r="AK306">
        <v>150000</v>
      </c>
      <c r="AL306">
        <v>0.23569999999999999</v>
      </c>
      <c r="AM306">
        <v>0.2157</v>
      </c>
      <c r="AN306" t="s">
        <v>12</v>
      </c>
      <c r="AO306" t="s">
        <v>12</v>
      </c>
    </row>
    <row r="307" spans="1:41" x14ac:dyDescent="0.35">
      <c r="A307">
        <v>21477731</v>
      </c>
      <c r="B307">
        <v>202503</v>
      </c>
      <c r="C307">
        <v>20601224306</v>
      </c>
      <c r="D307" t="s">
        <v>542</v>
      </c>
      <c r="E307" t="s">
        <v>1</v>
      </c>
      <c r="F307">
        <v>10265275</v>
      </c>
      <c r="G307" t="s">
        <v>24</v>
      </c>
      <c r="H307" t="s">
        <v>159</v>
      </c>
      <c r="I307">
        <v>61400.7421875</v>
      </c>
      <c r="J307" s="1">
        <v>45700</v>
      </c>
      <c r="K307">
        <v>18.5</v>
      </c>
      <c r="L307" t="s">
        <v>37</v>
      </c>
      <c r="M307" t="s">
        <v>75</v>
      </c>
      <c r="N307" t="s">
        <v>98</v>
      </c>
      <c r="O307">
        <v>202502</v>
      </c>
      <c r="P307">
        <v>100005</v>
      </c>
      <c r="Q307" t="s">
        <v>12</v>
      </c>
      <c r="R307" t="s">
        <v>12</v>
      </c>
      <c r="S307" t="s">
        <v>12</v>
      </c>
      <c r="T307" t="s">
        <v>12</v>
      </c>
      <c r="U307" t="s">
        <v>12</v>
      </c>
      <c r="V307" t="s">
        <v>12</v>
      </c>
      <c r="W307" t="s">
        <v>12</v>
      </c>
      <c r="X307" t="s">
        <v>12</v>
      </c>
      <c r="Y307" t="s">
        <v>12</v>
      </c>
      <c r="Z307" t="s">
        <v>12</v>
      </c>
      <c r="AA307" t="s">
        <v>12</v>
      </c>
      <c r="AB307" t="s">
        <v>12</v>
      </c>
      <c r="AC307" t="s">
        <v>12</v>
      </c>
      <c r="AD307" t="s">
        <v>12</v>
      </c>
      <c r="AE307" t="s">
        <v>12</v>
      </c>
      <c r="AF307" t="s">
        <v>12</v>
      </c>
      <c r="AG307" t="s">
        <v>12</v>
      </c>
      <c r="AH307" t="s">
        <v>12</v>
      </c>
      <c r="AI307" t="s">
        <v>12</v>
      </c>
      <c r="AJ307" t="s">
        <v>12</v>
      </c>
      <c r="AK307" t="s">
        <v>12</v>
      </c>
      <c r="AL307" t="s">
        <v>12</v>
      </c>
      <c r="AM307" t="s">
        <v>12</v>
      </c>
      <c r="AN307" t="s">
        <v>12</v>
      </c>
      <c r="AO307" t="s">
        <v>12</v>
      </c>
    </row>
    <row r="308" spans="1:41" x14ac:dyDescent="0.35">
      <c r="A308">
        <v>10238466</v>
      </c>
      <c r="B308">
        <v>202503</v>
      </c>
      <c r="C308">
        <v>10167525763</v>
      </c>
      <c r="D308" t="s">
        <v>543</v>
      </c>
      <c r="E308">
        <v>16752576</v>
      </c>
      <c r="F308">
        <v>10265402</v>
      </c>
      <c r="G308" t="s">
        <v>73</v>
      </c>
      <c r="H308" t="s">
        <v>544</v>
      </c>
      <c r="I308">
        <v>46249.1875</v>
      </c>
      <c r="J308" s="1">
        <v>45705</v>
      </c>
      <c r="K308">
        <v>25</v>
      </c>
      <c r="L308" t="s">
        <v>4</v>
      </c>
      <c r="M308" t="s">
        <v>75</v>
      </c>
      <c r="N308" t="s">
        <v>20</v>
      </c>
      <c r="O308">
        <v>202502</v>
      </c>
      <c r="P308">
        <v>50002.5</v>
      </c>
      <c r="Q308" t="s">
        <v>12</v>
      </c>
      <c r="R308" t="s">
        <v>12</v>
      </c>
      <c r="S308" t="s">
        <v>12</v>
      </c>
      <c r="T308" t="s">
        <v>12</v>
      </c>
      <c r="U308" t="s">
        <v>12</v>
      </c>
      <c r="V308" t="s">
        <v>12</v>
      </c>
      <c r="W308" t="s">
        <v>12</v>
      </c>
      <c r="X308" t="s">
        <v>12</v>
      </c>
      <c r="Y308" t="s">
        <v>12</v>
      </c>
      <c r="Z308" t="s">
        <v>12</v>
      </c>
      <c r="AA308" t="s">
        <v>12</v>
      </c>
      <c r="AB308" t="s">
        <v>12</v>
      </c>
      <c r="AC308" t="s">
        <v>12</v>
      </c>
      <c r="AD308" t="s">
        <v>12</v>
      </c>
      <c r="AE308" t="s">
        <v>12</v>
      </c>
      <c r="AF308" t="s">
        <v>12</v>
      </c>
      <c r="AG308" t="s">
        <v>12</v>
      </c>
      <c r="AH308" t="s">
        <v>12</v>
      </c>
      <c r="AI308" t="s">
        <v>12</v>
      </c>
      <c r="AJ308" t="s">
        <v>12</v>
      </c>
      <c r="AK308" t="s">
        <v>12</v>
      </c>
      <c r="AL308" t="s">
        <v>12</v>
      </c>
      <c r="AM308" t="s">
        <v>12</v>
      </c>
      <c r="AN308" t="s">
        <v>12</v>
      </c>
      <c r="AO308" t="s">
        <v>12</v>
      </c>
    </row>
    <row r="309" spans="1:41" x14ac:dyDescent="0.35">
      <c r="A309">
        <v>21490590</v>
      </c>
      <c r="B309">
        <v>202504</v>
      </c>
      <c r="C309">
        <v>20610226320</v>
      </c>
      <c r="D309" t="s">
        <v>545</v>
      </c>
      <c r="E309" t="s">
        <v>1</v>
      </c>
      <c r="F309">
        <v>10265646</v>
      </c>
      <c r="G309" t="s">
        <v>73</v>
      </c>
      <c r="H309" t="s">
        <v>159</v>
      </c>
      <c r="I309">
        <v>90204.0859375</v>
      </c>
      <c r="J309" s="1">
        <v>45713</v>
      </c>
      <c r="K309">
        <v>19</v>
      </c>
      <c r="L309" t="s">
        <v>4</v>
      </c>
      <c r="M309" t="s">
        <v>75</v>
      </c>
      <c r="N309" t="s">
        <v>20</v>
      </c>
      <c r="O309">
        <v>202502</v>
      </c>
      <c r="P309">
        <v>100005</v>
      </c>
      <c r="Q309" t="s">
        <v>12</v>
      </c>
      <c r="R309" t="s">
        <v>12</v>
      </c>
      <c r="S309" t="s">
        <v>12</v>
      </c>
      <c r="T309" t="s">
        <v>12</v>
      </c>
      <c r="U309" t="s">
        <v>12</v>
      </c>
      <c r="V309" t="s">
        <v>12</v>
      </c>
      <c r="W309" t="s">
        <v>12</v>
      </c>
      <c r="X309" t="s">
        <v>12</v>
      </c>
      <c r="Y309" t="s">
        <v>12</v>
      </c>
      <c r="Z309" t="s">
        <v>12</v>
      </c>
      <c r="AA309" t="s">
        <v>12</v>
      </c>
      <c r="AB309" t="s">
        <v>12</v>
      </c>
      <c r="AC309" t="s">
        <v>12</v>
      </c>
      <c r="AD309" t="s">
        <v>12</v>
      </c>
      <c r="AE309" t="s">
        <v>12</v>
      </c>
      <c r="AF309" t="s">
        <v>12</v>
      </c>
      <c r="AG309" t="s">
        <v>12</v>
      </c>
      <c r="AH309" t="s">
        <v>12</v>
      </c>
      <c r="AI309" t="s">
        <v>12</v>
      </c>
      <c r="AJ309" t="s">
        <v>12</v>
      </c>
      <c r="AK309" t="s">
        <v>12</v>
      </c>
      <c r="AL309" t="s">
        <v>12</v>
      </c>
      <c r="AM309" t="s">
        <v>12</v>
      </c>
      <c r="AN309" t="s">
        <v>12</v>
      </c>
      <c r="AO309" t="s">
        <v>12</v>
      </c>
    </row>
    <row r="310" spans="1:41" x14ac:dyDescent="0.35">
      <c r="A310">
        <v>21340426</v>
      </c>
      <c r="B310">
        <v>202512</v>
      </c>
      <c r="C310">
        <v>20571335540</v>
      </c>
      <c r="D310" t="s">
        <v>546</v>
      </c>
      <c r="E310" t="s">
        <v>1</v>
      </c>
      <c r="F310">
        <v>10263284</v>
      </c>
      <c r="G310" t="s">
        <v>45</v>
      </c>
      <c r="H310" t="s">
        <v>183</v>
      </c>
      <c r="I310">
        <v>54305.421875</v>
      </c>
      <c r="J310" s="1">
        <v>45624</v>
      </c>
      <c r="K310">
        <v>14.8</v>
      </c>
      <c r="L310" t="s">
        <v>37</v>
      </c>
      <c r="M310" t="s">
        <v>37</v>
      </c>
      <c r="N310" t="s">
        <v>47</v>
      </c>
      <c r="O310">
        <v>202411</v>
      </c>
      <c r="P310">
        <v>70003.5</v>
      </c>
      <c r="Q310" t="s">
        <v>12</v>
      </c>
      <c r="R310" t="s">
        <v>12</v>
      </c>
      <c r="S310" t="s">
        <v>12</v>
      </c>
      <c r="T310" t="s">
        <v>12</v>
      </c>
      <c r="U310" t="s">
        <v>12</v>
      </c>
      <c r="V310" t="s">
        <v>12</v>
      </c>
      <c r="W310" t="s">
        <v>12</v>
      </c>
      <c r="X310" t="s">
        <v>12</v>
      </c>
      <c r="Y310" t="s">
        <v>12</v>
      </c>
      <c r="Z310" t="s">
        <v>12</v>
      </c>
      <c r="AA310" t="s">
        <v>12</v>
      </c>
      <c r="AB310" t="s">
        <v>12</v>
      </c>
      <c r="AC310" t="s">
        <v>12</v>
      </c>
      <c r="AD310" t="s">
        <v>12</v>
      </c>
      <c r="AE310" t="s">
        <v>12</v>
      </c>
      <c r="AF310" t="s">
        <v>12</v>
      </c>
      <c r="AG310" t="s">
        <v>12</v>
      </c>
      <c r="AH310" t="s">
        <v>12</v>
      </c>
      <c r="AI310" t="s">
        <v>12</v>
      </c>
      <c r="AJ310" t="s">
        <v>12</v>
      </c>
      <c r="AK310" t="s">
        <v>12</v>
      </c>
      <c r="AL310" t="s">
        <v>12</v>
      </c>
      <c r="AM310" t="s">
        <v>12</v>
      </c>
      <c r="AN310" t="s">
        <v>12</v>
      </c>
      <c r="AO310" t="s">
        <v>12</v>
      </c>
    </row>
    <row r="311" spans="1:41" x14ac:dyDescent="0.35">
      <c r="A311">
        <v>16720074</v>
      </c>
      <c r="B311">
        <v>202512</v>
      </c>
      <c r="C311">
        <v>20601327440</v>
      </c>
      <c r="D311" t="s">
        <v>441</v>
      </c>
      <c r="E311" t="s">
        <v>1</v>
      </c>
      <c r="F311">
        <v>10272019</v>
      </c>
      <c r="G311" t="s">
        <v>78</v>
      </c>
      <c r="H311" t="s">
        <v>204</v>
      </c>
      <c r="I311">
        <v>366909.3125</v>
      </c>
      <c r="J311" s="1">
        <v>45936</v>
      </c>
      <c r="K311">
        <v>16.5</v>
      </c>
      <c r="L311" t="s">
        <v>4</v>
      </c>
      <c r="M311" t="s">
        <v>4</v>
      </c>
      <c r="N311" t="s">
        <v>41</v>
      </c>
      <c r="O311">
        <v>202510</v>
      </c>
      <c r="P311">
        <v>224486.9</v>
      </c>
      <c r="Q311" t="s">
        <v>204</v>
      </c>
      <c r="R311" t="s">
        <v>291</v>
      </c>
      <c r="S311" t="s">
        <v>127</v>
      </c>
      <c r="T311" t="s">
        <v>147</v>
      </c>
      <c r="U311" t="s">
        <v>20</v>
      </c>
      <c r="V311">
        <v>1</v>
      </c>
      <c r="W311" t="s">
        <v>10</v>
      </c>
      <c r="X311" t="s">
        <v>22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12</v>
      </c>
      <c r="AG311" t="s">
        <v>12</v>
      </c>
      <c r="AH311" t="s">
        <v>12</v>
      </c>
      <c r="AI311" t="s">
        <v>12</v>
      </c>
      <c r="AJ311" t="s">
        <v>12</v>
      </c>
      <c r="AK311">
        <v>1</v>
      </c>
      <c r="AL311">
        <v>1</v>
      </c>
      <c r="AM311" t="s">
        <v>12</v>
      </c>
      <c r="AN311" t="s">
        <v>12</v>
      </c>
      <c r="AO311" t="s">
        <v>12</v>
      </c>
    </row>
    <row r="312" spans="1:41" x14ac:dyDescent="0.35">
      <c r="A312">
        <v>20180867</v>
      </c>
      <c r="B312">
        <v>202509</v>
      </c>
      <c r="C312">
        <v>20604502510</v>
      </c>
      <c r="D312" t="s">
        <v>547</v>
      </c>
      <c r="E312" t="s">
        <v>1</v>
      </c>
      <c r="F312">
        <v>10270183</v>
      </c>
      <c r="G312" t="s">
        <v>92</v>
      </c>
      <c r="H312" t="s">
        <v>206</v>
      </c>
      <c r="I312">
        <v>228013.3125</v>
      </c>
      <c r="J312" s="1">
        <v>45873</v>
      </c>
      <c r="K312">
        <v>16</v>
      </c>
      <c r="L312" t="s">
        <v>4</v>
      </c>
      <c r="M312" t="s">
        <v>4</v>
      </c>
      <c r="N312" t="s">
        <v>41</v>
      </c>
      <c r="O312">
        <v>202508</v>
      </c>
      <c r="P312">
        <v>240012</v>
      </c>
      <c r="Q312" t="s">
        <v>12</v>
      </c>
      <c r="R312" t="s">
        <v>12</v>
      </c>
      <c r="S312" t="s">
        <v>12</v>
      </c>
      <c r="T312" t="s">
        <v>12</v>
      </c>
      <c r="U312" t="s">
        <v>12</v>
      </c>
      <c r="V312" t="s">
        <v>12</v>
      </c>
      <c r="W312" t="s">
        <v>12</v>
      </c>
      <c r="X312" t="s">
        <v>12</v>
      </c>
      <c r="Y312" t="s">
        <v>12</v>
      </c>
      <c r="Z312" t="s">
        <v>12</v>
      </c>
      <c r="AA312" t="s">
        <v>12</v>
      </c>
      <c r="AB312" t="s">
        <v>12</v>
      </c>
      <c r="AC312" t="s">
        <v>12</v>
      </c>
      <c r="AD312" t="s">
        <v>12</v>
      </c>
      <c r="AE312" t="s">
        <v>12</v>
      </c>
      <c r="AF312" t="s">
        <v>12</v>
      </c>
      <c r="AG312" t="s">
        <v>12</v>
      </c>
      <c r="AH312" t="s">
        <v>12</v>
      </c>
      <c r="AI312" t="s">
        <v>12</v>
      </c>
      <c r="AJ312" t="s">
        <v>12</v>
      </c>
      <c r="AK312" t="s">
        <v>12</v>
      </c>
      <c r="AL312" t="s">
        <v>12</v>
      </c>
      <c r="AM312" t="s">
        <v>12</v>
      </c>
      <c r="AN312" t="s">
        <v>12</v>
      </c>
      <c r="AO312" t="s">
        <v>12</v>
      </c>
    </row>
    <row r="313" spans="1:41" x14ac:dyDescent="0.35">
      <c r="A313">
        <v>9595607</v>
      </c>
      <c r="B313">
        <v>202511</v>
      </c>
      <c r="C313">
        <v>10400833066</v>
      </c>
      <c r="D313" t="s">
        <v>548</v>
      </c>
      <c r="E313">
        <v>40083306</v>
      </c>
      <c r="F313">
        <v>10269291</v>
      </c>
      <c r="G313" t="s">
        <v>100</v>
      </c>
      <c r="H313" t="s">
        <v>105</v>
      </c>
      <c r="I313">
        <v>73540.7890625</v>
      </c>
      <c r="J313" s="1">
        <v>45838</v>
      </c>
      <c r="K313">
        <v>17.5</v>
      </c>
      <c r="L313" t="s">
        <v>37</v>
      </c>
      <c r="M313" t="s">
        <v>37</v>
      </c>
      <c r="N313" t="s">
        <v>102</v>
      </c>
      <c r="O313">
        <v>202506</v>
      </c>
      <c r="P313">
        <v>92004.6</v>
      </c>
      <c r="Q313" t="s">
        <v>105</v>
      </c>
      <c r="R313" t="s">
        <v>106</v>
      </c>
      <c r="S313" t="s">
        <v>88</v>
      </c>
      <c r="T313" t="s">
        <v>89</v>
      </c>
      <c r="U313" t="s">
        <v>20</v>
      </c>
      <c r="V313">
        <v>2</v>
      </c>
      <c r="W313" t="s">
        <v>10</v>
      </c>
      <c r="X313" t="s">
        <v>59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12</v>
      </c>
      <c r="AG313" t="s">
        <v>12</v>
      </c>
      <c r="AH313" t="s">
        <v>12</v>
      </c>
      <c r="AI313" t="s">
        <v>12</v>
      </c>
      <c r="AJ313" t="s">
        <v>12</v>
      </c>
      <c r="AK313">
        <v>1</v>
      </c>
      <c r="AL313">
        <v>1</v>
      </c>
      <c r="AM313" t="s">
        <v>12</v>
      </c>
      <c r="AN313" t="s">
        <v>12</v>
      </c>
      <c r="AO313" t="s">
        <v>12</v>
      </c>
    </row>
    <row r="314" spans="1:41" x14ac:dyDescent="0.35">
      <c r="A314">
        <v>21713075</v>
      </c>
      <c r="B314">
        <v>202509</v>
      </c>
      <c r="C314">
        <v>20608403435</v>
      </c>
      <c r="D314" t="s">
        <v>549</v>
      </c>
      <c r="E314" t="s">
        <v>1</v>
      </c>
      <c r="F314">
        <v>10269116</v>
      </c>
      <c r="G314" t="s">
        <v>28</v>
      </c>
      <c r="H314" t="s">
        <v>7</v>
      </c>
      <c r="I314">
        <v>24035.3359375</v>
      </c>
      <c r="J314" s="1">
        <v>45834</v>
      </c>
      <c r="K314">
        <v>20.5</v>
      </c>
      <c r="L314" t="s">
        <v>4</v>
      </c>
      <c r="M314" t="s">
        <v>75</v>
      </c>
      <c r="N314" t="s">
        <v>26</v>
      </c>
      <c r="O314">
        <v>202506</v>
      </c>
      <c r="P314">
        <v>50002.5</v>
      </c>
      <c r="Q314" t="s">
        <v>12</v>
      </c>
      <c r="R314" t="s">
        <v>12</v>
      </c>
      <c r="S314" t="s">
        <v>12</v>
      </c>
      <c r="T314" t="s">
        <v>12</v>
      </c>
      <c r="U314" t="s">
        <v>12</v>
      </c>
      <c r="V314" t="s">
        <v>12</v>
      </c>
      <c r="W314" t="s">
        <v>12</v>
      </c>
      <c r="X314" t="s">
        <v>12</v>
      </c>
      <c r="Y314" t="s">
        <v>12</v>
      </c>
      <c r="Z314" t="s">
        <v>12</v>
      </c>
      <c r="AA314" t="s">
        <v>12</v>
      </c>
      <c r="AB314" t="s">
        <v>12</v>
      </c>
      <c r="AC314" t="s">
        <v>12</v>
      </c>
      <c r="AD314" t="s">
        <v>12</v>
      </c>
      <c r="AE314" t="s">
        <v>12</v>
      </c>
      <c r="AF314" t="s">
        <v>12</v>
      </c>
      <c r="AG314" t="s">
        <v>12</v>
      </c>
      <c r="AH314" t="s">
        <v>12</v>
      </c>
      <c r="AI314" t="s">
        <v>12</v>
      </c>
      <c r="AJ314" t="s">
        <v>12</v>
      </c>
      <c r="AK314" t="s">
        <v>12</v>
      </c>
      <c r="AL314" t="s">
        <v>12</v>
      </c>
      <c r="AM314" t="s">
        <v>12</v>
      </c>
      <c r="AN314" t="s">
        <v>12</v>
      </c>
      <c r="AO314" t="s">
        <v>12</v>
      </c>
    </row>
    <row r="315" spans="1:41" x14ac:dyDescent="0.35">
      <c r="A315">
        <v>14943321</v>
      </c>
      <c r="B315">
        <v>202510</v>
      </c>
      <c r="C315">
        <v>20478112107</v>
      </c>
      <c r="D315" t="s">
        <v>550</v>
      </c>
      <c r="E315" t="s">
        <v>1</v>
      </c>
      <c r="F315">
        <v>10177614</v>
      </c>
      <c r="G315" t="s">
        <v>2</v>
      </c>
      <c r="H315" t="s">
        <v>227</v>
      </c>
      <c r="I315">
        <v>159543.9375</v>
      </c>
      <c r="J315" s="1">
        <v>45855</v>
      </c>
      <c r="K315">
        <v>16</v>
      </c>
      <c r="L315" t="s">
        <v>4</v>
      </c>
      <c r="M315" t="s">
        <v>4</v>
      </c>
      <c r="N315" t="s">
        <v>5</v>
      </c>
      <c r="O315">
        <v>202507</v>
      </c>
      <c r="P315">
        <v>112775.6</v>
      </c>
      <c r="Q315" t="s">
        <v>227</v>
      </c>
      <c r="R315" t="s">
        <v>228</v>
      </c>
      <c r="S315" t="s">
        <v>127</v>
      </c>
      <c r="T315" t="s">
        <v>147</v>
      </c>
      <c r="U315" t="s">
        <v>20</v>
      </c>
      <c r="V315">
        <v>1</v>
      </c>
      <c r="W315" t="s">
        <v>10</v>
      </c>
      <c r="X315" t="s">
        <v>12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12</v>
      </c>
      <c r="AG315" t="s">
        <v>12</v>
      </c>
      <c r="AH315" t="s">
        <v>12</v>
      </c>
      <c r="AI315" t="s">
        <v>12</v>
      </c>
      <c r="AJ315" t="s">
        <v>12</v>
      </c>
      <c r="AK315">
        <v>1</v>
      </c>
      <c r="AL315">
        <v>1</v>
      </c>
      <c r="AM315" t="s">
        <v>12</v>
      </c>
      <c r="AN315" t="s">
        <v>12</v>
      </c>
      <c r="AO315" t="s">
        <v>12</v>
      </c>
    </row>
    <row r="316" spans="1:41" x14ac:dyDescent="0.35">
      <c r="A316">
        <v>20746811</v>
      </c>
      <c r="B316">
        <v>202601</v>
      </c>
      <c r="C316">
        <v>20608692623</v>
      </c>
      <c r="D316" t="s">
        <v>434</v>
      </c>
      <c r="E316" t="s">
        <v>1</v>
      </c>
      <c r="F316">
        <v>10250221</v>
      </c>
      <c r="G316" t="s">
        <v>65</v>
      </c>
      <c r="H316" t="s">
        <v>417</v>
      </c>
      <c r="I316">
        <v>3928.76635742188</v>
      </c>
      <c r="J316" s="1">
        <v>45378</v>
      </c>
      <c r="K316">
        <v>14.6</v>
      </c>
      <c r="L316" t="s">
        <v>37</v>
      </c>
      <c r="M316" t="s">
        <v>37</v>
      </c>
      <c r="N316" t="s">
        <v>47</v>
      </c>
      <c r="O316">
        <v>202403</v>
      </c>
      <c r="P316">
        <v>90004.5</v>
      </c>
      <c r="Q316" t="s">
        <v>417</v>
      </c>
      <c r="R316" t="s">
        <v>418</v>
      </c>
      <c r="S316" t="s">
        <v>31</v>
      </c>
      <c r="T316" t="s">
        <v>32</v>
      </c>
      <c r="U316" t="s">
        <v>41</v>
      </c>
      <c r="V316">
        <v>1</v>
      </c>
      <c r="W316" t="s">
        <v>21</v>
      </c>
      <c r="X316" t="s">
        <v>22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80304</v>
      </c>
      <c r="AF316">
        <v>19</v>
      </c>
      <c r="AG316" s="1">
        <v>46030</v>
      </c>
      <c r="AH316" t="s">
        <v>41</v>
      </c>
      <c r="AI316" t="s">
        <v>4</v>
      </c>
      <c r="AJ316" t="s">
        <v>33</v>
      </c>
      <c r="AK316">
        <v>80300</v>
      </c>
      <c r="AL316">
        <v>0.21</v>
      </c>
      <c r="AM316">
        <v>0.19</v>
      </c>
      <c r="AN316" t="s">
        <v>12</v>
      </c>
      <c r="AO316" t="s">
        <v>12</v>
      </c>
    </row>
    <row r="317" spans="1:41" x14ac:dyDescent="0.35">
      <c r="A317">
        <v>13826176</v>
      </c>
      <c r="B317">
        <v>202504</v>
      </c>
      <c r="C317">
        <v>10453530669</v>
      </c>
      <c r="D317" t="s">
        <v>442</v>
      </c>
      <c r="E317">
        <v>45353066</v>
      </c>
      <c r="F317">
        <v>10240395</v>
      </c>
      <c r="G317" t="s">
        <v>92</v>
      </c>
      <c r="H317" t="s">
        <v>82</v>
      </c>
      <c r="I317">
        <v>762.12298583984398</v>
      </c>
      <c r="J317" s="1">
        <v>45099</v>
      </c>
      <c r="K317">
        <v>23.6</v>
      </c>
      <c r="L317" t="s">
        <v>4</v>
      </c>
      <c r="M317" t="s">
        <v>4</v>
      </c>
      <c r="N317" t="s">
        <v>41</v>
      </c>
      <c r="O317">
        <v>202306</v>
      </c>
      <c r="P317">
        <v>70003.5</v>
      </c>
      <c r="Q317" t="s">
        <v>82</v>
      </c>
      <c r="R317" t="s">
        <v>83</v>
      </c>
      <c r="S317" t="s">
        <v>49</v>
      </c>
      <c r="T317" t="s">
        <v>50</v>
      </c>
      <c r="U317" t="s">
        <v>20</v>
      </c>
      <c r="V317">
        <v>1</v>
      </c>
      <c r="W317" t="s">
        <v>10</v>
      </c>
      <c r="X317" t="s">
        <v>12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12</v>
      </c>
      <c r="AG317" t="s">
        <v>12</v>
      </c>
      <c r="AH317" t="s">
        <v>12</v>
      </c>
      <c r="AI317" t="s">
        <v>12</v>
      </c>
      <c r="AJ317" t="s">
        <v>12</v>
      </c>
      <c r="AK317">
        <v>0</v>
      </c>
      <c r="AL317">
        <v>0</v>
      </c>
      <c r="AM317">
        <v>0</v>
      </c>
      <c r="AN317" t="s">
        <v>12</v>
      </c>
      <c r="AO317" t="s">
        <v>12</v>
      </c>
    </row>
    <row r="318" spans="1:41" x14ac:dyDescent="0.35">
      <c r="A318">
        <v>19858504</v>
      </c>
      <c r="B318">
        <v>202602</v>
      </c>
      <c r="C318">
        <v>20610122460</v>
      </c>
      <c r="D318" t="s">
        <v>551</v>
      </c>
      <c r="E318" t="s">
        <v>1</v>
      </c>
      <c r="F318">
        <v>10271356</v>
      </c>
      <c r="G318" t="s">
        <v>92</v>
      </c>
      <c r="H318" t="s">
        <v>31</v>
      </c>
      <c r="I318">
        <v>79168.0390625</v>
      </c>
      <c r="J318" s="1">
        <v>45915</v>
      </c>
      <c r="K318">
        <v>25</v>
      </c>
      <c r="L318" t="s">
        <v>4</v>
      </c>
      <c r="M318" t="s">
        <v>4</v>
      </c>
      <c r="N318" t="s">
        <v>41</v>
      </c>
      <c r="O318">
        <v>202509</v>
      </c>
      <c r="P318">
        <v>90004.5</v>
      </c>
      <c r="Q318" t="s">
        <v>79</v>
      </c>
      <c r="R318" t="s">
        <v>80</v>
      </c>
      <c r="S318" t="s">
        <v>31</v>
      </c>
      <c r="T318" t="s">
        <v>32</v>
      </c>
      <c r="U318" t="s">
        <v>63</v>
      </c>
      <c r="V318">
        <v>1</v>
      </c>
      <c r="W318" t="s">
        <v>10</v>
      </c>
      <c r="X318" t="s">
        <v>51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12</v>
      </c>
      <c r="AG318" t="s">
        <v>12</v>
      </c>
      <c r="AH318" t="s">
        <v>12</v>
      </c>
      <c r="AI318" t="s">
        <v>12</v>
      </c>
      <c r="AJ318" t="s">
        <v>12</v>
      </c>
      <c r="AK318">
        <v>50000</v>
      </c>
      <c r="AL318">
        <v>0.21</v>
      </c>
      <c r="AM318">
        <v>0.19</v>
      </c>
      <c r="AN318" t="s">
        <v>12</v>
      </c>
      <c r="AO318" t="s">
        <v>12</v>
      </c>
    </row>
    <row r="319" spans="1:41" x14ac:dyDescent="0.35">
      <c r="A319">
        <v>12846189</v>
      </c>
      <c r="B319">
        <v>202602</v>
      </c>
      <c r="C319">
        <v>20497671702</v>
      </c>
      <c r="D319" t="s">
        <v>552</v>
      </c>
      <c r="E319" t="s">
        <v>1</v>
      </c>
      <c r="F319">
        <v>10269444</v>
      </c>
      <c r="G319" t="s">
        <v>100</v>
      </c>
      <c r="H319" t="s">
        <v>210</v>
      </c>
      <c r="I319">
        <v>100738.7734375</v>
      </c>
      <c r="J319" s="1">
        <v>45847</v>
      </c>
      <c r="K319">
        <v>15</v>
      </c>
      <c r="L319" t="s">
        <v>37</v>
      </c>
      <c r="M319" t="s">
        <v>37</v>
      </c>
      <c r="N319" t="s">
        <v>102</v>
      </c>
      <c r="O319">
        <v>202507</v>
      </c>
      <c r="P319">
        <v>120206.3</v>
      </c>
      <c r="Q319" t="s">
        <v>210</v>
      </c>
      <c r="R319" t="s">
        <v>211</v>
      </c>
      <c r="S319" t="s">
        <v>39</v>
      </c>
      <c r="T319" t="s">
        <v>40</v>
      </c>
      <c r="U319" t="s">
        <v>63</v>
      </c>
      <c r="V319">
        <v>1</v>
      </c>
      <c r="W319" t="s">
        <v>10</v>
      </c>
      <c r="X319" t="s">
        <v>11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12</v>
      </c>
      <c r="AG319" t="s">
        <v>12</v>
      </c>
      <c r="AH319" t="s">
        <v>12</v>
      </c>
      <c r="AI319" t="s">
        <v>12</v>
      </c>
      <c r="AJ319" t="s">
        <v>12</v>
      </c>
      <c r="AK319">
        <v>500000</v>
      </c>
      <c r="AL319">
        <v>0.21</v>
      </c>
      <c r="AM319">
        <v>0.19</v>
      </c>
      <c r="AN319" t="s">
        <v>12</v>
      </c>
      <c r="AO319" t="s">
        <v>12</v>
      </c>
    </row>
    <row r="320" spans="1:41" x14ac:dyDescent="0.35">
      <c r="A320">
        <v>14464547</v>
      </c>
      <c r="B320">
        <v>202602</v>
      </c>
      <c r="C320">
        <v>10422063761</v>
      </c>
      <c r="D320" t="s">
        <v>553</v>
      </c>
      <c r="E320">
        <v>42206376</v>
      </c>
      <c r="F320">
        <v>10267790</v>
      </c>
      <c r="G320" t="s">
        <v>100</v>
      </c>
      <c r="H320" t="s">
        <v>109</v>
      </c>
      <c r="I320">
        <v>60238.7578125</v>
      </c>
      <c r="J320" s="1">
        <v>45791</v>
      </c>
      <c r="K320">
        <v>16</v>
      </c>
      <c r="L320" t="s">
        <v>37</v>
      </c>
      <c r="M320" t="s">
        <v>37</v>
      </c>
      <c r="N320" t="s">
        <v>102</v>
      </c>
      <c r="O320">
        <v>202505</v>
      </c>
      <c r="P320">
        <v>76003.8</v>
      </c>
      <c r="Q320" t="s">
        <v>109</v>
      </c>
      <c r="R320" t="s">
        <v>110</v>
      </c>
      <c r="S320" t="s">
        <v>111</v>
      </c>
      <c r="T320" t="s">
        <v>112</v>
      </c>
      <c r="U320" t="s">
        <v>20</v>
      </c>
      <c r="V320">
        <v>2</v>
      </c>
      <c r="W320" t="s">
        <v>90</v>
      </c>
      <c r="X320" t="s">
        <v>59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12</v>
      </c>
      <c r="AG320" t="s">
        <v>12</v>
      </c>
      <c r="AH320" t="s">
        <v>12</v>
      </c>
      <c r="AI320" t="s">
        <v>12</v>
      </c>
      <c r="AJ320" t="s">
        <v>12</v>
      </c>
      <c r="AK320">
        <v>1</v>
      </c>
      <c r="AL320">
        <v>1</v>
      </c>
      <c r="AM320" t="s">
        <v>12</v>
      </c>
      <c r="AN320" t="s">
        <v>12</v>
      </c>
      <c r="AO320" t="s">
        <v>12</v>
      </c>
    </row>
    <row r="321" spans="1:41" x14ac:dyDescent="0.35">
      <c r="A321">
        <v>21638686</v>
      </c>
      <c r="B321">
        <v>202511</v>
      </c>
      <c r="C321">
        <v>20554288163</v>
      </c>
      <c r="D321" t="s">
        <v>554</v>
      </c>
      <c r="E321" t="s">
        <v>1</v>
      </c>
      <c r="F321">
        <v>10268085</v>
      </c>
      <c r="G321" t="s">
        <v>24</v>
      </c>
      <c r="H321" t="s">
        <v>15</v>
      </c>
      <c r="I321">
        <v>64090.27734375</v>
      </c>
      <c r="J321" s="1">
        <v>45800</v>
      </c>
      <c r="K321">
        <v>23.6</v>
      </c>
      <c r="L321" t="s">
        <v>37</v>
      </c>
      <c r="M321" t="s">
        <v>37</v>
      </c>
      <c r="N321" t="s">
        <v>98</v>
      </c>
      <c r="O321">
        <v>202505</v>
      </c>
      <c r="P321">
        <v>150007.5</v>
      </c>
      <c r="Q321" t="s">
        <v>15</v>
      </c>
      <c r="R321" t="s">
        <v>17</v>
      </c>
      <c r="S321" t="s">
        <v>18</v>
      </c>
      <c r="T321" t="s">
        <v>122</v>
      </c>
      <c r="U321" t="s">
        <v>20</v>
      </c>
      <c r="V321">
        <v>1</v>
      </c>
      <c r="W321" t="s">
        <v>10</v>
      </c>
      <c r="X321" t="s">
        <v>22</v>
      </c>
      <c r="Y321">
        <v>1</v>
      </c>
      <c r="Z321">
        <v>1</v>
      </c>
      <c r="AA321">
        <v>0</v>
      </c>
      <c r="AB321">
        <v>0</v>
      </c>
      <c r="AC321">
        <v>1</v>
      </c>
      <c r="AD321">
        <v>1</v>
      </c>
      <c r="AE321">
        <v>0</v>
      </c>
      <c r="AF321" t="s">
        <v>12</v>
      </c>
      <c r="AG321" t="s">
        <v>12</v>
      </c>
      <c r="AH321" t="s">
        <v>12</v>
      </c>
      <c r="AI321" t="s">
        <v>12</v>
      </c>
      <c r="AJ321" t="s">
        <v>12</v>
      </c>
      <c r="AK321">
        <v>1</v>
      </c>
      <c r="AL321">
        <v>1</v>
      </c>
      <c r="AM321" t="s">
        <v>12</v>
      </c>
      <c r="AN321" t="s">
        <v>12</v>
      </c>
      <c r="AO321" t="s">
        <v>12</v>
      </c>
    </row>
    <row r="322" spans="1:41" x14ac:dyDescent="0.35">
      <c r="A322">
        <v>10285597</v>
      </c>
      <c r="B322">
        <v>202505</v>
      </c>
      <c r="C322">
        <v>10198845952</v>
      </c>
      <c r="D322" t="s">
        <v>555</v>
      </c>
      <c r="E322">
        <v>19884595</v>
      </c>
      <c r="F322">
        <v>10268194</v>
      </c>
      <c r="G322" t="s">
        <v>100</v>
      </c>
      <c r="H322" t="s">
        <v>159</v>
      </c>
      <c r="I322">
        <v>115005.734375</v>
      </c>
      <c r="J322" s="1">
        <v>45804</v>
      </c>
      <c r="K322">
        <v>16</v>
      </c>
      <c r="L322" t="s">
        <v>37</v>
      </c>
      <c r="M322" t="s">
        <v>37</v>
      </c>
      <c r="N322" t="s">
        <v>102</v>
      </c>
      <c r="O322">
        <v>202505</v>
      </c>
      <c r="P322">
        <v>115005.75</v>
      </c>
      <c r="Q322" t="s">
        <v>556</v>
      </c>
      <c r="R322" t="s">
        <v>557</v>
      </c>
      <c r="S322" t="s">
        <v>558</v>
      </c>
      <c r="T322" t="s">
        <v>559</v>
      </c>
      <c r="U322" t="s">
        <v>102</v>
      </c>
      <c r="V322">
        <v>3</v>
      </c>
      <c r="W322" t="s">
        <v>90</v>
      </c>
      <c r="X322" t="s">
        <v>12</v>
      </c>
      <c r="Y322">
        <v>1</v>
      </c>
      <c r="Z322">
        <v>1</v>
      </c>
      <c r="AA322">
        <v>1</v>
      </c>
      <c r="AB322">
        <v>1</v>
      </c>
      <c r="AC322">
        <v>1</v>
      </c>
      <c r="AD322" t="s">
        <v>12</v>
      </c>
      <c r="AE322">
        <v>115005.75</v>
      </c>
      <c r="AF322">
        <v>16</v>
      </c>
      <c r="AG322" s="1">
        <v>45804</v>
      </c>
      <c r="AH322" t="s">
        <v>102</v>
      </c>
      <c r="AI322" t="s">
        <v>37</v>
      </c>
      <c r="AJ322" t="s">
        <v>560</v>
      </c>
      <c r="AK322">
        <v>120000</v>
      </c>
      <c r="AL322">
        <v>0.246</v>
      </c>
      <c r="AM322">
        <v>0.22600000000000001</v>
      </c>
      <c r="AN322" t="s">
        <v>197</v>
      </c>
      <c r="AO322" t="s">
        <v>561</v>
      </c>
    </row>
    <row r="323" spans="1:41" x14ac:dyDescent="0.35">
      <c r="A323">
        <v>17322307</v>
      </c>
      <c r="B323">
        <v>202601</v>
      </c>
      <c r="C323">
        <v>20606853310</v>
      </c>
      <c r="D323" t="s">
        <v>562</v>
      </c>
      <c r="E323" t="s">
        <v>1</v>
      </c>
      <c r="F323">
        <v>10264074</v>
      </c>
      <c r="G323" t="s">
        <v>45</v>
      </c>
      <c r="H323" t="s">
        <v>127</v>
      </c>
      <c r="I323">
        <v>32913.01953125</v>
      </c>
      <c r="J323" s="1">
        <v>45649</v>
      </c>
      <c r="K323">
        <v>15.5</v>
      </c>
      <c r="L323" t="s">
        <v>37</v>
      </c>
      <c r="M323" t="s">
        <v>37</v>
      </c>
      <c r="N323" t="s">
        <v>47</v>
      </c>
      <c r="O323">
        <v>202412</v>
      </c>
      <c r="P323">
        <v>90004.5</v>
      </c>
      <c r="Q323" t="s">
        <v>522</v>
      </c>
      <c r="R323" t="s">
        <v>523</v>
      </c>
      <c r="S323" t="s">
        <v>127</v>
      </c>
      <c r="T323" t="s">
        <v>147</v>
      </c>
      <c r="U323" t="s">
        <v>63</v>
      </c>
      <c r="V323">
        <v>1</v>
      </c>
      <c r="W323" t="s">
        <v>21</v>
      </c>
      <c r="X323" t="s">
        <v>51</v>
      </c>
      <c r="Y323">
        <v>1</v>
      </c>
      <c r="Z323">
        <v>1</v>
      </c>
      <c r="AA323">
        <v>0</v>
      </c>
      <c r="AB323">
        <v>0</v>
      </c>
      <c r="AC323">
        <v>1</v>
      </c>
      <c r="AD323">
        <v>0</v>
      </c>
      <c r="AE323">
        <v>0</v>
      </c>
      <c r="AF323" t="s">
        <v>12</v>
      </c>
      <c r="AG323" t="s">
        <v>12</v>
      </c>
      <c r="AH323" t="s">
        <v>12</v>
      </c>
      <c r="AI323" t="s">
        <v>12</v>
      </c>
      <c r="AJ323" t="s">
        <v>12</v>
      </c>
      <c r="AK323">
        <v>250000</v>
      </c>
      <c r="AL323">
        <v>0.22270000000000001</v>
      </c>
      <c r="AM323">
        <v>0.20269999999999999</v>
      </c>
      <c r="AN323" t="s">
        <v>12</v>
      </c>
      <c r="AO323" t="s">
        <v>12</v>
      </c>
    </row>
    <row r="324" spans="1:41" x14ac:dyDescent="0.35">
      <c r="A324">
        <v>19030203</v>
      </c>
      <c r="B324">
        <v>202502</v>
      </c>
      <c r="C324">
        <v>20601619319</v>
      </c>
      <c r="D324" t="s">
        <v>563</v>
      </c>
      <c r="E324" t="s">
        <v>1</v>
      </c>
      <c r="F324">
        <v>10251213</v>
      </c>
      <c r="G324" t="s">
        <v>53</v>
      </c>
      <c r="H324" t="s">
        <v>564</v>
      </c>
      <c r="I324">
        <v>52953.765625</v>
      </c>
      <c r="J324" s="1">
        <v>45401</v>
      </c>
      <c r="K324">
        <v>16</v>
      </c>
      <c r="L324" t="s">
        <v>4</v>
      </c>
      <c r="M324" t="s">
        <v>4</v>
      </c>
      <c r="N324" t="s">
        <v>47</v>
      </c>
      <c r="O324">
        <v>202404</v>
      </c>
      <c r="P324">
        <v>62003.1</v>
      </c>
      <c r="Q324" t="s">
        <v>12</v>
      </c>
      <c r="R324" t="s">
        <v>12</v>
      </c>
      <c r="S324" t="s">
        <v>12</v>
      </c>
      <c r="T324" t="s">
        <v>12</v>
      </c>
      <c r="U324" t="s">
        <v>12</v>
      </c>
      <c r="V324" t="s">
        <v>12</v>
      </c>
      <c r="W324" t="s">
        <v>12</v>
      </c>
      <c r="X324" t="s">
        <v>12</v>
      </c>
      <c r="Y324" t="s">
        <v>12</v>
      </c>
      <c r="Z324" t="s">
        <v>12</v>
      </c>
      <c r="AA324" t="s">
        <v>12</v>
      </c>
      <c r="AB324" t="s">
        <v>12</v>
      </c>
      <c r="AC324" t="s">
        <v>12</v>
      </c>
      <c r="AD324" t="s">
        <v>12</v>
      </c>
      <c r="AE324" t="s">
        <v>12</v>
      </c>
      <c r="AF324" t="s">
        <v>12</v>
      </c>
      <c r="AG324" t="s">
        <v>12</v>
      </c>
      <c r="AH324" t="s">
        <v>12</v>
      </c>
      <c r="AI324" t="s">
        <v>12</v>
      </c>
      <c r="AJ324" t="s">
        <v>12</v>
      </c>
      <c r="AK324" t="s">
        <v>12</v>
      </c>
      <c r="AL324" t="s">
        <v>12</v>
      </c>
      <c r="AM324" t="s">
        <v>12</v>
      </c>
      <c r="AN324" t="s">
        <v>12</v>
      </c>
      <c r="AO324" t="s">
        <v>12</v>
      </c>
    </row>
    <row r="325" spans="1:41" x14ac:dyDescent="0.35">
      <c r="A325">
        <v>16367101</v>
      </c>
      <c r="B325">
        <v>202510</v>
      </c>
      <c r="C325">
        <v>20601669413</v>
      </c>
      <c r="D325" t="s">
        <v>565</v>
      </c>
      <c r="E325" t="s">
        <v>1</v>
      </c>
      <c r="F325">
        <v>10270962</v>
      </c>
      <c r="G325" t="s">
        <v>78</v>
      </c>
      <c r="H325" t="s">
        <v>82</v>
      </c>
      <c r="I325">
        <v>51986.203125</v>
      </c>
      <c r="J325" s="1">
        <v>45898</v>
      </c>
      <c r="K325">
        <v>19</v>
      </c>
      <c r="L325" t="s">
        <v>4</v>
      </c>
      <c r="M325" t="s">
        <v>4</v>
      </c>
      <c r="N325" t="s">
        <v>41</v>
      </c>
      <c r="O325">
        <v>202508</v>
      </c>
      <c r="P325">
        <v>56102.8</v>
      </c>
      <c r="Q325" t="s">
        <v>82</v>
      </c>
      <c r="R325" t="s">
        <v>83</v>
      </c>
      <c r="S325" t="s">
        <v>49</v>
      </c>
      <c r="T325" t="s">
        <v>50</v>
      </c>
      <c r="U325" t="s">
        <v>20</v>
      </c>
      <c r="V325">
        <v>1</v>
      </c>
      <c r="W325" t="s">
        <v>10</v>
      </c>
      <c r="X325" t="s">
        <v>12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12</v>
      </c>
      <c r="AG325" t="s">
        <v>12</v>
      </c>
      <c r="AH325" t="s">
        <v>12</v>
      </c>
      <c r="AI325" t="s">
        <v>12</v>
      </c>
      <c r="AJ325" t="s">
        <v>12</v>
      </c>
      <c r="AK325">
        <v>1</v>
      </c>
      <c r="AL325">
        <v>1</v>
      </c>
      <c r="AM325" t="s">
        <v>12</v>
      </c>
      <c r="AN325" t="s">
        <v>12</v>
      </c>
      <c r="AO325" t="s">
        <v>12</v>
      </c>
    </row>
    <row r="326" spans="1:41" x14ac:dyDescent="0.35">
      <c r="A326">
        <v>17244629</v>
      </c>
      <c r="B326">
        <v>202509</v>
      </c>
      <c r="C326">
        <v>20537837919</v>
      </c>
      <c r="D326" t="s">
        <v>566</v>
      </c>
      <c r="E326" t="s">
        <v>1</v>
      </c>
      <c r="F326">
        <v>10256933</v>
      </c>
      <c r="G326" t="s">
        <v>65</v>
      </c>
      <c r="H326" t="s">
        <v>31</v>
      </c>
      <c r="I326">
        <v>59137.6484375</v>
      </c>
      <c r="J326" s="1">
        <v>45471</v>
      </c>
      <c r="K326">
        <v>14.5</v>
      </c>
      <c r="L326" t="s">
        <v>37</v>
      </c>
      <c r="M326" t="s">
        <v>37</v>
      </c>
      <c r="N326" t="s">
        <v>47</v>
      </c>
      <c r="O326">
        <v>202406</v>
      </c>
      <c r="P326">
        <v>90004.5</v>
      </c>
      <c r="Q326" t="s">
        <v>74</v>
      </c>
      <c r="R326" t="s">
        <v>76</v>
      </c>
      <c r="S326" t="s">
        <v>31</v>
      </c>
      <c r="T326" t="s">
        <v>32</v>
      </c>
      <c r="U326" t="s">
        <v>41</v>
      </c>
      <c r="V326">
        <v>1</v>
      </c>
      <c r="W326" t="s">
        <v>10</v>
      </c>
      <c r="X326" t="s">
        <v>11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12</v>
      </c>
      <c r="AG326" t="s">
        <v>12</v>
      </c>
      <c r="AH326" t="s">
        <v>12</v>
      </c>
      <c r="AI326" t="s">
        <v>12</v>
      </c>
      <c r="AJ326" t="s">
        <v>12</v>
      </c>
      <c r="AK326">
        <v>400000</v>
      </c>
      <c r="AL326">
        <v>0.18</v>
      </c>
      <c r="AM326">
        <v>0.16</v>
      </c>
      <c r="AN326" t="s">
        <v>12</v>
      </c>
      <c r="AO326" t="s">
        <v>12</v>
      </c>
    </row>
    <row r="327" spans="1:41" x14ac:dyDescent="0.35">
      <c r="A327">
        <v>18261619</v>
      </c>
      <c r="B327">
        <v>202510</v>
      </c>
      <c r="C327">
        <v>10416274105</v>
      </c>
      <c r="D327" t="s">
        <v>567</v>
      </c>
      <c r="E327">
        <v>41627410</v>
      </c>
      <c r="F327">
        <v>10255664</v>
      </c>
      <c r="G327" t="s">
        <v>65</v>
      </c>
      <c r="H327" t="s">
        <v>183</v>
      </c>
      <c r="I327">
        <v>30935.51953125</v>
      </c>
      <c r="J327" s="1">
        <v>45462</v>
      </c>
      <c r="K327">
        <v>15.5</v>
      </c>
      <c r="L327" t="s">
        <v>37</v>
      </c>
      <c r="M327" t="s">
        <v>37</v>
      </c>
      <c r="N327" t="s">
        <v>47</v>
      </c>
      <c r="O327">
        <v>202406</v>
      </c>
      <c r="P327">
        <v>50002.5</v>
      </c>
      <c r="Q327" t="s">
        <v>12</v>
      </c>
      <c r="R327" t="s">
        <v>12</v>
      </c>
      <c r="S327" t="s">
        <v>12</v>
      </c>
      <c r="T327" t="s">
        <v>12</v>
      </c>
      <c r="U327" t="s">
        <v>41</v>
      </c>
      <c r="V327">
        <v>2</v>
      </c>
      <c r="W327" t="s">
        <v>90</v>
      </c>
      <c r="X327" t="s">
        <v>12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12</v>
      </c>
      <c r="AG327" t="s">
        <v>12</v>
      </c>
      <c r="AH327" t="s">
        <v>12</v>
      </c>
      <c r="AI327" t="s">
        <v>12</v>
      </c>
      <c r="AJ327" t="s">
        <v>12</v>
      </c>
      <c r="AK327">
        <v>300000</v>
      </c>
      <c r="AL327">
        <v>0.21</v>
      </c>
      <c r="AM327">
        <v>0.19</v>
      </c>
      <c r="AN327" t="s">
        <v>12</v>
      </c>
      <c r="AO327" t="s">
        <v>12</v>
      </c>
    </row>
    <row r="328" spans="1:41" x14ac:dyDescent="0.35">
      <c r="A328">
        <v>19794911</v>
      </c>
      <c r="B328">
        <v>202510</v>
      </c>
      <c r="C328">
        <v>20602167748</v>
      </c>
      <c r="D328" t="s">
        <v>337</v>
      </c>
      <c r="E328" t="s">
        <v>1</v>
      </c>
      <c r="F328">
        <v>10253933</v>
      </c>
      <c r="G328" t="s">
        <v>53</v>
      </c>
      <c r="H328" t="s">
        <v>338</v>
      </c>
      <c r="I328">
        <v>9004.5</v>
      </c>
      <c r="J328" s="1">
        <v>45440</v>
      </c>
      <c r="K328">
        <v>16.899999999999999</v>
      </c>
      <c r="L328" t="s">
        <v>4</v>
      </c>
      <c r="M328" t="s">
        <v>4</v>
      </c>
      <c r="N328" t="s">
        <v>47</v>
      </c>
      <c r="O328">
        <v>202405</v>
      </c>
      <c r="P328">
        <v>90004.5</v>
      </c>
      <c r="Q328" t="s">
        <v>12</v>
      </c>
      <c r="R328" t="s">
        <v>12</v>
      </c>
      <c r="S328" t="s">
        <v>12</v>
      </c>
      <c r="T328" t="s">
        <v>12</v>
      </c>
      <c r="U328" t="s">
        <v>12</v>
      </c>
      <c r="V328" t="s">
        <v>12</v>
      </c>
      <c r="W328" t="s">
        <v>12</v>
      </c>
      <c r="X328" t="s">
        <v>12</v>
      </c>
      <c r="Y328" t="s">
        <v>12</v>
      </c>
      <c r="Z328" t="s">
        <v>12</v>
      </c>
      <c r="AA328" t="s">
        <v>12</v>
      </c>
      <c r="AB328" t="s">
        <v>12</v>
      </c>
      <c r="AC328" t="s">
        <v>12</v>
      </c>
      <c r="AD328" t="s">
        <v>12</v>
      </c>
      <c r="AE328" t="s">
        <v>12</v>
      </c>
      <c r="AF328" t="s">
        <v>12</v>
      </c>
      <c r="AG328" t="s">
        <v>12</v>
      </c>
      <c r="AH328" t="s">
        <v>12</v>
      </c>
      <c r="AI328" t="s">
        <v>12</v>
      </c>
      <c r="AJ328" t="s">
        <v>12</v>
      </c>
      <c r="AK328" t="s">
        <v>12</v>
      </c>
      <c r="AL328" t="s">
        <v>12</v>
      </c>
      <c r="AM328" t="s">
        <v>12</v>
      </c>
      <c r="AN328" t="s">
        <v>12</v>
      </c>
      <c r="AO328" t="s">
        <v>12</v>
      </c>
    </row>
    <row r="329" spans="1:41" x14ac:dyDescent="0.35">
      <c r="A329">
        <v>15636873</v>
      </c>
      <c r="B329">
        <v>202506</v>
      </c>
      <c r="C329">
        <v>20511922900</v>
      </c>
      <c r="D329" t="s">
        <v>568</v>
      </c>
      <c r="E329" t="s">
        <v>1</v>
      </c>
      <c r="F329">
        <v>10156027</v>
      </c>
      <c r="G329" t="s">
        <v>2</v>
      </c>
      <c r="H329" t="s">
        <v>265</v>
      </c>
      <c r="I329">
        <v>172024.25</v>
      </c>
      <c r="J329" s="1">
        <v>45992</v>
      </c>
      <c r="K329">
        <v>15</v>
      </c>
      <c r="L329" t="s">
        <v>4</v>
      </c>
      <c r="M329" t="s">
        <v>4</v>
      </c>
      <c r="N329" t="s">
        <v>5</v>
      </c>
      <c r="O329">
        <v>202512</v>
      </c>
      <c r="P329">
        <v>200010</v>
      </c>
      <c r="Q329" t="s">
        <v>265</v>
      </c>
      <c r="R329" t="s">
        <v>266</v>
      </c>
      <c r="S329" t="s">
        <v>18</v>
      </c>
      <c r="T329" t="s">
        <v>122</v>
      </c>
      <c r="U329" t="s">
        <v>41</v>
      </c>
      <c r="V329">
        <v>1</v>
      </c>
      <c r="W329" t="s">
        <v>10</v>
      </c>
      <c r="X329" t="s">
        <v>12</v>
      </c>
      <c r="Y329">
        <v>1</v>
      </c>
      <c r="Z329">
        <v>1</v>
      </c>
      <c r="AA329">
        <v>0</v>
      </c>
      <c r="AB329">
        <v>0</v>
      </c>
      <c r="AC329">
        <v>1</v>
      </c>
      <c r="AD329">
        <v>1</v>
      </c>
      <c r="AE329">
        <v>0</v>
      </c>
      <c r="AF329" t="s">
        <v>12</v>
      </c>
      <c r="AG329" t="s">
        <v>12</v>
      </c>
      <c r="AH329" t="s">
        <v>12</v>
      </c>
      <c r="AI329" t="s">
        <v>12</v>
      </c>
      <c r="AJ329" t="s">
        <v>12</v>
      </c>
      <c r="AK329">
        <v>400000</v>
      </c>
      <c r="AL329">
        <v>0.2</v>
      </c>
      <c r="AM329">
        <v>0.18</v>
      </c>
      <c r="AN329" t="s">
        <v>12</v>
      </c>
      <c r="AO329" t="s">
        <v>12</v>
      </c>
    </row>
    <row r="330" spans="1:41" x14ac:dyDescent="0.35">
      <c r="A330">
        <v>18396014</v>
      </c>
      <c r="B330">
        <v>202601</v>
      </c>
      <c r="C330">
        <v>20608685066</v>
      </c>
      <c r="D330" t="s">
        <v>569</v>
      </c>
      <c r="E330" t="s">
        <v>1</v>
      </c>
      <c r="F330">
        <v>10259052</v>
      </c>
      <c r="G330" t="s">
        <v>53</v>
      </c>
      <c r="H330" t="s">
        <v>159</v>
      </c>
      <c r="I330">
        <v>32655.318359375</v>
      </c>
      <c r="J330" s="1">
        <v>45520</v>
      </c>
      <c r="K330">
        <v>15.7</v>
      </c>
      <c r="L330" t="s">
        <v>4</v>
      </c>
      <c r="M330" t="s">
        <v>4</v>
      </c>
      <c r="N330" t="s">
        <v>47</v>
      </c>
      <c r="O330">
        <v>202408</v>
      </c>
      <c r="P330">
        <v>56502.8</v>
      </c>
      <c r="Q330" t="s">
        <v>12</v>
      </c>
      <c r="R330" t="s">
        <v>12</v>
      </c>
      <c r="S330" t="s">
        <v>12</v>
      </c>
      <c r="T330" t="s">
        <v>12</v>
      </c>
      <c r="U330" t="s">
        <v>12</v>
      </c>
      <c r="V330" t="s">
        <v>12</v>
      </c>
      <c r="W330" t="s">
        <v>12</v>
      </c>
      <c r="X330" t="s">
        <v>12</v>
      </c>
      <c r="Y330" t="s">
        <v>12</v>
      </c>
      <c r="Z330" t="s">
        <v>12</v>
      </c>
      <c r="AA330" t="s">
        <v>12</v>
      </c>
      <c r="AB330" t="s">
        <v>12</v>
      </c>
      <c r="AC330" t="s">
        <v>12</v>
      </c>
      <c r="AD330" t="s">
        <v>12</v>
      </c>
      <c r="AE330" t="s">
        <v>12</v>
      </c>
      <c r="AF330" t="s">
        <v>12</v>
      </c>
      <c r="AG330" t="s">
        <v>12</v>
      </c>
      <c r="AH330" t="s">
        <v>12</v>
      </c>
      <c r="AI330" t="s">
        <v>12</v>
      </c>
      <c r="AJ330" t="s">
        <v>12</v>
      </c>
      <c r="AK330" t="s">
        <v>12</v>
      </c>
      <c r="AL330" t="s">
        <v>12</v>
      </c>
      <c r="AM330" t="s">
        <v>12</v>
      </c>
      <c r="AN330" t="s">
        <v>12</v>
      </c>
      <c r="AO330" t="s">
        <v>12</v>
      </c>
    </row>
    <row r="331" spans="1:41" x14ac:dyDescent="0.35">
      <c r="A331">
        <v>16128200</v>
      </c>
      <c r="B331">
        <v>202601</v>
      </c>
      <c r="C331">
        <v>20505524030</v>
      </c>
      <c r="D331" t="s">
        <v>570</v>
      </c>
      <c r="E331" t="s">
        <v>1</v>
      </c>
      <c r="F331">
        <v>10259404</v>
      </c>
      <c r="G331" t="s">
        <v>53</v>
      </c>
      <c r="H331" t="s">
        <v>7</v>
      </c>
      <c r="I331">
        <v>34288.37890625</v>
      </c>
      <c r="J331" s="1">
        <v>45527</v>
      </c>
      <c r="K331">
        <v>16.700001</v>
      </c>
      <c r="L331" t="s">
        <v>4</v>
      </c>
      <c r="M331" t="s">
        <v>4</v>
      </c>
      <c r="N331" t="s">
        <v>47</v>
      </c>
      <c r="O331">
        <v>202408</v>
      </c>
      <c r="P331">
        <v>55202.75</v>
      </c>
      <c r="Q331" t="s">
        <v>12</v>
      </c>
      <c r="R331" t="s">
        <v>12</v>
      </c>
      <c r="S331" t="s">
        <v>12</v>
      </c>
      <c r="T331" t="s">
        <v>12</v>
      </c>
      <c r="U331" t="s">
        <v>12</v>
      </c>
      <c r="V331" t="s">
        <v>12</v>
      </c>
      <c r="W331" t="s">
        <v>12</v>
      </c>
      <c r="X331" t="s">
        <v>12</v>
      </c>
      <c r="Y331" t="s">
        <v>12</v>
      </c>
      <c r="Z331" t="s">
        <v>12</v>
      </c>
      <c r="AA331" t="s">
        <v>12</v>
      </c>
      <c r="AB331" t="s">
        <v>12</v>
      </c>
      <c r="AC331" t="s">
        <v>12</v>
      </c>
      <c r="AD331" t="s">
        <v>12</v>
      </c>
      <c r="AE331" t="s">
        <v>12</v>
      </c>
      <c r="AF331" t="s">
        <v>12</v>
      </c>
      <c r="AG331" t="s">
        <v>12</v>
      </c>
      <c r="AH331" t="s">
        <v>12</v>
      </c>
      <c r="AI331" t="s">
        <v>12</v>
      </c>
      <c r="AJ331" t="s">
        <v>12</v>
      </c>
      <c r="AK331" t="s">
        <v>12</v>
      </c>
      <c r="AL331" t="s">
        <v>12</v>
      </c>
      <c r="AM331" t="s">
        <v>12</v>
      </c>
      <c r="AN331" t="s">
        <v>12</v>
      </c>
      <c r="AO331" t="s">
        <v>12</v>
      </c>
    </row>
    <row r="332" spans="1:41" x14ac:dyDescent="0.35">
      <c r="A332">
        <v>11097040</v>
      </c>
      <c r="B332">
        <v>202509</v>
      </c>
      <c r="C332">
        <v>10013200284</v>
      </c>
      <c r="D332" t="s">
        <v>571</v>
      </c>
      <c r="E332">
        <v>1320028</v>
      </c>
      <c r="F332">
        <v>10258958</v>
      </c>
      <c r="G332" t="s">
        <v>45</v>
      </c>
      <c r="H332" t="s">
        <v>39</v>
      </c>
      <c r="I332">
        <v>66380.9609375</v>
      </c>
      <c r="J332" s="1">
        <v>45519</v>
      </c>
      <c r="K332">
        <v>15.5</v>
      </c>
      <c r="L332" t="s">
        <v>37</v>
      </c>
      <c r="M332" t="s">
        <v>37</v>
      </c>
      <c r="N332" t="s">
        <v>47</v>
      </c>
      <c r="O332">
        <v>202408</v>
      </c>
      <c r="P332">
        <v>90004.5</v>
      </c>
      <c r="Q332" t="s">
        <v>117</v>
      </c>
      <c r="R332" t="s">
        <v>118</v>
      </c>
      <c r="S332" t="s">
        <v>39</v>
      </c>
      <c r="T332" t="s">
        <v>40</v>
      </c>
      <c r="U332" t="s">
        <v>41</v>
      </c>
      <c r="V332">
        <v>1</v>
      </c>
      <c r="W332" t="s">
        <v>90</v>
      </c>
      <c r="X332" t="s">
        <v>59</v>
      </c>
      <c r="Y332">
        <v>1</v>
      </c>
      <c r="Z332">
        <v>1</v>
      </c>
      <c r="AA332">
        <v>0</v>
      </c>
      <c r="AB332">
        <v>0</v>
      </c>
      <c r="AC332">
        <v>1</v>
      </c>
      <c r="AD332">
        <v>1</v>
      </c>
      <c r="AE332">
        <v>0</v>
      </c>
      <c r="AF332" t="s">
        <v>12</v>
      </c>
      <c r="AG332" t="s">
        <v>12</v>
      </c>
      <c r="AH332" t="s">
        <v>12</v>
      </c>
      <c r="AI332" t="s">
        <v>12</v>
      </c>
      <c r="AJ332" t="s">
        <v>12</v>
      </c>
      <c r="AK332">
        <v>300000</v>
      </c>
      <c r="AL332">
        <v>0.18</v>
      </c>
      <c r="AM332">
        <v>0.16</v>
      </c>
      <c r="AN332" t="s">
        <v>12</v>
      </c>
      <c r="AO332" t="s">
        <v>12</v>
      </c>
    </row>
    <row r="333" spans="1:41" x14ac:dyDescent="0.35">
      <c r="A333">
        <v>18828510</v>
      </c>
      <c r="B333">
        <v>202508</v>
      </c>
      <c r="C333">
        <v>20608344421</v>
      </c>
      <c r="D333" t="s">
        <v>181</v>
      </c>
      <c r="E333" t="s">
        <v>1</v>
      </c>
      <c r="F333">
        <v>10254078</v>
      </c>
      <c r="G333" t="s">
        <v>65</v>
      </c>
      <c r="H333" t="s">
        <v>93</v>
      </c>
      <c r="I333">
        <v>7167.384765625</v>
      </c>
      <c r="J333" s="1">
        <v>45441</v>
      </c>
      <c r="K333">
        <v>15.9</v>
      </c>
      <c r="L333" t="s">
        <v>4</v>
      </c>
      <c r="M333" t="s">
        <v>4</v>
      </c>
      <c r="N333" t="s">
        <v>47</v>
      </c>
      <c r="O333">
        <v>202405</v>
      </c>
      <c r="P333">
        <v>90004.5</v>
      </c>
      <c r="Q333" t="s">
        <v>93</v>
      </c>
      <c r="R333" t="s">
        <v>94</v>
      </c>
      <c r="S333" t="s">
        <v>7</v>
      </c>
      <c r="T333" t="s">
        <v>8</v>
      </c>
      <c r="U333" t="s">
        <v>20</v>
      </c>
      <c r="V333">
        <v>1</v>
      </c>
      <c r="W333" t="s">
        <v>10</v>
      </c>
      <c r="X333" t="s">
        <v>12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12</v>
      </c>
      <c r="AG333" t="s">
        <v>12</v>
      </c>
      <c r="AH333" t="s">
        <v>12</v>
      </c>
      <c r="AI333" t="s">
        <v>12</v>
      </c>
      <c r="AJ333" t="s">
        <v>12</v>
      </c>
      <c r="AK333">
        <v>1</v>
      </c>
      <c r="AL333">
        <v>0.24329999999999999</v>
      </c>
      <c r="AM333">
        <v>0</v>
      </c>
      <c r="AN333" t="s">
        <v>12</v>
      </c>
      <c r="AO333" t="s">
        <v>12</v>
      </c>
    </row>
    <row r="334" spans="1:41" x14ac:dyDescent="0.35">
      <c r="A334">
        <v>17860802</v>
      </c>
      <c r="B334">
        <v>202601</v>
      </c>
      <c r="C334">
        <v>20602336965</v>
      </c>
      <c r="D334" t="s">
        <v>572</v>
      </c>
      <c r="E334" t="s">
        <v>1</v>
      </c>
      <c r="F334">
        <v>10271298</v>
      </c>
      <c r="G334" t="s">
        <v>92</v>
      </c>
      <c r="H334" t="s">
        <v>227</v>
      </c>
      <c r="I334">
        <v>128257.7734375</v>
      </c>
      <c r="J334" s="1">
        <v>45912</v>
      </c>
      <c r="K334">
        <v>17.2</v>
      </c>
      <c r="L334" t="s">
        <v>4</v>
      </c>
      <c r="M334" t="s">
        <v>4</v>
      </c>
      <c r="N334" t="s">
        <v>41</v>
      </c>
      <c r="O334">
        <v>202509</v>
      </c>
      <c r="P334">
        <v>150007.5</v>
      </c>
      <c r="Q334" t="s">
        <v>12</v>
      </c>
      <c r="R334" t="s">
        <v>12</v>
      </c>
      <c r="S334" t="s">
        <v>12</v>
      </c>
      <c r="T334" t="s">
        <v>12</v>
      </c>
      <c r="U334" t="s">
        <v>12</v>
      </c>
      <c r="V334" t="s">
        <v>12</v>
      </c>
      <c r="W334" t="s">
        <v>12</v>
      </c>
      <c r="X334" t="s">
        <v>12</v>
      </c>
      <c r="Y334" t="s">
        <v>12</v>
      </c>
      <c r="Z334" t="s">
        <v>12</v>
      </c>
      <c r="AA334" t="s">
        <v>12</v>
      </c>
      <c r="AB334" t="s">
        <v>12</v>
      </c>
      <c r="AC334" t="s">
        <v>12</v>
      </c>
      <c r="AD334" t="s">
        <v>12</v>
      </c>
      <c r="AE334" t="s">
        <v>12</v>
      </c>
      <c r="AF334" t="s">
        <v>12</v>
      </c>
      <c r="AG334" t="s">
        <v>12</v>
      </c>
      <c r="AH334" t="s">
        <v>12</v>
      </c>
      <c r="AI334" t="s">
        <v>12</v>
      </c>
      <c r="AJ334" t="s">
        <v>12</v>
      </c>
      <c r="AK334" t="s">
        <v>12</v>
      </c>
      <c r="AL334" t="s">
        <v>12</v>
      </c>
      <c r="AM334" t="s">
        <v>12</v>
      </c>
      <c r="AN334" t="s">
        <v>12</v>
      </c>
      <c r="AO334" t="s">
        <v>12</v>
      </c>
    </row>
    <row r="335" spans="1:41" x14ac:dyDescent="0.35">
      <c r="A335">
        <v>15754158</v>
      </c>
      <c r="B335">
        <v>202507</v>
      </c>
      <c r="C335">
        <v>20539982835</v>
      </c>
      <c r="D335" t="s">
        <v>573</v>
      </c>
      <c r="E335" t="s">
        <v>1</v>
      </c>
      <c r="F335">
        <v>10253048</v>
      </c>
      <c r="G335" t="s">
        <v>45</v>
      </c>
      <c r="H335" t="s">
        <v>129</v>
      </c>
      <c r="I335">
        <v>3565.2177734375</v>
      </c>
      <c r="J335" s="1">
        <v>45432</v>
      </c>
      <c r="K335">
        <v>17.899999999999999</v>
      </c>
      <c r="L335" t="s">
        <v>4</v>
      </c>
      <c r="M335" t="s">
        <v>4</v>
      </c>
      <c r="N335" t="s">
        <v>47</v>
      </c>
      <c r="O335">
        <v>202405</v>
      </c>
      <c r="P335">
        <v>89964.45</v>
      </c>
      <c r="Q335" t="s">
        <v>257</v>
      </c>
      <c r="R335" t="s">
        <v>258</v>
      </c>
      <c r="S335" t="s">
        <v>49</v>
      </c>
      <c r="T335" t="s">
        <v>50</v>
      </c>
      <c r="U335" t="s">
        <v>20</v>
      </c>
      <c r="V335">
        <v>1</v>
      </c>
      <c r="W335" t="s">
        <v>10</v>
      </c>
      <c r="X335" t="s">
        <v>12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12</v>
      </c>
      <c r="AG335" t="s">
        <v>12</v>
      </c>
      <c r="AH335" t="s">
        <v>12</v>
      </c>
      <c r="AI335" t="s">
        <v>12</v>
      </c>
      <c r="AJ335" t="s">
        <v>12</v>
      </c>
      <c r="AK335">
        <v>1</v>
      </c>
      <c r="AL335">
        <v>0.18579999999999999</v>
      </c>
      <c r="AM335" t="s">
        <v>12</v>
      </c>
      <c r="AN335" t="s">
        <v>12</v>
      </c>
      <c r="AO335" t="s">
        <v>12</v>
      </c>
    </row>
    <row r="336" spans="1:41" x14ac:dyDescent="0.35">
      <c r="A336">
        <v>21844601</v>
      </c>
      <c r="B336">
        <v>202512</v>
      </c>
      <c r="C336">
        <v>20612469033</v>
      </c>
      <c r="D336" t="s">
        <v>574</v>
      </c>
      <c r="E336" t="s">
        <v>1</v>
      </c>
      <c r="F336">
        <v>10271492</v>
      </c>
      <c r="G336" t="s">
        <v>268</v>
      </c>
      <c r="H336" t="s">
        <v>153</v>
      </c>
      <c r="I336">
        <v>54298.75</v>
      </c>
      <c r="J336" s="1">
        <v>45918</v>
      </c>
      <c r="K336">
        <v>23.9</v>
      </c>
      <c r="L336" t="s">
        <v>37</v>
      </c>
      <c r="M336" t="s">
        <v>37</v>
      </c>
      <c r="N336" t="s">
        <v>98</v>
      </c>
      <c r="O336">
        <v>202509</v>
      </c>
      <c r="P336">
        <v>63603.15</v>
      </c>
      <c r="Q336" t="s">
        <v>153</v>
      </c>
      <c r="R336" t="s">
        <v>154</v>
      </c>
      <c r="S336" t="s">
        <v>88</v>
      </c>
      <c r="T336" t="s">
        <v>89</v>
      </c>
      <c r="U336" t="s">
        <v>9</v>
      </c>
      <c r="V336">
        <v>2</v>
      </c>
      <c r="W336" t="s">
        <v>10</v>
      </c>
      <c r="X336" t="s">
        <v>51</v>
      </c>
      <c r="Y336">
        <v>1</v>
      </c>
      <c r="Z336">
        <v>1</v>
      </c>
      <c r="AA336">
        <v>0</v>
      </c>
      <c r="AB336">
        <v>1</v>
      </c>
      <c r="AC336">
        <v>1</v>
      </c>
      <c r="AD336">
        <v>1</v>
      </c>
      <c r="AE336">
        <v>0</v>
      </c>
      <c r="AF336" t="s">
        <v>12</v>
      </c>
      <c r="AG336" t="s">
        <v>12</v>
      </c>
      <c r="AH336" t="s">
        <v>12</v>
      </c>
      <c r="AI336" t="s">
        <v>12</v>
      </c>
      <c r="AJ336" t="s">
        <v>12</v>
      </c>
      <c r="AK336">
        <v>0</v>
      </c>
      <c r="AL336">
        <v>0</v>
      </c>
      <c r="AM336">
        <v>0</v>
      </c>
      <c r="AN336" t="s">
        <v>12</v>
      </c>
      <c r="AO336" t="s">
        <v>12</v>
      </c>
    </row>
    <row r="337" spans="1:41" x14ac:dyDescent="0.35">
      <c r="A337">
        <v>21665451</v>
      </c>
      <c r="B337">
        <v>202508</v>
      </c>
      <c r="C337">
        <v>20603601042</v>
      </c>
      <c r="D337" t="s">
        <v>575</v>
      </c>
      <c r="E337" t="s">
        <v>1</v>
      </c>
      <c r="F337">
        <v>10268285</v>
      </c>
      <c r="G337" t="s">
        <v>100</v>
      </c>
      <c r="H337" t="s">
        <v>522</v>
      </c>
      <c r="I337">
        <v>222075.375</v>
      </c>
      <c r="J337" s="1">
        <v>45806</v>
      </c>
      <c r="K337">
        <v>15</v>
      </c>
      <c r="L337" t="s">
        <v>37</v>
      </c>
      <c r="M337" t="s">
        <v>37</v>
      </c>
      <c r="N337" t="s">
        <v>102</v>
      </c>
      <c r="O337">
        <v>202505</v>
      </c>
      <c r="P337">
        <v>253012.65</v>
      </c>
      <c r="Q337" t="s">
        <v>522</v>
      </c>
      <c r="R337" t="s">
        <v>523</v>
      </c>
      <c r="S337" t="s">
        <v>127</v>
      </c>
      <c r="T337" t="s">
        <v>147</v>
      </c>
      <c r="U337" t="s">
        <v>20</v>
      </c>
      <c r="V337">
        <v>1</v>
      </c>
      <c r="W337" t="s">
        <v>10</v>
      </c>
      <c r="X337" t="s">
        <v>12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12</v>
      </c>
      <c r="AG337" t="s">
        <v>12</v>
      </c>
      <c r="AH337" t="s">
        <v>12</v>
      </c>
      <c r="AI337" t="s">
        <v>12</v>
      </c>
      <c r="AJ337" t="s">
        <v>12</v>
      </c>
      <c r="AK337">
        <v>1</v>
      </c>
      <c r="AL337">
        <v>0.17829999999999999</v>
      </c>
      <c r="AM337" t="s">
        <v>12</v>
      </c>
      <c r="AN337" t="s">
        <v>12</v>
      </c>
      <c r="AO337" t="s">
        <v>12</v>
      </c>
    </row>
    <row r="338" spans="1:41" x14ac:dyDescent="0.35">
      <c r="A338">
        <v>21478083</v>
      </c>
      <c r="B338">
        <v>202601</v>
      </c>
      <c r="C338">
        <v>20611288353</v>
      </c>
      <c r="D338" t="s">
        <v>576</v>
      </c>
      <c r="E338" t="s">
        <v>1</v>
      </c>
      <c r="F338">
        <v>10265329</v>
      </c>
      <c r="G338" t="s">
        <v>28</v>
      </c>
      <c r="H338" t="s">
        <v>204</v>
      </c>
      <c r="I338">
        <v>22336.755859375</v>
      </c>
      <c r="J338" s="1">
        <v>45701</v>
      </c>
      <c r="K338">
        <v>16.5</v>
      </c>
      <c r="L338" t="s">
        <v>4</v>
      </c>
      <c r="M338" t="s">
        <v>75</v>
      </c>
      <c r="N338" t="s">
        <v>26</v>
      </c>
      <c r="O338">
        <v>202502</v>
      </c>
      <c r="P338">
        <v>250012.5</v>
      </c>
      <c r="Q338" t="s">
        <v>204</v>
      </c>
      <c r="R338" t="s">
        <v>291</v>
      </c>
      <c r="S338" t="s">
        <v>127</v>
      </c>
      <c r="T338" t="s">
        <v>147</v>
      </c>
      <c r="U338" t="s">
        <v>63</v>
      </c>
      <c r="V338">
        <v>1</v>
      </c>
      <c r="W338" t="s">
        <v>10</v>
      </c>
      <c r="X338" t="s">
        <v>51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12</v>
      </c>
      <c r="AG338" t="s">
        <v>12</v>
      </c>
      <c r="AH338" t="s">
        <v>12</v>
      </c>
      <c r="AI338" t="s">
        <v>12</v>
      </c>
      <c r="AJ338" t="s">
        <v>12</v>
      </c>
      <c r="AK338">
        <v>75000</v>
      </c>
      <c r="AL338">
        <v>0.21</v>
      </c>
      <c r="AM338">
        <v>0.19</v>
      </c>
      <c r="AN338" t="s">
        <v>12</v>
      </c>
      <c r="AO338" t="s">
        <v>12</v>
      </c>
    </row>
    <row r="339" spans="1:41" x14ac:dyDescent="0.35">
      <c r="A339">
        <v>15358485</v>
      </c>
      <c r="B339">
        <v>202510</v>
      </c>
      <c r="C339">
        <v>20601180627</v>
      </c>
      <c r="D339" t="s">
        <v>577</v>
      </c>
      <c r="E339" t="s">
        <v>1</v>
      </c>
      <c r="F339">
        <v>10271312</v>
      </c>
      <c r="G339" t="s">
        <v>24</v>
      </c>
      <c r="H339" t="s">
        <v>227</v>
      </c>
      <c r="I339">
        <v>145069.484375</v>
      </c>
      <c r="J339" s="1">
        <v>45912</v>
      </c>
      <c r="K339">
        <v>16</v>
      </c>
      <c r="L339" t="s">
        <v>4</v>
      </c>
      <c r="M339" t="s">
        <v>4</v>
      </c>
      <c r="N339" t="s">
        <v>26</v>
      </c>
      <c r="O339">
        <v>202509</v>
      </c>
      <c r="P339">
        <v>150007.5</v>
      </c>
      <c r="Q339" t="s">
        <v>12</v>
      </c>
      <c r="R339" t="s">
        <v>12</v>
      </c>
      <c r="S339" t="s">
        <v>12</v>
      </c>
      <c r="T339" t="s">
        <v>12</v>
      </c>
      <c r="U339" t="s">
        <v>12</v>
      </c>
      <c r="V339" t="s">
        <v>12</v>
      </c>
      <c r="W339" t="s">
        <v>12</v>
      </c>
      <c r="X339" t="s">
        <v>12</v>
      </c>
      <c r="Y339" t="s">
        <v>12</v>
      </c>
      <c r="Z339" t="s">
        <v>12</v>
      </c>
      <c r="AA339" t="s">
        <v>12</v>
      </c>
      <c r="AB339" t="s">
        <v>12</v>
      </c>
      <c r="AC339" t="s">
        <v>12</v>
      </c>
      <c r="AD339" t="s">
        <v>12</v>
      </c>
      <c r="AE339" t="s">
        <v>12</v>
      </c>
      <c r="AF339" t="s">
        <v>12</v>
      </c>
      <c r="AG339" t="s">
        <v>12</v>
      </c>
      <c r="AH339" t="s">
        <v>12</v>
      </c>
      <c r="AI339" t="s">
        <v>12</v>
      </c>
      <c r="AJ339" t="s">
        <v>12</v>
      </c>
      <c r="AK339" t="s">
        <v>12</v>
      </c>
      <c r="AL339" t="s">
        <v>12</v>
      </c>
      <c r="AM339" t="s">
        <v>12</v>
      </c>
      <c r="AN339" t="s">
        <v>12</v>
      </c>
      <c r="AO339" t="s">
        <v>12</v>
      </c>
    </row>
    <row r="340" spans="1:41" x14ac:dyDescent="0.35">
      <c r="A340">
        <v>21537572</v>
      </c>
      <c r="B340">
        <v>202505</v>
      </c>
      <c r="C340">
        <v>20609334917</v>
      </c>
      <c r="D340" t="s">
        <v>578</v>
      </c>
      <c r="E340" t="s">
        <v>1</v>
      </c>
      <c r="F340">
        <v>10266384</v>
      </c>
      <c r="G340" t="s">
        <v>268</v>
      </c>
      <c r="H340" t="s">
        <v>159</v>
      </c>
      <c r="I340">
        <v>45112.8046875</v>
      </c>
      <c r="J340" s="1">
        <v>45736</v>
      </c>
      <c r="K340">
        <v>21</v>
      </c>
      <c r="L340" t="s">
        <v>37</v>
      </c>
      <c r="M340" t="s">
        <v>37</v>
      </c>
      <c r="N340" t="s">
        <v>98</v>
      </c>
      <c r="O340">
        <v>202503</v>
      </c>
      <c r="P340">
        <v>50002.5</v>
      </c>
      <c r="Q340" t="s">
        <v>12</v>
      </c>
      <c r="R340" t="s">
        <v>12</v>
      </c>
      <c r="S340" t="s">
        <v>12</v>
      </c>
      <c r="T340" t="s">
        <v>12</v>
      </c>
      <c r="U340" t="s">
        <v>12</v>
      </c>
      <c r="V340" t="s">
        <v>12</v>
      </c>
      <c r="W340" t="s">
        <v>12</v>
      </c>
      <c r="X340" t="s">
        <v>12</v>
      </c>
      <c r="Y340" t="s">
        <v>12</v>
      </c>
      <c r="Z340" t="s">
        <v>12</v>
      </c>
      <c r="AA340" t="s">
        <v>12</v>
      </c>
      <c r="AB340" t="s">
        <v>12</v>
      </c>
      <c r="AC340" t="s">
        <v>12</v>
      </c>
      <c r="AD340" t="s">
        <v>12</v>
      </c>
      <c r="AE340" t="s">
        <v>12</v>
      </c>
      <c r="AF340" t="s">
        <v>12</v>
      </c>
      <c r="AG340" t="s">
        <v>12</v>
      </c>
      <c r="AH340" t="s">
        <v>12</v>
      </c>
      <c r="AI340" t="s">
        <v>12</v>
      </c>
      <c r="AJ340" t="s">
        <v>12</v>
      </c>
      <c r="AK340" t="s">
        <v>12</v>
      </c>
      <c r="AL340" t="s">
        <v>12</v>
      </c>
      <c r="AM340" t="s">
        <v>12</v>
      </c>
      <c r="AN340" t="s">
        <v>12</v>
      </c>
      <c r="AO340" t="s">
        <v>12</v>
      </c>
    </row>
    <row r="341" spans="1:41" x14ac:dyDescent="0.35">
      <c r="A341">
        <v>21634432</v>
      </c>
      <c r="B341">
        <v>202507</v>
      </c>
      <c r="C341">
        <v>20604299005</v>
      </c>
      <c r="D341" t="s">
        <v>579</v>
      </c>
      <c r="E341" t="s">
        <v>1</v>
      </c>
      <c r="F341">
        <v>10268865</v>
      </c>
      <c r="G341" t="s">
        <v>268</v>
      </c>
      <c r="H341" t="s">
        <v>159</v>
      </c>
      <c r="I341">
        <v>14302.5859375</v>
      </c>
      <c r="J341" s="1">
        <v>45828</v>
      </c>
      <c r="K341">
        <v>28.1</v>
      </c>
      <c r="L341" t="s">
        <v>37</v>
      </c>
      <c r="M341" t="s">
        <v>37</v>
      </c>
      <c r="N341" t="s">
        <v>98</v>
      </c>
      <c r="O341">
        <v>202506</v>
      </c>
      <c r="P341">
        <v>15000.75</v>
      </c>
      <c r="Q341" t="s">
        <v>12</v>
      </c>
      <c r="R341" t="s">
        <v>12</v>
      </c>
      <c r="S341" t="s">
        <v>12</v>
      </c>
      <c r="T341" t="s">
        <v>12</v>
      </c>
      <c r="U341" t="s">
        <v>12</v>
      </c>
      <c r="V341" t="s">
        <v>12</v>
      </c>
      <c r="W341" t="s">
        <v>12</v>
      </c>
      <c r="X341" t="s">
        <v>12</v>
      </c>
      <c r="Y341" t="s">
        <v>12</v>
      </c>
      <c r="Z341" t="s">
        <v>12</v>
      </c>
      <c r="AA341" t="s">
        <v>12</v>
      </c>
      <c r="AB341" t="s">
        <v>12</v>
      </c>
      <c r="AC341" t="s">
        <v>12</v>
      </c>
      <c r="AD341" t="s">
        <v>12</v>
      </c>
      <c r="AE341" t="s">
        <v>12</v>
      </c>
      <c r="AF341" t="s">
        <v>12</v>
      </c>
      <c r="AG341" t="s">
        <v>12</v>
      </c>
      <c r="AH341" t="s">
        <v>12</v>
      </c>
      <c r="AI341" t="s">
        <v>12</v>
      </c>
      <c r="AJ341" t="s">
        <v>12</v>
      </c>
      <c r="AK341" t="s">
        <v>12</v>
      </c>
      <c r="AL341" t="s">
        <v>12</v>
      </c>
      <c r="AM341" t="s">
        <v>12</v>
      </c>
      <c r="AN341" t="s">
        <v>12</v>
      </c>
      <c r="AO341" t="s">
        <v>12</v>
      </c>
    </row>
    <row r="342" spans="1:41" x14ac:dyDescent="0.35">
      <c r="A342">
        <v>21517595</v>
      </c>
      <c r="B342">
        <v>202601</v>
      </c>
      <c r="C342">
        <v>20548385068</v>
      </c>
      <c r="D342" t="s">
        <v>580</v>
      </c>
      <c r="E342" t="s">
        <v>1</v>
      </c>
      <c r="F342">
        <v>10266038</v>
      </c>
      <c r="G342" t="s">
        <v>24</v>
      </c>
      <c r="H342" t="s">
        <v>513</v>
      </c>
      <c r="I342">
        <v>12475.607421875</v>
      </c>
      <c r="J342" s="1">
        <v>45726</v>
      </c>
      <c r="K342">
        <v>20.5</v>
      </c>
      <c r="L342" t="s">
        <v>37</v>
      </c>
      <c r="M342" t="s">
        <v>37</v>
      </c>
      <c r="N342" t="s">
        <v>98</v>
      </c>
      <c r="O342">
        <v>202503</v>
      </c>
      <c r="P342">
        <v>26001.3</v>
      </c>
      <c r="Q342" t="s">
        <v>513</v>
      </c>
      <c r="R342" t="s">
        <v>514</v>
      </c>
      <c r="S342" t="s">
        <v>111</v>
      </c>
      <c r="T342" t="s">
        <v>112</v>
      </c>
      <c r="U342" t="s">
        <v>9</v>
      </c>
      <c r="V342">
        <v>2</v>
      </c>
      <c r="W342" t="s">
        <v>21</v>
      </c>
      <c r="X342" t="s">
        <v>11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12</v>
      </c>
      <c r="AG342" t="s">
        <v>12</v>
      </c>
      <c r="AH342" t="s">
        <v>12</v>
      </c>
      <c r="AI342" t="s">
        <v>12</v>
      </c>
      <c r="AJ342" t="s">
        <v>12</v>
      </c>
      <c r="AK342">
        <v>0</v>
      </c>
      <c r="AL342">
        <v>0</v>
      </c>
      <c r="AM342">
        <v>0.19</v>
      </c>
      <c r="AN342" t="s">
        <v>12</v>
      </c>
      <c r="AO342" t="s">
        <v>12</v>
      </c>
    </row>
    <row r="343" spans="1:41" x14ac:dyDescent="0.35">
      <c r="A343">
        <v>21230655</v>
      </c>
      <c r="B343">
        <v>202601</v>
      </c>
      <c r="C343">
        <v>20547652585</v>
      </c>
      <c r="D343" t="s">
        <v>581</v>
      </c>
      <c r="E343" t="s">
        <v>1</v>
      </c>
      <c r="F343">
        <v>10262553</v>
      </c>
      <c r="G343" t="s">
        <v>65</v>
      </c>
      <c r="H343" t="s">
        <v>135</v>
      </c>
      <c r="I343">
        <v>53994.1171875</v>
      </c>
      <c r="J343" s="1">
        <v>45609</v>
      </c>
      <c r="K343">
        <v>15.7</v>
      </c>
      <c r="L343" t="s">
        <v>37</v>
      </c>
      <c r="M343" t="s">
        <v>37</v>
      </c>
      <c r="N343" t="s">
        <v>47</v>
      </c>
      <c r="O343">
        <v>202411</v>
      </c>
      <c r="P343">
        <v>77203.850000000006</v>
      </c>
      <c r="Q343" t="s">
        <v>135</v>
      </c>
      <c r="R343" t="s">
        <v>136</v>
      </c>
      <c r="S343" t="s">
        <v>18</v>
      </c>
      <c r="T343" t="s">
        <v>19</v>
      </c>
      <c r="U343" t="s">
        <v>63</v>
      </c>
      <c r="V343">
        <v>1</v>
      </c>
      <c r="W343" t="s">
        <v>10</v>
      </c>
      <c r="X343" t="s">
        <v>51</v>
      </c>
      <c r="Y343">
        <v>1</v>
      </c>
      <c r="Z343">
        <v>1</v>
      </c>
      <c r="AA343">
        <v>0</v>
      </c>
      <c r="AB343">
        <v>0</v>
      </c>
      <c r="AC343">
        <v>1</v>
      </c>
      <c r="AD343">
        <v>1</v>
      </c>
      <c r="AE343">
        <v>0</v>
      </c>
      <c r="AF343" t="s">
        <v>12</v>
      </c>
      <c r="AG343" t="s">
        <v>12</v>
      </c>
      <c r="AH343" t="s">
        <v>12</v>
      </c>
      <c r="AI343" t="s">
        <v>12</v>
      </c>
      <c r="AJ343" t="s">
        <v>12</v>
      </c>
      <c r="AK343">
        <v>50000</v>
      </c>
      <c r="AL343">
        <v>0.21</v>
      </c>
      <c r="AM343">
        <v>0.19</v>
      </c>
      <c r="AN343" t="s">
        <v>12</v>
      </c>
      <c r="AO343" t="s">
        <v>12</v>
      </c>
    </row>
    <row r="344" spans="1:41" x14ac:dyDescent="0.35">
      <c r="A344">
        <v>21896996</v>
      </c>
      <c r="B344">
        <v>202510</v>
      </c>
      <c r="C344">
        <v>20609163306</v>
      </c>
      <c r="D344" t="s">
        <v>582</v>
      </c>
      <c r="E344" t="s">
        <v>1</v>
      </c>
      <c r="F344">
        <v>10272331</v>
      </c>
      <c r="G344" t="s">
        <v>100</v>
      </c>
      <c r="H344" t="s">
        <v>159</v>
      </c>
      <c r="I344">
        <v>77003.8671875</v>
      </c>
      <c r="J344" s="1">
        <v>45947</v>
      </c>
      <c r="K344">
        <v>19</v>
      </c>
      <c r="L344" t="s">
        <v>37</v>
      </c>
      <c r="M344" t="s">
        <v>37</v>
      </c>
      <c r="N344" t="s">
        <v>102</v>
      </c>
      <c r="O344">
        <v>202510</v>
      </c>
      <c r="P344">
        <v>77003.850000000006</v>
      </c>
      <c r="Q344" t="s">
        <v>583</v>
      </c>
      <c r="R344" t="s">
        <v>584</v>
      </c>
      <c r="S344" t="s">
        <v>585</v>
      </c>
      <c r="T344" t="s">
        <v>586</v>
      </c>
      <c r="U344" t="s">
        <v>102</v>
      </c>
      <c r="V344">
        <v>3</v>
      </c>
      <c r="W344" t="s">
        <v>10</v>
      </c>
      <c r="X344" t="s">
        <v>12</v>
      </c>
      <c r="Y344">
        <v>1</v>
      </c>
      <c r="Z344">
        <v>1</v>
      </c>
      <c r="AA344">
        <v>1</v>
      </c>
      <c r="AB344">
        <v>1</v>
      </c>
      <c r="AC344">
        <v>1</v>
      </c>
      <c r="AD344" t="s">
        <v>12</v>
      </c>
      <c r="AE344">
        <v>77003.850000000006</v>
      </c>
      <c r="AF344">
        <v>19</v>
      </c>
      <c r="AG344" s="1">
        <v>45947</v>
      </c>
      <c r="AH344" t="s">
        <v>102</v>
      </c>
      <c r="AI344" t="s">
        <v>37</v>
      </c>
      <c r="AJ344" t="s">
        <v>560</v>
      </c>
      <c r="AK344">
        <v>105000</v>
      </c>
      <c r="AL344">
        <v>0.219</v>
      </c>
      <c r="AM344">
        <v>0.19900000000000001</v>
      </c>
      <c r="AN344" t="s">
        <v>197</v>
      </c>
      <c r="AO344" t="s">
        <v>561</v>
      </c>
    </row>
    <row r="345" spans="1:41" x14ac:dyDescent="0.35">
      <c r="A345">
        <v>21935242</v>
      </c>
      <c r="B345">
        <v>202602</v>
      </c>
      <c r="C345">
        <v>20600042204</v>
      </c>
      <c r="D345" t="s">
        <v>587</v>
      </c>
      <c r="E345" t="s">
        <v>1</v>
      </c>
      <c r="F345">
        <v>10272839</v>
      </c>
      <c r="G345" t="s">
        <v>24</v>
      </c>
      <c r="H345" t="s">
        <v>39</v>
      </c>
      <c r="I345">
        <v>134170.375</v>
      </c>
      <c r="J345" s="1">
        <v>45961</v>
      </c>
      <c r="K345">
        <v>17</v>
      </c>
      <c r="L345" t="s">
        <v>37</v>
      </c>
      <c r="M345" t="s">
        <v>37</v>
      </c>
      <c r="N345" t="s">
        <v>98</v>
      </c>
      <c r="O345">
        <v>202510</v>
      </c>
      <c r="P345">
        <v>157197.85</v>
      </c>
      <c r="Q345" t="s">
        <v>240</v>
      </c>
      <c r="R345" t="s">
        <v>241</v>
      </c>
      <c r="S345" t="s">
        <v>39</v>
      </c>
      <c r="T345" t="s">
        <v>40</v>
      </c>
      <c r="U345" t="s">
        <v>95</v>
      </c>
      <c r="V345">
        <v>1</v>
      </c>
      <c r="W345" t="s">
        <v>10</v>
      </c>
      <c r="X345" t="s">
        <v>11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12</v>
      </c>
      <c r="AG345" t="s">
        <v>12</v>
      </c>
      <c r="AH345" t="s">
        <v>12</v>
      </c>
      <c r="AI345" t="s">
        <v>12</v>
      </c>
      <c r="AJ345" t="s">
        <v>12</v>
      </c>
      <c r="AK345">
        <v>500000</v>
      </c>
      <c r="AL345">
        <v>0.21</v>
      </c>
      <c r="AM345">
        <v>0.19</v>
      </c>
      <c r="AN345" t="s">
        <v>12</v>
      </c>
      <c r="AO345" t="s">
        <v>12</v>
      </c>
    </row>
    <row r="346" spans="1:41" x14ac:dyDescent="0.35">
      <c r="A346">
        <v>21591556</v>
      </c>
      <c r="B346">
        <v>202509</v>
      </c>
      <c r="C346">
        <v>20606627689</v>
      </c>
      <c r="D346" t="s">
        <v>588</v>
      </c>
      <c r="E346" t="s">
        <v>1</v>
      </c>
      <c r="F346">
        <v>10267702</v>
      </c>
      <c r="G346" t="s">
        <v>73</v>
      </c>
      <c r="H346" t="s">
        <v>135</v>
      </c>
      <c r="I346">
        <v>68647.5625</v>
      </c>
      <c r="J346" s="1">
        <v>45789</v>
      </c>
      <c r="K346">
        <v>19</v>
      </c>
      <c r="L346" t="s">
        <v>4</v>
      </c>
      <c r="M346" t="s">
        <v>4</v>
      </c>
      <c r="N346" t="s">
        <v>20</v>
      </c>
      <c r="O346">
        <v>202505</v>
      </c>
      <c r="P346">
        <v>100005</v>
      </c>
      <c r="Q346" t="s">
        <v>135</v>
      </c>
      <c r="R346" t="s">
        <v>136</v>
      </c>
      <c r="S346" t="s">
        <v>18</v>
      </c>
      <c r="T346" t="s">
        <v>122</v>
      </c>
      <c r="U346" t="s">
        <v>20</v>
      </c>
      <c r="V346">
        <v>1</v>
      </c>
      <c r="W346" t="s">
        <v>10</v>
      </c>
      <c r="X346" t="s">
        <v>51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12</v>
      </c>
      <c r="AG346" t="s">
        <v>12</v>
      </c>
      <c r="AH346" t="s">
        <v>12</v>
      </c>
      <c r="AI346" t="s">
        <v>12</v>
      </c>
      <c r="AJ346" t="s">
        <v>12</v>
      </c>
      <c r="AK346">
        <v>1</v>
      </c>
      <c r="AL346">
        <v>1</v>
      </c>
      <c r="AM346" t="s">
        <v>12</v>
      </c>
      <c r="AN346" t="s">
        <v>12</v>
      </c>
      <c r="AO346" t="s">
        <v>12</v>
      </c>
    </row>
    <row r="347" spans="1:41" x14ac:dyDescent="0.35">
      <c r="A347">
        <v>21674805</v>
      </c>
      <c r="B347">
        <v>202602</v>
      </c>
      <c r="C347">
        <v>20604879036</v>
      </c>
      <c r="D347" t="s">
        <v>589</v>
      </c>
      <c r="E347" t="s">
        <v>1</v>
      </c>
      <c r="F347">
        <v>10268439</v>
      </c>
      <c r="G347" t="s">
        <v>100</v>
      </c>
      <c r="H347" t="s">
        <v>46</v>
      </c>
      <c r="I347">
        <v>101774.3984375</v>
      </c>
      <c r="J347" s="1">
        <v>45813</v>
      </c>
      <c r="K347">
        <v>17.82</v>
      </c>
      <c r="L347" t="s">
        <v>37</v>
      </c>
      <c r="M347" t="s">
        <v>37</v>
      </c>
      <c r="N347" t="s">
        <v>102</v>
      </c>
      <c r="O347">
        <v>202506</v>
      </c>
      <c r="P347">
        <v>124206.2</v>
      </c>
      <c r="Q347" t="s">
        <v>46</v>
      </c>
      <c r="R347" t="s">
        <v>48</v>
      </c>
      <c r="S347" t="s">
        <v>49</v>
      </c>
      <c r="T347" t="s">
        <v>50</v>
      </c>
      <c r="U347" t="s">
        <v>177</v>
      </c>
      <c r="V347">
        <v>1</v>
      </c>
      <c r="W347" t="s">
        <v>10</v>
      </c>
      <c r="X347" t="s">
        <v>11</v>
      </c>
      <c r="Y347">
        <v>1</v>
      </c>
      <c r="Z347">
        <v>1</v>
      </c>
      <c r="AA347">
        <v>0</v>
      </c>
      <c r="AB347">
        <v>1</v>
      </c>
      <c r="AC347">
        <v>1</v>
      </c>
      <c r="AD347">
        <v>1</v>
      </c>
      <c r="AE347">
        <v>0</v>
      </c>
      <c r="AF347" t="s">
        <v>12</v>
      </c>
      <c r="AG347" t="s">
        <v>12</v>
      </c>
      <c r="AH347" t="s">
        <v>12</v>
      </c>
      <c r="AI347" t="s">
        <v>12</v>
      </c>
      <c r="AJ347" t="s">
        <v>12</v>
      </c>
      <c r="AK347">
        <v>500000</v>
      </c>
      <c r="AL347">
        <v>0.22</v>
      </c>
      <c r="AM347">
        <v>0.2</v>
      </c>
      <c r="AN347" t="s">
        <v>12</v>
      </c>
      <c r="AO347" t="s">
        <v>12</v>
      </c>
    </row>
    <row r="348" spans="1:41" x14ac:dyDescent="0.35">
      <c r="A348">
        <v>13498479</v>
      </c>
      <c r="B348">
        <v>202510</v>
      </c>
      <c r="C348">
        <v>10475737437</v>
      </c>
      <c r="D348" t="s">
        <v>590</v>
      </c>
      <c r="E348">
        <v>47573743</v>
      </c>
      <c r="F348">
        <v>10271266</v>
      </c>
      <c r="G348" t="s">
        <v>24</v>
      </c>
      <c r="H348" t="s">
        <v>159</v>
      </c>
      <c r="I348">
        <v>28611.224609375</v>
      </c>
      <c r="J348" s="1">
        <v>45912</v>
      </c>
      <c r="K348">
        <v>28</v>
      </c>
      <c r="L348" t="s">
        <v>37</v>
      </c>
      <c r="M348" t="s">
        <v>37</v>
      </c>
      <c r="N348" t="s">
        <v>98</v>
      </c>
      <c r="O348">
        <v>202509</v>
      </c>
      <c r="P348">
        <v>30001.5</v>
      </c>
      <c r="Q348" t="s">
        <v>12</v>
      </c>
      <c r="R348" t="s">
        <v>12</v>
      </c>
      <c r="S348" t="s">
        <v>12</v>
      </c>
      <c r="T348" t="s">
        <v>12</v>
      </c>
      <c r="U348" t="s">
        <v>12</v>
      </c>
      <c r="V348" t="s">
        <v>12</v>
      </c>
      <c r="W348" t="s">
        <v>12</v>
      </c>
      <c r="X348" t="s">
        <v>12</v>
      </c>
      <c r="Y348" t="s">
        <v>12</v>
      </c>
      <c r="Z348" t="s">
        <v>12</v>
      </c>
      <c r="AA348" t="s">
        <v>12</v>
      </c>
      <c r="AB348" t="s">
        <v>12</v>
      </c>
      <c r="AC348" t="s">
        <v>12</v>
      </c>
      <c r="AD348" t="s">
        <v>12</v>
      </c>
      <c r="AE348" t="s">
        <v>12</v>
      </c>
      <c r="AF348" t="s">
        <v>12</v>
      </c>
      <c r="AG348" t="s">
        <v>12</v>
      </c>
      <c r="AH348" t="s">
        <v>12</v>
      </c>
      <c r="AI348" t="s">
        <v>12</v>
      </c>
      <c r="AJ348" t="s">
        <v>12</v>
      </c>
      <c r="AK348" t="s">
        <v>12</v>
      </c>
      <c r="AL348" t="s">
        <v>12</v>
      </c>
      <c r="AM348" t="s">
        <v>12</v>
      </c>
      <c r="AN348" t="s">
        <v>12</v>
      </c>
      <c r="AO348" t="s">
        <v>12</v>
      </c>
    </row>
    <row r="349" spans="1:41" x14ac:dyDescent="0.35">
      <c r="A349">
        <v>16666456</v>
      </c>
      <c r="B349">
        <v>202506</v>
      </c>
      <c r="C349">
        <v>20601830338</v>
      </c>
      <c r="D349" t="s">
        <v>347</v>
      </c>
      <c r="E349" t="s">
        <v>1</v>
      </c>
      <c r="F349">
        <v>10267204</v>
      </c>
      <c r="G349" t="s">
        <v>92</v>
      </c>
      <c r="H349" t="s">
        <v>220</v>
      </c>
      <c r="I349">
        <v>185882.75</v>
      </c>
      <c r="J349" s="1">
        <v>45769</v>
      </c>
      <c r="K349">
        <v>18</v>
      </c>
      <c r="L349" t="s">
        <v>4</v>
      </c>
      <c r="M349" t="s">
        <v>4</v>
      </c>
      <c r="N349" t="s">
        <v>41</v>
      </c>
      <c r="O349">
        <v>202504</v>
      </c>
      <c r="P349">
        <v>200010</v>
      </c>
      <c r="Q349" t="s">
        <v>220</v>
      </c>
      <c r="R349" t="s">
        <v>221</v>
      </c>
      <c r="S349" t="s">
        <v>127</v>
      </c>
      <c r="T349" t="s">
        <v>147</v>
      </c>
      <c r="U349" t="s">
        <v>20</v>
      </c>
      <c r="V349">
        <v>1</v>
      </c>
      <c r="W349" t="s">
        <v>10</v>
      </c>
      <c r="X349" t="s">
        <v>12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12</v>
      </c>
      <c r="AG349" t="s">
        <v>12</v>
      </c>
      <c r="AH349" t="s">
        <v>12</v>
      </c>
      <c r="AI349" t="s">
        <v>12</v>
      </c>
      <c r="AJ349" t="s">
        <v>12</v>
      </c>
      <c r="AK349">
        <v>1</v>
      </c>
      <c r="AL349">
        <v>0.20330000000000001</v>
      </c>
      <c r="AM349" t="s">
        <v>12</v>
      </c>
      <c r="AN349" t="s">
        <v>12</v>
      </c>
      <c r="AO349" t="s">
        <v>12</v>
      </c>
    </row>
    <row r="350" spans="1:41" x14ac:dyDescent="0.35">
      <c r="A350">
        <v>19473317</v>
      </c>
      <c r="B350">
        <v>202511</v>
      </c>
      <c r="C350">
        <v>20540087751</v>
      </c>
      <c r="D350" t="s">
        <v>591</v>
      </c>
      <c r="E350" t="s">
        <v>1</v>
      </c>
      <c r="F350">
        <v>10269715</v>
      </c>
      <c r="G350" t="s">
        <v>24</v>
      </c>
      <c r="H350" t="s">
        <v>301</v>
      </c>
      <c r="I350">
        <v>238875.578125</v>
      </c>
      <c r="J350" s="1">
        <v>45855</v>
      </c>
      <c r="K350">
        <v>15</v>
      </c>
      <c r="L350" t="s">
        <v>4</v>
      </c>
      <c r="M350" t="s">
        <v>4</v>
      </c>
      <c r="N350" t="s">
        <v>26</v>
      </c>
      <c r="O350">
        <v>202507</v>
      </c>
      <c r="P350">
        <v>300015</v>
      </c>
      <c r="Q350" t="s">
        <v>301</v>
      </c>
      <c r="R350" t="s">
        <v>310</v>
      </c>
      <c r="S350" t="s">
        <v>49</v>
      </c>
      <c r="T350" t="s">
        <v>50</v>
      </c>
      <c r="U350" t="s">
        <v>20</v>
      </c>
      <c r="V350">
        <v>1</v>
      </c>
      <c r="W350" t="s">
        <v>10</v>
      </c>
      <c r="X350" t="s">
        <v>22</v>
      </c>
      <c r="Y350">
        <v>1</v>
      </c>
      <c r="Z350">
        <v>1</v>
      </c>
      <c r="AA350">
        <v>0</v>
      </c>
      <c r="AB350">
        <v>0</v>
      </c>
      <c r="AC350">
        <v>1</v>
      </c>
      <c r="AD350">
        <v>1</v>
      </c>
      <c r="AE350">
        <v>0</v>
      </c>
      <c r="AF350" t="s">
        <v>12</v>
      </c>
      <c r="AG350" t="s">
        <v>12</v>
      </c>
      <c r="AH350" t="s">
        <v>12</v>
      </c>
      <c r="AI350" t="s">
        <v>12</v>
      </c>
      <c r="AJ350" t="s">
        <v>12</v>
      </c>
      <c r="AK350">
        <v>1</v>
      </c>
      <c r="AL350">
        <v>1</v>
      </c>
      <c r="AM350" t="s">
        <v>12</v>
      </c>
      <c r="AN350" t="s">
        <v>12</v>
      </c>
      <c r="AO350" t="s">
        <v>12</v>
      </c>
    </row>
    <row r="351" spans="1:41" x14ac:dyDescent="0.35">
      <c r="A351">
        <v>16162325</v>
      </c>
      <c r="B351">
        <v>202601</v>
      </c>
      <c r="C351">
        <v>20604470944</v>
      </c>
      <c r="D351" t="s">
        <v>592</v>
      </c>
      <c r="E351" t="s">
        <v>1</v>
      </c>
      <c r="F351">
        <v>10266588</v>
      </c>
      <c r="G351" t="s">
        <v>144</v>
      </c>
      <c r="H351" t="s">
        <v>3</v>
      </c>
      <c r="I351">
        <v>383354.46875</v>
      </c>
      <c r="J351" s="1">
        <v>45742</v>
      </c>
      <c r="K351">
        <v>13.5</v>
      </c>
      <c r="L351" t="s">
        <v>4</v>
      </c>
      <c r="M351" t="s">
        <v>4</v>
      </c>
      <c r="N351" t="s">
        <v>20</v>
      </c>
      <c r="O351">
        <v>202503</v>
      </c>
      <c r="P351">
        <v>278571.18</v>
      </c>
      <c r="Q351" t="s">
        <v>3</v>
      </c>
      <c r="R351" t="s">
        <v>6</v>
      </c>
      <c r="S351" t="s">
        <v>7</v>
      </c>
      <c r="T351" t="s">
        <v>8</v>
      </c>
      <c r="U351" t="s">
        <v>20</v>
      </c>
      <c r="V351">
        <v>1</v>
      </c>
      <c r="W351" t="s">
        <v>10</v>
      </c>
      <c r="X351" t="s">
        <v>51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12</v>
      </c>
      <c r="AG351" t="s">
        <v>12</v>
      </c>
      <c r="AH351" t="s">
        <v>12</v>
      </c>
      <c r="AI351" t="s">
        <v>12</v>
      </c>
      <c r="AJ351" t="s">
        <v>12</v>
      </c>
      <c r="AK351">
        <v>1</v>
      </c>
      <c r="AL351">
        <v>1</v>
      </c>
      <c r="AM351">
        <v>0.24</v>
      </c>
      <c r="AN351" t="s">
        <v>12</v>
      </c>
      <c r="AO351" t="s">
        <v>12</v>
      </c>
    </row>
    <row r="352" spans="1:41" x14ac:dyDescent="0.35">
      <c r="A352">
        <v>12676280</v>
      </c>
      <c r="B352">
        <v>202508</v>
      </c>
      <c r="C352">
        <v>20512812504</v>
      </c>
      <c r="D352" t="s">
        <v>593</v>
      </c>
      <c r="E352" t="s">
        <v>1</v>
      </c>
      <c r="F352">
        <v>10248412</v>
      </c>
      <c r="G352" t="s">
        <v>65</v>
      </c>
      <c r="H352" t="s">
        <v>25</v>
      </c>
      <c r="I352">
        <v>48090.38671875</v>
      </c>
      <c r="J352" s="1">
        <v>45349</v>
      </c>
      <c r="K352">
        <v>14.5</v>
      </c>
      <c r="L352" t="s">
        <v>4</v>
      </c>
      <c r="M352" t="s">
        <v>4</v>
      </c>
      <c r="N352" t="s">
        <v>47</v>
      </c>
      <c r="O352">
        <v>202402</v>
      </c>
      <c r="P352">
        <v>90004.5</v>
      </c>
      <c r="Q352" t="s">
        <v>12</v>
      </c>
      <c r="R352" t="s">
        <v>12</v>
      </c>
      <c r="S352" t="s">
        <v>12</v>
      </c>
      <c r="T352" t="s">
        <v>12</v>
      </c>
      <c r="U352" t="s">
        <v>12</v>
      </c>
      <c r="V352" t="s">
        <v>12</v>
      </c>
      <c r="W352" t="s">
        <v>12</v>
      </c>
      <c r="X352" t="s">
        <v>12</v>
      </c>
      <c r="Y352" t="s">
        <v>12</v>
      </c>
      <c r="Z352" t="s">
        <v>12</v>
      </c>
      <c r="AA352" t="s">
        <v>12</v>
      </c>
      <c r="AB352" t="s">
        <v>12</v>
      </c>
      <c r="AC352" t="s">
        <v>12</v>
      </c>
      <c r="AD352" t="s">
        <v>12</v>
      </c>
      <c r="AE352" t="s">
        <v>12</v>
      </c>
      <c r="AF352" t="s">
        <v>12</v>
      </c>
      <c r="AG352" t="s">
        <v>12</v>
      </c>
      <c r="AH352" t="s">
        <v>12</v>
      </c>
      <c r="AI352" t="s">
        <v>12</v>
      </c>
      <c r="AJ352" t="s">
        <v>12</v>
      </c>
      <c r="AK352" t="s">
        <v>12</v>
      </c>
      <c r="AL352" t="s">
        <v>12</v>
      </c>
      <c r="AM352" t="s">
        <v>12</v>
      </c>
      <c r="AN352" t="s">
        <v>12</v>
      </c>
      <c r="AO352" t="s">
        <v>12</v>
      </c>
    </row>
    <row r="353" spans="1:41" x14ac:dyDescent="0.35">
      <c r="A353">
        <v>16164562</v>
      </c>
      <c r="B353">
        <v>202507</v>
      </c>
      <c r="C353">
        <v>20600011813</v>
      </c>
      <c r="D353" t="s">
        <v>292</v>
      </c>
      <c r="E353" t="s">
        <v>1</v>
      </c>
      <c r="F353">
        <v>10249266</v>
      </c>
      <c r="G353" t="s">
        <v>65</v>
      </c>
      <c r="H353" t="s">
        <v>294</v>
      </c>
      <c r="I353">
        <v>52394.6484375</v>
      </c>
      <c r="J353" s="1">
        <v>45364</v>
      </c>
      <c r="K353">
        <v>14.5</v>
      </c>
      <c r="L353" t="s">
        <v>4</v>
      </c>
      <c r="M353" t="s">
        <v>4</v>
      </c>
      <c r="N353" t="s">
        <v>47</v>
      </c>
      <c r="O353">
        <v>202403</v>
      </c>
      <c r="P353">
        <v>85004.25</v>
      </c>
      <c r="Q353" t="s">
        <v>294</v>
      </c>
      <c r="R353" t="s">
        <v>295</v>
      </c>
      <c r="S353" t="s">
        <v>7</v>
      </c>
      <c r="T353" t="s">
        <v>8</v>
      </c>
      <c r="U353" t="s">
        <v>5</v>
      </c>
      <c r="V353">
        <v>1</v>
      </c>
      <c r="W353" t="s">
        <v>10</v>
      </c>
      <c r="X353" t="s">
        <v>12</v>
      </c>
      <c r="Y353">
        <v>1</v>
      </c>
      <c r="Z353">
        <v>1</v>
      </c>
      <c r="AA353">
        <v>0</v>
      </c>
      <c r="AB353">
        <v>0</v>
      </c>
      <c r="AC353">
        <v>1</v>
      </c>
      <c r="AD353">
        <v>1</v>
      </c>
      <c r="AE353">
        <v>0</v>
      </c>
      <c r="AF353" t="s">
        <v>12</v>
      </c>
      <c r="AG353" t="s">
        <v>12</v>
      </c>
      <c r="AH353" t="s">
        <v>12</v>
      </c>
      <c r="AI353" t="s">
        <v>12</v>
      </c>
      <c r="AJ353" t="s">
        <v>12</v>
      </c>
      <c r="AK353">
        <v>120000</v>
      </c>
      <c r="AL353">
        <v>0.21</v>
      </c>
      <c r="AM353">
        <v>0.19</v>
      </c>
      <c r="AN353" t="s">
        <v>12</v>
      </c>
      <c r="AO353" t="s">
        <v>12</v>
      </c>
    </row>
    <row r="354" spans="1:41" x14ac:dyDescent="0.35">
      <c r="A354">
        <v>1556729</v>
      </c>
      <c r="B354">
        <v>202502</v>
      </c>
      <c r="C354">
        <v>10083344232</v>
      </c>
      <c r="D354" t="s">
        <v>594</v>
      </c>
      <c r="E354">
        <v>8334423</v>
      </c>
      <c r="F354">
        <v>10245728</v>
      </c>
      <c r="G354" t="s">
        <v>92</v>
      </c>
      <c r="H354" t="s">
        <v>159</v>
      </c>
      <c r="I354">
        <v>18669.63671875</v>
      </c>
      <c r="J354" s="1">
        <v>45245</v>
      </c>
      <c r="K354">
        <v>19.2</v>
      </c>
      <c r="L354" t="s">
        <v>4</v>
      </c>
      <c r="M354" t="s">
        <v>4</v>
      </c>
      <c r="N354" t="s">
        <v>41</v>
      </c>
      <c r="O354">
        <v>202311</v>
      </c>
      <c r="P354">
        <v>40002</v>
      </c>
      <c r="Q354" t="s">
        <v>12</v>
      </c>
      <c r="R354" t="s">
        <v>12</v>
      </c>
      <c r="S354" t="s">
        <v>12</v>
      </c>
      <c r="T354" t="s">
        <v>12</v>
      </c>
      <c r="U354" t="s">
        <v>12</v>
      </c>
      <c r="V354" t="s">
        <v>12</v>
      </c>
      <c r="W354" t="s">
        <v>12</v>
      </c>
      <c r="X354" t="s">
        <v>12</v>
      </c>
      <c r="Y354" t="s">
        <v>12</v>
      </c>
      <c r="Z354" t="s">
        <v>12</v>
      </c>
      <c r="AA354" t="s">
        <v>12</v>
      </c>
      <c r="AB354" t="s">
        <v>12</v>
      </c>
      <c r="AC354" t="s">
        <v>12</v>
      </c>
      <c r="AD354" t="s">
        <v>12</v>
      </c>
      <c r="AE354" t="s">
        <v>12</v>
      </c>
      <c r="AF354" t="s">
        <v>12</v>
      </c>
      <c r="AG354" t="s">
        <v>12</v>
      </c>
      <c r="AH354" t="s">
        <v>12</v>
      </c>
      <c r="AI354" t="s">
        <v>12</v>
      </c>
      <c r="AJ354" t="s">
        <v>12</v>
      </c>
      <c r="AK354" t="s">
        <v>12</v>
      </c>
      <c r="AL354" t="s">
        <v>12</v>
      </c>
      <c r="AM354" t="s">
        <v>12</v>
      </c>
      <c r="AN354" t="s">
        <v>12</v>
      </c>
      <c r="AO354" t="s">
        <v>12</v>
      </c>
    </row>
    <row r="355" spans="1:41" x14ac:dyDescent="0.35">
      <c r="A355">
        <v>21200774</v>
      </c>
      <c r="B355">
        <v>202602</v>
      </c>
      <c r="C355">
        <v>10478770389</v>
      </c>
      <c r="D355" t="s">
        <v>595</v>
      </c>
      <c r="E355">
        <v>47877038</v>
      </c>
      <c r="F355">
        <v>10261148</v>
      </c>
      <c r="G355" t="s">
        <v>65</v>
      </c>
      <c r="H355" t="s">
        <v>159</v>
      </c>
      <c r="I355">
        <v>40739.16015625</v>
      </c>
      <c r="J355" s="1">
        <v>45562</v>
      </c>
      <c r="K355">
        <v>14.8</v>
      </c>
      <c r="L355" t="s">
        <v>37</v>
      </c>
      <c r="M355" t="s">
        <v>37</v>
      </c>
      <c r="N355" t="s">
        <v>47</v>
      </c>
      <c r="O355">
        <v>202409</v>
      </c>
      <c r="P355">
        <v>65956.25</v>
      </c>
      <c r="Q355" t="s">
        <v>12</v>
      </c>
      <c r="R355" t="s">
        <v>12</v>
      </c>
      <c r="S355" t="s">
        <v>12</v>
      </c>
      <c r="T355" t="s">
        <v>12</v>
      </c>
      <c r="U355" t="s">
        <v>196</v>
      </c>
      <c r="V355">
        <v>3</v>
      </c>
      <c r="W355" t="s">
        <v>90</v>
      </c>
      <c r="X355" t="s">
        <v>59</v>
      </c>
      <c r="Y355">
        <v>1</v>
      </c>
      <c r="Z355">
        <v>1</v>
      </c>
      <c r="AA355">
        <v>0</v>
      </c>
      <c r="AB355">
        <v>0</v>
      </c>
      <c r="AC355">
        <v>0</v>
      </c>
      <c r="AD355" t="s">
        <v>12</v>
      </c>
      <c r="AE355">
        <v>0</v>
      </c>
      <c r="AF355" t="s">
        <v>12</v>
      </c>
      <c r="AG355" t="s">
        <v>12</v>
      </c>
      <c r="AH355" t="s">
        <v>12</v>
      </c>
      <c r="AI355" t="s">
        <v>12</v>
      </c>
      <c r="AJ355" t="s">
        <v>12</v>
      </c>
      <c r="AK355" t="s">
        <v>12</v>
      </c>
      <c r="AL355" t="s">
        <v>12</v>
      </c>
      <c r="AM355" t="s">
        <v>12</v>
      </c>
      <c r="AN355" t="s">
        <v>269</v>
      </c>
      <c r="AO355" t="s">
        <v>270</v>
      </c>
    </row>
    <row r="356" spans="1:41" x14ac:dyDescent="0.35">
      <c r="A356">
        <v>21200774</v>
      </c>
      <c r="B356">
        <v>202602</v>
      </c>
      <c r="C356">
        <v>10478770389</v>
      </c>
      <c r="D356" t="s">
        <v>595</v>
      </c>
      <c r="E356">
        <v>47877038</v>
      </c>
      <c r="F356">
        <v>10261148</v>
      </c>
      <c r="G356" t="s">
        <v>65</v>
      </c>
      <c r="H356" t="s">
        <v>159</v>
      </c>
      <c r="I356">
        <v>40739.16015625</v>
      </c>
      <c r="J356" s="1">
        <v>45562</v>
      </c>
      <c r="K356">
        <v>14.8</v>
      </c>
      <c r="L356" t="s">
        <v>37</v>
      </c>
      <c r="M356" t="s">
        <v>37</v>
      </c>
      <c r="N356" t="s">
        <v>47</v>
      </c>
      <c r="O356">
        <v>202409</v>
      </c>
      <c r="P356">
        <v>65956.25</v>
      </c>
      <c r="Q356" t="s">
        <v>124</v>
      </c>
      <c r="R356" t="s">
        <v>125</v>
      </c>
      <c r="S356" t="s">
        <v>88</v>
      </c>
      <c r="T356" t="s">
        <v>89</v>
      </c>
      <c r="U356" t="s">
        <v>70</v>
      </c>
      <c r="V356">
        <v>2</v>
      </c>
      <c r="W356" t="s">
        <v>90</v>
      </c>
      <c r="X356" t="s">
        <v>59</v>
      </c>
      <c r="Y356">
        <v>1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12</v>
      </c>
      <c r="AG356" t="s">
        <v>12</v>
      </c>
      <c r="AH356" t="s">
        <v>12</v>
      </c>
      <c r="AI356" t="s">
        <v>12</v>
      </c>
      <c r="AJ356" t="s">
        <v>12</v>
      </c>
      <c r="AK356">
        <v>39000</v>
      </c>
      <c r="AL356">
        <v>0.2409</v>
      </c>
      <c r="AM356">
        <v>0.22090000000000001</v>
      </c>
      <c r="AN356" t="s">
        <v>12</v>
      </c>
      <c r="AO356" t="s">
        <v>12</v>
      </c>
    </row>
    <row r="357" spans="1:41" x14ac:dyDescent="0.35">
      <c r="A357">
        <v>19637101</v>
      </c>
      <c r="B357">
        <v>202509</v>
      </c>
      <c r="C357">
        <v>10272940121</v>
      </c>
      <c r="D357" t="s">
        <v>596</v>
      </c>
      <c r="E357">
        <v>27294012</v>
      </c>
      <c r="F357">
        <v>10258165</v>
      </c>
      <c r="G357" t="s">
        <v>53</v>
      </c>
      <c r="H357" t="s">
        <v>159</v>
      </c>
      <c r="I357">
        <v>49064.65625</v>
      </c>
      <c r="J357" s="1">
        <v>45503</v>
      </c>
      <c r="K357">
        <v>15.7</v>
      </c>
      <c r="L357" t="s">
        <v>4</v>
      </c>
      <c r="M357" t="s">
        <v>4</v>
      </c>
      <c r="N357" t="s">
        <v>47</v>
      </c>
      <c r="O357">
        <v>202407</v>
      </c>
      <c r="P357">
        <v>70213.5</v>
      </c>
      <c r="Q357" t="s">
        <v>12</v>
      </c>
      <c r="R357" t="s">
        <v>12</v>
      </c>
      <c r="S357" t="s">
        <v>12</v>
      </c>
      <c r="T357" t="s">
        <v>12</v>
      </c>
      <c r="U357" t="s">
        <v>41</v>
      </c>
      <c r="V357">
        <v>2</v>
      </c>
      <c r="W357" t="s">
        <v>10</v>
      </c>
      <c r="X357" t="s">
        <v>59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12</v>
      </c>
      <c r="AG357" t="s">
        <v>12</v>
      </c>
      <c r="AH357" t="s">
        <v>12</v>
      </c>
      <c r="AI357" t="s">
        <v>12</v>
      </c>
      <c r="AJ357" t="s">
        <v>12</v>
      </c>
      <c r="AK357">
        <v>200000</v>
      </c>
      <c r="AL357">
        <v>0.26</v>
      </c>
      <c r="AM357">
        <v>0.24</v>
      </c>
      <c r="AN357" t="s">
        <v>12</v>
      </c>
      <c r="AO357" t="s">
        <v>12</v>
      </c>
    </row>
    <row r="358" spans="1:41" x14ac:dyDescent="0.35">
      <c r="A358">
        <v>21456285</v>
      </c>
      <c r="B358">
        <v>202505</v>
      </c>
      <c r="C358">
        <v>20609908832</v>
      </c>
      <c r="D358" t="s">
        <v>597</v>
      </c>
      <c r="E358" t="s">
        <v>1</v>
      </c>
      <c r="F358">
        <v>10265011</v>
      </c>
      <c r="G358" t="s">
        <v>28</v>
      </c>
      <c r="H358" t="s">
        <v>129</v>
      </c>
      <c r="I358">
        <v>42997.5078125</v>
      </c>
      <c r="J358" s="1">
        <v>45687</v>
      </c>
      <c r="K358">
        <v>19.200001</v>
      </c>
      <c r="L358" t="s">
        <v>4</v>
      </c>
      <c r="M358" t="s">
        <v>4</v>
      </c>
      <c r="N358" t="s">
        <v>26</v>
      </c>
      <c r="O358">
        <v>202501</v>
      </c>
      <c r="P358">
        <v>50002.5</v>
      </c>
      <c r="Q358" t="s">
        <v>129</v>
      </c>
      <c r="R358" t="s">
        <v>130</v>
      </c>
      <c r="S358" t="s">
        <v>49</v>
      </c>
      <c r="T358" t="s">
        <v>50</v>
      </c>
      <c r="U358" t="s">
        <v>20</v>
      </c>
      <c r="V358">
        <v>1</v>
      </c>
      <c r="W358" t="s">
        <v>10</v>
      </c>
      <c r="X358" t="s">
        <v>12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12</v>
      </c>
      <c r="AG358" t="s">
        <v>12</v>
      </c>
      <c r="AH358" t="s">
        <v>12</v>
      </c>
      <c r="AI358" t="s">
        <v>12</v>
      </c>
      <c r="AJ358" t="s">
        <v>12</v>
      </c>
      <c r="AK358">
        <v>0</v>
      </c>
      <c r="AL358">
        <v>0</v>
      </c>
      <c r="AM358">
        <v>0.27079999999999999</v>
      </c>
      <c r="AN358" t="s">
        <v>12</v>
      </c>
      <c r="AO358" t="s">
        <v>12</v>
      </c>
    </row>
    <row r="359" spans="1:41" x14ac:dyDescent="0.35">
      <c r="A359">
        <v>21764698</v>
      </c>
      <c r="B359">
        <v>202601</v>
      </c>
      <c r="C359">
        <v>20605579486</v>
      </c>
      <c r="D359" t="s">
        <v>598</v>
      </c>
      <c r="E359" t="s">
        <v>1</v>
      </c>
      <c r="F359">
        <v>10269992</v>
      </c>
      <c r="G359" t="s">
        <v>268</v>
      </c>
      <c r="H359" t="s">
        <v>127</v>
      </c>
      <c r="I359">
        <v>23391.529296875</v>
      </c>
      <c r="J359" s="1">
        <v>45863</v>
      </c>
      <c r="K359">
        <v>22</v>
      </c>
      <c r="L359" t="s">
        <v>37</v>
      </c>
      <c r="M359" t="s">
        <v>37</v>
      </c>
      <c r="N359" t="s">
        <v>98</v>
      </c>
      <c r="O359">
        <v>202507</v>
      </c>
      <c r="P359">
        <v>70003.5</v>
      </c>
      <c r="Q359" t="s">
        <v>522</v>
      </c>
      <c r="R359" t="s">
        <v>523</v>
      </c>
      <c r="S359" t="s">
        <v>127</v>
      </c>
      <c r="T359" t="s">
        <v>147</v>
      </c>
      <c r="U359" t="s">
        <v>177</v>
      </c>
      <c r="V359">
        <v>1</v>
      </c>
      <c r="W359" t="s">
        <v>10</v>
      </c>
      <c r="X359" t="s">
        <v>51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12</v>
      </c>
      <c r="AG359" t="s">
        <v>12</v>
      </c>
      <c r="AH359" t="s">
        <v>12</v>
      </c>
      <c r="AI359" t="s">
        <v>12</v>
      </c>
      <c r="AJ359" t="s">
        <v>12</v>
      </c>
      <c r="AK359">
        <v>500000</v>
      </c>
      <c r="AL359">
        <v>0.22</v>
      </c>
      <c r="AM359">
        <v>0.2</v>
      </c>
      <c r="AN359" t="s">
        <v>12</v>
      </c>
      <c r="AO359" t="s">
        <v>12</v>
      </c>
    </row>
    <row r="360" spans="1:41" x14ac:dyDescent="0.35">
      <c r="A360">
        <v>20750632</v>
      </c>
      <c r="B360">
        <v>202601</v>
      </c>
      <c r="C360">
        <v>20602058264</v>
      </c>
      <c r="D360" t="s">
        <v>599</v>
      </c>
      <c r="E360" t="s">
        <v>1</v>
      </c>
      <c r="F360">
        <v>10270087</v>
      </c>
      <c r="G360" t="s">
        <v>92</v>
      </c>
      <c r="H360" t="s">
        <v>244</v>
      </c>
      <c r="I360">
        <v>82054.140625</v>
      </c>
      <c r="J360" s="1">
        <v>45869</v>
      </c>
      <c r="K360">
        <v>19</v>
      </c>
      <c r="L360" t="s">
        <v>4</v>
      </c>
      <c r="M360" t="s">
        <v>4</v>
      </c>
      <c r="N360" t="s">
        <v>41</v>
      </c>
      <c r="O360">
        <v>202507</v>
      </c>
      <c r="P360">
        <v>100005</v>
      </c>
      <c r="Q360" t="s">
        <v>244</v>
      </c>
      <c r="R360" t="s">
        <v>297</v>
      </c>
      <c r="S360" t="s">
        <v>7</v>
      </c>
      <c r="T360" t="s">
        <v>8</v>
      </c>
      <c r="U360" t="s">
        <v>63</v>
      </c>
      <c r="V360">
        <v>1</v>
      </c>
      <c r="W360" t="s">
        <v>21</v>
      </c>
      <c r="X360" t="s">
        <v>22</v>
      </c>
      <c r="Y360">
        <v>1</v>
      </c>
      <c r="Z360">
        <v>1</v>
      </c>
      <c r="AA360">
        <v>0</v>
      </c>
      <c r="AB360">
        <v>0</v>
      </c>
      <c r="AC360">
        <v>1</v>
      </c>
      <c r="AD360">
        <v>1</v>
      </c>
      <c r="AE360">
        <v>0</v>
      </c>
      <c r="AF360" t="s">
        <v>12</v>
      </c>
      <c r="AG360" t="s">
        <v>12</v>
      </c>
      <c r="AH360" t="s">
        <v>12</v>
      </c>
      <c r="AI360" t="s">
        <v>12</v>
      </c>
      <c r="AJ360" t="s">
        <v>12</v>
      </c>
      <c r="AK360">
        <v>250000</v>
      </c>
      <c r="AL360">
        <v>0.21</v>
      </c>
      <c r="AM360">
        <v>0.19</v>
      </c>
      <c r="AN360" t="s">
        <v>12</v>
      </c>
      <c r="AO360" t="s">
        <v>12</v>
      </c>
    </row>
    <row r="361" spans="1:41" x14ac:dyDescent="0.35">
      <c r="A361">
        <v>13415549</v>
      </c>
      <c r="B361">
        <v>202509</v>
      </c>
      <c r="C361">
        <v>10310450257</v>
      </c>
      <c r="D361" t="s">
        <v>600</v>
      </c>
      <c r="E361">
        <v>31045025</v>
      </c>
      <c r="F361">
        <v>10136478</v>
      </c>
      <c r="G361" t="s">
        <v>2</v>
      </c>
      <c r="H361" t="s">
        <v>273</v>
      </c>
      <c r="I361">
        <v>53687.14453125</v>
      </c>
      <c r="J361" s="1">
        <v>45616</v>
      </c>
      <c r="K361">
        <v>17</v>
      </c>
      <c r="L361" t="s">
        <v>4</v>
      </c>
      <c r="M361" t="s">
        <v>4</v>
      </c>
      <c r="N361" t="s">
        <v>5</v>
      </c>
      <c r="O361">
        <v>202411</v>
      </c>
      <c r="P361">
        <v>150007.5</v>
      </c>
      <c r="Q361" t="s">
        <v>273</v>
      </c>
      <c r="R361" t="s">
        <v>274</v>
      </c>
      <c r="S361" t="s">
        <v>39</v>
      </c>
      <c r="T361" t="s">
        <v>40</v>
      </c>
      <c r="U361" t="s">
        <v>20</v>
      </c>
      <c r="V361">
        <v>1</v>
      </c>
      <c r="W361" t="s">
        <v>10</v>
      </c>
      <c r="X361" t="s">
        <v>59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 t="s">
        <v>12</v>
      </c>
      <c r="AG361" t="s">
        <v>12</v>
      </c>
      <c r="AH361" t="s">
        <v>12</v>
      </c>
      <c r="AI361" t="s">
        <v>12</v>
      </c>
      <c r="AJ361" t="s">
        <v>12</v>
      </c>
      <c r="AK361">
        <v>1</v>
      </c>
      <c r="AL361">
        <v>1</v>
      </c>
      <c r="AM361" t="s">
        <v>12</v>
      </c>
      <c r="AN361" t="s">
        <v>12</v>
      </c>
      <c r="AO361" t="s">
        <v>12</v>
      </c>
    </row>
    <row r="362" spans="1:41" x14ac:dyDescent="0.35">
      <c r="A362">
        <v>21451975</v>
      </c>
      <c r="B362">
        <v>202512</v>
      </c>
      <c r="C362">
        <v>20605414193</v>
      </c>
      <c r="D362" t="s">
        <v>601</v>
      </c>
      <c r="E362" t="s">
        <v>1</v>
      </c>
      <c r="F362">
        <v>10264897</v>
      </c>
      <c r="G362" t="s">
        <v>14</v>
      </c>
      <c r="H362" t="s">
        <v>36</v>
      </c>
      <c r="I362">
        <v>85165.21875</v>
      </c>
      <c r="J362" s="1">
        <v>45686</v>
      </c>
      <c r="K362">
        <v>18.2</v>
      </c>
      <c r="L362" t="s">
        <v>37</v>
      </c>
      <c r="M362" t="s">
        <v>37</v>
      </c>
      <c r="N362" t="s">
        <v>16</v>
      </c>
      <c r="O362">
        <v>202501</v>
      </c>
      <c r="P362">
        <v>146007.29999999999</v>
      </c>
      <c r="Q362" t="s">
        <v>61</v>
      </c>
      <c r="R362" t="s">
        <v>62</v>
      </c>
      <c r="S362" t="s">
        <v>39</v>
      </c>
      <c r="T362" t="s">
        <v>40</v>
      </c>
      <c r="U362" t="s">
        <v>41</v>
      </c>
      <c r="V362">
        <v>1</v>
      </c>
      <c r="W362" t="s">
        <v>10</v>
      </c>
      <c r="X362" t="s">
        <v>22</v>
      </c>
      <c r="Y362">
        <v>1</v>
      </c>
      <c r="Z362">
        <v>1</v>
      </c>
      <c r="AA362">
        <v>0</v>
      </c>
      <c r="AB362">
        <v>0</v>
      </c>
      <c r="AC362">
        <v>1</v>
      </c>
      <c r="AD362">
        <v>1</v>
      </c>
      <c r="AE362">
        <v>0</v>
      </c>
      <c r="AF362" t="s">
        <v>12</v>
      </c>
      <c r="AG362" t="s">
        <v>12</v>
      </c>
      <c r="AH362" t="s">
        <v>12</v>
      </c>
      <c r="AI362" t="s">
        <v>12</v>
      </c>
      <c r="AJ362" t="s">
        <v>12</v>
      </c>
      <c r="AK362">
        <v>250000</v>
      </c>
      <c r="AL362">
        <v>0.21</v>
      </c>
      <c r="AM362">
        <v>0.19</v>
      </c>
      <c r="AN362" t="s">
        <v>12</v>
      </c>
      <c r="AO362" t="s">
        <v>12</v>
      </c>
    </row>
    <row r="363" spans="1:41" x14ac:dyDescent="0.35">
      <c r="A363">
        <v>18931525</v>
      </c>
      <c r="B363">
        <v>202510</v>
      </c>
      <c r="C363">
        <v>20606056401</v>
      </c>
      <c r="D363" t="s">
        <v>602</v>
      </c>
      <c r="E363" t="s">
        <v>1</v>
      </c>
      <c r="F363">
        <v>10252836</v>
      </c>
      <c r="G363" t="s">
        <v>45</v>
      </c>
      <c r="H363" t="s">
        <v>603</v>
      </c>
      <c r="I363">
        <v>51867.47265625</v>
      </c>
      <c r="J363" s="1">
        <v>45427</v>
      </c>
      <c r="K363">
        <v>14.9</v>
      </c>
      <c r="L363" t="s">
        <v>4</v>
      </c>
      <c r="M363" t="s">
        <v>4</v>
      </c>
      <c r="N363" t="s">
        <v>47</v>
      </c>
      <c r="O363">
        <v>202405</v>
      </c>
      <c r="P363">
        <v>90004.5</v>
      </c>
      <c r="Q363" t="s">
        <v>15</v>
      </c>
      <c r="R363" t="s">
        <v>17</v>
      </c>
      <c r="S363" t="s">
        <v>18</v>
      </c>
      <c r="T363" t="s">
        <v>122</v>
      </c>
      <c r="U363" t="s">
        <v>20</v>
      </c>
      <c r="V363">
        <v>1</v>
      </c>
      <c r="W363" t="s">
        <v>10</v>
      </c>
      <c r="X363" t="s">
        <v>12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12</v>
      </c>
      <c r="AG363" t="s">
        <v>12</v>
      </c>
      <c r="AH363" t="s">
        <v>12</v>
      </c>
      <c r="AI363" t="s">
        <v>12</v>
      </c>
      <c r="AJ363" t="s">
        <v>12</v>
      </c>
      <c r="AK363">
        <v>1</v>
      </c>
      <c r="AL363">
        <v>1</v>
      </c>
      <c r="AM363" t="s">
        <v>12</v>
      </c>
      <c r="AN363" t="s">
        <v>12</v>
      </c>
      <c r="AO363" t="s">
        <v>12</v>
      </c>
    </row>
    <row r="364" spans="1:41" x14ac:dyDescent="0.35">
      <c r="A364">
        <v>18933613</v>
      </c>
      <c r="B364">
        <v>202602</v>
      </c>
      <c r="C364">
        <v>20601718929</v>
      </c>
      <c r="D364" t="s">
        <v>604</v>
      </c>
      <c r="E364" t="s">
        <v>1</v>
      </c>
      <c r="F364">
        <v>10267852</v>
      </c>
      <c r="G364" t="s">
        <v>92</v>
      </c>
      <c r="H364" t="s">
        <v>3</v>
      </c>
      <c r="I364">
        <v>211632.890625</v>
      </c>
      <c r="J364" s="1">
        <v>45793</v>
      </c>
      <c r="K364">
        <v>16.2</v>
      </c>
      <c r="L364" t="s">
        <v>4</v>
      </c>
      <c r="M364" t="s">
        <v>4</v>
      </c>
      <c r="N364" t="s">
        <v>41</v>
      </c>
      <c r="O364">
        <v>202505</v>
      </c>
      <c r="P364">
        <v>387358.83</v>
      </c>
      <c r="Q364" t="s">
        <v>3</v>
      </c>
      <c r="R364" t="s">
        <v>6</v>
      </c>
      <c r="S364" t="s">
        <v>7</v>
      </c>
      <c r="T364" t="s">
        <v>8</v>
      </c>
      <c r="U364" t="s">
        <v>63</v>
      </c>
      <c r="V364">
        <v>1</v>
      </c>
      <c r="W364" t="s">
        <v>10</v>
      </c>
      <c r="X364" t="s">
        <v>22</v>
      </c>
      <c r="Y364">
        <v>1</v>
      </c>
      <c r="Z364">
        <v>1</v>
      </c>
      <c r="AA364">
        <v>0</v>
      </c>
      <c r="AB364">
        <v>0</v>
      </c>
      <c r="AC364">
        <v>1</v>
      </c>
      <c r="AD364">
        <v>1</v>
      </c>
      <c r="AE364">
        <v>0</v>
      </c>
      <c r="AF364" t="s">
        <v>12</v>
      </c>
      <c r="AG364" t="s">
        <v>12</v>
      </c>
      <c r="AH364" t="s">
        <v>12</v>
      </c>
      <c r="AI364" t="s">
        <v>12</v>
      </c>
      <c r="AJ364" t="s">
        <v>12</v>
      </c>
      <c r="AK364">
        <v>120000</v>
      </c>
      <c r="AL364">
        <v>0.21</v>
      </c>
      <c r="AM364">
        <v>0.19</v>
      </c>
      <c r="AN364" t="s">
        <v>12</v>
      </c>
      <c r="AO364" t="s">
        <v>12</v>
      </c>
    </row>
    <row r="365" spans="1:41" x14ac:dyDescent="0.35">
      <c r="A365">
        <v>13378705</v>
      </c>
      <c r="B365">
        <v>202511</v>
      </c>
      <c r="C365">
        <v>10457099121</v>
      </c>
      <c r="D365" t="s">
        <v>605</v>
      </c>
      <c r="E365">
        <v>45709912</v>
      </c>
      <c r="F365">
        <v>10261373</v>
      </c>
      <c r="G365" t="s">
        <v>45</v>
      </c>
      <c r="H365" t="s">
        <v>606</v>
      </c>
      <c r="I365">
        <v>29959.251953125</v>
      </c>
      <c r="J365" s="1">
        <v>45569</v>
      </c>
      <c r="K365">
        <v>14.5</v>
      </c>
      <c r="L365" t="s">
        <v>37</v>
      </c>
      <c r="M365" t="s">
        <v>37</v>
      </c>
      <c r="N365" t="s">
        <v>47</v>
      </c>
      <c r="O365">
        <v>202410</v>
      </c>
      <c r="P365">
        <v>90004.5</v>
      </c>
      <c r="Q365" t="s">
        <v>606</v>
      </c>
      <c r="R365" t="s">
        <v>607</v>
      </c>
      <c r="S365" t="s">
        <v>127</v>
      </c>
      <c r="T365" t="s">
        <v>147</v>
      </c>
      <c r="U365" t="s">
        <v>20</v>
      </c>
      <c r="V365">
        <v>1</v>
      </c>
      <c r="W365" t="s">
        <v>90</v>
      </c>
      <c r="X365" t="s">
        <v>59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12</v>
      </c>
      <c r="AG365" t="s">
        <v>12</v>
      </c>
      <c r="AH365" t="s">
        <v>12</v>
      </c>
      <c r="AI365" t="s">
        <v>12</v>
      </c>
      <c r="AJ365" t="s">
        <v>12</v>
      </c>
      <c r="AK365">
        <v>1</v>
      </c>
      <c r="AL365">
        <v>1</v>
      </c>
      <c r="AM365" t="s">
        <v>12</v>
      </c>
      <c r="AN365" t="s">
        <v>12</v>
      </c>
      <c r="AO365" t="s">
        <v>12</v>
      </c>
    </row>
    <row r="366" spans="1:41" x14ac:dyDescent="0.35">
      <c r="A366">
        <v>16243994</v>
      </c>
      <c r="B366">
        <v>202601</v>
      </c>
      <c r="C366">
        <v>20600753488</v>
      </c>
      <c r="D366" t="s">
        <v>608</v>
      </c>
      <c r="E366" t="s">
        <v>1</v>
      </c>
      <c r="F366">
        <v>10273960</v>
      </c>
      <c r="G366" t="s">
        <v>24</v>
      </c>
      <c r="H366" t="s">
        <v>240</v>
      </c>
      <c r="I366">
        <v>337277.28125</v>
      </c>
      <c r="J366" s="1">
        <v>46007</v>
      </c>
      <c r="K366">
        <v>15</v>
      </c>
      <c r="L366" t="s">
        <v>4</v>
      </c>
      <c r="M366" t="s">
        <v>4</v>
      </c>
      <c r="N366" t="s">
        <v>26</v>
      </c>
      <c r="O366">
        <v>202512</v>
      </c>
      <c r="P366">
        <v>350017.5</v>
      </c>
      <c r="Q366" t="s">
        <v>240</v>
      </c>
      <c r="R366" t="s">
        <v>241</v>
      </c>
      <c r="S366" t="s">
        <v>39</v>
      </c>
      <c r="T366" t="s">
        <v>40</v>
      </c>
      <c r="U366" t="s">
        <v>20</v>
      </c>
      <c r="V366">
        <v>1</v>
      </c>
      <c r="W366" t="s">
        <v>21</v>
      </c>
      <c r="X366" t="s">
        <v>59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12</v>
      </c>
      <c r="AG366" t="s">
        <v>12</v>
      </c>
      <c r="AH366" t="s">
        <v>12</v>
      </c>
      <c r="AI366" t="s">
        <v>12</v>
      </c>
      <c r="AJ366" t="s">
        <v>12</v>
      </c>
      <c r="AK366">
        <v>1</v>
      </c>
      <c r="AL366">
        <v>1</v>
      </c>
      <c r="AM366">
        <v>0.24</v>
      </c>
      <c r="AN366" t="s">
        <v>12</v>
      </c>
      <c r="AO366" t="s">
        <v>12</v>
      </c>
    </row>
    <row r="367" spans="1:41" x14ac:dyDescent="0.35">
      <c r="A367">
        <v>21153359</v>
      </c>
      <c r="B367">
        <v>202510</v>
      </c>
      <c r="C367">
        <v>20514504262</v>
      </c>
      <c r="D367" t="s">
        <v>609</v>
      </c>
      <c r="E367" t="s">
        <v>1</v>
      </c>
      <c r="F367">
        <v>10260306</v>
      </c>
      <c r="G367" t="s">
        <v>65</v>
      </c>
      <c r="H367" t="s">
        <v>422</v>
      </c>
      <c r="I367">
        <v>66278.078125</v>
      </c>
      <c r="J367" s="1">
        <v>45548</v>
      </c>
      <c r="K367">
        <v>14.5</v>
      </c>
      <c r="L367" t="s">
        <v>37</v>
      </c>
      <c r="M367" t="s">
        <v>37</v>
      </c>
      <c r="N367" t="s">
        <v>47</v>
      </c>
      <c r="O367">
        <v>202409</v>
      </c>
      <c r="P367">
        <v>90004.5</v>
      </c>
      <c r="Q367" t="s">
        <v>422</v>
      </c>
      <c r="R367" t="s">
        <v>424</v>
      </c>
      <c r="S367" t="s">
        <v>88</v>
      </c>
      <c r="T367" t="s">
        <v>89</v>
      </c>
      <c r="U367" t="s">
        <v>20</v>
      </c>
      <c r="V367">
        <v>2</v>
      </c>
      <c r="W367" t="s">
        <v>10</v>
      </c>
      <c r="X367" t="s">
        <v>12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12</v>
      </c>
      <c r="AG367" t="s">
        <v>12</v>
      </c>
      <c r="AH367" t="s">
        <v>12</v>
      </c>
      <c r="AI367" t="s">
        <v>12</v>
      </c>
      <c r="AJ367" t="s">
        <v>12</v>
      </c>
      <c r="AK367">
        <v>1</v>
      </c>
      <c r="AL367">
        <v>1</v>
      </c>
      <c r="AM367" t="s">
        <v>12</v>
      </c>
      <c r="AN367" t="s">
        <v>12</v>
      </c>
      <c r="AO367" t="s">
        <v>12</v>
      </c>
    </row>
    <row r="368" spans="1:41" x14ac:dyDescent="0.35">
      <c r="A368">
        <v>19505849</v>
      </c>
      <c r="B368">
        <v>202510</v>
      </c>
      <c r="C368">
        <v>20602841465</v>
      </c>
      <c r="D368" t="s">
        <v>610</v>
      </c>
      <c r="E368" t="s">
        <v>1</v>
      </c>
      <c r="F368">
        <v>10253500</v>
      </c>
      <c r="G368" t="s">
        <v>53</v>
      </c>
      <c r="H368" t="s">
        <v>338</v>
      </c>
      <c r="I368">
        <v>9004.5</v>
      </c>
      <c r="J368" s="1">
        <v>45436</v>
      </c>
      <c r="K368">
        <v>17.899999999999999</v>
      </c>
      <c r="L368" t="s">
        <v>4</v>
      </c>
      <c r="M368" t="s">
        <v>4</v>
      </c>
      <c r="N368" t="s">
        <v>47</v>
      </c>
      <c r="O368">
        <v>202405</v>
      </c>
      <c r="P368">
        <v>90004.5</v>
      </c>
      <c r="Q368" t="s">
        <v>12</v>
      </c>
      <c r="R368" t="s">
        <v>12</v>
      </c>
      <c r="S368" t="s">
        <v>12</v>
      </c>
      <c r="T368" t="s">
        <v>12</v>
      </c>
      <c r="U368" t="s">
        <v>12</v>
      </c>
      <c r="V368" t="s">
        <v>12</v>
      </c>
      <c r="W368" t="s">
        <v>12</v>
      </c>
      <c r="X368" t="s">
        <v>12</v>
      </c>
      <c r="Y368" t="s">
        <v>12</v>
      </c>
      <c r="Z368" t="s">
        <v>12</v>
      </c>
      <c r="AA368" t="s">
        <v>12</v>
      </c>
      <c r="AB368" t="s">
        <v>12</v>
      </c>
      <c r="AC368" t="s">
        <v>12</v>
      </c>
      <c r="AD368" t="s">
        <v>12</v>
      </c>
      <c r="AE368" t="s">
        <v>12</v>
      </c>
      <c r="AF368" t="s">
        <v>12</v>
      </c>
      <c r="AG368" t="s">
        <v>12</v>
      </c>
      <c r="AH368" t="s">
        <v>12</v>
      </c>
      <c r="AI368" t="s">
        <v>12</v>
      </c>
      <c r="AJ368" t="s">
        <v>12</v>
      </c>
      <c r="AK368" t="s">
        <v>12</v>
      </c>
      <c r="AL368" t="s">
        <v>12</v>
      </c>
      <c r="AM368" t="s">
        <v>12</v>
      </c>
      <c r="AN368" t="s">
        <v>12</v>
      </c>
      <c r="AO368" t="s">
        <v>12</v>
      </c>
    </row>
    <row r="369" spans="1:41" x14ac:dyDescent="0.35">
      <c r="A369">
        <v>14159659</v>
      </c>
      <c r="B369">
        <v>202510</v>
      </c>
      <c r="C369">
        <v>10425900515</v>
      </c>
      <c r="D369" t="s">
        <v>611</v>
      </c>
      <c r="E369">
        <v>42590051</v>
      </c>
      <c r="F369">
        <v>10264825</v>
      </c>
      <c r="G369" t="s">
        <v>24</v>
      </c>
      <c r="H369" t="s">
        <v>612</v>
      </c>
      <c r="I369">
        <v>17973.224609375</v>
      </c>
      <c r="J369" s="1">
        <v>45684</v>
      </c>
      <c r="K369">
        <v>24</v>
      </c>
      <c r="L369" t="s">
        <v>37</v>
      </c>
      <c r="M369" t="s">
        <v>37</v>
      </c>
      <c r="N369" t="s">
        <v>98</v>
      </c>
      <c r="O369">
        <v>202501</v>
      </c>
      <c r="P369">
        <v>30001.5</v>
      </c>
      <c r="Q369" t="s">
        <v>12</v>
      </c>
      <c r="R369" t="s">
        <v>12</v>
      </c>
      <c r="S369" t="s">
        <v>12</v>
      </c>
      <c r="T369" t="s">
        <v>12</v>
      </c>
      <c r="U369" t="s">
        <v>12</v>
      </c>
      <c r="V369" t="s">
        <v>12</v>
      </c>
      <c r="W369" t="s">
        <v>12</v>
      </c>
      <c r="X369" t="s">
        <v>12</v>
      </c>
      <c r="Y369" t="s">
        <v>12</v>
      </c>
      <c r="Z369" t="s">
        <v>12</v>
      </c>
      <c r="AA369" t="s">
        <v>12</v>
      </c>
      <c r="AB369" t="s">
        <v>12</v>
      </c>
      <c r="AC369" t="s">
        <v>12</v>
      </c>
      <c r="AD369" t="s">
        <v>12</v>
      </c>
      <c r="AE369" t="s">
        <v>12</v>
      </c>
      <c r="AF369" t="s">
        <v>12</v>
      </c>
      <c r="AG369" t="s">
        <v>12</v>
      </c>
      <c r="AH369" t="s">
        <v>12</v>
      </c>
      <c r="AI369" t="s">
        <v>12</v>
      </c>
      <c r="AJ369" t="s">
        <v>12</v>
      </c>
      <c r="AK369" t="s">
        <v>12</v>
      </c>
      <c r="AL369" t="s">
        <v>12</v>
      </c>
      <c r="AM369" t="s">
        <v>12</v>
      </c>
      <c r="AN369" t="s">
        <v>12</v>
      </c>
      <c r="AO369" t="s">
        <v>12</v>
      </c>
    </row>
    <row r="370" spans="1:41" x14ac:dyDescent="0.35">
      <c r="A370">
        <v>12082431</v>
      </c>
      <c r="B370">
        <v>202506</v>
      </c>
      <c r="C370">
        <v>10005148621</v>
      </c>
      <c r="D370" t="s">
        <v>613</v>
      </c>
      <c r="E370">
        <v>514862</v>
      </c>
      <c r="F370">
        <v>10251690</v>
      </c>
      <c r="G370" t="s">
        <v>53</v>
      </c>
      <c r="H370" t="s">
        <v>159</v>
      </c>
      <c r="I370">
        <v>62866.14453125</v>
      </c>
      <c r="J370" s="1">
        <v>45407</v>
      </c>
      <c r="K370">
        <v>15.5</v>
      </c>
      <c r="L370" t="s">
        <v>4</v>
      </c>
      <c r="M370" t="s">
        <v>4</v>
      </c>
      <c r="N370" t="s">
        <v>47</v>
      </c>
      <c r="O370">
        <v>202404</v>
      </c>
      <c r="P370">
        <v>90004.5</v>
      </c>
      <c r="Q370" t="s">
        <v>12</v>
      </c>
      <c r="R370" t="s">
        <v>12</v>
      </c>
      <c r="S370" t="s">
        <v>12</v>
      </c>
      <c r="T370" t="s">
        <v>12</v>
      </c>
      <c r="U370" t="s">
        <v>12</v>
      </c>
      <c r="V370" t="s">
        <v>12</v>
      </c>
      <c r="W370" t="s">
        <v>12</v>
      </c>
      <c r="X370" t="s">
        <v>12</v>
      </c>
      <c r="Y370" t="s">
        <v>12</v>
      </c>
      <c r="Z370" t="s">
        <v>12</v>
      </c>
      <c r="AA370" t="s">
        <v>12</v>
      </c>
      <c r="AB370" t="s">
        <v>12</v>
      </c>
      <c r="AC370" t="s">
        <v>12</v>
      </c>
      <c r="AD370" t="s">
        <v>12</v>
      </c>
      <c r="AE370" t="s">
        <v>12</v>
      </c>
      <c r="AF370" t="s">
        <v>12</v>
      </c>
      <c r="AG370" t="s">
        <v>12</v>
      </c>
      <c r="AH370" t="s">
        <v>12</v>
      </c>
      <c r="AI370" t="s">
        <v>12</v>
      </c>
      <c r="AJ370" t="s">
        <v>12</v>
      </c>
      <c r="AK370" t="s">
        <v>12</v>
      </c>
      <c r="AL370" t="s">
        <v>12</v>
      </c>
      <c r="AM370" t="s">
        <v>12</v>
      </c>
      <c r="AN370" t="s">
        <v>12</v>
      </c>
      <c r="AO370" t="s">
        <v>12</v>
      </c>
    </row>
    <row r="371" spans="1:41" x14ac:dyDescent="0.35">
      <c r="A371">
        <v>20215147</v>
      </c>
      <c r="B371">
        <v>202502</v>
      </c>
      <c r="C371">
        <v>20607675741</v>
      </c>
      <c r="D371" t="s">
        <v>614</v>
      </c>
      <c r="E371" t="s">
        <v>1</v>
      </c>
      <c r="F371">
        <v>10243085</v>
      </c>
      <c r="G371" t="s">
        <v>28</v>
      </c>
      <c r="H371" t="s">
        <v>472</v>
      </c>
      <c r="I371">
        <v>12892.591796875</v>
      </c>
      <c r="J371" s="1">
        <v>45163</v>
      </c>
      <c r="K371">
        <v>21</v>
      </c>
      <c r="L371" t="s">
        <v>4</v>
      </c>
      <c r="M371" t="s">
        <v>4</v>
      </c>
      <c r="N371" t="s">
        <v>26</v>
      </c>
      <c r="O371">
        <v>202308</v>
      </c>
      <c r="P371">
        <v>200010</v>
      </c>
      <c r="Q371" t="s">
        <v>472</v>
      </c>
      <c r="R371" t="s">
        <v>615</v>
      </c>
      <c r="S371" t="s">
        <v>127</v>
      </c>
      <c r="T371" t="s">
        <v>147</v>
      </c>
      <c r="U371" t="s">
        <v>41</v>
      </c>
      <c r="V371">
        <v>1</v>
      </c>
      <c r="W371" t="s">
        <v>10</v>
      </c>
      <c r="X371" t="s">
        <v>12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12</v>
      </c>
      <c r="AG371" t="s">
        <v>12</v>
      </c>
      <c r="AH371" t="s">
        <v>12</v>
      </c>
      <c r="AI371" t="s">
        <v>12</v>
      </c>
      <c r="AJ371" t="s">
        <v>12</v>
      </c>
      <c r="AK371">
        <v>224445</v>
      </c>
      <c r="AL371">
        <v>0.18</v>
      </c>
      <c r="AM371">
        <v>0.1628</v>
      </c>
      <c r="AN371" t="s">
        <v>12</v>
      </c>
      <c r="AO371" t="s">
        <v>12</v>
      </c>
    </row>
    <row r="372" spans="1:41" x14ac:dyDescent="0.35">
      <c r="A372">
        <v>15368104</v>
      </c>
      <c r="B372">
        <v>202509</v>
      </c>
      <c r="C372">
        <v>20520929909</v>
      </c>
      <c r="D372" t="s">
        <v>616</v>
      </c>
      <c r="E372" t="s">
        <v>1</v>
      </c>
      <c r="F372">
        <v>10182502</v>
      </c>
      <c r="G372" t="s">
        <v>199</v>
      </c>
      <c r="H372" t="s">
        <v>617</v>
      </c>
      <c r="I372">
        <v>4081.51806640625</v>
      </c>
      <c r="J372" t="s">
        <v>12</v>
      </c>
      <c r="K372" t="s">
        <v>12</v>
      </c>
      <c r="L372" t="s">
        <v>12</v>
      </c>
      <c r="M372" t="s">
        <v>12</v>
      </c>
      <c r="N372" t="s">
        <v>12</v>
      </c>
      <c r="O372" t="s">
        <v>12</v>
      </c>
      <c r="P372" t="s">
        <v>12</v>
      </c>
      <c r="Q372" t="s">
        <v>12</v>
      </c>
      <c r="R372" t="s">
        <v>12</v>
      </c>
      <c r="S372" t="s">
        <v>12</v>
      </c>
      <c r="T372" t="s">
        <v>12</v>
      </c>
      <c r="U372" t="s">
        <v>12</v>
      </c>
      <c r="V372" t="s">
        <v>12</v>
      </c>
      <c r="W372" t="s">
        <v>12</v>
      </c>
      <c r="X372" t="s">
        <v>12</v>
      </c>
      <c r="Y372" t="s">
        <v>12</v>
      </c>
      <c r="Z372" t="s">
        <v>12</v>
      </c>
      <c r="AA372" t="s">
        <v>12</v>
      </c>
      <c r="AB372" t="s">
        <v>12</v>
      </c>
      <c r="AC372" t="s">
        <v>12</v>
      </c>
      <c r="AD372" t="s">
        <v>12</v>
      </c>
      <c r="AE372" t="s">
        <v>12</v>
      </c>
      <c r="AF372" t="s">
        <v>12</v>
      </c>
      <c r="AG372" t="s">
        <v>12</v>
      </c>
      <c r="AH372" t="s">
        <v>12</v>
      </c>
      <c r="AI372" t="s">
        <v>12</v>
      </c>
      <c r="AJ372" t="s">
        <v>12</v>
      </c>
      <c r="AK372" t="s">
        <v>12</v>
      </c>
      <c r="AL372" t="s">
        <v>12</v>
      </c>
      <c r="AM372" t="s">
        <v>12</v>
      </c>
      <c r="AN372" t="s">
        <v>12</v>
      </c>
      <c r="AO372" t="s">
        <v>12</v>
      </c>
    </row>
    <row r="373" spans="1:41" x14ac:dyDescent="0.35">
      <c r="A373">
        <v>12179029</v>
      </c>
      <c r="B373">
        <v>202507</v>
      </c>
      <c r="C373">
        <v>10094664646</v>
      </c>
      <c r="D373" t="s">
        <v>618</v>
      </c>
      <c r="E373">
        <v>9466464</v>
      </c>
      <c r="F373">
        <v>10201858</v>
      </c>
      <c r="G373" t="s">
        <v>199</v>
      </c>
      <c r="H373" t="s">
        <v>619</v>
      </c>
      <c r="I373">
        <v>11766.4853515625</v>
      </c>
      <c r="J373" t="s">
        <v>12</v>
      </c>
      <c r="K373" t="s">
        <v>12</v>
      </c>
      <c r="L373" t="s">
        <v>12</v>
      </c>
      <c r="M373" t="s">
        <v>12</v>
      </c>
      <c r="N373" t="s">
        <v>12</v>
      </c>
      <c r="O373" t="s">
        <v>12</v>
      </c>
      <c r="P373" t="s">
        <v>12</v>
      </c>
      <c r="Q373" t="s">
        <v>12</v>
      </c>
      <c r="R373" t="s">
        <v>12</v>
      </c>
      <c r="S373" t="s">
        <v>12</v>
      </c>
      <c r="T373" t="s">
        <v>12</v>
      </c>
      <c r="U373" t="s">
        <v>12</v>
      </c>
      <c r="V373" t="s">
        <v>12</v>
      </c>
      <c r="W373" t="s">
        <v>12</v>
      </c>
      <c r="X373" t="s">
        <v>12</v>
      </c>
      <c r="Y373" t="s">
        <v>12</v>
      </c>
      <c r="Z373" t="s">
        <v>12</v>
      </c>
      <c r="AA373" t="s">
        <v>12</v>
      </c>
      <c r="AB373" t="s">
        <v>12</v>
      </c>
      <c r="AC373" t="s">
        <v>12</v>
      </c>
      <c r="AD373" t="s">
        <v>12</v>
      </c>
      <c r="AE373" t="s">
        <v>12</v>
      </c>
      <c r="AF373" t="s">
        <v>12</v>
      </c>
      <c r="AG373" t="s">
        <v>12</v>
      </c>
      <c r="AH373" t="s">
        <v>12</v>
      </c>
      <c r="AI373" t="s">
        <v>12</v>
      </c>
      <c r="AJ373" t="s">
        <v>12</v>
      </c>
      <c r="AK373" t="s">
        <v>12</v>
      </c>
      <c r="AL373" t="s">
        <v>12</v>
      </c>
      <c r="AM373" t="s">
        <v>12</v>
      </c>
      <c r="AN373" t="s">
        <v>12</v>
      </c>
      <c r="AO373" t="s">
        <v>12</v>
      </c>
    </row>
    <row r="374" spans="1:41" x14ac:dyDescent="0.35">
      <c r="A374">
        <v>11872918</v>
      </c>
      <c r="B374">
        <v>202507</v>
      </c>
      <c r="C374">
        <v>20473933293</v>
      </c>
      <c r="D374" t="s">
        <v>620</v>
      </c>
      <c r="E374" t="s">
        <v>1</v>
      </c>
      <c r="F374">
        <v>10172466</v>
      </c>
      <c r="G374" t="s">
        <v>2</v>
      </c>
      <c r="H374" t="s">
        <v>257</v>
      </c>
      <c r="I374">
        <v>125915.90625</v>
      </c>
      <c r="J374" s="1">
        <v>45686</v>
      </c>
      <c r="K374">
        <v>19.93</v>
      </c>
      <c r="L374" t="s">
        <v>4</v>
      </c>
      <c r="M374" t="s">
        <v>4</v>
      </c>
      <c r="N374" t="s">
        <v>5</v>
      </c>
      <c r="O374">
        <v>202501</v>
      </c>
      <c r="P374">
        <v>180009</v>
      </c>
      <c r="Q374" t="s">
        <v>257</v>
      </c>
      <c r="R374" t="s">
        <v>258</v>
      </c>
      <c r="S374" t="s">
        <v>49</v>
      </c>
      <c r="T374" t="s">
        <v>50</v>
      </c>
      <c r="U374" t="s">
        <v>5</v>
      </c>
      <c r="V374">
        <v>1</v>
      </c>
      <c r="W374" t="s">
        <v>10</v>
      </c>
      <c r="X374" t="s">
        <v>12</v>
      </c>
      <c r="Y374">
        <v>1</v>
      </c>
      <c r="Z374">
        <v>1</v>
      </c>
      <c r="AA374">
        <v>0</v>
      </c>
      <c r="AB374">
        <v>0</v>
      </c>
      <c r="AC374">
        <v>1</v>
      </c>
      <c r="AD374">
        <v>1</v>
      </c>
      <c r="AE374">
        <v>0</v>
      </c>
      <c r="AF374" t="s">
        <v>12</v>
      </c>
      <c r="AG374" t="s">
        <v>12</v>
      </c>
      <c r="AH374" t="s">
        <v>12</v>
      </c>
      <c r="AI374" t="s">
        <v>12</v>
      </c>
      <c r="AJ374" t="s">
        <v>12</v>
      </c>
      <c r="AK374">
        <v>24900</v>
      </c>
      <c r="AL374">
        <v>0.21</v>
      </c>
      <c r="AM374">
        <v>0.19</v>
      </c>
      <c r="AN374" t="s">
        <v>12</v>
      </c>
      <c r="AO374" t="s">
        <v>12</v>
      </c>
    </row>
    <row r="375" spans="1:41" x14ac:dyDescent="0.35">
      <c r="A375">
        <v>11364939</v>
      </c>
      <c r="B375">
        <v>202509</v>
      </c>
      <c r="C375">
        <v>20480109466</v>
      </c>
      <c r="D375" t="s">
        <v>621</v>
      </c>
      <c r="E375" t="s">
        <v>1</v>
      </c>
      <c r="F375">
        <v>10176398</v>
      </c>
      <c r="G375" t="s">
        <v>2</v>
      </c>
      <c r="H375" t="s">
        <v>220</v>
      </c>
      <c r="I375">
        <v>165706.28125</v>
      </c>
      <c r="J375" s="1">
        <v>45981</v>
      </c>
      <c r="K375">
        <v>16</v>
      </c>
      <c r="L375" t="s">
        <v>4</v>
      </c>
      <c r="M375" t="s">
        <v>4</v>
      </c>
      <c r="N375" t="s">
        <v>5</v>
      </c>
      <c r="O375">
        <v>202511</v>
      </c>
      <c r="P375">
        <v>170008.5</v>
      </c>
      <c r="Q375" t="s">
        <v>12</v>
      </c>
      <c r="R375" t="s">
        <v>12</v>
      </c>
      <c r="S375" t="s">
        <v>12</v>
      </c>
      <c r="T375" t="s">
        <v>12</v>
      </c>
      <c r="U375" t="s">
        <v>12</v>
      </c>
      <c r="V375" t="s">
        <v>12</v>
      </c>
      <c r="W375" t="s">
        <v>12</v>
      </c>
      <c r="X375" t="s">
        <v>12</v>
      </c>
      <c r="Y375" t="s">
        <v>12</v>
      </c>
      <c r="Z375" t="s">
        <v>12</v>
      </c>
      <c r="AA375" t="s">
        <v>12</v>
      </c>
      <c r="AB375" t="s">
        <v>12</v>
      </c>
      <c r="AC375" t="s">
        <v>12</v>
      </c>
      <c r="AD375" t="s">
        <v>12</v>
      </c>
      <c r="AE375" t="s">
        <v>12</v>
      </c>
      <c r="AF375" t="s">
        <v>12</v>
      </c>
      <c r="AG375" t="s">
        <v>12</v>
      </c>
      <c r="AH375" t="s">
        <v>12</v>
      </c>
      <c r="AI375" t="s">
        <v>12</v>
      </c>
      <c r="AJ375" t="s">
        <v>12</v>
      </c>
      <c r="AK375" t="s">
        <v>12</v>
      </c>
      <c r="AL375" t="s">
        <v>12</v>
      </c>
      <c r="AM375" t="s">
        <v>12</v>
      </c>
      <c r="AN375" t="s">
        <v>12</v>
      </c>
      <c r="AO375" t="s">
        <v>12</v>
      </c>
    </row>
    <row r="376" spans="1:41" x14ac:dyDescent="0.35">
      <c r="A376">
        <v>21443805</v>
      </c>
      <c r="B376">
        <v>202505</v>
      </c>
      <c r="C376">
        <v>20393749513</v>
      </c>
      <c r="D376" t="s">
        <v>622</v>
      </c>
      <c r="E376" t="s">
        <v>1</v>
      </c>
      <c r="F376">
        <v>10264765</v>
      </c>
      <c r="G376" t="s">
        <v>24</v>
      </c>
      <c r="H376" t="s">
        <v>159</v>
      </c>
      <c r="I376">
        <v>38463.59375</v>
      </c>
      <c r="J376" s="1">
        <v>45680</v>
      </c>
      <c r="K376">
        <v>18.200001</v>
      </c>
      <c r="L376" t="s">
        <v>37</v>
      </c>
      <c r="M376" t="s">
        <v>37</v>
      </c>
      <c r="N376" t="s">
        <v>98</v>
      </c>
      <c r="O376">
        <v>202501</v>
      </c>
      <c r="P376">
        <v>45002.25</v>
      </c>
      <c r="Q376" t="s">
        <v>12</v>
      </c>
      <c r="R376" t="s">
        <v>12</v>
      </c>
      <c r="S376" t="s">
        <v>12</v>
      </c>
      <c r="T376" t="s">
        <v>12</v>
      </c>
      <c r="U376" t="s">
        <v>12</v>
      </c>
      <c r="V376" t="s">
        <v>12</v>
      </c>
      <c r="W376" t="s">
        <v>12</v>
      </c>
      <c r="X376" t="s">
        <v>12</v>
      </c>
      <c r="Y376" t="s">
        <v>12</v>
      </c>
      <c r="Z376" t="s">
        <v>12</v>
      </c>
      <c r="AA376" t="s">
        <v>12</v>
      </c>
      <c r="AB376" t="s">
        <v>12</v>
      </c>
      <c r="AC376" t="s">
        <v>12</v>
      </c>
      <c r="AD376" t="s">
        <v>12</v>
      </c>
      <c r="AE376" t="s">
        <v>12</v>
      </c>
      <c r="AF376" t="s">
        <v>12</v>
      </c>
      <c r="AG376" t="s">
        <v>12</v>
      </c>
      <c r="AH376" t="s">
        <v>12</v>
      </c>
      <c r="AI376" t="s">
        <v>12</v>
      </c>
      <c r="AJ376" t="s">
        <v>12</v>
      </c>
      <c r="AK376" t="s">
        <v>12</v>
      </c>
      <c r="AL376" t="s">
        <v>12</v>
      </c>
      <c r="AM376" t="s">
        <v>12</v>
      </c>
      <c r="AN376" t="s">
        <v>12</v>
      </c>
      <c r="AO376" t="s">
        <v>12</v>
      </c>
    </row>
    <row r="377" spans="1:41" x14ac:dyDescent="0.35">
      <c r="A377">
        <v>19811483</v>
      </c>
      <c r="B377">
        <v>202509</v>
      </c>
      <c r="C377">
        <v>20606054131</v>
      </c>
      <c r="D377" t="s">
        <v>623</v>
      </c>
      <c r="E377" t="s">
        <v>1</v>
      </c>
      <c r="F377">
        <v>10265217</v>
      </c>
      <c r="G377" t="s">
        <v>73</v>
      </c>
      <c r="H377" t="s">
        <v>74</v>
      </c>
      <c r="I377">
        <v>59395.8515625</v>
      </c>
      <c r="J377" s="1">
        <v>45698</v>
      </c>
      <c r="K377">
        <v>18</v>
      </c>
      <c r="L377" t="s">
        <v>4</v>
      </c>
      <c r="M377" t="s">
        <v>4</v>
      </c>
      <c r="N377" t="s">
        <v>20</v>
      </c>
      <c r="O377">
        <v>202502</v>
      </c>
      <c r="P377">
        <v>80004</v>
      </c>
      <c r="Q377" t="s">
        <v>74</v>
      </c>
      <c r="R377" t="s">
        <v>76</v>
      </c>
      <c r="S377" t="s">
        <v>31</v>
      </c>
      <c r="T377" t="s">
        <v>32</v>
      </c>
      <c r="U377" t="s">
        <v>41</v>
      </c>
      <c r="V377">
        <v>1</v>
      </c>
      <c r="W377" t="s">
        <v>10</v>
      </c>
      <c r="X377" t="s">
        <v>51</v>
      </c>
      <c r="Y377">
        <v>1</v>
      </c>
      <c r="Z377">
        <v>1</v>
      </c>
      <c r="AA377">
        <v>0</v>
      </c>
      <c r="AB377">
        <v>0</v>
      </c>
      <c r="AC377">
        <v>1</v>
      </c>
      <c r="AD377">
        <v>1</v>
      </c>
      <c r="AE377">
        <v>0</v>
      </c>
      <c r="AF377" t="s">
        <v>12</v>
      </c>
      <c r="AG377" t="s">
        <v>12</v>
      </c>
      <c r="AH377" t="s">
        <v>12</v>
      </c>
      <c r="AI377" t="s">
        <v>12</v>
      </c>
      <c r="AJ377" t="s">
        <v>12</v>
      </c>
      <c r="AK377">
        <v>78700</v>
      </c>
      <c r="AL377">
        <v>0.21</v>
      </c>
      <c r="AM377">
        <v>0.19</v>
      </c>
      <c r="AN377" t="s">
        <v>12</v>
      </c>
      <c r="AO377" t="s">
        <v>12</v>
      </c>
    </row>
    <row r="378" spans="1:41" x14ac:dyDescent="0.35">
      <c r="A378">
        <v>13797119</v>
      </c>
      <c r="B378">
        <v>202505</v>
      </c>
      <c r="C378">
        <v>20520912682</v>
      </c>
      <c r="D378" t="s">
        <v>624</v>
      </c>
      <c r="E378" t="s">
        <v>1</v>
      </c>
      <c r="F378">
        <v>10241858</v>
      </c>
      <c r="G378" t="s">
        <v>92</v>
      </c>
      <c r="H378" t="s">
        <v>458</v>
      </c>
      <c r="I378">
        <v>12909.611328125</v>
      </c>
      <c r="J378" s="1">
        <v>45126</v>
      </c>
      <c r="K378">
        <v>21</v>
      </c>
      <c r="L378" t="s">
        <v>4</v>
      </c>
      <c r="M378" t="s">
        <v>4</v>
      </c>
      <c r="N378" t="s">
        <v>41</v>
      </c>
      <c r="O378">
        <v>202307</v>
      </c>
      <c r="P378">
        <v>130006.5</v>
      </c>
      <c r="Q378" t="s">
        <v>458</v>
      </c>
      <c r="R378" t="s">
        <v>459</v>
      </c>
      <c r="S378" t="s">
        <v>31</v>
      </c>
      <c r="T378" t="s">
        <v>32</v>
      </c>
      <c r="U378" t="s">
        <v>41</v>
      </c>
      <c r="V378">
        <v>1</v>
      </c>
      <c r="W378" t="s">
        <v>10</v>
      </c>
      <c r="X378" t="s">
        <v>12</v>
      </c>
      <c r="Y378">
        <v>1</v>
      </c>
      <c r="Z378">
        <v>1</v>
      </c>
      <c r="AA378">
        <v>0</v>
      </c>
      <c r="AB378">
        <v>0</v>
      </c>
      <c r="AC378">
        <v>1</v>
      </c>
      <c r="AD378">
        <v>0</v>
      </c>
      <c r="AE378">
        <v>0</v>
      </c>
      <c r="AF378" t="s">
        <v>12</v>
      </c>
      <c r="AG378" t="s">
        <v>12</v>
      </c>
      <c r="AH378" t="s">
        <v>12</v>
      </c>
      <c r="AI378" t="s">
        <v>12</v>
      </c>
      <c r="AJ378" t="s">
        <v>12</v>
      </c>
      <c r="AK378">
        <v>400000</v>
      </c>
      <c r="AL378">
        <v>0.2</v>
      </c>
      <c r="AM378">
        <v>0.17780000000000001</v>
      </c>
      <c r="AN378" t="s">
        <v>12</v>
      </c>
      <c r="AO378" t="s">
        <v>12</v>
      </c>
    </row>
    <row r="379" spans="1:41" x14ac:dyDescent="0.35">
      <c r="A379">
        <v>15168323</v>
      </c>
      <c r="B379">
        <v>202502</v>
      </c>
      <c r="C379">
        <v>20557730509</v>
      </c>
      <c r="D379" t="s">
        <v>625</v>
      </c>
      <c r="E379" t="s">
        <v>1</v>
      </c>
      <c r="F379">
        <v>10165639</v>
      </c>
      <c r="G379" t="s">
        <v>2</v>
      </c>
      <c r="H379" t="s">
        <v>417</v>
      </c>
      <c r="I379">
        <v>70003.5</v>
      </c>
      <c r="J379" s="1">
        <v>45686</v>
      </c>
      <c r="K379">
        <v>18</v>
      </c>
      <c r="L379" t="s">
        <v>4</v>
      </c>
      <c r="M379" t="s">
        <v>4</v>
      </c>
      <c r="N379" t="s">
        <v>5</v>
      </c>
      <c r="O379">
        <v>202501</v>
      </c>
      <c r="P379">
        <v>70003.5</v>
      </c>
      <c r="Q379" t="s">
        <v>417</v>
      </c>
      <c r="R379" t="s">
        <v>418</v>
      </c>
      <c r="S379" t="s">
        <v>31</v>
      </c>
      <c r="T379" t="s">
        <v>32</v>
      </c>
      <c r="U379" t="s">
        <v>41</v>
      </c>
      <c r="V379">
        <v>1</v>
      </c>
      <c r="W379" t="s">
        <v>10</v>
      </c>
      <c r="X379" t="s">
        <v>12</v>
      </c>
      <c r="Y379">
        <v>1</v>
      </c>
      <c r="Z379">
        <v>1</v>
      </c>
      <c r="AA379">
        <v>0</v>
      </c>
      <c r="AB379">
        <v>0</v>
      </c>
      <c r="AC379">
        <v>1</v>
      </c>
      <c r="AD379">
        <v>0</v>
      </c>
      <c r="AE379">
        <v>0</v>
      </c>
      <c r="AF379" t="s">
        <v>12</v>
      </c>
      <c r="AG379" t="s">
        <v>12</v>
      </c>
      <c r="AH379" t="s">
        <v>12</v>
      </c>
      <c r="AI379" t="s">
        <v>12</v>
      </c>
      <c r="AJ379" t="s">
        <v>12</v>
      </c>
      <c r="AK379">
        <v>180000</v>
      </c>
      <c r="AL379">
        <v>0.21</v>
      </c>
      <c r="AM379">
        <v>0.1888</v>
      </c>
      <c r="AN379" t="s">
        <v>12</v>
      </c>
      <c r="AO379" t="s">
        <v>12</v>
      </c>
    </row>
    <row r="380" spans="1:41" x14ac:dyDescent="0.35">
      <c r="A380">
        <v>10563743</v>
      </c>
      <c r="B380">
        <v>202502</v>
      </c>
      <c r="C380">
        <v>20473731828</v>
      </c>
      <c r="D380" t="s">
        <v>626</v>
      </c>
      <c r="E380" t="s">
        <v>1</v>
      </c>
      <c r="F380">
        <v>10168450</v>
      </c>
      <c r="G380" t="s">
        <v>2</v>
      </c>
      <c r="H380" t="s">
        <v>220</v>
      </c>
      <c r="I380">
        <v>231445.015625</v>
      </c>
      <c r="J380" s="1">
        <v>45679</v>
      </c>
      <c r="K380">
        <v>17.329999999999998</v>
      </c>
      <c r="L380" t="s">
        <v>4</v>
      </c>
      <c r="M380" t="s">
        <v>4</v>
      </c>
      <c r="N380" t="s">
        <v>5</v>
      </c>
      <c r="O380">
        <v>202501</v>
      </c>
      <c r="P380">
        <v>77443.850000000006</v>
      </c>
      <c r="Q380" t="s">
        <v>12</v>
      </c>
      <c r="R380" t="s">
        <v>12</v>
      </c>
      <c r="S380" t="s">
        <v>12</v>
      </c>
      <c r="T380" t="s">
        <v>12</v>
      </c>
      <c r="U380" t="s">
        <v>12</v>
      </c>
      <c r="V380" t="s">
        <v>12</v>
      </c>
      <c r="W380" t="s">
        <v>12</v>
      </c>
      <c r="X380" t="s">
        <v>12</v>
      </c>
      <c r="Y380" t="s">
        <v>12</v>
      </c>
      <c r="Z380" t="s">
        <v>12</v>
      </c>
      <c r="AA380" t="s">
        <v>12</v>
      </c>
      <c r="AB380" t="s">
        <v>12</v>
      </c>
      <c r="AC380" t="s">
        <v>12</v>
      </c>
      <c r="AD380" t="s">
        <v>12</v>
      </c>
      <c r="AE380" t="s">
        <v>12</v>
      </c>
      <c r="AF380" t="s">
        <v>12</v>
      </c>
      <c r="AG380" t="s">
        <v>12</v>
      </c>
      <c r="AH380" t="s">
        <v>12</v>
      </c>
      <c r="AI380" t="s">
        <v>12</v>
      </c>
      <c r="AJ380" t="s">
        <v>12</v>
      </c>
      <c r="AK380" t="s">
        <v>12</v>
      </c>
      <c r="AL380" t="s">
        <v>12</v>
      </c>
      <c r="AM380" t="s">
        <v>12</v>
      </c>
      <c r="AN380" t="s">
        <v>12</v>
      </c>
      <c r="AO380" t="s">
        <v>12</v>
      </c>
    </row>
    <row r="381" spans="1:41" x14ac:dyDescent="0.35">
      <c r="A381">
        <v>12879143</v>
      </c>
      <c r="B381">
        <v>202512</v>
      </c>
      <c r="C381">
        <v>10257751401</v>
      </c>
      <c r="D381" t="s">
        <v>627</v>
      </c>
      <c r="E381">
        <v>25775140</v>
      </c>
      <c r="F381">
        <v>10263866</v>
      </c>
      <c r="G381" t="s">
        <v>92</v>
      </c>
      <c r="H381" t="s">
        <v>74</v>
      </c>
      <c r="I381">
        <v>1245.92980957031</v>
      </c>
      <c r="J381" s="1">
        <v>45643</v>
      </c>
      <c r="K381">
        <v>21.4</v>
      </c>
      <c r="L381" t="s">
        <v>4</v>
      </c>
      <c r="M381" t="s">
        <v>4</v>
      </c>
      <c r="N381" t="s">
        <v>41</v>
      </c>
      <c r="O381">
        <v>202412</v>
      </c>
      <c r="P381">
        <v>30001.5</v>
      </c>
      <c r="Q381" t="s">
        <v>74</v>
      </c>
      <c r="R381" t="s">
        <v>76</v>
      </c>
      <c r="S381" t="s">
        <v>31</v>
      </c>
      <c r="T381" t="s">
        <v>32</v>
      </c>
      <c r="U381" t="s">
        <v>41</v>
      </c>
      <c r="V381">
        <v>1</v>
      </c>
      <c r="W381" t="s">
        <v>10</v>
      </c>
      <c r="X381" t="s">
        <v>59</v>
      </c>
      <c r="Y381">
        <v>1</v>
      </c>
      <c r="Z381">
        <v>1</v>
      </c>
      <c r="AA381">
        <v>0</v>
      </c>
      <c r="AB381">
        <v>0</v>
      </c>
      <c r="AC381">
        <v>1</v>
      </c>
      <c r="AD381">
        <v>1</v>
      </c>
      <c r="AE381">
        <v>0</v>
      </c>
      <c r="AF381" t="s">
        <v>12</v>
      </c>
      <c r="AG381" t="s">
        <v>12</v>
      </c>
      <c r="AH381" t="s">
        <v>12</v>
      </c>
      <c r="AI381" t="s">
        <v>12</v>
      </c>
      <c r="AJ381" t="s">
        <v>12</v>
      </c>
      <c r="AK381">
        <v>200000</v>
      </c>
      <c r="AL381">
        <v>0.23419999999999999</v>
      </c>
      <c r="AM381">
        <v>0.2142</v>
      </c>
      <c r="AN381" t="s">
        <v>12</v>
      </c>
      <c r="AO381" t="s">
        <v>12</v>
      </c>
    </row>
    <row r="382" spans="1:41" x14ac:dyDescent="0.35">
      <c r="A382">
        <v>20878932</v>
      </c>
      <c r="B382">
        <v>202507</v>
      </c>
      <c r="C382">
        <v>20546147054</v>
      </c>
      <c r="D382" t="s">
        <v>628</v>
      </c>
      <c r="E382" t="s">
        <v>1</v>
      </c>
      <c r="F382">
        <v>10254206</v>
      </c>
      <c r="G382" t="s">
        <v>65</v>
      </c>
      <c r="H382" t="s">
        <v>7</v>
      </c>
      <c r="I382">
        <v>62669.18359375</v>
      </c>
      <c r="J382" s="1">
        <v>45442</v>
      </c>
      <c r="K382">
        <v>14.5</v>
      </c>
      <c r="L382" t="s">
        <v>37</v>
      </c>
      <c r="M382" t="s">
        <v>37</v>
      </c>
      <c r="N382" t="s">
        <v>47</v>
      </c>
      <c r="O382">
        <v>202405</v>
      </c>
      <c r="P382">
        <v>90004.5</v>
      </c>
      <c r="Q382" t="s">
        <v>12</v>
      </c>
      <c r="R382" t="s">
        <v>12</v>
      </c>
      <c r="S382" t="s">
        <v>12</v>
      </c>
      <c r="T382" t="s">
        <v>12</v>
      </c>
      <c r="U382" t="s">
        <v>12</v>
      </c>
      <c r="V382" t="s">
        <v>12</v>
      </c>
      <c r="W382" t="s">
        <v>12</v>
      </c>
      <c r="X382" t="s">
        <v>12</v>
      </c>
      <c r="Y382" t="s">
        <v>12</v>
      </c>
      <c r="Z382" t="s">
        <v>12</v>
      </c>
      <c r="AA382" t="s">
        <v>12</v>
      </c>
      <c r="AB382" t="s">
        <v>12</v>
      </c>
      <c r="AC382" t="s">
        <v>12</v>
      </c>
      <c r="AD382" t="s">
        <v>12</v>
      </c>
      <c r="AE382" t="s">
        <v>12</v>
      </c>
      <c r="AF382" t="s">
        <v>12</v>
      </c>
      <c r="AG382" t="s">
        <v>12</v>
      </c>
      <c r="AH382" t="s">
        <v>12</v>
      </c>
      <c r="AI382" t="s">
        <v>12</v>
      </c>
      <c r="AJ382" t="s">
        <v>12</v>
      </c>
      <c r="AK382" t="s">
        <v>12</v>
      </c>
      <c r="AL382" t="s">
        <v>12</v>
      </c>
      <c r="AM382" t="s">
        <v>12</v>
      </c>
      <c r="AN382" t="s">
        <v>12</v>
      </c>
      <c r="AO382" t="s">
        <v>12</v>
      </c>
    </row>
    <row r="383" spans="1:41" x14ac:dyDescent="0.35">
      <c r="A383">
        <v>13185155</v>
      </c>
      <c r="B383">
        <v>202602</v>
      </c>
      <c r="C383">
        <v>10466545223</v>
      </c>
      <c r="D383" t="s">
        <v>629</v>
      </c>
      <c r="E383">
        <v>46654522</v>
      </c>
      <c r="F383">
        <v>10273943</v>
      </c>
      <c r="G383" t="s">
        <v>100</v>
      </c>
      <c r="H383" t="s">
        <v>630</v>
      </c>
      <c r="I383">
        <v>86497.1328125</v>
      </c>
      <c r="J383" s="1">
        <v>46007</v>
      </c>
      <c r="K383">
        <v>16.5</v>
      </c>
      <c r="L383" t="s">
        <v>37</v>
      </c>
      <c r="M383" t="s">
        <v>37</v>
      </c>
      <c r="N383" t="s">
        <v>102</v>
      </c>
      <c r="O383">
        <v>202512</v>
      </c>
      <c r="P383">
        <v>96004.800000000003</v>
      </c>
      <c r="Q383" t="s">
        <v>12</v>
      </c>
      <c r="R383" t="s">
        <v>12</v>
      </c>
      <c r="S383" t="s">
        <v>12</v>
      </c>
      <c r="T383" t="s">
        <v>12</v>
      </c>
      <c r="U383" t="s">
        <v>12</v>
      </c>
      <c r="V383" t="s">
        <v>12</v>
      </c>
      <c r="W383" t="s">
        <v>12</v>
      </c>
      <c r="X383" t="s">
        <v>12</v>
      </c>
      <c r="Y383" t="s">
        <v>12</v>
      </c>
      <c r="Z383" t="s">
        <v>12</v>
      </c>
      <c r="AA383" t="s">
        <v>12</v>
      </c>
      <c r="AB383" t="s">
        <v>12</v>
      </c>
      <c r="AC383" t="s">
        <v>12</v>
      </c>
      <c r="AD383" t="s">
        <v>12</v>
      </c>
      <c r="AE383" t="s">
        <v>12</v>
      </c>
      <c r="AF383" t="s">
        <v>12</v>
      </c>
      <c r="AG383" t="s">
        <v>12</v>
      </c>
      <c r="AH383" t="s">
        <v>12</v>
      </c>
      <c r="AI383" t="s">
        <v>12</v>
      </c>
      <c r="AJ383" t="s">
        <v>12</v>
      </c>
      <c r="AK383" t="s">
        <v>12</v>
      </c>
      <c r="AL383" t="s">
        <v>12</v>
      </c>
      <c r="AM383" t="s">
        <v>12</v>
      </c>
      <c r="AN383" t="s">
        <v>12</v>
      </c>
      <c r="AO383" t="s">
        <v>12</v>
      </c>
    </row>
    <row r="384" spans="1:41" x14ac:dyDescent="0.35">
      <c r="A384">
        <v>17334475</v>
      </c>
      <c r="B384">
        <v>202602</v>
      </c>
      <c r="C384">
        <v>10316803895</v>
      </c>
      <c r="D384" t="s">
        <v>631</v>
      </c>
      <c r="E384">
        <v>31680389</v>
      </c>
      <c r="F384">
        <v>10251753</v>
      </c>
      <c r="G384" t="s">
        <v>65</v>
      </c>
      <c r="H384" t="s">
        <v>159</v>
      </c>
      <c r="I384">
        <v>12827.037109375</v>
      </c>
      <c r="J384" s="1">
        <v>45408</v>
      </c>
      <c r="K384">
        <v>15.5</v>
      </c>
      <c r="L384" t="s">
        <v>37</v>
      </c>
      <c r="M384" t="s">
        <v>37</v>
      </c>
      <c r="N384" t="s">
        <v>47</v>
      </c>
      <c r="O384">
        <v>202404</v>
      </c>
      <c r="P384">
        <v>35001.75</v>
      </c>
      <c r="Q384" t="s">
        <v>85</v>
      </c>
      <c r="R384" t="s">
        <v>87</v>
      </c>
      <c r="S384" t="s">
        <v>88</v>
      </c>
      <c r="T384" t="s">
        <v>89</v>
      </c>
      <c r="U384" t="s">
        <v>63</v>
      </c>
      <c r="V384">
        <v>2</v>
      </c>
      <c r="W384" t="s">
        <v>90</v>
      </c>
      <c r="X384" t="s">
        <v>59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12</v>
      </c>
      <c r="AG384" t="s">
        <v>12</v>
      </c>
      <c r="AH384" t="s">
        <v>12</v>
      </c>
      <c r="AI384" t="s">
        <v>12</v>
      </c>
      <c r="AJ384" t="s">
        <v>12</v>
      </c>
      <c r="AK384">
        <v>250000</v>
      </c>
      <c r="AL384">
        <v>0.24390000000000001</v>
      </c>
      <c r="AM384">
        <v>0.22389999999999999</v>
      </c>
      <c r="AN384" t="s">
        <v>12</v>
      </c>
      <c r="AO384" t="s">
        <v>12</v>
      </c>
    </row>
    <row r="385" spans="1:41" x14ac:dyDescent="0.35">
      <c r="A385">
        <v>18690640</v>
      </c>
      <c r="B385">
        <v>202601</v>
      </c>
      <c r="C385">
        <v>20608065432</v>
      </c>
      <c r="D385" t="s">
        <v>632</v>
      </c>
      <c r="E385" t="s">
        <v>1</v>
      </c>
      <c r="F385">
        <v>10272369</v>
      </c>
      <c r="G385" t="s">
        <v>24</v>
      </c>
      <c r="H385" t="s">
        <v>194</v>
      </c>
      <c r="I385">
        <v>67955.4296875</v>
      </c>
      <c r="J385" s="1">
        <v>45950</v>
      </c>
      <c r="K385">
        <v>17</v>
      </c>
      <c r="L385" t="s">
        <v>86</v>
      </c>
      <c r="M385" t="s">
        <v>86</v>
      </c>
      <c r="N385" t="s">
        <v>98</v>
      </c>
      <c r="O385">
        <v>202510</v>
      </c>
      <c r="P385">
        <v>80004</v>
      </c>
      <c r="Q385" t="s">
        <v>194</v>
      </c>
      <c r="R385" t="s">
        <v>633</v>
      </c>
      <c r="S385" t="s">
        <v>88</v>
      </c>
      <c r="T385" t="s">
        <v>89</v>
      </c>
      <c r="U385" t="s">
        <v>9</v>
      </c>
      <c r="V385">
        <v>2</v>
      </c>
      <c r="W385" t="s">
        <v>10</v>
      </c>
      <c r="X385" t="s">
        <v>22</v>
      </c>
      <c r="Y385">
        <v>1</v>
      </c>
      <c r="Z385">
        <v>1</v>
      </c>
      <c r="AA385">
        <v>0</v>
      </c>
      <c r="AB385">
        <v>0</v>
      </c>
      <c r="AC385">
        <v>0</v>
      </c>
      <c r="AD385">
        <v>1</v>
      </c>
      <c r="AE385">
        <v>0</v>
      </c>
      <c r="AF385" t="s">
        <v>12</v>
      </c>
      <c r="AG385" t="s">
        <v>12</v>
      </c>
      <c r="AH385" t="s">
        <v>12</v>
      </c>
      <c r="AI385" t="s">
        <v>12</v>
      </c>
      <c r="AJ385" t="s">
        <v>12</v>
      </c>
      <c r="AK385">
        <v>0</v>
      </c>
      <c r="AL385">
        <v>0</v>
      </c>
      <c r="AM385">
        <v>0</v>
      </c>
      <c r="AN385" t="s">
        <v>12</v>
      </c>
      <c r="AO385" t="s">
        <v>12</v>
      </c>
    </row>
    <row r="386" spans="1:41" x14ac:dyDescent="0.35">
      <c r="A386">
        <v>18694641</v>
      </c>
      <c r="B386">
        <v>202508</v>
      </c>
      <c r="C386">
        <v>10782911592</v>
      </c>
      <c r="D386" t="s">
        <v>634</v>
      </c>
      <c r="E386">
        <v>78291159</v>
      </c>
      <c r="F386">
        <v>10265235</v>
      </c>
      <c r="G386" t="s">
        <v>73</v>
      </c>
      <c r="H386" t="s">
        <v>458</v>
      </c>
      <c r="I386">
        <v>58409.51171875</v>
      </c>
      <c r="J386" s="1">
        <v>45699</v>
      </c>
      <c r="K386">
        <v>20</v>
      </c>
      <c r="L386" t="s">
        <v>4</v>
      </c>
      <c r="M386" t="s">
        <v>75</v>
      </c>
      <c r="N386" t="s">
        <v>20</v>
      </c>
      <c r="O386">
        <v>202502</v>
      </c>
      <c r="P386">
        <v>70003.5</v>
      </c>
      <c r="Q386" t="s">
        <v>79</v>
      </c>
      <c r="R386" t="s">
        <v>80</v>
      </c>
      <c r="S386" t="s">
        <v>31</v>
      </c>
      <c r="T386" t="s">
        <v>32</v>
      </c>
      <c r="U386" t="s">
        <v>20</v>
      </c>
      <c r="V386">
        <v>1</v>
      </c>
      <c r="W386" t="s">
        <v>90</v>
      </c>
      <c r="X386" t="s">
        <v>12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12</v>
      </c>
      <c r="AG386" t="s">
        <v>12</v>
      </c>
      <c r="AH386" t="s">
        <v>12</v>
      </c>
      <c r="AI386" t="s">
        <v>12</v>
      </c>
      <c r="AJ386" t="s">
        <v>12</v>
      </c>
      <c r="AK386">
        <v>1</v>
      </c>
      <c r="AL386">
        <v>0.2843</v>
      </c>
      <c r="AM386" t="s">
        <v>12</v>
      </c>
      <c r="AN386" t="s">
        <v>12</v>
      </c>
      <c r="AO386" t="s">
        <v>12</v>
      </c>
    </row>
    <row r="387" spans="1:41" x14ac:dyDescent="0.35">
      <c r="A387">
        <v>16626502</v>
      </c>
      <c r="B387">
        <v>202602</v>
      </c>
      <c r="C387">
        <v>20521174294</v>
      </c>
      <c r="D387" t="s">
        <v>635</v>
      </c>
      <c r="E387" t="s">
        <v>1</v>
      </c>
      <c r="F387">
        <v>10253290</v>
      </c>
      <c r="G387" t="s">
        <v>53</v>
      </c>
      <c r="H387" t="s">
        <v>74</v>
      </c>
      <c r="I387">
        <v>36877.0859375</v>
      </c>
      <c r="J387" s="1">
        <v>45439</v>
      </c>
      <c r="K387">
        <v>15.5</v>
      </c>
      <c r="L387" t="s">
        <v>4</v>
      </c>
      <c r="M387" t="s">
        <v>4</v>
      </c>
      <c r="N387" t="s">
        <v>47</v>
      </c>
      <c r="O387">
        <v>202405</v>
      </c>
      <c r="P387">
        <v>90004.5</v>
      </c>
      <c r="Q387" t="s">
        <v>74</v>
      </c>
      <c r="R387" t="s">
        <v>76</v>
      </c>
      <c r="S387" t="s">
        <v>31</v>
      </c>
      <c r="T387" t="s">
        <v>32</v>
      </c>
      <c r="U387" t="s">
        <v>138</v>
      </c>
      <c r="V387">
        <v>1</v>
      </c>
      <c r="W387" t="s">
        <v>10</v>
      </c>
      <c r="X387" t="s">
        <v>11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12</v>
      </c>
      <c r="AG387" t="s">
        <v>12</v>
      </c>
      <c r="AH387" t="s">
        <v>12</v>
      </c>
      <c r="AI387" t="s">
        <v>12</v>
      </c>
      <c r="AJ387" t="s">
        <v>12</v>
      </c>
      <c r="AK387">
        <v>0</v>
      </c>
      <c r="AL387">
        <v>0</v>
      </c>
      <c r="AM387">
        <v>0</v>
      </c>
      <c r="AN387" t="s">
        <v>12</v>
      </c>
      <c r="AO387" t="s">
        <v>12</v>
      </c>
    </row>
    <row r="388" spans="1:41" x14ac:dyDescent="0.35">
      <c r="A388">
        <v>21530923</v>
      </c>
      <c r="B388">
        <v>202507</v>
      </c>
      <c r="C388">
        <v>10035707391</v>
      </c>
      <c r="D388" t="s">
        <v>636</v>
      </c>
      <c r="E388">
        <v>3570739</v>
      </c>
      <c r="F388">
        <v>10266247</v>
      </c>
      <c r="G388" t="s">
        <v>100</v>
      </c>
      <c r="H388" t="s">
        <v>183</v>
      </c>
      <c r="I388">
        <v>35739.52734375</v>
      </c>
      <c r="J388" s="1">
        <v>45733</v>
      </c>
      <c r="K388">
        <v>20</v>
      </c>
      <c r="L388" t="s">
        <v>37</v>
      </c>
      <c r="M388" t="s">
        <v>37</v>
      </c>
      <c r="N388" t="s">
        <v>102</v>
      </c>
      <c r="O388">
        <v>202503</v>
      </c>
      <c r="P388">
        <v>52002.6</v>
      </c>
      <c r="Q388" t="s">
        <v>12</v>
      </c>
      <c r="R388" t="s">
        <v>12</v>
      </c>
      <c r="S388" t="s">
        <v>12</v>
      </c>
      <c r="T388" t="s">
        <v>12</v>
      </c>
      <c r="U388" t="s">
        <v>12</v>
      </c>
      <c r="V388" t="s">
        <v>12</v>
      </c>
      <c r="W388" t="s">
        <v>12</v>
      </c>
      <c r="X388" t="s">
        <v>12</v>
      </c>
      <c r="Y388" t="s">
        <v>12</v>
      </c>
      <c r="Z388" t="s">
        <v>12</v>
      </c>
      <c r="AA388" t="s">
        <v>12</v>
      </c>
      <c r="AB388" t="s">
        <v>12</v>
      </c>
      <c r="AC388" t="s">
        <v>12</v>
      </c>
      <c r="AD388" t="s">
        <v>12</v>
      </c>
      <c r="AE388" t="s">
        <v>12</v>
      </c>
      <c r="AF388" t="s">
        <v>12</v>
      </c>
      <c r="AG388" t="s">
        <v>12</v>
      </c>
      <c r="AH388" t="s">
        <v>12</v>
      </c>
      <c r="AI388" t="s">
        <v>12</v>
      </c>
      <c r="AJ388" t="s">
        <v>12</v>
      </c>
      <c r="AK388" t="s">
        <v>12</v>
      </c>
      <c r="AL388" t="s">
        <v>12</v>
      </c>
      <c r="AM388" t="s">
        <v>12</v>
      </c>
      <c r="AN388" t="s">
        <v>12</v>
      </c>
      <c r="AO388" t="s">
        <v>12</v>
      </c>
    </row>
    <row r="389" spans="1:41" x14ac:dyDescent="0.35">
      <c r="A389">
        <v>17174374</v>
      </c>
      <c r="B389">
        <v>202502</v>
      </c>
      <c r="C389">
        <v>20571422272</v>
      </c>
      <c r="D389" t="s">
        <v>637</v>
      </c>
      <c r="E389" t="s">
        <v>1</v>
      </c>
      <c r="F389">
        <v>10265332</v>
      </c>
      <c r="G389" t="s">
        <v>28</v>
      </c>
      <c r="H389" t="s">
        <v>159</v>
      </c>
      <c r="I389">
        <v>80003.984375</v>
      </c>
      <c r="J389" s="1">
        <v>45701</v>
      </c>
      <c r="K389">
        <v>21</v>
      </c>
      <c r="L389" t="s">
        <v>4</v>
      </c>
      <c r="M389" t="s">
        <v>4</v>
      </c>
      <c r="N389" t="s">
        <v>26</v>
      </c>
      <c r="O389">
        <v>202502</v>
      </c>
      <c r="P389">
        <v>80004</v>
      </c>
      <c r="Q389" t="s">
        <v>82</v>
      </c>
      <c r="R389" t="s">
        <v>83</v>
      </c>
      <c r="S389" t="s">
        <v>49</v>
      </c>
      <c r="T389" t="s">
        <v>50</v>
      </c>
      <c r="U389" t="s">
        <v>26</v>
      </c>
      <c r="V389">
        <v>1</v>
      </c>
      <c r="W389" t="s">
        <v>10</v>
      </c>
      <c r="X389" t="s">
        <v>12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0</v>
      </c>
      <c r="AE389">
        <v>80004</v>
      </c>
      <c r="AF389">
        <v>21</v>
      </c>
      <c r="AG389" s="1">
        <v>45701</v>
      </c>
      <c r="AH389" t="s">
        <v>26</v>
      </c>
      <c r="AI389" t="s">
        <v>4</v>
      </c>
      <c r="AJ389" t="s">
        <v>33</v>
      </c>
      <c r="AK389">
        <v>0</v>
      </c>
      <c r="AL389">
        <v>0.255</v>
      </c>
      <c r="AM389">
        <v>0.23499999999999999</v>
      </c>
      <c r="AN389" t="s">
        <v>12</v>
      </c>
      <c r="AO389" t="s">
        <v>12</v>
      </c>
    </row>
    <row r="390" spans="1:41" x14ac:dyDescent="0.35">
      <c r="A390">
        <v>11501257</v>
      </c>
      <c r="B390">
        <v>202509</v>
      </c>
      <c r="C390">
        <v>20527588741</v>
      </c>
      <c r="D390" t="s">
        <v>638</v>
      </c>
      <c r="E390" t="s">
        <v>1</v>
      </c>
      <c r="F390">
        <v>10161017</v>
      </c>
      <c r="G390" t="s">
        <v>2</v>
      </c>
      <c r="H390" t="s">
        <v>114</v>
      </c>
      <c r="I390">
        <v>144413.65625</v>
      </c>
      <c r="J390" s="1">
        <v>45869</v>
      </c>
      <c r="K390">
        <v>14</v>
      </c>
      <c r="L390" t="s">
        <v>86</v>
      </c>
      <c r="M390" t="s">
        <v>86</v>
      </c>
      <c r="N390" t="s">
        <v>5</v>
      </c>
      <c r="O390">
        <v>202507</v>
      </c>
      <c r="P390">
        <v>165008.25</v>
      </c>
      <c r="Q390" t="s">
        <v>114</v>
      </c>
      <c r="R390" t="s">
        <v>115</v>
      </c>
      <c r="S390" t="s">
        <v>111</v>
      </c>
      <c r="T390" t="s">
        <v>112</v>
      </c>
      <c r="U390" t="s">
        <v>20</v>
      </c>
      <c r="V390">
        <v>2</v>
      </c>
      <c r="W390" t="s">
        <v>10</v>
      </c>
      <c r="X390" t="s">
        <v>22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12</v>
      </c>
      <c r="AG390" t="s">
        <v>12</v>
      </c>
      <c r="AH390" t="s">
        <v>12</v>
      </c>
      <c r="AI390" t="s">
        <v>12</v>
      </c>
      <c r="AJ390" t="s">
        <v>12</v>
      </c>
      <c r="AK390">
        <v>1</v>
      </c>
      <c r="AL390">
        <v>1</v>
      </c>
      <c r="AM390" t="s">
        <v>12</v>
      </c>
      <c r="AN390" t="s">
        <v>12</v>
      </c>
      <c r="AO390" t="s">
        <v>12</v>
      </c>
    </row>
    <row r="391" spans="1:41" x14ac:dyDescent="0.35">
      <c r="A391">
        <v>15969728</v>
      </c>
      <c r="B391">
        <v>202511</v>
      </c>
      <c r="C391">
        <v>20555553626</v>
      </c>
      <c r="D391" t="s">
        <v>470</v>
      </c>
      <c r="E391" t="s">
        <v>1</v>
      </c>
      <c r="F391">
        <v>10162971</v>
      </c>
      <c r="G391" t="s">
        <v>2</v>
      </c>
      <c r="H391" t="s">
        <v>175</v>
      </c>
      <c r="I391">
        <v>3328.57568359375</v>
      </c>
      <c r="J391" s="1">
        <v>45356</v>
      </c>
      <c r="K391">
        <v>20</v>
      </c>
      <c r="L391" t="s">
        <v>4</v>
      </c>
      <c r="M391" t="s">
        <v>4</v>
      </c>
      <c r="N391" t="s">
        <v>5</v>
      </c>
      <c r="O391">
        <v>202403</v>
      </c>
      <c r="P391">
        <v>37372.85</v>
      </c>
      <c r="Q391" t="s">
        <v>175</v>
      </c>
      <c r="R391" t="s">
        <v>176</v>
      </c>
      <c r="S391" t="s">
        <v>127</v>
      </c>
      <c r="T391" t="s">
        <v>147</v>
      </c>
      <c r="U391" t="s">
        <v>20</v>
      </c>
      <c r="V391">
        <v>1</v>
      </c>
      <c r="W391" t="s">
        <v>10</v>
      </c>
      <c r="X391" t="s">
        <v>22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12</v>
      </c>
      <c r="AG391" t="s">
        <v>12</v>
      </c>
      <c r="AH391" t="s">
        <v>12</v>
      </c>
      <c r="AI391" t="s">
        <v>12</v>
      </c>
      <c r="AJ391" t="s">
        <v>12</v>
      </c>
      <c r="AK391">
        <v>1</v>
      </c>
      <c r="AL391">
        <v>1</v>
      </c>
      <c r="AM391" t="s">
        <v>12</v>
      </c>
      <c r="AN391" t="s">
        <v>12</v>
      </c>
      <c r="AO391" t="s">
        <v>12</v>
      </c>
    </row>
    <row r="392" spans="1:41" x14ac:dyDescent="0.35">
      <c r="A392">
        <v>12051687</v>
      </c>
      <c r="B392">
        <v>202602</v>
      </c>
      <c r="C392">
        <v>20520801180</v>
      </c>
      <c r="D392" t="s">
        <v>639</v>
      </c>
      <c r="E392" t="s">
        <v>1</v>
      </c>
      <c r="F392">
        <v>10271770</v>
      </c>
      <c r="G392" t="s">
        <v>14</v>
      </c>
      <c r="H392" t="s">
        <v>69</v>
      </c>
      <c r="I392">
        <v>145772.875</v>
      </c>
      <c r="J392" s="1">
        <v>45926</v>
      </c>
      <c r="K392">
        <v>17</v>
      </c>
      <c r="L392" t="s">
        <v>4</v>
      </c>
      <c r="M392" t="s">
        <v>4</v>
      </c>
      <c r="N392" t="s">
        <v>16</v>
      </c>
      <c r="O392">
        <v>202509</v>
      </c>
      <c r="P392">
        <v>170008.5</v>
      </c>
      <c r="Q392" t="s">
        <v>69</v>
      </c>
      <c r="R392" t="s">
        <v>71</v>
      </c>
      <c r="S392" t="s">
        <v>7</v>
      </c>
      <c r="T392" t="s">
        <v>8</v>
      </c>
      <c r="U392" t="s">
        <v>41</v>
      </c>
      <c r="V392">
        <v>1</v>
      </c>
      <c r="W392" t="s">
        <v>10</v>
      </c>
      <c r="X392" t="s">
        <v>11</v>
      </c>
      <c r="Y392">
        <v>1</v>
      </c>
      <c r="Z392">
        <v>1</v>
      </c>
      <c r="AA392">
        <v>0</v>
      </c>
      <c r="AB392">
        <v>0</v>
      </c>
      <c r="AC392">
        <v>1</v>
      </c>
      <c r="AD392">
        <v>1</v>
      </c>
      <c r="AE392">
        <v>0</v>
      </c>
      <c r="AF392" t="s">
        <v>12</v>
      </c>
      <c r="AG392" t="s">
        <v>12</v>
      </c>
      <c r="AH392" t="s">
        <v>12</v>
      </c>
      <c r="AI392" t="s">
        <v>12</v>
      </c>
      <c r="AJ392" t="s">
        <v>12</v>
      </c>
      <c r="AK392">
        <v>500000</v>
      </c>
      <c r="AL392">
        <v>0.21</v>
      </c>
      <c r="AM392">
        <v>0.19</v>
      </c>
      <c r="AN392" t="s">
        <v>12</v>
      </c>
      <c r="AO392" t="s">
        <v>12</v>
      </c>
    </row>
    <row r="393" spans="1:41" x14ac:dyDescent="0.35">
      <c r="A393">
        <v>14294005</v>
      </c>
      <c r="B393">
        <v>202510</v>
      </c>
      <c r="C393">
        <v>10198635761</v>
      </c>
      <c r="D393" t="s">
        <v>640</v>
      </c>
      <c r="E393">
        <v>19863576</v>
      </c>
      <c r="F393">
        <v>10266496</v>
      </c>
      <c r="G393" t="s">
        <v>100</v>
      </c>
      <c r="H393" t="s">
        <v>85</v>
      </c>
      <c r="I393">
        <v>196615.21875</v>
      </c>
      <c r="J393" s="1">
        <v>45741</v>
      </c>
      <c r="K393">
        <v>14.3</v>
      </c>
      <c r="L393" t="s">
        <v>37</v>
      </c>
      <c r="M393" t="s">
        <v>37</v>
      </c>
      <c r="N393" t="s">
        <v>102</v>
      </c>
      <c r="O393">
        <v>202503</v>
      </c>
      <c r="P393">
        <v>266802.95</v>
      </c>
      <c r="Q393" t="s">
        <v>85</v>
      </c>
      <c r="R393" t="s">
        <v>87</v>
      </c>
      <c r="S393" t="s">
        <v>88</v>
      </c>
      <c r="T393" t="s">
        <v>89</v>
      </c>
      <c r="U393" t="s">
        <v>41</v>
      </c>
      <c r="V393">
        <v>2</v>
      </c>
      <c r="W393" t="s">
        <v>10</v>
      </c>
      <c r="X393" t="s">
        <v>12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12</v>
      </c>
      <c r="AG393" t="s">
        <v>12</v>
      </c>
      <c r="AH393" t="s">
        <v>12</v>
      </c>
      <c r="AI393" t="s">
        <v>12</v>
      </c>
      <c r="AJ393" t="s">
        <v>12</v>
      </c>
      <c r="AK393">
        <v>200000</v>
      </c>
      <c r="AL393">
        <v>0.22670000000000001</v>
      </c>
      <c r="AM393">
        <v>0.20669999999999999</v>
      </c>
      <c r="AN393" t="s">
        <v>12</v>
      </c>
      <c r="AO393" t="s">
        <v>12</v>
      </c>
    </row>
    <row r="394" spans="1:41" x14ac:dyDescent="0.35">
      <c r="A394">
        <v>16930137</v>
      </c>
      <c r="B394">
        <v>202507</v>
      </c>
      <c r="C394">
        <v>20602294367</v>
      </c>
      <c r="D394" t="s">
        <v>641</v>
      </c>
      <c r="E394" t="s">
        <v>1</v>
      </c>
      <c r="F394">
        <v>10250015</v>
      </c>
      <c r="G394" t="s">
        <v>65</v>
      </c>
      <c r="H394" t="s">
        <v>603</v>
      </c>
      <c r="I394">
        <v>55396.02734375</v>
      </c>
      <c r="J394" s="1">
        <v>45377</v>
      </c>
      <c r="K394">
        <v>14.2</v>
      </c>
      <c r="L394" t="s">
        <v>37</v>
      </c>
      <c r="M394" t="s">
        <v>37</v>
      </c>
      <c r="N394" t="s">
        <v>47</v>
      </c>
      <c r="O394">
        <v>202403</v>
      </c>
      <c r="P394">
        <v>90004.5</v>
      </c>
      <c r="Q394" t="s">
        <v>603</v>
      </c>
      <c r="R394" t="s">
        <v>642</v>
      </c>
      <c r="S394" t="s">
        <v>18</v>
      </c>
      <c r="T394" t="s">
        <v>122</v>
      </c>
      <c r="U394" t="s">
        <v>41</v>
      </c>
      <c r="V394">
        <v>1</v>
      </c>
      <c r="W394" t="s">
        <v>10</v>
      </c>
      <c r="X394" t="s">
        <v>12</v>
      </c>
      <c r="Y394">
        <v>1</v>
      </c>
      <c r="Z394">
        <v>1</v>
      </c>
      <c r="AA394">
        <v>0</v>
      </c>
      <c r="AB394">
        <v>0</v>
      </c>
      <c r="AC394">
        <v>1</v>
      </c>
      <c r="AD394">
        <v>1</v>
      </c>
      <c r="AE394">
        <v>0</v>
      </c>
      <c r="AF394" t="s">
        <v>12</v>
      </c>
      <c r="AG394" t="s">
        <v>12</v>
      </c>
      <c r="AH394" t="s">
        <v>12</v>
      </c>
      <c r="AI394" t="s">
        <v>12</v>
      </c>
      <c r="AJ394" t="s">
        <v>12</v>
      </c>
      <c r="AK394">
        <v>400000</v>
      </c>
      <c r="AL394">
        <v>0.23</v>
      </c>
      <c r="AM394">
        <v>0.21</v>
      </c>
      <c r="AN394" t="s">
        <v>12</v>
      </c>
      <c r="AO394" t="s">
        <v>12</v>
      </c>
    </row>
    <row r="395" spans="1:41" x14ac:dyDescent="0.35">
      <c r="A395">
        <v>21737116</v>
      </c>
      <c r="B395">
        <v>202510</v>
      </c>
      <c r="C395">
        <v>20605096132</v>
      </c>
      <c r="D395" t="s">
        <v>643</v>
      </c>
      <c r="E395" t="s">
        <v>1</v>
      </c>
      <c r="F395">
        <v>10269546</v>
      </c>
      <c r="G395" t="s">
        <v>100</v>
      </c>
      <c r="H395" t="s">
        <v>644</v>
      </c>
      <c r="I395">
        <v>127283.1953125</v>
      </c>
      <c r="J395" s="1">
        <v>45849</v>
      </c>
      <c r="K395">
        <v>14</v>
      </c>
      <c r="L395" t="s">
        <v>37</v>
      </c>
      <c r="M395" t="s">
        <v>37</v>
      </c>
      <c r="N395" t="s">
        <v>102</v>
      </c>
      <c r="O395">
        <v>202507</v>
      </c>
      <c r="P395">
        <v>143182.15</v>
      </c>
      <c r="Q395" t="s">
        <v>644</v>
      </c>
      <c r="R395" t="s">
        <v>12</v>
      </c>
      <c r="S395" t="s">
        <v>12</v>
      </c>
      <c r="T395" t="s">
        <v>12</v>
      </c>
      <c r="U395" t="s">
        <v>20</v>
      </c>
      <c r="V395">
        <v>2</v>
      </c>
      <c r="W395" t="s">
        <v>10</v>
      </c>
      <c r="X395" t="s">
        <v>12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12</v>
      </c>
      <c r="AG395" t="s">
        <v>12</v>
      </c>
      <c r="AH395" t="s">
        <v>12</v>
      </c>
      <c r="AI395" t="s">
        <v>12</v>
      </c>
      <c r="AJ395" t="s">
        <v>12</v>
      </c>
      <c r="AK395">
        <v>1</v>
      </c>
      <c r="AL395">
        <v>1</v>
      </c>
      <c r="AM395" t="s">
        <v>12</v>
      </c>
      <c r="AN395" t="s">
        <v>12</v>
      </c>
      <c r="AO395" t="s">
        <v>12</v>
      </c>
    </row>
    <row r="396" spans="1:41" x14ac:dyDescent="0.35">
      <c r="A396">
        <v>17199549</v>
      </c>
      <c r="B396">
        <v>202504</v>
      </c>
      <c r="C396">
        <v>20605384154</v>
      </c>
      <c r="D396" t="s">
        <v>645</v>
      </c>
      <c r="E396" t="s">
        <v>1</v>
      </c>
      <c r="F396">
        <v>10265265</v>
      </c>
      <c r="G396" t="s">
        <v>28</v>
      </c>
      <c r="H396" t="s">
        <v>234</v>
      </c>
      <c r="I396">
        <v>117466.34375</v>
      </c>
      <c r="J396" s="1">
        <v>45700</v>
      </c>
      <c r="K396">
        <v>22.5</v>
      </c>
      <c r="L396" t="s">
        <v>4</v>
      </c>
      <c r="M396" t="s">
        <v>4</v>
      </c>
      <c r="N396" t="s">
        <v>26</v>
      </c>
      <c r="O396">
        <v>202502</v>
      </c>
      <c r="P396">
        <v>130006.5</v>
      </c>
      <c r="Q396" t="s">
        <v>234</v>
      </c>
      <c r="R396" t="s">
        <v>235</v>
      </c>
      <c r="S396" t="s">
        <v>49</v>
      </c>
      <c r="T396" t="s">
        <v>50</v>
      </c>
      <c r="U396" t="s">
        <v>20</v>
      </c>
      <c r="V396">
        <v>1</v>
      </c>
      <c r="W396" t="s">
        <v>10</v>
      </c>
      <c r="X396" t="s">
        <v>12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12</v>
      </c>
      <c r="AG396" t="s">
        <v>12</v>
      </c>
      <c r="AH396" t="s">
        <v>12</v>
      </c>
      <c r="AI396" t="s">
        <v>12</v>
      </c>
      <c r="AJ396" t="s">
        <v>12</v>
      </c>
      <c r="AK396">
        <v>0</v>
      </c>
      <c r="AL396">
        <v>0</v>
      </c>
      <c r="AM396">
        <v>0</v>
      </c>
      <c r="AN396" t="s">
        <v>12</v>
      </c>
      <c r="AO396" t="s">
        <v>12</v>
      </c>
    </row>
    <row r="397" spans="1:41" x14ac:dyDescent="0.35">
      <c r="A397">
        <v>19559309</v>
      </c>
      <c r="B397">
        <v>202507</v>
      </c>
      <c r="C397">
        <v>10448547723</v>
      </c>
      <c r="D397" t="s">
        <v>646</v>
      </c>
      <c r="E397">
        <v>44854772</v>
      </c>
      <c r="F397">
        <v>10260706</v>
      </c>
      <c r="G397" t="s">
        <v>92</v>
      </c>
      <c r="H397" t="s">
        <v>166</v>
      </c>
      <c r="I397">
        <v>38205.90234375</v>
      </c>
      <c r="J397" s="1">
        <v>45558</v>
      </c>
      <c r="K397">
        <v>24.700001</v>
      </c>
      <c r="L397" t="s">
        <v>4</v>
      </c>
      <c r="M397" t="s">
        <v>4</v>
      </c>
      <c r="N397" t="s">
        <v>41</v>
      </c>
      <c r="O397">
        <v>202409</v>
      </c>
      <c r="P397">
        <v>70003.5</v>
      </c>
      <c r="Q397" t="s">
        <v>166</v>
      </c>
      <c r="R397" t="s">
        <v>167</v>
      </c>
      <c r="S397" t="s">
        <v>111</v>
      </c>
      <c r="T397" t="s">
        <v>112</v>
      </c>
      <c r="U397" t="s">
        <v>20</v>
      </c>
      <c r="V397">
        <v>2</v>
      </c>
      <c r="W397" t="s">
        <v>647</v>
      </c>
      <c r="X397" t="s">
        <v>12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12</v>
      </c>
      <c r="AG397" t="s">
        <v>12</v>
      </c>
      <c r="AH397" t="s">
        <v>12</v>
      </c>
      <c r="AI397" t="s">
        <v>12</v>
      </c>
      <c r="AJ397" t="s">
        <v>12</v>
      </c>
      <c r="AK397">
        <v>1</v>
      </c>
      <c r="AL397">
        <v>0.23280000000000001</v>
      </c>
      <c r="AM397" t="s">
        <v>12</v>
      </c>
      <c r="AN397" t="s">
        <v>12</v>
      </c>
      <c r="AO397" t="s">
        <v>12</v>
      </c>
    </row>
    <row r="398" spans="1:41" x14ac:dyDescent="0.35">
      <c r="A398">
        <v>20768970</v>
      </c>
      <c r="B398">
        <v>202508</v>
      </c>
      <c r="C398">
        <v>10472364958</v>
      </c>
      <c r="D398" t="s">
        <v>648</v>
      </c>
      <c r="E398">
        <v>47236495</v>
      </c>
      <c r="F398">
        <v>10252662</v>
      </c>
      <c r="G398" t="s">
        <v>65</v>
      </c>
      <c r="H398" t="s">
        <v>66</v>
      </c>
      <c r="I398">
        <v>38533.83203125</v>
      </c>
      <c r="J398" s="1">
        <v>45420</v>
      </c>
      <c r="K398">
        <v>14.7</v>
      </c>
      <c r="L398" t="s">
        <v>37</v>
      </c>
      <c r="M398" t="s">
        <v>37</v>
      </c>
      <c r="N398" t="s">
        <v>47</v>
      </c>
      <c r="O398">
        <v>202405</v>
      </c>
      <c r="P398">
        <v>58655.9</v>
      </c>
      <c r="Q398" t="s">
        <v>12</v>
      </c>
      <c r="R398" t="s">
        <v>12</v>
      </c>
      <c r="S398" t="s">
        <v>12</v>
      </c>
      <c r="T398" t="s">
        <v>12</v>
      </c>
      <c r="U398" t="s">
        <v>12</v>
      </c>
      <c r="V398" t="s">
        <v>12</v>
      </c>
      <c r="W398" t="s">
        <v>12</v>
      </c>
      <c r="X398" t="s">
        <v>12</v>
      </c>
      <c r="Y398" t="s">
        <v>12</v>
      </c>
      <c r="Z398" t="s">
        <v>12</v>
      </c>
      <c r="AA398" t="s">
        <v>12</v>
      </c>
      <c r="AB398" t="s">
        <v>12</v>
      </c>
      <c r="AC398" t="s">
        <v>12</v>
      </c>
      <c r="AD398" t="s">
        <v>12</v>
      </c>
      <c r="AE398" t="s">
        <v>12</v>
      </c>
      <c r="AF398" t="s">
        <v>12</v>
      </c>
      <c r="AG398" t="s">
        <v>12</v>
      </c>
      <c r="AH398" t="s">
        <v>12</v>
      </c>
      <c r="AI398" t="s">
        <v>12</v>
      </c>
      <c r="AJ398" t="s">
        <v>12</v>
      </c>
      <c r="AK398" t="s">
        <v>12</v>
      </c>
      <c r="AL398" t="s">
        <v>12</v>
      </c>
      <c r="AM398" t="s">
        <v>12</v>
      </c>
      <c r="AN398" t="s">
        <v>12</v>
      </c>
      <c r="AO398" t="s">
        <v>12</v>
      </c>
    </row>
    <row r="399" spans="1:41" x14ac:dyDescent="0.35">
      <c r="A399">
        <v>15290845</v>
      </c>
      <c r="B399">
        <v>202502</v>
      </c>
      <c r="C399">
        <v>10296056907</v>
      </c>
      <c r="D399" t="s">
        <v>649</v>
      </c>
      <c r="E399">
        <v>29605690</v>
      </c>
      <c r="F399">
        <v>10166191</v>
      </c>
      <c r="G399" t="s">
        <v>2</v>
      </c>
      <c r="H399" t="s">
        <v>650</v>
      </c>
      <c r="I399">
        <v>48767.3515625</v>
      </c>
      <c r="J399" s="1">
        <v>45621</v>
      </c>
      <c r="K399">
        <v>18.899999999999999</v>
      </c>
      <c r="L399" t="s">
        <v>4</v>
      </c>
      <c r="M399" t="s">
        <v>4</v>
      </c>
      <c r="N399" t="s">
        <v>5</v>
      </c>
      <c r="O399">
        <v>202411</v>
      </c>
      <c r="P399">
        <v>52364.6</v>
      </c>
      <c r="Q399" t="s">
        <v>12</v>
      </c>
      <c r="R399" t="s">
        <v>12</v>
      </c>
      <c r="S399" t="s">
        <v>12</v>
      </c>
      <c r="T399" t="s">
        <v>12</v>
      </c>
      <c r="U399" t="s">
        <v>12</v>
      </c>
      <c r="V399" t="s">
        <v>12</v>
      </c>
      <c r="W399" t="s">
        <v>12</v>
      </c>
      <c r="X399" t="s">
        <v>12</v>
      </c>
      <c r="Y399" t="s">
        <v>12</v>
      </c>
      <c r="Z399" t="s">
        <v>12</v>
      </c>
      <c r="AA399" t="s">
        <v>12</v>
      </c>
      <c r="AB399" t="s">
        <v>12</v>
      </c>
      <c r="AC399" t="s">
        <v>12</v>
      </c>
      <c r="AD399" t="s">
        <v>12</v>
      </c>
      <c r="AE399" t="s">
        <v>12</v>
      </c>
      <c r="AF399" t="s">
        <v>12</v>
      </c>
      <c r="AG399" t="s">
        <v>12</v>
      </c>
      <c r="AH399" t="s">
        <v>12</v>
      </c>
      <c r="AI399" t="s">
        <v>12</v>
      </c>
      <c r="AJ399" t="s">
        <v>12</v>
      </c>
      <c r="AK399" t="s">
        <v>12</v>
      </c>
      <c r="AL399" t="s">
        <v>12</v>
      </c>
      <c r="AM399" t="s">
        <v>12</v>
      </c>
      <c r="AN399" t="s">
        <v>12</v>
      </c>
      <c r="AO399" t="s">
        <v>12</v>
      </c>
    </row>
    <row r="400" spans="1:41" x14ac:dyDescent="0.35">
      <c r="A400">
        <v>21877391</v>
      </c>
      <c r="B400">
        <v>202509</v>
      </c>
      <c r="C400">
        <v>20610116117</v>
      </c>
      <c r="D400" t="s">
        <v>651</v>
      </c>
      <c r="E400" t="s">
        <v>1</v>
      </c>
      <c r="F400">
        <v>10271965</v>
      </c>
      <c r="G400" t="s">
        <v>28</v>
      </c>
      <c r="H400" t="s">
        <v>159</v>
      </c>
      <c r="I400">
        <v>120005.9921875</v>
      </c>
      <c r="J400" s="1">
        <v>45930</v>
      </c>
      <c r="K400">
        <v>17</v>
      </c>
      <c r="L400" t="s">
        <v>4</v>
      </c>
      <c r="M400" t="s">
        <v>75</v>
      </c>
      <c r="N400" t="s">
        <v>26</v>
      </c>
      <c r="O400">
        <v>202509</v>
      </c>
      <c r="P400">
        <v>120006</v>
      </c>
      <c r="Q400" t="s">
        <v>500</v>
      </c>
      <c r="R400" t="s">
        <v>501</v>
      </c>
      <c r="S400" t="s">
        <v>31</v>
      </c>
      <c r="T400" t="s">
        <v>32</v>
      </c>
      <c r="U400" t="s">
        <v>26</v>
      </c>
      <c r="V400">
        <v>1</v>
      </c>
      <c r="W400" t="s">
        <v>10</v>
      </c>
      <c r="X400" t="s">
        <v>51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0</v>
      </c>
      <c r="AE400">
        <v>120006</v>
      </c>
      <c r="AF400">
        <v>17</v>
      </c>
      <c r="AG400" s="1">
        <v>45930</v>
      </c>
      <c r="AH400" t="s">
        <v>26</v>
      </c>
      <c r="AI400" t="s">
        <v>75</v>
      </c>
      <c r="AJ400" t="s">
        <v>33</v>
      </c>
      <c r="AK400">
        <v>180000</v>
      </c>
      <c r="AL400">
        <v>0.3</v>
      </c>
      <c r="AM400">
        <v>0.28000000000000003</v>
      </c>
      <c r="AN400" t="s">
        <v>12</v>
      </c>
      <c r="AO400" t="s">
        <v>12</v>
      </c>
    </row>
    <row r="401" spans="1:41" x14ac:dyDescent="0.35">
      <c r="A401">
        <v>18905981</v>
      </c>
      <c r="B401">
        <v>202507</v>
      </c>
      <c r="C401">
        <v>10449011304</v>
      </c>
      <c r="D401" t="s">
        <v>652</v>
      </c>
      <c r="E401">
        <v>44901130</v>
      </c>
      <c r="F401">
        <v>10267377</v>
      </c>
      <c r="G401" t="s">
        <v>24</v>
      </c>
      <c r="H401" t="s">
        <v>183</v>
      </c>
      <c r="I401">
        <v>54316.39453125</v>
      </c>
      <c r="J401" s="1">
        <v>45772</v>
      </c>
      <c r="K401">
        <v>18</v>
      </c>
      <c r="L401" t="s">
        <v>37</v>
      </c>
      <c r="M401" t="s">
        <v>37</v>
      </c>
      <c r="N401" t="s">
        <v>98</v>
      </c>
      <c r="O401">
        <v>202504</v>
      </c>
      <c r="P401">
        <v>60003</v>
      </c>
      <c r="Q401" t="s">
        <v>12</v>
      </c>
      <c r="R401" t="s">
        <v>12</v>
      </c>
      <c r="S401" t="s">
        <v>12</v>
      </c>
      <c r="T401" t="s">
        <v>12</v>
      </c>
      <c r="U401" t="s">
        <v>12</v>
      </c>
      <c r="V401" t="s">
        <v>12</v>
      </c>
      <c r="W401" t="s">
        <v>12</v>
      </c>
      <c r="X401" t="s">
        <v>12</v>
      </c>
      <c r="Y401" t="s">
        <v>12</v>
      </c>
      <c r="Z401" t="s">
        <v>12</v>
      </c>
      <c r="AA401" t="s">
        <v>12</v>
      </c>
      <c r="AB401" t="s">
        <v>12</v>
      </c>
      <c r="AC401" t="s">
        <v>12</v>
      </c>
      <c r="AD401" t="s">
        <v>12</v>
      </c>
      <c r="AE401" t="s">
        <v>12</v>
      </c>
      <c r="AF401" t="s">
        <v>12</v>
      </c>
      <c r="AG401" t="s">
        <v>12</v>
      </c>
      <c r="AH401" t="s">
        <v>12</v>
      </c>
      <c r="AI401" t="s">
        <v>12</v>
      </c>
      <c r="AJ401" t="s">
        <v>12</v>
      </c>
      <c r="AK401" t="s">
        <v>12</v>
      </c>
      <c r="AL401" t="s">
        <v>12</v>
      </c>
      <c r="AM401" t="s">
        <v>12</v>
      </c>
      <c r="AN401" t="s">
        <v>12</v>
      </c>
      <c r="AO401" t="s">
        <v>12</v>
      </c>
    </row>
    <row r="402" spans="1:41" x14ac:dyDescent="0.35">
      <c r="A402">
        <v>15823632</v>
      </c>
      <c r="B402">
        <v>202508</v>
      </c>
      <c r="C402">
        <v>10086805320</v>
      </c>
      <c r="D402" t="s">
        <v>653</v>
      </c>
      <c r="E402">
        <v>8680532</v>
      </c>
      <c r="F402">
        <v>10266216</v>
      </c>
      <c r="G402" t="s">
        <v>100</v>
      </c>
      <c r="H402" t="s">
        <v>166</v>
      </c>
      <c r="I402">
        <v>148629.5</v>
      </c>
      <c r="J402" s="1">
        <v>45733</v>
      </c>
      <c r="K402">
        <v>14</v>
      </c>
      <c r="L402" t="s">
        <v>37</v>
      </c>
      <c r="M402" t="s">
        <v>37</v>
      </c>
      <c r="N402" t="s">
        <v>102</v>
      </c>
      <c r="O402">
        <v>202503</v>
      </c>
      <c r="P402">
        <v>168008.4</v>
      </c>
      <c r="Q402" t="s">
        <v>166</v>
      </c>
      <c r="R402" t="s">
        <v>167</v>
      </c>
      <c r="S402" t="s">
        <v>111</v>
      </c>
      <c r="T402" t="s">
        <v>112</v>
      </c>
      <c r="U402" t="s">
        <v>41</v>
      </c>
      <c r="V402">
        <v>2</v>
      </c>
      <c r="W402" t="s">
        <v>90</v>
      </c>
      <c r="X402" t="s">
        <v>12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 t="s">
        <v>12</v>
      </c>
      <c r="AG402" t="s">
        <v>12</v>
      </c>
      <c r="AH402" t="s">
        <v>12</v>
      </c>
      <c r="AI402" t="s">
        <v>12</v>
      </c>
      <c r="AJ402" t="s">
        <v>12</v>
      </c>
      <c r="AK402">
        <v>300000</v>
      </c>
      <c r="AL402">
        <v>0.21</v>
      </c>
      <c r="AM402">
        <v>0.19</v>
      </c>
      <c r="AN402" t="s">
        <v>12</v>
      </c>
      <c r="AO402" t="s">
        <v>12</v>
      </c>
    </row>
    <row r="403" spans="1:41" x14ac:dyDescent="0.35">
      <c r="A403">
        <v>21517595</v>
      </c>
      <c r="B403">
        <v>202601</v>
      </c>
      <c r="C403">
        <v>20548385068</v>
      </c>
      <c r="D403" t="s">
        <v>580</v>
      </c>
      <c r="E403" t="s">
        <v>1</v>
      </c>
      <c r="F403">
        <v>10272862</v>
      </c>
      <c r="G403" t="s">
        <v>92</v>
      </c>
      <c r="H403" t="s">
        <v>513</v>
      </c>
      <c r="I403">
        <v>58656.4140625</v>
      </c>
      <c r="J403" s="1">
        <v>45964</v>
      </c>
      <c r="K403">
        <v>19</v>
      </c>
      <c r="L403" t="s">
        <v>4</v>
      </c>
      <c r="M403" t="s">
        <v>4</v>
      </c>
      <c r="N403" t="s">
        <v>41</v>
      </c>
      <c r="O403">
        <v>202511</v>
      </c>
      <c r="P403">
        <v>70003.5</v>
      </c>
      <c r="Q403" t="s">
        <v>513</v>
      </c>
      <c r="R403" t="s">
        <v>514</v>
      </c>
      <c r="S403" t="s">
        <v>111</v>
      </c>
      <c r="T403" t="s">
        <v>112</v>
      </c>
      <c r="U403" t="s">
        <v>9</v>
      </c>
      <c r="V403">
        <v>2</v>
      </c>
      <c r="W403" t="s">
        <v>21</v>
      </c>
      <c r="X403" t="s">
        <v>11</v>
      </c>
      <c r="Y403">
        <v>1</v>
      </c>
      <c r="Z403">
        <v>1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12</v>
      </c>
      <c r="AG403" t="s">
        <v>12</v>
      </c>
      <c r="AH403" t="s">
        <v>12</v>
      </c>
      <c r="AI403" t="s">
        <v>12</v>
      </c>
      <c r="AJ403" t="s">
        <v>12</v>
      </c>
      <c r="AK403">
        <v>0</v>
      </c>
      <c r="AL403">
        <v>0</v>
      </c>
      <c r="AM403">
        <v>0.19</v>
      </c>
      <c r="AN403" t="s">
        <v>12</v>
      </c>
      <c r="AO403" t="s">
        <v>12</v>
      </c>
    </row>
    <row r="404" spans="1:41" x14ac:dyDescent="0.35">
      <c r="A404">
        <v>21811705</v>
      </c>
      <c r="B404">
        <v>202601</v>
      </c>
      <c r="C404">
        <v>20508284684</v>
      </c>
      <c r="D404" t="s">
        <v>654</v>
      </c>
      <c r="E404" t="s">
        <v>1</v>
      </c>
      <c r="F404">
        <v>10270627</v>
      </c>
      <c r="G404" t="s">
        <v>24</v>
      </c>
      <c r="H404" t="s">
        <v>79</v>
      </c>
      <c r="I404">
        <v>75119.359375</v>
      </c>
      <c r="J404" s="1">
        <v>45891</v>
      </c>
      <c r="K404">
        <v>18</v>
      </c>
      <c r="L404" t="s">
        <v>37</v>
      </c>
      <c r="M404" t="s">
        <v>75</v>
      </c>
      <c r="N404" t="s">
        <v>98</v>
      </c>
      <c r="O404">
        <v>202508</v>
      </c>
      <c r="P404">
        <v>100005</v>
      </c>
      <c r="Q404" t="s">
        <v>79</v>
      </c>
      <c r="R404" t="s">
        <v>80</v>
      </c>
      <c r="S404" t="s">
        <v>31</v>
      </c>
      <c r="T404" t="s">
        <v>32</v>
      </c>
      <c r="U404" t="s">
        <v>63</v>
      </c>
      <c r="V404">
        <v>1</v>
      </c>
      <c r="W404" t="s">
        <v>21</v>
      </c>
      <c r="X404" t="s">
        <v>51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12</v>
      </c>
      <c r="AG404" t="s">
        <v>12</v>
      </c>
      <c r="AH404" t="s">
        <v>12</v>
      </c>
      <c r="AI404" t="s">
        <v>12</v>
      </c>
      <c r="AJ404" t="s">
        <v>12</v>
      </c>
      <c r="AK404">
        <v>250000</v>
      </c>
      <c r="AL404">
        <v>0.21</v>
      </c>
      <c r="AM404">
        <v>0.19</v>
      </c>
      <c r="AN404" t="s">
        <v>12</v>
      </c>
      <c r="AO404" t="s">
        <v>12</v>
      </c>
    </row>
    <row r="405" spans="1:41" x14ac:dyDescent="0.35">
      <c r="A405">
        <v>10369799</v>
      </c>
      <c r="B405">
        <v>202507</v>
      </c>
      <c r="C405">
        <v>10082816114</v>
      </c>
      <c r="D405" t="s">
        <v>655</v>
      </c>
      <c r="E405">
        <v>8281611</v>
      </c>
      <c r="F405">
        <v>10266239</v>
      </c>
      <c r="G405" t="s">
        <v>209</v>
      </c>
      <c r="H405" t="s">
        <v>513</v>
      </c>
      <c r="I405">
        <v>79755.7421875</v>
      </c>
      <c r="J405" s="1">
        <v>45733</v>
      </c>
      <c r="K405">
        <v>16.200001</v>
      </c>
      <c r="L405" t="s">
        <v>4</v>
      </c>
      <c r="M405" t="s">
        <v>4</v>
      </c>
      <c r="N405" t="s">
        <v>209</v>
      </c>
      <c r="O405">
        <v>202503</v>
      </c>
      <c r="P405">
        <v>100005</v>
      </c>
      <c r="Q405" t="s">
        <v>513</v>
      </c>
      <c r="R405" t="s">
        <v>514</v>
      </c>
      <c r="S405" t="s">
        <v>111</v>
      </c>
      <c r="T405" t="s">
        <v>112</v>
      </c>
      <c r="U405" t="s">
        <v>20</v>
      </c>
      <c r="V405">
        <v>2</v>
      </c>
      <c r="W405" t="s">
        <v>90</v>
      </c>
      <c r="X405" t="s">
        <v>12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12</v>
      </c>
      <c r="AG405" t="s">
        <v>12</v>
      </c>
      <c r="AH405" t="s">
        <v>12</v>
      </c>
      <c r="AI405" t="s">
        <v>12</v>
      </c>
      <c r="AJ405" t="s">
        <v>12</v>
      </c>
      <c r="AK405">
        <v>1</v>
      </c>
      <c r="AL405">
        <v>0.1898</v>
      </c>
      <c r="AM405" t="s">
        <v>12</v>
      </c>
      <c r="AN405" t="s">
        <v>12</v>
      </c>
      <c r="AO405" t="s">
        <v>12</v>
      </c>
    </row>
    <row r="406" spans="1:41" x14ac:dyDescent="0.35">
      <c r="A406">
        <v>12684474</v>
      </c>
      <c r="B406">
        <v>202512</v>
      </c>
      <c r="C406">
        <v>10408446614</v>
      </c>
      <c r="D406" t="s">
        <v>656</v>
      </c>
      <c r="E406">
        <v>40844661</v>
      </c>
      <c r="F406">
        <v>10264809</v>
      </c>
      <c r="G406" t="s">
        <v>24</v>
      </c>
      <c r="H406" t="s">
        <v>159</v>
      </c>
      <c r="I406">
        <v>16298.0732421875</v>
      </c>
      <c r="J406" s="1">
        <v>45684</v>
      </c>
      <c r="K406">
        <v>18.5</v>
      </c>
      <c r="L406" t="s">
        <v>37</v>
      </c>
      <c r="M406" t="s">
        <v>37</v>
      </c>
      <c r="N406" t="s">
        <v>98</v>
      </c>
      <c r="O406">
        <v>202501</v>
      </c>
      <c r="P406">
        <v>34001.699999999997</v>
      </c>
      <c r="Q406" t="s">
        <v>57</v>
      </c>
      <c r="R406" t="s">
        <v>58</v>
      </c>
      <c r="S406" t="s">
        <v>39</v>
      </c>
      <c r="T406" t="s">
        <v>40</v>
      </c>
      <c r="U406" t="s">
        <v>41</v>
      </c>
      <c r="V406">
        <v>1</v>
      </c>
      <c r="W406" t="s">
        <v>10</v>
      </c>
      <c r="X406" t="s">
        <v>59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12</v>
      </c>
      <c r="AG406" t="s">
        <v>12</v>
      </c>
      <c r="AH406" t="s">
        <v>12</v>
      </c>
      <c r="AI406" t="s">
        <v>12</v>
      </c>
      <c r="AJ406" t="s">
        <v>12</v>
      </c>
      <c r="AK406">
        <v>300000</v>
      </c>
      <c r="AL406">
        <v>0.21</v>
      </c>
      <c r="AM406">
        <v>0.19</v>
      </c>
      <c r="AN406" t="s">
        <v>12</v>
      </c>
      <c r="AO406" t="s">
        <v>12</v>
      </c>
    </row>
    <row r="407" spans="1:41" x14ac:dyDescent="0.35">
      <c r="A407">
        <v>20713213</v>
      </c>
      <c r="B407">
        <v>202504</v>
      </c>
      <c r="C407">
        <v>20535554111</v>
      </c>
      <c r="D407" t="s">
        <v>657</v>
      </c>
      <c r="E407" t="s">
        <v>1</v>
      </c>
      <c r="F407">
        <v>10249115</v>
      </c>
      <c r="G407" t="s">
        <v>65</v>
      </c>
      <c r="H407" t="s">
        <v>183</v>
      </c>
      <c r="I407">
        <v>53153.40625</v>
      </c>
      <c r="J407" s="1">
        <v>45362</v>
      </c>
      <c r="K407">
        <v>14.6</v>
      </c>
      <c r="L407" t="s">
        <v>37</v>
      </c>
      <c r="M407" t="s">
        <v>37</v>
      </c>
      <c r="N407" t="s">
        <v>47</v>
      </c>
      <c r="O407">
        <v>202403</v>
      </c>
      <c r="P407">
        <v>90004.5</v>
      </c>
      <c r="Q407" t="s">
        <v>12</v>
      </c>
      <c r="R407" t="s">
        <v>12</v>
      </c>
      <c r="S407" t="s">
        <v>12</v>
      </c>
      <c r="T407" t="s">
        <v>12</v>
      </c>
      <c r="U407" t="s">
        <v>12</v>
      </c>
      <c r="V407" t="s">
        <v>12</v>
      </c>
      <c r="W407" t="s">
        <v>12</v>
      </c>
      <c r="X407" t="s">
        <v>12</v>
      </c>
      <c r="Y407" t="s">
        <v>12</v>
      </c>
      <c r="Z407" t="s">
        <v>12</v>
      </c>
      <c r="AA407" t="s">
        <v>12</v>
      </c>
      <c r="AB407" t="s">
        <v>12</v>
      </c>
      <c r="AC407" t="s">
        <v>12</v>
      </c>
      <c r="AD407" t="s">
        <v>12</v>
      </c>
      <c r="AE407" t="s">
        <v>12</v>
      </c>
      <c r="AF407" t="s">
        <v>12</v>
      </c>
      <c r="AG407" t="s">
        <v>12</v>
      </c>
      <c r="AH407" t="s">
        <v>12</v>
      </c>
      <c r="AI407" t="s">
        <v>12</v>
      </c>
      <c r="AJ407" t="s">
        <v>12</v>
      </c>
      <c r="AK407" t="s">
        <v>12</v>
      </c>
      <c r="AL407" t="s">
        <v>12</v>
      </c>
      <c r="AM407" t="s">
        <v>12</v>
      </c>
      <c r="AN407" t="s">
        <v>12</v>
      </c>
      <c r="AO407" t="s">
        <v>12</v>
      </c>
    </row>
    <row r="408" spans="1:41" x14ac:dyDescent="0.35">
      <c r="A408">
        <v>20713213</v>
      </c>
      <c r="B408">
        <v>202506</v>
      </c>
      <c r="C408">
        <v>20535554111</v>
      </c>
      <c r="D408" t="s">
        <v>657</v>
      </c>
      <c r="E408" t="s">
        <v>1</v>
      </c>
      <c r="F408">
        <v>10249115</v>
      </c>
      <c r="G408" t="s">
        <v>65</v>
      </c>
      <c r="H408" t="s">
        <v>183</v>
      </c>
      <c r="I408">
        <v>12268.744140625</v>
      </c>
      <c r="J408" s="1">
        <v>45362</v>
      </c>
      <c r="K408">
        <v>14.6</v>
      </c>
      <c r="L408" t="s">
        <v>37</v>
      </c>
      <c r="M408" t="s">
        <v>37</v>
      </c>
      <c r="N408" t="s">
        <v>47</v>
      </c>
      <c r="O408">
        <v>202403</v>
      </c>
      <c r="P408">
        <v>90004.5</v>
      </c>
      <c r="Q408" t="s">
        <v>12</v>
      </c>
      <c r="R408" t="s">
        <v>12</v>
      </c>
      <c r="S408" t="s">
        <v>12</v>
      </c>
      <c r="T408" t="s">
        <v>12</v>
      </c>
      <c r="U408" t="s">
        <v>12</v>
      </c>
      <c r="V408" t="s">
        <v>12</v>
      </c>
      <c r="W408" t="s">
        <v>12</v>
      </c>
      <c r="X408" t="s">
        <v>12</v>
      </c>
      <c r="Y408" t="s">
        <v>12</v>
      </c>
      <c r="Z408" t="s">
        <v>12</v>
      </c>
      <c r="AA408" t="s">
        <v>12</v>
      </c>
      <c r="AB408" t="s">
        <v>12</v>
      </c>
      <c r="AC408" t="s">
        <v>12</v>
      </c>
      <c r="AD408" t="s">
        <v>12</v>
      </c>
      <c r="AE408" t="s">
        <v>12</v>
      </c>
      <c r="AF408" t="s">
        <v>12</v>
      </c>
      <c r="AG408" t="s">
        <v>12</v>
      </c>
      <c r="AH408" t="s">
        <v>12</v>
      </c>
      <c r="AI408" t="s">
        <v>12</v>
      </c>
      <c r="AJ408" t="s">
        <v>12</v>
      </c>
      <c r="AK408" t="s">
        <v>12</v>
      </c>
      <c r="AL408" t="s">
        <v>12</v>
      </c>
      <c r="AM408" t="s">
        <v>12</v>
      </c>
      <c r="AN408" t="s">
        <v>12</v>
      </c>
      <c r="AO408" t="s">
        <v>12</v>
      </c>
    </row>
    <row r="409" spans="1:41" x14ac:dyDescent="0.35">
      <c r="A409">
        <v>12097111</v>
      </c>
      <c r="B409">
        <v>202601</v>
      </c>
      <c r="C409">
        <v>10296516436</v>
      </c>
      <c r="D409" t="s">
        <v>658</v>
      </c>
      <c r="E409">
        <v>29651643</v>
      </c>
      <c r="F409">
        <v>10249035</v>
      </c>
      <c r="G409" t="s">
        <v>65</v>
      </c>
      <c r="H409" t="s">
        <v>39</v>
      </c>
      <c r="I409">
        <v>18191.103515625</v>
      </c>
      <c r="J409" s="1">
        <v>45362</v>
      </c>
      <c r="K409">
        <v>14.2</v>
      </c>
      <c r="L409" t="s">
        <v>37</v>
      </c>
      <c r="M409" t="s">
        <v>37</v>
      </c>
      <c r="N409" t="s">
        <v>47</v>
      </c>
      <c r="O409">
        <v>202403</v>
      </c>
      <c r="P409">
        <v>50002.5</v>
      </c>
      <c r="Q409" t="s">
        <v>12</v>
      </c>
      <c r="R409" t="s">
        <v>12</v>
      </c>
      <c r="S409" t="s">
        <v>12</v>
      </c>
      <c r="T409" t="s">
        <v>12</v>
      </c>
      <c r="U409" t="s">
        <v>12</v>
      </c>
      <c r="V409" t="s">
        <v>12</v>
      </c>
      <c r="W409" t="s">
        <v>12</v>
      </c>
      <c r="X409" t="s">
        <v>12</v>
      </c>
      <c r="Y409" t="s">
        <v>12</v>
      </c>
      <c r="Z409" t="s">
        <v>12</v>
      </c>
      <c r="AA409" t="s">
        <v>12</v>
      </c>
      <c r="AB409" t="s">
        <v>12</v>
      </c>
      <c r="AC409" t="s">
        <v>12</v>
      </c>
      <c r="AD409" t="s">
        <v>12</v>
      </c>
      <c r="AE409" t="s">
        <v>12</v>
      </c>
      <c r="AF409" t="s">
        <v>12</v>
      </c>
      <c r="AG409" t="s">
        <v>12</v>
      </c>
      <c r="AH409" t="s">
        <v>12</v>
      </c>
      <c r="AI409" t="s">
        <v>12</v>
      </c>
      <c r="AJ409" t="s">
        <v>12</v>
      </c>
      <c r="AK409" t="s">
        <v>12</v>
      </c>
      <c r="AL409" t="s">
        <v>12</v>
      </c>
      <c r="AM409" t="s">
        <v>12</v>
      </c>
      <c r="AN409" t="s">
        <v>12</v>
      </c>
      <c r="AO409" t="s">
        <v>12</v>
      </c>
    </row>
    <row r="410" spans="1:41" x14ac:dyDescent="0.35">
      <c r="A410">
        <v>12879143</v>
      </c>
      <c r="B410">
        <v>202512</v>
      </c>
      <c r="C410">
        <v>10257751401</v>
      </c>
      <c r="D410" t="s">
        <v>627</v>
      </c>
      <c r="E410">
        <v>25775140</v>
      </c>
      <c r="F410">
        <v>10249805</v>
      </c>
      <c r="G410" t="s">
        <v>65</v>
      </c>
      <c r="H410" t="s">
        <v>74</v>
      </c>
      <c r="I410">
        <v>36527.125</v>
      </c>
      <c r="J410" s="1">
        <v>45373</v>
      </c>
      <c r="K410">
        <v>13.8</v>
      </c>
      <c r="L410" t="s">
        <v>37</v>
      </c>
      <c r="M410" t="s">
        <v>37</v>
      </c>
      <c r="N410" t="s">
        <v>47</v>
      </c>
      <c r="O410">
        <v>202403</v>
      </c>
      <c r="P410">
        <v>90004.5</v>
      </c>
      <c r="Q410" t="s">
        <v>74</v>
      </c>
      <c r="R410" t="s">
        <v>76</v>
      </c>
      <c r="S410" t="s">
        <v>31</v>
      </c>
      <c r="T410" t="s">
        <v>32</v>
      </c>
      <c r="U410" t="s">
        <v>41</v>
      </c>
      <c r="V410">
        <v>1</v>
      </c>
      <c r="W410" t="s">
        <v>10</v>
      </c>
      <c r="X410" t="s">
        <v>59</v>
      </c>
      <c r="Y410">
        <v>1</v>
      </c>
      <c r="Z410">
        <v>1</v>
      </c>
      <c r="AA410">
        <v>0</v>
      </c>
      <c r="AB410">
        <v>0</v>
      </c>
      <c r="AC410">
        <v>1</v>
      </c>
      <c r="AD410">
        <v>1</v>
      </c>
      <c r="AE410">
        <v>0</v>
      </c>
      <c r="AF410" t="s">
        <v>12</v>
      </c>
      <c r="AG410" t="s">
        <v>12</v>
      </c>
      <c r="AH410" t="s">
        <v>12</v>
      </c>
      <c r="AI410" t="s">
        <v>12</v>
      </c>
      <c r="AJ410" t="s">
        <v>12</v>
      </c>
      <c r="AK410">
        <v>200000</v>
      </c>
      <c r="AL410">
        <v>0.23419999999999999</v>
      </c>
      <c r="AM410">
        <v>0.2142</v>
      </c>
      <c r="AN410" t="s">
        <v>12</v>
      </c>
      <c r="AO410" t="s">
        <v>12</v>
      </c>
    </row>
    <row r="411" spans="1:41" x14ac:dyDescent="0.35">
      <c r="A411">
        <v>9905082</v>
      </c>
      <c r="B411">
        <v>202507</v>
      </c>
      <c r="C411">
        <v>10402386563</v>
      </c>
      <c r="D411" t="s">
        <v>659</v>
      </c>
      <c r="E411">
        <v>40238656</v>
      </c>
      <c r="F411">
        <v>10265291</v>
      </c>
      <c r="G411" t="s">
        <v>14</v>
      </c>
      <c r="H411" t="s">
        <v>660</v>
      </c>
      <c r="I411">
        <v>46734.37890625</v>
      </c>
      <c r="J411" s="1">
        <v>45701</v>
      </c>
      <c r="K411">
        <v>18.5</v>
      </c>
      <c r="L411" t="s">
        <v>37</v>
      </c>
      <c r="M411" t="s">
        <v>37</v>
      </c>
      <c r="N411" t="s">
        <v>16</v>
      </c>
      <c r="O411">
        <v>202502</v>
      </c>
      <c r="P411">
        <v>57002.85</v>
      </c>
      <c r="Q411" t="s">
        <v>12</v>
      </c>
      <c r="R411" t="s">
        <v>12</v>
      </c>
      <c r="S411" t="s">
        <v>12</v>
      </c>
      <c r="T411" t="s">
        <v>12</v>
      </c>
      <c r="U411" t="s">
        <v>12</v>
      </c>
      <c r="V411" t="s">
        <v>12</v>
      </c>
      <c r="W411" t="s">
        <v>12</v>
      </c>
      <c r="X411" t="s">
        <v>12</v>
      </c>
      <c r="Y411" t="s">
        <v>12</v>
      </c>
      <c r="Z411" t="s">
        <v>12</v>
      </c>
      <c r="AA411" t="s">
        <v>12</v>
      </c>
      <c r="AB411" t="s">
        <v>12</v>
      </c>
      <c r="AC411" t="s">
        <v>12</v>
      </c>
      <c r="AD411" t="s">
        <v>12</v>
      </c>
      <c r="AE411" t="s">
        <v>12</v>
      </c>
      <c r="AF411" t="s">
        <v>12</v>
      </c>
      <c r="AG411" t="s">
        <v>12</v>
      </c>
      <c r="AH411" t="s">
        <v>12</v>
      </c>
      <c r="AI411" t="s">
        <v>12</v>
      </c>
      <c r="AJ411" t="s">
        <v>12</v>
      </c>
      <c r="AK411" t="s">
        <v>12</v>
      </c>
      <c r="AL411" t="s">
        <v>12</v>
      </c>
      <c r="AM411" t="s">
        <v>12</v>
      </c>
      <c r="AN411" t="s">
        <v>12</v>
      </c>
      <c r="AO411" t="s">
        <v>12</v>
      </c>
    </row>
    <row r="412" spans="1:41" x14ac:dyDescent="0.35">
      <c r="A412">
        <v>12886449</v>
      </c>
      <c r="B412">
        <v>202511</v>
      </c>
      <c r="C412">
        <v>10422969212</v>
      </c>
      <c r="D412" t="s">
        <v>155</v>
      </c>
      <c r="E412">
        <v>42296921</v>
      </c>
      <c r="F412">
        <v>10270449</v>
      </c>
      <c r="G412" t="s">
        <v>68</v>
      </c>
      <c r="H412" t="s">
        <v>101</v>
      </c>
      <c r="I412">
        <v>85905.0859375</v>
      </c>
      <c r="J412" s="1">
        <v>45887</v>
      </c>
      <c r="K412">
        <v>16</v>
      </c>
      <c r="L412" t="s">
        <v>86</v>
      </c>
      <c r="M412" t="s">
        <v>86</v>
      </c>
      <c r="N412" t="s">
        <v>70</v>
      </c>
      <c r="O412">
        <v>202508</v>
      </c>
      <c r="P412">
        <v>92004.6</v>
      </c>
      <c r="Q412" t="s">
        <v>101</v>
      </c>
      <c r="R412" t="s">
        <v>103</v>
      </c>
      <c r="S412" t="s">
        <v>88</v>
      </c>
      <c r="T412" t="s">
        <v>89</v>
      </c>
      <c r="U412" t="s">
        <v>20</v>
      </c>
      <c r="V412">
        <v>2</v>
      </c>
      <c r="W412" t="s">
        <v>10</v>
      </c>
      <c r="X412" t="s">
        <v>59</v>
      </c>
      <c r="Y412">
        <v>1</v>
      </c>
      <c r="Z412">
        <v>1</v>
      </c>
      <c r="AA412">
        <v>0</v>
      </c>
      <c r="AB412">
        <v>0</v>
      </c>
      <c r="AC412">
        <v>1</v>
      </c>
      <c r="AD412">
        <v>1</v>
      </c>
      <c r="AE412">
        <v>0</v>
      </c>
      <c r="AF412" t="s">
        <v>12</v>
      </c>
      <c r="AG412" t="s">
        <v>12</v>
      </c>
      <c r="AH412" t="s">
        <v>12</v>
      </c>
      <c r="AI412" t="s">
        <v>12</v>
      </c>
      <c r="AJ412" t="s">
        <v>12</v>
      </c>
      <c r="AK412">
        <v>1</v>
      </c>
      <c r="AL412">
        <v>1</v>
      </c>
      <c r="AM412" t="s">
        <v>12</v>
      </c>
      <c r="AN412" t="s">
        <v>12</v>
      </c>
      <c r="AO412" t="s">
        <v>12</v>
      </c>
    </row>
    <row r="413" spans="1:41" x14ac:dyDescent="0.35">
      <c r="A413">
        <v>19998286</v>
      </c>
      <c r="B413">
        <v>202601</v>
      </c>
      <c r="C413">
        <v>20601953405</v>
      </c>
      <c r="D413" t="s">
        <v>60</v>
      </c>
      <c r="E413" t="s">
        <v>1</v>
      </c>
      <c r="F413">
        <v>10269163</v>
      </c>
      <c r="G413" t="s">
        <v>78</v>
      </c>
      <c r="H413" t="s">
        <v>61</v>
      </c>
      <c r="I413">
        <v>156373.421875</v>
      </c>
      <c r="J413" s="1">
        <v>45835</v>
      </c>
      <c r="K413">
        <v>15</v>
      </c>
      <c r="L413" t="s">
        <v>86</v>
      </c>
      <c r="M413" t="s">
        <v>86</v>
      </c>
      <c r="N413" t="s">
        <v>41</v>
      </c>
      <c r="O413">
        <v>202506</v>
      </c>
      <c r="P413">
        <v>200010</v>
      </c>
      <c r="Q413" t="s">
        <v>61</v>
      </c>
      <c r="R413" t="s">
        <v>62</v>
      </c>
      <c r="S413" t="s">
        <v>39</v>
      </c>
      <c r="T413" t="s">
        <v>40</v>
      </c>
      <c r="U413" t="s">
        <v>63</v>
      </c>
      <c r="V413">
        <v>1</v>
      </c>
      <c r="W413" t="s">
        <v>21</v>
      </c>
      <c r="X413" t="s">
        <v>22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12</v>
      </c>
      <c r="AG413" t="s">
        <v>12</v>
      </c>
      <c r="AH413" t="s">
        <v>12</v>
      </c>
      <c r="AI413" t="s">
        <v>12</v>
      </c>
      <c r="AJ413" t="s">
        <v>12</v>
      </c>
      <c r="AK413">
        <v>250000</v>
      </c>
      <c r="AL413">
        <v>0.21</v>
      </c>
      <c r="AM413">
        <v>0.19</v>
      </c>
      <c r="AN413" t="s">
        <v>12</v>
      </c>
      <c r="AO413" t="s">
        <v>12</v>
      </c>
    </row>
    <row r="414" spans="1:41" x14ac:dyDescent="0.35">
      <c r="A414">
        <v>11027131</v>
      </c>
      <c r="B414">
        <v>202511</v>
      </c>
      <c r="C414">
        <v>20101602860</v>
      </c>
      <c r="D414" t="s">
        <v>661</v>
      </c>
      <c r="E414" t="s">
        <v>1</v>
      </c>
      <c r="F414">
        <v>10271613</v>
      </c>
      <c r="G414" t="s">
        <v>24</v>
      </c>
      <c r="H414" t="s">
        <v>140</v>
      </c>
      <c r="I414">
        <v>38184.72265625</v>
      </c>
      <c r="J414" s="1">
        <v>45923</v>
      </c>
      <c r="K414">
        <v>18</v>
      </c>
      <c r="L414" t="s">
        <v>86</v>
      </c>
      <c r="M414" t="s">
        <v>86</v>
      </c>
      <c r="N414" t="s">
        <v>98</v>
      </c>
      <c r="O414">
        <v>202509</v>
      </c>
      <c r="P414">
        <v>40002</v>
      </c>
      <c r="Q414" t="s">
        <v>329</v>
      </c>
      <c r="R414" t="s">
        <v>12</v>
      </c>
      <c r="S414" t="s">
        <v>12</v>
      </c>
      <c r="T414" t="s">
        <v>12</v>
      </c>
      <c r="U414" t="s">
        <v>20</v>
      </c>
      <c r="V414">
        <v>2</v>
      </c>
      <c r="W414" t="s">
        <v>10</v>
      </c>
      <c r="X414" t="s">
        <v>51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12</v>
      </c>
      <c r="AG414" t="s">
        <v>12</v>
      </c>
      <c r="AH414" t="s">
        <v>12</v>
      </c>
      <c r="AI414" t="s">
        <v>12</v>
      </c>
      <c r="AJ414" t="s">
        <v>12</v>
      </c>
      <c r="AK414">
        <v>1</v>
      </c>
      <c r="AL414">
        <v>1</v>
      </c>
      <c r="AM414" t="s">
        <v>12</v>
      </c>
      <c r="AN414" t="s">
        <v>12</v>
      </c>
      <c r="AO414" t="s">
        <v>12</v>
      </c>
    </row>
    <row r="415" spans="1:41" x14ac:dyDescent="0.35">
      <c r="A415">
        <v>19969368</v>
      </c>
      <c r="B415">
        <v>202512</v>
      </c>
      <c r="C415">
        <v>20603704267</v>
      </c>
      <c r="D415" t="s">
        <v>662</v>
      </c>
      <c r="E415" t="s">
        <v>1</v>
      </c>
      <c r="F415">
        <v>10270443</v>
      </c>
      <c r="G415" t="s">
        <v>78</v>
      </c>
      <c r="H415" t="s">
        <v>458</v>
      </c>
      <c r="I415">
        <v>230623.171875</v>
      </c>
      <c r="J415" s="1">
        <v>45887</v>
      </c>
      <c r="K415">
        <v>17</v>
      </c>
      <c r="L415" t="s">
        <v>4</v>
      </c>
      <c r="M415" t="s">
        <v>4</v>
      </c>
      <c r="N415" t="s">
        <v>41</v>
      </c>
      <c r="O415">
        <v>202508</v>
      </c>
      <c r="P415">
        <v>255512.75</v>
      </c>
      <c r="Q415" t="s">
        <v>458</v>
      </c>
      <c r="R415" t="s">
        <v>459</v>
      </c>
      <c r="S415" t="s">
        <v>31</v>
      </c>
      <c r="T415" t="s">
        <v>32</v>
      </c>
      <c r="U415" t="s">
        <v>9</v>
      </c>
      <c r="V415">
        <v>1</v>
      </c>
      <c r="W415" t="s">
        <v>10</v>
      </c>
      <c r="X415" t="s">
        <v>51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12</v>
      </c>
      <c r="AG415" t="s">
        <v>12</v>
      </c>
      <c r="AH415" t="s">
        <v>12</v>
      </c>
      <c r="AI415" t="s">
        <v>12</v>
      </c>
      <c r="AJ415" t="s">
        <v>12</v>
      </c>
      <c r="AK415">
        <v>0</v>
      </c>
      <c r="AL415">
        <v>0</v>
      </c>
      <c r="AM415">
        <v>0</v>
      </c>
      <c r="AN415" t="s">
        <v>12</v>
      </c>
      <c r="AO415" t="s">
        <v>12</v>
      </c>
    </row>
    <row r="416" spans="1:41" x14ac:dyDescent="0.35">
      <c r="A416">
        <v>13832803</v>
      </c>
      <c r="B416">
        <v>202509</v>
      </c>
      <c r="C416">
        <v>10412901822</v>
      </c>
      <c r="D416" t="s">
        <v>663</v>
      </c>
      <c r="E416">
        <v>41290182</v>
      </c>
      <c r="F416">
        <v>10267962</v>
      </c>
      <c r="G416" t="s">
        <v>24</v>
      </c>
      <c r="H416" t="s">
        <v>105</v>
      </c>
      <c r="I416">
        <v>56005.59375</v>
      </c>
      <c r="J416" s="1">
        <v>45797</v>
      </c>
      <c r="K416">
        <v>18.200001</v>
      </c>
      <c r="L416" t="s">
        <v>37</v>
      </c>
      <c r="M416" t="s">
        <v>37</v>
      </c>
      <c r="N416" t="s">
        <v>98</v>
      </c>
      <c r="O416">
        <v>202505</v>
      </c>
      <c r="P416">
        <v>70003.5</v>
      </c>
      <c r="Q416" t="s">
        <v>105</v>
      </c>
      <c r="R416" t="s">
        <v>106</v>
      </c>
      <c r="S416" t="s">
        <v>88</v>
      </c>
      <c r="T416" t="s">
        <v>89</v>
      </c>
      <c r="U416" t="s">
        <v>20</v>
      </c>
      <c r="V416">
        <v>2</v>
      </c>
      <c r="W416" t="s">
        <v>10</v>
      </c>
      <c r="X416" t="s">
        <v>59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12</v>
      </c>
      <c r="AG416" t="s">
        <v>12</v>
      </c>
      <c r="AH416" t="s">
        <v>12</v>
      </c>
      <c r="AI416" t="s">
        <v>12</v>
      </c>
      <c r="AJ416" t="s">
        <v>12</v>
      </c>
      <c r="AK416">
        <v>1</v>
      </c>
      <c r="AL416">
        <v>1</v>
      </c>
      <c r="AM416" t="s">
        <v>12</v>
      </c>
      <c r="AN416" t="s">
        <v>12</v>
      </c>
      <c r="AO416" t="s">
        <v>12</v>
      </c>
    </row>
    <row r="417" spans="1:41" x14ac:dyDescent="0.35">
      <c r="A417">
        <v>14417819</v>
      </c>
      <c r="B417">
        <v>202512</v>
      </c>
      <c r="C417">
        <v>20568308396</v>
      </c>
      <c r="D417" t="s">
        <v>664</v>
      </c>
      <c r="E417" t="s">
        <v>1</v>
      </c>
      <c r="F417">
        <v>10270355</v>
      </c>
      <c r="G417" t="s">
        <v>78</v>
      </c>
      <c r="H417" t="s">
        <v>240</v>
      </c>
      <c r="I417">
        <v>54244.6171875</v>
      </c>
      <c r="J417" s="1">
        <v>45882</v>
      </c>
      <c r="K417">
        <v>21</v>
      </c>
      <c r="L417" t="s">
        <v>4</v>
      </c>
      <c r="M417" t="s">
        <v>4</v>
      </c>
      <c r="N417" t="s">
        <v>41</v>
      </c>
      <c r="O417">
        <v>202508</v>
      </c>
      <c r="P417">
        <v>60003</v>
      </c>
      <c r="Q417" t="s">
        <v>240</v>
      </c>
      <c r="R417" t="s">
        <v>241</v>
      </c>
      <c r="S417" t="s">
        <v>39</v>
      </c>
      <c r="T417" t="s">
        <v>40</v>
      </c>
      <c r="U417" t="s">
        <v>20</v>
      </c>
      <c r="V417">
        <v>1</v>
      </c>
      <c r="W417" t="s">
        <v>10</v>
      </c>
      <c r="X417" t="s">
        <v>51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12</v>
      </c>
      <c r="AG417" t="s">
        <v>12</v>
      </c>
      <c r="AH417" t="s">
        <v>12</v>
      </c>
      <c r="AI417" t="s">
        <v>12</v>
      </c>
      <c r="AJ417" t="s">
        <v>12</v>
      </c>
      <c r="AK417">
        <v>1</v>
      </c>
      <c r="AL417">
        <v>1</v>
      </c>
      <c r="AM417" t="s">
        <v>12</v>
      </c>
      <c r="AN417" t="s">
        <v>12</v>
      </c>
      <c r="AO417" t="s">
        <v>12</v>
      </c>
    </row>
    <row r="418" spans="1:41" x14ac:dyDescent="0.35">
      <c r="A418">
        <v>16372619</v>
      </c>
      <c r="B418">
        <v>202510</v>
      </c>
      <c r="C418">
        <v>20605131485</v>
      </c>
      <c r="D418" t="s">
        <v>665</v>
      </c>
      <c r="E418" t="s">
        <v>1</v>
      </c>
      <c r="F418">
        <v>10258675</v>
      </c>
      <c r="G418" t="s">
        <v>45</v>
      </c>
      <c r="H418" t="s">
        <v>25</v>
      </c>
      <c r="I418">
        <v>62716.78125</v>
      </c>
      <c r="J418" s="1">
        <v>45511</v>
      </c>
      <c r="K418">
        <v>14.8</v>
      </c>
      <c r="L418" t="s">
        <v>37</v>
      </c>
      <c r="M418" t="s">
        <v>37</v>
      </c>
      <c r="N418" t="s">
        <v>47</v>
      </c>
      <c r="O418">
        <v>202408</v>
      </c>
      <c r="P418">
        <v>90004.5</v>
      </c>
      <c r="Q418" t="s">
        <v>25</v>
      </c>
      <c r="R418" t="s">
        <v>279</v>
      </c>
      <c r="S418" t="s">
        <v>7</v>
      </c>
      <c r="T418" t="s">
        <v>8</v>
      </c>
      <c r="U418" t="s">
        <v>41</v>
      </c>
      <c r="V418">
        <v>1</v>
      </c>
      <c r="W418" t="s">
        <v>10</v>
      </c>
      <c r="X418" t="s">
        <v>12</v>
      </c>
      <c r="Y418">
        <v>1</v>
      </c>
      <c r="Z418">
        <v>1</v>
      </c>
      <c r="AA418">
        <v>0</v>
      </c>
      <c r="AB418">
        <v>1</v>
      </c>
      <c r="AC418">
        <v>1</v>
      </c>
      <c r="AD418">
        <v>1</v>
      </c>
      <c r="AE418">
        <v>0</v>
      </c>
      <c r="AF418" t="s">
        <v>12</v>
      </c>
      <c r="AG418" t="s">
        <v>12</v>
      </c>
      <c r="AH418" t="s">
        <v>12</v>
      </c>
      <c r="AI418" t="s">
        <v>12</v>
      </c>
      <c r="AJ418" t="s">
        <v>12</v>
      </c>
      <c r="AK418">
        <v>250000</v>
      </c>
      <c r="AL418">
        <v>0.23</v>
      </c>
      <c r="AM418">
        <v>0.21</v>
      </c>
      <c r="AN418" t="s">
        <v>12</v>
      </c>
      <c r="AO418" t="s">
        <v>12</v>
      </c>
    </row>
    <row r="419" spans="1:41" x14ac:dyDescent="0.35">
      <c r="A419">
        <v>20718941</v>
      </c>
      <c r="B419">
        <v>202507</v>
      </c>
      <c r="C419">
        <v>20557930770</v>
      </c>
      <c r="D419" t="s">
        <v>666</v>
      </c>
      <c r="E419" t="s">
        <v>1</v>
      </c>
      <c r="F419">
        <v>10249303</v>
      </c>
      <c r="G419" t="s">
        <v>65</v>
      </c>
      <c r="H419" t="s">
        <v>294</v>
      </c>
      <c r="I419">
        <v>3664.22534179688</v>
      </c>
      <c r="J419" s="1">
        <v>45365</v>
      </c>
      <c r="K419">
        <v>14.2</v>
      </c>
      <c r="L419" t="s">
        <v>37</v>
      </c>
      <c r="M419" t="s">
        <v>37</v>
      </c>
      <c r="N419" t="s">
        <v>47</v>
      </c>
      <c r="O419">
        <v>202403</v>
      </c>
      <c r="P419">
        <v>90004.5</v>
      </c>
      <c r="Q419" t="s">
        <v>294</v>
      </c>
      <c r="R419" t="s">
        <v>295</v>
      </c>
      <c r="S419" t="s">
        <v>7</v>
      </c>
      <c r="T419" t="s">
        <v>8</v>
      </c>
      <c r="U419" t="s">
        <v>20</v>
      </c>
      <c r="V419">
        <v>1</v>
      </c>
      <c r="W419" t="s">
        <v>10</v>
      </c>
      <c r="X419" t="s">
        <v>12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 t="s">
        <v>12</v>
      </c>
      <c r="AG419" t="s">
        <v>12</v>
      </c>
      <c r="AH419" t="s">
        <v>12</v>
      </c>
      <c r="AI419" t="s">
        <v>12</v>
      </c>
      <c r="AJ419" t="s">
        <v>12</v>
      </c>
      <c r="AK419">
        <v>1</v>
      </c>
      <c r="AL419">
        <v>0.20380000000000001</v>
      </c>
      <c r="AM419">
        <v>0</v>
      </c>
      <c r="AN419" t="s">
        <v>12</v>
      </c>
      <c r="AO419" t="s">
        <v>12</v>
      </c>
    </row>
    <row r="420" spans="1:41" x14ac:dyDescent="0.35">
      <c r="A420">
        <v>16216301</v>
      </c>
      <c r="B420">
        <v>202508</v>
      </c>
      <c r="C420">
        <v>20601081831</v>
      </c>
      <c r="D420" t="s">
        <v>667</v>
      </c>
      <c r="E420" t="s">
        <v>1</v>
      </c>
      <c r="F420">
        <v>10265267</v>
      </c>
      <c r="G420" t="s">
        <v>14</v>
      </c>
      <c r="H420" t="s">
        <v>85</v>
      </c>
      <c r="I420">
        <v>101523.75</v>
      </c>
      <c r="J420" s="1">
        <v>45700</v>
      </c>
      <c r="K420">
        <v>18.2</v>
      </c>
      <c r="L420" t="s">
        <v>37</v>
      </c>
      <c r="M420" t="s">
        <v>37</v>
      </c>
      <c r="N420" t="s">
        <v>16</v>
      </c>
      <c r="O420">
        <v>202502</v>
      </c>
      <c r="P420">
        <v>130006.5</v>
      </c>
      <c r="Q420" t="s">
        <v>85</v>
      </c>
      <c r="R420" t="s">
        <v>87</v>
      </c>
      <c r="S420" t="s">
        <v>88</v>
      </c>
      <c r="T420" t="s">
        <v>89</v>
      </c>
      <c r="U420" t="s">
        <v>41</v>
      </c>
      <c r="V420">
        <v>2</v>
      </c>
      <c r="W420" t="s">
        <v>10</v>
      </c>
      <c r="X420" t="s">
        <v>12</v>
      </c>
      <c r="Y420">
        <v>1</v>
      </c>
      <c r="Z420">
        <v>1</v>
      </c>
      <c r="AA420">
        <v>0</v>
      </c>
      <c r="AB420">
        <v>0</v>
      </c>
      <c r="AC420">
        <v>1</v>
      </c>
      <c r="AD420">
        <v>1</v>
      </c>
      <c r="AE420">
        <v>0</v>
      </c>
      <c r="AF420" t="s">
        <v>12</v>
      </c>
      <c r="AG420" t="s">
        <v>12</v>
      </c>
      <c r="AH420" t="s">
        <v>12</v>
      </c>
      <c r="AI420" t="s">
        <v>12</v>
      </c>
      <c r="AJ420" t="s">
        <v>12</v>
      </c>
      <c r="AK420">
        <v>400000</v>
      </c>
      <c r="AL420">
        <v>0.21</v>
      </c>
      <c r="AM420">
        <v>0.19</v>
      </c>
      <c r="AN420" t="s">
        <v>12</v>
      </c>
      <c r="AO420" t="s">
        <v>12</v>
      </c>
    </row>
    <row r="421" spans="1:41" x14ac:dyDescent="0.35">
      <c r="A421">
        <v>18368360</v>
      </c>
      <c r="B421">
        <v>202511</v>
      </c>
      <c r="C421">
        <v>20603483848</v>
      </c>
      <c r="D421" t="s">
        <v>668</v>
      </c>
      <c r="E421" t="s">
        <v>1</v>
      </c>
      <c r="F421">
        <v>10264826</v>
      </c>
      <c r="G421" t="s">
        <v>24</v>
      </c>
      <c r="H421" t="s">
        <v>124</v>
      </c>
      <c r="I421">
        <v>53279.328125</v>
      </c>
      <c r="J421" s="1">
        <v>45684</v>
      </c>
      <c r="K421">
        <v>18.200001</v>
      </c>
      <c r="L421" t="s">
        <v>37</v>
      </c>
      <c r="M421" t="s">
        <v>37</v>
      </c>
      <c r="N421" t="s">
        <v>98</v>
      </c>
      <c r="O421">
        <v>202501</v>
      </c>
      <c r="P421">
        <v>80004</v>
      </c>
      <c r="Q421" t="s">
        <v>124</v>
      </c>
      <c r="R421" t="s">
        <v>125</v>
      </c>
      <c r="S421" t="s">
        <v>88</v>
      </c>
      <c r="T421" t="s">
        <v>89</v>
      </c>
      <c r="U421" t="s">
        <v>20</v>
      </c>
      <c r="V421">
        <v>2</v>
      </c>
      <c r="W421" t="s">
        <v>10</v>
      </c>
      <c r="X421" t="s">
        <v>51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12</v>
      </c>
      <c r="AG421" t="s">
        <v>12</v>
      </c>
      <c r="AH421" t="s">
        <v>12</v>
      </c>
      <c r="AI421" t="s">
        <v>12</v>
      </c>
      <c r="AJ421" t="s">
        <v>12</v>
      </c>
      <c r="AK421">
        <v>1</v>
      </c>
      <c r="AL421">
        <v>1</v>
      </c>
      <c r="AM421" t="s">
        <v>12</v>
      </c>
      <c r="AN421" t="s">
        <v>12</v>
      </c>
      <c r="AO421" t="s">
        <v>12</v>
      </c>
    </row>
    <row r="422" spans="1:41" x14ac:dyDescent="0.35">
      <c r="A422">
        <v>21660423</v>
      </c>
      <c r="B422">
        <v>202602</v>
      </c>
      <c r="C422">
        <v>20606668881</v>
      </c>
      <c r="D422" t="s">
        <v>669</v>
      </c>
      <c r="E422" t="s">
        <v>1</v>
      </c>
      <c r="F422">
        <v>10269912</v>
      </c>
      <c r="G422" t="s">
        <v>73</v>
      </c>
      <c r="H422" t="s">
        <v>478</v>
      </c>
      <c r="I422">
        <v>45974.03515625</v>
      </c>
      <c r="J422" s="1">
        <v>45862</v>
      </c>
      <c r="K422">
        <v>20</v>
      </c>
      <c r="L422" t="s">
        <v>86</v>
      </c>
      <c r="M422" t="s">
        <v>75</v>
      </c>
      <c r="N422" t="s">
        <v>20</v>
      </c>
      <c r="O422">
        <v>202507</v>
      </c>
      <c r="P422">
        <v>125006.25</v>
      </c>
      <c r="Q422" t="s">
        <v>12</v>
      </c>
      <c r="R422" t="s">
        <v>12</v>
      </c>
      <c r="S422" t="s">
        <v>12</v>
      </c>
      <c r="T422" t="s">
        <v>12</v>
      </c>
      <c r="U422" t="s">
        <v>12</v>
      </c>
      <c r="V422" t="s">
        <v>12</v>
      </c>
      <c r="W422" t="s">
        <v>12</v>
      </c>
      <c r="X422" t="s">
        <v>12</v>
      </c>
      <c r="Y422" t="s">
        <v>12</v>
      </c>
      <c r="Z422" t="s">
        <v>12</v>
      </c>
      <c r="AA422" t="s">
        <v>12</v>
      </c>
      <c r="AB422" t="s">
        <v>12</v>
      </c>
      <c r="AC422" t="s">
        <v>12</v>
      </c>
      <c r="AD422" t="s">
        <v>12</v>
      </c>
      <c r="AE422" t="s">
        <v>12</v>
      </c>
      <c r="AF422" t="s">
        <v>12</v>
      </c>
      <c r="AG422" t="s">
        <v>12</v>
      </c>
      <c r="AH422" t="s">
        <v>12</v>
      </c>
      <c r="AI422" t="s">
        <v>12</v>
      </c>
      <c r="AJ422" t="s">
        <v>12</v>
      </c>
      <c r="AK422" t="s">
        <v>12</v>
      </c>
      <c r="AL422" t="s">
        <v>12</v>
      </c>
      <c r="AM422" t="s">
        <v>12</v>
      </c>
      <c r="AN422" t="s">
        <v>12</v>
      </c>
      <c r="AO422" t="s">
        <v>12</v>
      </c>
    </row>
    <row r="423" spans="1:41" x14ac:dyDescent="0.35">
      <c r="A423">
        <v>17504456</v>
      </c>
      <c r="B423">
        <v>202601</v>
      </c>
      <c r="C423">
        <v>20606970405</v>
      </c>
      <c r="D423" t="s">
        <v>670</v>
      </c>
      <c r="E423" t="s">
        <v>1</v>
      </c>
      <c r="F423">
        <v>10271042</v>
      </c>
      <c r="G423" t="s">
        <v>268</v>
      </c>
      <c r="H423" t="s">
        <v>127</v>
      </c>
      <c r="I423">
        <v>40301.59765625</v>
      </c>
      <c r="J423" s="1">
        <v>45904</v>
      </c>
      <c r="K423">
        <v>22</v>
      </c>
      <c r="L423" t="s">
        <v>86</v>
      </c>
      <c r="M423" t="s">
        <v>86</v>
      </c>
      <c r="N423" t="s">
        <v>98</v>
      </c>
      <c r="O423">
        <v>202509</v>
      </c>
      <c r="P423">
        <v>50002.5</v>
      </c>
      <c r="Q423" t="s">
        <v>12</v>
      </c>
      <c r="R423" t="s">
        <v>12</v>
      </c>
      <c r="S423" t="s">
        <v>12</v>
      </c>
      <c r="T423" t="s">
        <v>12</v>
      </c>
      <c r="U423" t="s">
        <v>12</v>
      </c>
      <c r="V423" t="s">
        <v>12</v>
      </c>
      <c r="W423" t="s">
        <v>12</v>
      </c>
      <c r="X423" t="s">
        <v>12</v>
      </c>
      <c r="Y423" t="s">
        <v>12</v>
      </c>
      <c r="Z423" t="s">
        <v>12</v>
      </c>
      <c r="AA423" t="s">
        <v>12</v>
      </c>
      <c r="AB423" t="s">
        <v>12</v>
      </c>
      <c r="AC423" t="s">
        <v>12</v>
      </c>
      <c r="AD423" t="s">
        <v>12</v>
      </c>
      <c r="AE423" t="s">
        <v>12</v>
      </c>
      <c r="AF423" t="s">
        <v>12</v>
      </c>
      <c r="AG423" t="s">
        <v>12</v>
      </c>
      <c r="AH423" t="s">
        <v>12</v>
      </c>
      <c r="AI423" t="s">
        <v>12</v>
      </c>
      <c r="AJ423" t="s">
        <v>12</v>
      </c>
      <c r="AK423" t="s">
        <v>12</v>
      </c>
      <c r="AL423" t="s">
        <v>12</v>
      </c>
      <c r="AM423" t="s">
        <v>12</v>
      </c>
      <c r="AN423" t="s">
        <v>12</v>
      </c>
      <c r="AO423" t="s">
        <v>12</v>
      </c>
    </row>
    <row r="424" spans="1:41" x14ac:dyDescent="0.35">
      <c r="A424">
        <v>21683450</v>
      </c>
      <c r="B424">
        <v>202506</v>
      </c>
      <c r="C424">
        <v>20541797824</v>
      </c>
      <c r="D424" t="s">
        <v>671</v>
      </c>
      <c r="E424" t="s">
        <v>1</v>
      </c>
      <c r="F424">
        <v>10268561</v>
      </c>
      <c r="G424" t="s">
        <v>14</v>
      </c>
      <c r="H424" t="s">
        <v>159</v>
      </c>
      <c r="I424">
        <v>75503.75</v>
      </c>
      <c r="J424" s="1">
        <v>45818</v>
      </c>
      <c r="K424">
        <v>19</v>
      </c>
      <c r="L424" t="s">
        <v>37</v>
      </c>
      <c r="M424" t="s">
        <v>37</v>
      </c>
      <c r="N424" t="s">
        <v>16</v>
      </c>
      <c r="O424">
        <v>202506</v>
      </c>
      <c r="P424">
        <v>75503.75</v>
      </c>
      <c r="Q424" t="s">
        <v>249</v>
      </c>
      <c r="R424" t="s">
        <v>672</v>
      </c>
      <c r="S424" t="s">
        <v>585</v>
      </c>
      <c r="T424" t="s">
        <v>586</v>
      </c>
      <c r="U424" t="s">
        <v>16</v>
      </c>
      <c r="V424">
        <v>3</v>
      </c>
      <c r="W424" t="s">
        <v>10</v>
      </c>
      <c r="X424" t="s">
        <v>12</v>
      </c>
      <c r="Y424">
        <v>1</v>
      </c>
      <c r="Z424">
        <v>1</v>
      </c>
      <c r="AA424">
        <v>1</v>
      </c>
      <c r="AB424">
        <v>1</v>
      </c>
      <c r="AC424">
        <v>1</v>
      </c>
      <c r="AD424" t="s">
        <v>12</v>
      </c>
      <c r="AE424">
        <v>75503.75</v>
      </c>
      <c r="AF424">
        <v>19</v>
      </c>
      <c r="AG424" s="1">
        <v>45818</v>
      </c>
      <c r="AH424" t="s">
        <v>16</v>
      </c>
      <c r="AI424" t="s">
        <v>37</v>
      </c>
      <c r="AJ424" t="s">
        <v>33</v>
      </c>
      <c r="AK424">
        <v>75500</v>
      </c>
      <c r="AL424">
        <v>0.21</v>
      </c>
      <c r="AM424">
        <v>0.19</v>
      </c>
      <c r="AN424" t="s">
        <v>197</v>
      </c>
      <c r="AO424" t="s">
        <v>33</v>
      </c>
    </row>
    <row r="425" spans="1:41" x14ac:dyDescent="0.35">
      <c r="A425">
        <v>18550390</v>
      </c>
      <c r="B425">
        <v>202506</v>
      </c>
      <c r="C425">
        <v>20605735062</v>
      </c>
      <c r="D425" t="s">
        <v>673</v>
      </c>
      <c r="E425" t="s">
        <v>1</v>
      </c>
      <c r="F425">
        <v>10267783</v>
      </c>
      <c r="G425" t="s">
        <v>268</v>
      </c>
      <c r="H425" t="s">
        <v>159</v>
      </c>
      <c r="I425">
        <v>39049.6640625</v>
      </c>
      <c r="J425" s="1">
        <v>45791</v>
      </c>
      <c r="K425">
        <v>24.1</v>
      </c>
      <c r="L425" t="s">
        <v>37</v>
      </c>
      <c r="M425" t="s">
        <v>37</v>
      </c>
      <c r="N425" t="s">
        <v>98</v>
      </c>
      <c r="O425">
        <v>202505</v>
      </c>
      <c r="P425">
        <v>41002.050000000003</v>
      </c>
      <c r="Q425" t="s">
        <v>12</v>
      </c>
      <c r="R425" t="s">
        <v>12</v>
      </c>
      <c r="S425" t="s">
        <v>12</v>
      </c>
      <c r="T425" t="s">
        <v>12</v>
      </c>
      <c r="U425" t="s">
        <v>12</v>
      </c>
      <c r="V425" t="s">
        <v>12</v>
      </c>
      <c r="W425" t="s">
        <v>12</v>
      </c>
      <c r="X425" t="s">
        <v>12</v>
      </c>
      <c r="Y425" t="s">
        <v>12</v>
      </c>
      <c r="Z425" t="s">
        <v>12</v>
      </c>
      <c r="AA425" t="s">
        <v>12</v>
      </c>
      <c r="AB425" t="s">
        <v>12</v>
      </c>
      <c r="AC425" t="s">
        <v>12</v>
      </c>
      <c r="AD425" t="s">
        <v>12</v>
      </c>
      <c r="AE425" t="s">
        <v>12</v>
      </c>
      <c r="AF425" t="s">
        <v>12</v>
      </c>
      <c r="AG425" t="s">
        <v>12</v>
      </c>
      <c r="AH425" t="s">
        <v>12</v>
      </c>
      <c r="AI425" t="s">
        <v>12</v>
      </c>
      <c r="AJ425" t="s">
        <v>12</v>
      </c>
      <c r="AK425" t="s">
        <v>12</v>
      </c>
      <c r="AL425" t="s">
        <v>12</v>
      </c>
      <c r="AM425" t="s">
        <v>12</v>
      </c>
      <c r="AN425" t="s">
        <v>12</v>
      </c>
      <c r="AO425" t="s">
        <v>12</v>
      </c>
    </row>
    <row r="426" spans="1:41" x14ac:dyDescent="0.35">
      <c r="A426">
        <v>15558173</v>
      </c>
      <c r="B426">
        <v>202511</v>
      </c>
      <c r="C426">
        <v>20600889240</v>
      </c>
      <c r="D426" t="s">
        <v>674</v>
      </c>
      <c r="E426" t="s">
        <v>1</v>
      </c>
      <c r="F426">
        <v>10266190</v>
      </c>
      <c r="G426" t="s">
        <v>73</v>
      </c>
      <c r="H426" t="s">
        <v>603</v>
      </c>
      <c r="I426">
        <v>112192.328125</v>
      </c>
      <c r="J426" s="1">
        <v>45730</v>
      </c>
      <c r="K426">
        <v>17</v>
      </c>
      <c r="L426" t="s">
        <v>4</v>
      </c>
      <c r="M426" t="s">
        <v>75</v>
      </c>
      <c r="N426" t="s">
        <v>20</v>
      </c>
      <c r="O426">
        <v>202503</v>
      </c>
      <c r="P426">
        <v>150007.5</v>
      </c>
      <c r="Q426" t="s">
        <v>603</v>
      </c>
      <c r="R426" t="s">
        <v>642</v>
      </c>
      <c r="S426" t="s">
        <v>18</v>
      </c>
      <c r="T426" t="s">
        <v>122</v>
      </c>
      <c r="U426" t="s">
        <v>9</v>
      </c>
      <c r="V426">
        <v>1</v>
      </c>
      <c r="W426" t="s">
        <v>10</v>
      </c>
      <c r="X426" t="s">
        <v>22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12</v>
      </c>
      <c r="AG426" t="s">
        <v>12</v>
      </c>
      <c r="AH426" t="s">
        <v>12</v>
      </c>
      <c r="AI426" t="s">
        <v>12</v>
      </c>
      <c r="AJ426" t="s">
        <v>12</v>
      </c>
      <c r="AK426">
        <v>0</v>
      </c>
      <c r="AL426">
        <v>0</v>
      </c>
      <c r="AM426">
        <v>0</v>
      </c>
      <c r="AN426" t="s">
        <v>12</v>
      </c>
      <c r="AO426" t="s">
        <v>12</v>
      </c>
    </row>
    <row r="427" spans="1:41" x14ac:dyDescent="0.35">
      <c r="A427">
        <v>21583720</v>
      </c>
      <c r="B427">
        <v>202505</v>
      </c>
      <c r="C427">
        <v>10471913478</v>
      </c>
      <c r="D427" t="s">
        <v>675</v>
      </c>
      <c r="E427">
        <v>47191347</v>
      </c>
      <c r="F427">
        <v>10267038</v>
      </c>
      <c r="G427" t="s">
        <v>100</v>
      </c>
      <c r="H427" t="s">
        <v>183</v>
      </c>
      <c r="I427">
        <v>119064.0234375</v>
      </c>
      <c r="J427" s="1">
        <v>45761</v>
      </c>
      <c r="K427">
        <v>16</v>
      </c>
      <c r="L427" t="s">
        <v>37</v>
      </c>
      <c r="M427" t="s">
        <v>37</v>
      </c>
      <c r="N427" t="s">
        <v>102</v>
      </c>
      <c r="O427">
        <v>202504</v>
      </c>
      <c r="P427">
        <v>129093.95</v>
      </c>
      <c r="Q427" t="s">
        <v>12</v>
      </c>
      <c r="R427" t="s">
        <v>12</v>
      </c>
      <c r="S427" t="s">
        <v>12</v>
      </c>
      <c r="T427" t="s">
        <v>12</v>
      </c>
      <c r="U427" t="s">
        <v>12</v>
      </c>
      <c r="V427" t="s">
        <v>12</v>
      </c>
      <c r="W427" t="s">
        <v>12</v>
      </c>
      <c r="X427" t="s">
        <v>12</v>
      </c>
      <c r="Y427" t="s">
        <v>12</v>
      </c>
      <c r="Z427" t="s">
        <v>12</v>
      </c>
      <c r="AA427" t="s">
        <v>12</v>
      </c>
      <c r="AB427" t="s">
        <v>12</v>
      </c>
      <c r="AC427" t="s">
        <v>12</v>
      </c>
      <c r="AD427" t="s">
        <v>12</v>
      </c>
      <c r="AE427" t="s">
        <v>12</v>
      </c>
      <c r="AF427" t="s">
        <v>12</v>
      </c>
      <c r="AG427" t="s">
        <v>12</v>
      </c>
      <c r="AH427" t="s">
        <v>12</v>
      </c>
      <c r="AI427" t="s">
        <v>12</v>
      </c>
      <c r="AJ427" t="s">
        <v>12</v>
      </c>
      <c r="AK427" t="s">
        <v>12</v>
      </c>
      <c r="AL427" t="s">
        <v>12</v>
      </c>
      <c r="AM427" t="s">
        <v>12</v>
      </c>
      <c r="AN427" t="s">
        <v>12</v>
      </c>
      <c r="AO427" t="s">
        <v>12</v>
      </c>
    </row>
    <row r="428" spans="1:41" x14ac:dyDescent="0.35">
      <c r="A428">
        <v>11867933</v>
      </c>
      <c r="B428">
        <v>202602</v>
      </c>
      <c r="C428">
        <v>20110008601</v>
      </c>
      <c r="D428" t="s">
        <v>676</v>
      </c>
      <c r="E428" t="s">
        <v>1</v>
      </c>
      <c r="F428">
        <v>10155821</v>
      </c>
      <c r="G428" t="s">
        <v>2</v>
      </c>
      <c r="H428" t="s">
        <v>7</v>
      </c>
      <c r="I428">
        <v>66132.21875</v>
      </c>
      <c r="J428" s="1">
        <v>45876</v>
      </c>
      <c r="K428">
        <v>17.5</v>
      </c>
      <c r="L428" t="s">
        <v>4</v>
      </c>
      <c r="M428" t="s">
        <v>4</v>
      </c>
      <c r="N428" t="s">
        <v>5</v>
      </c>
      <c r="O428">
        <v>202508</v>
      </c>
      <c r="P428">
        <v>80989</v>
      </c>
      <c r="Q428" t="s">
        <v>69</v>
      </c>
      <c r="R428" t="s">
        <v>71</v>
      </c>
      <c r="S428" t="s">
        <v>7</v>
      </c>
      <c r="T428" t="s">
        <v>8</v>
      </c>
      <c r="U428" t="s">
        <v>70</v>
      </c>
      <c r="V428">
        <v>1</v>
      </c>
      <c r="W428" t="s">
        <v>10</v>
      </c>
      <c r="X428" t="s">
        <v>22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12</v>
      </c>
      <c r="AG428" t="s">
        <v>12</v>
      </c>
      <c r="AH428" t="s">
        <v>12</v>
      </c>
      <c r="AI428" t="s">
        <v>12</v>
      </c>
      <c r="AJ428" t="s">
        <v>12</v>
      </c>
      <c r="AK428">
        <v>151000</v>
      </c>
      <c r="AL428">
        <v>0.19589999999999999</v>
      </c>
      <c r="AM428">
        <v>0.1759</v>
      </c>
      <c r="AN428" t="s">
        <v>12</v>
      </c>
      <c r="AO428" t="s">
        <v>12</v>
      </c>
    </row>
    <row r="429" spans="1:41" x14ac:dyDescent="0.35">
      <c r="A429">
        <v>19194382</v>
      </c>
      <c r="B429">
        <v>202509</v>
      </c>
      <c r="C429">
        <v>20607574155</v>
      </c>
      <c r="D429" t="s">
        <v>677</v>
      </c>
      <c r="E429" t="s">
        <v>1</v>
      </c>
      <c r="F429">
        <v>10269848</v>
      </c>
      <c r="G429" t="s">
        <v>100</v>
      </c>
      <c r="H429" t="s">
        <v>201</v>
      </c>
      <c r="I429">
        <v>231432.34375</v>
      </c>
      <c r="J429" s="1">
        <v>45860</v>
      </c>
      <c r="K429">
        <v>17</v>
      </c>
      <c r="L429" t="s">
        <v>86</v>
      </c>
      <c r="M429" t="s">
        <v>86</v>
      </c>
      <c r="N429" t="s">
        <v>102</v>
      </c>
      <c r="O429">
        <v>202507</v>
      </c>
      <c r="P429">
        <v>241938.55</v>
      </c>
      <c r="Q429" t="s">
        <v>170</v>
      </c>
      <c r="R429" t="s">
        <v>678</v>
      </c>
      <c r="S429" t="s">
        <v>111</v>
      </c>
      <c r="T429" t="s">
        <v>112</v>
      </c>
      <c r="U429" t="s">
        <v>20</v>
      </c>
      <c r="V429">
        <v>2</v>
      </c>
      <c r="W429" t="s">
        <v>10</v>
      </c>
      <c r="X429" t="s">
        <v>11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12</v>
      </c>
      <c r="AG429" t="s">
        <v>12</v>
      </c>
      <c r="AH429" t="s">
        <v>12</v>
      </c>
      <c r="AI429" t="s">
        <v>12</v>
      </c>
      <c r="AJ429" t="s">
        <v>12</v>
      </c>
      <c r="AK429">
        <v>1</v>
      </c>
      <c r="AL429">
        <v>1</v>
      </c>
      <c r="AM429" t="s">
        <v>12</v>
      </c>
      <c r="AN429" t="s">
        <v>12</v>
      </c>
      <c r="AO429" t="s">
        <v>12</v>
      </c>
    </row>
    <row r="430" spans="1:41" x14ac:dyDescent="0.35">
      <c r="A430">
        <v>21032884</v>
      </c>
      <c r="B430">
        <v>202507</v>
      </c>
      <c r="C430">
        <v>20491401771</v>
      </c>
      <c r="D430" t="s">
        <v>679</v>
      </c>
      <c r="E430" t="s">
        <v>1</v>
      </c>
      <c r="F430">
        <v>10257846</v>
      </c>
      <c r="G430" t="s">
        <v>65</v>
      </c>
      <c r="H430" t="s">
        <v>101</v>
      </c>
      <c r="I430">
        <v>46572.765625</v>
      </c>
      <c r="J430" s="1">
        <v>45497</v>
      </c>
      <c r="K430">
        <v>15.5</v>
      </c>
      <c r="L430" t="s">
        <v>37</v>
      </c>
      <c r="M430" t="s">
        <v>37</v>
      </c>
      <c r="N430" t="s">
        <v>47</v>
      </c>
      <c r="O430">
        <v>202407</v>
      </c>
      <c r="P430">
        <v>60003</v>
      </c>
      <c r="Q430" t="s">
        <v>101</v>
      </c>
      <c r="R430" t="s">
        <v>103</v>
      </c>
      <c r="S430" t="s">
        <v>88</v>
      </c>
      <c r="T430" t="s">
        <v>89</v>
      </c>
      <c r="U430" t="s">
        <v>41</v>
      </c>
      <c r="V430">
        <v>2</v>
      </c>
      <c r="W430" t="s">
        <v>10</v>
      </c>
      <c r="X430" t="s">
        <v>12</v>
      </c>
      <c r="Y430">
        <v>1</v>
      </c>
      <c r="Z430">
        <v>1</v>
      </c>
      <c r="AA430">
        <v>0</v>
      </c>
      <c r="AB430">
        <v>1</v>
      </c>
      <c r="AC430">
        <v>1</v>
      </c>
      <c r="AD430">
        <v>1</v>
      </c>
      <c r="AE430">
        <v>0</v>
      </c>
      <c r="AF430" t="s">
        <v>12</v>
      </c>
      <c r="AG430" t="s">
        <v>12</v>
      </c>
      <c r="AH430" t="s">
        <v>12</v>
      </c>
      <c r="AI430" t="s">
        <v>12</v>
      </c>
      <c r="AJ430" t="s">
        <v>12</v>
      </c>
      <c r="AK430">
        <v>60000</v>
      </c>
      <c r="AL430">
        <v>0.27</v>
      </c>
      <c r="AM430">
        <v>0.25</v>
      </c>
      <c r="AN430" t="s">
        <v>12</v>
      </c>
      <c r="AO430" t="s">
        <v>12</v>
      </c>
    </row>
    <row r="431" spans="1:41" x14ac:dyDescent="0.35">
      <c r="A431">
        <v>12589444</v>
      </c>
      <c r="B431">
        <v>202508</v>
      </c>
      <c r="C431">
        <v>10481089943</v>
      </c>
      <c r="D431" t="s">
        <v>680</v>
      </c>
      <c r="E431">
        <v>48108994</v>
      </c>
      <c r="F431">
        <v>10258092</v>
      </c>
      <c r="G431" t="s">
        <v>65</v>
      </c>
      <c r="H431" t="s">
        <v>422</v>
      </c>
      <c r="I431">
        <v>66228.0859375</v>
      </c>
      <c r="J431" s="1">
        <v>45498</v>
      </c>
      <c r="K431">
        <v>14.5</v>
      </c>
      <c r="L431" t="s">
        <v>37</v>
      </c>
      <c r="M431" t="s">
        <v>37</v>
      </c>
      <c r="N431" t="s">
        <v>47</v>
      </c>
      <c r="O431">
        <v>202407</v>
      </c>
      <c r="P431">
        <v>90004.5</v>
      </c>
      <c r="Q431" t="s">
        <v>422</v>
      </c>
      <c r="R431" t="s">
        <v>424</v>
      </c>
      <c r="S431" t="s">
        <v>88</v>
      </c>
      <c r="T431" t="s">
        <v>89</v>
      </c>
      <c r="U431" t="s">
        <v>41</v>
      </c>
      <c r="V431">
        <v>2</v>
      </c>
      <c r="W431" t="s">
        <v>90</v>
      </c>
      <c r="X431" t="s">
        <v>12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12</v>
      </c>
      <c r="AG431" t="s">
        <v>12</v>
      </c>
      <c r="AH431" t="s">
        <v>12</v>
      </c>
      <c r="AI431" t="s">
        <v>12</v>
      </c>
      <c r="AJ431" t="s">
        <v>12</v>
      </c>
      <c r="AK431">
        <v>200000</v>
      </c>
      <c r="AL431">
        <v>0.24</v>
      </c>
      <c r="AM431">
        <v>0.21629999999999999</v>
      </c>
      <c r="AN431" t="s">
        <v>12</v>
      </c>
      <c r="AO431" t="s">
        <v>12</v>
      </c>
    </row>
    <row r="432" spans="1:41" x14ac:dyDescent="0.35">
      <c r="A432">
        <v>21561786</v>
      </c>
      <c r="B432">
        <v>202512</v>
      </c>
      <c r="C432">
        <v>20606753820</v>
      </c>
      <c r="D432" t="s">
        <v>681</v>
      </c>
      <c r="E432" t="s">
        <v>1</v>
      </c>
      <c r="F432">
        <v>10267966</v>
      </c>
      <c r="G432" t="s">
        <v>24</v>
      </c>
      <c r="H432" t="s">
        <v>109</v>
      </c>
      <c r="I432">
        <v>65204.1640625</v>
      </c>
      <c r="J432" s="1">
        <v>45797</v>
      </c>
      <c r="K432">
        <v>17</v>
      </c>
      <c r="L432" t="s">
        <v>37</v>
      </c>
      <c r="M432" t="s">
        <v>37</v>
      </c>
      <c r="N432" t="s">
        <v>98</v>
      </c>
      <c r="O432">
        <v>202505</v>
      </c>
      <c r="P432">
        <v>102005.1</v>
      </c>
      <c r="Q432" t="s">
        <v>109</v>
      </c>
      <c r="R432" t="s">
        <v>110</v>
      </c>
      <c r="S432" t="s">
        <v>111</v>
      </c>
      <c r="T432" t="s">
        <v>112</v>
      </c>
      <c r="U432" t="s">
        <v>41</v>
      </c>
      <c r="V432">
        <v>2</v>
      </c>
      <c r="W432" t="s">
        <v>10</v>
      </c>
      <c r="X432" t="s">
        <v>22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1</v>
      </c>
      <c r="AE432">
        <v>0</v>
      </c>
      <c r="AF432" t="s">
        <v>12</v>
      </c>
      <c r="AG432" t="s">
        <v>12</v>
      </c>
      <c r="AH432" t="s">
        <v>12</v>
      </c>
      <c r="AI432" t="s">
        <v>12</v>
      </c>
      <c r="AJ432" t="s">
        <v>12</v>
      </c>
      <c r="AK432">
        <v>250000</v>
      </c>
      <c r="AL432">
        <v>0.21</v>
      </c>
      <c r="AM432">
        <v>0.19</v>
      </c>
      <c r="AN432" t="s">
        <v>12</v>
      </c>
      <c r="AO432" t="s">
        <v>12</v>
      </c>
    </row>
    <row r="433" spans="1:41" x14ac:dyDescent="0.35">
      <c r="A433">
        <v>21504290</v>
      </c>
      <c r="B433">
        <v>202601</v>
      </c>
      <c r="C433">
        <v>20612069019</v>
      </c>
      <c r="D433" t="s">
        <v>682</v>
      </c>
      <c r="E433" t="s">
        <v>1</v>
      </c>
      <c r="F433">
        <v>10265788</v>
      </c>
      <c r="G433" t="s">
        <v>24</v>
      </c>
      <c r="H433" t="s">
        <v>159</v>
      </c>
      <c r="I433">
        <v>28874.630859375</v>
      </c>
      <c r="J433" s="1">
        <v>45715</v>
      </c>
      <c r="K433">
        <v>20</v>
      </c>
      <c r="L433" t="s">
        <v>37</v>
      </c>
      <c r="M433" t="s">
        <v>37</v>
      </c>
      <c r="N433" t="s">
        <v>98</v>
      </c>
      <c r="O433">
        <v>202502</v>
      </c>
      <c r="P433">
        <v>60003</v>
      </c>
      <c r="Q433" t="s">
        <v>85</v>
      </c>
      <c r="R433" t="s">
        <v>87</v>
      </c>
      <c r="S433" t="s">
        <v>88</v>
      </c>
      <c r="T433" t="s">
        <v>89</v>
      </c>
      <c r="U433" t="s">
        <v>41</v>
      </c>
      <c r="V433">
        <v>2</v>
      </c>
      <c r="W433" t="s">
        <v>21</v>
      </c>
      <c r="X433" t="s">
        <v>51</v>
      </c>
      <c r="Y433">
        <v>1</v>
      </c>
      <c r="Z433">
        <v>1</v>
      </c>
      <c r="AA433">
        <v>0</v>
      </c>
      <c r="AB433">
        <v>1</v>
      </c>
      <c r="AC433">
        <v>1</v>
      </c>
      <c r="AD433">
        <v>0</v>
      </c>
      <c r="AE433">
        <v>0</v>
      </c>
      <c r="AF433" t="s">
        <v>12</v>
      </c>
      <c r="AG433" t="s">
        <v>12</v>
      </c>
      <c r="AH433" t="s">
        <v>12</v>
      </c>
      <c r="AI433" t="s">
        <v>12</v>
      </c>
      <c r="AJ433" t="s">
        <v>12</v>
      </c>
      <c r="AK433">
        <v>60000</v>
      </c>
      <c r="AL433">
        <v>0.22270000000000001</v>
      </c>
      <c r="AM433">
        <v>0.20269999999999999</v>
      </c>
      <c r="AN433" t="s">
        <v>12</v>
      </c>
      <c r="AO433" t="s">
        <v>12</v>
      </c>
    </row>
    <row r="434" spans="1:41" x14ac:dyDescent="0.35">
      <c r="A434">
        <v>21486674</v>
      </c>
      <c r="B434">
        <v>202505</v>
      </c>
      <c r="C434">
        <v>10481019872</v>
      </c>
      <c r="D434" t="s">
        <v>683</v>
      </c>
      <c r="E434">
        <v>48101987</v>
      </c>
      <c r="F434">
        <v>10265481</v>
      </c>
      <c r="G434" t="s">
        <v>100</v>
      </c>
      <c r="H434" t="s">
        <v>183</v>
      </c>
      <c r="I434">
        <v>122400.703125</v>
      </c>
      <c r="J434" s="1">
        <v>45708</v>
      </c>
      <c r="K434">
        <v>14</v>
      </c>
      <c r="L434" t="s">
        <v>37</v>
      </c>
      <c r="M434" t="s">
        <v>37</v>
      </c>
      <c r="N434" t="s">
        <v>102</v>
      </c>
      <c r="O434">
        <v>202502</v>
      </c>
      <c r="P434">
        <v>144457.20000000001</v>
      </c>
      <c r="Q434" t="s">
        <v>12</v>
      </c>
      <c r="R434" t="s">
        <v>12</v>
      </c>
      <c r="S434" t="s">
        <v>12</v>
      </c>
      <c r="T434" t="s">
        <v>12</v>
      </c>
      <c r="U434" t="s">
        <v>12</v>
      </c>
      <c r="V434" t="s">
        <v>12</v>
      </c>
      <c r="W434" t="s">
        <v>12</v>
      </c>
      <c r="X434" t="s">
        <v>12</v>
      </c>
      <c r="Y434" t="s">
        <v>12</v>
      </c>
      <c r="Z434" t="s">
        <v>12</v>
      </c>
      <c r="AA434" t="s">
        <v>12</v>
      </c>
      <c r="AB434" t="s">
        <v>12</v>
      </c>
      <c r="AC434" t="s">
        <v>12</v>
      </c>
      <c r="AD434" t="s">
        <v>12</v>
      </c>
      <c r="AE434" t="s">
        <v>12</v>
      </c>
      <c r="AF434" t="s">
        <v>12</v>
      </c>
      <c r="AG434" t="s">
        <v>12</v>
      </c>
      <c r="AH434" t="s">
        <v>12</v>
      </c>
      <c r="AI434" t="s">
        <v>12</v>
      </c>
      <c r="AJ434" t="s">
        <v>12</v>
      </c>
      <c r="AK434" t="s">
        <v>12</v>
      </c>
      <c r="AL434" t="s">
        <v>12</v>
      </c>
      <c r="AM434" t="s">
        <v>12</v>
      </c>
      <c r="AN434" t="s">
        <v>12</v>
      </c>
      <c r="AO434" t="s">
        <v>12</v>
      </c>
    </row>
    <row r="435" spans="1:41" x14ac:dyDescent="0.35">
      <c r="A435">
        <v>11293859</v>
      </c>
      <c r="B435">
        <v>202505</v>
      </c>
      <c r="C435">
        <v>10419517807</v>
      </c>
      <c r="D435" t="s">
        <v>684</v>
      </c>
      <c r="E435">
        <v>41951780</v>
      </c>
      <c r="F435">
        <v>10170103</v>
      </c>
      <c r="G435" t="s">
        <v>2</v>
      </c>
      <c r="H435" t="s">
        <v>7</v>
      </c>
      <c r="I435">
        <v>111203.1796875</v>
      </c>
      <c r="J435" s="1">
        <v>45971</v>
      </c>
      <c r="K435">
        <v>19</v>
      </c>
      <c r="L435" t="s">
        <v>4</v>
      </c>
      <c r="M435" t="s">
        <v>4</v>
      </c>
      <c r="N435" t="s">
        <v>5</v>
      </c>
      <c r="O435">
        <v>202511</v>
      </c>
      <c r="P435">
        <v>180009</v>
      </c>
      <c r="Q435" t="s">
        <v>12</v>
      </c>
      <c r="R435" t="s">
        <v>12</v>
      </c>
      <c r="S435" t="s">
        <v>12</v>
      </c>
      <c r="T435" t="s">
        <v>12</v>
      </c>
      <c r="U435" t="s">
        <v>12</v>
      </c>
      <c r="V435" t="s">
        <v>12</v>
      </c>
      <c r="W435" t="s">
        <v>12</v>
      </c>
      <c r="X435" t="s">
        <v>12</v>
      </c>
      <c r="Y435" t="s">
        <v>12</v>
      </c>
      <c r="Z435" t="s">
        <v>12</v>
      </c>
      <c r="AA435" t="s">
        <v>12</v>
      </c>
      <c r="AB435" t="s">
        <v>12</v>
      </c>
      <c r="AC435" t="s">
        <v>12</v>
      </c>
      <c r="AD435" t="s">
        <v>12</v>
      </c>
      <c r="AE435" t="s">
        <v>12</v>
      </c>
      <c r="AF435" t="s">
        <v>12</v>
      </c>
      <c r="AG435" t="s">
        <v>12</v>
      </c>
      <c r="AH435" t="s">
        <v>12</v>
      </c>
      <c r="AI435" t="s">
        <v>12</v>
      </c>
      <c r="AJ435" t="s">
        <v>12</v>
      </c>
      <c r="AK435" t="s">
        <v>12</v>
      </c>
      <c r="AL435" t="s">
        <v>12</v>
      </c>
      <c r="AM435" t="s">
        <v>12</v>
      </c>
      <c r="AN435" t="s">
        <v>12</v>
      </c>
      <c r="AO435" t="s">
        <v>12</v>
      </c>
    </row>
    <row r="436" spans="1:41" x14ac:dyDescent="0.35">
      <c r="A436">
        <v>21450784</v>
      </c>
      <c r="B436">
        <v>202511</v>
      </c>
      <c r="C436">
        <v>20606717742</v>
      </c>
      <c r="D436" t="s">
        <v>685</v>
      </c>
      <c r="E436" t="s">
        <v>1</v>
      </c>
      <c r="F436">
        <v>10264912</v>
      </c>
      <c r="G436" t="s">
        <v>28</v>
      </c>
      <c r="H436" t="s">
        <v>61</v>
      </c>
      <c r="I436">
        <v>53444.83984375</v>
      </c>
      <c r="J436" s="1">
        <v>45686</v>
      </c>
      <c r="K436">
        <v>19.200001</v>
      </c>
      <c r="L436" t="s">
        <v>4</v>
      </c>
      <c r="M436" t="s">
        <v>4</v>
      </c>
      <c r="N436" t="s">
        <v>26</v>
      </c>
      <c r="O436">
        <v>202501</v>
      </c>
      <c r="P436">
        <v>100005</v>
      </c>
      <c r="Q436" t="s">
        <v>61</v>
      </c>
      <c r="R436" t="s">
        <v>62</v>
      </c>
      <c r="S436" t="s">
        <v>39</v>
      </c>
      <c r="T436" t="s">
        <v>40</v>
      </c>
      <c r="U436" t="s">
        <v>41</v>
      </c>
      <c r="V436">
        <v>1</v>
      </c>
      <c r="W436" t="s">
        <v>10</v>
      </c>
      <c r="X436" t="s">
        <v>51</v>
      </c>
      <c r="Y436">
        <v>1</v>
      </c>
      <c r="Z436">
        <v>1</v>
      </c>
      <c r="AA436">
        <v>0</v>
      </c>
      <c r="AB436">
        <v>0</v>
      </c>
      <c r="AC436">
        <v>1</v>
      </c>
      <c r="AD436">
        <v>1</v>
      </c>
      <c r="AE436">
        <v>0</v>
      </c>
      <c r="AF436" t="s">
        <v>12</v>
      </c>
      <c r="AG436" t="s">
        <v>12</v>
      </c>
      <c r="AH436" t="s">
        <v>12</v>
      </c>
      <c r="AI436" t="s">
        <v>12</v>
      </c>
      <c r="AJ436" t="s">
        <v>12</v>
      </c>
      <c r="AK436">
        <v>250000</v>
      </c>
      <c r="AL436">
        <v>0.21199999999999999</v>
      </c>
      <c r="AM436">
        <v>0.192</v>
      </c>
      <c r="AN436" t="s">
        <v>12</v>
      </c>
      <c r="AO436" t="s">
        <v>12</v>
      </c>
    </row>
    <row r="437" spans="1:41" x14ac:dyDescent="0.35">
      <c r="A437">
        <v>9751942</v>
      </c>
      <c r="B437">
        <v>202506</v>
      </c>
      <c r="C437">
        <v>20511608865</v>
      </c>
      <c r="D437" t="s">
        <v>686</v>
      </c>
      <c r="E437" t="s">
        <v>1</v>
      </c>
      <c r="F437">
        <v>10265504</v>
      </c>
      <c r="G437" t="s">
        <v>92</v>
      </c>
      <c r="H437" t="s">
        <v>7</v>
      </c>
      <c r="I437">
        <v>49652.0390625</v>
      </c>
      <c r="J437" s="1">
        <v>45708</v>
      </c>
      <c r="K437">
        <v>22.98</v>
      </c>
      <c r="L437" t="s">
        <v>4</v>
      </c>
      <c r="M437" t="s">
        <v>4</v>
      </c>
      <c r="N437" t="s">
        <v>41</v>
      </c>
      <c r="O437">
        <v>202502</v>
      </c>
      <c r="P437">
        <v>100005</v>
      </c>
      <c r="Q437" t="s">
        <v>12</v>
      </c>
      <c r="R437" t="s">
        <v>12</v>
      </c>
      <c r="S437" t="s">
        <v>12</v>
      </c>
      <c r="T437" t="s">
        <v>12</v>
      </c>
      <c r="U437" t="s">
        <v>12</v>
      </c>
      <c r="V437" t="s">
        <v>12</v>
      </c>
      <c r="W437" t="s">
        <v>12</v>
      </c>
      <c r="X437" t="s">
        <v>12</v>
      </c>
      <c r="Y437" t="s">
        <v>12</v>
      </c>
      <c r="Z437" t="s">
        <v>12</v>
      </c>
      <c r="AA437" t="s">
        <v>12</v>
      </c>
      <c r="AB437" t="s">
        <v>12</v>
      </c>
      <c r="AC437" t="s">
        <v>12</v>
      </c>
      <c r="AD437" t="s">
        <v>12</v>
      </c>
      <c r="AE437" t="s">
        <v>12</v>
      </c>
      <c r="AF437" t="s">
        <v>12</v>
      </c>
      <c r="AG437" t="s">
        <v>12</v>
      </c>
      <c r="AH437" t="s">
        <v>12</v>
      </c>
      <c r="AI437" t="s">
        <v>12</v>
      </c>
      <c r="AJ437" t="s">
        <v>12</v>
      </c>
      <c r="AK437" t="s">
        <v>12</v>
      </c>
      <c r="AL437" t="s">
        <v>12</v>
      </c>
      <c r="AM437" t="s">
        <v>12</v>
      </c>
      <c r="AN437" t="s">
        <v>12</v>
      </c>
      <c r="AO437" t="s">
        <v>12</v>
      </c>
    </row>
    <row r="438" spans="1:41" x14ac:dyDescent="0.35">
      <c r="A438">
        <v>21819014</v>
      </c>
      <c r="B438">
        <v>202509</v>
      </c>
      <c r="C438">
        <v>20609551250</v>
      </c>
      <c r="D438" t="s">
        <v>687</v>
      </c>
      <c r="E438" t="s">
        <v>1</v>
      </c>
      <c r="F438">
        <v>10270788</v>
      </c>
      <c r="G438" t="s">
        <v>28</v>
      </c>
      <c r="H438" t="s">
        <v>149</v>
      </c>
      <c r="I438">
        <v>180008.984375</v>
      </c>
      <c r="J438" s="1">
        <v>45896</v>
      </c>
      <c r="K438">
        <v>18</v>
      </c>
      <c r="L438" t="s">
        <v>4</v>
      </c>
      <c r="M438" t="s">
        <v>4</v>
      </c>
      <c r="N438" t="s">
        <v>26</v>
      </c>
      <c r="O438">
        <v>202508</v>
      </c>
      <c r="P438">
        <v>180009</v>
      </c>
      <c r="Q438" t="s">
        <v>149</v>
      </c>
      <c r="R438" t="s">
        <v>150</v>
      </c>
      <c r="S438" t="s">
        <v>7</v>
      </c>
      <c r="T438" t="s">
        <v>8</v>
      </c>
      <c r="U438" t="s">
        <v>20</v>
      </c>
      <c r="V438">
        <v>1</v>
      </c>
      <c r="W438" t="s">
        <v>10</v>
      </c>
      <c r="X438" t="s">
        <v>51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12</v>
      </c>
      <c r="AG438" t="s">
        <v>12</v>
      </c>
      <c r="AH438" t="s">
        <v>12</v>
      </c>
      <c r="AI438" t="s">
        <v>12</v>
      </c>
      <c r="AJ438" t="s">
        <v>12</v>
      </c>
      <c r="AK438">
        <v>1</v>
      </c>
      <c r="AL438">
        <v>1</v>
      </c>
      <c r="AM438" t="s">
        <v>12</v>
      </c>
      <c r="AN438" t="s">
        <v>12</v>
      </c>
      <c r="AO438" t="s">
        <v>12</v>
      </c>
    </row>
    <row r="439" spans="1:41" x14ac:dyDescent="0.35">
      <c r="A439">
        <v>21184687</v>
      </c>
      <c r="B439">
        <v>202601</v>
      </c>
      <c r="C439">
        <v>20600794028</v>
      </c>
      <c r="D439" t="s">
        <v>688</v>
      </c>
      <c r="E439" t="s">
        <v>1</v>
      </c>
      <c r="F439">
        <v>10260842</v>
      </c>
      <c r="G439" t="s">
        <v>65</v>
      </c>
      <c r="H439" t="s">
        <v>74</v>
      </c>
      <c r="I439">
        <v>43252.59765625</v>
      </c>
      <c r="J439" s="1">
        <v>45560</v>
      </c>
      <c r="K439">
        <v>15.5</v>
      </c>
      <c r="L439" t="s">
        <v>37</v>
      </c>
      <c r="M439" t="s">
        <v>37</v>
      </c>
      <c r="N439" t="s">
        <v>47</v>
      </c>
      <c r="O439">
        <v>202409</v>
      </c>
      <c r="P439">
        <v>65603.25</v>
      </c>
      <c r="Q439" t="s">
        <v>74</v>
      </c>
      <c r="R439" t="s">
        <v>76</v>
      </c>
      <c r="S439" t="s">
        <v>31</v>
      </c>
      <c r="T439" t="s">
        <v>32</v>
      </c>
      <c r="U439" t="s">
        <v>177</v>
      </c>
      <c r="V439">
        <v>1</v>
      </c>
      <c r="W439" t="s">
        <v>10</v>
      </c>
      <c r="X439" t="s">
        <v>11</v>
      </c>
      <c r="Y439">
        <v>1</v>
      </c>
      <c r="Z439">
        <v>1</v>
      </c>
      <c r="AA439">
        <v>0</v>
      </c>
      <c r="AB439">
        <v>1</v>
      </c>
      <c r="AC439">
        <v>1</v>
      </c>
      <c r="AD439">
        <v>1</v>
      </c>
      <c r="AE439">
        <v>0</v>
      </c>
      <c r="AF439" t="s">
        <v>12</v>
      </c>
      <c r="AG439" t="s">
        <v>12</v>
      </c>
      <c r="AH439" t="s">
        <v>12</v>
      </c>
      <c r="AI439" t="s">
        <v>12</v>
      </c>
      <c r="AJ439" t="s">
        <v>12</v>
      </c>
      <c r="AK439">
        <v>500000</v>
      </c>
      <c r="AL439">
        <v>0.22</v>
      </c>
      <c r="AM439">
        <v>0.2</v>
      </c>
      <c r="AN439" t="s">
        <v>12</v>
      </c>
      <c r="AO439" t="s">
        <v>12</v>
      </c>
    </row>
    <row r="440" spans="1:41" x14ac:dyDescent="0.35">
      <c r="A440">
        <v>20811704</v>
      </c>
      <c r="B440">
        <v>202601</v>
      </c>
      <c r="C440">
        <v>20513057106</v>
      </c>
      <c r="D440" t="s">
        <v>689</v>
      </c>
      <c r="E440" t="s">
        <v>1</v>
      </c>
      <c r="F440">
        <v>10273113</v>
      </c>
      <c r="G440" t="s">
        <v>14</v>
      </c>
      <c r="H440" t="s">
        <v>127</v>
      </c>
      <c r="I440">
        <v>157620.5</v>
      </c>
      <c r="J440" s="1">
        <v>45975</v>
      </c>
      <c r="K440">
        <v>15</v>
      </c>
      <c r="L440" t="s">
        <v>37</v>
      </c>
      <c r="M440" t="s">
        <v>37</v>
      </c>
      <c r="N440" t="s">
        <v>16</v>
      </c>
      <c r="O440">
        <v>202511</v>
      </c>
      <c r="P440">
        <v>170008.5</v>
      </c>
      <c r="Q440" t="s">
        <v>12</v>
      </c>
      <c r="R440" t="s">
        <v>12</v>
      </c>
      <c r="S440" t="s">
        <v>12</v>
      </c>
      <c r="T440" t="s">
        <v>12</v>
      </c>
      <c r="U440" t="s">
        <v>12</v>
      </c>
      <c r="V440" t="s">
        <v>12</v>
      </c>
      <c r="W440" t="s">
        <v>12</v>
      </c>
      <c r="X440" t="s">
        <v>12</v>
      </c>
      <c r="Y440" t="s">
        <v>12</v>
      </c>
      <c r="Z440" t="s">
        <v>12</v>
      </c>
      <c r="AA440" t="s">
        <v>12</v>
      </c>
      <c r="AB440" t="s">
        <v>12</v>
      </c>
      <c r="AC440" t="s">
        <v>12</v>
      </c>
      <c r="AD440" t="s">
        <v>12</v>
      </c>
      <c r="AE440" t="s">
        <v>12</v>
      </c>
      <c r="AF440" t="s">
        <v>12</v>
      </c>
      <c r="AG440" t="s">
        <v>12</v>
      </c>
      <c r="AH440" t="s">
        <v>12</v>
      </c>
      <c r="AI440" t="s">
        <v>12</v>
      </c>
      <c r="AJ440" t="s">
        <v>12</v>
      </c>
      <c r="AK440" t="s">
        <v>12</v>
      </c>
      <c r="AL440" t="s">
        <v>12</v>
      </c>
      <c r="AM440" t="s">
        <v>12</v>
      </c>
      <c r="AN440" t="s">
        <v>12</v>
      </c>
      <c r="AO440" t="s">
        <v>12</v>
      </c>
    </row>
    <row r="441" spans="1:41" x14ac:dyDescent="0.35">
      <c r="A441">
        <v>19733706</v>
      </c>
      <c r="B441">
        <v>202506</v>
      </c>
      <c r="C441">
        <v>20603598254</v>
      </c>
      <c r="D441" t="s">
        <v>690</v>
      </c>
      <c r="E441" t="s">
        <v>1</v>
      </c>
      <c r="F441">
        <v>10259592</v>
      </c>
      <c r="G441" t="s">
        <v>45</v>
      </c>
      <c r="H441" t="s">
        <v>93</v>
      </c>
      <c r="I441">
        <v>80142.7421875</v>
      </c>
      <c r="J441" s="1">
        <v>45531</v>
      </c>
      <c r="K441">
        <v>15.7</v>
      </c>
      <c r="L441" t="s">
        <v>4</v>
      </c>
      <c r="M441" t="s">
        <v>4</v>
      </c>
      <c r="N441" t="s">
        <v>47</v>
      </c>
      <c r="O441">
        <v>202408</v>
      </c>
      <c r="P441">
        <v>90004.5</v>
      </c>
      <c r="Q441" t="s">
        <v>93</v>
      </c>
      <c r="R441" t="s">
        <v>94</v>
      </c>
      <c r="S441" t="s">
        <v>7</v>
      </c>
      <c r="T441" t="s">
        <v>8</v>
      </c>
      <c r="U441" t="s">
        <v>41</v>
      </c>
      <c r="V441">
        <v>1</v>
      </c>
      <c r="W441" t="s">
        <v>10</v>
      </c>
      <c r="X441" t="s">
        <v>12</v>
      </c>
      <c r="Y441">
        <v>1</v>
      </c>
      <c r="Z441">
        <v>1</v>
      </c>
      <c r="AA441">
        <v>0</v>
      </c>
      <c r="AB441">
        <v>0</v>
      </c>
      <c r="AC441">
        <v>1</v>
      </c>
      <c r="AD441">
        <v>1</v>
      </c>
      <c r="AE441">
        <v>0</v>
      </c>
      <c r="AF441" t="s">
        <v>12</v>
      </c>
      <c r="AG441" t="s">
        <v>12</v>
      </c>
      <c r="AH441" t="s">
        <v>12</v>
      </c>
      <c r="AI441" t="s">
        <v>12</v>
      </c>
      <c r="AJ441" t="s">
        <v>12</v>
      </c>
      <c r="AK441">
        <v>150000</v>
      </c>
      <c r="AL441">
        <v>0.24</v>
      </c>
      <c r="AM441">
        <v>0.2233</v>
      </c>
      <c r="AN441" t="s">
        <v>12</v>
      </c>
      <c r="AO441" t="s">
        <v>12</v>
      </c>
    </row>
    <row r="442" spans="1:41" x14ac:dyDescent="0.35">
      <c r="A442">
        <v>15585624</v>
      </c>
      <c r="B442">
        <v>202502</v>
      </c>
      <c r="C442">
        <v>10400926684</v>
      </c>
      <c r="D442" t="s">
        <v>691</v>
      </c>
      <c r="E442">
        <v>40092668</v>
      </c>
      <c r="F442">
        <v>10257303</v>
      </c>
      <c r="G442" t="s">
        <v>53</v>
      </c>
      <c r="H442" t="s">
        <v>692</v>
      </c>
      <c r="I442">
        <v>86763.1875</v>
      </c>
      <c r="J442" s="1">
        <v>45489</v>
      </c>
      <c r="K442">
        <v>15</v>
      </c>
      <c r="L442" t="s">
        <v>4</v>
      </c>
      <c r="M442" t="s">
        <v>4</v>
      </c>
      <c r="N442" t="s">
        <v>47</v>
      </c>
      <c r="O442">
        <v>202407</v>
      </c>
      <c r="P442">
        <v>90004.5</v>
      </c>
      <c r="Q442" t="s">
        <v>12</v>
      </c>
      <c r="R442" t="s">
        <v>12</v>
      </c>
      <c r="S442" t="s">
        <v>12</v>
      </c>
      <c r="T442" t="s">
        <v>12</v>
      </c>
      <c r="U442" t="s">
        <v>12</v>
      </c>
      <c r="V442" t="s">
        <v>12</v>
      </c>
      <c r="W442" t="s">
        <v>12</v>
      </c>
      <c r="X442" t="s">
        <v>12</v>
      </c>
      <c r="Y442" t="s">
        <v>12</v>
      </c>
      <c r="Z442" t="s">
        <v>12</v>
      </c>
      <c r="AA442" t="s">
        <v>12</v>
      </c>
      <c r="AB442" t="s">
        <v>12</v>
      </c>
      <c r="AC442" t="s">
        <v>12</v>
      </c>
      <c r="AD442" t="s">
        <v>12</v>
      </c>
      <c r="AE442" t="s">
        <v>12</v>
      </c>
      <c r="AF442" t="s">
        <v>12</v>
      </c>
      <c r="AG442" t="s">
        <v>12</v>
      </c>
      <c r="AH442" t="s">
        <v>12</v>
      </c>
      <c r="AI442" t="s">
        <v>12</v>
      </c>
      <c r="AJ442" t="s">
        <v>12</v>
      </c>
      <c r="AK442" t="s">
        <v>12</v>
      </c>
      <c r="AL442" t="s">
        <v>12</v>
      </c>
      <c r="AM442" t="s">
        <v>12</v>
      </c>
      <c r="AN442" t="s">
        <v>12</v>
      </c>
      <c r="AO442" t="s">
        <v>12</v>
      </c>
    </row>
    <row r="443" spans="1:41" x14ac:dyDescent="0.35">
      <c r="A443">
        <v>11202545</v>
      </c>
      <c r="B443">
        <v>202510</v>
      </c>
      <c r="C443">
        <v>20512574999</v>
      </c>
      <c r="D443" t="s">
        <v>693</v>
      </c>
      <c r="E443" t="s">
        <v>1</v>
      </c>
      <c r="F443">
        <v>10265995</v>
      </c>
      <c r="G443" t="s">
        <v>2</v>
      </c>
      <c r="H443" t="s">
        <v>284</v>
      </c>
      <c r="I443">
        <v>76555.4609375</v>
      </c>
      <c r="J443" s="1">
        <v>45722</v>
      </c>
      <c r="K443">
        <v>16</v>
      </c>
      <c r="L443" t="s">
        <v>4</v>
      </c>
      <c r="M443" t="s">
        <v>4</v>
      </c>
      <c r="N443" t="s">
        <v>41</v>
      </c>
      <c r="O443">
        <v>202503</v>
      </c>
      <c r="P443">
        <v>120006</v>
      </c>
      <c r="Q443" t="s">
        <v>284</v>
      </c>
      <c r="R443" t="s">
        <v>285</v>
      </c>
      <c r="S443" t="s">
        <v>31</v>
      </c>
      <c r="T443" t="s">
        <v>32</v>
      </c>
      <c r="U443" t="s">
        <v>41</v>
      </c>
      <c r="V443">
        <v>1</v>
      </c>
      <c r="W443" t="s">
        <v>10</v>
      </c>
      <c r="X443" t="s">
        <v>12</v>
      </c>
      <c r="Y443">
        <v>1</v>
      </c>
      <c r="Z443">
        <v>1</v>
      </c>
      <c r="AA443">
        <v>0</v>
      </c>
      <c r="AB443">
        <v>0</v>
      </c>
      <c r="AC443">
        <v>1</v>
      </c>
      <c r="AD443">
        <v>1</v>
      </c>
      <c r="AE443">
        <v>0</v>
      </c>
      <c r="AF443" t="s">
        <v>12</v>
      </c>
      <c r="AG443" t="s">
        <v>12</v>
      </c>
      <c r="AH443" t="s">
        <v>12</v>
      </c>
      <c r="AI443" t="s">
        <v>12</v>
      </c>
      <c r="AJ443" t="s">
        <v>12</v>
      </c>
      <c r="AK443">
        <v>250000</v>
      </c>
      <c r="AL443">
        <v>0.21</v>
      </c>
      <c r="AM443">
        <v>0.19</v>
      </c>
      <c r="AN443" t="s">
        <v>12</v>
      </c>
      <c r="AO443" t="s">
        <v>12</v>
      </c>
    </row>
    <row r="444" spans="1:41" x14ac:dyDescent="0.35">
      <c r="A444">
        <v>17263634</v>
      </c>
      <c r="B444">
        <v>202503</v>
      </c>
      <c r="C444">
        <v>20565704622</v>
      </c>
      <c r="D444" t="s">
        <v>694</v>
      </c>
      <c r="E444" t="s">
        <v>1</v>
      </c>
      <c r="F444">
        <v>10210735</v>
      </c>
      <c r="G444" t="s">
        <v>199</v>
      </c>
      <c r="H444" t="s">
        <v>159</v>
      </c>
      <c r="I444">
        <v>25752.18359375</v>
      </c>
      <c r="J444" t="s">
        <v>12</v>
      </c>
      <c r="K444" t="s">
        <v>12</v>
      </c>
      <c r="L444" t="s">
        <v>12</v>
      </c>
      <c r="M444" t="s">
        <v>12</v>
      </c>
      <c r="N444" t="s">
        <v>12</v>
      </c>
      <c r="O444" t="s">
        <v>12</v>
      </c>
      <c r="P444" t="s">
        <v>12</v>
      </c>
      <c r="Q444" t="s">
        <v>12</v>
      </c>
      <c r="R444" t="s">
        <v>12</v>
      </c>
      <c r="S444" t="s">
        <v>12</v>
      </c>
      <c r="T444" t="s">
        <v>12</v>
      </c>
      <c r="U444" t="s">
        <v>12</v>
      </c>
      <c r="V444" t="s">
        <v>12</v>
      </c>
      <c r="W444" t="s">
        <v>12</v>
      </c>
      <c r="X444" t="s">
        <v>12</v>
      </c>
      <c r="Y444" t="s">
        <v>12</v>
      </c>
      <c r="Z444" t="s">
        <v>12</v>
      </c>
      <c r="AA444" t="s">
        <v>12</v>
      </c>
      <c r="AB444" t="s">
        <v>12</v>
      </c>
      <c r="AC444" t="s">
        <v>12</v>
      </c>
      <c r="AD444" t="s">
        <v>12</v>
      </c>
      <c r="AE444" t="s">
        <v>12</v>
      </c>
      <c r="AF444" t="s">
        <v>12</v>
      </c>
      <c r="AG444" t="s">
        <v>12</v>
      </c>
      <c r="AH444" t="s">
        <v>12</v>
      </c>
      <c r="AI444" t="s">
        <v>12</v>
      </c>
      <c r="AJ444" t="s">
        <v>12</v>
      </c>
      <c r="AK444" t="s">
        <v>12</v>
      </c>
      <c r="AL444" t="s">
        <v>12</v>
      </c>
      <c r="AM444" t="s">
        <v>12</v>
      </c>
      <c r="AN444" t="s">
        <v>12</v>
      </c>
      <c r="AO444" t="s">
        <v>12</v>
      </c>
    </row>
    <row r="445" spans="1:41" x14ac:dyDescent="0.35">
      <c r="A445">
        <v>15368104</v>
      </c>
      <c r="B445">
        <v>202509</v>
      </c>
      <c r="C445">
        <v>20520929909</v>
      </c>
      <c r="D445" t="s">
        <v>616</v>
      </c>
      <c r="E445" t="s">
        <v>1</v>
      </c>
      <c r="F445">
        <v>10188619</v>
      </c>
      <c r="G445" t="s">
        <v>199</v>
      </c>
      <c r="H445" t="s">
        <v>617</v>
      </c>
      <c r="I445">
        <v>8892.951171875</v>
      </c>
      <c r="J445" t="s">
        <v>12</v>
      </c>
      <c r="K445" t="s">
        <v>12</v>
      </c>
      <c r="L445" t="s">
        <v>12</v>
      </c>
      <c r="M445" t="s">
        <v>12</v>
      </c>
      <c r="N445" t="s">
        <v>12</v>
      </c>
      <c r="O445" t="s">
        <v>12</v>
      </c>
      <c r="P445" t="s">
        <v>12</v>
      </c>
      <c r="Q445" t="s">
        <v>12</v>
      </c>
      <c r="R445" t="s">
        <v>12</v>
      </c>
      <c r="S445" t="s">
        <v>12</v>
      </c>
      <c r="T445" t="s">
        <v>12</v>
      </c>
      <c r="U445" t="s">
        <v>12</v>
      </c>
      <c r="V445" t="s">
        <v>12</v>
      </c>
      <c r="W445" t="s">
        <v>12</v>
      </c>
      <c r="X445" t="s">
        <v>12</v>
      </c>
      <c r="Y445" t="s">
        <v>12</v>
      </c>
      <c r="Z445" t="s">
        <v>12</v>
      </c>
      <c r="AA445" t="s">
        <v>12</v>
      </c>
      <c r="AB445" t="s">
        <v>12</v>
      </c>
      <c r="AC445" t="s">
        <v>12</v>
      </c>
      <c r="AD445" t="s">
        <v>12</v>
      </c>
      <c r="AE445" t="s">
        <v>12</v>
      </c>
      <c r="AF445" t="s">
        <v>12</v>
      </c>
      <c r="AG445" t="s">
        <v>12</v>
      </c>
      <c r="AH445" t="s">
        <v>12</v>
      </c>
      <c r="AI445" t="s">
        <v>12</v>
      </c>
      <c r="AJ445" t="s">
        <v>12</v>
      </c>
      <c r="AK445" t="s">
        <v>12</v>
      </c>
      <c r="AL445" t="s">
        <v>12</v>
      </c>
      <c r="AM445" t="s">
        <v>12</v>
      </c>
      <c r="AN445" t="s">
        <v>12</v>
      </c>
      <c r="AO445" t="s">
        <v>12</v>
      </c>
    </row>
    <row r="446" spans="1:41" x14ac:dyDescent="0.35">
      <c r="A446">
        <v>10135543</v>
      </c>
      <c r="B446">
        <v>202506</v>
      </c>
      <c r="C446">
        <v>10178024693</v>
      </c>
      <c r="D446" t="s">
        <v>695</v>
      </c>
      <c r="E446">
        <v>17802469</v>
      </c>
      <c r="F446">
        <v>10210882</v>
      </c>
      <c r="G446" t="s">
        <v>696</v>
      </c>
      <c r="H446" t="s">
        <v>230</v>
      </c>
      <c r="I446">
        <v>14857.8046875</v>
      </c>
      <c r="J446" t="s">
        <v>12</v>
      </c>
      <c r="K446" t="s">
        <v>12</v>
      </c>
      <c r="L446" t="s">
        <v>12</v>
      </c>
      <c r="M446" t="s">
        <v>12</v>
      </c>
      <c r="N446" t="s">
        <v>12</v>
      </c>
      <c r="O446" t="s">
        <v>12</v>
      </c>
      <c r="P446" t="s">
        <v>12</v>
      </c>
      <c r="Q446" t="s">
        <v>140</v>
      </c>
      <c r="R446" t="s">
        <v>141</v>
      </c>
      <c r="S446" t="s">
        <v>111</v>
      </c>
      <c r="T446" t="s">
        <v>112</v>
      </c>
      <c r="U446" t="s">
        <v>41</v>
      </c>
      <c r="V446">
        <v>2</v>
      </c>
      <c r="W446" t="s">
        <v>90</v>
      </c>
      <c r="X446" t="s">
        <v>12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12</v>
      </c>
      <c r="AG446" t="s">
        <v>12</v>
      </c>
      <c r="AH446" t="s">
        <v>12</v>
      </c>
      <c r="AI446" t="s">
        <v>12</v>
      </c>
      <c r="AJ446" t="s">
        <v>12</v>
      </c>
      <c r="AK446">
        <v>200000</v>
      </c>
      <c r="AL446">
        <v>0.23</v>
      </c>
      <c r="AM446">
        <v>0.20730000000000001</v>
      </c>
      <c r="AN446" t="s">
        <v>12</v>
      </c>
      <c r="AO446" t="s">
        <v>12</v>
      </c>
    </row>
    <row r="447" spans="1:41" x14ac:dyDescent="0.35">
      <c r="A447">
        <v>13800254</v>
      </c>
      <c r="B447">
        <v>202602</v>
      </c>
      <c r="C447">
        <v>20562791991</v>
      </c>
      <c r="D447" t="s">
        <v>697</v>
      </c>
      <c r="E447" t="s">
        <v>1</v>
      </c>
      <c r="F447">
        <v>10177127</v>
      </c>
      <c r="G447" t="s">
        <v>2</v>
      </c>
      <c r="H447" t="s">
        <v>54</v>
      </c>
      <c r="I447">
        <v>143768.765625</v>
      </c>
      <c r="J447" s="1">
        <v>45953</v>
      </c>
      <c r="K447">
        <v>16</v>
      </c>
      <c r="L447" t="s">
        <v>4</v>
      </c>
      <c r="M447" t="s">
        <v>4</v>
      </c>
      <c r="N447" t="s">
        <v>5</v>
      </c>
      <c r="O447">
        <v>202510</v>
      </c>
      <c r="P447">
        <v>180009</v>
      </c>
      <c r="Q447" t="s">
        <v>54</v>
      </c>
      <c r="R447" t="s">
        <v>55</v>
      </c>
      <c r="S447" t="s">
        <v>31</v>
      </c>
      <c r="T447" t="s">
        <v>32</v>
      </c>
      <c r="U447" t="s">
        <v>95</v>
      </c>
      <c r="V447">
        <v>1</v>
      </c>
      <c r="W447" t="s">
        <v>10</v>
      </c>
      <c r="X447" t="s">
        <v>11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12</v>
      </c>
      <c r="AG447" t="s">
        <v>12</v>
      </c>
      <c r="AH447" t="s">
        <v>12</v>
      </c>
      <c r="AI447" t="s">
        <v>12</v>
      </c>
      <c r="AJ447" t="s">
        <v>12</v>
      </c>
      <c r="AK447">
        <v>500000</v>
      </c>
      <c r="AL447">
        <v>0.21</v>
      </c>
      <c r="AM447">
        <v>0.19</v>
      </c>
      <c r="AN447" t="s">
        <v>12</v>
      </c>
      <c r="AO447" t="s">
        <v>12</v>
      </c>
    </row>
    <row r="448" spans="1:41" x14ac:dyDescent="0.35">
      <c r="A448">
        <v>22072205</v>
      </c>
      <c r="B448">
        <v>202602</v>
      </c>
      <c r="C448">
        <v>20602657800</v>
      </c>
      <c r="D448" t="s">
        <v>698</v>
      </c>
      <c r="E448" t="s">
        <v>1</v>
      </c>
      <c r="F448">
        <v>10274586</v>
      </c>
      <c r="G448" t="s">
        <v>24</v>
      </c>
      <c r="H448" t="s">
        <v>140</v>
      </c>
      <c r="I448">
        <v>183212.828125</v>
      </c>
      <c r="J448" s="1">
        <v>46037</v>
      </c>
      <c r="K448">
        <v>17</v>
      </c>
      <c r="L448" t="s">
        <v>37</v>
      </c>
      <c r="M448" t="s">
        <v>75</v>
      </c>
      <c r="N448" t="s">
        <v>98</v>
      </c>
      <c r="O448">
        <v>202601</v>
      </c>
      <c r="P448">
        <v>190009.5</v>
      </c>
      <c r="Q448" t="s">
        <v>12</v>
      </c>
      <c r="R448" t="s">
        <v>12</v>
      </c>
      <c r="S448" t="s">
        <v>12</v>
      </c>
      <c r="T448" t="s">
        <v>12</v>
      </c>
      <c r="U448" t="s">
        <v>12</v>
      </c>
      <c r="V448" t="s">
        <v>12</v>
      </c>
      <c r="W448" t="s">
        <v>12</v>
      </c>
      <c r="X448" t="s">
        <v>12</v>
      </c>
      <c r="Y448" t="s">
        <v>12</v>
      </c>
      <c r="Z448" t="s">
        <v>12</v>
      </c>
      <c r="AA448" t="s">
        <v>12</v>
      </c>
      <c r="AB448" t="s">
        <v>12</v>
      </c>
      <c r="AC448" t="s">
        <v>12</v>
      </c>
      <c r="AD448" t="s">
        <v>12</v>
      </c>
      <c r="AE448" t="s">
        <v>12</v>
      </c>
      <c r="AF448" t="s">
        <v>12</v>
      </c>
      <c r="AG448" t="s">
        <v>12</v>
      </c>
      <c r="AH448" t="s">
        <v>12</v>
      </c>
      <c r="AI448" t="s">
        <v>12</v>
      </c>
      <c r="AJ448" t="s">
        <v>12</v>
      </c>
      <c r="AK448" t="s">
        <v>12</v>
      </c>
      <c r="AL448" t="s">
        <v>12</v>
      </c>
      <c r="AM448" t="s">
        <v>12</v>
      </c>
      <c r="AN448" t="s">
        <v>12</v>
      </c>
      <c r="AO448" t="s">
        <v>12</v>
      </c>
    </row>
    <row r="449" spans="1:41" x14ac:dyDescent="0.35">
      <c r="A449">
        <v>20615275</v>
      </c>
      <c r="B449">
        <v>202602</v>
      </c>
      <c r="C449">
        <v>20514129828</v>
      </c>
      <c r="D449" t="s">
        <v>699</v>
      </c>
      <c r="E449" t="s">
        <v>1</v>
      </c>
      <c r="F449">
        <v>10273463</v>
      </c>
      <c r="G449" t="s">
        <v>78</v>
      </c>
      <c r="H449" t="s">
        <v>159</v>
      </c>
      <c r="I449">
        <v>122501.984375</v>
      </c>
      <c r="J449" s="1">
        <v>45987</v>
      </c>
      <c r="K449">
        <v>19</v>
      </c>
      <c r="L449" t="s">
        <v>4</v>
      </c>
      <c r="M449" t="s">
        <v>4</v>
      </c>
      <c r="N449" t="s">
        <v>41</v>
      </c>
      <c r="O449">
        <v>202511</v>
      </c>
      <c r="P449">
        <v>130006.5</v>
      </c>
      <c r="Q449" t="s">
        <v>12</v>
      </c>
      <c r="R449" t="s">
        <v>12</v>
      </c>
      <c r="S449" t="s">
        <v>12</v>
      </c>
      <c r="T449" t="s">
        <v>12</v>
      </c>
      <c r="U449" t="s">
        <v>12</v>
      </c>
      <c r="V449" t="s">
        <v>12</v>
      </c>
      <c r="W449" t="s">
        <v>12</v>
      </c>
      <c r="X449" t="s">
        <v>12</v>
      </c>
      <c r="Y449" t="s">
        <v>12</v>
      </c>
      <c r="Z449" t="s">
        <v>12</v>
      </c>
      <c r="AA449" t="s">
        <v>12</v>
      </c>
      <c r="AB449" t="s">
        <v>12</v>
      </c>
      <c r="AC449" t="s">
        <v>12</v>
      </c>
      <c r="AD449" t="s">
        <v>12</v>
      </c>
      <c r="AE449" t="s">
        <v>12</v>
      </c>
      <c r="AF449" t="s">
        <v>12</v>
      </c>
      <c r="AG449" t="s">
        <v>12</v>
      </c>
      <c r="AH449" t="s">
        <v>12</v>
      </c>
      <c r="AI449" t="s">
        <v>12</v>
      </c>
      <c r="AJ449" t="s">
        <v>12</v>
      </c>
      <c r="AK449" t="s">
        <v>12</v>
      </c>
      <c r="AL449" t="s">
        <v>12</v>
      </c>
      <c r="AM449" t="s">
        <v>12</v>
      </c>
      <c r="AN449" t="s">
        <v>12</v>
      </c>
      <c r="AO449" t="s">
        <v>12</v>
      </c>
    </row>
    <row r="450" spans="1:41" x14ac:dyDescent="0.35">
      <c r="A450">
        <v>12562698</v>
      </c>
      <c r="B450">
        <v>202508</v>
      </c>
      <c r="C450">
        <v>10401500737</v>
      </c>
      <c r="D450" t="s">
        <v>700</v>
      </c>
      <c r="E450">
        <v>40150073</v>
      </c>
      <c r="F450">
        <v>10268717</v>
      </c>
      <c r="G450" t="s">
        <v>100</v>
      </c>
      <c r="H450" t="s">
        <v>114</v>
      </c>
      <c r="I450">
        <v>73864.5</v>
      </c>
      <c r="J450" s="1">
        <v>45824</v>
      </c>
      <c r="K450">
        <v>16.97</v>
      </c>
      <c r="L450" t="s">
        <v>37</v>
      </c>
      <c r="M450" t="s">
        <v>37</v>
      </c>
      <c r="N450" t="s">
        <v>102</v>
      </c>
      <c r="O450">
        <v>202506</v>
      </c>
      <c r="P450">
        <v>82004.100000000006</v>
      </c>
      <c r="Q450" t="s">
        <v>114</v>
      </c>
      <c r="R450" t="s">
        <v>115</v>
      </c>
      <c r="S450" t="s">
        <v>111</v>
      </c>
      <c r="T450" t="s">
        <v>112</v>
      </c>
      <c r="U450" t="s">
        <v>20</v>
      </c>
      <c r="V450">
        <v>2</v>
      </c>
      <c r="W450" t="s">
        <v>90</v>
      </c>
      <c r="X450" t="s">
        <v>12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12</v>
      </c>
      <c r="AG450" t="s">
        <v>12</v>
      </c>
      <c r="AH450" t="s">
        <v>12</v>
      </c>
      <c r="AI450" t="s">
        <v>12</v>
      </c>
      <c r="AJ450" t="s">
        <v>12</v>
      </c>
      <c r="AK450">
        <v>1</v>
      </c>
      <c r="AL450">
        <v>0.20830000000000001</v>
      </c>
      <c r="AM450" t="s">
        <v>12</v>
      </c>
      <c r="AN450" t="s">
        <v>12</v>
      </c>
      <c r="AO450" t="s">
        <v>12</v>
      </c>
    </row>
    <row r="451" spans="1:41" x14ac:dyDescent="0.35">
      <c r="A451">
        <v>15286819</v>
      </c>
      <c r="B451">
        <v>202512</v>
      </c>
      <c r="C451">
        <v>20534733420</v>
      </c>
      <c r="D451" t="s">
        <v>701</v>
      </c>
      <c r="E451" t="s">
        <v>1</v>
      </c>
      <c r="F451">
        <v>10267369</v>
      </c>
      <c r="G451" t="s">
        <v>73</v>
      </c>
      <c r="H451" t="s">
        <v>217</v>
      </c>
      <c r="I451">
        <v>108838.3515625</v>
      </c>
      <c r="J451" s="1">
        <v>45772</v>
      </c>
      <c r="K451">
        <v>15</v>
      </c>
      <c r="L451" t="s">
        <v>4</v>
      </c>
      <c r="M451" t="s">
        <v>4</v>
      </c>
      <c r="N451" t="s">
        <v>20</v>
      </c>
      <c r="O451">
        <v>202504</v>
      </c>
      <c r="P451">
        <v>250012.5</v>
      </c>
      <c r="Q451" t="s">
        <v>217</v>
      </c>
      <c r="R451" t="s">
        <v>218</v>
      </c>
      <c r="S451" t="s">
        <v>478</v>
      </c>
      <c r="T451" t="s">
        <v>479</v>
      </c>
      <c r="U451" t="s">
        <v>20</v>
      </c>
      <c r="V451">
        <v>1</v>
      </c>
      <c r="W451" t="s">
        <v>10</v>
      </c>
      <c r="X451" t="s">
        <v>22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12</v>
      </c>
      <c r="AG451" t="s">
        <v>12</v>
      </c>
      <c r="AH451" t="s">
        <v>12</v>
      </c>
      <c r="AI451" t="s">
        <v>12</v>
      </c>
      <c r="AJ451" t="s">
        <v>12</v>
      </c>
      <c r="AK451">
        <v>1</v>
      </c>
      <c r="AL451">
        <v>1</v>
      </c>
      <c r="AM451" t="s">
        <v>12</v>
      </c>
      <c r="AN451" t="s">
        <v>12</v>
      </c>
      <c r="AO451" t="s">
        <v>12</v>
      </c>
    </row>
    <row r="452" spans="1:41" x14ac:dyDescent="0.35">
      <c r="A452">
        <v>15712420</v>
      </c>
      <c r="B452">
        <v>202602</v>
      </c>
      <c r="C452">
        <v>20455487677</v>
      </c>
      <c r="D452" t="s">
        <v>702</v>
      </c>
      <c r="E452" t="s">
        <v>1</v>
      </c>
      <c r="F452">
        <v>10157825</v>
      </c>
      <c r="G452" t="s">
        <v>2</v>
      </c>
      <c r="H452" t="s">
        <v>244</v>
      </c>
      <c r="I452">
        <v>89714.578125</v>
      </c>
      <c r="J452" s="1">
        <v>45708</v>
      </c>
      <c r="K452">
        <v>14</v>
      </c>
      <c r="L452" t="s">
        <v>4</v>
      </c>
      <c r="M452" t="s">
        <v>4</v>
      </c>
      <c r="N452" t="s">
        <v>5</v>
      </c>
      <c r="O452">
        <v>202502</v>
      </c>
      <c r="P452">
        <v>155007.75</v>
      </c>
      <c r="Q452" t="s">
        <v>244</v>
      </c>
      <c r="R452" t="s">
        <v>297</v>
      </c>
      <c r="S452" t="s">
        <v>7</v>
      </c>
      <c r="T452" t="s">
        <v>8</v>
      </c>
      <c r="U452" t="s">
        <v>63</v>
      </c>
      <c r="V452">
        <v>1</v>
      </c>
      <c r="W452" t="s">
        <v>10</v>
      </c>
      <c r="X452" t="s">
        <v>51</v>
      </c>
      <c r="Y452">
        <v>1</v>
      </c>
      <c r="Z452">
        <v>1</v>
      </c>
      <c r="AA452">
        <v>0</v>
      </c>
      <c r="AB452">
        <v>0</v>
      </c>
      <c r="AC452">
        <v>1</v>
      </c>
      <c r="AD452">
        <v>1</v>
      </c>
      <c r="AE452">
        <v>0</v>
      </c>
      <c r="AF452" t="s">
        <v>12</v>
      </c>
      <c r="AG452" t="s">
        <v>12</v>
      </c>
      <c r="AH452" t="s">
        <v>12</v>
      </c>
      <c r="AI452" t="s">
        <v>12</v>
      </c>
      <c r="AJ452" t="s">
        <v>12</v>
      </c>
      <c r="AK452">
        <v>130000</v>
      </c>
      <c r="AL452">
        <v>0.26090000000000002</v>
      </c>
      <c r="AM452">
        <v>0.2409</v>
      </c>
      <c r="AN452" t="s">
        <v>12</v>
      </c>
      <c r="AO452" t="s">
        <v>12</v>
      </c>
    </row>
    <row r="453" spans="1:41" x14ac:dyDescent="0.35">
      <c r="A453">
        <v>17124370</v>
      </c>
      <c r="B453">
        <v>202504</v>
      </c>
      <c r="C453">
        <v>20600071531</v>
      </c>
      <c r="D453" t="s">
        <v>703</v>
      </c>
      <c r="E453" t="s">
        <v>1</v>
      </c>
      <c r="F453">
        <v>10249567</v>
      </c>
      <c r="G453" t="s">
        <v>704</v>
      </c>
      <c r="H453" t="s">
        <v>705</v>
      </c>
      <c r="I453">
        <v>54187.3984375</v>
      </c>
      <c r="J453" s="1">
        <v>45370</v>
      </c>
      <c r="K453">
        <v>15</v>
      </c>
      <c r="L453" t="s">
        <v>4</v>
      </c>
      <c r="M453" t="s">
        <v>4</v>
      </c>
      <c r="N453" t="s">
        <v>47</v>
      </c>
      <c r="O453">
        <v>202403</v>
      </c>
      <c r="P453">
        <v>60003</v>
      </c>
      <c r="Q453" t="s">
        <v>12</v>
      </c>
      <c r="R453" t="s">
        <v>12</v>
      </c>
      <c r="S453" t="s">
        <v>12</v>
      </c>
      <c r="T453" t="s">
        <v>12</v>
      </c>
      <c r="U453" t="s">
        <v>12</v>
      </c>
      <c r="V453" t="s">
        <v>12</v>
      </c>
      <c r="W453" t="s">
        <v>12</v>
      </c>
      <c r="X453" t="s">
        <v>12</v>
      </c>
      <c r="Y453" t="s">
        <v>12</v>
      </c>
      <c r="Z453" t="s">
        <v>12</v>
      </c>
      <c r="AA453" t="s">
        <v>12</v>
      </c>
      <c r="AB453" t="s">
        <v>12</v>
      </c>
      <c r="AC453" t="s">
        <v>12</v>
      </c>
      <c r="AD453" t="s">
        <v>12</v>
      </c>
      <c r="AE453" t="s">
        <v>12</v>
      </c>
      <c r="AF453" t="s">
        <v>12</v>
      </c>
      <c r="AG453" t="s">
        <v>12</v>
      </c>
      <c r="AH453" t="s">
        <v>12</v>
      </c>
      <c r="AI453" t="s">
        <v>12</v>
      </c>
      <c r="AJ453" t="s">
        <v>12</v>
      </c>
      <c r="AK453" t="s">
        <v>12</v>
      </c>
      <c r="AL453" t="s">
        <v>12</v>
      </c>
      <c r="AM453" t="s">
        <v>12</v>
      </c>
      <c r="AN453" t="s">
        <v>12</v>
      </c>
      <c r="AO453" t="s">
        <v>12</v>
      </c>
    </row>
    <row r="454" spans="1:41" x14ac:dyDescent="0.35">
      <c r="A454">
        <v>10624465</v>
      </c>
      <c r="B454">
        <v>202601</v>
      </c>
      <c r="C454">
        <v>10229854416</v>
      </c>
      <c r="D454" t="s">
        <v>706</v>
      </c>
      <c r="E454">
        <v>22985441</v>
      </c>
      <c r="F454">
        <v>10160266</v>
      </c>
      <c r="G454" t="s">
        <v>2</v>
      </c>
      <c r="H454" t="s">
        <v>79</v>
      </c>
      <c r="I454">
        <v>26884.681640625</v>
      </c>
      <c r="J454" s="1">
        <v>45700</v>
      </c>
      <c r="K454">
        <v>16</v>
      </c>
      <c r="L454" t="s">
        <v>4</v>
      </c>
      <c r="M454" t="s">
        <v>4</v>
      </c>
      <c r="N454" t="s">
        <v>5</v>
      </c>
      <c r="O454">
        <v>202502</v>
      </c>
      <c r="P454">
        <v>150007.5</v>
      </c>
      <c r="Q454" t="s">
        <v>79</v>
      </c>
      <c r="R454" t="s">
        <v>80</v>
      </c>
      <c r="S454" t="s">
        <v>31</v>
      </c>
      <c r="T454" t="s">
        <v>32</v>
      </c>
      <c r="U454" t="s">
        <v>20</v>
      </c>
      <c r="V454">
        <v>1</v>
      </c>
      <c r="W454" t="s">
        <v>21</v>
      </c>
      <c r="X454" t="s">
        <v>59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12</v>
      </c>
      <c r="AG454" t="s">
        <v>12</v>
      </c>
      <c r="AH454" t="s">
        <v>12</v>
      </c>
      <c r="AI454" t="s">
        <v>12</v>
      </c>
      <c r="AJ454" t="s">
        <v>12</v>
      </c>
      <c r="AK454">
        <v>1</v>
      </c>
      <c r="AL454">
        <v>1</v>
      </c>
      <c r="AM454">
        <v>0.24</v>
      </c>
      <c r="AN454" t="s">
        <v>12</v>
      </c>
      <c r="AO454" t="s">
        <v>12</v>
      </c>
    </row>
    <row r="455" spans="1:41" x14ac:dyDescent="0.35">
      <c r="A455">
        <v>21355455</v>
      </c>
      <c r="B455">
        <v>202502</v>
      </c>
      <c r="C455">
        <v>20519495954</v>
      </c>
      <c r="D455" t="s">
        <v>707</v>
      </c>
      <c r="E455" t="s">
        <v>1</v>
      </c>
      <c r="F455">
        <v>10263650</v>
      </c>
      <c r="G455" t="s">
        <v>65</v>
      </c>
      <c r="H455" t="s">
        <v>159</v>
      </c>
      <c r="I455">
        <v>40002.0078125</v>
      </c>
      <c r="J455" s="1">
        <v>45637</v>
      </c>
      <c r="K455">
        <v>14.5</v>
      </c>
      <c r="L455" t="s">
        <v>37</v>
      </c>
      <c r="M455" t="s">
        <v>37</v>
      </c>
      <c r="N455" t="s">
        <v>47</v>
      </c>
      <c r="O455">
        <v>202412</v>
      </c>
      <c r="P455">
        <v>40002</v>
      </c>
      <c r="Q455" t="s">
        <v>12</v>
      </c>
      <c r="R455" t="s">
        <v>12</v>
      </c>
      <c r="S455" t="s">
        <v>12</v>
      </c>
      <c r="T455" t="s">
        <v>12</v>
      </c>
      <c r="U455" t="s">
        <v>12</v>
      </c>
      <c r="V455" t="s">
        <v>12</v>
      </c>
      <c r="W455" t="s">
        <v>12</v>
      </c>
      <c r="X455" t="s">
        <v>12</v>
      </c>
      <c r="Y455" t="s">
        <v>12</v>
      </c>
      <c r="Z455" t="s">
        <v>12</v>
      </c>
      <c r="AA455" t="s">
        <v>12</v>
      </c>
      <c r="AB455" t="s">
        <v>12</v>
      </c>
      <c r="AC455" t="s">
        <v>12</v>
      </c>
      <c r="AD455" t="s">
        <v>12</v>
      </c>
      <c r="AE455" t="s">
        <v>12</v>
      </c>
      <c r="AF455" t="s">
        <v>12</v>
      </c>
      <c r="AG455" t="s">
        <v>12</v>
      </c>
      <c r="AH455" t="s">
        <v>12</v>
      </c>
      <c r="AI455" t="s">
        <v>12</v>
      </c>
      <c r="AJ455" t="s">
        <v>12</v>
      </c>
      <c r="AK455" t="s">
        <v>12</v>
      </c>
      <c r="AL455" t="s">
        <v>12</v>
      </c>
      <c r="AM455" t="s">
        <v>12</v>
      </c>
      <c r="AN455" t="s">
        <v>12</v>
      </c>
      <c r="AO455" t="s">
        <v>12</v>
      </c>
    </row>
    <row r="456" spans="1:41" x14ac:dyDescent="0.35">
      <c r="A456">
        <v>17254186</v>
      </c>
      <c r="B456">
        <v>202507</v>
      </c>
      <c r="C456">
        <v>20563333554</v>
      </c>
      <c r="D456" t="s">
        <v>708</v>
      </c>
      <c r="E456" t="s">
        <v>1</v>
      </c>
      <c r="F456">
        <v>10249581</v>
      </c>
      <c r="G456" t="s">
        <v>45</v>
      </c>
      <c r="H456" t="s">
        <v>603</v>
      </c>
      <c r="I456">
        <v>256344.703125</v>
      </c>
      <c r="J456" s="1">
        <v>45370</v>
      </c>
      <c r="K456">
        <v>13.2</v>
      </c>
      <c r="L456" t="s">
        <v>4</v>
      </c>
      <c r="M456" t="s">
        <v>4</v>
      </c>
      <c r="N456" t="s">
        <v>47</v>
      </c>
      <c r="O456">
        <v>202403</v>
      </c>
      <c r="P456">
        <v>300015</v>
      </c>
      <c r="Q456" t="s">
        <v>603</v>
      </c>
      <c r="R456" t="s">
        <v>642</v>
      </c>
      <c r="S456" t="s">
        <v>18</v>
      </c>
      <c r="T456" t="s">
        <v>122</v>
      </c>
      <c r="U456" t="s">
        <v>70</v>
      </c>
      <c r="V456">
        <v>1</v>
      </c>
      <c r="W456" t="s">
        <v>10</v>
      </c>
      <c r="X456" t="s">
        <v>12</v>
      </c>
      <c r="Y456">
        <v>1</v>
      </c>
      <c r="Z456">
        <v>1</v>
      </c>
      <c r="AA456">
        <v>0</v>
      </c>
      <c r="AB456">
        <v>0</v>
      </c>
      <c r="AC456">
        <v>1</v>
      </c>
      <c r="AD456">
        <v>1</v>
      </c>
      <c r="AE456">
        <v>0</v>
      </c>
      <c r="AF456" t="s">
        <v>12</v>
      </c>
      <c r="AG456" t="s">
        <v>12</v>
      </c>
      <c r="AH456" t="s">
        <v>12</v>
      </c>
      <c r="AI456" t="s">
        <v>12</v>
      </c>
      <c r="AJ456" t="s">
        <v>12</v>
      </c>
      <c r="AK456">
        <v>82000</v>
      </c>
      <c r="AL456">
        <v>0.19</v>
      </c>
      <c r="AM456">
        <v>0.17</v>
      </c>
      <c r="AN456" t="s">
        <v>12</v>
      </c>
      <c r="AO456" t="s">
        <v>12</v>
      </c>
    </row>
    <row r="457" spans="1:41" x14ac:dyDescent="0.35">
      <c r="A457">
        <v>12367070</v>
      </c>
      <c r="B457">
        <v>202505</v>
      </c>
      <c r="C457">
        <v>20538266109</v>
      </c>
      <c r="D457" t="s">
        <v>709</v>
      </c>
      <c r="E457" t="s">
        <v>1</v>
      </c>
      <c r="F457">
        <v>10246003</v>
      </c>
      <c r="G457" t="s">
        <v>92</v>
      </c>
      <c r="H457" t="s">
        <v>452</v>
      </c>
      <c r="I457">
        <v>53224.9609375</v>
      </c>
      <c r="J457" s="1">
        <v>45254</v>
      </c>
      <c r="K457">
        <v>19.2</v>
      </c>
      <c r="L457" t="s">
        <v>4</v>
      </c>
      <c r="M457" t="s">
        <v>4</v>
      </c>
      <c r="N457" t="s">
        <v>41</v>
      </c>
      <c r="O457">
        <v>202311</v>
      </c>
      <c r="P457">
        <v>168008.4</v>
      </c>
      <c r="Q457" t="s">
        <v>452</v>
      </c>
      <c r="R457" t="s">
        <v>453</v>
      </c>
      <c r="S457" t="s">
        <v>31</v>
      </c>
      <c r="T457" t="s">
        <v>32</v>
      </c>
      <c r="U457" t="s">
        <v>20</v>
      </c>
      <c r="V457">
        <v>1</v>
      </c>
      <c r="W457" t="s">
        <v>10</v>
      </c>
      <c r="X457" t="s">
        <v>12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 t="s">
        <v>12</v>
      </c>
      <c r="AG457" t="s">
        <v>12</v>
      </c>
      <c r="AH457" t="s">
        <v>12</v>
      </c>
      <c r="AI457" t="s">
        <v>12</v>
      </c>
      <c r="AJ457" t="s">
        <v>12</v>
      </c>
      <c r="AK457">
        <v>0</v>
      </c>
      <c r="AL457">
        <v>0</v>
      </c>
      <c r="AM457">
        <v>0.27079999999999999</v>
      </c>
      <c r="AN457" t="s">
        <v>12</v>
      </c>
      <c r="AO457" t="s">
        <v>12</v>
      </c>
    </row>
    <row r="458" spans="1:41" x14ac:dyDescent="0.35">
      <c r="A458">
        <v>20982858</v>
      </c>
      <c r="B458">
        <v>202508</v>
      </c>
      <c r="C458">
        <v>20478065699</v>
      </c>
      <c r="D458" t="s">
        <v>710</v>
      </c>
      <c r="E458" t="s">
        <v>1</v>
      </c>
      <c r="F458">
        <v>10259113</v>
      </c>
      <c r="G458" t="s">
        <v>65</v>
      </c>
      <c r="H458" t="s">
        <v>260</v>
      </c>
      <c r="I458">
        <v>16726.41796875</v>
      </c>
      <c r="J458" s="1">
        <v>45523</v>
      </c>
      <c r="K458">
        <v>14.5</v>
      </c>
      <c r="L458" t="s">
        <v>37</v>
      </c>
      <c r="M458" t="s">
        <v>37</v>
      </c>
      <c r="N458" t="s">
        <v>47</v>
      </c>
      <c r="O458">
        <v>202408</v>
      </c>
      <c r="P458">
        <v>90004.5</v>
      </c>
      <c r="Q458" t="s">
        <v>606</v>
      </c>
      <c r="R458" t="s">
        <v>607</v>
      </c>
      <c r="S458" t="s">
        <v>127</v>
      </c>
      <c r="T458" t="s">
        <v>147</v>
      </c>
      <c r="U458" t="s">
        <v>20</v>
      </c>
      <c r="V458">
        <v>1</v>
      </c>
      <c r="W458" t="s">
        <v>10</v>
      </c>
      <c r="X458" t="s">
        <v>12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12</v>
      </c>
      <c r="AG458" t="s">
        <v>12</v>
      </c>
      <c r="AH458" t="s">
        <v>12</v>
      </c>
      <c r="AI458" t="s">
        <v>12</v>
      </c>
      <c r="AJ458" t="s">
        <v>12</v>
      </c>
      <c r="AK458">
        <v>1</v>
      </c>
      <c r="AL458">
        <v>0.1613</v>
      </c>
      <c r="AM458">
        <v>0</v>
      </c>
      <c r="AN458" t="s">
        <v>12</v>
      </c>
      <c r="AO458" t="s">
        <v>12</v>
      </c>
    </row>
    <row r="459" spans="1:41" x14ac:dyDescent="0.35">
      <c r="A459">
        <v>15806235</v>
      </c>
      <c r="B459">
        <v>202510</v>
      </c>
      <c r="C459">
        <v>20552886314</v>
      </c>
      <c r="D459" t="s">
        <v>711</v>
      </c>
      <c r="E459" t="s">
        <v>1</v>
      </c>
      <c r="F459">
        <v>10255720</v>
      </c>
      <c r="G459" t="s">
        <v>53</v>
      </c>
      <c r="H459" t="s">
        <v>101</v>
      </c>
      <c r="I459">
        <v>42220.57421875</v>
      </c>
      <c r="J459" s="1">
        <v>45464</v>
      </c>
      <c r="K459">
        <v>15.4</v>
      </c>
      <c r="L459" t="s">
        <v>37</v>
      </c>
      <c r="M459" t="s">
        <v>37</v>
      </c>
      <c r="N459" t="s">
        <v>47</v>
      </c>
      <c r="O459">
        <v>202406</v>
      </c>
      <c r="P459">
        <v>68293.399999999994</v>
      </c>
      <c r="Q459" t="s">
        <v>101</v>
      </c>
      <c r="R459" t="s">
        <v>103</v>
      </c>
      <c r="S459" t="s">
        <v>88</v>
      </c>
      <c r="T459" t="s">
        <v>89</v>
      </c>
      <c r="U459" t="s">
        <v>20</v>
      </c>
      <c r="V459">
        <v>2</v>
      </c>
      <c r="W459" t="s">
        <v>10</v>
      </c>
      <c r="X459" t="s">
        <v>12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12</v>
      </c>
      <c r="AG459" t="s">
        <v>12</v>
      </c>
      <c r="AH459" t="s">
        <v>12</v>
      </c>
      <c r="AI459" t="s">
        <v>12</v>
      </c>
      <c r="AJ459" t="s">
        <v>12</v>
      </c>
      <c r="AK459">
        <v>1</v>
      </c>
      <c r="AL459">
        <v>1</v>
      </c>
      <c r="AM459" t="s">
        <v>12</v>
      </c>
      <c r="AN459" t="s">
        <v>12</v>
      </c>
      <c r="AO459" t="s">
        <v>12</v>
      </c>
    </row>
    <row r="460" spans="1:41" x14ac:dyDescent="0.35">
      <c r="A460">
        <v>17055716</v>
      </c>
      <c r="B460">
        <v>202512</v>
      </c>
      <c r="C460">
        <v>20606258403</v>
      </c>
      <c r="D460" t="s">
        <v>712</v>
      </c>
      <c r="E460" t="s">
        <v>1</v>
      </c>
      <c r="F460">
        <v>10273431</v>
      </c>
      <c r="G460" t="s">
        <v>28</v>
      </c>
      <c r="H460" t="s">
        <v>210</v>
      </c>
      <c r="I460">
        <v>174250.515625</v>
      </c>
      <c r="J460" s="1">
        <v>45986</v>
      </c>
      <c r="K460">
        <v>17</v>
      </c>
      <c r="L460" t="s">
        <v>4</v>
      </c>
      <c r="M460" t="s">
        <v>4</v>
      </c>
      <c r="N460" t="s">
        <v>26</v>
      </c>
      <c r="O460">
        <v>202511</v>
      </c>
      <c r="P460">
        <v>180009</v>
      </c>
      <c r="Q460" t="s">
        <v>210</v>
      </c>
      <c r="R460" t="s">
        <v>211</v>
      </c>
      <c r="S460" t="s">
        <v>39</v>
      </c>
      <c r="T460" t="s">
        <v>40</v>
      </c>
      <c r="U460" t="s">
        <v>20</v>
      </c>
      <c r="V460">
        <v>1</v>
      </c>
      <c r="W460" t="s">
        <v>10</v>
      </c>
      <c r="X460" t="s">
        <v>22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12</v>
      </c>
      <c r="AG460" t="s">
        <v>12</v>
      </c>
      <c r="AH460" t="s">
        <v>12</v>
      </c>
      <c r="AI460" t="s">
        <v>12</v>
      </c>
      <c r="AJ460" t="s">
        <v>12</v>
      </c>
      <c r="AK460">
        <v>1</v>
      </c>
      <c r="AL460">
        <v>1</v>
      </c>
      <c r="AM460" t="s">
        <v>12</v>
      </c>
      <c r="AN460" t="s">
        <v>12</v>
      </c>
      <c r="AO460" t="s">
        <v>12</v>
      </c>
    </row>
    <row r="461" spans="1:41" x14ac:dyDescent="0.35">
      <c r="A461">
        <v>17720772</v>
      </c>
      <c r="B461">
        <v>202510</v>
      </c>
      <c r="C461">
        <v>10468881808</v>
      </c>
      <c r="D461" t="s">
        <v>713</v>
      </c>
      <c r="E461">
        <v>46888180</v>
      </c>
      <c r="F461">
        <v>10271530</v>
      </c>
      <c r="G461" t="s">
        <v>68</v>
      </c>
      <c r="H461" t="s">
        <v>204</v>
      </c>
      <c r="I461">
        <v>144622.9375</v>
      </c>
      <c r="J461" s="1">
        <v>45919</v>
      </c>
      <c r="K461">
        <v>16</v>
      </c>
      <c r="L461" t="s">
        <v>4</v>
      </c>
      <c r="M461" t="s">
        <v>4</v>
      </c>
      <c r="N461" t="s">
        <v>20</v>
      </c>
      <c r="O461">
        <v>202509</v>
      </c>
      <c r="P461">
        <v>150007.5</v>
      </c>
      <c r="Q461" t="s">
        <v>12</v>
      </c>
      <c r="R461" t="s">
        <v>12</v>
      </c>
      <c r="S461" t="s">
        <v>12</v>
      </c>
      <c r="T461" t="s">
        <v>12</v>
      </c>
      <c r="U461" t="s">
        <v>12</v>
      </c>
      <c r="V461" t="s">
        <v>12</v>
      </c>
      <c r="W461" t="s">
        <v>12</v>
      </c>
      <c r="X461" t="s">
        <v>12</v>
      </c>
      <c r="Y461" t="s">
        <v>12</v>
      </c>
      <c r="Z461" t="s">
        <v>12</v>
      </c>
      <c r="AA461" t="s">
        <v>12</v>
      </c>
      <c r="AB461" t="s">
        <v>12</v>
      </c>
      <c r="AC461" t="s">
        <v>12</v>
      </c>
      <c r="AD461" t="s">
        <v>12</v>
      </c>
      <c r="AE461" t="s">
        <v>12</v>
      </c>
      <c r="AF461" t="s">
        <v>12</v>
      </c>
      <c r="AG461" t="s">
        <v>12</v>
      </c>
      <c r="AH461" t="s">
        <v>12</v>
      </c>
      <c r="AI461" t="s">
        <v>12</v>
      </c>
      <c r="AJ461" t="s">
        <v>12</v>
      </c>
      <c r="AK461" t="s">
        <v>12</v>
      </c>
      <c r="AL461" t="s">
        <v>12</v>
      </c>
      <c r="AM461" t="s">
        <v>12</v>
      </c>
      <c r="AN461" t="s">
        <v>12</v>
      </c>
      <c r="AO461" t="s">
        <v>12</v>
      </c>
    </row>
    <row r="462" spans="1:41" x14ac:dyDescent="0.35">
      <c r="A462">
        <v>9818202</v>
      </c>
      <c r="B462">
        <v>202510</v>
      </c>
      <c r="C462">
        <v>10180722021</v>
      </c>
      <c r="D462" t="s">
        <v>714</v>
      </c>
      <c r="E462">
        <v>18072202</v>
      </c>
      <c r="F462">
        <v>10270299</v>
      </c>
      <c r="G462" t="s">
        <v>100</v>
      </c>
      <c r="H462" t="s">
        <v>124</v>
      </c>
      <c r="I462">
        <v>174436.84375</v>
      </c>
      <c r="J462" s="1">
        <v>45881</v>
      </c>
      <c r="K462">
        <v>15</v>
      </c>
      <c r="L462" t="s">
        <v>37</v>
      </c>
      <c r="M462" t="s">
        <v>37</v>
      </c>
      <c r="N462" t="s">
        <v>102</v>
      </c>
      <c r="O462">
        <v>202508</v>
      </c>
      <c r="P462">
        <v>300015</v>
      </c>
      <c r="Q462" t="s">
        <v>124</v>
      </c>
      <c r="R462" t="s">
        <v>125</v>
      </c>
      <c r="S462" t="s">
        <v>88</v>
      </c>
      <c r="T462" t="s">
        <v>89</v>
      </c>
      <c r="U462" t="s">
        <v>20</v>
      </c>
      <c r="V462">
        <v>2</v>
      </c>
      <c r="W462" t="s">
        <v>90</v>
      </c>
      <c r="X462" t="s">
        <v>12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12</v>
      </c>
      <c r="AG462" t="s">
        <v>12</v>
      </c>
      <c r="AH462" t="s">
        <v>12</v>
      </c>
      <c r="AI462" t="s">
        <v>12</v>
      </c>
      <c r="AJ462" t="s">
        <v>12</v>
      </c>
      <c r="AK462">
        <v>1</v>
      </c>
      <c r="AL462">
        <v>1</v>
      </c>
      <c r="AM462" t="s">
        <v>12</v>
      </c>
      <c r="AN462" t="s">
        <v>12</v>
      </c>
      <c r="AO462" t="s">
        <v>12</v>
      </c>
    </row>
    <row r="463" spans="1:41" x14ac:dyDescent="0.35">
      <c r="A463">
        <v>9818202</v>
      </c>
      <c r="B463">
        <v>202512</v>
      </c>
      <c r="C463">
        <v>10180722021</v>
      </c>
      <c r="D463" t="s">
        <v>714</v>
      </c>
      <c r="E463">
        <v>18072202</v>
      </c>
      <c r="F463">
        <v>10270299</v>
      </c>
      <c r="G463" t="s">
        <v>100</v>
      </c>
      <c r="H463" t="s">
        <v>124</v>
      </c>
      <c r="I463">
        <v>13173.173828125</v>
      </c>
      <c r="J463" s="1">
        <v>45881</v>
      </c>
      <c r="K463">
        <v>15</v>
      </c>
      <c r="L463" t="s">
        <v>37</v>
      </c>
      <c r="M463" t="s">
        <v>37</v>
      </c>
      <c r="N463" t="s">
        <v>102</v>
      </c>
      <c r="O463">
        <v>202508</v>
      </c>
      <c r="P463">
        <v>300015</v>
      </c>
      <c r="Q463" t="s">
        <v>124</v>
      </c>
      <c r="R463" t="s">
        <v>125</v>
      </c>
      <c r="S463" t="s">
        <v>88</v>
      </c>
      <c r="T463" t="s">
        <v>89</v>
      </c>
      <c r="U463" t="s">
        <v>20</v>
      </c>
      <c r="V463">
        <v>2</v>
      </c>
      <c r="W463" t="s">
        <v>10</v>
      </c>
      <c r="X463" t="s">
        <v>59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12</v>
      </c>
      <c r="AG463" t="s">
        <v>12</v>
      </c>
      <c r="AH463" t="s">
        <v>12</v>
      </c>
      <c r="AI463" t="s">
        <v>12</v>
      </c>
      <c r="AJ463" t="s">
        <v>12</v>
      </c>
      <c r="AK463">
        <v>1</v>
      </c>
      <c r="AL463">
        <v>1</v>
      </c>
      <c r="AM463" t="s">
        <v>12</v>
      </c>
      <c r="AN463" t="s">
        <v>12</v>
      </c>
      <c r="AO463" t="s">
        <v>12</v>
      </c>
    </row>
    <row r="464" spans="1:41" x14ac:dyDescent="0.35">
      <c r="A464">
        <v>17046694</v>
      </c>
      <c r="B464">
        <v>202511</v>
      </c>
      <c r="C464">
        <v>20555077085</v>
      </c>
      <c r="D464" t="s">
        <v>715</v>
      </c>
      <c r="E464" t="s">
        <v>1</v>
      </c>
      <c r="F464">
        <v>10266736</v>
      </c>
      <c r="G464" t="s">
        <v>92</v>
      </c>
      <c r="H464" t="s">
        <v>606</v>
      </c>
      <c r="I464">
        <v>185318.1875</v>
      </c>
      <c r="J464" s="1">
        <v>45747</v>
      </c>
      <c r="K464">
        <v>14.16</v>
      </c>
      <c r="L464" t="s">
        <v>4</v>
      </c>
      <c r="M464" t="s">
        <v>4</v>
      </c>
      <c r="N464" t="s">
        <v>41</v>
      </c>
      <c r="O464">
        <v>202503</v>
      </c>
      <c r="P464">
        <v>250012.5</v>
      </c>
      <c r="Q464" t="s">
        <v>606</v>
      </c>
      <c r="R464" t="s">
        <v>607</v>
      </c>
      <c r="S464" t="s">
        <v>127</v>
      </c>
      <c r="T464" t="s">
        <v>147</v>
      </c>
      <c r="U464" t="s">
        <v>41</v>
      </c>
      <c r="V464">
        <v>1</v>
      </c>
      <c r="W464" t="s">
        <v>10</v>
      </c>
      <c r="X464" t="s">
        <v>11</v>
      </c>
      <c r="Y464">
        <v>1</v>
      </c>
      <c r="Z464">
        <v>1</v>
      </c>
      <c r="AA464">
        <v>0</v>
      </c>
      <c r="AB464">
        <v>0</v>
      </c>
      <c r="AC464">
        <v>1</v>
      </c>
      <c r="AD464">
        <v>1</v>
      </c>
      <c r="AE464">
        <v>0</v>
      </c>
      <c r="AF464" t="s">
        <v>12</v>
      </c>
      <c r="AG464" t="s">
        <v>12</v>
      </c>
      <c r="AH464" t="s">
        <v>12</v>
      </c>
      <c r="AI464" t="s">
        <v>12</v>
      </c>
      <c r="AJ464" t="s">
        <v>12</v>
      </c>
      <c r="AK464">
        <v>400000</v>
      </c>
      <c r="AL464">
        <v>0.21</v>
      </c>
      <c r="AM464">
        <v>0.19</v>
      </c>
      <c r="AN464" t="s">
        <v>12</v>
      </c>
      <c r="AO464" t="s">
        <v>12</v>
      </c>
    </row>
    <row r="465" spans="1:41" x14ac:dyDescent="0.35">
      <c r="A465">
        <v>21954196</v>
      </c>
      <c r="B465">
        <v>202602</v>
      </c>
      <c r="C465">
        <v>20603102372</v>
      </c>
      <c r="D465" t="s">
        <v>716</v>
      </c>
      <c r="E465" t="s">
        <v>1</v>
      </c>
      <c r="F465">
        <v>10273020</v>
      </c>
      <c r="G465" t="s">
        <v>14</v>
      </c>
      <c r="H465" t="s">
        <v>372</v>
      </c>
      <c r="I465">
        <v>66238.0703125</v>
      </c>
      <c r="J465" s="1">
        <v>45972</v>
      </c>
      <c r="K465">
        <v>15</v>
      </c>
      <c r="L465" t="s">
        <v>37</v>
      </c>
      <c r="M465" t="s">
        <v>37</v>
      </c>
      <c r="N465" t="s">
        <v>16</v>
      </c>
      <c r="O465">
        <v>202511</v>
      </c>
      <c r="P465">
        <v>74403.7</v>
      </c>
      <c r="Q465" t="s">
        <v>372</v>
      </c>
      <c r="R465" t="s">
        <v>373</v>
      </c>
      <c r="S465" t="s">
        <v>49</v>
      </c>
      <c r="T465" t="s">
        <v>50</v>
      </c>
      <c r="U465" t="s">
        <v>138</v>
      </c>
      <c r="V465">
        <v>1</v>
      </c>
      <c r="W465" t="s">
        <v>10</v>
      </c>
      <c r="X465" t="s">
        <v>11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 t="s">
        <v>12</v>
      </c>
      <c r="AG465" t="s">
        <v>12</v>
      </c>
      <c r="AH465" t="s">
        <v>12</v>
      </c>
      <c r="AI465" t="s">
        <v>12</v>
      </c>
      <c r="AJ465" t="s">
        <v>12</v>
      </c>
      <c r="AK465">
        <v>0</v>
      </c>
      <c r="AL465">
        <v>0</v>
      </c>
      <c r="AM465">
        <v>0</v>
      </c>
      <c r="AN465" t="s">
        <v>12</v>
      </c>
      <c r="AO465" t="s">
        <v>12</v>
      </c>
    </row>
    <row r="466" spans="1:41" x14ac:dyDescent="0.35">
      <c r="A466">
        <v>13904981</v>
      </c>
      <c r="B466">
        <v>202602</v>
      </c>
      <c r="C466">
        <v>20543082300</v>
      </c>
      <c r="D466" t="s">
        <v>717</v>
      </c>
      <c r="E466" t="s">
        <v>1</v>
      </c>
      <c r="F466">
        <v>10269396</v>
      </c>
      <c r="G466" t="s">
        <v>14</v>
      </c>
      <c r="H466" t="s">
        <v>31</v>
      </c>
      <c r="I466">
        <v>125954.3515625</v>
      </c>
      <c r="J466" s="1">
        <v>45846</v>
      </c>
      <c r="K466">
        <v>17</v>
      </c>
      <c r="L466" t="s">
        <v>37</v>
      </c>
      <c r="M466" t="s">
        <v>37</v>
      </c>
      <c r="N466" t="s">
        <v>16</v>
      </c>
      <c r="O466">
        <v>202507</v>
      </c>
      <c r="P466">
        <v>170008.5</v>
      </c>
      <c r="Q466" t="s">
        <v>284</v>
      </c>
      <c r="R466" t="s">
        <v>285</v>
      </c>
      <c r="S466" t="s">
        <v>31</v>
      </c>
      <c r="T466" t="s">
        <v>32</v>
      </c>
      <c r="U466" t="s">
        <v>63</v>
      </c>
      <c r="V466">
        <v>1</v>
      </c>
      <c r="W466" t="s">
        <v>10</v>
      </c>
      <c r="X466" t="s">
        <v>51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 t="s">
        <v>12</v>
      </c>
      <c r="AG466" t="s">
        <v>12</v>
      </c>
      <c r="AH466" t="s">
        <v>12</v>
      </c>
      <c r="AI466" t="s">
        <v>12</v>
      </c>
      <c r="AJ466" t="s">
        <v>12</v>
      </c>
      <c r="AK466">
        <v>250000</v>
      </c>
      <c r="AL466">
        <v>0.21</v>
      </c>
      <c r="AM466">
        <v>0.19</v>
      </c>
      <c r="AN466" t="s">
        <v>12</v>
      </c>
      <c r="AO466" t="s">
        <v>12</v>
      </c>
    </row>
    <row r="467" spans="1:41" x14ac:dyDescent="0.35">
      <c r="A467">
        <v>21566504</v>
      </c>
      <c r="B467">
        <v>202505</v>
      </c>
      <c r="C467">
        <v>20605668853</v>
      </c>
      <c r="D467" t="s">
        <v>718</v>
      </c>
      <c r="E467" t="s">
        <v>1</v>
      </c>
      <c r="F467">
        <v>10266884</v>
      </c>
      <c r="G467" t="s">
        <v>100</v>
      </c>
      <c r="H467" t="s">
        <v>159</v>
      </c>
      <c r="I467">
        <v>175108.75</v>
      </c>
      <c r="J467" s="1">
        <v>45754</v>
      </c>
      <c r="K467">
        <v>18</v>
      </c>
      <c r="L467" t="s">
        <v>37</v>
      </c>
      <c r="M467" t="s">
        <v>37</v>
      </c>
      <c r="N467" t="s">
        <v>102</v>
      </c>
      <c r="O467">
        <v>202504</v>
      </c>
      <c r="P467">
        <v>180009</v>
      </c>
      <c r="Q467" t="s">
        <v>12</v>
      </c>
      <c r="R467" t="s">
        <v>12</v>
      </c>
      <c r="S467" t="s">
        <v>12</v>
      </c>
      <c r="T467" t="s">
        <v>12</v>
      </c>
      <c r="U467" t="s">
        <v>12</v>
      </c>
      <c r="V467" t="s">
        <v>12</v>
      </c>
      <c r="W467" t="s">
        <v>12</v>
      </c>
      <c r="X467" t="s">
        <v>12</v>
      </c>
      <c r="Y467" t="s">
        <v>12</v>
      </c>
      <c r="Z467" t="s">
        <v>12</v>
      </c>
      <c r="AA467" t="s">
        <v>12</v>
      </c>
      <c r="AB467" t="s">
        <v>12</v>
      </c>
      <c r="AC467" t="s">
        <v>12</v>
      </c>
      <c r="AD467" t="s">
        <v>12</v>
      </c>
      <c r="AE467" t="s">
        <v>12</v>
      </c>
      <c r="AF467" t="s">
        <v>12</v>
      </c>
      <c r="AG467" t="s">
        <v>12</v>
      </c>
      <c r="AH467" t="s">
        <v>12</v>
      </c>
      <c r="AI467" t="s">
        <v>12</v>
      </c>
      <c r="AJ467" t="s">
        <v>12</v>
      </c>
      <c r="AK467" t="s">
        <v>12</v>
      </c>
      <c r="AL467" t="s">
        <v>12</v>
      </c>
      <c r="AM467" t="s">
        <v>12</v>
      </c>
      <c r="AN467" t="s">
        <v>12</v>
      </c>
      <c r="AO467" t="s">
        <v>12</v>
      </c>
    </row>
    <row r="468" spans="1:41" x14ac:dyDescent="0.35">
      <c r="A468">
        <v>18501837</v>
      </c>
      <c r="B468">
        <v>202509</v>
      </c>
      <c r="C468">
        <v>20601011809</v>
      </c>
      <c r="D468" t="s">
        <v>719</v>
      </c>
      <c r="E468" t="s">
        <v>1</v>
      </c>
      <c r="F468">
        <v>10265093</v>
      </c>
      <c r="G468" t="s">
        <v>332</v>
      </c>
      <c r="H468" t="s">
        <v>85</v>
      </c>
      <c r="I468">
        <v>65421.08984375</v>
      </c>
      <c r="J468" s="1">
        <v>45688</v>
      </c>
      <c r="K468">
        <v>17</v>
      </c>
      <c r="L468" t="s">
        <v>37</v>
      </c>
      <c r="M468" t="s">
        <v>37</v>
      </c>
      <c r="N468" t="s">
        <v>47</v>
      </c>
      <c r="O468">
        <v>202501</v>
      </c>
      <c r="P468">
        <v>80004</v>
      </c>
      <c r="Q468" t="s">
        <v>85</v>
      </c>
      <c r="R468" t="s">
        <v>87</v>
      </c>
      <c r="S468" t="s">
        <v>88</v>
      </c>
      <c r="T468" t="s">
        <v>89</v>
      </c>
      <c r="U468" t="s">
        <v>20</v>
      </c>
      <c r="V468">
        <v>2</v>
      </c>
      <c r="W468" t="s">
        <v>10</v>
      </c>
      <c r="X468" t="s">
        <v>51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12</v>
      </c>
      <c r="AG468" t="s">
        <v>12</v>
      </c>
      <c r="AH468" t="s">
        <v>12</v>
      </c>
      <c r="AI468" t="s">
        <v>12</v>
      </c>
      <c r="AJ468" t="s">
        <v>12</v>
      </c>
      <c r="AK468">
        <v>1</v>
      </c>
      <c r="AL468">
        <v>1</v>
      </c>
      <c r="AM468" t="s">
        <v>12</v>
      </c>
      <c r="AN468" t="s">
        <v>12</v>
      </c>
      <c r="AO468" t="s">
        <v>12</v>
      </c>
    </row>
    <row r="469" spans="1:41" x14ac:dyDescent="0.35">
      <c r="A469">
        <v>16418513</v>
      </c>
      <c r="B469">
        <v>202505</v>
      </c>
      <c r="C469">
        <v>20547233931</v>
      </c>
      <c r="D469" t="s">
        <v>720</v>
      </c>
      <c r="E469" t="s">
        <v>1</v>
      </c>
      <c r="F469">
        <v>10228871</v>
      </c>
      <c r="G469" t="s">
        <v>24</v>
      </c>
      <c r="H469" t="s">
        <v>317</v>
      </c>
      <c r="I469">
        <v>13355.935546875</v>
      </c>
      <c r="J469" s="1">
        <v>44810</v>
      </c>
      <c r="K469">
        <v>21.9</v>
      </c>
      <c r="L469" t="s">
        <v>4</v>
      </c>
      <c r="M469" t="s">
        <v>4</v>
      </c>
      <c r="N469" t="s">
        <v>12</v>
      </c>
      <c r="O469">
        <v>202209</v>
      </c>
      <c r="P469">
        <v>179509.95</v>
      </c>
      <c r="Q469" t="s">
        <v>317</v>
      </c>
      <c r="R469" t="s">
        <v>721</v>
      </c>
      <c r="S469" t="s">
        <v>88</v>
      </c>
      <c r="T469" t="s">
        <v>89</v>
      </c>
      <c r="U469" t="s">
        <v>20</v>
      </c>
      <c r="V469">
        <v>2</v>
      </c>
      <c r="W469" t="s">
        <v>10</v>
      </c>
      <c r="X469" t="s">
        <v>12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t="s">
        <v>12</v>
      </c>
      <c r="AG469" t="s">
        <v>12</v>
      </c>
      <c r="AH469" t="s">
        <v>12</v>
      </c>
      <c r="AI469" t="s">
        <v>12</v>
      </c>
      <c r="AJ469" t="s">
        <v>12</v>
      </c>
      <c r="AK469">
        <v>0</v>
      </c>
      <c r="AL469">
        <v>0</v>
      </c>
      <c r="AM469">
        <v>0</v>
      </c>
      <c r="AN469" t="s">
        <v>12</v>
      </c>
      <c r="AO469" t="s">
        <v>12</v>
      </c>
    </row>
    <row r="470" spans="1:41" x14ac:dyDescent="0.35">
      <c r="A470">
        <v>21702005</v>
      </c>
      <c r="B470">
        <v>202510</v>
      </c>
      <c r="C470">
        <v>20603082223</v>
      </c>
      <c r="D470" t="s">
        <v>722</v>
      </c>
      <c r="E470" t="s">
        <v>1</v>
      </c>
      <c r="F470">
        <v>10268845</v>
      </c>
      <c r="G470" t="s">
        <v>24</v>
      </c>
      <c r="H470" t="s">
        <v>105</v>
      </c>
      <c r="I470">
        <v>80325.375</v>
      </c>
      <c r="J470" s="1">
        <v>45827</v>
      </c>
      <c r="K470">
        <v>21.5</v>
      </c>
      <c r="L470" t="s">
        <v>37</v>
      </c>
      <c r="M470" t="s">
        <v>37</v>
      </c>
      <c r="N470" t="s">
        <v>98</v>
      </c>
      <c r="O470">
        <v>202506</v>
      </c>
      <c r="P470">
        <v>100005</v>
      </c>
      <c r="Q470" t="s">
        <v>105</v>
      </c>
      <c r="R470" t="s">
        <v>106</v>
      </c>
      <c r="S470" t="s">
        <v>88</v>
      </c>
      <c r="T470" t="s">
        <v>89</v>
      </c>
      <c r="U470" t="s">
        <v>20</v>
      </c>
      <c r="V470">
        <v>2</v>
      </c>
      <c r="W470" t="s">
        <v>10</v>
      </c>
      <c r="X470" t="s">
        <v>12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12</v>
      </c>
      <c r="AG470" t="s">
        <v>12</v>
      </c>
      <c r="AH470" t="s">
        <v>12</v>
      </c>
      <c r="AI470" t="s">
        <v>12</v>
      </c>
      <c r="AJ470" t="s">
        <v>12</v>
      </c>
      <c r="AK470">
        <v>1</v>
      </c>
      <c r="AL470">
        <v>1</v>
      </c>
      <c r="AM470" t="s">
        <v>12</v>
      </c>
      <c r="AN470" t="s">
        <v>12</v>
      </c>
      <c r="AO470" t="s">
        <v>12</v>
      </c>
    </row>
    <row r="471" spans="1:41" x14ac:dyDescent="0.35">
      <c r="A471">
        <v>16156159</v>
      </c>
      <c r="B471">
        <v>202511</v>
      </c>
      <c r="C471">
        <v>10400930851</v>
      </c>
      <c r="D471" t="s">
        <v>723</v>
      </c>
      <c r="E471">
        <v>40093085</v>
      </c>
      <c r="F471">
        <v>10267649</v>
      </c>
      <c r="G471" t="s">
        <v>24</v>
      </c>
      <c r="H471" t="s">
        <v>513</v>
      </c>
      <c r="I471">
        <v>42840.51953125</v>
      </c>
      <c r="J471" s="1">
        <v>45785</v>
      </c>
      <c r="K471">
        <v>23.1</v>
      </c>
      <c r="L471" t="s">
        <v>37</v>
      </c>
      <c r="M471" t="s">
        <v>37</v>
      </c>
      <c r="N471" t="s">
        <v>98</v>
      </c>
      <c r="O471">
        <v>202505</v>
      </c>
      <c r="P471">
        <v>61003.05</v>
      </c>
      <c r="Q471" t="s">
        <v>513</v>
      </c>
      <c r="R471" t="s">
        <v>514</v>
      </c>
      <c r="S471" t="s">
        <v>111</v>
      </c>
      <c r="T471" t="s">
        <v>112</v>
      </c>
      <c r="U471" t="s">
        <v>41</v>
      </c>
      <c r="V471">
        <v>2</v>
      </c>
      <c r="W471" t="s">
        <v>90</v>
      </c>
      <c r="X471" t="s">
        <v>59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12</v>
      </c>
      <c r="AG471" t="s">
        <v>12</v>
      </c>
      <c r="AH471" t="s">
        <v>12</v>
      </c>
      <c r="AI471" t="s">
        <v>12</v>
      </c>
      <c r="AJ471" t="s">
        <v>12</v>
      </c>
      <c r="AK471">
        <v>200000</v>
      </c>
      <c r="AL471">
        <v>0.251</v>
      </c>
      <c r="AM471">
        <v>0.23100000000000001</v>
      </c>
      <c r="AN471" t="s">
        <v>12</v>
      </c>
      <c r="AO471" t="s">
        <v>12</v>
      </c>
    </row>
    <row r="472" spans="1:41" x14ac:dyDescent="0.35">
      <c r="A472">
        <v>12876147</v>
      </c>
      <c r="B472">
        <v>202504</v>
      </c>
      <c r="C472">
        <v>10423912311</v>
      </c>
      <c r="D472" t="s">
        <v>724</v>
      </c>
      <c r="E472">
        <v>42391231</v>
      </c>
      <c r="F472">
        <v>10267036</v>
      </c>
      <c r="G472" t="s">
        <v>100</v>
      </c>
      <c r="H472" t="s">
        <v>725</v>
      </c>
      <c r="I472">
        <v>106005.3046875</v>
      </c>
      <c r="J472" s="1">
        <v>45761</v>
      </c>
      <c r="K472">
        <v>15</v>
      </c>
      <c r="L472" t="s">
        <v>37</v>
      </c>
      <c r="M472" t="s">
        <v>37</v>
      </c>
      <c r="N472" t="s">
        <v>102</v>
      </c>
      <c r="O472">
        <v>202504</v>
      </c>
      <c r="P472">
        <v>106005.3</v>
      </c>
      <c r="Q472" t="s">
        <v>726</v>
      </c>
      <c r="R472" t="s">
        <v>727</v>
      </c>
      <c r="S472" t="s">
        <v>558</v>
      </c>
      <c r="T472" t="s">
        <v>559</v>
      </c>
      <c r="U472" t="s">
        <v>102</v>
      </c>
      <c r="V472">
        <v>3</v>
      </c>
      <c r="W472" t="s">
        <v>90</v>
      </c>
      <c r="X472" t="s">
        <v>12</v>
      </c>
      <c r="Y472">
        <v>1</v>
      </c>
      <c r="Z472">
        <v>1</v>
      </c>
      <c r="AA472">
        <v>1</v>
      </c>
      <c r="AB472">
        <v>1</v>
      </c>
      <c r="AC472">
        <v>1</v>
      </c>
      <c r="AD472" t="s">
        <v>12</v>
      </c>
      <c r="AE472">
        <v>106005.3</v>
      </c>
      <c r="AF472">
        <v>15</v>
      </c>
      <c r="AG472" s="1">
        <v>45761</v>
      </c>
      <c r="AH472" t="s">
        <v>102</v>
      </c>
      <c r="AI472" t="s">
        <v>37</v>
      </c>
      <c r="AJ472" t="s">
        <v>560</v>
      </c>
      <c r="AK472">
        <v>106000</v>
      </c>
      <c r="AL472">
        <v>0.24</v>
      </c>
      <c r="AM472">
        <v>0.23499999999999999</v>
      </c>
      <c r="AN472" t="s">
        <v>197</v>
      </c>
      <c r="AO472" t="s">
        <v>561</v>
      </c>
    </row>
    <row r="473" spans="1:41" x14ac:dyDescent="0.35">
      <c r="A473">
        <v>12702907</v>
      </c>
      <c r="B473">
        <v>202505</v>
      </c>
      <c r="C473">
        <v>20452552800</v>
      </c>
      <c r="D473" t="s">
        <v>728</v>
      </c>
      <c r="E473" t="s">
        <v>1</v>
      </c>
      <c r="F473">
        <v>10264357</v>
      </c>
      <c r="G473" t="s">
        <v>45</v>
      </c>
      <c r="H473" t="s">
        <v>729</v>
      </c>
      <c r="I473">
        <v>90004.5</v>
      </c>
      <c r="J473" s="1">
        <v>45656</v>
      </c>
      <c r="K473">
        <v>15.7</v>
      </c>
      <c r="L473" t="s">
        <v>37</v>
      </c>
      <c r="M473" t="s">
        <v>37</v>
      </c>
      <c r="N473" t="s">
        <v>47</v>
      </c>
      <c r="O473">
        <v>202412</v>
      </c>
      <c r="P473">
        <v>90004.5</v>
      </c>
      <c r="Q473" t="s">
        <v>12</v>
      </c>
      <c r="R473" t="s">
        <v>12</v>
      </c>
      <c r="S473" t="s">
        <v>12</v>
      </c>
      <c r="T473" t="s">
        <v>12</v>
      </c>
      <c r="U473" t="s">
        <v>12</v>
      </c>
      <c r="V473" t="s">
        <v>12</v>
      </c>
      <c r="W473" t="s">
        <v>12</v>
      </c>
      <c r="X473" t="s">
        <v>12</v>
      </c>
      <c r="Y473" t="s">
        <v>12</v>
      </c>
      <c r="Z473" t="s">
        <v>12</v>
      </c>
      <c r="AA473" t="s">
        <v>12</v>
      </c>
      <c r="AB473" t="s">
        <v>12</v>
      </c>
      <c r="AC473" t="s">
        <v>12</v>
      </c>
      <c r="AD473" t="s">
        <v>12</v>
      </c>
      <c r="AE473" t="s">
        <v>12</v>
      </c>
      <c r="AF473" t="s">
        <v>12</v>
      </c>
      <c r="AG473" t="s">
        <v>12</v>
      </c>
      <c r="AH473" t="s">
        <v>12</v>
      </c>
      <c r="AI473" t="s">
        <v>12</v>
      </c>
      <c r="AJ473" t="s">
        <v>12</v>
      </c>
      <c r="AK473" t="s">
        <v>12</v>
      </c>
      <c r="AL473" t="s">
        <v>12</v>
      </c>
      <c r="AM473" t="s">
        <v>12</v>
      </c>
      <c r="AN473" t="s">
        <v>12</v>
      </c>
      <c r="AO473" t="s">
        <v>12</v>
      </c>
    </row>
    <row r="474" spans="1:41" x14ac:dyDescent="0.35">
      <c r="A474">
        <v>20034292</v>
      </c>
      <c r="B474">
        <v>202508</v>
      </c>
      <c r="C474">
        <v>20607959111</v>
      </c>
      <c r="D474" t="s">
        <v>730</v>
      </c>
      <c r="E474" t="s">
        <v>1</v>
      </c>
      <c r="F474">
        <v>10251561</v>
      </c>
      <c r="G474" t="s">
        <v>53</v>
      </c>
      <c r="H474" t="s">
        <v>257</v>
      </c>
      <c r="I474">
        <v>89601.5</v>
      </c>
      <c r="J474" s="1">
        <v>45406</v>
      </c>
      <c r="K474">
        <v>14.9</v>
      </c>
      <c r="L474" t="s">
        <v>4</v>
      </c>
      <c r="M474" t="s">
        <v>4</v>
      </c>
      <c r="N474" t="s">
        <v>47</v>
      </c>
      <c r="O474">
        <v>202404</v>
      </c>
      <c r="P474">
        <v>145117.25</v>
      </c>
      <c r="Q474" t="s">
        <v>257</v>
      </c>
      <c r="R474" t="s">
        <v>258</v>
      </c>
      <c r="S474" t="s">
        <v>49</v>
      </c>
      <c r="T474" t="s">
        <v>50</v>
      </c>
      <c r="U474" t="s">
        <v>20</v>
      </c>
      <c r="V474">
        <v>1</v>
      </c>
      <c r="W474" t="s">
        <v>10</v>
      </c>
      <c r="X474" t="s">
        <v>12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12</v>
      </c>
      <c r="AG474" t="s">
        <v>12</v>
      </c>
      <c r="AH474" t="s">
        <v>12</v>
      </c>
      <c r="AI474" t="s">
        <v>12</v>
      </c>
      <c r="AJ474" t="s">
        <v>12</v>
      </c>
      <c r="AK474">
        <v>1</v>
      </c>
      <c r="AL474">
        <v>0.1573</v>
      </c>
      <c r="AM474" t="s">
        <v>12</v>
      </c>
      <c r="AN474" t="s">
        <v>12</v>
      </c>
      <c r="AO474" t="s">
        <v>12</v>
      </c>
    </row>
    <row r="475" spans="1:41" x14ac:dyDescent="0.35">
      <c r="A475">
        <v>21382288</v>
      </c>
      <c r="B475">
        <v>202512</v>
      </c>
      <c r="C475">
        <v>20604567581</v>
      </c>
      <c r="D475" t="s">
        <v>731</v>
      </c>
      <c r="E475" t="s">
        <v>1</v>
      </c>
      <c r="F475">
        <v>10272422</v>
      </c>
      <c r="G475" t="s">
        <v>78</v>
      </c>
      <c r="H475" t="s">
        <v>732</v>
      </c>
      <c r="I475">
        <v>193745.921875</v>
      </c>
      <c r="J475" s="1">
        <v>45952</v>
      </c>
      <c r="K475">
        <v>16</v>
      </c>
      <c r="L475" t="s">
        <v>4</v>
      </c>
      <c r="M475" t="s">
        <v>4</v>
      </c>
      <c r="N475" t="s">
        <v>41</v>
      </c>
      <c r="O475">
        <v>202510</v>
      </c>
      <c r="P475">
        <v>200010</v>
      </c>
      <c r="Q475" t="s">
        <v>210</v>
      </c>
      <c r="R475" t="s">
        <v>211</v>
      </c>
      <c r="S475" t="s">
        <v>39</v>
      </c>
      <c r="T475" t="s">
        <v>40</v>
      </c>
      <c r="U475" t="s">
        <v>9</v>
      </c>
      <c r="V475">
        <v>1</v>
      </c>
      <c r="W475" t="s">
        <v>10</v>
      </c>
      <c r="X475" t="s">
        <v>22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 t="s">
        <v>12</v>
      </c>
      <c r="AG475" t="s">
        <v>12</v>
      </c>
      <c r="AH475" t="s">
        <v>12</v>
      </c>
      <c r="AI475" t="s">
        <v>12</v>
      </c>
      <c r="AJ475" t="s">
        <v>12</v>
      </c>
      <c r="AK475">
        <v>0</v>
      </c>
      <c r="AL475">
        <v>0</v>
      </c>
      <c r="AM475">
        <v>0</v>
      </c>
      <c r="AN475" t="s">
        <v>12</v>
      </c>
      <c r="AO475" t="s">
        <v>12</v>
      </c>
    </row>
    <row r="476" spans="1:41" x14ac:dyDescent="0.35">
      <c r="A476">
        <v>10249441</v>
      </c>
      <c r="B476">
        <v>202511</v>
      </c>
      <c r="C476">
        <v>20515236521</v>
      </c>
      <c r="D476" t="s">
        <v>733</v>
      </c>
      <c r="E476" t="s">
        <v>1</v>
      </c>
      <c r="F476">
        <v>10270838</v>
      </c>
      <c r="G476" t="s">
        <v>24</v>
      </c>
      <c r="H476" t="s">
        <v>220</v>
      </c>
      <c r="I476">
        <v>79662.9140625</v>
      </c>
      <c r="J476" s="1">
        <v>45897</v>
      </c>
      <c r="K476">
        <v>17</v>
      </c>
      <c r="L476" t="s">
        <v>4</v>
      </c>
      <c r="M476" t="s">
        <v>4</v>
      </c>
      <c r="N476" t="s">
        <v>26</v>
      </c>
      <c r="O476">
        <v>202508</v>
      </c>
      <c r="P476">
        <v>200010</v>
      </c>
      <c r="Q476" t="s">
        <v>220</v>
      </c>
      <c r="R476" t="s">
        <v>221</v>
      </c>
      <c r="S476" t="s">
        <v>127</v>
      </c>
      <c r="T476" t="s">
        <v>147</v>
      </c>
      <c r="U476" t="s">
        <v>41</v>
      </c>
      <c r="V476">
        <v>1</v>
      </c>
      <c r="W476" t="s">
        <v>10</v>
      </c>
      <c r="X476" t="s">
        <v>51</v>
      </c>
      <c r="Y476">
        <v>1</v>
      </c>
      <c r="Z476">
        <v>1</v>
      </c>
      <c r="AA476">
        <v>0</v>
      </c>
      <c r="AB476">
        <v>0</v>
      </c>
      <c r="AC476">
        <v>1</v>
      </c>
      <c r="AD476">
        <v>1</v>
      </c>
      <c r="AE476">
        <v>0</v>
      </c>
      <c r="AF476" t="s">
        <v>12</v>
      </c>
      <c r="AG476" t="s">
        <v>12</v>
      </c>
      <c r="AH476" t="s">
        <v>12</v>
      </c>
      <c r="AI476" t="s">
        <v>12</v>
      </c>
      <c r="AJ476" t="s">
        <v>12</v>
      </c>
      <c r="AK476">
        <v>400000</v>
      </c>
      <c r="AL476">
        <v>0.21</v>
      </c>
      <c r="AM476">
        <v>0.19</v>
      </c>
      <c r="AN476" t="s">
        <v>12</v>
      </c>
      <c r="AO476" t="s">
        <v>12</v>
      </c>
    </row>
    <row r="477" spans="1:41" x14ac:dyDescent="0.35">
      <c r="A477">
        <v>12350186</v>
      </c>
      <c r="B477">
        <v>202509</v>
      </c>
      <c r="C477">
        <v>20535614891</v>
      </c>
      <c r="D477" t="s">
        <v>734</v>
      </c>
      <c r="E477" t="s">
        <v>1</v>
      </c>
      <c r="F477">
        <v>10267123</v>
      </c>
      <c r="G477" t="s">
        <v>92</v>
      </c>
      <c r="H477" t="s">
        <v>458</v>
      </c>
      <c r="I477">
        <v>169047.328125</v>
      </c>
      <c r="J477" s="1">
        <v>45763</v>
      </c>
      <c r="K477">
        <v>16.28</v>
      </c>
      <c r="L477" t="s">
        <v>4</v>
      </c>
      <c r="M477" t="s">
        <v>4</v>
      </c>
      <c r="N477" t="s">
        <v>41</v>
      </c>
      <c r="O477">
        <v>202504</v>
      </c>
      <c r="P477">
        <v>200010</v>
      </c>
      <c r="Q477" t="s">
        <v>458</v>
      </c>
      <c r="R477" t="s">
        <v>459</v>
      </c>
      <c r="S477" t="s">
        <v>31</v>
      </c>
      <c r="T477" t="s">
        <v>32</v>
      </c>
      <c r="U477" t="s">
        <v>41</v>
      </c>
      <c r="V477">
        <v>1</v>
      </c>
      <c r="W477" t="s">
        <v>10</v>
      </c>
      <c r="X477" t="s">
        <v>11</v>
      </c>
      <c r="Y477">
        <v>1</v>
      </c>
      <c r="Z477">
        <v>1</v>
      </c>
      <c r="AA477">
        <v>0</v>
      </c>
      <c r="AB477">
        <v>0</v>
      </c>
      <c r="AC477">
        <v>1</v>
      </c>
      <c r="AD477">
        <v>1</v>
      </c>
      <c r="AE477">
        <v>0</v>
      </c>
      <c r="AF477" t="s">
        <v>12</v>
      </c>
      <c r="AG477" t="s">
        <v>12</v>
      </c>
      <c r="AH477" t="s">
        <v>12</v>
      </c>
      <c r="AI477" t="s">
        <v>12</v>
      </c>
      <c r="AJ477" t="s">
        <v>12</v>
      </c>
      <c r="AK477">
        <v>400000</v>
      </c>
      <c r="AL477">
        <v>0.18</v>
      </c>
      <c r="AM477">
        <v>0.16</v>
      </c>
      <c r="AN477" t="s">
        <v>12</v>
      </c>
      <c r="AO477" t="s">
        <v>12</v>
      </c>
    </row>
    <row r="478" spans="1:41" x14ac:dyDescent="0.35">
      <c r="A478">
        <v>14129154</v>
      </c>
      <c r="B478">
        <v>202510</v>
      </c>
      <c r="C478">
        <v>20533266259</v>
      </c>
      <c r="D478" t="s">
        <v>735</v>
      </c>
      <c r="E478" t="s">
        <v>1</v>
      </c>
      <c r="F478">
        <v>10176110</v>
      </c>
      <c r="G478" t="s">
        <v>2</v>
      </c>
      <c r="H478" t="s">
        <v>105</v>
      </c>
      <c r="I478">
        <v>94185.4140625</v>
      </c>
      <c r="J478" s="1">
        <v>45608</v>
      </c>
      <c r="K478">
        <v>17.5</v>
      </c>
      <c r="L478" t="s">
        <v>4</v>
      </c>
      <c r="M478" t="s">
        <v>4</v>
      </c>
      <c r="N478" t="s">
        <v>5</v>
      </c>
      <c r="O478">
        <v>202411</v>
      </c>
      <c r="P478">
        <v>150007.5</v>
      </c>
      <c r="Q478" t="s">
        <v>105</v>
      </c>
      <c r="R478" t="s">
        <v>106</v>
      </c>
      <c r="S478" t="s">
        <v>88</v>
      </c>
      <c r="T478" t="s">
        <v>89</v>
      </c>
      <c r="U478" t="s">
        <v>41</v>
      </c>
      <c r="V478">
        <v>2</v>
      </c>
      <c r="W478" t="s">
        <v>10</v>
      </c>
      <c r="X478" t="s">
        <v>12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12</v>
      </c>
      <c r="AG478" t="s">
        <v>12</v>
      </c>
      <c r="AH478" t="s">
        <v>12</v>
      </c>
      <c r="AI478" t="s">
        <v>12</v>
      </c>
      <c r="AJ478" t="s">
        <v>12</v>
      </c>
      <c r="AK478">
        <v>250000</v>
      </c>
      <c r="AL478">
        <v>0.21</v>
      </c>
      <c r="AM478">
        <v>0.19</v>
      </c>
      <c r="AN478" t="s">
        <v>12</v>
      </c>
      <c r="AO478" t="s">
        <v>12</v>
      </c>
    </row>
    <row r="479" spans="1:41" x14ac:dyDescent="0.35">
      <c r="A479">
        <v>11438429</v>
      </c>
      <c r="B479">
        <v>202503</v>
      </c>
      <c r="C479">
        <v>10293721900</v>
      </c>
      <c r="D479" t="s">
        <v>736</v>
      </c>
      <c r="E479">
        <v>29372190</v>
      </c>
      <c r="F479">
        <v>10252143</v>
      </c>
      <c r="G479" t="s">
        <v>65</v>
      </c>
      <c r="H479" t="s">
        <v>737</v>
      </c>
      <c r="I479">
        <v>20997.466796875</v>
      </c>
      <c r="J479" s="1">
        <v>45412</v>
      </c>
      <c r="K479">
        <v>15.5</v>
      </c>
      <c r="L479" t="s">
        <v>37</v>
      </c>
      <c r="M479" t="s">
        <v>37</v>
      </c>
      <c r="N479" t="s">
        <v>47</v>
      </c>
      <c r="O479">
        <v>202404</v>
      </c>
      <c r="P479">
        <v>27039.35</v>
      </c>
      <c r="Q479" t="s">
        <v>194</v>
      </c>
      <c r="R479" t="s">
        <v>195</v>
      </c>
      <c r="S479" t="s">
        <v>7</v>
      </c>
      <c r="T479" t="s">
        <v>8</v>
      </c>
      <c r="U479" t="s">
        <v>41</v>
      </c>
      <c r="V479">
        <v>1</v>
      </c>
      <c r="W479" t="s">
        <v>10</v>
      </c>
      <c r="X479" t="s">
        <v>12</v>
      </c>
      <c r="Y479">
        <v>1</v>
      </c>
      <c r="Z479">
        <v>1</v>
      </c>
      <c r="AA479">
        <v>0</v>
      </c>
      <c r="AB479">
        <v>0</v>
      </c>
      <c r="AC479">
        <v>1</v>
      </c>
      <c r="AD479">
        <v>0</v>
      </c>
      <c r="AE479">
        <v>0</v>
      </c>
      <c r="AF479" t="s">
        <v>12</v>
      </c>
      <c r="AG479" t="s">
        <v>12</v>
      </c>
      <c r="AH479" t="s">
        <v>12</v>
      </c>
      <c r="AI479" t="s">
        <v>12</v>
      </c>
      <c r="AJ479" t="s">
        <v>12</v>
      </c>
      <c r="AK479">
        <v>70000</v>
      </c>
      <c r="AL479">
        <v>0.26</v>
      </c>
      <c r="AM479">
        <v>0.23699999999999999</v>
      </c>
      <c r="AN479" t="s">
        <v>12</v>
      </c>
      <c r="AO479" t="s">
        <v>12</v>
      </c>
    </row>
    <row r="480" spans="1:41" x14ac:dyDescent="0.35">
      <c r="A480">
        <v>11322609</v>
      </c>
      <c r="B480">
        <v>202602</v>
      </c>
      <c r="C480">
        <v>10433835269</v>
      </c>
      <c r="D480" t="s">
        <v>738</v>
      </c>
      <c r="E480">
        <v>43383526</v>
      </c>
      <c r="F480">
        <v>10265395</v>
      </c>
      <c r="G480" t="s">
        <v>100</v>
      </c>
      <c r="H480" t="s">
        <v>127</v>
      </c>
      <c r="I480">
        <v>55902.484375</v>
      </c>
      <c r="J480" s="1">
        <v>45705</v>
      </c>
      <c r="K480">
        <v>27</v>
      </c>
      <c r="L480" t="s">
        <v>37</v>
      </c>
      <c r="M480" t="s">
        <v>37</v>
      </c>
      <c r="N480" t="s">
        <v>102</v>
      </c>
      <c r="O480">
        <v>202502</v>
      </c>
      <c r="P480">
        <v>168483.4</v>
      </c>
      <c r="Q480" t="s">
        <v>175</v>
      </c>
      <c r="R480" t="s">
        <v>176</v>
      </c>
      <c r="S480" t="s">
        <v>127</v>
      </c>
      <c r="T480" t="s">
        <v>147</v>
      </c>
      <c r="U480" t="s">
        <v>41</v>
      </c>
      <c r="V480">
        <v>1</v>
      </c>
      <c r="W480" t="s">
        <v>90</v>
      </c>
      <c r="X480" t="s">
        <v>59</v>
      </c>
      <c r="Y480">
        <v>1</v>
      </c>
      <c r="Z480">
        <v>1</v>
      </c>
      <c r="AA480">
        <v>0</v>
      </c>
      <c r="AB480">
        <v>1</v>
      </c>
      <c r="AC480">
        <v>1</v>
      </c>
      <c r="AD480">
        <v>0</v>
      </c>
      <c r="AE480">
        <v>0</v>
      </c>
      <c r="AF480" t="s">
        <v>12</v>
      </c>
      <c r="AG480" t="s">
        <v>12</v>
      </c>
      <c r="AH480" t="s">
        <v>12</v>
      </c>
      <c r="AI480" t="s">
        <v>12</v>
      </c>
      <c r="AJ480" t="s">
        <v>12</v>
      </c>
      <c r="AK480">
        <v>250000</v>
      </c>
      <c r="AL480">
        <v>0.21890000000000001</v>
      </c>
      <c r="AM480">
        <v>0.19889999999999999</v>
      </c>
      <c r="AN480" t="s">
        <v>12</v>
      </c>
      <c r="AO480" t="s">
        <v>12</v>
      </c>
    </row>
    <row r="481" spans="1:41" x14ac:dyDescent="0.35">
      <c r="A481">
        <v>17765296</v>
      </c>
      <c r="B481">
        <v>202506</v>
      </c>
      <c r="C481">
        <v>10470127495</v>
      </c>
      <c r="D481" t="s">
        <v>739</v>
      </c>
      <c r="E481">
        <v>47012749</v>
      </c>
      <c r="F481">
        <v>10265843</v>
      </c>
      <c r="G481" t="s">
        <v>24</v>
      </c>
      <c r="H481" t="s">
        <v>740</v>
      </c>
      <c r="I481">
        <v>53725.87109375</v>
      </c>
      <c r="J481" s="1">
        <v>45716</v>
      </c>
      <c r="K481">
        <v>17</v>
      </c>
      <c r="L481" t="s">
        <v>37</v>
      </c>
      <c r="M481" t="s">
        <v>37</v>
      </c>
      <c r="N481" t="s">
        <v>98</v>
      </c>
      <c r="O481">
        <v>202502</v>
      </c>
      <c r="P481">
        <v>60003</v>
      </c>
      <c r="Q481" t="s">
        <v>12</v>
      </c>
      <c r="R481" t="s">
        <v>12</v>
      </c>
      <c r="S481" t="s">
        <v>12</v>
      </c>
      <c r="T481" t="s">
        <v>12</v>
      </c>
      <c r="U481" t="s">
        <v>12</v>
      </c>
      <c r="V481" t="s">
        <v>12</v>
      </c>
      <c r="W481" t="s">
        <v>12</v>
      </c>
      <c r="X481" t="s">
        <v>12</v>
      </c>
      <c r="Y481" t="s">
        <v>12</v>
      </c>
      <c r="Z481" t="s">
        <v>12</v>
      </c>
      <c r="AA481" t="s">
        <v>12</v>
      </c>
      <c r="AB481" t="s">
        <v>12</v>
      </c>
      <c r="AC481" t="s">
        <v>12</v>
      </c>
      <c r="AD481" t="s">
        <v>12</v>
      </c>
      <c r="AE481" t="s">
        <v>12</v>
      </c>
      <c r="AF481" t="s">
        <v>12</v>
      </c>
      <c r="AG481" t="s">
        <v>12</v>
      </c>
      <c r="AH481" t="s">
        <v>12</v>
      </c>
      <c r="AI481" t="s">
        <v>12</v>
      </c>
      <c r="AJ481" t="s">
        <v>12</v>
      </c>
      <c r="AK481" t="s">
        <v>12</v>
      </c>
      <c r="AL481" t="s">
        <v>12</v>
      </c>
      <c r="AM481" t="s">
        <v>12</v>
      </c>
      <c r="AN481" t="s">
        <v>12</v>
      </c>
      <c r="AO481" t="s">
        <v>12</v>
      </c>
    </row>
    <row r="482" spans="1:41" x14ac:dyDescent="0.35">
      <c r="A482">
        <v>18024690</v>
      </c>
      <c r="B482">
        <v>202505</v>
      </c>
      <c r="C482">
        <v>20605190112</v>
      </c>
      <c r="D482" t="s">
        <v>741</v>
      </c>
      <c r="E482" t="s">
        <v>1</v>
      </c>
      <c r="F482">
        <v>10266223</v>
      </c>
      <c r="G482" t="s">
        <v>100</v>
      </c>
      <c r="H482" t="s">
        <v>159</v>
      </c>
      <c r="I482">
        <v>158982</v>
      </c>
      <c r="J482" s="1">
        <v>45733</v>
      </c>
      <c r="K482">
        <v>13</v>
      </c>
      <c r="L482" t="s">
        <v>37</v>
      </c>
      <c r="M482" t="s">
        <v>37</v>
      </c>
      <c r="N482" t="s">
        <v>102</v>
      </c>
      <c r="O482">
        <v>202503</v>
      </c>
      <c r="P482">
        <v>166758.29999999999</v>
      </c>
      <c r="Q482" t="s">
        <v>12</v>
      </c>
      <c r="R482" t="s">
        <v>12</v>
      </c>
      <c r="S482" t="s">
        <v>12</v>
      </c>
      <c r="T482" t="s">
        <v>12</v>
      </c>
      <c r="U482" t="s">
        <v>12</v>
      </c>
      <c r="V482" t="s">
        <v>12</v>
      </c>
      <c r="W482" t="s">
        <v>12</v>
      </c>
      <c r="X482" t="s">
        <v>12</v>
      </c>
      <c r="Y482" t="s">
        <v>12</v>
      </c>
      <c r="Z482" t="s">
        <v>12</v>
      </c>
      <c r="AA482" t="s">
        <v>12</v>
      </c>
      <c r="AB482" t="s">
        <v>12</v>
      </c>
      <c r="AC482" t="s">
        <v>12</v>
      </c>
      <c r="AD482" t="s">
        <v>12</v>
      </c>
      <c r="AE482" t="s">
        <v>12</v>
      </c>
      <c r="AF482" t="s">
        <v>12</v>
      </c>
      <c r="AG482" t="s">
        <v>12</v>
      </c>
      <c r="AH482" t="s">
        <v>12</v>
      </c>
      <c r="AI482" t="s">
        <v>12</v>
      </c>
      <c r="AJ482" t="s">
        <v>12</v>
      </c>
      <c r="AK482" t="s">
        <v>12</v>
      </c>
      <c r="AL482" t="s">
        <v>12</v>
      </c>
      <c r="AM482" t="s">
        <v>12</v>
      </c>
      <c r="AN482" t="s">
        <v>12</v>
      </c>
      <c r="AO482" t="s">
        <v>12</v>
      </c>
    </row>
    <row r="483" spans="1:41" x14ac:dyDescent="0.35">
      <c r="A483">
        <v>21949238</v>
      </c>
      <c r="B483">
        <v>202512</v>
      </c>
      <c r="C483">
        <v>20491817101</v>
      </c>
      <c r="D483" t="s">
        <v>742</v>
      </c>
      <c r="E483" t="s">
        <v>1</v>
      </c>
      <c r="F483">
        <v>10273014</v>
      </c>
      <c r="G483" t="s">
        <v>24</v>
      </c>
      <c r="H483" t="s">
        <v>159</v>
      </c>
      <c r="I483">
        <v>161561.484375</v>
      </c>
      <c r="J483" s="1">
        <v>45972</v>
      </c>
      <c r="K483">
        <v>17</v>
      </c>
      <c r="L483" t="s">
        <v>37</v>
      </c>
      <c r="M483" t="s">
        <v>37</v>
      </c>
      <c r="N483" t="s">
        <v>98</v>
      </c>
      <c r="O483">
        <v>202511</v>
      </c>
      <c r="P483">
        <v>170008.5</v>
      </c>
      <c r="Q483" t="s">
        <v>12</v>
      </c>
      <c r="R483" t="s">
        <v>12</v>
      </c>
      <c r="S483" t="s">
        <v>12</v>
      </c>
      <c r="T483" t="s">
        <v>12</v>
      </c>
      <c r="U483" t="s">
        <v>12</v>
      </c>
      <c r="V483" t="s">
        <v>12</v>
      </c>
      <c r="W483" t="s">
        <v>12</v>
      </c>
      <c r="X483" t="s">
        <v>12</v>
      </c>
      <c r="Y483" t="s">
        <v>12</v>
      </c>
      <c r="Z483" t="s">
        <v>12</v>
      </c>
      <c r="AA483" t="s">
        <v>12</v>
      </c>
      <c r="AB483" t="s">
        <v>12</v>
      </c>
      <c r="AC483" t="s">
        <v>12</v>
      </c>
      <c r="AD483" t="s">
        <v>12</v>
      </c>
      <c r="AE483" t="s">
        <v>12</v>
      </c>
      <c r="AF483" t="s">
        <v>12</v>
      </c>
      <c r="AG483" t="s">
        <v>12</v>
      </c>
      <c r="AH483" t="s">
        <v>12</v>
      </c>
      <c r="AI483" t="s">
        <v>12</v>
      </c>
      <c r="AJ483" t="s">
        <v>12</v>
      </c>
      <c r="AK483" t="s">
        <v>12</v>
      </c>
      <c r="AL483" t="s">
        <v>12</v>
      </c>
      <c r="AM483" t="s">
        <v>12</v>
      </c>
      <c r="AN483" t="s">
        <v>12</v>
      </c>
      <c r="AO483" t="s">
        <v>12</v>
      </c>
    </row>
    <row r="484" spans="1:41" x14ac:dyDescent="0.35">
      <c r="A484">
        <v>17017740</v>
      </c>
      <c r="B484">
        <v>202509</v>
      </c>
      <c r="C484">
        <v>20552835671</v>
      </c>
      <c r="D484" t="s">
        <v>743</v>
      </c>
      <c r="E484" t="s">
        <v>1</v>
      </c>
      <c r="F484">
        <v>10269552</v>
      </c>
      <c r="G484" t="s">
        <v>68</v>
      </c>
      <c r="H484" t="s">
        <v>120</v>
      </c>
      <c r="I484">
        <v>222923.453125</v>
      </c>
      <c r="J484" s="1">
        <v>45852</v>
      </c>
      <c r="K484">
        <v>15</v>
      </c>
      <c r="L484" t="s">
        <v>4</v>
      </c>
      <c r="M484" t="s">
        <v>75</v>
      </c>
      <c r="N484" t="s">
        <v>70</v>
      </c>
      <c r="O484">
        <v>202507</v>
      </c>
      <c r="P484">
        <v>251495.02</v>
      </c>
      <c r="Q484" t="s">
        <v>120</v>
      </c>
      <c r="R484" t="s">
        <v>121</v>
      </c>
      <c r="S484" t="s">
        <v>18</v>
      </c>
      <c r="T484" t="s">
        <v>122</v>
      </c>
      <c r="U484" t="s">
        <v>20</v>
      </c>
      <c r="V484">
        <v>1</v>
      </c>
      <c r="W484" t="s">
        <v>10</v>
      </c>
      <c r="X484" t="s">
        <v>22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12</v>
      </c>
      <c r="AG484" t="s">
        <v>12</v>
      </c>
      <c r="AH484" t="s">
        <v>12</v>
      </c>
      <c r="AI484" t="s">
        <v>12</v>
      </c>
      <c r="AJ484" t="s">
        <v>12</v>
      </c>
      <c r="AK484">
        <v>1</v>
      </c>
      <c r="AL484">
        <v>1</v>
      </c>
      <c r="AM484" t="s">
        <v>12</v>
      </c>
      <c r="AN484" t="s">
        <v>12</v>
      </c>
      <c r="AO484" t="s">
        <v>12</v>
      </c>
    </row>
    <row r="485" spans="1:41" x14ac:dyDescent="0.35">
      <c r="A485">
        <v>13178141</v>
      </c>
      <c r="B485">
        <v>202512</v>
      </c>
      <c r="C485">
        <v>20491386011</v>
      </c>
      <c r="D485" t="s">
        <v>744</v>
      </c>
      <c r="E485" t="s">
        <v>1</v>
      </c>
      <c r="F485">
        <v>10266253</v>
      </c>
      <c r="G485" t="s">
        <v>92</v>
      </c>
      <c r="H485" t="s">
        <v>25</v>
      </c>
      <c r="I485">
        <v>165702.140625</v>
      </c>
      <c r="J485" s="1">
        <v>45733</v>
      </c>
      <c r="K485">
        <v>17.5</v>
      </c>
      <c r="L485" t="s">
        <v>4</v>
      </c>
      <c r="M485" t="s">
        <v>4</v>
      </c>
      <c r="N485" t="s">
        <v>41</v>
      </c>
      <c r="O485">
        <v>202503</v>
      </c>
      <c r="P485">
        <v>166595.03</v>
      </c>
      <c r="Q485" t="s">
        <v>25</v>
      </c>
      <c r="R485" t="s">
        <v>279</v>
      </c>
      <c r="S485" t="s">
        <v>7</v>
      </c>
      <c r="T485" t="s">
        <v>8</v>
      </c>
      <c r="U485" t="s">
        <v>20</v>
      </c>
      <c r="V485">
        <v>1</v>
      </c>
      <c r="W485" t="s">
        <v>10</v>
      </c>
      <c r="X485" t="s">
        <v>22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12</v>
      </c>
      <c r="AG485" t="s">
        <v>12</v>
      </c>
      <c r="AH485" t="s">
        <v>12</v>
      </c>
      <c r="AI485" t="s">
        <v>12</v>
      </c>
      <c r="AJ485" t="s">
        <v>12</v>
      </c>
      <c r="AK485">
        <v>1</v>
      </c>
      <c r="AL485">
        <v>1</v>
      </c>
      <c r="AM485" t="s">
        <v>12</v>
      </c>
      <c r="AN485" t="s">
        <v>12</v>
      </c>
      <c r="AO485" t="s">
        <v>12</v>
      </c>
    </row>
    <row r="486" spans="1:41" x14ac:dyDescent="0.35">
      <c r="A486">
        <v>13145578</v>
      </c>
      <c r="B486">
        <v>202508</v>
      </c>
      <c r="C486">
        <v>20478198575</v>
      </c>
      <c r="D486" t="s">
        <v>745</v>
      </c>
      <c r="E486" t="s">
        <v>1</v>
      </c>
      <c r="F486">
        <v>10265405</v>
      </c>
      <c r="G486" t="s">
        <v>268</v>
      </c>
      <c r="H486" t="s">
        <v>114</v>
      </c>
      <c r="I486">
        <v>20724.396484375</v>
      </c>
      <c r="J486" s="1">
        <v>45706</v>
      </c>
      <c r="K486">
        <v>20.200001</v>
      </c>
      <c r="L486" t="s">
        <v>37</v>
      </c>
      <c r="M486" t="s">
        <v>37</v>
      </c>
      <c r="N486" t="s">
        <v>98</v>
      </c>
      <c r="O486">
        <v>202502</v>
      </c>
      <c r="P486">
        <v>39601.949999999997</v>
      </c>
      <c r="Q486" t="s">
        <v>114</v>
      </c>
      <c r="R486" t="s">
        <v>115</v>
      </c>
      <c r="S486" t="s">
        <v>111</v>
      </c>
      <c r="T486" t="s">
        <v>112</v>
      </c>
      <c r="U486" t="s">
        <v>41</v>
      </c>
      <c r="V486">
        <v>2</v>
      </c>
      <c r="W486" t="s">
        <v>10</v>
      </c>
      <c r="X486" t="s">
        <v>12</v>
      </c>
      <c r="Y486">
        <v>1</v>
      </c>
      <c r="Z486">
        <v>1</v>
      </c>
      <c r="AA486">
        <v>0</v>
      </c>
      <c r="AB486">
        <v>1</v>
      </c>
      <c r="AC486">
        <v>1</v>
      </c>
      <c r="AD486">
        <v>1</v>
      </c>
      <c r="AE486">
        <v>0</v>
      </c>
      <c r="AF486" t="s">
        <v>12</v>
      </c>
      <c r="AG486" t="s">
        <v>12</v>
      </c>
      <c r="AH486" t="s">
        <v>12</v>
      </c>
      <c r="AI486" t="s">
        <v>12</v>
      </c>
      <c r="AJ486" t="s">
        <v>12</v>
      </c>
      <c r="AK486">
        <v>400000</v>
      </c>
      <c r="AL486">
        <v>0.28999999999999998</v>
      </c>
      <c r="AM486">
        <v>0.27</v>
      </c>
      <c r="AN486" t="s">
        <v>12</v>
      </c>
      <c r="AO486" t="s">
        <v>12</v>
      </c>
    </row>
    <row r="487" spans="1:41" x14ac:dyDescent="0.35">
      <c r="A487">
        <v>14858332</v>
      </c>
      <c r="B487">
        <v>202512</v>
      </c>
      <c r="C487">
        <v>10461020564</v>
      </c>
      <c r="D487" t="s">
        <v>263</v>
      </c>
      <c r="E487">
        <v>46102056</v>
      </c>
      <c r="F487">
        <v>10272710</v>
      </c>
      <c r="G487" t="s">
        <v>92</v>
      </c>
      <c r="H487" t="s">
        <v>175</v>
      </c>
      <c r="I487">
        <v>77357.2734375</v>
      </c>
      <c r="J487" s="1">
        <v>45960</v>
      </c>
      <c r="K487">
        <v>21</v>
      </c>
      <c r="L487" t="s">
        <v>4</v>
      </c>
      <c r="M487" t="s">
        <v>4</v>
      </c>
      <c r="N487" t="s">
        <v>41</v>
      </c>
      <c r="O487">
        <v>202510</v>
      </c>
      <c r="P487">
        <v>80004</v>
      </c>
      <c r="Q487" t="s">
        <v>175</v>
      </c>
      <c r="R487" t="s">
        <v>176</v>
      </c>
      <c r="S487" t="s">
        <v>127</v>
      </c>
      <c r="T487" t="s">
        <v>147</v>
      </c>
      <c r="U487" t="s">
        <v>20</v>
      </c>
      <c r="V487">
        <v>1</v>
      </c>
      <c r="W487" t="s">
        <v>10</v>
      </c>
      <c r="X487" t="s">
        <v>59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 t="s">
        <v>12</v>
      </c>
      <c r="AG487" t="s">
        <v>12</v>
      </c>
      <c r="AH487" t="s">
        <v>12</v>
      </c>
      <c r="AI487" t="s">
        <v>12</v>
      </c>
      <c r="AJ487" t="s">
        <v>12</v>
      </c>
      <c r="AK487">
        <v>1</v>
      </c>
      <c r="AL487">
        <v>1</v>
      </c>
      <c r="AM487" t="s">
        <v>12</v>
      </c>
      <c r="AN487" t="s">
        <v>12</v>
      </c>
      <c r="AO487" t="s">
        <v>12</v>
      </c>
    </row>
    <row r="488" spans="1:41" x14ac:dyDescent="0.35">
      <c r="A488">
        <v>21607096</v>
      </c>
      <c r="B488">
        <v>202601</v>
      </c>
      <c r="C488">
        <v>20605331913</v>
      </c>
      <c r="D488" t="s">
        <v>746</v>
      </c>
      <c r="E488" t="s">
        <v>1</v>
      </c>
      <c r="F488">
        <v>10269443</v>
      </c>
      <c r="G488" t="s">
        <v>100</v>
      </c>
      <c r="H488" t="s">
        <v>57</v>
      </c>
      <c r="I488">
        <v>67602.1328125</v>
      </c>
      <c r="J488" s="1">
        <v>45847</v>
      </c>
      <c r="K488">
        <v>38.5</v>
      </c>
      <c r="L488" t="s">
        <v>37</v>
      </c>
      <c r="M488" t="s">
        <v>37</v>
      </c>
      <c r="N488" t="s">
        <v>102</v>
      </c>
      <c r="O488">
        <v>202507</v>
      </c>
      <c r="P488">
        <v>83609.149999999994</v>
      </c>
      <c r="Q488" t="s">
        <v>57</v>
      </c>
      <c r="R488" t="s">
        <v>58</v>
      </c>
      <c r="S488" t="s">
        <v>39</v>
      </c>
      <c r="T488" t="s">
        <v>40</v>
      </c>
      <c r="U488" t="s">
        <v>20</v>
      </c>
      <c r="V488">
        <v>1</v>
      </c>
      <c r="W488" t="s">
        <v>21</v>
      </c>
      <c r="X488" t="s">
        <v>22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12</v>
      </c>
      <c r="AG488" t="s">
        <v>12</v>
      </c>
      <c r="AH488" t="s">
        <v>12</v>
      </c>
      <c r="AI488" t="s">
        <v>12</v>
      </c>
      <c r="AJ488" t="s">
        <v>12</v>
      </c>
      <c r="AK488">
        <v>1</v>
      </c>
      <c r="AL488">
        <v>1</v>
      </c>
      <c r="AM488">
        <v>0.24</v>
      </c>
      <c r="AN488" t="s">
        <v>12</v>
      </c>
      <c r="AO488" t="s">
        <v>12</v>
      </c>
    </row>
    <row r="489" spans="1:41" x14ac:dyDescent="0.35">
      <c r="A489">
        <v>11118317</v>
      </c>
      <c r="B489">
        <v>202601</v>
      </c>
      <c r="C489">
        <v>10283073713</v>
      </c>
      <c r="D489" t="s">
        <v>747</v>
      </c>
      <c r="E489">
        <v>28307371</v>
      </c>
      <c r="F489">
        <v>10272774</v>
      </c>
      <c r="G489" t="s">
        <v>24</v>
      </c>
      <c r="H489" t="s">
        <v>748</v>
      </c>
      <c r="I489">
        <v>31962.146484375</v>
      </c>
      <c r="J489" s="1">
        <v>45961</v>
      </c>
      <c r="K489">
        <v>21.9</v>
      </c>
      <c r="L489" t="s">
        <v>37</v>
      </c>
      <c r="M489" t="s">
        <v>37</v>
      </c>
      <c r="N489" t="s">
        <v>98</v>
      </c>
      <c r="O489">
        <v>202510</v>
      </c>
      <c r="P489">
        <v>43102.15</v>
      </c>
      <c r="Q489" t="s">
        <v>12</v>
      </c>
      <c r="R489" t="s">
        <v>12</v>
      </c>
      <c r="S489" t="s">
        <v>12</v>
      </c>
      <c r="T489" t="s">
        <v>12</v>
      </c>
      <c r="U489" t="s">
        <v>12</v>
      </c>
      <c r="V489" t="s">
        <v>12</v>
      </c>
      <c r="W489" t="s">
        <v>12</v>
      </c>
      <c r="X489" t="s">
        <v>12</v>
      </c>
      <c r="Y489" t="s">
        <v>12</v>
      </c>
      <c r="Z489" t="s">
        <v>12</v>
      </c>
      <c r="AA489" t="s">
        <v>12</v>
      </c>
      <c r="AB489" t="s">
        <v>12</v>
      </c>
      <c r="AC489" t="s">
        <v>12</v>
      </c>
      <c r="AD489" t="s">
        <v>12</v>
      </c>
      <c r="AE489" t="s">
        <v>12</v>
      </c>
      <c r="AF489" t="s">
        <v>12</v>
      </c>
      <c r="AG489" t="s">
        <v>12</v>
      </c>
      <c r="AH489" t="s">
        <v>12</v>
      </c>
      <c r="AI489" t="s">
        <v>12</v>
      </c>
      <c r="AJ489" t="s">
        <v>12</v>
      </c>
      <c r="AK489" t="s">
        <v>12</v>
      </c>
      <c r="AL489" t="s">
        <v>12</v>
      </c>
      <c r="AM489" t="s">
        <v>12</v>
      </c>
      <c r="AN489" t="s">
        <v>12</v>
      </c>
      <c r="AO489" t="s">
        <v>12</v>
      </c>
    </row>
    <row r="490" spans="1:41" x14ac:dyDescent="0.35">
      <c r="A490">
        <v>16139476</v>
      </c>
      <c r="B490">
        <v>202503</v>
      </c>
      <c r="C490">
        <v>20600181816</v>
      </c>
      <c r="D490" t="s">
        <v>749</v>
      </c>
      <c r="E490" t="s">
        <v>1</v>
      </c>
      <c r="F490">
        <v>10166689</v>
      </c>
      <c r="G490" t="s">
        <v>2</v>
      </c>
      <c r="H490" t="s">
        <v>750</v>
      </c>
      <c r="I490">
        <v>99559.625</v>
      </c>
      <c r="J490" s="1">
        <v>45694</v>
      </c>
      <c r="K490">
        <v>18.28</v>
      </c>
      <c r="L490" t="s">
        <v>4</v>
      </c>
      <c r="M490" t="s">
        <v>4</v>
      </c>
      <c r="N490" t="s">
        <v>5</v>
      </c>
      <c r="O490">
        <v>202502</v>
      </c>
      <c r="P490">
        <v>120006</v>
      </c>
      <c r="Q490" t="s">
        <v>12</v>
      </c>
      <c r="R490" t="s">
        <v>12</v>
      </c>
      <c r="S490" t="s">
        <v>12</v>
      </c>
      <c r="T490" t="s">
        <v>12</v>
      </c>
      <c r="U490" t="s">
        <v>12</v>
      </c>
      <c r="V490" t="s">
        <v>12</v>
      </c>
      <c r="W490" t="s">
        <v>12</v>
      </c>
      <c r="X490" t="s">
        <v>12</v>
      </c>
      <c r="Y490" t="s">
        <v>12</v>
      </c>
      <c r="Z490" t="s">
        <v>12</v>
      </c>
      <c r="AA490" t="s">
        <v>12</v>
      </c>
      <c r="AB490" t="s">
        <v>12</v>
      </c>
      <c r="AC490" t="s">
        <v>12</v>
      </c>
      <c r="AD490" t="s">
        <v>12</v>
      </c>
      <c r="AE490" t="s">
        <v>12</v>
      </c>
      <c r="AF490" t="s">
        <v>12</v>
      </c>
      <c r="AG490" t="s">
        <v>12</v>
      </c>
      <c r="AH490" t="s">
        <v>12</v>
      </c>
      <c r="AI490" t="s">
        <v>12</v>
      </c>
      <c r="AJ490" t="s">
        <v>12</v>
      </c>
      <c r="AK490" t="s">
        <v>12</v>
      </c>
      <c r="AL490" t="s">
        <v>12</v>
      </c>
      <c r="AM490" t="s">
        <v>12</v>
      </c>
      <c r="AN490" t="s">
        <v>12</v>
      </c>
      <c r="AO490" t="s">
        <v>12</v>
      </c>
    </row>
    <row r="491" spans="1:41" x14ac:dyDescent="0.35">
      <c r="A491">
        <v>13415554</v>
      </c>
      <c r="B491">
        <v>202505</v>
      </c>
      <c r="C491">
        <v>20528154795</v>
      </c>
      <c r="D491" t="s">
        <v>751</v>
      </c>
      <c r="E491" t="s">
        <v>1</v>
      </c>
      <c r="F491">
        <v>10157293</v>
      </c>
      <c r="G491" t="s">
        <v>2</v>
      </c>
      <c r="H491" t="s">
        <v>190</v>
      </c>
      <c r="I491">
        <v>120671.7578125</v>
      </c>
      <c r="J491" s="1">
        <v>45845</v>
      </c>
      <c r="K491">
        <v>17</v>
      </c>
      <c r="L491" t="s">
        <v>4</v>
      </c>
      <c r="M491" t="s">
        <v>4</v>
      </c>
      <c r="N491" t="s">
        <v>5</v>
      </c>
      <c r="O491">
        <v>202507</v>
      </c>
      <c r="P491">
        <v>200010</v>
      </c>
      <c r="Q491" t="s">
        <v>190</v>
      </c>
      <c r="R491" t="s">
        <v>191</v>
      </c>
      <c r="S491" t="s">
        <v>49</v>
      </c>
      <c r="T491" t="s">
        <v>50</v>
      </c>
      <c r="U491" t="s">
        <v>20</v>
      </c>
      <c r="V491">
        <v>1</v>
      </c>
      <c r="W491" t="s">
        <v>10</v>
      </c>
      <c r="X491" t="s">
        <v>12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12</v>
      </c>
      <c r="AG491" t="s">
        <v>12</v>
      </c>
      <c r="AH491" t="s">
        <v>12</v>
      </c>
      <c r="AI491" t="s">
        <v>12</v>
      </c>
      <c r="AJ491" t="s">
        <v>12</v>
      </c>
      <c r="AK491">
        <v>0</v>
      </c>
      <c r="AL491">
        <v>0</v>
      </c>
      <c r="AM491">
        <v>0.27079999999999999</v>
      </c>
      <c r="AN491" t="s">
        <v>12</v>
      </c>
      <c r="AO491" t="s">
        <v>12</v>
      </c>
    </row>
    <row r="492" spans="1:41" x14ac:dyDescent="0.35">
      <c r="A492">
        <v>12826933</v>
      </c>
      <c r="B492">
        <v>202512</v>
      </c>
      <c r="C492">
        <v>10447104470</v>
      </c>
      <c r="D492" t="s">
        <v>752</v>
      </c>
      <c r="E492">
        <v>44710447</v>
      </c>
      <c r="F492">
        <v>10150854</v>
      </c>
      <c r="G492" t="s">
        <v>2</v>
      </c>
      <c r="H492" t="s">
        <v>492</v>
      </c>
      <c r="I492">
        <v>10992.806640625</v>
      </c>
      <c r="J492" s="1">
        <v>45650</v>
      </c>
      <c r="K492">
        <v>20.28</v>
      </c>
      <c r="L492" t="s">
        <v>4</v>
      </c>
      <c r="M492" t="s">
        <v>4</v>
      </c>
      <c r="N492" t="s">
        <v>5</v>
      </c>
      <c r="O492">
        <v>202412</v>
      </c>
      <c r="P492">
        <v>20001</v>
      </c>
      <c r="Q492" t="s">
        <v>492</v>
      </c>
      <c r="R492" t="s">
        <v>493</v>
      </c>
      <c r="S492" t="s">
        <v>49</v>
      </c>
      <c r="T492" t="s">
        <v>50</v>
      </c>
      <c r="U492" t="s">
        <v>41</v>
      </c>
      <c r="V492">
        <v>1</v>
      </c>
      <c r="W492" t="s">
        <v>90</v>
      </c>
      <c r="X492" t="s">
        <v>59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12</v>
      </c>
      <c r="AG492" t="s">
        <v>12</v>
      </c>
      <c r="AH492" t="s">
        <v>12</v>
      </c>
      <c r="AI492" t="s">
        <v>12</v>
      </c>
      <c r="AJ492" t="s">
        <v>12</v>
      </c>
      <c r="AK492">
        <v>200000</v>
      </c>
      <c r="AL492">
        <v>0.2412</v>
      </c>
      <c r="AM492">
        <v>0.22120000000000001</v>
      </c>
      <c r="AN492" t="s">
        <v>12</v>
      </c>
      <c r="AO492" t="s">
        <v>12</v>
      </c>
    </row>
    <row r="493" spans="1:41" x14ac:dyDescent="0.35">
      <c r="A493">
        <v>18219197</v>
      </c>
      <c r="B493">
        <v>202601</v>
      </c>
      <c r="C493">
        <v>20602370802</v>
      </c>
      <c r="D493" t="s">
        <v>753</v>
      </c>
      <c r="E493" t="s">
        <v>1</v>
      </c>
      <c r="F493">
        <v>10267863</v>
      </c>
      <c r="G493" t="s">
        <v>92</v>
      </c>
      <c r="H493" t="s">
        <v>49</v>
      </c>
      <c r="I493">
        <v>21419.9609375</v>
      </c>
      <c r="J493" s="1">
        <v>45793</v>
      </c>
      <c r="K493">
        <v>16</v>
      </c>
      <c r="L493" t="s">
        <v>4</v>
      </c>
      <c r="M493" t="s">
        <v>4</v>
      </c>
      <c r="N493" t="s">
        <v>41</v>
      </c>
      <c r="O493">
        <v>202505</v>
      </c>
      <c r="P493">
        <v>250012.5</v>
      </c>
      <c r="Q493" t="s">
        <v>12</v>
      </c>
      <c r="R493" t="s">
        <v>12</v>
      </c>
      <c r="S493" t="s">
        <v>12</v>
      </c>
      <c r="T493" t="s">
        <v>12</v>
      </c>
      <c r="U493" t="s">
        <v>12</v>
      </c>
      <c r="V493" t="s">
        <v>12</v>
      </c>
      <c r="W493" t="s">
        <v>12</v>
      </c>
      <c r="X493" t="s">
        <v>12</v>
      </c>
      <c r="Y493" t="s">
        <v>12</v>
      </c>
      <c r="Z493" t="s">
        <v>12</v>
      </c>
      <c r="AA493" t="s">
        <v>12</v>
      </c>
      <c r="AB493" t="s">
        <v>12</v>
      </c>
      <c r="AC493" t="s">
        <v>12</v>
      </c>
      <c r="AD493" t="s">
        <v>12</v>
      </c>
      <c r="AE493" t="s">
        <v>12</v>
      </c>
      <c r="AF493" t="s">
        <v>12</v>
      </c>
      <c r="AG493" t="s">
        <v>12</v>
      </c>
      <c r="AH493" t="s">
        <v>12</v>
      </c>
      <c r="AI493" t="s">
        <v>12</v>
      </c>
      <c r="AJ493" t="s">
        <v>12</v>
      </c>
      <c r="AK493" t="s">
        <v>12</v>
      </c>
      <c r="AL493" t="s">
        <v>12</v>
      </c>
      <c r="AM493" t="s">
        <v>12</v>
      </c>
      <c r="AN493" t="s">
        <v>12</v>
      </c>
      <c r="AO493" t="s">
        <v>12</v>
      </c>
    </row>
    <row r="494" spans="1:41" x14ac:dyDescent="0.35">
      <c r="A494">
        <v>21714271</v>
      </c>
      <c r="B494">
        <v>202507</v>
      </c>
      <c r="C494">
        <v>20602508049</v>
      </c>
      <c r="D494" t="s">
        <v>754</v>
      </c>
      <c r="E494" t="s">
        <v>1</v>
      </c>
      <c r="F494">
        <v>10269124</v>
      </c>
      <c r="G494" t="s">
        <v>100</v>
      </c>
      <c r="H494" t="s">
        <v>159</v>
      </c>
      <c r="I494">
        <v>163308.140625</v>
      </c>
      <c r="J494" s="1">
        <v>45834</v>
      </c>
      <c r="K494">
        <v>13.5</v>
      </c>
      <c r="L494" t="s">
        <v>37</v>
      </c>
      <c r="M494" t="s">
        <v>37</v>
      </c>
      <c r="N494" t="s">
        <v>102</v>
      </c>
      <c r="O494">
        <v>202506</v>
      </c>
      <c r="P494">
        <v>163308.15</v>
      </c>
      <c r="Q494" t="s">
        <v>12</v>
      </c>
      <c r="R494" t="s">
        <v>12</v>
      </c>
      <c r="S494" t="s">
        <v>12</v>
      </c>
      <c r="T494" t="s">
        <v>12</v>
      </c>
      <c r="U494" t="s">
        <v>12</v>
      </c>
      <c r="V494" t="s">
        <v>12</v>
      </c>
      <c r="W494" t="s">
        <v>12</v>
      </c>
      <c r="X494" t="s">
        <v>12</v>
      </c>
      <c r="Y494" t="s">
        <v>12</v>
      </c>
      <c r="Z494" t="s">
        <v>12</v>
      </c>
      <c r="AA494" t="s">
        <v>12</v>
      </c>
      <c r="AB494" t="s">
        <v>12</v>
      </c>
      <c r="AC494" t="s">
        <v>12</v>
      </c>
      <c r="AD494" t="s">
        <v>12</v>
      </c>
      <c r="AE494" t="s">
        <v>12</v>
      </c>
      <c r="AF494" t="s">
        <v>12</v>
      </c>
      <c r="AG494" t="s">
        <v>12</v>
      </c>
      <c r="AH494" t="s">
        <v>12</v>
      </c>
      <c r="AI494" t="s">
        <v>12</v>
      </c>
      <c r="AJ494" t="s">
        <v>12</v>
      </c>
      <c r="AK494" t="s">
        <v>12</v>
      </c>
      <c r="AL494" t="s">
        <v>12</v>
      </c>
      <c r="AM494" t="s">
        <v>12</v>
      </c>
      <c r="AN494" t="s">
        <v>12</v>
      </c>
      <c r="AO494" t="s">
        <v>12</v>
      </c>
    </row>
    <row r="495" spans="1:41" x14ac:dyDescent="0.35">
      <c r="A495">
        <v>15836855</v>
      </c>
      <c r="B495">
        <v>202505</v>
      </c>
      <c r="C495">
        <v>10715349588</v>
      </c>
      <c r="D495" t="s">
        <v>755</v>
      </c>
      <c r="E495">
        <v>71534958</v>
      </c>
      <c r="F495">
        <v>10266798</v>
      </c>
      <c r="G495" t="s">
        <v>28</v>
      </c>
      <c r="H495" t="s">
        <v>756</v>
      </c>
      <c r="I495">
        <v>37719.64453125</v>
      </c>
      <c r="J495" s="1">
        <v>45747</v>
      </c>
      <c r="K495">
        <v>26</v>
      </c>
      <c r="L495" t="s">
        <v>4</v>
      </c>
      <c r="M495" t="s">
        <v>4</v>
      </c>
      <c r="N495" t="s">
        <v>26</v>
      </c>
      <c r="O495">
        <v>202503</v>
      </c>
      <c r="P495">
        <v>50002.5</v>
      </c>
      <c r="Q495" t="s">
        <v>12</v>
      </c>
      <c r="R495" t="s">
        <v>12</v>
      </c>
      <c r="S495" t="s">
        <v>12</v>
      </c>
      <c r="T495" t="s">
        <v>12</v>
      </c>
      <c r="U495" t="s">
        <v>12</v>
      </c>
      <c r="V495" t="s">
        <v>12</v>
      </c>
      <c r="W495" t="s">
        <v>12</v>
      </c>
      <c r="X495" t="s">
        <v>12</v>
      </c>
      <c r="Y495" t="s">
        <v>12</v>
      </c>
      <c r="Z495" t="s">
        <v>12</v>
      </c>
      <c r="AA495" t="s">
        <v>12</v>
      </c>
      <c r="AB495" t="s">
        <v>12</v>
      </c>
      <c r="AC495" t="s">
        <v>12</v>
      </c>
      <c r="AD495" t="s">
        <v>12</v>
      </c>
      <c r="AE495" t="s">
        <v>12</v>
      </c>
      <c r="AF495" t="s">
        <v>12</v>
      </c>
      <c r="AG495" t="s">
        <v>12</v>
      </c>
      <c r="AH495" t="s">
        <v>12</v>
      </c>
      <c r="AI495" t="s">
        <v>12</v>
      </c>
      <c r="AJ495" t="s">
        <v>12</v>
      </c>
      <c r="AK495" t="s">
        <v>12</v>
      </c>
      <c r="AL495" t="s">
        <v>12</v>
      </c>
      <c r="AM495" t="s">
        <v>12</v>
      </c>
      <c r="AN495" t="s">
        <v>12</v>
      </c>
      <c r="AO495" t="s">
        <v>12</v>
      </c>
    </row>
    <row r="496" spans="1:41" x14ac:dyDescent="0.35">
      <c r="A496">
        <v>17124370</v>
      </c>
      <c r="B496">
        <v>202602</v>
      </c>
      <c r="C496">
        <v>20600071531</v>
      </c>
      <c r="D496" t="s">
        <v>703</v>
      </c>
      <c r="E496" t="s">
        <v>1</v>
      </c>
      <c r="F496">
        <v>10271632</v>
      </c>
      <c r="G496" t="s">
        <v>92</v>
      </c>
      <c r="H496" t="s">
        <v>240</v>
      </c>
      <c r="I496">
        <v>116819.59375</v>
      </c>
      <c r="J496" s="1">
        <v>45923</v>
      </c>
      <c r="K496">
        <v>17</v>
      </c>
      <c r="L496" t="s">
        <v>4</v>
      </c>
      <c r="M496" t="s">
        <v>4</v>
      </c>
      <c r="N496" t="s">
        <v>41</v>
      </c>
      <c r="O496">
        <v>202509</v>
      </c>
      <c r="P496">
        <v>136006.79999999999</v>
      </c>
      <c r="Q496" t="s">
        <v>240</v>
      </c>
      <c r="R496" t="s">
        <v>241</v>
      </c>
      <c r="S496" t="s">
        <v>39</v>
      </c>
      <c r="T496" t="s">
        <v>40</v>
      </c>
      <c r="U496" t="s">
        <v>63</v>
      </c>
      <c r="V496">
        <v>1</v>
      </c>
      <c r="W496" t="s">
        <v>10</v>
      </c>
      <c r="X496" t="s">
        <v>22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12</v>
      </c>
      <c r="AG496" t="s">
        <v>12</v>
      </c>
      <c r="AH496" t="s">
        <v>12</v>
      </c>
      <c r="AI496" t="s">
        <v>12</v>
      </c>
      <c r="AJ496" t="s">
        <v>12</v>
      </c>
      <c r="AK496">
        <v>50000</v>
      </c>
      <c r="AL496">
        <v>0.21</v>
      </c>
      <c r="AM496">
        <v>0.19</v>
      </c>
      <c r="AN496" t="s">
        <v>12</v>
      </c>
      <c r="AO496" t="s">
        <v>12</v>
      </c>
    </row>
    <row r="497" spans="1:41" x14ac:dyDescent="0.35">
      <c r="A497">
        <v>13855934</v>
      </c>
      <c r="B497">
        <v>202505</v>
      </c>
      <c r="C497">
        <v>20479107221</v>
      </c>
      <c r="D497" t="s">
        <v>757</v>
      </c>
      <c r="E497" t="s">
        <v>1</v>
      </c>
      <c r="F497">
        <v>10130263</v>
      </c>
      <c r="G497" t="s">
        <v>2</v>
      </c>
      <c r="H497" t="s">
        <v>265</v>
      </c>
      <c r="I497">
        <v>52729.29296875</v>
      </c>
      <c r="J497" s="1">
        <v>45622</v>
      </c>
      <c r="K497">
        <v>17</v>
      </c>
      <c r="L497" t="s">
        <v>4</v>
      </c>
      <c r="M497" t="s">
        <v>4</v>
      </c>
      <c r="N497" t="s">
        <v>5</v>
      </c>
      <c r="O497">
        <v>202411</v>
      </c>
      <c r="P497">
        <v>70003.5</v>
      </c>
      <c r="Q497" t="s">
        <v>265</v>
      </c>
      <c r="R497" t="s">
        <v>266</v>
      </c>
      <c r="S497" t="s">
        <v>18</v>
      </c>
      <c r="T497" t="s">
        <v>122</v>
      </c>
      <c r="U497" t="s">
        <v>41</v>
      </c>
      <c r="V497">
        <v>1</v>
      </c>
      <c r="W497" t="s">
        <v>10</v>
      </c>
      <c r="X497" t="s">
        <v>12</v>
      </c>
      <c r="Y497">
        <v>1</v>
      </c>
      <c r="Z497">
        <v>1</v>
      </c>
      <c r="AA497">
        <v>0</v>
      </c>
      <c r="AB497">
        <v>0</v>
      </c>
      <c r="AC497">
        <v>1</v>
      </c>
      <c r="AD497">
        <v>0</v>
      </c>
      <c r="AE497">
        <v>0</v>
      </c>
      <c r="AF497" t="s">
        <v>12</v>
      </c>
      <c r="AG497" t="s">
        <v>12</v>
      </c>
      <c r="AH497" t="s">
        <v>12</v>
      </c>
      <c r="AI497" t="s">
        <v>12</v>
      </c>
      <c r="AJ497" t="s">
        <v>12</v>
      </c>
      <c r="AK497">
        <v>250000</v>
      </c>
      <c r="AL497">
        <v>0.24</v>
      </c>
      <c r="AM497">
        <v>0.21779999999999999</v>
      </c>
      <c r="AN497" t="s">
        <v>12</v>
      </c>
      <c r="AO497" t="s">
        <v>12</v>
      </c>
    </row>
    <row r="498" spans="1:41" x14ac:dyDescent="0.35">
      <c r="A498">
        <v>18931378</v>
      </c>
      <c r="B498">
        <v>202601</v>
      </c>
      <c r="C498">
        <v>20606320516</v>
      </c>
      <c r="D498" t="s">
        <v>436</v>
      </c>
      <c r="E498" t="s">
        <v>1</v>
      </c>
      <c r="F498">
        <v>10271782</v>
      </c>
      <c r="G498" t="s">
        <v>78</v>
      </c>
      <c r="H498" t="s">
        <v>129</v>
      </c>
      <c r="I498">
        <v>158587.953125</v>
      </c>
      <c r="J498" s="1">
        <v>45926</v>
      </c>
      <c r="K498">
        <v>19</v>
      </c>
      <c r="L498" t="s">
        <v>4</v>
      </c>
      <c r="M498" t="s">
        <v>4</v>
      </c>
      <c r="N498" t="s">
        <v>41</v>
      </c>
      <c r="O498">
        <v>202509</v>
      </c>
      <c r="P498">
        <v>177008.85</v>
      </c>
      <c r="Q498" t="s">
        <v>129</v>
      </c>
      <c r="R498" t="s">
        <v>130</v>
      </c>
      <c r="S498" t="s">
        <v>49</v>
      </c>
      <c r="T498" t="s">
        <v>50</v>
      </c>
      <c r="U498" t="s">
        <v>20</v>
      </c>
      <c r="V498">
        <v>1</v>
      </c>
      <c r="W498" t="s">
        <v>21</v>
      </c>
      <c r="X498" t="s">
        <v>22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12</v>
      </c>
      <c r="AG498" t="s">
        <v>12</v>
      </c>
      <c r="AH498" t="s">
        <v>12</v>
      </c>
      <c r="AI498" t="s">
        <v>12</v>
      </c>
      <c r="AJ498" t="s">
        <v>12</v>
      </c>
      <c r="AK498">
        <v>1</v>
      </c>
      <c r="AL498">
        <v>1</v>
      </c>
      <c r="AM498">
        <v>0.24</v>
      </c>
      <c r="AN498" t="s">
        <v>12</v>
      </c>
      <c r="AO498" t="s">
        <v>12</v>
      </c>
    </row>
    <row r="499" spans="1:41" x14ac:dyDescent="0.35">
      <c r="A499">
        <v>17295515</v>
      </c>
      <c r="B499">
        <v>202512</v>
      </c>
      <c r="C499">
        <v>20606594446</v>
      </c>
      <c r="D499" t="s">
        <v>758</v>
      </c>
      <c r="E499" t="s">
        <v>1</v>
      </c>
      <c r="F499">
        <v>10263440</v>
      </c>
      <c r="G499" t="s">
        <v>45</v>
      </c>
      <c r="H499" t="s">
        <v>101</v>
      </c>
      <c r="I499">
        <v>3500.0576171875</v>
      </c>
      <c r="J499" s="1">
        <v>45625</v>
      </c>
      <c r="K499">
        <v>14.5</v>
      </c>
      <c r="L499" t="s">
        <v>37</v>
      </c>
      <c r="M499" t="s">
        <v>37</v>
      </c>
      <c r="N499" t="s">
        <v>47</v>
      </c>
      <c r="O499">
        <v>202411</v>
      </c>
      <c r="P499">
        <v>90004.5</v>
      </c>
      <c r="Q499" t="s">
        <v>101</v>
      </c>
      <c r="R499" t="s">
        <v>103</v>
      </c>
      <c r="S499" t="s">
        <v>88</v>
      </c>
      <c r="T499" t="s">
        <v>89</v>
      </c>
      <c r="U499" t="s">
        <v>20</v>
      </c>
      <c r="V499">
        <v>2</v>
      </c>
      <c r="W499" t="s">
        <v>10</v>
      </c>
      <c r="X499" t="s">
        <v>22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12</v>
      </c>
      <c r="AG499" t="s">
        <v>12</v>
      </c>
      <c r="AH499" t="s">
        <v>12</v>
      </c>
      <c r="AI499" t="s">
        <v>12</v>
      </c>
      <c r="AJ499" t="s">
        <v>12</v>
      </c>
      <c r="AK499">
        <v>1</v>
      </c>
      <c r="AL499">
        <v>1</v>
      </c>
      <c r="AM499" t="s">
        <v>12</v>
      </c>
      <c r="AN499" t="s">
        <v>12</v>
      </c>
      <c r="AO499" t="s">
        <v>12</v>
      </c>
    </row>
    <row r="500" spans="1:41" x14ac:dyDescent="0.35">
      <c r="A500">
        <v>16537445</v>
      </c>
      <c r="B500">
        <v>202512</v>
      </c>
      <c r="C500">
        <v>20602202012</v>
      </c>
      <c r="D500" t="s">
        <v>759</v>
      </c>
      <c r="E500" t="s">
        <v>1</v>
      </c>
      <c r="F500">
        <v>10269256</v>
      </c>
      <c r="G500" t="s">
        <v>14</v>
      </c>
      <c r="H500" t="s">
        <v>149</v>
      </c>
      <c r="I500">
        <v>233499.953125</v>
      </c>
      <c r="J500" s="1">
        <v>45838</v>
      </c>
      <c r="K500">
        <v>16</v>
      </c>
      <c r="L500" t="s">
        <v>4</v>
      </c>
      <c r="M500" t="s">
        <v>75</v>
      </c>
      <c r="N500" t="s">
        <v>26</v>
      </c>
      <c r="O500">
        <v>202506</v>
      </c>
      <c r="P500">
        <v>300015</v>
      </c>
      <c r="Q500" t="s">
        <v>149</v>
      </c>
      <c r="R500" t="s">
        <v>150</v>
      </c>
      <c r="S500" t="s">
        <v>7</v>
      </c>
      <c r="T500" t="s">
        <v>8</v>
      </c>
      <c r="U500" t="s">
        <v>41</v>
      </c>
      <c r="V500">
        <v>1</v>
      </c>
      <c r="W500" t="s">
        <v>10</v>
      </c>
      <c r="X500" t="s">
        <v>22</v>
      </c>
      <c r="Y500">
        <v>1</v>
      </c>
      <c r="Z500">
        <v>1</v>
      </c>
      <c r="AA500">
        <v>0</v>
      </c>
      <c r="AB500">
        <v>0</v>
      </c>
      <c r="AC500">
        <v>1</v>
      </c>
      <c r="AD500">
        <v>1</v>
      </c>
      <c r="AE500">
        <v>0</v>
      </c>
      <c r="AF500" t="s">
        <v>12</v>
      </c>
      <c r="AG500" t="s">
        <v>12</v>
      </c>
      <c r="AH500" t="s">
        <v>12</v>
      </c>
      <c r="AI500" t="s">
        <v>12</v>
      </c>
      <c r="AJ500" t="s">
        <v>12</v>
      </c>
      <c r="AK500">
        <v>250000</v>
      </c>
      <c r="AL500">
        <v>0.26119999999999999</v>
      </c>
      <c r="AM500">
        <v>0.2412</v>
      </c>
      <c r="AN500" t="s">
        <v>12</v>
      </c>
      <c r="AO500" t="s">
        <v>12</v>
      </c>
    </row>
    <row r="501" spans="1:41" x14ac:dyDescent="0.35">
      <c r="A501">
        <v>15737912</v>
      </c>
      <c r="B501">
        <v>202509</v>
      </c>
      <c r="C501">
        <v>10735192952</v>
      </c>
      <c r="D501" t="s">
        <v>760</v>
      </c>
      <c r="E501">
        <v>73519295</v>
      </c>
      <c r="F501">
        <v>10269340</v>
      </c>
      <c r="G501" t="s">
        <v>100</v>
      </c>
      <c r="H501" t="s">
        <v>404</v>
      </c>
      <c r="I501">
        <v>47766.078125</v>
      </c>
      <c r="J501" s="1">
        <v>45841</v>
      </c>
      <c r="K501">
        <v>20.5</v>
      </c>
      <c r="L501" t="s">
        <v>37</v>
      </c>
      <c r="M501" t="s">
        <v>37</v>
      </c>
      <c r="N501" t="s">
        <v>102</v>
      </c>
      <c r="O501">
        <v>202507</v>
      </c>
      <c r="P501">
        <v>62678.1</v>
      </c>
      <c r="Q501" t="s">
        <v>12</v>
      </c>
      <c r="R501" t="s">
        <v>12</v>
      </c>
      <c r="S501" t="s">
        <v>12</v>
      </c>
      <c r="T501" t="s">
        <v>12</v>
      </c>
      <c r="U501" t="s">
        <v>12</v>
      </c>
      <c r="V501" t="s">
        <v>12</v>
      </c>
      <c r="W501" t="s">
        <v>12</v>
      </c>
      <c r="X501" t="s">
        <v>12</v>
      </c>
      <c r="Y501" t="s">
        <v>12</v>
      </c>
      <c r="Z501" t="s">
        <v>12</v>
      </c>
      <c r="AA501" t="s">
        <v>12</v>
      </c>
      <c r="AB501" t="s">
        <v>12</v>
      </c>
      <c r="AC501" t="s">
        <v>12</v>
      </c>
      <c r="AD501" t="s">
        <v>12</v>
      </c>
      <c r="AE501" t="s">
        <v>12</v>
      </c>
      <c r="AF501" t="s">
        <v>12</v>
      </c>
      <c r="AG501" t="s">
        <v>12</v>
      </c>
      <c r="AH501" t="s">
        <v>12</v>
      </c>
      <c r="AI501" t="s">
        <v>12</v>
      </c>
      <c r="AJ501" t="s">
        <v>12</v>
      </c>
      <c r="AK501" t="s">
        <v>12</v>
      </c>
      <c r="AL501" t="s">
        <v>12</v>
      </c>
      <c r="AM501" t="s">
        <v>12</v>
      </c>
      <c r="AN501" t="s">
        <v>12</v>
      </c>
      <c r="AO501" t="s">
        <v>12</v>
      </c>
    </row>
    <row r="502" spans="1:41" x14ac:dyDescent="0.35">
      <c r="A502">
        <v>21438743</v>
      </c>
      <c r="B502">
        <v>202508</v>
      </c>
      <c r="C502">
        <v>20525779778</v>
      </c>
      <c r="D502" t="s">
        <v>761</v>
      </c>
      <c r="E502" t="s">
        <v>1</v>
      </c>
      <c r="F502">
        <v>10264711</v>
      </c>
      <c r="G502" t="s">
        <v>24</v>
      </c>
      <c r="H502" t="s">
        <v>159</v>
      </c>
      <c r="I502">
        <v>33438.625</v>
      </c>
      <c r="J502" s="1">
        <v>45679</v>
      </c>
      <c r="K502">
        <v>19</v>
      </c>
      <c r="L502" t="s">
        <v>37</v>
      </c>
      <c r="M502" t="s">
        <v>37</v>
      </c>
      <c r="N502" t="s">
        <v>98</v>
      </c>
      <c r="O502">
        <v>202501</v>
      </c>
      <c r="P502">
        <v>45002.25</v>
      </c>
      <c r="Q502" t="s">
        <v>12</v>
      </c>
      <c r="R502" t="s">
        <v>12</v>
      </c>
      <c r="S502" t="s">
        <v>12</v>
      </c>
      <c r="T502" t="s">
        <v>12</v>
      </c>
      <c r="U502" t="s">
        <v>12</v>
      </c>
      <c r="V502" t="s">
        <v>12</v>
      </c>
      <c r="W502" t="s">
        <v>12</v>
      </c>
      <c r="X502" t="s">
        <v>12</v>
      </c>
      <c r="Y502" t="s">
        <v>12</v>
      </c>
      <c r="Z502" t="s">
        <v>12</v>
      </c>
      <c r="AA502" t="s">
        <v>12</v>
      </c>
      <c r="AB502" t="s">
        <v>12</v>
      </c>
      <c r="AC502" t="s">
        <v>12</v>
      </c>
      <c r="AD502" t="s">
        <v>12</v>
      </c>
      <c r="AE502" t="s">
        <v>12</v>
      </c>
      <c r="AF502" t="s">
        <v>12</v>
      </c>
      <c r="AG502" t="s">
        <v>12</v>
      </c>
      <c r="AH502" t="s">
        <v>12</v>
      </c>
      <c r="AI502" t="s">
        <v>12</v>
      </c>
      <c r="AJ502" t="s">
        <v>12</v>
      </c>
      <c r="AK502" t="s">
        <v>12</v>
      </c>
      <c r="AL502" t="s">
        <v>12</v>
      </c>
      <c r="AM502" t="s">
        <v>12</v>
      </c>
      <c r="AN502" t="s">
        <v>12</v>
      </c>
      <c r="AO502" t="s">
        <v>12</v>
      </c>
    </row>
    <row r="503" spans="1:41" x14ac:dyDescent="0.35">
      <c r="A503">
        <v>13392614</v>
      </c>
      <c r="B503">
        <v>202509</v>
      </c>
      <c r="C503">
        <v>10430112401</v>
      </c>
      <c r="D503" t="s">
        <v>762</v>
      </c>
      <c r="E503">
        <v>43011240</v>
      </c>
      <c r="F503">
        <v>10269641</v>
      </c>
      <c r="G503" t="s">
        <v>100</v>
      </c>
      <c r="H503" t="s">
        <v>763</v>
      </c>
      <c r="I503">
        <v>53877.9609375</v>
      </c>
      <c r="J503" s="1">
        <v>45854</v>
      </c>
      <c r="K503">
        <v>32</v>
      </c>
      <c r="L503" t="s">
        <v>37</v>
      </c>
      <c r="M503" t="s">
        <v>37</v>
      </c>
      <c r="N503" t="s">
        <v>102</v>
      </c>
      <c r="O503">
        <v>202507</v>
      </c>
      <c r="P503">
        <v>57502.85</v>
      </c>
      <c r="Q503" t="s">
        <v>12</v>
      </c>
      <c r="R503" t="s">
        <v>12</v>
      </c>
      <c r="S503" t="s">
        <v>12</v>
      </c>
      <c r="T503" t="s">
        <v>12</v>
      </c>
      <c r="U503" t="s">
        <v>12</v>
      </c>
      <c r="V503" t="s">
        <v>12</v>
      </c>
      <c r="W503" t="s">
        <v>12</v>
      </c>
      <c r="X503" t="s">
        <v>12</v>
      </c>
      <c r="Y503" t="s">
        <v>12</v>
      </c>
      <c r="Z503" t="s">
        <v>12</v>
      </c>
      <c r="AA503" t="s">
        <v>12</v>
      </c>
      <c r="AB503" t="s">
        <v>12</v>
      </c>
      <c r="AC503" t="s">
        <v>12</v>
      </c>
      <c r="AD503" t="s">
        <v>12</v>
      </c>
      <c r="AE503" t="s">
        <v>12</v>
      </c>
      <c r="AF503" t="s">
        <v>12</v>
      </c>
      <c r="AG503" t="s">
        <v>12</v>
      </c>
      <c r="AH503" t="s">
        <v>12</v>
      </c>
      <c r="AI503" t="s">
        <v>12</v>
      </c>
      <c r="AJ503" t="s">
        <v>12</v>
      </c>
      <c r="AK503" t="s">
        <v>12</v>
      </c>
      <c r="AL503" t="s">
        <v>12</v>
      </c>
      <c r="AM503" t="s">
        <v>12</v>
      </c>
      <c r="AN503" t="s">
        <v>12</v>
      </c>
      <c r="AO503" t="s">
        <v>12</v>
      </c>
    </row>
    <row r="504" spans="1:41" x14ac:dyDescent="0.35">
      <c r="A504">
        <v>18522596</v>
      </c>
      <c r="B504">
        <v>202509</v>
      </c>
      <c r="C504">
        <v>20551588603</v>
      </c>
      <c r="D504" t="s">
        <v>764</v>
      </c>
      <c r="E504" t="s">
        <v>1</v>
      </c>
      <c r="F504">
        <v>10269787</v>
      </c>
      <c r="G504" t="s">
        <v>92</v>
      </c>
      <c r="H504" t="s">
        <v>500</v>
      </c>
      <c r="I504">
        <v>371427.4375</v>
      </c>
      <c r="J504" s="1">
        <v>45859</v>
      </c>
      <c r="K504">
        <v>16</v>
      </c>
      <c r="L504" t="s">
        <v>4</v>
      </c>
      <c r="M504" t="s">
        <v>4</v>
      </c>
      <c r="N504" t="s">
        <v>41</v>
      </c>
      <c r="O504">
        <v>202507</v>
      </c>
      <c r="P504">
        <v>324437.59000000003</v>
      </c>
      <c r="Q504" t="s">
        <v>500</v>
      </c>
      <c r="R504" t="s">
        <v>501</v>
      </c>
      <c r="S504" t="s">
        <v>31</v>
      </c>
      <c r="T504" t="s">
        <v>32</v>
      </c>
      <c r="U504" t="s">
        <v>20</v>
      </c>
      <c r="V504">
        <v>1</v>
      </c>
      <c r="W504" t="s">
        <v>10</v>
      </c>
      <c r="X504" t="s">
        <v>22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12</v>
      </c>
      <c r="AG504" t="s">
        <v>12</v>
      </c>
      <c r="AH504" t="s">
        <v>12</v>
      </c>
      <c r="AI504" t="s">
        <v>12</v>
      </c>
      <c r="AJ504" t="s">
        <v>12</v>
      </c>
      <c r="AK504">
        <v>1</v>
      </c>
      <c r="AL504">
        <v>1</v>
      </c>
      <c r="AM504" t="s">
        <v>12</v>
      </c>
      <c r="AN504" t="s">
        <v>12</v>
      </c>
      <c r="AO504" t="s">
        <v>12</v>
      </c>
    </row>
    <row r="505" spans="1:41" x14ac:dyDescent="0.35">
      <c r="A505">
        <v>21361794</v>
      </c>
      <c r="B505">
        <v>202512</v>
      </c>
      <c r="C505">
        <v>10407680907</v>
      </c>
      <c r="D505" t="s">
        <v>765</v>
      </c>
      <c r="E505">
        <v>40768090</v>
      </c>
      <c r="F505">
        <v>10264557</v>
      </c>
      <c r="G505" t="s">
        <v>24</v>
      </c>
      <c r="H505" t="s">
        <v>183</v>
      </c>
      <c r="I505">
        <v>14329.40625</v>
      </c>
      <c r="J505" s="1">
        <v>45671</v>
      </c>
      <c r="K505">
        <v>24.200001</v>
      </c>
      <c r="L505" t="s">
        <v>37</v>
      </c>
      <c r="M505" t="s">
        <v>75</v>
      </c>
      <c r="N505" t="s">
        <v>98</v>
      </c>
      <c r="O505">
        <v>202501</v>
      </c>
      <c r="P505">
        <v>33473.65</v>
      </c>
      <c r="Q505" t="s">
        <v>284</v>
      </c>
      <c r="R505" t="s">
        <v>285</v>
      </c>
      <c r="S505" t="s">
        <v>31</v>
      </c>
      <c r="T505" t="s">
        <v>32</v>
      </c>
      <c r="U505" t="s">
        <v>41</v>
      </c>
      <c r="V505">
        <v>1</v>
      </c>
      <c r="W505" t="s">
        <v>90</v>
      </c>
      <c r="X505" t="s">
        <v>59</v>
      </c>
      <c r="Y505">
        <v>1</v>
      </c>
      <c r="Z505">
        <v>1</v>
      </c>
      <c r="AA505">
        <v>0</v>
      </c>
      <c r="AB505">
        <v>0</v>
      </c>
      <c r="AC505">
        <v>1</v>
      </c>
      <c r="AD505">
        <v>0</v>
      </c>
      <c r="AE505">
        <v>0</v>
      </c>
      <c r="AF505" t="s">
        <v>12</v>
      </c>
      <c r="AG505" t="s">
        <v>12</v>
      </c>
      <c r="AH505" t="s">
        <v>12</v>
      </c>
      <c r="AI505" t="s">
        <v>12</v>
      </c>
      <c r="AJ505" t="s">
        <v>12</v>
      </c>
      <c r="AK505">
        <v>200000</v>
      </c>
      <c r="AL505">
        <v>0.25819999999999999</v>
      </c>
      <c r="AM505">
        <v>0.2382</v>
      </c>
      <c r="AN505" t="s">
        <v>12</v>
      </c>
      <c r="AO505" t="s">
        <v>12</v>
      </c>
    </row>
    <row r="506" spans="1:41" x14ac:dyDescent="0.35">
      <c r="A506">
        <v>18484767</v>
      </c>
      <c r="B506">
        <v>202601</v>
      </c>
      <c r="C506">
        <v>20545265711</v>
      </c>
      <c r="D506" t="s">
        <v>766</v>
      </c>
      <c r="E506" t="s">
        <v>1</v>
      </c>
      <c r="F506">
        <v>10256884</v>
      </c>
      <c r="G506" t="s">
        <v>53</v>
      </c>
      <c r="H506" t="s">
        <v>175</v>
      </c>
      <c r="I506">
        <v>74026.4375</v>
      </c>
      <c r="J506" s="1">
        <v>45471</v>
      </c>
      <c r="K506">
        <v>17.700001</v>
      </c>
      <c r="L506" t="s">
        <v>4</v>
      </c>
      <c r="M506" t="s">
        <v>4</v>
      </c>
      <c r="N506" t="s">
        <v>47</v>
      </c>
      <c r="O506">
        <v>202406</v>
      </c>
      <c r="P506">
        <v>90004.5</v>
      </c>
      <c r="Q506" t="s">
        <v>175</v>
      </c>
      <c r="R506" t="s">
        <v>176</v>
      </c>
      <c r="S506" t="s">
        <v>127</v>
      </c>
      <c r="T506" t="s">
        <v>147</v>
      </c>
      <c r="U506" t="s">
        <v>20</v>
      </c>
      <c r="V506">
        <v>1</v>
      </c>
      <c r="W506" t="s">
        <v>21</v>
      </c>
      <c r="X506" t="s">
        <v>51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12</v>
      </c>
      <c r="AG506" t="s">
        <v>12</v>
      </c>
      <c r="AH506" t="s">
        <v>12</v>
      </c>
      <c r="AI506" t="s">
        <v>12</v>
      </c>
      <c r="AJ506" t="s">
        <v>12</v>
      </c>
      <c r="AK506">
        <v>1</v>
      </c>
      <c r="AL506">
        <v>1</v>
      </c>
      <c r="AM506">
        <v>0.24</v>
      </c>
      <c r="AN506" t="s">
        <v>12</v>
      </c>
      <c r="AO506" t="s">
        <v>12</v>
      </c>
    </row>
    <row r="507" spans="1:41" x14ac:dyDescent="0.35">
      <c r="A507">
        <v>13555758</v>
      </c>
      <c r="B507">
        <v>202508</v>
      </c>
      <c r="C507">
        <v>10702699598</v>
      </c>
      <c r="D507" t="s">
        <v>767</v>
      </c>
      <c r="E507">
        <v>70269959</v>
      </c>
      <c r="F507">
        <v>10261826</v>
      </c>
      <c r="G507" t="s">
        <v>65</v>
      </c>
      <c r="H507" t="s">
        <v>768</v>
      </c>
      <c r="I507">
        <v>39681.578125</v>
      </c>
      <c r="J507" s="1">
        <v>45586</v>
      </c>
      <c r="K507">
        <v>14.5</v>
      </c>
      <c r="L507" t="s">
        <v>37</v>
      </c>
      <c r="M507" t="s">
        <v>37</v>
      </c>
      <c r="N507" t="s">
        <v>47</v>
      </c>
      <c r="O507">
        <v>202410</v>
      </c>
      <c r="P507">
        <v>46582.3</v>
      </c>
      <c r="Q507" t="s">
        <v>85</v>
      </c>
      <c r="R507" t="s">
        <v>87</v>
      </c>
      <c r="S507" t="s">
        <v>88</v>
      </c>
      <c r="T507" t="s">
        <v>89</v>
      </c>
      <c r="U507" t="s">
        <v>41</v>
      </c>
      <c r="V507">
        <v>2</v>
      </c>
      <c r="W507" t="s">
        <v>647</v>
      </c>
      <c r="X507" t="s">
        <v>12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12</v>
      </c>
      <c r="AG507" t="s">
        <v>12</v>
      </c>
      <c r="AH507" t="s">
        <v>12</v>
      </c>
      <c r="AI507" t="s">
        <v>12</v>
      </c>
      <c r="AJ507" t="s">
        <v>12</v>
      </c>
      <c r="AK507">
        <v>200000</v>
      </c>
      <c r="AL507">
        <v>0.27</v>
      </c>
      <c r="AM507">
        <v>0.24729999999999999</v>
      </c>
      <c r="AN507" t="s">
        <v>12</v>
      </c>
      <c r="AO507" t="s">
        <v>12</v>
      </c>
    </row>
    <row r="508" spans="1:41" x14ac:dyDescent="0.35">
      <c r="A508">
        <v>21244129</v>
      </c>
      <c r="B508">
        <v>202511</v>
      </c>
      <c r="C508">
        <v>20610909371</v>
      </c>
      <c r="D508" t="s">
        <v>769</v>
      </c>
      <c r="E508" t="s">
        <v>1</v>
      </c>
      <c r="F508">
        <v>10261599</v>
      </c>
      <c r="G508" t="s">
        <v>65</v>
      </c>
      <c r="H508" t="s">
        <v>159</v>
      </c>
      <c r="I508">
        <v>51842.98046875</v>
      </c>
      <c r="J508" s="1">
        <v>45581</v>
      </c>
      <c r="K508">
        <v>16.700001</v>
      </c>
      <c r="L508" t="s">
        <v>37</v>
      </c>
      <c r="M508" t="s">
        <v>37</v>
      </c>
      <c r="N508" t="s">
        <v>47</v>
      </c>
      <c r="O508">
        <v>202410</v>
      </c>
      <c r="P508">
        <v>70003.5</v>
      </c>
      <c r="Q508" t="s">
        <v>12</v>
      </c>
      <c r="R508" t="s">
        <v>12</v>
      </c>
      <c r="S508" t="s">
        <v>12</v>
      </c>
      <c r="T508" t="s">
        <v>12</v>
      </c>
      <c r="U508" t="s">
        <v>12</v>
      </c>
      <c r="V508" t="s">
        <v>12</v>
      </c>
      <c r="W508" t="s">
        <v>12</v>
      </c>
      <c r="X508" t="s">
        <v>12</v>
      </c>
      <c r="Y508" t="s">
        <v>12</v>
      </c>
      <c r="Z508" t="s">
        <v>12</v>
      </c>
      <c r="AA508" t="s">
        <v>12</v>
      </c>
      <c r="AB508" t="s">
        <v>12</v>
      </c>
      <c r="AC508" t="s">
        <v>12</v>
      </c>
      <c r="AD508" t="s">
        <v>12</v>
      </c>
      <c r="AE508" t="s">
        <v>12</v>
      </c>
      <c r="AF508" t="s">
        <v>12</v>
      </c>
      <c r="AG508" t="s">
        <v>12</v>
      </c>
      <c r="AH508" t="s">
        <v>12</v>
      </c>
      <c r="AI508" t="s">
        <v>12</v>
      </c>
      <c r="AJ508" t="s">
        <v>12</v>
      </c>
      <c r="AK508" t="s">
        <v>12</v>
      </c>
      <c r="AL508" t="s">
        <v>12</v>
      </c>
      <c r="AM508" t="s">
        <v>12</v>
      </c>
      <c r="AN508" t="s">
        <v>12</v>
      </c>
      <c r="AO508" t="s">
        <v>12</v>
      </c>
    </row>
    <row r="509" spans="1:41" x14ac:dyDescent="0.35">
      <c r="A509">
        <v>15069737</v>
      </c>
      <c r="B509">
        <v>202511</v>
      </c>
      <c r="C509" t="s">
        <v>1</v>
      </c>
      <c r="D509" t="s">
        <v>770</v>
      </c>
      <c r="E509">
        <v>48959538</v>
      </c>
      <c r="F509">
        <v>10256525</v>
      </c>
      <c r="G509" t="s">
        <v>24</v>
      </c>
      <c r="H509" t="s">
        <v>183</v>
      </c>
      <c r="I509">
        <v>11418.39453125</v>
      </c>
      <c r="J509" s="1">
        <v>45469</v>
      </c>
      <c r="K509">
        <v>21</v>
      </c>
      <c r="L509" t="s">
        <v>37</v>
      </c>
      <c r="M509" t="s">
        <v>37</v>
      </c>
      <c r="N509" t="s">
        <v>98</v>
      </c>
      <c r="O509">
        <v>202406</v>
      </c>
      <c r="P509">
        <v>30001.5</v>
      </c>
      <c r="Q509" t="s">
        <v>12</v>
      </c>
      <c r="R509" t="s">
        <v>12</v>
      </c>
      <c r="S509" t="s">
        <v>12</v>
      </c>
      <c r="T509" t="s">
        <v>12</v>
      </c>
      <c r="U509" t="s">
        <v>12</v>
      </c>
      <c r="V509" t="s">
        <v>12</v>
      </c>
      <c r="W509" t="s">
        <v>12</v>
      </c>
      <c r="X509" t="s">
        <v>12</v>
      </c>
      <c r="Y509" t="s">
        <v>12</v>
      </c>
      <c r="Z509" t="s">
        <v>12</v>
      </c>
      <c r="AA509" t="s">
        <v>12</v>
      </c>
      <c r="AB509" t="s">
        <v>12</v>
      </c>
      <c r="AC509" t="s">
        <v>12</v>
      </c>
      <c r="AD509" t="s">
        <v>12</v>
      </c>
      <c r="AE509" t="s">
        <v>12</v>
      </c>
      <c r="AF509" t="s">
        <v>12</v>
      </c>
      <c r="AG509" t="s">
        <v>12</v>
      </c>
      <c r="AH509" t="s">
        <v>12</v>
      </c>
      <c r="AI509" t="s">
        <v>12</v>
      </c>
      <c r="AJ509" t="s">
        <v>12</v>
      </c>
      <c r="AK509" t="s">
        <v>12</v>
      </c>
      <c r="AL509" t="s">
        <v>12</v>
      </c>
      <c r="AM509" t="s">
        <v>12</v>
      </c>
      <c r="AN509" t="s">
        <v>12</v>
      </c>
      <c r="AO509" t="s">
        <v>12</v>
      </c>
    </row>
    <row r="510" spans="1:41" x14ac:dyDescent="0.35">
      <c r="A510">
        <v>20602169</v>
      </c>
      <c r="B510">
        <v>202602</v>
      </c>
      <c r="C510">
        <v>20601208017</v>
      </c>
      <c r="D510" t="s">
        <v>771</v>
      </c>
      <c r="E510" t="s">
        <v>1</v>
      </c>
      <c r="F510">
        <v>10271592</v>
      </c>
      <c r="G510" t="s">
        <v>92</v>
      </c>
      <c r="H510" t="s">
        <v>39</v>
      </c>
      <c r="I510">
        <v>86206.21875</v>
      </c>
      <c r="J510" s="1">
        <v>45922</v>
      </c>
      <c r="K510">
        <v>19</v>
      </c>
      <c r="L510" t="s">
        <v>4</v>
      </c>
      <c r="M510" t="s">
        <v>4</v>
      </c>
      <c r="N510" t="s">
        <v>41</v>
      </c>
      <c r="O510">
        <v>202509</v>
      </c>
      <c r="P510">
        <v>100005</v>
      </c>
      <c r="Q510" t="s">
        <v>12</v>
      </c>
      <c r="R510" t="s">
        <v>12</v>
      </c>
      <c r="S510" t="s">
        <v>12</v>
      </c>
      <c r="T510" t="s">
        <v>12</v>
      </c>
      <c r="U510" t="s">
        <v>12</v>
      </c>
      <c r="V510" t="s">
        <v>12</v>
      </c>
      <c r="W510" t="s">
        <v>12</v>
      </c>
      <c r="X510" t="s">
        <v>12</v>
      </c>
      <c r="Y510" t="s">
        <v>12</v>
      </c>
      <c r="Z510" t="s">
        <v>12</v>
      </c>
      <c r="AA510" t="s">
        <v>12</v>
      </c>
      <c r="AB510" t="s">
        <v>12</v>
      </c>
      <c r="AC510" t="s">
        <v>12</v>
      </c>
      <c r="AD510" t="s">
        <v>12</v>
      </c>
      <c r="AE510" t="s">
        <v>12</v>
      </c>
      <c r="AF510" t="s">
        <v>12</v>
      </c>
      <c r="AG510" t="s">
        <v>12</v>
      </c>
      <c r="AH510" t="s">
        <v>12</v>
      </c>
      <c r="AI510" t="s">
        <v>12</v>
      </c>
      <c r="AJ510" t="s">
        <v>12</v>
      </c>
      <c r="AK510" t="s">
        <v>12</v>
      </c>
      <c r="AL510" t="s">
        <v>12</v>
      </c>
      <c r="AM510" t="s">
        <v>12</v>
      </c>
      <c r="AN510" t="s">
        <v>12</v>
      </c>
      <c r="AO510" t="s">
        <v>12</v>
      </c>
    </row>
    <row r="511" spans="1:41" x14ac:dyDescent="0.35">
      <c r="A511">
        <v>16393549</v>
      </c>
      <c r="B511">
        <v>202510</v>
      </c>
      <c r="C511">
        <v>20601568064</v>
      </c>
      <c r="D511" t="s">
        <v>772</v>
      </c>
      <c r="E511" t="s">
        <v>1</v>
      </c>
      <c r="F511">
        <v>10272556</v>
      </c>
      <c r="G511" t="s">
        <v>14</v>
      </c>
      <c r="H511" t="s">
        <v>85</v>
      </c>
      <c r="I511">
        <v>122906.09375</v>
      </c>
      <c r="J511" s="1">
        <v>45957</v>
      </c>
      <c r="K511">
        <v>15</v>
      </c>
      <c r="L511" t="s">
        <v>86</v>
      </c>
      <c r="M511" t="s">
        <v>86</v>
      </c>
      <c r="N511" t="s">
        <v>16</v>
      </c>
      <c r="O511">
        <v>202510</v>
      </c>
      <c r="P511">
        <v>122906.1</v>
      </c>
      <c r="Q511" t="s">
        <v>85</v>
      </c>
      <c r="R511" t="s">
        <v>87</v>
      </c>
      <c r="S511" t="s">
        <v>88</v>
      </c>
      <c r="T511" t="s">
        <v>89</v>
      </c>
      <c r="U511" t="s">
        <v>16</v>
      </c>
      <c r="V511">
        <v>2</v>
      </c>
      <c r="W511" t="s">
        <v>10</v>
      </c>
      <c r="X511" t="s">
        <v>12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0</v>
      </c>
      <c r="AE511">
        <v>122906.1</v>
      </c>
      <c r="AF511">
        <v>15</v>
      </c>
      <c r="AG511" s="1">
        <v>45957</v>
      </c>
      <c r="AH511" t="s">
        <v>16</v>
      </c>
      <c r="AI511" t="s">
        <v>86</v>
      </c>
      <c r="AJ511" t="s">
        <v>33</v>
      </c>
      <c r="AK511">
        <v>122900</v>
      </c>
      <c r="AL511">
        <v>0.21</v>
      </c>
      <c r="AM511">
        <v>0.19</v>
      </c>
      <c r="AN511" t="s">
        <v>12</v>
      </c>
      <c r="AO511" t="s">
        <v>12</v>
      </c>
    </row>
    <row r="512" spans="1:41" x14ac:dyDescent="0.35">
      <c r="A512">
        <v>12965460</v>
      </c>
      <c r="B512">
        <v>202509</v>
      </c>
      <c r="C512">
        <v>10707876404</v>
      </c>
      <c r="D512" t="s">
        <v>773</v>
      </c>
      <c r="E512">
        <v>70787640</v>
      </c>
      <c r="F512">
        <v>10267714</v>
      </c>
      <c r="G512" t="s">
        <v>100</v>
      </c>
      <c r="H512" t="s">
        <v>257</v>
      </c>
      <c r="I512">
        <v>84011.71875</v>
      </c>
      <c r="J512" s="1">
        <v>45789</v>
      </c>
      <c r="K512">
        <v>21</v>
      </c>
      <c r="L512" t="s">
        <v>37</v>
      </c>
      <c r="M512" t="s">
        <v>37</v>
      </c>
      <c r="N512" t="s">
        <v>102</v>
      </c>
      <c r="O512">
        <v>202505</v>
      </c>
      <c r="P512">
        <v>97704.85</v>
      </c>
      <c r="Q512" t="s">
        <v>257</v>
      </c>
      <c r="R512" t="s">
        <v>258</v>
      </c>
      <c r="S512" t="s">
        <v>49</v>
      </c>
      <c r="T512" t="s">
        <v>50</v>
      </c>
      <c r="U512" t="s">
        <v>20</v>
      </c>
      <c r="V512">
        <v>1</v>
      </c>
      <c r="W512" t="s">
        <v>10</v>
      </c>
      <c r="X512" t="s">
        <v>59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12</v>
      </c>
      <c r="AG512" t="s">
        <v>12</v>
      </c>
      <c r="AH512" t="s">
        <v>12</v>
      </c>
      <c r="AI512" t="s">
        <v>12</v>
      </c>
      <c r="AJ512" t="s">
        <v>12</v>
      </c>
      <c r="AK512">
        <v>1</v>
      </c>
      <c r="AL512">
        <v>1</v>
      </c>
      <c r="AM512" t="s">
        <v>12</v>
      </c>
      <c r="AN512" t="s">
        <v>12</v>
      </c>
      <c r="AO512" t="s">
        <v>12</v>
      </c>
    </row>
    <row r="513" spans="1:41" x14ac:dyDescent="0.35">
      <c r="A513">
        <v>21677397</v>
      </c>
      <c r="B513">
        <v>202512</v>
      </c>
      <c r="C513">
        <v>20611309679</v>
      </c>
      <c r="D513" t="s">
        <v>774</v>
      </c>
      <c r="E513" t="s">
        <v>1</v>
      </c>
      <c r="F513">
        <v>10268552</v>
      </c>
      <c r="G513" t="s">
        <v>100</v>
      </c>
      <c r="H513" t="s">
        <v>644</v>
      </c>
      <c r="I513">
        <v>49948.18359375</v>
      </c>
      <c r="J513" s="1">
        <v>45818</v>
      </c>
      <c r="K513">
        <v>17.5</v>
      </c>
      <c r="L513" t="s">
        <v>37</v>
      </c>
      <c r="M513" t="s">
        <v>37</v>
      </c>
      <c r="N513" t="s">
        <v>102</v>
      </c>
      <c r="O513">
        <v>202506</v>
      </c>
      <c r="P513">
        <v>72003.600000000006</v>
      </c>
      <c r="Q513" t="s">
        <v>644</v>
      </c>
      <c r="R513" t="s">
        <v>775</v>
      </c>
      <c r="S513" t="s">
        <v>111</v>
      </c>
      <c r="T513" t="s">
        <v>112</v>
      </c>
      <c r="U513" t="s">
        <v>9</v>
      </c>
      <c r="V513">
        <v>2</v>
      </c>
      <c r="W513" t="s">
        <v>10</v>
      </c>
      <c r="X513" t="s">
        <v>11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12</v>
      </c>
      <c r="AG513" t="s">
        <v>12</v>
      </c>
      <c r="AH513" t="s">
        <v>12</v>
      </c>
      <c r="AI513" t="s">
        <v>12</v>
      </c>
      <c r="AJ513" t="s">
        <v>12</v>
      </c>
      <c r="AK513">
        <v>0</v>
      </c>
      <c r="AL513">
        <v>0</v>
      </c>
      <c r="AM513">
        <v>0</v>
      </c>
      <c r="AN513" t="s">
        <v>12</v>
      </c>
      <c r="AO513" t="s">
        <v>12</v>
      </c>
    </row>
    <row r="514" spans="1:41" x14ac:dyDescent="0.35">
      <c r="A514">
        <v>16729507</v>
      </c>
      <c r="B514">
        <v>202507</v>
      </c>
      <c r="C514">
        <v>20556196380</v>
      </c>
      <c r="D514" t="s">
        <v>776</v>
      </c>
      <c r="E514" t="s">
        <v>1</v>
      </c>
      <c r="F514">
        <v>10267483</v>
      </c>
      <c r="G514" t="s">
        <v>100</v>
      </c>
      <c r="H514" t="s">
        <v>111</v>
      </c>
      <c r="I514">
        <v>44938.72265625</v>
      </c>
      <c r="J514" s="1">
        <v>45776</v>
      </c>
      <c r="K514">
        <v>15</v>
      </c>
      <c r="L514" t="s">
        <v>37</v>
      </c>
      <c r="M514" t="s">
        <v>37</v>
      </c>
      <c r="N514" t="s">
        <v>102</v>
      </c>
      <c r="O514">
        <v>202504</v>
      </c>
      <c r="P514">
        <v>50502.5</v>
      </c>
      <c r="Q514" t="s">
        <v>12</v>
      </c>
      <c r="R514" t="s">
        <v>12</v>
      </c>
      <c r="S514" t="s">
        <v>12</v>
      </c>
      <c r="T514" t="s">
        <v>12</v>
      </c>
      <c r="U514" t="s">
        <v>12</v>
      </c>
      <c r="V514" t="s">
        <v>12</v>
      </c>
      <c r="W514" t="s">
        <v>12</v>
      </c>
      <c r="X514" t="s">
        <v>12</v>
      </c>
      <c r="Y514" t="s">
        <v>12</v>
      </c>
      <c r="Z514" t="s">
        <v>12</v>
      </c>
      <c r="AA514" t="s">
        <v>12</v>
      </c>
      <c r="AB514" t="s">
        <v>12</v>
      </c>
      <c r="AC514" t="s">
        <v>12</v>
      </c>
      <c r="AD514" t="s">
        <v>12</v>
      </c>
      <c r="AE514" t="s">
        <v>12</v>
      </c>
      <c r="AF514" t="s">
        <v>12</v>
      </c>
      <c r="AG514" t="s">
        <v>12</v>
      </c>
      <c r="AH514" t="s">
        <v>12</v>
      </c>
      <c r="AI514" t="s">
        <v>12</v>
      </c>
      <c r="AJ514" t="s">
        <v>12</v>
      </c>
      <c r="AK514" t="s">
        <v>12</v>
      </c>
      <c r="AL514" t="s">
        <v>12</v>
      </c>
      <c r="AM514" t="s">
        <v>12</v>
      </c>
      <c r="AN514" t="s">
        <v>12</v>
      </c>
      <c r="AO514" t="s">
        <v>12</v>
      </c>
    </row>
    <row r="515" spans="1:41" x14ac:dyDescent="0.35">
      <c r="A515">
        <v>15073788</v>
      </c>
      <c r="B515">
        <v>202504</v>
      </c>
      <c r="C515">
        <v>10108781551</v>
      </c>
      <c r="D515" t="s">
        <v>777</v>
      </c>
      <c r="E515">
        <v>10878155</v>
      </c>
      <c r="F515">
        <v>10248399</v>
      </c>
      <c r="G515" t="s">
        <v>45</v>
      </c>
      <c r="H515" t="s">
        <v>173</v>
      </c>
      <c r="I515">
        <v>15657.8154296875</v>
      </c>
      <c r="J515" s="1">
        <v>45345</v>
      </c>
      <c r="K515">
        <v>15</v>
      </c>
      <c r="L515" t="s">
        <v>37</v>
      </c>
      <c r="M515" t="s">
        <v>37</v>
      </c>
      <c r="N515" t="s">
        <v>47</v>
      </c>
      <c r="O515">
        <v>202402</v>
      </c>
      <c r="P515">
        <v>22446.1</v>
      </c>
      <c r="Q515" t="s">
        <v>12</v>
      </c>
      <c r="R515" t="s">
        <v>12</v>
      </c>
      <c r="S515" t="s">
        <v>12</v>
      </c>
      <c r="T515" t="s">
        <v>12</v>
      </c>
      <c r="U515" t="s">
        <v>12</v>
      </c>
      <c r="V515" t="s">
        <v>12</v>
      </c>
      <c r="W515" t="s">
        <v>12</v>
      </c>
      <c r="X515" t="s">
        <v>12</v>
      </c>
      <c r="Y515" t="s">
        <v>12</v>
      </c>
      <c r="Z515" t="s">
        <v>12</v>
      </c>
      <c r="AA515" t="s">
        <v>12</v>
      </c>
      <c r="AB515" t="s">
        <v>12</v>
      </c>
      <c r="AC515" t="s">
        <v>12</v>
      </c>
      <c r="AD515" t="s">
        <v>12</v>
      </c>
      <c r="AE515" t="s">
        <v>12</v>
      </c>
      <c r="AF515" t="s">
        <v>12</v>
      </c>
      <c r="AG515" t="s">
        <v>12</v>
      </c>
      <c r="AH515" t="s">
        <v>12</v>
      </c>
      <c r="AI515" t="s">
        <v>12</v>
      </c>
      <c r="AJ515" t="s">
        <v>12</v>
      </c>
      <c r="AK515" t="s">
        <v>12</v>
      </c>
      <c r="AL515" t="s">
        <v>12</v>
      </c>
      <c r="AM515" t="s">
        <v>12</v>
      </c>
      <c r="AN515" t="s">
        <v>12</v>
      </c>
      <c r="AO515" t="s">
        <v>12</v>
      </c>
    </row>
    <row r="516" spans="1:41" x14ac:dyDescent="0.35">
      <c r="A516">
        <v>10260277</v>
      </c>
      <c r="B516">
        <v>202508</v>
      </c>
      <c r="C516">
        <v>10174320701</v>
      </c>
      <c r="D516" t="s">
        <v>778</v>
      </c>
      <c r="E516">
        <v>17432070</v>
      </c>
      <c r="F516">
        <v>10176154</v>
      </c>
      <c r="G516" t="s">
        <v>779</v>
      </c>
      <c r="H516" t="s">
        <v>257</v>
      </c>
      <c r="I516">
        <v>23211.3046875</v>
      </c>
      <c r="J516" t="s">
        <v>12</v>
      </c>
      <c r="K516" t="s">
        <v>12</v>
      </c>
      <c r="L516" t="s">
        <v>12</v>
      </c>
      <c r="M516" t="s">
        <v>12</v>
      </c>
      <c r="N516" t="s">
        <v>12</v>
      </c>
      <c r="O516" t="s">
        <v>12</v>
      </c>
      <c r="P516" t="s">
        <v>12</v>
      </c>
      <c r="Q516" t="s">
        <v>257</v>
      </c>
      <c r="R516" t="s">
        <v>258</v>
      </c>
      <c r="S516" t="s">
        <v>49</v>
      </c>
      <c r="T516" t="s">
        <v>50</v>
      </c>
      <c r="U516" t="s">
        <v>70</v>
      </c>
      <c r="V516">
        <v>1</v>
      </c>
      <c r="W516" t="s">
        <v>90</v>
      </c>
      <c r="X516" t="s">
        <v>12</v>
      </c>
      <c r="Y516">
        <v>1</v>
      </c>
      <c r="Z516">
        <v>1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12</v>
      </c>
      <c r="AG516" t="s">
        <v>12</v>
      </c>
      <c r="AH516" t="s">
        <v>12</v>
      </c>
      <c r="AI516" t="s">
        <v>12</v>
      </c>
      <c r="AJ516" t="s">
        <v>12</v>
      </c>
      <c r="AK516">
        <v>136000</v>
      </c>
      <c r="AL516">
        <v>0.24</v>
      </c>
      <c r="AM516">
        <v>0.2233</v>
      </c>
      <c r="AN516" t="s">
        <v>12</v>
      </c>
      <c r="AO516" t="s">
        <v>12</v>
      </c>
    </row>
    <row r="517" spans="1:41" x14ac:dyDescent="0.35">
      <c r="A517">
        <v>13710382</v>
      </c>
      <c r="B517">
        <v>202504</v>
      </c>
      <c r="C517">
        <v>10180567254</v>
      </c>
      <c r="D517" t="s">
        <v>345</v>
      </c>
      <c r="E517">
        <v>18056725</v>
      </c>
      <c r="F517">
        <v>10200920</v>
      </c>
      <c r="G517" t="s">
        <v>199</v>
      </c>
      <c r="H517" t="s">
        <v>159</v>
      </c>
      <c r="I517">
        <v>6725.58056640625</v>
      </c>
      <c r="J517" t="s">
        <v>12</v>
      </c>
      <c r="K517" t="s">
        <v>12</v>
      </c>
      <c r="L517" t="s">
        <v>12</v>
      </c>
      <c r="M517" t="s">
        <v>12</v>
      </c>
      <c r="N517" t="s">
        <v>12</v>
      </c>
      <c r="O517" t="s">
        <v>12</v>
      </c>
      <c r="P517" t="s">
        <v>12</v>
      </c>
      <c r="Q517" t="s">
        <v>153</v>
      </c>
      <c r="R517" t="s">
        <v>12</v>
      </c>
      <c r="S517" t="s">
        <v>12</v>
      </c>
      <c r="T517" t="s">
        <v>12</v>
      </c>
      <c r="U517" t="s">
        <v>41</v>
      </c>
      <c r="V517">
        <v>2</v>
      </c>
      <c r="W517" t="s">
        <v>10</v>
      </c>
      <c r="X517" t="s">
        <v>12</v>
      </c>
      <c r="Y517">
        <v>1</v>
      </c>
      <c r="Z517">
        <v>1</v>
      </c>
      <c r="AA517">
        <v>0</v>
      </c>
      <c r="AB517">
        <v>0</v>
      </c>
      <c r="AC517">
        <v>1</v>
      </c>
      <c r="AD517">
        <v>0</v>
      </c>
      <c r="AE517">
        <v>0</v>
      </c>
      <c r="AF517" t="s">
        <v>12</v>
      </c>
      <c r="AG517" t="s">
        <v>12</v>
      </c>
      <c r="AH517" t="s">
        <v>12</v>
      </c>
      <c r="AI517" t="s">
        <v>12</v>
      </c>
      <c r="AJ517" t="s">
        <v>12</v>
      </c>
      <c r="AK517">
        <v>100000</v>
      </c>
      <c r="AL517">
        <v>0.22</v>
      </c>
      <c r="AM517">
        <v>0.20200000000000001</v>
      </c>
      <c r="AN517" t="s">
        <v>12</v>
      </c>
      <c r="AO517" t="s">
        <v>12</v>
      </c>
    </row>
    <row r="518" spans="1:41" x14ac:dyDescent="0.35">
      <c r="A518">
        <v>15698726</v>
      </c>
      <c r="B518">
        <v>202509</v>
      </c>
      <c r="C518">
        <v>20600289358</v>
      </c>
      <c r="D518" t="s">
        <v>780</v>
      </c>
      <c r="E518" t="s">
        <v>1</v>
      </c>
      <c r="F518">
        <v>10157610</v>
      </c>
      <c r="G518" t="s">
        <v>2</v>
      </c>
      <c r="H518" t="s">
        <v>7</v>
      </c>
      <c r="I518">
        <v>52554.328125</v>
      </c>
      <c r="J518" s="1">
        <v>45716</v>
      </c>
      <c r="K518">
        <v>17</v>
      </c>
      <c r="L518" t="s">
        <v>4</v>
      </c>
      <c r="M518" t="s">
        <v>4</v>
      </c>
      <c r="N518" t="s">
        <v>5</v>
      </c>
      <c r="O518">
        <v>202502</v>
      </c>
      <c r="P518">
        <v>100005</v>
      </c>
      <c r="Q518" t="s">
        <v>12</v>
      </c>
      <c r="R518" t="s">
        <v>12</v>
      </c>
      <c r="S518" t="s">
        <v>12</v>
      </c>
      <c r="T518" t="s">
        <v>12</v>
      </c>
      <c r="U518" t="s">
        <v>12</v>
      </c>
      <c r="V518" t="s">
        <v>12</v>
      </c>
      <c r="W518" t="s">
        <v>12</v>
      </c>
      <c r="X518" t="s">
        <v>12</v>
      </c>
      <c r="Y518" t="s">
        <v>12</v>
      </c>
      <c r="Z518" t="s">
        <v>12</v>
      </c>
      <c r="AA518" t="s">
        <v>12</v>
      </c>
      <c r="AB518" t="s">
        <v>12</v>
      </c>
      <c r="AC518" t="s">
        <v>12</v>
      </c>
      <c r="AD518" t="s">
        <v>12</v>
      </c>
      <c r="AE518" t="s">
        <v>12</v>
      </c>
      <c r="AF518" t="s">
        <v>12</v>
      </c>
      <c r="AG518" t="s">
        <v>12</v>
      </c>
      <c r="AH518" t="s">
        <v>12</v>
      </c>
      <c r="AI518" t="s">
        <v>12</v>
      </c>
      <c r="AJ518" t="s">
        <v>12</v>
      </c>
      <c r="AK518" t="s">
        <v>12</v>
      </c>
      <c r="AL518" t="s">
        <v>12</v>
      </c>
      <c r="AM518" t="s">
        <v>12</v>
      </c>
      <c r="AN518" t="s">
        <v>12</v>
      </c>
      <c r="AO518" t="s">
        <v>12</v>
      </c>
    </row>
    <row r="519" spans="1:41" x14ac:dyDescent="0.35">
      <c r="A519">
        <v>15372172</v>
      </c>
      <c r="B519">
        <v>202601</v>
      </c>
      <c r="C519">
        <v>20546655807</v>
      </c>
      <c r="D519" t="s">
        <v>781</v>
      </c>
      <c r="E519" t="s">
        <v>1</v>
      </c>
      <c r="F519">
        <v>10273192</v>
      </c>
      <c r="G519" t="s">
        <v>92</v>
      </c>
      <c r="H519" t="s">
        <v>135</v>
      </c>
      <c r="I519">
        <v>295801.375</v>
      </c>
      <c r="J519" s="1">
        <v>45979</v>
      </c>
      <c r="K519">
        <v>20</v>
      </c>
      <c r="L519" t="s">
        <v>4</v>
      </c>
      <c r="M519" t="s">
        <v>4</v>
      </c>
      <c r="N519" t="s">
        <v>41</v>
      </c>
      <c r="O519">
        <v>202511</v>
      </c>
      <c r="P519">
        <v>199923.59</v>
      </c>
      <c r="Q519" t="s">
        <v>135</v>
      </c>
      <c r="R519" t="s">
        <v>136</v>
      </c>
      <c r="S519" t="s">
        <v>18</v>
      </c>
      <c r="T519" t="s">
        <v>19</v>
      </c>
      <c r="U519" t="s">
        <v>20</v>
      </c>
      <c r="V519">
        <v>1</v>
      </c>
      <c r="W519" t="s">
        <v>21</v>
      </c>
      <c r="X519" t="s">
        <v>22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12</v>
      </c>
      <c r="AG519" t="s">
        <v>12</v>
      </c>
      <c r="AH519" t="s">
        <v>12</v>
      </c>
      <c r="AI519" t="s">
        <v>12</v>
      </c>
      <c r="AJ519" t="s">
        <v>12</v>
      </c>
      <c r="AK519">
        <v>1</v>
      </c>
      <c r="AL519">
        <v>1</v>
      </c>
      <c r="AM519">
        <v>0.24</v>
      </c>
      <c r="AN519" t="s">
        <v>12</v>
      </c>
      <c r="AO519" t="s">
        <v>12</v>
      </c>
    </row>
    <row r="520" spans="1:41" x14ac:dyDescent="0.35">
      <c r="A520">
        <v>20169562</v>
      </c>
      <c r="B520">
        <v>202506</v>
      </c>
      <c r="C520">
        <v>20600476301</v>
      </c>
      <c r="D520" t="s">
        <v>782</v>
      </c>
      <c r="E520" t="s">
        <v>1</v>
      </c>
      <c r="F520">
        <v>10266373</v>
      </c>
      <c r="G520" t="s">
        <v>268</v>
      </c>
      <c r="H520" t="s">
        <v>783</v>
      </c>
      <c r="I520">
        <v>53623.6484375</v>
      </c>
      <c r="J520" s="1">
        <v>45736</v>
      </c>
      <c r="K520">
        <v>19.5</v>
      </c>
      <c r="L520" t="s">
        <v>37</v>
      </c>
      <c r="M520" t="s">
        <v>37</v>
      </c>
      <c r="N520" t="s">
        <v>98</v>
      </c>
      <c r="O520">
        <v>202503</v>
      </c>
      <c r="P520">
        <v>60003</v>
      </c>
      <c r="Q520" t="s">
        <v>12</v>
      </c>
      <c r="R520" t="s">
        <v>12</v>
      </c>
      <c r="S520" t="s">
        <v>12</v>
      </c>
      <c r="T520" t="s">
        <v>12</v>
      </c>
      <c r="U520" t="s">
        <v>12</v>
      </c>
      <c r="V520" t="s">
        <v>12</v>
      </c>
      <c r="W520" t="s">
        <v>12</v>
      </c>
      <c r="X520" t="s">
        <v>12</v>
      </c>
      <c r="Y520" t="s">
        <v>12</v>
      </c>
      <c r="Z520" t="s">
        <v>12</v>
      </c>
      <c r="AA520" t="s">
        <v>12</v>
      </c>
      <c r="AB520" t="s">
        <v>12</v>
      </c>
      <c r="AC520" t="s">
        <v>12</v>
      </c>
      <c r="AD520" t="s">
        <v>12</v>
      </c>
      <c r="AE520" t="s">
        <v>12</v>
      </c>
      <c r="AF520" t="s">
        <v>12</v>
      </c>
      <c r="AG520" t="s">
        <v>12</v>
      </c>
      <c r="AH520" t="s">
        <v>12</v>
      </c>
      <c r="AI520" t="s">
        <v>12</v>
      </c>
      <c r="AJ520" t="s">
        <v>12</v>
      </c>
      <c r="AK520" t="s">
        <v>12</v>
      </c>
      <c r="AL520" t="s">
        <v>12</v>
      </c>
      <c r="AM520" t="s">
        <v>12</v>
      </c>
      <c r="AN520" t="s">
        <v>12</v>
      </c>
      <c r="AO520" t="s">
        <v>12</v>
      </c>
    </row>
    <row r="521" spans="1:41" x14ac:dyDescent="0.35">
      <c r="A521">
        <v>18911119</v>
      </c>
      <c r="B521">
        <v>202511</v>
      </c>
      <c r="C521">
        <v>10442340493</v>
      </c>
      <c r="D521" t="s">
        <v>784</v>
      </c>
      <c r="E521">
        <v>44234049</v>
      </c>
      <c r="F521">
        <v>10266377</v>
      </c>
      <c r="G521" t="s">
        <v>24</v>
      </c>
      <c r="H521" t="s">
        <v>210</v>
      </c>
      <c r="I521">
        <v>42389.9453125</v>
      </c>
      <c r="J521" s="1">
        <v>45736</v>
      </c>
      <c r="K521">
        <v>19</v>
      </c>
      <c r="L521" t="s">
        <v>4</v>
      </c>
      <c r="M521" t="s">
        <v>75</v>
      </c>
      <c r="N521" t="s">
        <v>26</v>
      </c>
      <c r="O521">
        <v>202503</v>
      </c>
      <c r="P521">
        <v>60003</v>
      </c>
      <c r="Q521" t="s">
        <v>210</v>
      </c>
      <c r="R521" t="s">
        <v>211</v>
      </c>
      <c r="S521" t="s">
        <v>39</v>
      </c>
      <c r="T521" t="s">
        <v>40</v>
      </c>
      <c r="U521" t="s">
        <v>41</v>
      </c>
      <c r="V521">
        <v>1</v>
      </c>
      <c r="W521" t="s">
        <v>10</v>
      </c>
      <c r="X521" t="s">
        <v>59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 t="s">
        <v>12</v>
      </c>
      <c r="AG521" t="s">
        <v>12</v>
      </c>
      <c r="AH521" t="s">
        <v>12</v>
      </c>
      <c r="AI521" t="s">
        <v>12</v>
      </c>
      <c r="AJ521" t="s">
        <v>12</v>
      </c>
      <c r="AK521">
        <v>200000</v>
      </c>
      <c r="AL521">
        <v>0.24679999999999999</v>
      </c>
      <c r="AM521">
        <v>0.2268</v>
      </c>
      <c r="AN521" t="s">
        <v>12</v>
      </c>
      <c r="AO521" t="s">
        <v>12</v>
      </c>
    </row>
    <row r="522" spans="1:41" x14ac:dyDescent="0.35">
      <c r="A522">
        <v>14812630</v>
      </c>
      <c r="B522">
        <v>202503</v>
      </c>
      <c r="C522">
        <v>20600454871</v>
      </c>
      <c r="D522" t="s">
        <v>785</v>
      </c>
      <c r="E522" t="s">
        <v>1</v>
      </c>
      <c r="F522">
        <v>10137873</v>
      </c>
      <c r="G522" t="s">
        <v>2</v>
      </c>
      <c r="H522" t="s">
        <v>265</v>
      </c>
      <c r="I522">
        <v>61012.0078125</v>
      </c>
      <c r="J522" s="1">
        <v>45553</v>
      </c>
      <c r="K522">
        <v>17</v>
      </c>
      <c r="L522" t="s">
        <v>4</v>
      </c>
      <c r="M522" t="s">
        <v>4</v>
      </c>
      <c r="N522" t="s">
        <v>5</v>
      </c>
      <c r="O522">
        <v>202409</v>
      </c>
      <c r="P522">
        <v>100005</v>
      </c>
      <c r="Q522" t="s">
        <v>265</v>
      </c>
      <c r="R522" t="s">
        <v>266</v>
      </c>
      <c r="S522" t="s">
        <v>18</v>
      </c>
      <c r="T522" t="s">
        <v>122</v>
      </c>
      <c r="U522" t="s">
        <v>20</v>
      </c>
      <c r="V522">
        <v>1</v>
      </c>
      <c r="W522" t="s">
        <v>10</v>
      </c>
      <c r="X522" t="s">
        <v>12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12</v>
      </c>
      <c r="AG522" t="s">
        <v>12</v>
      </c>
      <c r="AH522" t="s">
        <v>12</v>
      </c>
      <c r="AI522" t="s">
        <v>12</v>
      </c>
      <c r="AJ522" t="s">
        <v>12</v>
      </c>
      <c r="AK522">
        <v>907606717</v>
      </c>
      <c r="AL522">
        <v>0</v>
      </c>
      <c r="AM522">
        <v>0</v>
      </c>
      <c r="AN522" t="s">
        <v>12</v>
      </c>
      <c r="AO522" t="s">
        <v>12</v>
      </c>
    </row>
    <row r="523" spans="1:41" x14ac:dyDescent="0.35">
      <c r="A523">
        <v>15560725</v>
      </c>
      <c r="B523">
        <v>202602</v>
      </c>
      <c r="C523">
        <v>20601641926</v>
      </c>
      <c r="D523" t="s">
        <v>786</v>
      </c>
      <c r="E523" t="s">
        <v>1</v>
      </c>
      <c r="F523">
        <v>10273578</v>
      </c>
      <c r="G523" t="s">
        <v>28</v>
      </c>
      <c r="H523" t="s">
        <v>260</v>
      </c>
      <c r="I523">
        <v>139783.328125</v>
      </c>
      <c r="J523" s="1">
        <v>45989</v>
      </c>
      <c r="K523">
        <v>19</v>
      </c>
      <c r="L523" t="s">
        <v>4</v>
      </c>
      <c r="M523" t="s">
        <v>4</v>
      </c>
      <c r="N523" t="s">
        <v>26</v>
      </c>
      <c r="O523">
        <v>202511</v>
      </c>
      <c r="P523">
        <v>150007.5</v>
      </c>
      <c r="Q523" t="s">
        <v>260</v>
      </c>
      <c r="R523" t="s">
        <v>261</v>
      </c>
      <c r="S523" t="s">
        <v>18</v>
      </c>
      <c r="T523" t="s">
        <v>19</v>
      </c>
      <c r="U523" t="s">
        <v>20</v>
      </c>
      <c r="V523">
        <v>1</v>
      </c>
      <c r="W523" t="s">
        <v>10</v>
      </c>
      <c r="X523" t="s">
        <v>51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12</v>
      </c>
      <c r="AG523" t="s">
        <v>12</v>
      </c>
      <c r="AH523" t="s">
        <v>12</v>
      </c>
      <c r="AI523" t="s">
        <v>12</v>
      </c>
      <c r="AJ523" t="s">
        <v>12</v>
      </c>
      <c r="AK523">
        <v>1</v>
      </c>
      <c r="AL523">
        <v>1</v>
      </c>
      <c r="AM523" t="s">
        <v>12</v>
      </c>
      <c r="AN523" t="s">
        <v>12</v>
      </c>
      <c r="AO523" t="s">
        <v>12</v>
      </c>
    </row>
    <row r="524" spans="1:41" x14ac:dyDescent="0.35">
      <c r="A524">
        <v>19019122</v>
      </c>
      <c r="B524">
        <v>202502</v>
      </c>
      <c r="C524">
        <v>20609047900</v>
      </c>
      <c r="D524" t="s">
        <v>787</v>
      </c>
      <c r="E524" t="s">
        <v>1</v>
      </c>
      <c r="F524">
        <v>10248236</v>
      </c>
      <c r="G524" t="s">
        <v>65</v>
      </c>
      <c r="H524" t="s">
        <v>159</v>
      </c>
      <c r="I524">
        <v>69839.796875</v>
      </c>
      <c r="J524" s="1">
        <v>45344</v>
      </c>
      <c r="K524">
        <v>14.7</v>
      </c>
      <c r="L524" t="s">
        <v>4</v>
      </c>
      <c r="M524" t="s">
        <v>4</v>
      </c>
      <c r="N524" t="s">
        <v>47</v>
      </c>
      <c r="O524">
        <v>202402</v>
      </c>
      <c r="P524">
        <v>90004.5</v>
      </c>
      <c r="Q524" t="s">
        <v>12</v>
      </c>
      <c r="R524" t="s">
        <v>12</v>
      </c>
      <c r="S524" t="s">
        <v>12</v>
      </c>
      <c r="T524" t="s">
        <v>12</v>
      </c>
      <c r="U524" t="s">
        <v>12</v>
      </c>
      <c r="V524" t="s">
        <v>12</v>
      </c>
      <c r="W524" t="s">
        <v>12</v>
      </c>
      <c r="X524" t="s">
        <v>12</v>
      </c>
      <c r="Y524" t="s">
        <v>12</v>
      </c>
      <c r="Z524" t="s">
        <v>12</v>
      </c>
      <c r="AA524" t="s">
        <v>12</v>
      </c>
      <c r="AB524" t="s">
        <v>12</v>
      </c>
      <c r="AC524" t="s">
        <v>12</v>
      </c>
      <c r="AD524" t="s">
        <v>12</v>
      </c>
      <c r="AE524" t="s">
        <v>12</v>
      </c>
      <c r="AF524" t="s">
        <v>12</v>
      </c>
      <c r="AG524" t="s">
        <v>12</v>
      </c>
      <c r="AH524" t="s">
        <v>12</v>
      </c>
      <c r="AI524" t="s">
        <v>12</v>
      </c>
      <c r="AJ524" t="s">
        <v>12</v>
      </c>
      <c r="AK524" t="s">
        <v>12</v>
      </c>
      <c r="AL524" t="s">
        <v>12</v>
      </c>
      <c r="AM524" t="s">
        <v>12</v>
      </c>
      <c r="AN524" t="s">
        <v>12</v>
      </c>
      <c r="AO524" t="s">
        <v>12</v>
      </c>
    </row>
    <row r="525" spans="1:41" x14ac:dyDescent="0.35">
      <c r="A525">
        <v>18780693</v>
      </c>
      <c r="B525">
        <v>202504</v>
      </c>
      <c r="C525">
        <v>20602162584</v>
      </c>
      <c r="D525" t="s">
        <v>788</v>
      </c>
      <c r="E525" t="s">
        <v>1</v>
      </c>
      <c r="F525">
        <v>10239948</v>
      </c>
      <c r="G525" t="s">
        <v>92</v>
      </c>
      <c r="H525" t="s">
        <v>79</v>
      </c>
      <c r="I525">
        <v>17693.912109375</v>
      </c>
      <c r="J525" s="1">
        <v>45091</v>
      </c>
      <c r="K525">
        <v>20.100000000000001</v>
      </c>
      <c r="L525" t="s">
        <v>4</v>
      </c>
      <c r="M525" t="s">
        <v>4</v>
      </c>
      <c r="N525" t="s">
        <v>41</v>
      </c>
      <c r="O525">
        <v>202306</v>
      </c>
      <c r="P525">
        <v>180009</v>
      </c>
      <c r="Q525" t="s">
        <v>79</v>
      </c>
      <c r="R525" t="s">
        <v>80</v>
      </c>
      <c r="S525" t="s">
        <v>31</v>
      </c>
      <c r="T525" t="s">
        <v>32</v>
      </c>
      <c r="U525" t="s">
        <v>41</v>
      </c>
      <c r="V525">
        <v>1</v>
      </c>
      <c r="W525" t="s">
        <v>10</v>
      </c>
      <c r="X525" t="s">
        <v>12</v>
      </c>
      <c r="Y525">
        <v>1</v>
      </c>
      <c r="Z525">
        <v>1</v>
      </c>
      <c r="AA525">
        <v>0</v>
      </c>
      <c r="AB525">
        <v>0</v>
      </c>
      <c r="AC525">
        <v>1</v>
      </c>
      <c r="AD525">
        <v>0</v>
      </c>
      <c r="AE525">
        <v>0</v>
      </c>
      <c r="AF525" t="s">
        <v>12</v>
      </c>
      <c r="AG525" t="s">
        <v>12</v>
      </c>
      <c r="AH525" t="s">
        <v>12</v>
      </c>
      <c r="AI525" t="s">
        <v>12</v>
      </c>
      <c r="AJ525" t="s">
        <v>12</v>
      </c>
      <c r="AK525">
        <v>130000</v>
      </c>
      <c r="AL525">
        <v>0.25</v>
      </c>
      <c r="AM525">
        <v>0.23200000000000001</v>
      </c>
      <c r="AN525" t="s">
        <v>12</v>
      </c>
      <c r="AO525" t="s">
        <v>12</v>
      </c>
    </row>
    <row r="526" spans="1:41" x14ac:dyDescent="0.35">
      <c r="A526">
        <v>20849943</v>
      </c>
      <c r="B526">
        <v>202507</v>
      </c>
      <c r="C526">
        <v>20515076141</v>
      </c>
      <c r="D526" t="s">
        <v>789</v>
      </c>
      <c r="E526" t="s">
        <v>1</v>
      </c>
      <c r="F526">
        <v>10252914</v>
      </c>
      <c r="G526" t="s">
        <v>45</v>
      </c>
      <c r="H526" t="s">
        <v>246</v>
      </c>
      <c r="I526">
        <v>39594.0078125</v>
      </c>
      <c r="J526" s="1">
        <v>45427</v>
      </c>
      <c r="K526">
        <v>14.9</v>
      </c>
      <c r="L526" t="s">
        <v>37</v>
      </c>
      <c r="M526" t="s">
        <v>37</v>
      </c>
      <c r="N526" t="s">
        <v>47</v>
      </c>
      <c r="O526">
        <v>202405</v>
      </c>
      <c r="P526">
        <v>56802.8</v>
      </c>
      <c r="Q526" t="s">
        <v>246</v>
      </c>
      <c r="R526" t="s">
        <v>247</v>
      </c>
      <c r="S526" t="s">
        <v>18</v>
      </c>
      <c r="T526" t="s">
        <v>122</v>
      </c>
      <c r="U526" t="s">
        <v>70</v>
      </c>
      <c r="V526">
        <v>1</v>
      </c>
      <c r="W526" t="s">
        <v>10</v>
      </c>
      <c r="X526" t="s">
        <v>12</v>
      </c>
      <c r="Y526">
        <v>1</v>
      </c>
      <c r="Z526">
        <v>1</v>
      </c>
      <c r="AA526">
        <v>0</v>
      </c>
      <c r="AB526">
        <v>0</v>
      </c>
      <c r="AC526">
        <v>1</v>
      </c>
      <c r="AD526">
        <v>1</v>
      </c>
      <c r="AE526">
        <v>0</v>
      </c>
      <c r="AF526" t="s">
        <v>12</v>
      </c>
      <c r="AG526" t="s">
        <v>12</v>
      </c>
      <c r="AH526" t="s">
        <v>12</v>
      </c>
      <c r="AI526" t="s">
        <v>12</v>
      </c>
      <c r="AJ526" t="s">
        <v>12</v>
      </c>
      <c r="AK526">
        <v>112000</v>
      </c>
      <c r="AL526">
        <v>0.21</v>
      </c>
      <c r="AM526">
        <v>0.1888</v>
      </c>
      <c r="AN526" t="s">
        <v>12</v>
      </c>
      <c r="AO526" t="s">
        <v>12</v>
      </c>
    </row>
    <row r="527" spans="1:41" x14ac:dyDescent="0.35">
      <c r="A527">
        <v>20740775</v>
      </c>
      <c r="B527">
        <v>202511</v>
      </c>
      <c r="C527">
        <v>20609367165</v>
      </c>
      <c r="D527" t="s">
        <v>790</v>
      </c>
      <c r="E527" t="s">
        <v>1</v>
      </c>
      <c r="F527">
        <v>10250056</v>
      </c>
      <c r="G527" t="s">
        <v>65</v>
      </c>
      <c r="H527" t="s">
        <v>422</v>
      </c>
      <c r="I527">
        <v>27082.859375</v>
      </c>
      <c r="J527" s="1">
        <v>45377</v>
      </c>
      <c r="K527">
        <v>15</v>
      </c>
      <c r="L527" t="s">
        <v>37</v>
      </c>
      <c r="M527" t="s">
        <v>37</v>
      </c>
      <c r="N527" t="s">
        <v>47</v>
      </c>
      <c r="O527">
        <v>202403</v>
      </c>
      <c r="P527">
        <v>60003</v>
      </c>
      <c r="Q527" t="s">
        <v>422</v>
      </c>
      <c r="R527" t="s">
        <v>424</v>
      </c>
      <c r="S527" t="s">
        <v>88</v>
      </c>
      <c r="T527" t="s">
        <v>89</v>
      </c>
      <c r="U527" t="s">
        <v>20</v>
      </c>
      <c r="V527">
        <v>2</v>
      </c>
      <c r="W527" t="s">
        <v>10</v>
      </c>
      <c r="X527" t="s">
        <v>51</v>
      </c>
      <c r="Y527">
        <v>1</v>
      </c>
      <c r="Z527">
        <v>1</v>
      </c>
      <c r="AA527">
        <v>0</v>
      </c>
      <c r="AB527">
        <v>1</v>
      </c>
      <c r="AC527">
        <v>1</v>
      </c>
      <c r="AD527">
        <v>1</v>
      </c>
      <c r="AE527">
        <v>0</v>
      </c>
      <c r="AF527" t="s">
        <v>12</v>
      </c>
      <c r="AG527" t="s">
        <v>12</v>
      </c>
      <c r="AH527" t="s">
        <v>12</v>
      </c>
      <c r="AI527" t="s">
        <v>12</v>
      </c>
      <c r="AJ527" t="s">
        <v>12</v>
      </c>
      <c r="AK527">
        <v>1</v>
      </c>
      <c r="AL527">
        <v>1</v>
      </c>
      <c r="AM527" t="s">
        <v>12</v>
      </c>
      <c r="AN527" t="s">
        <v>12</v>
      </c>
      <c r="AO527" t="s">
        <v>12</v>
      </c>
    </row>
    <row r="528" spans="1:41" x14ac:dyDescent="0.35">
      <c r="A528">
        <v>12656678</v>
      </c>
      <c r="B528">
        <v>202507</v>
      </c>
      <c r="C528">
        <v>10274335624</v>
      </c>
      <c r="D528" t="s">
        <v>791</v>
      </c>
      <c r="E528">
        <v>27433562</v>
      </c>
      <c r="F528">
        <v>10166042</v>
      </c>
      <c r="G528" t="s">
        <v>2</v>
      </c>
      <c r="H528" t="s">
        <v>145</v>
      </c>
      <c r="I528">
        <v>103364.2734375</v>
      </c>
      <c r="J528" s="1">
        <v>45723</v>
      </c>
      <c r="K528">
        <v>16</v>
      </c>
      <c r="L528" t="s">
        <v>4</v>
      </c>
      <c r="M528" t="s">
        <v>4</v>
      </c>
      <c r="N528" t="s">
        <v>5</v>
      </c>
      <c r="O528">
        <v>202503</v>
      </c>
      <c r="P528">
        <v>120006</v>
      </c>
      <c r="Q528" t="s">
        <v>145</v>
      </c>
      <c r="R528" t="s">
        <v>146</v>
      </c>
      <c r="S528" t="s">
        <v>127</v>
      </c>
      <c r="T528" t="s">
        <v>147</v>
      </c>
      <c r="U528" t="s">
        <v>41</v>
      </c>
      <c r="V528">
        <v>1</v>
      </c>
      <c r="W528" t="s">
        <v>90</v>
      </c>
      <c r="X528" t="s">
        <v>12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12</v>
      </c>
      <c r="AG528" t="s">
        <v>12</v>
      </c>
      <c r="AH528" t="s">
        <v>12</v>
      </c>
      <c r="AI528" t="s">
        <v>12</v>
      </c>
      <c r="AJ528" t="s">
        <v>12</v>
      </c>
      <c r="AK528">
        <v>200000</v>
      </c>
      <c r="AL528">
        <v>0.25</v>
      </c>
      <c r="AM528">
        <v>0.23</v>
      </c>
      <c r="AN528" t="s">
        <v>12</v>
      </c>
      <c r="AO528" t="s">
        <v>12</v>
      </c>
    </row>
    <row r="529" spans="1:41" x14ac:dyDescent="0.35">
      <c r="A529">
        <v>13453727</v>
      </c>
      <c r="B529">
        <v>202502</v>
      </c>
      <c r="C529">
        <v>10413007475</v>
      </c>
      <c r="D529" t="s">
        <v>792</v>
      </c>
      <c r="E529">
        <v>41300747</v>
      </c>
      <c r="F529">
        <v>10245094</v>
      </c>
      <c r="G529" t="s">
        <v>92</v>
      </c>
      <c r="H529" t="s">
        <v>159</v>
      </c>
      <c r="I529">
        <v>11772.466796875</v>
      </c>
      <c r="J529" s="1">
        <v>45223</v>
      </c>
      <c r="K529">
        <v>21.4</v>
      </c>
      <c r="L529" t="s">
        <v>4</v>
      </c>
      <c r="M529" t="s">
        <v>4</v>
      </c>
      <c r="N529" t="s">
        <v>41</v>
      </c>
      <c r="O529">
        <v>202310</v>
      </c>
      <c r="P529">
        <v>27501.35</v>
      </c>
      <c r="Q529" t="s">
        <v>257</v>
      </c>
      <c r="R529" t="s">
        <v>258</v>
      </c>
      <c r="S529" t="s">
        <v>49</v>
      </c>
      <c r="T529" t="s">
        <v>50</v>
      </c>
      <c r="U529" t="s">
        <v>70</v>
      </c>
      <c r="V529">
        <v>1</v>
      </c>
      <c r="W529" t="s">
        <v>647</v>
      </c>
      <c r="X529" t="s">
        <v>12</v>
      </c>
      <c r="Y529">
        <v>1</v>
      </c>
      <c r="Z529">
        <v>1</v>
      </c>
      <c r="AA529">
        <v>0</v>
      </c>
      <c r="AB529">
        <v>0</v>
      </c>
      <c r="AC529">
        <v>1</v>
      </c>
      <c r="AD529">
        <v>0</v>
      </c>
      <c r="AE529">
        <v>0</v>
      </c>
      <c r="AF529" t="s">
        <v>12</v>
      </c>
      <c r="AG529" t="s">
        <v>12</v>
      </c>
      <c r="AH529" t="s">
        <v>12</v>
      </c>
      <c r="AI529" t="s">
        <v>12</v>
      </c>
      <c r="AJ529" t="s">
        <v>12</v>
      </c>
      <c r="AK529">
        <v>15000</v>
      </c>
      <c r="AL529">
        <v>0.24</v>
      </c>
      <c r="AM529">
        <v>0.2218</v>
      </c>
      <c r="AN529" t="s">
        <v>12</v>
      </c>
      <c r="AO529" t="s">
        <v>12</v>
      </c>
    </row>
    <row r="530" spans="1:41" x14ac:dyDescent="0.35">
      <c r="A530">
        <v>21111369</v>
      </c>
      <c r="B530">
        <v>202509</v>
      </c>
      <c r="C530">
        <v>20607506508</v>
      </c>
      <c r="D530" t="s">
        <v>793</v>
      </c>
      <c r="E530" t="s">
        <v>1</v>
      </c>
      <c r="F530">
        <v>10259364</v>
      </c>
      <c r="G530" t="s">
        <v>45</v>
      </c>
      <c r="H530" t="s">
        <v>18</v>
      </c>
      <c r="I530">
        <v>66226.0234375</v>
      </c>
      <c r="J530" s="1">
        <v>45526</v>
      </c>
      <c r="K530">
        <v>14.5</v>
      </c>
      <c r="L530" t="s">
        <v>37</v>
      </c>
      <c r="M530" t="s">
        <v>37</v>
      </c>
      <c r="N530" t="s">
        <v>47</v>
      </c>
      <c r="O530">
        <v>202408</v>
      </c>
      <c r="P530">
        <v>90004.5</v>
      </c>
      <c r="Q530" t="s">
        <v>260</v>
      </c>
      <c r="R530" t="s">
        <v>261</v>
      </c>
      <c r="S530" t="s">
        <v>18</v>
      </c>
      <c r="T530" t="s">
        <v>122</v>
      </c>
      <c r="U530" t="s">
        <v>41</v>
      </c>
      <c r="V530">
        <v>1</v>
      </c>
      <c r="W530" t="s">
        <v>10</v>
      </c>
      <c r="X530" t="s">
        <v>11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12</v>
      </c>
      <c r="AG530" t="s">
        <v>12</v>
      </c>
      <c r="AH530" t="s">
        <v>12</v>
      </c>
      <c r="AI530" t="s">
        <v>12</v>
      </c>
      <c r="AJ530" t="s">
        <v>12</v>
      </c>
      <c r="AK530">
        <v>400000</v>
      </c>
      <c r="AL530">
        <v>0.2</v>
      </c>
      <c r="AM530">
        <v>0.18</v>
      </c>
      <c r="AN530" t="s">
        <v>12</v>
      </c>
      <c r="AO530" t="s">
        <v>12</v>
      </c>
    </row>
    <row r="531" spans="1:41" x14ac:dyDescent="0.35">
      <c r="A531">
        <v>17120512</v>
      </c>
      <c r="B531">
        <v>202507</v>
      </c>
      <c r="C531">
        <v>20549219269</v>
      </c>
      <c r="D531" t="s">
        <v>794</v>
      </c>
      <c r="E531" t="s">
        <v>1</v>
      </c>
      <c r="F531">
        <v>10253918</v>
      </c>
      <c r="G531" t="s">
        <v>45</v>
      </c>
      <c r="H531" t="s">
        <v>294</v>
      </c>
      <c r="I531">
        <v>3629.12573242188</v>
      </c>
      <c r="J531" s="1">
        <v>45440</v>
      </c>
      <c r="K531">
        <v>14</v>
      </c>
      <c r="L531" t="s">
        <v>4</v>
      </c>
      <c r="M531" t="s">
        <v>4</v>
      </c>
      <c r="N531" t="s">
        <v>47</v>
      </c>
      <c r="O531">
        <v>202405</v>
      </c>
      <c r="P531">
        <v>90004.5</v>
      </c>
      <c r="Q531" t="s">
        <v>294</v>
      </c>
      <c r="R531" t="s">
        <v>295</v>
      </c>
      <c r="S531" t="s">
        <v>7</v>
      </c>
      <c r="T531" t="s">
        <v>8</v>
      </c>
      <c r="U531" t="s">
        <v>20</v>
      </c>
      <c r="V531">
        <v>1</v>
      </c>
      <c r="W531" t="s">
        <v>10</v>
      </c>
      <c r="X531" t="s">
        <v>12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12</v>
      </c>
      <c r="AG531" t="s">
        <v>12</v>
      </c>
      <c r="AH531" t="s">
        <v>12</v>
      </c>
      <c r="AI531" t="s">
        <v>12</v>
      </c>
      <c r="AJ531" t="s">
        <v>12</v>
      </c>
      <c r="AK531">
        <v>1</v>
      </c>
      <c r="AL531">
        <v>0.18779999999999999</v>
      </c>
      <c r="AM531" t="s">
        <v>12</v>
      </c>
      <c r="AN531" t="s">
        <v>12</v>
      </c>
      <c r="AO531" t="s">
        <v>12</v>
      </c>
    </row>
    <row r="532" spans="1:41" x14ac:dyDescent="0.35">
      <c r="A532">
        <v>16561203</v>
      </c>
      <c r="B532">
        <v>202602</v>
      </c>
      <c r="C532">
        <v>20605638768</v>
      </c>
      <c r="D532" t="s">
        <v>795</v>
      </c>
      <c r="E532" t="s">
        <v>1</v>
      </c>
      <c r="F532">
        <v>10253329</v>
      </c>
      <c r="G532" t="s">
        <v>45</v>
      </c>
      <c r="H532" t="s">
        <v>25</v>
      </c>
      <c r="I532">
        <v>3944.58862304688</v>
      </c>
      <c r="J532" s="1">
        <v>45434</v>
      </c>
      <c r="K532">
        <v>16.5</v>
      </c>
      <c r="L532" t="s">
        <v>37</v>
      </c>
      <c r="M532" t="s">
        <v>37</v>
      </c>
      <c r="N532" t="s">
        <v>47</v>
      </c>
      <c r="O532">
        <v>202405</v>
      </c>
      <c r="P532">
        <v>90004.5</v>
      </c>
      <c r="Q532" t="s">
        <v>25</v>
      </c>
      <c r="R532" t="s">
        <v>279</v>
      </c>
      <c r="S532" t="s">
        <v>7</v>
      </c>
      <c r="T532" t="s">
        <v>8</v>
      </c>
      <c r="U532" t="s">
        <v>95</v>
      </c>
      <c r="V532">
        <v>1</v>
      </c>
      <c r="W532" t="s">
        <v>10</v>
      </c>
      <c r="X532" t="s">
        <v>22</v>
      </c>
      <c r="Y532">
        <v>1</v>
      </c>
      <c r="Z532">
        <v>1</v>
      </c>
      <c r="AA532">
        <v>0</v>
      </c>
      <c r="AB532">
        <v>0</v>
      </c>
      <c r="AC532">
        <v>1</v>
      </c>
      <c r="AD532">
        <v>1</v>
      </c>
      <c r="AE532">
        <v>0</v>
      </c>
      <c r="AF532" t="s">
        <v>12</v>
      </c>
      <c r="AG532" t="s">
        <v>12</v>
      </c>
      <c r="AH532" t="s">
        <v>12</v>
      </c>
      <c r="AI532" t="s">
        <v>12</v>
      </c>
      <c r="AJ532" t="s">
        <v>12</v>
      </c>
      <c r="AK532">
        <v>250000</v>
      </c>
      <c r="AL532">
        <v>0.26090000000000002</v>
      </c>
      <c r="AM532">
        <v>0.2409</v>
      </c>
      <c r="AN532" t="s">
        <v>12</v>
      </c>
      <c r="AO532" t="s">
        <v>12</v>
      </c>
    </row>
    <row r="533" spans="1:41" x14ac:dyDescent="0.35">
      <c r="A533">
        <v>14213812</v>
      </c>
      <c r="B533">
        <v>202602</v>
      </c>
      <c r="C533">
        <v>20564341518</v>
      </c>
      <c r="D533" t="s">
        <v>796</v>
      </c>
      <c r="E533" t="s">
        <v>1</v>
      </c>
      <c r="F533">
        <v>10271887</v>
      </c>
      <c r="G533" t="s">
        <v>28</v>
      </c>
      <c r="H533" t="s">
        <v>273</v>
      </c>
      <c r="I533">
        <v>280681.78125</v>
      </c>
      <c r="J533" s="1">
        <v>45930</v>
      </c>
      <c r="K533">
        <v>19.420000000000002</v>
      </c>
      <c r="L533" t="s">
        <v>4</v>
      </c>
      <c r="M533" t="s">
        <v>4</v>
      </c>
      <c r="N533" t="s">
        <v>26</v>
      </c>
      <c r="O533">
        <v>202509</v>
      </c>
      <c r="P533">
        <v>350017.5</v>
      </c>
      <c r="Q533" t="s">
        <v>273</v>
      </c>
      <c r="R533" t="s">
        <v>274</v>
      </c>
      <c r="S533" t="s">
        <v>39</v>
      </c>
      <c r="T533" t="s">
        <v>40</v>
      </c>
      <c r="U533" t="s">
        <v>63</v>
      </c>
      <c r="V533">
        <v>1</v>
      </c>
      <c r="W533" t="s">
        <v>10</v>
      </c>
      <c r="X533" t="s">
        <v>11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12</v>
      </c>
      <c r="AG533" t="s">
        <v>12</v>
      </c>
      <c r="AH533" t="s">
        <v>12</v>
      </c>
      <c r="AI533" t="s">
        <v>12</v>
      </c>
      <c r="AJ533" t="s">
        <v>12</v>
      </c>
      <c r="AK533">
        <v>500000</v>
      </c>
      <c r="AL533">
        <v>0.21</v>
      </c>
      <c r="AM533">
        <v>0.19</v>
      </c>
      <c r="AN533" t="s">
        <v>12</v>
      </c>
      <c r="AO533" t="s">
        <v>12</v>
      </c>
    </row>
    <row r="534" spans="1:41" x14ac:dyDescent="0.35">
      <c r="A534">
        <v>21495163</v>
      </c>
      <c r="B534">
        <v>202504</v>
      </c>
      <c r="C534">
        <v>20603617895</v>
      </c>
      <c r="D534" t="s">
        <v>797</v>
      </c>
      <c r="E534" t="s">
        <v>1</v>
      </c>
      <c r="F534">
        <v>10265716</v>
      </c>
      <c r="G534" t="s">
        <v>73</v>
      </c>
      <c r="H534" t="s">
        <v>798</v>
      </c>
      <c r="I534">
        <v>241780.046875</v>
      </c>
      <c r="J534" s="1">
        <v>45714</v>
      </c>
      <c r="K534">
        <v>16</v>
      </c>
      <c r="L534" t="s">
        <v>4</v>
      </c>
      <c r="M534" t="s">
        <v>75</v>
      </c>
      <c r="N534" t="s">
        <v>20</v>
      </c>
      <c r="O534">
        <v>202502</v>
      </c>
      <c r="P534">
        <v>250012.5</v>
      </c>
      <c r="Q534" t="s">
        <v>12</v>
      </c>
      <c r="R534" t="s">
        <v>12</v>
      </c>
      <c r="S534" t="s">
        <v>12</v>
      </c>
      <c r="T534" t="s">
        <v>12</v>
      </c>
      <c r="U534" t="s">
        <v>12</v>
      </c>
      <c r="V534" t="s">
        <v>12</v>
      </c>
      <c r="W534" t="s">
        <v>12</v>
      </c>
      <c r="X534" t="s">
        <v>12</v>
      </c>
      <c r="Y534" t="s">
        <v>12</v>
      </c>
      <c r="Z534" t="s">
        <v>12</v>
      </c>
      <c r="AA534" t="s">
        <v>12</v>
      </c>
      <c r="AB534" t="s">
        <v>12</v>
      </c>
      <c r="AC534" t="s">
        <v>12</v>
      </c>
      <c r="AD534" t="s">
        <v>12</v>
      </c>
      <c r="AE534" t="s">
        <v>12</v>
      </c>
      <c r="AF534" t="s">
        <v>12</v>
      </c>
      <c r="AG534" t="s">
        <v>12</v>
      </c>
      <c r="AH534" t="s">
        <v>12</v>
      </c>
      <c r="AI534" t="s">
        <v>12</v>
      </c>
      <c r="AJ534" t="s">
        <v>12</v>
      </c>
      <c r="AK534" t="s">
        <v>12</v>
      </c>
      <c r="AL534" t="s">
        <v>12</v>
      </c>
      <c r="AM534" t="s">
        <v>12</v>
      </c>
      <c r="AN534" t="s">
        <v>12</v>
      </c>
      <c r="AO534" t="s">
        <v>12</v>
      </c>
    </row>
    <row r="535" spans="1:41" x14ac:dyDescent="0.35">
      <c r="A535">
        <v>4789509</v>
      </c>
      <c r="B535">
        <v>202504</v>
      </c>
      <c r="C535">
        <v>10077493901</v>
      </c>
      <c r="D535" t="s">
        <v>799</v>
      </c>
      <c r="E535">
        <v>7749390</v>
      </c>
      <c r="F535">
        <v>10147675</v>
      </c>
      <c r="G535" t="s">
        <v>2</v>
      </c>
      <c r="H535" t="s">
        <v>800</v>
      </c>
      <c r="I535">
        <v>58310.453125</v>
      </c>
      <c r="J535" s="1">
        <v>45812</v>
      </c>
      <c r="K535">
        <v>18.78</v>
      </c>
      <c r="L535" t="s">
        <v>4</v>
      </c>
      <c r="M535" t="s">
        <v>4</v>
      </c>
      <c r="N535" t="s">
        <v>5</v>
      </c>
      <c r="O535">
        <v>202506</v>
      </c>
      <c r="P535">
        <v>100005</v>
      </c>
      <c r="Q535" t="s">
        <v>500</v>
      </c>
      <c r="R535" t="s">
        <v>501</v>
      </c>
      <c r="S535" t="s">
        <v>31</v>
      </c>
      <c r="T535" t="s">
        <v>32</v>
      </c>
      <c r="U535" t="s">
        <v>20</v>
      </c>
      <c r="V535">
        <v>1</v>
      </c>
      <c r="W535" t="s">
        <v>10</v>
      </c>
      <c r="X535" t="s">
        <v>12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 t="s">
        <v>12</v>
      </c>
      <c r="AG535" t="s">
        <v>12</v>
      </c>
      <c r="AH535" t="s">
        <v>12</v>
      </c>
      <c r="AI535" t="s">
        <v>12</v>
      </c>
      <c r="AJ535" t="s">
        <v>12</v>
      </c>
      <c r="AK535">
        <v>0</v>
      </c>
      <c r="AL535">
        <v>0</v>
      </c>
      <c r="AM535">
        <v>0</v>
      </c>
      <c r="AN535" t="s">
        <v>12</v>
      </c>
      <c r="AO535" t="s">
        <v>12</v>
      </c>
    </row>
    <row r="536" spans="1:41" x14ac:dyDescent="0.35">
      <c r="A536">
        <v>19550770</v>
      </c>
      <c r="B536">
        <v>202601</v>
      </c>
      <c r="C536">
        <v>20607585173</v>
      </c>
      <c r="D536" t="s">
        <v>801</v>
      </c>
      <c r="E536" t="s">
        <v>1</v>
      </c>
      <c r="F536">
        <v>10269257</v>
      </c>
      <c r="G536" t="s">
        <v>100</v>
      </c>
      <c r="H536" t="s">
        <v>159</v>
      </c>
      <c r="I536">
        <v>45153.484375</v>
      </c>
      <c r="J536" s="1">
        <v>45838</v>
      </c>
      <c r="K536">
        <v>15.9</v>
      </c>
      <c r="L536" t="s">
        <v>37</v>
      </c>
      <c r="M536" t="s">
        <v>37</v>
      </c>
      <c r="N536" t="s">
        <v>102</v>
      </c>
      <c r="O536">
        <v>202506</v>
      </c>
      <c r="P536">
        <v>65303.25</v>
      </c>
      <c r="Q536" t="s">
        <v>12</v>
      </c>
      <c r="R536" t="s">
        <v>12</v>
      </c>
      <c r="S536" t="s">
        <v>12</v>
      </c>
      <c r="T536" t="s">
        <v>12</v>
      </c>
      <c r="U536" t="s">
        <v>12</v>
      </c>
      <c r="V536" t="s">
        <v>12</v>
      </c>
      <c r="W536" t="s">
        <v>12</v>
      </c>
      <c r="X536" t="s">
        <v>12</v>
      </c>
      <c r="Y536" t="s">
        <v>12</v>
      </c>
      <c r="Z536" t="s">
        <v>12</v>
      </c>
      <c r="AA536" t="s">
        <v>12</v>
      </c>
      <c r="AB536" t="s">
        <v>12</v>
      </c>
      <c r="AC536" t="s">
        <v>12</v>
      </c>
      <c r="AD536" t="s">
        <v>12</v>
      </c>
      <c r="AE536" t="s">
        <v>12</v>
      </c>
      <c r="AF536" t="s">
        <v>12</v>
      </c>
      <c r="AG536" t="s">
        <v>12</v>
      </c>
      <c r="AH536" t="s">
        <v>12</v>
      </c>
      <c r="AI536" t="s">
        <v>12</v>
      </c>
      <c r="AJ536" t="s">
        <v>12</v>
      </c>
      <c r="AK536" t="s">
        <v>12</v>
      </c>
      <c r="AL536" t="s">
        <v>12</v>
      </c>
      <c r="AM536" t="s">
        <v>12</v>
      </c>
      <c r="AN536" t="s">
        <v>12</v>
      </c>
      <c r="AO536" t="s">
        <v>12</v>
      </c>
    </row>
    <row r="537" spans="1:41" x14ac:dyDescent="0.35">
      <c r="A537">
        <v>18323148</v>
      </c>
      <c r="B537">
        <v>202508</v>
      </c>
      <c r="C537">
        <v>20600049900</v>
      </c>
      <c r="D537" t="s">
        <v>802</v>
      </c>
      <c r="E537" t="s">
        <v>1</v>
      </c>
      <c r="F537">
        <v>10259727</v>
      </c>
      <c r="G537" t="s">
        <v>65</v>
      </c>
      <c r="H537" t="s">
        <v>54</v>
      </c>
      <c r="I537">
        <v>73288.9609375</v>
      </c>
      <c r="J537" s="1">
        <v>45532</v>
      </c>
      <c r="K537">
        <v>15</v>
      </c>
      <c r="L537" t="s">
        <v>4</v>
      </c>
      <c r="M537" t="s">
        <v>4</v>
      </c>
      <c r="N537" t="s">
        <v>47</v>
      </c>
      <c r="O537">
        <v>202408</v>
      </c>
      <c r="P537">
        <v>90004.5</v>
      </c>
      <c r="Q537" t="s">
        <v>54</v>
      </c>
      <c r="R537" t="s">
        <v>55</v>
      </c>
      <c r="S537" t="s">
        <v>31</v>
      </c>
      <c r="T537" t="s">
        <v>32</v>
      </c>
      <c r="U537" t="s">
        <v>41</v>
      </c>
      <c r="V537">
        <v>1</v>
      </c>
      <c r="W537" t="s">
        <v>10</v>
      </c>
      <c r="X537" t="s">
        <v>12</v>
      </c>
      <c r="Y537">
        <v>1</v>
      </c>
      <c r="Z537">
        <v>1</v>
      </c>
      <c r="AA537">
        <v>0</v>
      </c>
      <c r="AB537">
        <v>1</v>
      </c>
      <c r="AC537">
        <v>1</v>
      </c>
      <c r="AD537">
        <v>1</v>
      </c>
      <c r="AE537">
        <v>0</v>
      </c>
      <c r="AF537" t="s">
        <v>12</v>
      </c>
      <c r="AG537" t="s">
        <v>12</v>
      </c>
      <c r="AH537" t="s">
        <v>12</v>
      </c>
      <c r="AI537" t="s">
        <v>12</v>
      </c>
      <c r="AJ537" t="s">
        <v>12</v>
      </c>
      <c r="AK537">
        <v>86400</v>
      </c>
      <c r="AL537">
        <v>0.27</v>
      </c>
      <c r="AM537">
        <v>0.25</v>
      </c>
      <c r="AN537" t="s">
        <v>12</v>
      </c>
      <c r="AO537" t="s">
        <v>12</v>
      </c>
    </row>
    <row r="538" spans="1:41" x14ac:dyDescent="0.35">
      <c r="A538">
        <v>16449196</v>
      </c>
      <c r="B538">
        <v>202509</v>
      </c>
      <c r="C538">
        <v>10181678955</v>
      </c>
      <c r="D538" t="s">
        <v>803</v>
      </c>
      <c r="E538">
        <v>18167895</v>
      </c>
      <c r="F538">
        <v>10253870</v>
      </c>
      <c r="G538" t="s">
        <v>53</v>
      </c>
      <c r="H538" t="s">
        <v>105</v>
      </c>
      <c r="I538">
        <v>55684.234375</v>
      </c>
      <c r="J538" s="1">
        <v>45440</v>
      </c>
      <c r="K538">
        <v>15.5</v>
      </c>
      <c r="L538" t="s">
        <v>4</v>
      </c>
      <c r="M538" t="s">
        <v>4</v>
      </c>
      <c r="N538" t="s">
        <v>47</v>
      </c>
      <c r="O538">
        <v>202405</v>
      </c>
      <c r="P538">
        <v>90004.5</v>
      </c>
      <c r="Q538" t="s">
        <v>105</v>
      </c>
      <c r="R538" t="s">
        <v>106</v>
      </c>
      <c r="S538" t="s">
        <v>88</v>
      </c>
      <c r="T538" t="s">
        <v>89</v>
      </c>
      <c r="U538" t="s">
        <v>41</v>
      </c>
      <c r="V538">
        <v>2</v>
      </c>
      <c r="W538" t="s">
        <v>90</v>
      </c>
      <c r="X538" t="s">
        <v>59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12</v>
      </c>
      <c r="AG538" t="s">
        <v>12</v>
      </c>
      <c r="AH538" t="s">
        <v>12</v>
      </c>
      <c r="AI538" t="s">
        <v>12</v>
      </c>
      <c r="AJ538" t="s">
        <v>12</v>
      </c>
      <c r="AK538">
        <v>200000</v>
      </c>
      <c r="AL538">
        <v>0.26</v>
      </c>
      <c r="AM538">
        <v>0.24</v>
      </c>
      <c r="AN538" t="s">
        <v>12</v>
      </c>
      <c r="AO538" t="s">
        <v>12</v>
      </c>
    </row>
    <row r="539" spans="1:41" x14ac:dyDescent="0.35">
      <c r="A539">
        <v>21007767</v>
      </c>
      <c r="B539">
        <v>202504</v>
      </c>
      <c r="C539">
        <v>20609015358</v>
      </c>
      <c r="D539" t="s">
        <v>804</v>
      </c>
      <c r="E539" t="s">
        <v>1</v>
      </c>
      <c r="F539">
        <v>10257438</v>
      </c>
      <c r="G539" t="s">
        <v>73</v>
      </c>
      <c r="H539" t="s">
        <v>244</v>
      </c>
      <c r="I539">
        <v>120130.7890625</v>
      </c>
      <c r="J539" s="1">
        <v>45490</v>
      </c>
      <c r="K539">
        <v>20</v>
      </c>
      <c r="L539" t="s">
        <v>4</v>
      </c>
      <c r="M539" t="s">
        <v>4</v>
      </c>
      <c r="N539" t="s">
        <v>12</v>
      </c>
      <c r="O539">
        <v>202407</v>
      </c>
      <c r="P539">
        <v>180009</v>
      </c>
      <c r="Q539" t="s">
        <v>244</v>
      </c>
      <c r="R539" t="s">
        <v>297</v>
      </c>
      <c r="S539" t="s">
        <v>7</v>
      </c>
      <c r="T539" t="s">
        <v>8</v>
      </c>
      <c r="U539" t="s">
        <v>41</v>
      </c>
      <c r="V539">
        <v>1</v>
      </c>
      <c r="W539" t="s">
        <v>10</v>
      </c>
      <c r="X539" t="s">
        <v>12</v>
      </c>
      <c r="Y539">
        <v>1</v>
      </c>
      <c r="Z539">
        <v>1</v>
      </c>
      <c r="AA539">
        <v>0</v>
      </c>
      <c r="AB539">
        <v>0</v>
      </c>
      <c r="AC539">
        <v>1</v>
      </c>
      <c r="AD539">
        <v>0</v>
      </c>
      <c r="AE539">
        <v>0</v>
      </c>
      <c r="AF539" t="s">
        <v>12</v>
      </c>
      <c r="AG539" t="s">
        <v>12</v>
      </c>
      <c r="AH539" t="s">
        <v>12</v>
      </c>
      <c r="AI539" t="s">
        <v>12</v>
      </c>
      <c r="AJ539" t="s">
        <v>12</v>
      </c>
      <c r="AK539">
        <v>122776</v>
      </c>
      <c r="AL539">
        <v>0.24199999999999999</v>
      </c>
      <c r="AM539">
        <v>0.222</v>
      </c>
      <c r="AN539" t="s">
        <v>12</v>
      </c>
      <c r="AO539" t="s">
        <v>12</v>
      </c>
    </row>
    <row r="540" spans="1:41" x14ac:dyDescent="0.35">
      <c r="A540">
        <v>18609017</v>
      </c>
      <c r="B540">
        <v>202508</v>
      </c>
      <c r="C540">
        <v>20536763831</v>
      </c>
      <c r="D540" t="s">
        <v>805</v>
      </c>
      <c r="E540" t="s">
        <v>1</v>
      </c>
      <c r="F540">
        <v>10253042</v>
      </c>
      <c r="G540" t="s">
        <v>53</v>
      </c>
      <c r="H540" t="s">
        <v>217</v>
      </c>
      <c r="I540">
        <v>13604.1982421875</v>
      </c>
      <c r="J540" s="1">
        <v>45429</v>
      </c>
      <c r="K540">
        <v>16</v>
      </c>
      <c r="L540" t="s">
        <v>4</v>
      </c>
      <c r="M540" t="s">
        <v>4</v>
      </c>
      <c r="N540" t="s">
        <v>47</v>
      </c>
      <c r="O540">
        <v>202405</v>
      </c>
      <c r="P540">
        <v>17000.849999999999</v>
      </c>
      <c r="Q540" t="s">
        <v>217</v>
      </c>
      <c r="R540" t="s">
        <v>218</v>
      </c>
      <c r="S540" t="s">
        <v>18</v>
      </c>
      <c r="T540" t="s">
        <v>122</v>
      </c>
      <c r="U540" t="s">
        <v>20</v>
      </c>
      <c r="V540">
        <v>1</v>
      </c>
      <c r="W540" t="s">
        <v>10</v>
      </c>
      <c r="X540" t="s">
        <v>12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12</v>
      </c>
      <c r="AG540" t="s">
        <v>12</v>
      </c>
      <c r="AH540" t="s">
        <v>12</v>
      </c>
      <c r="AI540" t="s">
        <v>12</v>
      </c>
      <c r="AJ540" t="s">
        <v>12</v>
      </c>
      <c r="AK540">
        <v>1</v>
      </c>
      <c r="AL540">
        <v>0.30830000000000002</v>
      </c>
      <c r="AM540" t="s">
        <v>12</v>
      </c>
      <c r="AN540" t="s">
        <v>12</v>
      </c>
      <c r="AO540" t="s">
        <v>12</v>
      </c>
    </row>
    <row r="541" spans="1:41" x14ac:dyDescent="0.35">
      <c r="A541">
        <v>21095443</v>
      </c>
      <c r="B541">
        <v>202503</v>
      </c>
      <c r="C541">
        <v>20606294205</v>
      </c>
      <c r="D541" t="s">
        <v>806</v>
      </c>
      <c r="E541" t="s">
        <v>1</v>
      </c>
      <c r="F541">
        <v>10259020</v>
      </c>
      <c r="G541" t="s">
        <v>65</v>
      </c>
      <c r="H541" t="s">
        <v>190</v>
      </c>
      <c r="I541">
        <v>45000.0234375</v>
      </c>
      <c r="J541" s="1">
        <v>45519</v>
      </c>
      <c r="K541">
        <v>14.5</v>
      </c>
      <c r="L541" t="s">
        <v>37</v>
      </c>
      <c r="M541" t="s">
        <v>37</v>
      </c>
      <c r="N541" t="s">
        <v>47</v>
      </c>
      <c r="O541">
        <v>202408</v>
      </c>
      <c r="P541">
        <v>50002.5</v>
      </c>
      <c r="Q541" t="s">
        <v>12</v>
      </c>
      <c r="R541" t="s">
        <v>12</v>
      </c>
      <c r="S541" t="s">
        <v>12</v>
      </c>
      <c r="T541" t="s">
        <v>12</v>
      </c>
      <c r="U541" t="s">
        <v>12</v>
      </c>
      <c r="V541" t="s">
        <v>12</v>
      </c>
      <c r="W541" t="s">
        <v>12</v>
      </c>
      <c r="X541" t="s">
        <v>12</v>
      </c>
      <c r="Y541" t="s">
        <v>12</v>
      </c>
      <c r="Z541" t="s">
        <v>12</v>
      </c>
      <c r="AA541" t="s">
        <v>12</v>
      </c>
      <c r="AB541" t="s">
        <v>12</v>
      </c>
      <c r="AC541" t="s">
        <v>12</v>
      </c>
      <c r="AD541" t="s">
        <v>12</v>
      </c>
      <c r="AE541" t="s">
        <v>12</v>
      </c>
      <c r="AF541" t="s">
        <v>12</v>
      </c>
      <c r="AG541" t="s">
        <v>12</v>
      </c>
      <c r="AH541" t="s">
        <v>12</v>
      </c>
      <c r="AI541" t="s">
        <v>12</v>
      </c>
      <c r="AJ541" t="s">
        <v>12</v>
      </c>
      <c r="AK541" t="s">
        <v>12</v>
      </c>
      <c r="AL541" t="s">
        <v>12</v>
      </c>
      <c r="AM541" t="s">
        <v>12</v>
      </c>
      <c r="AN541" t="s">
        <v>12</v>
      </c>
      <c r="AO541" t="s">
        <v>12</v>
      </c>
    </row>
    <row r="542" spans="1:41" x14ac:dyDescent="0.35">
      <c r="A542">
        <v>18080671</v>
      </c>
      <c r="B542">
        <v>202508</v>
      </c>
      <c r="C542">
        <v>20608341383</v>
      </c>
      <c r="D542" t="s">
        <v>807</v>
      </c>
      <c r="E542" t="s">
        <v>1</v>
      </c>
      <c r="F542">
        <v>10260177</v>
      </c>
      <c r="G542" t="s">
        <v>65</v>
      </c>
      <c r="H542" t="s">
        <v>36</v>
      </c>
      <c r="I542">
        <v>73294.5859375</v>
      </c>
      <c r="J542" s="1">
        <v>45546</v>
      </c>
      <c r="K542">
        <v>14.8</v>
      </c>
      <c r="L542" t="s">
        <v>37</v>
      </c>
      <c r="M542" t="s">
        <v>37</v>
      </c>
      <c r="N542" t="s">
        <v>47</v>
      </c>
      <c r="O542">
        <v>202409</v>
      </c>
      <c r="P542">
        <v>90004.5</v>
      </c>
      <c r="Q542" t="s">
        <v>36</v>
      </c>
      <c r="R542" t="s">
        <v>38</v>
      </c>
      <c r="S542" t="s">
        <v>39</v>
      </c>
      <c r="T542" t="s">
        <v>40</v>
      </c>
      <c r="U542" t="s">
        <v>41</v>
      </c>
      <c r="V542">
        <v>1</v>
      </c>
      <c r="W542" t="s">
        <v>10</v>
      </c>
      <c r="X542" t="s">
        <v>12</v>
      </c>
      <c r="Y542">
        <v>1</v>
      </c>
      <c r="Z542">
        <v>1</v>
      </c>
      <c r="AA542">
        <v>0</v>
      </c>
      <c r="AB542">
        <v>0</v>
      </c>
      <c r="AC542">
        <v>1</v>
      </c>
      <c r="AD542">
        <v>1</v>
      </c>
      <c r="AE542">
        <v>0</v>
      </c>
      <c r="AF542" t="s">
        <v>12</v>
      </c>
      <c r="AG542" t="s">
        <v>12</v>
      </c>
      <c r="AH542" t="s">
        <v>12</v>
      </c>
      <c r="AI542" t="s">
        <v>12</v>
      </c>
      <c r="AJ542" t="s">
        <v>12</v>
      </c>
      <c r="AK542">
        <v>250000</v>
      </c>
      <c r="AL542">
        <v>0.21</v>
      </c>
      <c r="AM542">
        <v>0.19</v>
      </c>
      <c r="AN542" t="s">
        <v>12</v>
      </c>
      <c r="AO542" t="s">
        <v>12</v>
      </c>
    </row>
    <row r="543" spans="1:41" x14ac:dyDescent="0.35">
      <c r="A543">
        <v>20125424</v>
      </c>
      <c r="B543">
        <v>202509</v>
      </c>
      <c r="C543">
        <v>20601027438</v>
      </c>
      <c r="D543" t="s">
        <v>808</v>
      </c>
      <c r="E543" t="s">
        <v>1</v>
      </c>
      <c r="F543">
        <v>10268668</v>
      </c>
      <c r="G543" t="s">
        <v>24</v>
      </c>
      <c r="H543" t="s">
        <v>159</v>
      </c>
      <c r="I543">
        <v>51088.671875</v>
      </c>
      <c r="J543" s="1">
        <v>45821</v>
      </c>
      <c r="K543">
        <v>19</v>
      </c>
      <c r="L543" t="s">
        <v>37</v>
      </c>
      <c r="M543" t="s">
        <v>37</v>
      </c>
      <c r="N543" t="s">
        <v>98</v>
      </c>
      <c r="O543">
        <v>202506</v>
      </c>
      <c r="P543">
        <v>60003</v>
      </c>
      <c r="Q543" t="s">
        <v>12</v>
      </c>
      <c r="R543" t="s">
        <v>12</v>
      </c>
      <c r="S543" t="s">
        <v>12</v>
      </c>
      <c r="T543" t="s">
        <v>12</v>
      </c>
      <c r="U543" t="s">
        <v>12</v>
      </c>
      <c r="V543" t="s">
        <v>12</v>
      </c>
      <c r="W543" t="s">
        <v>12</v>
      </c>
      <c r="X543" t="s">
        <v>12</v>
      </c>
      <c r="Y543" t="s">
        <v>12</v>
      </c>
      <c r="Z543" t="s">
        <v>12</v>
      </c>
      <c r="AA543" t="s">
        <v>12</v>
      </c>
      <c r="AB543" t="s">
        <v>12</v>
      </c>
      <c r="AC543" t="s">
        <v>12</v>
      </c>
      <c r="AD543" t="s">
        <v>12</v>
      </c>
      <c r="AE543" t="s">
        <v>12</v>
      </c>
      <c r="AF543" t="s">
        <v>12</v>
      </c>
      <c r="AG543" t="s">
        <v>12</v>
      </c>
      <c r="AH543" t="s">
        <v>12</v>
      </c>
      <c r="AI543" t="s">
        <v>12</v>
      </c>
      <c r="AJ543" t="s">
        <v>12</v>
      </c>
      <c r="AK543" t="s">
        <v>12</v>
      </c>
      <c r="AL543" t="s">
        <v>12</v>
      </c>
      <c r="AM543" t="s">
        <v>12</v>
      </c>
      <c r="AN543" t="s">
        <v>12</v>
      </c>
      <c r="AO543" t="s">
        <v>12</v>
      </c>
    </row>
    <row r="544" spans="1:41" x14ac:dyDescent="0.35">
      <c r="A544">
        <v>21524055</v>
      </c>
      <c r="B544">
        <v>202506</v>
      </c>
      <c r="C544">
        <v>20604570787</v>
      </c>
      <c r="D544" t="s">
        <v>809</v>
      </c>
      <c r="E544" t="s">
        <v>1</v>
      </c>
      <c r="F544">
        <v>10266098</v>
      </c>
      <c r="G544" t="s">
        <v>28</v>
      </c>
      <c r="H544" t="s">
        <v>159</v>
      </c>
      <c r="I544">
        <v>122465.609375</v>
      </c>
      <c r="J544" s="1">
        <v>45728</v>
      </c>
      <c r="K544">
        <v>18</v>
      </c>
      <c r="L544" t="s">
        <v>4</v>
      </c>
      <c r="M544" t="s">
        <v>75</v>
      </c>
      <c r="N544" t="s">
        <v>26</v>
      </c>
      <c r="O544">
        <v>202503</v>
      </c>
      <c r="P544">
        <v>160008</v>
      </c>
      <c r="Q544" t="s">
        <v>12</v>
      </c>
      <c r="R544" t="s">
        <v>12</v>
      </c>
      <c r="S544" t="s">
        <v>12</v>
      </c>
      <c r="T544" t="s">
        <v>12</v>
      </c>
      <c r="U544" t="s">
        <v>12</v>
      </c>
      <c r="V544" t="s">
        <v>12</v>
      </c>
      <c r="W544" t="s">
        <v>12</v>
      </c>
      <c r="X544" t="s">
        <v>12</v>
      </c>
      <c r="Y544" t="s">
        <v>12</v>
      </c>
      <c r="Z544" t="s">
        <v>12</v>
      </c>
      <c r="AA544" t="s">
        <v>12</v>
      </c>
      <c r="AB544" t="s">
        <v>12</v>
      </c>
      <c r="AC544" t="s">
        <v>12</v>
      </c>
      <c r="AD544" t="s">
        <v>12</v>
      </c>
      <c r="AE544" t="s">
        <v>12</v>
      </c>
      <c r="AF544" t="s">
        <v>12</v>
      </c>
      <c r="AG544" t="s">
        <v>12</v>
      </c>
      <c r="AH544" t="s">
        <v>12</v>
      </c>
      <c r="AI544" t="s">
        <v>12</v>
      </c>
      <c r="AJ544" t="s">
        <v>12</v>
      </c>
      <c r="AK544" t="s">
        <v>12</v>
      </c>
      <c r="AL544" t="s">
        <v>12</v>
      </c>
      <c r="AM544" t="s">
        <v>12</v>
      </c>
      <c r="AN544" t="s">
        <v>12</v>
      </c>
      <c r="AO544" t="s">
        <v>12</v>
      </c>
    </row>
    <row r="545" spans="1:41" x14ac:dyDescent="0.35">
      <c r="A545">
        <v>19239911</v>
      </c>
      <c r="B545">
        <v>202509</v>
      </c>
      <c r="C545">
        <v>10001030626</v>
      </c>
      <c r="D545" t="s">
        <v>810</v>
      </c>
      <c r="E545">
        <v>103062</v>
      </c>
      <c r="F545">
        <v>10256135</v>
      </c>
      <c r="G545" t="s">
        <v>65</v>
      </c>
      <c r="H545" t="s">
        <v>190</v>
      </c>
      <c r="I545">
        <v>42417.41796875</v>
      </c>
      <c r="J545" s="1">
        <v>45467</v>
      </c>
      <c r="K545">
        <v>15.4</v>
      </c>
      <c r="L545" t="s">
        <v>4</v>
      </c>
      <c r="M545" t="s">
        <v>4</v>
      </c>
      <c r="N545" t="s">
        <v>47</v>
      </c>
      <c r="O545">
        <v>202406</v>
      </c>
      <c r="P545">
        <v>64403.199999999997</v>
      </c>
      <c r="Q545" t="s">
        <v>190</v>
      </c>
      <c r="R545" t="s">
        <v>191</v>
      </c>
      <c r="S545" t="s">
        <v>49</v>
      </c>
      <c r="T545" t="s">
        <v>50</v>
      </c>
      <c r="U545" t="s">
        <v>20</v>
      </c>
      <c r="V545">
        <v>1</v>
      </c>
      <c r="W545" t="s">
        <v>90</v>
      </c>
      <c r="X545" t="s">
        <v>59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12</v>
      </c>
      <c r="AG545" t="s">
        <v>12</v>
      </c>
      <c r="AH545" t="s">
        <v>12</v>
      </c>
      <c r="AI545" t="s">
        <v>12</v>
      </c>
      <c r="AJ545" t="s">
        <v>12</v>
      </c>
      <c r="AK545">
        <v>1</v>
      </c>
      <c r="AL545">
        <v>1</v>
      </c>
      <c r="AM545" t="s">
        <v>12</v>
      </c>
      <c r="AN545" t="s">
        <v>12</v>
      </c>
      <c r="AO545" t="s">
        <v>12</v>
      </c>
    </row>
    <row r="546" spans="1:41" x14ac:dyDescent="0.35">
      <c r="A546">
        <v>13761766</v>
      </c>
      <c r="B546">
        <v>202511</v>
      </c>
      <c r="C546">
        <v>20551547834</v>
      </c>
      <c r="D546" t="s">
        <v>811</v>
      </c>
      <c r="E546" t="s">
        <v>1</v>
      </c>
      <c r="F546">
        <v>10267826</v>
      </c>
      <c r="G546" t="s">
        <v>268</v>
      </c>
      <c r="H546" t="s">
        <v>166</v>
      </c>
      <c r="I546">
        <v>55328.43359375</v>
      </c>
      <c r="J546" s="1">
        <v>45792</v>
      </c>
      <c r="K546">
        <v>24.6</v>
      </c>
      <c r="L546" t="s">
        <v>37</v>
      </c>
      <c r="M546" t="s">
        <v>37</v>
      </c>
      <c r="N546" t="s">
        <v>98</v>
      </c>
      <c r="O546">
        <v>202505</v>
      </c>
      <c r="P546">
        <v>70003.5</v>
      </c>
      <c r="Q546" t="s">
        <v>166</v>
      </c>
      <c r="R546" t="s">
        <v>167</v>
      </c>
      <c r="S546" t="s">
        <v>111</v>
      </c>
      <c r="T546" t="s">
        <v>112</v>
      </c>
      <c r="U546" t="s">
        <v>41</v>
      </c>
      <c r="V546">
        <v>2</v>
      </c>
      <c r="W546" t="s">
        <v>10</v>
      </c>
      <c r="X546" t="s">
        <v>51</v>
      </c>
      <c r="Y546">
        <v>1</v>
      </c>
      <c r="Z546">
        <v>1</v>
      </c>
      <c r="AA546">
        <v>0</v>
      </c>
      <c r="AB546">
        <v>1</v>
      </c>
      <c r="AC546">
        <v>1</v>
      </c>
      <c r="AD546">
        <v>1</v>
      </c>
      <c r="AE546">
        <v>0</v>
      </c>
      <c r="AF546" t="s">
        <v>12</v>
      </c>
      <c r="AG546" t="s">
        <v>12</v>
      </c>
      <c r="AH546" t="s">
        <v>12</v>
      </c>
      <c r="AI546" t="s">
        <v>12</v>
      </c>
      <c r="AJ546" t="s">
        <v>12</v>
      </c>
      <c r="AK546">
        <v>130000</v>
      </c>
      <c r="AL546">
        <v>0.32879999999999998</v>
      </c>
      <c r="AM546">
        <v>0.30880000000000002</v>
      </c>
      <c r="AN546" t="s">
        <v>12</v>
      </c>
      <c r="AO546" t="s">
        <v>12</v>
      </c>
    </row>
    <row r="547" spans="1:41" x14ac:dyDescent="0.35">
      <c r="A547">
        <v>21483440</v>
      </c>
      <c r="B547">
        <v>202507</v>
      </c>
      <c r="C547">
        <v>20295076781</v>
      </c>
      <c r="D547" t="s">
        <v>812</v>
      </c>
      <c r="E547" t="s">
        <v>1</v>
      </c>
      <c r="F547">
        <v>10265419</v>
      </c>
      <c r="G547" t="s">
        <v>100</v>
      </c>
      <c r="H547" t="s">
        <v>105</v>
      </c>
      <c r="I547">
        <v>85498.953125</v>
      </c>
      <c r="J547" s="1">
        <v>45706</v>
      </c>
      <c r="K547">
        <v>15</v>
      </c>
      <c r="L547" t="s">
        <v>37</v>
      </c>
      <c r="M547" t="s">
        <v>37</v>
      </c>
      <c r="N547" t="s">
        <v>102</v>
      </c>
      <c r="O547">
        <v>202502</v>
      </c>
      <c r="P547">
        <v>115005.75</v>
      </c>
      <c r="Q547" t="s">
        <v>105</v>
      </c>
      <c r="R547" t="s">
        <v>106</v>
      </c>
      <c r="S547" t="s">
        <v>88</v>
      </c>
      <c r="T547" t="s">
        <v>89</v>
      </c>
      <c r="U547" t="s">
        <v>20</v>
      </c>
      <c r="V547">
        <v>2</v>
      </c>
      <c r="W547" t="s">
        <v>10</v>
      </c>
      <c r="X547" t="s">
        <v>12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12</v>
      </c>
      <c r="AG547" t="s">
        <v>12</v>
      </c>
      <c r="AH547" t="s">
        <v>12</v>
      </c>
      <c r="AI547" t="s">
        <v>12</v>
      </c>
      <c r="AJ547" t="s">
        <v>12</v>
      </c>
      <c r="AK547">
        <v>1</v>
      </c>
      <c r="AL547">
        <v>0.20380000000000001</v>
      </c>
      <c r="AM547" t="s">
        <v>12</v>
      </c>
      <c r="AN547" t="s">
        <v>12</v>
      </c>
      <c r="AO547" t="s">
        <v>12</v>
      </c>
    </row>
    <row r="548" spans="1:41" x14ac:dyDescent="0.35">
      <c r="A548">
        <v>17120777</v>
      </c>
      <c r="B548">
        <v>202508</v>
      </c>
      <c r="C548">
        <v>20541527525</v>
      </c>
      <c r="D548" t="s">
        <v>813</v>
      </c>
      <c r="E548" t="s">
        <v>1</v>
      </c>
      <c r="F548">
        <v>10266497</v>
      </c>
      <c r="G548" t="s">
        <v>92</v>
      </c>
      <c r="H548" t="s">
        <v>732</v>
      </c>
      <c r="I548">
        <v>124184.8359375</v>
      </c>
      <c r="J548" s="1">
        <v>45741</v>
      </c>
      <c r="K548">
        <v>16</v>
      </c>
      <c r="L548" t="s">
        <v>4</v>
      </c>
      <c r="M548" t="s">
        <v>4</v>
      </c>
      <c r="N548" t="s">
        <v>41</v>
      </c>
      <c r="O548">
        <v>202503</v>
      </c>
      <c r="P548">
        <v>145007.25</v>
      </c>
      <c r="Q548" t="s">
        <v>732</v>
      </c>
      <c r="R548" t="s">
        <v>814</v>
      </c>
      <c r="S548" t="s">
        <v>39</v>
      </c>
      <c r="T548" t="s">
        <v>40</v>
      </c>
      <c r="U548" t="s">
        <v>41</v>
      </c>
      <c r="V548">
        <v>1</v>
      </c>
      <c r="W548" t="s">
        <v>10</v>
      </c>
      <c r="X548" t="s">
        <v>12</v>
      </c>
      <c r="Y548">
        <v>1</v>
      </c>
      <c r="Z548">
        <v>1</v>
      </c>
      <c r="AA548">
        <v>0</v>
      </c>
      <c r="AB548">
        <v>0</v>
      </c>
      <c r="AC548">
        <v>1</v>
      </c>
      <c r="AD548">
        <v>1</v>
      </c>
      <c r="AE548">
        <v>0</v>
      </c>
      <c r="AF548" t="s">
        <v>12</v>
      </c>
      <c r="AG548" t="s">
        <v>12</v>
      </c>
      <c r="AH548" t="s">
        <v>12</v>
      </c>
      <c r="AI548" t="s">
        <v>12</v>
      </c>
      <c r="AJ548" t="s">
        <v>12</v>
      </c>
      <c r="AK548">
        <v>201400</v>
      </c>
      <c r="AL548">
        <v>0.21</v>
      </c>
      <c r="AM548">
        <v>0.19</v>
      </c>
      <c r="AN548" t="s">
        <v>12</v>
      </c>
      <c r="AO548" t="s">
        <v>12</v>
      </c>
    </row>
    <row r="549" spans="1:41" x14ac:dyDescent="0.35">
      <c r="A549">
        <v>13305184</v>
      </c>
      <c r="B549">
        <v>202512</v>
      </c>
      <c r="C549">
        <v>10076427360</v>
      </c>
      <c r="D549" t="s">
        <v>815</v>
      </c>
      <c r="E549">
        <v>7642736</v>
      </c>
      <c r="F549">
        <v>10265007</v>
      </c>
      <c r="G549" t="s">
        <v>100</v>
      </c>
      <c r="H549" t="s">
        <v>105</v>
      </c>
      <c r="I549">
        <v>139701.609375</v>
      </c>
      <c r="J549" s="1">
        <v>45687</v>
      </c>
      <c r="K549">
        <v>18</v>
      </c>
      <c r="L549" t="s">
        <v>37</v>
      </c>
      <c r="M549" t="s">
        <v>37</v>
      </c>
      <c r="N549" t="s">
        <v>102</v>
      </c>
      <c r="O549">
        <v>202501</v>
      </c>
      <c r="P549">
        <v>180832.7</v>
      </c>
      <c r="Q549" t="s">
        <v>105</v>
      </c>
      <c r="R549" t="s">
        <v>106</v>
      </c>
      <c r="S549" t="s">
        <v>88</v>
      </c>
      <c r="T549" t="s">
        <v>89</v>
      </c>
      <c r="U549" t="s">
        <v>41</v>
      </c>
      <c r="V549">
        <v>2</v>
      </c>
      <c r="W549" t="s">
        <v>10</v>
      </c>
      <c r="X549" t="s">
        <v>59</v>
      </c>
      <c r="Y549">
        <v>1</v>
      </c>
      <c r="Z549">
        <v>1</v>
      </c>
      <c r="AA549">
        <v>0</v>
      </c>
      <c r="AB549">
        <v>0</v>
      </c>
      <c r="AC549">
        <v>0</v>
      </c>
      <c r="AD549">
        <v>1</v>
      </c>
      <c r="AE549">
        <v>0</v>
      </c>
      <c r="AF549" t="s">
        <v>12</v>
      </c>
      <c r="AG549" t="s">
        <v>12</v>
      </c>
      <c r="AH549" t="s">
        <v>12</v>
      </c>
      <c r="AI549" t="s">
        <v>12</v>
      </c>
      <c r="AJ549" t="s">
        <v>12</v>
      </c>
      <c r="AK549">
        <v>300000</v>
      </c>
      <c r="AL549">
        <v>0.21</v>
      </c>
      <c r="AM549">
        <v>0.19</v>
      </c>
      <c r="AN549" t="s">
        <v>12</v>
      </c>
      <c r="AO549" t="s">
        <v>12</v>
      </c>
    </row>
    <row r="550" spans="1:41" x14ac:dyDescent="0.35">
      <c r="A550">
        <v>14820908</v>
      </c>
      <c r="B550">
        <v>202512</v>
      </c>
      <c r="C550">
        <v>10445433042</v>
      </c>
      <c r="D550" t="s">
        <v>816</v>
      </c>
      <c r="E550">
        <v>44543304</v>
      </c>
      <c r="F550">
        <v>10272564</v>
      </c>
      <c r="G550" t="s">
        <v>24</v>
      </c>
      <c r="H550" t="s">
        <v>159</v>
      </c>
      <c r="I550">
        <v>47770.9453125</v>
      </c>
      <c r="J550" s="1">
        <v>45957</v>
      </c>
      <c r="K550">
        <v>18</v>
      </c>
      <c r="L550" t="s">
        <v>37</v>
      </c>
      <c r="M550" t="s">
        <v>37</v>
      </c>
      <c r="N550" t="s">
        <v>98</v>
      </c>
      <c r="O550">
        <v>202510</v>
      </c>
      <c r="P550">
        <v>50002.5</v>
      </c>
      <c r="Q550" t="s">
        <v>12</v>
      </c>
      <c r="R550" t="s">
        <v>12</v>
      </c>
      <c r="S550" t="s">
        <v>12</v>
      </c>
      <c r="T550" t="s">
        <v>12</v>
      </c>
      <c r="U550" t="s">
        <v>12</v>
      </c>
      <c r="V550" t="s">
        <v>12</v>
      </c>
      <c r="W550" t="s">
        <v>12</v>
      </c>
      <c r="X550" t="s">
        <v>12</v>
      </c>
      <c r="Y550" t="s">
        <v>12</v>
      </c>
      <c r="Z550" t="s">
        <v>12</v>
      </c>
      <c r="AA550" t="s">
        <v>12</v>
      </c>
      <c r="AB550" t="s">
        <v>12</v>
      </c>
      <c r="AC550" t="s">
        <v>12</v>
      </c>
      <c r="AD550" t="s">
        <v>12</v>
      </c>
      <c r="AE550" t="s">
        <v>12</v>
      </c>
      <c r="AF550" t="s">
        <v>12</v>
      </c>
      <c r="AG550" t="s">
        <v>12</v>
      </c>
      <c r="AH550" t="s">
        <v>12</v>
      </c>
      <c r="AI550" t="s">
        <v>12</v>
      </c>
      <c r="AJ550" t="s">
        <v>12</v>
      </c>
      <c r="AK550" t="s">
        <v>12</v>
      </c>
      <c r="AL550" t="s">
        <v>12</v>
      </c>
      <c r="AM550" t="s">
        <v>12</v>
      </c>
      <c r="AN550" t="s">
        <v>12</v>
      </c>
      <c r="AO550" t="s">
        <v>12</v>
      </c>
    </row>
    <row r="551" spans="1:41" x14ac:dyDescent="0.35">
      <c r="A551">
        <v>21787259</v>
      </c>
      <c r="B551">
        <v>202602</v>
      </c>
      <c r="C551">
        <v>20603721901</v>
      </c>
      <c r="D551" t="s">
        <v>817</v>
      </c>
      <c r="E551" t="s">
        <v>1</v>
      </c>
      <c r="F551">
        <v>10270273</v>
      </c>
      <c r="G551" t="s">
        <v>24</v>
      </c>
      <c r="H551" t="s">
        <v>492</v>
      </c>
      <c r="I551">
        <v>135334.78125</v>
      </c>
      <c r="J551" s="1">
        <v>45880</v>
      </c>
      <c r="K551">
        <v>22</v>
      </c>
      <c r="L551" t="s">
        <v>37</v>
      </c>
      <c r="M551" t="s">
        <v>37</v>
      </c>
      <c r="N551" t="s">
        <v>98</v>
      </c>
      <c r="O551">
        <v>202508</v>
      </c>
      <c r="P551">
        <v>236011.8</v>
      </c>
      <c r="Q551" t="s">
        <v>492</v>
      </c>
      <c r="R551" t="s">
        <v>493</v>
      </c>
      <c r="S551" t="s">
        <v>49</v>
      </c>
      <c r="T551" t="s">
        <v>50</v>
      </c>
      <c r="U551" t="s">
        <v>70</v>
      </c>
      <c r="V551">
        <v>1</v>
      </c>
      <c r="W551" t="s">
        <v>10</v>
      </c>
      <c r="X551" t="s">
        <v>22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12</v>
      </c>
      <c r="AG551" t="s">
        <v>12</v>
      </c>
      <c r="AH551" t="s">
        <v>12</v>
      </c>
      <c r="AI551" t="s">
        <v>12</v>
      </c>
      <c r="AJ551" t="s">
        <v>12</v>
      </c>
      <c r="AK551">
        <v>226000</v>
      </c>
      <c r="AL551">
        <v>0.26090000000000002</v>
      </c>
      <c r="AM551">
        <v>0.2409</v>
      </c>
      <c r="AN551" t="s">
        <v>12</v>
      </c>
      <c r="AO551" t="s">
        <v>12</v>
      </c>
    </row>
    <row r="552" spans="1:41" x14ac:dyDescent="0.35">
      <c r="A552">
        <v>21680901</v>
      </c>
      <c r="B552">
        <v>202509</v>
      </c>
      <c r="C552">
        <v>20606641592</v>
      </c>
      <c r="D552" t="s">
        <v>818</v>
      </c>
      <c r="E552" t="s">
        <v>1</v>
      </c>
      <c r="F552">
        <v>10268514</v>
      </c>
      <c r="G552" t="s">
        <v>14</v>
      </c>
      <c r="H552" t="s">
        <v>284</v>
      </c>
      <c r="I552">
        <v>151643.890625</v>
      </c>
      <c r="J552" s="1">
        <v>45817</v>
      </c>
      <c r="K552">
        <v>17</v>
      </c>
      <c r="L552" t="s">
        <v>37</v>
      </c>
      <c r="M552" t="s">
        <v>75</v>
      </c>
      <c r="N552" t="s">
        <v>16</v>
      </c>
      <c r="O552">
        <v>202506</v>
      </c>
      <c r="P552">
        <v>170008.5</v>
      </c>
      <c r="Q552" t="s">
        <v>284</v>
      </c>
      <c r="R552" t="s">
        <v>285</v>
      </c>
      <c r="S552" t="s">
        <v>31</v>
      </c>
      <c r="T552" t="s">
        <v>32</v>
      </c>
      <c r="U552" t="s">
        <v>20</v>
      </c>
      <c r="V552">
        <v>1</v>
      </c>
      <c r="W552" t="s">
        <v>10</v>
      </c>
      <c r="X552" t="s">
        <v>51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12</v>
      </c>
      <c r="AG552" t="s">
        <v>12</v>
      </c>
      <c r="AH552" t="s">
        <v>12</v>
      </c>
      <c r="AI552" t="s">
        <v>12</v>
      </c>
      <c r="AJ552" t="s">
        <v>12</v>
      </c>
      <c r="AK552">
        <v>1</v>
      </c>
      <c r="AL552">
        <v>1</v>
      </c>
      <c r="AM552" t="s">
        <v>12</v>
      </c>
      <c r="AN552" t="s">
        <v>12</v>
      </c>
      <c r="AO552" t="s">
        <v>12</v>
      </c>
    </row>
    <row r="553" spans="1:41" x14ac:dyDescent="0.35">
      <c r="A553">
        <v>17553346</v>
      </c>
      <c r="B553">
        <v>202506</v>
      </c>
      <c r="C553">
        <v>20607289647</v>
      </c>
      <c r="D553" t="s">
        <v>819</v>
      </c>
      <c r="E553" t="s">
        <v>1</v>
      </c>
      <c r="F553">
        <v>10266158</v>
      </c>
      <c r="G553" t="s">
        <v>28</v>
      </c>
      <c r="H553" t="s">
        <v>159</v>
      </c>
      <c r="I553">
        <v>61561.26953125</v>
      </c>
      <c r="J553" s="1">
        <v>45729</v>
      </c>
      <c r="K553">
        <v>23.5</v>
      </c>
      <c r="L553" t="s">
        <v>4</v>
      </c>
      <c r="M553" t="s">
        <v>75</v>
      </c>
      <c r="N553" t="s">
        <v>26</v>
      </c>
      <c r="O553">
        <v>202503</v>
      </c>
      <c r="P553">
        <v>80004</v>
      </c>
      <c r="Q553" t="s">
        <v>12</v>
      </c>
      <c r="R553" t="s">
        <v>12</v>
      </c>
      <c r="S553" t="s">
        <v>12</v>
      </c>
      <c r="T553" t="s">
        <v>12</v>
      </c>
      <c r="U553" t="s">
        <v>12</v>
      </c>
      <c r="V553" t="s">
        <v>12</v>
      </c>
      <c r="W553" t="s">
        <v>12</v>
      </c>
      <c r="X553" t="s">
        <v>12</v>
      </c>
      <c r="Y553" t="s">
        <v>12</v>
      </c>
      <c r="Z553" t="s">
        <v>12</v>
      </c>
      <c r="AA553" t="s">
        <v>12</v>
      </c>
      <c r="AB553" t="s">
        <v>12</v>
      </c>
      <c r="AC553" t="s">
        <v>12</v>
      </c>
      <c r="AD553" t="s">
        <v>12</v>
      </c>
      <c r="AE553" t="s">
        <v>12</v>
      </c>
      <c r="AF553" t="s">
        <v>12</v>
      </c>
      <c r="AG553" t="s">
        <v>12</v>
      </c>
      <c r="AH553" t="s">
        <v>12</v>
      </c>
      <c r="AI553" t="s">
        <v>12</v>
      </c>
      <c r="AJ553" t="s">
        <v>12</v>
      </c>
      <c r="AK553" t="s">
        <v>12</v>
      </c>
      <c r="AL553" t="s">
        <v>12</v>
      </c>
      <c r="AM553" t="s">
        <v>12</v>
      </c>
      <c r="AN553" t="s">
        <v>12</v>
      </c>
      <c r="AO553" t="s">
        <v>12</v>
      </c>
    </row>
    <row r="554" spans="1:41" x14ac:dyDescent="0.35">
      <c r="A554">
        <v>21676573</v>
      </c>
      <c r="B554">
        <v>202507</v>
      </c>
      <c r="C554">
        <v>20606954647</v>
      </c>
      <c r="D554" t="s">
        <v>820</v>
      </c>
      <c r="E554" t="s">
        <v>1</v>
      </c>
      <c r="F554">
        <v>10268516</v>
      </c>
      <c r="G554" t="s">
        <v>100</v>
      </c>
      <c r="H554" t="s">
        <v>417</v>
      </c>
      <c r="I554">
        <v>49491.140625</v>
      </c>
      <c r="J554" s="1">
        <v>45817</v>
      </c>
      <c r="K554">
        <v>15</v>
      </c>
      <c r="L554" t="s">
        <v>37</v>
      </c>
      <c r="M554" t="s">
        <v>37</v>
      </c>
      <c r="N554" t="s">
        <v>102</v>
      </c>
      <c r="O554">
        <v>202506</v>
      </c>
      <c r="P554">
        <v>53002.65</v>
      </c>
      <c r="Q554" t="s">
        <v>417</v>
      </c>
      <c r="R554" t="s">
        <v>418</v>
      </c>
      <c r="S554" t="s">
        <v>31</v>
      </c>
      <c r="T554" t="s">
        <v>32</v>
      </c>
      <c r="U554" t="s">
        <v>20</v>
      </c>
      <c r="V554">
        <v>1</v>
      </c>
      <c r="W554" t="s">
        <v>10</v>
      </c>
      <c r="X554" t="s">
        <v>12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12</v>
      </c>
      <c r="AG554" t="s">
        <v>12</v>
      </c>
      <c r="AH554" t="s">
        <v>12</v>
      </c>
      <c r="AI554" t="s">
        <v>12</v>
      </c>
      <c r="AJ554" t="s">
        <v>12</v>
      </c>
      <c r="AK554">
        <v>1</v>
      </c>
      <c r="AL554">
        <v>0.1898</v>
      </c>
      <c r="AM554" t="s">
        <v>12</v>
      </c>
      <c r="AN554" t="s">
        <v>12</v>
      </c>
      <c r="AO554" t="s">
        <v>12</v>
      </c>
    </row>
    <row r="555" spans="1:41" x14ac:dyDescent="0.35">
      <c r="A555">
        <v>8339042</v>
      </c>
      <c r="B555">
        <v>202602</v>
      </c>
      <c r="C555">
        <v>10200169927</v>
      </c>
      <c r="D555" t="s">
        <v>821</v>
      </c>
      <c r="E555">
        <v>20016992</v>
      </c>
      <c r="F555">
        <v>10267824</v>
      </c>
      <c r="G555" t="s">
        <v>100</v>
      </c>
      <c r="H555" t="s">
        <v>159</v>
      </c>
      <c r="I555">
        <v>33240.8359375</v>
      </c>
      <c r="J555" s="1">
        <v>45792</v>
      </c>
      <c r="K555">
        <v>17</v>
      </c>
      <c r="L555" t="s">
        <v>37</v>
      </c>
      <c r="M555" t="s">
        <v>37</v>
      </c>
      <c r="N555" t="s">
        <v>102</v>
      </c>
      <c r="O555">
        <v>202505</v>
      </c>
      <c r="P555">
        <v>50097.5</v>
      </c>
      <c r="Q555" t="s">
        <v>194</v>
      </c>
      <c r="R555" t="s">
        <v>633</v>
      </c>
      <c r="S555" t="s">
        <v>88</v>
      </c>
      <c r="T555" t="s">
        <v>89</v>
      </c>
      <c r="U555" t="s">
        <v>63</v>
      </c>
      <c r="V555">
        <v>2</v>
      </c>
      <c r="W555" t="s">
        <v>90</v>
      </c>
      <c r="X555" t="s">
        <v>59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12</v>
      </c>
      <c r="AG555" t="s">
        <v>12</v>
      </c>
      <c r="AH555" t="s">
        <v>12</v>
      </c>
      <c r="AI555" t="s">
        <v>12</v>
      </c>
      <c r="AJ555" t="s">
        <v>12</v>
      </c>
      <c r="AK555">
        <v>250000</v>
      </c>
      <c r="AL555">
        <v>0.2409</v>
      </c>
      <c r="AM555">
        <v>0.22090000000000001</v>
      </c>
      <c r="AN555" t="s">
        <v>12</v>
      </c>
      <c r="AO555" t="s">
        <v>12</v>
      </c>
    </row>
    <row r="556" spans="1:41" x14ac:dyDescent="0.35">
      <c r="A556">
        <v>21659295</v>
      </c>
      <c r="B556">
        <v>202507</v>
      </c>
      <c r="C556">
        <v>20600030362</v>
      </c>
      <c r="D556" t="s">
        <v>822</v>
      </c>
      <c r="E556" t="s">
        <v>1</v>
      </c>
      <c r="F556">
        <v>10268195</v>
      </c>
      <c r="G556" t="s">
        <v>24</v>
      </c>
      <c r="H556" t="s">
        <v>159</v>
      </c>
      <c r="I556">
        <v>76986.234375</v>
      </c>
      <c r="J556" s="1">
        <v>45804</v>
      </c>
      <c r="K556">
        <v>17</v>
      </c>
      <c r="L556" t="s">
        <v>37</v>
      </c>
      <c r="M556" t="s">
        <v>37</v>
      </c>
      <c r="N556" t="s">
        <v>98</v>
      </c>
      <c r="O556">
        <v>202505</v>
      </c>
      <c r="P556">
        <v>150007.5</v>
      </c>
      <c r="Q556" t="s">
        <v>12</v>
      </c>
      <c r="R556" t="s">
        <v>12</v>
      </c>
      <c r="S556" t="s">
        <v>12</v>
      </c>
      <c r="T556" t="s">
        <v>12</v>
      </c>
      <c r="U556" t="s">
        <v>12</v>
      </c>
      <c r="V556" t="s">
        <v>12</v>
      </c>
      <c r="W556" t="s">
        <v>12</v>
      </c>
      <c r="X556" t="s">
        <v>12</v>
      </c>
      <c r="Y556" t="s">
        <v>12</v>
      </c>
      <c r="Z556" t="s">
        <v>12</v>
      </c>
      <c r="AA556" t="s">
        <v>12</v>
      </c>
      <c r="AB556" t="s">
        <v>12</v>
      </c>
      <c r="AC556" t="s">
        <v>12</v>
      </c>
      <c r="AD556" t="s">
        <v>12</v>
      </c>
      <c r="AE556" t="s">
        <v>12</v>
      </c>
      <c r="AF556" t="s">
        <v>12</v>
      </c>
      <c r="AG556" t="s">
        <v>12</v>
      </c>
      <c r="AH556" t="s">
        <v>12</v>
      </c>
      <c r="AI556" t="s">
        <v>12</v>
      </c>
      <c r="AJ556" t="s">
        <v>12</v>
      </c>
      <c r="AK556" t="s">
        <v>12</v>
      </c>
      <c r="AL556" t="s">
        <v>12</v>
      </c>
      <c r="AM556" t="s">
        <v>12</v>
      </c>
      <c r="AN556" t="s">
        <v>12</v>
      </c>
      <c r="AO556" t="s">
        <v>12</v>
      </c>
    </row>
    <row r="557" spans="1:41" x14ac:dyDescent="0.35">
      <c r="A557">
        <v>13311565</v>
      </c>
      <c r="B557">
        <v>202504</v>
      </c>
      <c r="C557">
        <v>10413171283</v>
      </c>
      <c r="D557" t="s">
        <v>823</v>
      </c>
      <c r="E557">
        <v>41317128</v>
      </c>
      <c r="F557">
        <v>10157677</v>
      </c>
      <c r="G557" t="s">
        <v>2</v>
      </c>
      <c r="H557" t="s">
        <v>301</v>
      </c>
      <c r="I557">
        <v>83926.265625</v>
      </c>
      <c r="J557" s="1">
        <v>45476</v>
      </c>
      <c r="K557">
        <v>20.3</v>
      </c>
      <c r="L557" t="s">
        <v>4</v>
      </c>
      <c r="M557" t="s">
        <v>4</v>
      </c>
      <c r="N557" t="s">
        <v>5</v>
      </c>
      <c r="O557">
        <v>202407</v>
      </c>
      <c r="P557">
        <v>125006.25</v>
      </c>
      <c r="Q557" t="s">
        <v>301</v>
      </c>
      <c r="R557" t="s">
        <v>310</v>
      </c>
      <c r="S557" t="s">
        <v>49</v>
      </c>
      <c r="T557" t="s">
        <v>50</v>
      </c>
      <c r="U557" t="s">
        <v>20</v>
      </c>
      <c r="V557">
        <v>1</v>
      </c>
      <c r="W557" t="s">
        <v>10</v>
      </c>
      <c r="X557" t="s">
        <v>12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12</v>
      </c>
      <c r="AG557" t="s">
        <v>12</v>
      </c>
      <c r="AH557" t="s">
        <v>12</v>
      </c>
      <c r="AI557" t="s">
        <v>12</v>
      </c>
      <c r="AJ557" t="s">
        <v>12</v>
      </c>
      <c r="AK557">
        <v>0</v>
      </c>
      <c r="AL557">
        <v>0</v>
      </c>
      <c r="AM557">
        <v>0</v>
      </c>
      <c r="AN557" t="s">
        <v>12</v>
      </c>
      <c r="AO557" t="s">
        <v>12</v>
      </c>
    </row>
    <row r="558" spans="1:41" x14ac:dyDescent="0.35">
      <c r="A558">
        <v>21255453</v>
      </c>
      <c r="B558">
        <v>202601</v>
      </c>
      <c r="C558">
        <v>20600807448</v>
      </c>
      <c r="D558" t="s">
        <v>473</v>
      </c>
      <c r="E558" t="s">
        <v>1</v>
      </c>
      <c r="F558">
        <v>10261874</v>
      </c>
      <c r="G558" t="s">
        <v>65</v>
      </c>
      <c r="H558" t="s">
        <v>93</v>
      </c>
      <c r="I558">
        <v>59352.65625</v>
      </c>
      <c r="J558" s="1">
        <v>45587</v>
      </c>
      <c r="K558">
        <v>15.7</v>
      </c>
      <c r="L558" t="s">
        <v>37</v>
      </c>
      <c r="M558" t="s">
        <v>37</v>
      </c>
      <c r="N558" t="s">
        <v>47</v>
      </c>
      <c r="O558">
        <v>202410</v>
      </c>
      <c r="P558">
        <v>90004.5</v>
      </c>
      <c r="Q558" t="s">
        <v>93</v>
      </c>
      <c r="R558" t="s">
        <v>94</v>
      </c>
      <c r="S558" t="s">
        <v>7</v>
      </c>
      <c r="T558" t="s">
        <v>8</v>
      </c>
      <c r="U558" t="s">
        <v>63</v>
      </c>
      <c r="V558">
        <v>1</v>
      </c>
      <c r="W558" t="s">
        <v>21</v>
      </c>
      <c r="X558" t="s">
        <v>22</v>
      </c>
      <c r="Y558">
        <v>1</v>
      </c>
      <c r="Z558">
        <v>1</v>
      </c>
      <c r="AA558">
        <v>0</v>
      </c>
      <c r="AB558">
        <v>0</v>
      </c>
      <c r="AC558">
        <v>1</v>
      </c>
      <c r="AD558">
        <v>1</v>
      </c>
      <c r="AE558">
        <v>0</v>
      </c>
      <c r="AF558" t="s">
        <v>12</v>
      </c>
      <c r="AG558" t="s">
        <v>12</v>
      </c>
      <c r="AH558" t="s">
        <v>12</v>
      </c>
      <c r="AI558" t="s">
        <v>12</v>
      </c>
      <c r="AJ558" t="s">
        <v>12</v>
      </c>
      <c r="AK558">
        <v>50000</v>
      </c>
      <c r="AL558">
        <v>0.21</v>
      </c>
      <c r="AM558">
        <v>0.19</v>
      </c>
      <c r="AN558" t="s">
        <v>12</v>
      </c>
      <c r="AO558" t="s">
        <v>12</v>
      </c>
    </row>
    <row r="559" spans="1:41" x14ac:dyDescent="0.35">
      <c r="A559">
        <v>19187901</v>
      </c>
      <c r="B559">
        <v>202507</v>
      </c>
      <c r="C559">
        <v>20602935559</v>
      </c>
      <c r="D559" t="s">
        <v>824</v>
      </c>
      <c r="E559" t="s">
        <v>1</v>
      </c>
      <c r="F559">
        <v>10262742</v>
      </c>
      <c r="G559" t="s">
        <v>53</v>
      </c>
      <c r="H559" t="s">
        <v>294</v>
      </c>
      <c r="I559">
        <v>83470.75</v>
      </c>
      <c r="J559" s="1">
        <v>45615</v>
      </c>
      <c r="K559">
        <v>15.5</v>
      </c>
      <c r="L559" t="s">
        <v>4</v>
      </c>
      <c r="M559" t="s">
        <v>4</v>
      </c>
      <c r="N559" t="s">
        <v>47</v>
      </c>
      <c r="O559">
        <v>202411</v>
      </c>
      <c r="P559">
        <v>90004.5</v>
      </c>
      <c r="Q559" t="s">
        <v>294</v>
      </c>
      <c r="R559" t="s">
        <v>295</v>
      </c>
      <c r="S559" t="s">
        <v>7</v>
      </c>
      <c r="T559" t="s">
        <v>8</v>
      </c>
      <c r="U559" t="s">
        <v>20</v>
      </c>
      <c r="V559">
        <v>1</v>
      </c>
      <c r="W559" t="s">
        <v>10</v>
      </c>
      <c r="X559" t="s">
        <v>12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12</v>
      </c>
      <c r="AG559" t="s">
        <v>12</v>
      </c>
      <c r="AH559" t="s">
        <v>12</v>
      </c>
      <c r="AI559" t="s">
        <v>12</v>
      </c>
      <c r="AJ559" t="s">
        <v>12</v>
      </c>
      <c r="AK559">
        <v>1</v>
      </c>
      <c r="AL559">
        <v>0.24979999999999999</v>
      </c>
      <c r="AM559" t="s">
        <v>12</v>
      </c>
      <c r="AN559" t="s">
        <v>12</v>
      </c>
      <c r="AO559" t="s">
        <v>12</v>
      </c>
    </row>
    <row r="560" spans="1:41" x14ac:dyDescent="0.35">
      <c r="A560">
        <v>13545404</v>
      </c>
      <c r="B560">
        <v>202509</v>
      </c>
      <c r="C560">
        <v>10027946289</v>
      </c>
      <c r="D560" t="s">
        <v>825</v>
      </c>
      <c r="E560">
        <v>2794628</v>
      </c>
      <c r="F560">
        <v>10253171</v>
      </c>
      <c r="G560" t="s">
        <v>45</v>
      </c>
      <c r="H560" t="s">
        <v>230</v>
      </c>
      <c r="I560">
        <v>10447.75390625</v>
      </c>
      <c r="J560" s="1">
        <v>45433</v>
      </c>
      <c r="K560">
        <v>14.9</v>
      </c>
      <c r="L560" t="s">
        <v>37</v>
      </c>
      <c r="M560" t="s">
        <v>37</v>
      </c>
      <c r="N560" t="s">
        <v>47</v>
      </c>
      <c r="O560">
        <v>202405</v>
      </c>
      <c r="P560">
        <v>90004.5</v>
      </c>
      <c r="Q560" t="s">
        <v>12</v>
      </c>
      <c r="R560" t="s">
        <v>12</v>
      </c>
      <c r="S560" t="s">
        <v>12</v>
      </c>
      <c r="T560" t="s">
        <v>12</v>
      </c>
      <c r="U560" t="s">
        <v>12</v>
      </c>
      <c r="V560" t="s">
        <v>12</v>
      </c>
      <c r="W560" t="s">
        <v>12</v>
      </c>
      <c r="X560" t="s">
        <v>12</v>
      </c>
      <c r="Y560" t="s">
        <v>12</v>
      </c>
      <c r="Z560" t="s">
        <v>12</v>
      </c>
      <c r="AA560" t="s">
        <v>12</v>
      </c>
      <c r="AB560" t="s">
        <v>12</v>
      </c>
      <c r="AC560" t="s">
        <v>12</v>
      </c>
      <c r="AD560" t="s">
        <v>12</v>
      </c>
      <c r="AE560" t="s">
        <v>12</v>
      </c>
      <c r="AF560" t="s">
        <v>12</v>
      </c>
      <c r="AG560" t="s">
        <v>12</v>
      </c>
      <c r="AH560" t="s">
        <v>12</v>
      </c>
      <c r="AI560" t="s">
        <v>12</v>
      </c>
      <c r="AJ560" t="s">
        <v>12</v>
      </c>
      <c r="AK560" t="s">
        <v>12</v>
      </c>
      <c r="AL560" t="s">
        <v>12</v>
      </c>
      <c r="AM560" t="s">
        <v>12</v>
      </c>
      <c r="AN560" t="s">
        <v>12</v>
      </c>
      <c r="AO560" t="s">
        <v>12</v>
      </c>
    </row>
    <row r="561" spans="1:41" x14ac:dyDescent="0.35">
      <c r="A561">
        <v>21528941</v>
      </c>
      <c r="B561">
        <v>202602</v>
      </c>
      <c r="C561">
        <v>20603852649</v>
      </c>
      <c r="D561" t="s">
        <v>826</v>
      </c>
      <c r="E561" t="s">
        <v>1</v>
      </c>
      <c r="F561">
        <v>10266286</v>
      </c>
      <c r="G561" t="s">
        <v>24</v>
      </c>
      <c r="H561" t="s">
        <v>305</v>
      </c>
      <c r="I561">
        <v>56478.7421875</v>
      </c>
      <c r="J561" s="1">
        <v>45734</v>
      </c>
      <c r="K561">
        <v>17</v>
      </c>
      <c r="L561" t="s">
        <v>4</v>
      </c>
      <c r="M561" t="s">
        <v>75</v>
      </c>
      <c r="N561" t="s">
        <v>26</v>
      </c>
      <c r="O561">
        <v>202503</v>
      </c>
      <c r="P561">
        <v>135006.75</v>
      </c>
      <c r="Q561" t="s">
        <v>305</v>
      </c>
      <c r="R561" t="s">
        <v>306</v>
      </c>
      <c r="S561" t="s">
        <v>7</v>
      </c>
      <c r="T561" t="s">
        <v>8</v>
      </c>
      <c r="U561" t="s">
        <v>20</v>
      </c>
      <c r="V561">
        <v>1</v>
      </c>
      <c r="W561" t="s">
        <v>10</v>
      </c>
      <c r="X561" t="s">
        <v>51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12</v>
      </c>
      <c r="AG561" t="s">
        <v>12</v>
      </c>
      <c r="AH561" t="s">
        <v>12</v>
      </c>
      <c r="AI561" t="s">
        <v>12</v>
      </c>
      <c r="AJ561" t="s">
        <v>12</v>
      </c>
      <c r="AK561">
        <v>1</v>
      </c>
      <c r="AL561">
        <v>1</v>
      </c>
      <c r="AM561" t="s">
        <v>12</v>
      </c>
      <c r="AN561" t="s">
        <v>12</v>
      </c>
      <c r="AO561" t="s">
        <v>12</v>
      </c>
    </row>
    <row r="562" spans="1:41" x14ac:dyDescent="0.35">
      <c r="A562">
        <v>19528537</v>
      </c>
      <c r="B562">
        <v>202509</v>
      </c>
      <c r="C562">
        <v>10266118207</v>
      </c>
      <c r="D562" t="s">
        <v>827</v>
      </c>
      <c r="E562">
        <v>26611820</v>
      </c>
      <c r="F562">
        <v>10265152</v>
      </c>
      <c r="G562" t="s">
        <v>100</v>
      </c>
      <c r="H562" t="s">
        <v>513</v>
      </c>
      <c r="I562">
        <v>100052.140625</v>
      </c>
      <c r="J562" s="1">
        <v>45694</v>
      </c>
      <c r="K562">
        <v>19.5</v>
      </c>
      <c r="L562" t="s">
        <v>37</v>
      </c>
      <c r="M562" t="s">
        <v>37</v>
      </c>
      <c r="N562" t="s">
        <v>102</v>
      </c>
      <c r="O562">
        <v>202502</v>
      </c>
      <c r="P562">
        <v>118105.9</v>
      </c>
      <c r="Q562" t="s">
        <v>513</v>
      </c>
      <c r="R562" t="s">
        <v>514</v>
      </c>
      <c r="S562" t="s">
        <v>111</v>
      </c>
      <c r="T562" t="s">
        <v>112</v>
      </c>
      <c r="U562" t="s">
        <v>41</v>
      </c>
      <c r="V562">
        <v>2</v>
      </c>
      <c r="W562" t="s">
        <v>10</v>
      </c>
      <c r="X562" t="s">
        <v>59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12</v>
      </c>
      <c r="AG562" t="s">
        <v>12</v>
      </c>
      <c r="AH562" t="s">
        <v>12</v>
      </c>
      <c r="AI562" t="s">
        <v>12</v>
      </c>
      <c r="AJ562" t="s">
        <v>12</v>
      </c>
      <c r="AK562">
        <v>200000</v>
      </c>
      <c r="AL562">
        <v>0.24</v>
      </c>
      <c r="AM562">
        <v>0.22</v>
      </c>
      <c r="AN562" t="s">
        <v>12</v>
      </c>
      <c r="AO562" t="s">
        <v>12</v>
      </c>
    </row>
    <row r="563" spans="1:41" x14ac:dyDescent="0.35">
      <c r="A563">
        <v>18744610</v>
      </c>
      <c r="B563">
        <v>202507</v>
      </c>
      <c r="C563">
        <v>10479098331</v>
      </c>
      <c r="D563" t="s">
        <v>828</v>
      </c>
      <c r="E563">
        <v>47909833</v>
      </c>
      <c r="F563">
        <v>10265494</v>
      </c>
      <c r="G563" t="s">
        <v>100</v>
      </c>
      <c r="H563" t="s">
        <v>82</v>
      </c>
      <c r="I563">
        <v>73298.59375</v>
      </c>
      <c r="J563" s="1">
        <v>45708</v>
      </c>
      <c r="K563">
        <v>16.5</v>
      </c>
      <c r="L563" t="s">
        <v>37</v>
      </c>
      <c r="M563" t="s">
        <v>37</v>
      </c>
      <c r="N563" t="s">
        <v>102</v>
      </c>
      <c r="O563">
        <v>202502</v>
      </c>
      <c r="P563">
        <v>121630.66</v>
      </c>
      <c r="Q563" t="s">
        <v>82</v>
      </c>
      <c r="R563" t="s">
        <v>83</v>
      </c>
      <c r="S563" t="s">
        <v>49</v>
      </c>
      <c r="T563" t="s">
        <v>50</v>
      </c>
      <c r="U563" t="s">
        <v>20</v>
      </c>
      <c r="V563">
        <v>1</v>
      </c>
      <c r="W563" t="s">
        <v>90</v>
      </c>
      <c r="X563" t="s">
        <v>12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12</v>
      </c>
      <c r="AG563" t="s">
        <v>12</v>
      </c>
      <c r="AH563" t="s">
        <v>12</v>
      </c>
      <c r="AI563" t="s">
        <v>12</v>
      </c>
      <c r="AJ563" t="s">
        <v>12</v>
      </c>
      <c r="AK563">
        <v>1</v>
      </c>
      <c r="AL563">
        <v>0.1678</v>
      </c>
      <c r="AM563" t="s">
        <v>12</v>
      </c>
      <c r="AN563" t="s">
        <v>12</v>
      </c>
      <c r="AO563" t="s">
        <v>12</v>
      </c>
    </row>
    <row r="564" spans="1:41" x14ac:dyDescent="0.35">
      <c r="A564">
        <v>19075112</v>
      </c>
      <c r="B564">
        <v>202504</v>
      </c>
      <c r="C564">
        <v>20492279901</v>
      </c>
      <c r="D564" t="s">
        <v>829</v>
      </c>
      <c r="E564" t="s">
        <v>1</v>
      </c>
      <c r="F564">
        <v>10227616</v>
      </c>
      <c r="G564" t="s">
        <v>24</v>
      </c>
      <c r="H564" t="s">
        <v>43</v>
      </c>
      <c r="I564">
        <v>14277.337890625</v>
      </c>
      <c r="J564" s="1">
        <v>44767</v>
      </c>
      <c r="K564">
        <v>20</v>
      </c>
      <c r="L564" t="s">
        <v>37</v>
      </c>
      <c r="M564" t="s">
        <v>37</v>
      </c>
      <c r="N564" t="s">
        <v>12</v>
      </c>
      <c r="O564">
        <v>202207</v>
      </c>
      <c r="P564">
        <v>150007.5</v>
      </c>
      <c r="Q564" t="s">
        <v>12</v>
      </c>
      <c r="R564" t="s">
        <v>12</v>
      </c>
      <c r="S564" t="s">
        <v>12</v>
      </c>
      <c r="T564" t="s">
        <v>12</v>
      </c>
      <c r="U564" t="s">
        <v>12</v>
      </c>
      <c r="V564" t="s">
        <v>12</v>
      </c>
      <c r="W564" t="s">
        <v>12</v>
      </c>
      <c r="X564" t="s">
        <v>12</v>
      </c>
      <c r="Y564" t="s">
        <v>12</v>
      </c>
      <c r="Z564" t="s">
        <v>12</v>
      </c>
      <c r="AA564" t="s">
        <v>12</v>
      </c>
      <c r="AB564" t="s">
        <v>12</v>
      </c>
      <c r="AC564" t="s">
        <v>12</v>
      </c>
      <c r="AD564" t="s">
        <v>12</v>
      </c>
      <c r="AE564" t="s">
        <v>12</v>
      </c>
      <c r="AF564" t="s">
        <v>12</v>
      </c>
      <c r="AG564" t="s">
        <v>12</v>
      </c>
      <c r="AH564" t="s">
        <v>12</v>
      </c>
      <c r="AI564" t="s">
        <v>12</v>
      </c>
      <c r="AJ564" t="s">
        <v>12</v>
      </c>
      <c r="AK564" t="s">
        <v>12</v>
      </c>
      <c r="AL564" t="s">
        <v>12</v>
      </c>
      <c r="AM564" t="s">
        <v>12</v>
      </c>
      <c r="AN564" t="s">
        <v>12</v>
      </c>
      <c r="AO564" t="s">
        <v>12</v>
      </c>
    </row>
    <row r="565" spans="1:41" x14ac:dyDescent="0.35">
      <c r="A565">
        <v>17248965</v>
      </c>
      <c r="B565">
        <v>202602</v>
      </c>
      <c r="C565">
        <v>20603000936</v>
      </c>
      <c r="D565" t="s">
        <v>830</v>
      </c>
      <c r="E565" t="s">
        <v>1</v>
      </c>
      <c r="F565">
        <v>10271482</v>
      </c>
      <c r="G565" t="s">
        <v>14</v>
      </c>
      <c r="H565" t="s">
        <v>127</v>
      </c>
      <c r="I565">
        <v>98101.203125</v>
      </c>
      <c r="J565" s="1">
        <v>45918</v>
      </c>
      <c r="K565">
        <v>17</v>
      </c>
      <c r="L565" t="s">
        <v>37</v>
      </c>
      <c r="M565" t="s">
        <v>37</v>
      </c>
      <c r="N565" t="s">
        <v>16</v>
      </c>
      <c r="O565">
        <v>202509</v>
      </c>
      <c r="P565">
        <v>120006</v>
      </c>
      <c r="Q565" t="s">
        <v>522</v>
      </c>
      <c r="R565" t="s">
        <v>523</v>
      </c>
      <c r="S565" t="s">
        <v>127</v>
      </c>
      <c r="T565" t="s">
        <v>147</v>
      </c>
      <c r="U565" t="s">
        <v>41</v>
      </c>
      <c r="V565">
        <v>1</v>
      </c>
      <c r="W565" t="s">
        <v>10</v>
      </c>
      <c r="X565" t="s">
        <v>51</v>
      </c>
      <c r="Y565">
        <v>1</v>
      </c>
      <c r="Z565">
        <v>1</v>
      </c>
      <c r="AA565">
        <v>0</v>
      </c>
      <c r="AB565">
        <v>0</v>
      </c>
      <c r="AC565">
        <v>1</v>
      </c>
      <c r="AD565">
        <v>0</v>
      </c>
      <c r="AE565">
        <v>0</v>
      </c>
      <c r="AF565" t="s">
        <v>12</v>
      </c>
      <c r="AG565" t="s">
        <v>12</v>
      </c>
      <c r="AH565" t="s">
        <v>12</v>
      </c>
      <c r="AI565" t="s">
        <v>12</v>
      </c>
      <c r="AJ565" t="s">
        <v>12</v>
      </c>
      <c r="AK565">
        <v>250000</v>
      </c>
      <c r="AL565">
        <v>0.21</v>
      </c>
      <c r="AM565">
        <v>0.19</v>
      </c>
      <c r="AN565" t="s">
        <v>12</v>
      </c>
      <c r="AO565" t="s">
        <v>12</v>
      </c>
    </row>
    <row r="566" spans="1:41" x14ac:dyDescent="0.35">
      <c r="A566">
        <v>15445943</v>
      </c>
      <c r="B566">
        <v>202508</v>
      </c>
      <c r="C566">
        <v>20602346308</v>
      </c>
      <c r="D566" t="s">
        <v>831</v>
      </c>
      <c r="E566" t="s">
        <v>1</v>
      </c>
      <c r="F566">
        <v>10255879</v>
      </c>
      <c r="G566" t="s">
        <v>65</v>
      </c>
      <c r="H566" t="s">
        <v>135</v>
      </c>
      <c r="I566">
        <v>62944.66796875</v>
      </c>
      <c r="J566" s="1">
        <v>45464</v>
      </c>
      <c r="K566">
        <v>16</v>
      </c>
      <c r="L566" t="s">
        <v>4</v>
      </c>
      <c r="M566" t="s">
        <v>4</v>
      </c>
      <c r="N566" t="s">
        <v>47</v>
      </c>
      <c r="O566">
        <v>202406</v>
      </c>
      <c r="P566">
        <v>90004.5</v>
      </c>
      <c r="Q566" t="s">
        <v>135</v>
      </c>
      <c r="R566" t="s">
        <v>136</v>
      </c>
      <c r="S566" t="s">
        <v>18</v>
      </c>
      <c r="T566" t="s">
        <v>122</v>
      </c>
      <c r="U566" t="s">
        <v>41</v>
      </c>
      <c r="V566">
        <v>1</v>
      </c>
      <c r="W566" t="s">
        <v>10</v>
      </c>
      <c r="X566" t="s">
        <v>12</v>
      </c>
      <c r="Y566">
        <v>1</v>
      </c>
      <c r="Z566">
        <v>1</v>
      </c>
      <c r="AA566">
        <v>0</v>
      </c>
      <c r="AB566">
        <v>0</v>
      </c>
      <c r="AC566">
        <v>1</v>
      </c>
      <c r="AD566">
        <v>1</v>
      </c>
      <c r="AE566">
        <v>0</v>
      </c>
      <c r="AF566" t="s">
        <v>12</v>
      </c>
      <c r="AG566" t="s">
        <v>12</v>
      </c>
      <c r="AH566" t="s">
        <v>12</v>
      </c>
      <c r="AI566" t="s">
        <v>12</v>
      </c>
      <c r="AJ566" t="s">
        <v>12</v>
      </c>
      <c r="AK566">
        <v>400000</v>
      </c>
      <c r="AL566">
        <v>0.21</v>
      </c>
      <c r="AM566">
        <v>0.19</v>
      </c>
      <c r="AN566" t="s">
        <v>12</v>
      </c>
      <c r="AO566" t="s">
        <v>12</v>
      </c>
    </row>
    <row r="567" spans="1:41" x14ac:dyDescent="0.35">
      <c r="A567">
        <v>21496517</v>
      </c>
      <c r="B567">
        <v>202601</v>
      </c>
      <c r="C567">
        <v>20611397233</v>
      </c>
      <c r="D567" t="s">
        <v>832</v>
      </c>
      <c r="E567" t="s">
        <v>1</v>
      </c>
      <c r="F567">
        <v>10265618</v>
      </c>
      <c r="G567" t="s">
        <v>28</v>
      </c>
      <c r="H567" t="s">
        <v>249</v>
      </c>
      <c r="I567">
        <v>23946.720703125</v>
      </c>
      <c r="J567" s="1">
        <v>45712</v>
      </c>
      <c r="K567">
        <v>18.5</v>
      </c>
      <c r="L567" t="s">
        <v>4</v>
      </c>
      <c r="M567" t="s">
        <v>4</v>
      </c>
      <c r="N567" t="s">
        <v>26</v>
      </c>
      <c r="O567">
        <v>202502</v>
      </c>
      <c r="P567">
        <v>50002.5</v>
      </c>
      <c r="Q567" t="s">
        <v>249</v>
      </c>
      <c r="R567" t="s">
        <v>12</v>
      </c>
      <c r="S567" t="s">
        <v>12</v>
      </c>
      <c r="T567" t="s">
        <v>12</v>
      </c>
      <c r="U567" t="s">
        <v>20</v>
      </c>
      <c r="V567">
        <v>2</v>
      </c>
      <c r="W567" t="s">
        <v>10</v>
      </c>
      <c r="X567" t="s">
        <v>51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12</v>
      </c>
      <c r="AG567" t="s">
        <v>12</v>
      </c>
      <c r="AH567" t="s">
        <v>12</v>
      </c>
      <c r="AI567" t="s">
        <v>12</v>
      </c>
      <c r="AJ567" t="s">
        <v>12</v>
      </c>
      <c r="AK567">
        <v>1</v>
      </c>
      <c r="AL567">
        <v>1</v>
      </c>
      <c r="AM567">
        <v>0.24</v>
      </c>
      <c r="AN567" t="s">
        <v>12</v>
      </c>
      <c r="AO567" t="s">
        <v>12</v>
      </c>
    </row>
    <row r="568" spans="1:41" x14ac:dyDescent="0.35">
      <c r="A568">
        <v>19934148</v>
      </c>
      <c r="B568">
        <v>202601</v>
      </c>
      <c r="C568">
        <v>10001859655</v>
      </c>
      <c r="D568" t="s">
        <v>833</v>
      </c>
      <c r="E568">
        <v>185965</v>
      </c>
      <c r="F568">
        <v>10266268</v>
      </c>
      <c r="G568" t="s">
        <v>100</v>
      </c>
      <c r="H568" t="s">
        <v>127</v>
      </c>
      <c r="I568">
        <v>52030.68359375</v>
      </c>
      <c r="J568" s="1">
        <v>45734</v>
      </c>
      <c r="K568">
        <v>16</v>
      </c>
      <c r="L568" t="s">
        <v>37</v>
      </c>
      <c r="M568" t="s">
        <v>37</v>
      </c>
      <c r="N568" t="s">
        <v>102</v>
      </c>
      <c r="O568">
        <v>202503</v>
      </c>
      <c r="P568">
        <v>109841.95</v>
      </c>
      <c r="Q568" t="s">
        <v>145</v>
      </c>
      <c r="R568" t="s">
        <v>146</v>
      </c>
      <c r="S568" t="s">
        <v>127</v>
      </c>
      <c r="T568" t="s">
        <v>147</v>
      </c>
      <c r="U568" t="s">
        <v>63</v>
      </c>
      <c r="V568">
        <v>1</v>
      </c>
      <c r="W568" t="s">
        <v>21</v>
      </c>
      <c r="X568" t="s">
        <v>59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12</v>
      </c>
      <c r="AG568" t="s">
        <v>12</v>
      </c>
      <c r="AH568" t="s">
        <v>12</v>
      </c>
      <c r="AI568" t="s">
        <v>12</v>
      </c>
      <c r="AJ568" t="s">
        <v>12</v>
      </c>
      <c r="AK568">
        <v>200000</v>
      </c>
      <c r="AL568">
        <v>0.22670000000000001</v>
      </c>
      <c r="AM568">
        <v>0.20669999999999999</v>
      </c>
      <c r="AN568" t="s">
        <v>12</v>
      </c>
      <c r="AO568" t="s">
        <v>12</v>
      </c>
    </row>
    <row r="569" spans="1:41" x14ac:dyDescent="0.35">
      <c r="A569">
        <v>8703594</v>
      </c>
      <c r="B569">
        <v>202602</v>
      </c>
      <c r="C569">
        <v>20124794413</v>
      </c>
      <c r="D569" t="s">
        <v>834</v>
      </c>
      <c r="E569" t="s">
        <v>1</v>
      </c>
      <c r="F569">
        <v>10270215</v>
      </c>
      <c r="G569" t="s">
        <v>78</v>
      </c>
      <c r="H569" t="s">
        <v>210</v>
      </c>
      <c r="I569">
        <v>188913.875</v>
      </c>
      <c r="J569" s="1">
        <v>45876</v>
      </c>
      <c r="K569">
        <v>16.5</v>
      </c>
      <c r="L569" t="s">
        <v>4</v>
      </c>
      <c r="M569" t="s">
        <v>4</v>
      </c>
      <c r="N569" t="s">
        <v>41</v>
      </c>
      <c r="O569">
        <v>202508</v>
      </c>
      <c r="P569">
        <v>271713.55</v>
      </c>
      <c r="Q569" t="s">
        <v>210</v>
      </c>
      <c r="R569" t="s">
        <v>211</v>
      </c>
      <c r="S569" t="s">
        <v>39</v>
      </c>
      <c r="T569" t="s">
        <v>40</v>
      </c>
      <c r="U569" t="s">
        <v>63</v>
      </c>
      <c r="V569">
        <v>1</v>
      </c>
      <c r="W569" t="s">
        <v>10</v>
      </c>
      <c r="X569" t="s">
        <v>22</v>
      </c>
      <c r="Y569">
        <v>1</v>
      </c>
      <c r="Z569">
        <v>1</v>
      </c>
      <c r="AA569">
        <v>0</v>
      </c>
      <c r="AB569">
        <v>0</v>
      </c>
      <c r="AC569">
        <v>1</v>
      </c>
      <c r="AD569">
        <v>1</v>
      </c>
      <c r="AE569">
        <v>0</v>
      </c>
      <c r="AF569" t="s">
        <v>12</v>
      </c>
      <c r="AG569" t="s">
        <v>12</v>
      </c>
      <c r="AH569" t="s">
        <v>12</v>
      </c>
      <c r="AI569" t="s">
        <v>12</v>
      </c>
      <c r="AJ569" t="s">
        <v>12</v>
      </c>
      <c r="AK569">
        <v>81500</v>
      </c>
      <c r="AL569">
        <v>0.21</v>
      </c>
      <c r="AM569">
        <v>0.19</v>
      </c>
      <c r="AN569" t="s">
        <v>12</v>
      </c>
      <c r="AO569" t="s">
        <v>12</v>
      </c>
    </row>
    <row r="570" spans="1:41" x14ac:dyDescent="0.35">
      <c r="A570">
        <v>15688261</v>
      </c>
      <c r="B570">
        <v>202503</v>
      </c>
      <c r="C570">
        <v>20554352783</v>
      </c>
      <c r="D570" t="s">
        <v>835</v>
      </c>
      <c r="E570" t="s">
        <v>1</v>
      </c>
      <c r="F570">
        <v>10157331</v>
      </c>
      <c r="G570" t="s">
        <v>2</v>
      </c>
      <c r="H570" t="s">
        <v>603</v>
      </c>
      <c r="I570">
        <v>110694.296875</v>
      </c>
      <c r="J570" s="1">
        <v>45533</v>
      </c>
      <c r="K570">
        <v>20.5</v>
      </c>
      <c r="L570" t="s">
        <v>4</v>
      </c>
      <c r="M570" t="s">
        <v>4</v>
      </c>
      <c r="N570" t="s">
        <v>5</v>
      </c>
      <c r="O570">
        <v>202408</v>
      </c>
      <c r="P570">
        <v>140007</v>
      </c>
      <c r="Q570" t="s">
        <v>603</v>
      </c>
      <c r="R570" t="s">
        <v>642</v>
      </c>
      <c r="S570" t="s">
        <v>18</v>
      </c>
      <c r="T570" t="s">
        <v>122</v>
      </c>
      <c r="U570" t="s">
        <v>41</v>
      </c>
      <c r="V570">
        <v>1</v>
      </c>
      <c r="W570" t="s">
        <v>10</v>
      </c>
      <c r="X570" t="s">
        <v>12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12</v>
      </c>
      <c r="AG570" t="s">
        <v>12</v>
      </c>
      <c r="AH570" t="s">
        <v>12</v>
      </c>
      <c r="AI570" t="s">
        <v>12</v>
      </c>
      <c r="AJ570" t="s">
        <v>12</v>
      </c>
      <c r="AK570">
        <v>109993</v>
      </c>
      <c r="AL570">
        <v>0.22</v>
      </c>
      <c r="AM570">
        <v>0.20200000000000001</v>
      </c>
      <c r="AN570" t="s">
        <v>12</v>
      </c>
      <c r="AO570" t="s">
        <v>12</v>
      </c>
    </row>
    <row r="571" spans="1:41" x14ac:dyDescent="0.35">
      <c r="A571">
        <v>13231239</v>
      </c>
      <c r="B571">
        <v>202506</v>
      </c>
      <c r="C571">
        <v>20538900240</v>
      </c>
      <c r="D571" t="s">
        <v>836</v>
      </c>
      <c r="E571" t="s">
        <v>1</v>
      </c>
      <c r="F571">
        <v>10264945</v>
      </c>
      <c r="G571" t="s">
        <v>2</v>
      </c>
      <c r="H571" t="s">
        <v>240</v>
      </c>
      <c r="I571">
        <v>199124.078125</v>
      </c>
      <c r="J571" s="1">
        <v>45686</v>
      </c>
      <c r="K571">
        <v>15</v>
      </c>
      <c r="L571" t="s">
        <v>4</v>
      </c>
      <c r="M571" t="s">
        <v>4</v>
      </c>
      <c r="N571" t="s">
        <v>41</v>
      </c>
      <c r="O571">
        <v>202501</v>
      </c>
      <c r="P571">
        <v>250012.5</v>
      </c>
      <c r="Q571" t="s">
        <v>240</v>
      </c>
      <c r="R571" t="s">
        <v>241</v>
      </c>
      <c r="S571" t="s">
        <v>39</v>
      </c>
      <c r="T571" t="s">
        <v>40</v>
      </c>
      <c r="U571" t="s">
        <v>41</v>
      </c>
      <c r="V571">
        <v>1</v>
      </c>
      <c r="W571" t="s">
        <v>10</v>
      </c>
      <c r="X571" t="s">
        <v>12</v>
      </c>
      <c r="Y571">
        <v>1</v>
      </c>
      <c r="Z571">
        <v>1</v>
      </c>
      <c r="AA571">
        <v>0</v>
      </c>
      <c r="AB571">
        <v>0</v>
      </c>
      <c r="AC571">
        <v>1</v>
      </c>
      <c r="AD571">
        <v>1</v>
      </c>
      <c r="AE571">
        <v>0</v>
      </c>
      <c r="AF571" t="s">
        <v>12</v>
      </c>
      <c r="AG571" t="s">
        <v>12</v>
      </c>
      <c r="AH571" t="s">
        <v>12</v>
      </c>
      <c r="AI571" t="s">
        <v>12</v>
      </c>
      <c r="AJ571" t="s">
        <v>12</v>
      </c>
      <c r="AK571">
        <v>250000</v>
      </c>
      <c r="AL571">
        <v>0.24</v>
      </c>
      <c r="AM571">
        <v>0.2233</v>
      </c>
      <c r="AN571" t="s">
        <v>12</v>
      </c>
      <c r="AO571" t="s">
        <v>12</v>
      </c>
    </row>
    <row r="572" spans="1:41" x14ac:dyDescent="0.35">
      <c r="A572">
        <v>15247951</v>
      </c>
      <c r="B572">
        <v>202511</v>
      </c>
      <c r="C572">
        <v>20545417163</v>
      </c>
      <c r="D572" t="s">
        <v>837</v>
      </c>
      <c r="E572" t="s">
        <v>1</v>
      </c>
      <c r="F572">
        <v>10265357</v>
      </c>
      <c r="G572" t="s">
        <v>293</v>
      </c>
      <c r="H572" t="s">
        <v>135</v>
      </c>
      <c r="I572">
        <v>333116.28125</v>
      </c>
      <c r="J572" s="1">
        <v>45702</v>
      </c>
      <c r="K572">
        <v>12.5</v>
      </c>
      <c r="L572" t="s">
        <v>4</v>
      </c>
      <c r="M572" t="s">
        <v>4</v>
      </c>
      <c r="N572" t="s">
        <v>20</v>
      </c>
      <c r="O572">
        <v>202502</v>
      </c>
      <c r="P572">
        <v>376018.8</v>
      </c>
      <c r="Q572" t="s">
        <v>217</v>
      </c>
      <c r="R572" t="s">
        <v>218</v>
      </c>
      <c r="S572" t="s">
        <v>18</v>
      </c>
      <c r="T572" t="s">
        <v>122</v>
      </c>
      <c r="U572" t="s">
        <v>5</v>
      </c>
      <c r="V572">
        <v>1</v>
      </c>
      <c r="W572" t="s">
        <v>10</v>
      </c>
      <c r="X572" t="s">
        <v>51</v>
      </c>
      <c r="Y572">
        <v>1</v>
      </c>
      <c r="Z572">
        <v>1</v>
      </c>
      <c r="AA572">
        <v>0</v>
      </c>
      <c r="AB572">
        <v>0</v>
      </c>
      <c r="AC572">
        <v>1</v>
      </c>
      <c r="AD572">
        <v>1</v>
      </c>
      <c r="AE572">
        <v>0</v>
      </c>
      <c r="AF572" t="s">
        <v>12</v>
      </c>
      <c r="AG572" t="s">
        <v>12</v>
      </c>
      <c r="AH572" t="s">
        <v>12</v>
      </c>
      <c r="AI572" t="s">
        <v>12</v>
      </c>
      <c r="AJ572" t="s">
        <v>12</v>
      </c>
      <c r="AK572">
        <v>33000</v>
      </c>
      <c r="AL572">
        <v>0.23380000000000001</v>
      </c>
      <c r="AM572">
        <v>0.21379999999999999</v>
      </c>
      <c r="AN572" t="s">
        <v>12</v>
      </c>
      <c r="AO572" t="s">
        <v>12</v>
      </c>
    </row>
    <row r="573" spans="1:41" x14ac:dyDescent="0.35">
      <c r="A573">
        <v>21485913</v>
      </c>
      <c r="B573">
        <v>202511</v>
      </c>
      <c r="C573">
        <v>20607204722</v>
      </c>
      <c r="D573" t="s">
        <v>838</v>
      </c>
      <c r="E573" t="s">
        <v>1</v>
      </c>
      <c r="F573">
        <v>10265417</v>
      </c>
      <c r="G573" t="s">
        <v>14</v>
      </c>
      <c r="H573" t="s">
        <v>166</v>
      </c>
      <c r="I573">
        <v>53891.81640625</v>
      </c>
      <c r="J573" s="1">
        <v>45706</v>
      </c>
      <c r="K573">
        <v>22.5</v>
      </c>
      <c r="L573" t="s">
        <v>37</v>
      </c>
      <c r="M573" t="s">
        <v>75</v>
      </c>
      <c r="N573" t="s">
        <v>16</v>
      </c>
      <c r="O573">
        <v>202502</v>
      </c>
      <c r="P573">
        <v>100005</v>
      </c>
      <c r="Q573" t="s">
        <v>166</v>
      </c>
      <c r="R573" t="s">
        <v>167</v>
      </c>
      <c r="S573" t="s">
        <v>111</v>
      </c>
      <c r="T573" t="s">
        <v>112</v>
      </c>
      <c r="U573" t="s">
        <v>41</v>
      </c>
      <c r="V573">
        <v>2</v>
      </c>
      <c r="W573" t="s">
        <v>10</v>
      </c>
      <c r="X573" t="s">
        <v>51</v>
      </c>
      <c r="Y573">
        <v>1</v>
      </c>
      <c r="Z573">
        <v>1</v>
      </c>
      <c r="AA573">
        <v>0</v>
      </c>
      <c r="AB573">
        <v>1</v>
      </c>
      <c r="AC573">
        <v>1</v>
      </c>
      <c r="AD573">
        <v>1</v>
      </c>
      <c r="AE573">
        <v>0</v>
      </c>
      <c r="AF573" t="s">
        <v>12</v>
      </c>
      <c r="AG573" t="s">
        <v>12</v>
      </c>
      <c r="AH573" t="s">
        <v>12</v>
      </c>
      <c r="AI573" t="s">
        <v>12</v>
      </c>
      <c r="AJ573" t="s">
        <v>12</v>
      </c>
      <c r="AK573">
        <v>250000</v>
      </c>
      <c r="AL573">
        <v>0.245</v>
      </c>
      <c r="AM573">
        <v>0.22500000000000001</v>
      </c>
      <c r="AN573" t="s">
        <v>12</v>
      </c>
      <c r="AO573" t="s">
        <v>12</v>
      </c>
    </row>
    <row r="574" spans="1:41" x14ac:dyDescent="0.35">
      <c r="A574">
        <v>19275799</v>
      </c>
      <c r="B574">
        <v>202509</v>
      </c>
      <c r="C574">
        <v>20609894301</v>
      </c>
      <c r="D574" t="s">
        <v>839</v>
      </c>
      <c r="E574" t="s">
        <v>1</v>
      </c>
      <c r="F574">
        <v>10255587</v>
      </c>
      <c r="G574" t="s">
        <v>65</v>
      </c>
      <c r="H574" t="s">
        <v>117</v>
      </c>
      <c r="I574">
        <v>2005.91870117188</v>
      </c>
      <c r="J574" s="1">
        <v>45462</v>
      </c>
      <c r="K574">
        <v>15.5</v>
      </c>
      <c r="L574" t="s">
        <v>37</v>
      </c>
      <c r="M574" t="s">
        <v>37</v>
      </c>
      <c r="N574" t="s">
        <v>47</v>
      </c>
      <c r="O574">
        <v>202406</v>
      </c>
      <c r="P574">
        <v>50002.5</v>
      </c>
      <c r="Q574" t="s">
        <v>12</v>
      </c>
      <c r="R574" t="s">
        <v>12</v>
      </c>
      <c r="S574" t="s">
        <v>12</v>
      </c>
      <c r="T574" t="s">
        <v>12</v>
      </c>
      <c r="U574" t="s">
        <v>12</v>
      </c>
      <c r="V574" t="s">
        <v>12</v>
      </c>
      <c r="W574" t="s">
        <v>12</v>
      </c>
      <c r="X574" t="s">
        <v>12</v>
      </c>
      <c r="Y574" t="s">
        <v>12</v>
      </c>
      <c r="Z574" t="s">
        <v>12</v>
      </c>
      <c r="AA574" t="s">
        <v>12</v>
      </c>
      <c r="AB574" t="s">
        <v>12</v>
      </c>
      <c r="AC574" t="s">
        <v>12</v>
      </c>
      <c r="AD574" t="s">
        <v>12</v>
      </c>
      <c r="AE574" t="s">
        <v>12</v>
      </c>
      <c r="AF574" t="s">
        <v>12</v>
      </c>
      <c r="AG574" t="s">
        <v>12</v>
      </c>
      <c r="AH574" t="s">
        <v>12</v>
      </c>
      <c r="AI574" t="s">
        <v>12</v>
      </c>
      <c r="AJ574" t="s">
        <v>12</v>
      </c>
      <c r="AK574" t="s">
        <v>12</v>
      </c>
      <c r="AL574" t="s">
        <v>12</v>
      </c>
      <c r="AM574" t="s">
        <v>12</v>
      </c>
      <c r="AN574" t="s">
        <v>12</v>
      </c>
      <c r="AO574" t="s">
        <v>12</v>
      </c>
    </row>
    <row r="575" spans="1:41" x14ac:dyDescent="0.35">
      <c r="A575">
        <v>21739445</v>
      </c>
      <c r="B575">
        <v>202512</v>
      </c>
      <c r="C575">
        <v>20482682694</v>
      </c>
      <c r="D575" t="s">
        <v>840</v>
      </c>
      <c r="E575" t="s">
        <v>1</v>
      </c>
      <c r="F575">
        <v>10269537</v>
      </c>
      <c r="G575" t="s">
        <v>24</v>
      </c>
      <c r="H575" t="s">
        <v>513</v>
      </c>
      <c r="I575">
        <v>10238.41796875</v>
      </c>
      <c r="J575" s="1">
        <v>45849</v>
      </c>
      <c r="K575">
        <v>19</v>
      </c>
      <c r="L575" t="s">
        <v>37</v>
      </c>
      <c r="M575" t="s">
        <v>37</v>
      </c>
      <c r="N575" t="s">
        <v>98</v>
      </c>
      <c r="O575">
        <v>202507</v>
      </c>
      <c r="P575">
        <v>70003.5</v>
      </c>
      <c r="Q575" t="s">
        <v>513</v>
      </c>
      <c r="R575" t="s">
        <v>514</v>
      </c>
      <c r="S575" t="s">
        <v>111</v>
      </c>
      <c r="T575" t="s">
        <v>112</v>
      </c>
      <c r="U575" t="s">
        <v>41</v>
      </c>
      <c r="V575">
        <v>2</v>
      </c>
      <c r="W575" t="s">
        <v>10</v>
      </c>
      <c r="X575" t="s">
        <v>51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 t="s">
        <v>12</v>
      </c>
      <c r="AG575" t="s">
        <v>12</v>
      </c>
      <c r="AH575" t="s">
        <v>12</v>
      </c>
      <c r="AI575" t="s">
        <v>12</v>
      </c>
      <c r="AJ575" t="s">
        <v>12</v>
      </c>
      <c r="AK575">
        <v>250000</v>
      </c>
      <c r="AL575">
        <v>0.22220000000000001</v>
      </c>
      <c r="AM575">
        <v>0.20219999999999999</v>
      </c>
      <c r="AN575" t="s">
        <v>12</v>
      </c>
      <c r="AO575" t="s">
        <v>12</v>
      </c>
    </row>
    <row r="576" spans="1:41" x14ac:dyDescent="0.35">
      <c r="A576">
        <v>16477561</v>
      </c>
      <c r="B576">
        <v>202511</v>
      </c>
      <c r="C576">
        <v>20546145515</v>
      </c>
      <c r="D576" t="s">
        <v>841</v>
      </c>
      <c r="E576" t="s">
        <v>1</v>
      </c>
      <c r="F576">
        <v>10264546</v>
      </c>
      <c r="G576" t="s">
        <v>14</v>
      </c>
      <c r="H576" t="s">
        <v>85</v>
      </c>
      <c r="I576">
        <v>91065.3203125</v>
      </c>
      <c r="J576" s="1">
        <v>45671</v>
      </c>
      <c r="K576">
        <v>18.2</v>
      </c>
      <c r="L576" t="s">
        <v>37</v>
      </c>
      <c r="M576" t="s">
        <v>37</v>
      </c>
      <c r="N576" t="s">
        <v>16</v>
      </c>
      <c r="O576">
        <v>202501</v>
      </c>
      <c r="P576">
        <v>146007.29999999999</v>
      </c>
      <c r="Q576" t="s">
        <v>85</v>
      </c>
      <c r="R576" t="s">
        <v>87</v>
      </c>
      <c r="S576" t="s">
        <v>88</v>
      </c>
      <c r="T576" t="s">
        <v>89</v>
      </c>
      <c r="U576" t="s">
        <v>41</v>
      </c>
      <c r="V576">
        <v>2</v>
      </c>
      <c r="W576" t="s">
        <v>10</v>
      </c>
      <c r="X576" t="s">
        <v>11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12</v>
      </c>
      <c r="AG576" t="s">
        <v>12</v>
      </c>
      <c r="AH576" t="s">
        <v>12</v>
      </c>
      <c r="AI576" t="s">
        <v>12</v>
      </c>
      <c r="AJ576" t="s">
        <v>12</v>
      </c>
      <c r="AK576">
        <v>400000</v>
      </c>
      <c r="AL576">
        <v>0.21</v>
      </c>
      <c r="AM576">
        <v>0.19</v>
      </c>
      <c r="AN576" t="s">
        <v>12</v>
      </c>
      <c r="AO576" t="s">
        <v>12</v>
      </c>
    </row>
    <row r="577" spans="1:41" x14ac:dyDescent="0.35">
      <c r="A577">
        <v>21330093</v>
      </c>
      <c r="B577">
        <v>202511</v>
      </c>
      <c r="C577">
        <v>10256827285</v>
      </c>
      <c r="D577" t="s">
        <v>842</v>
      </c>
      <c r="E577">
        <v>25682728</v>
      </c>
      <c r="F577">
        <v>10263220</v>
      </c>
      <c r="G577" t="s">
        <v>65</v>
      </c>
      <c r="H577" t="s">
        <v>183</v>
      </c>
      <c r="I577">
        <v>48840.6484375</v>
      </c>
      <c r="J577" s="1">
        <v>45624</v>
      </c>
      <c r="K577">
        <v>14.5</v>
      </c>
      <c r="L577" t="s">
        <v>37</v>
      </c>
      <c r="M577" t="s">
        <v>75</v>
      </c>
      <c r="N577" t="s">
        <v>47</v>
      </c>
      <c r="O577">
        <v>202411</v>
      </c>
      <c r="P577">
        <v>60003</v>
      </c>
      <c r="Q577" t="s">
        <v>36</v>
      </c>
      <c r="R577" t="s">
        <v>38</v>
      </c>
      <c r="S577" t="s">
        <v>39</v>
      </c>
      <c r="T577" t="s">
        <v>40</v>
      </c>
      <c r="U577" t="s">
        <v>41</v>
      </c>
      <c r="V577">
        <v>1</v>
      </c>
      <c r="W577" t="s">
        <v>90</v>
      </c>
      <c r="X577" t="s">
        <v>59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12</v>
      </c>
      <c r="AG577" t="s">
        <v>12</v>
      </c>
      <c r="AH577" t="s">
        <v>12</v>
      </c>
      <c r="AI577" t="s">
        <v>12</v>
      </c>
      <c r="AJ577" t="s">
        <v>12</v>
      </c>
      <c r="AK577">
        <v>200000</v>
      </c>
      <c r="AL577">
        <v>0.24679999999999999</v>
      </c>
      <c r="AM577">
        <v>0.2268</v>
      </c>
      <c r="AN577" t="s">
        <v>12</v>
      </c>
      <c r="AO577" t="s">
        <v>12</v>
      </c>
    </row>
    <row r="578" spans="1:41" x14ac:dyDescent="0.35">
      <c r="A578">
        <v>17130200</v>
      </c>
      <c r="B578">
        <v>202507</v>
      </c>
      <c r="C578">
        <v>10771667029</v>
      </c>
      <c r="D578" t="s">
        <v>843</v>
      </c>
      <c r="E578">
        <v>77166702</v>
      </c>
      <c r="F578">
        <v>10262601</v>
      </c>
      <c r="G578" t="s">
        <v>24</v>
      </c>
      <c r="H578" t="s">
        <v>85</v>
      </c>
      <c r="I578">
        <v>42915.671875</v>
      </c>
      <c r="J578" s="1">
        <v>45610</v>
      </c>
      <c r="K578">
        <v>24.5</v>
      </c>
      <c r="L578" t="s">
        <v>37</v>
      </c>
      <c r="M578" t="s">
        <v>75</v>
      </c>
      <c r="N578" t="s">
        <v>12</v>
      </c>
      <c r="O578">
        <v>202411</v>
      </c>
      <c r="P578">
        <v>60003</v>
      </c>
      <c r="Q578" t="s">
        <v>12</v>
      </c>
      <c r="R578" t="s">
        <v>12</v>
      </c>
      <c r="S578" t="s">
        <v>12</v>
      </c>
      <c r="T578" t="s">
        <v>12</v>
      </c>
      <c r="U578" t="s">
        <v>12</v>
      </c>
      <c r="V578" t="s">
        <v>12</v>
      </c>
      <c r="W578" t="s">
        <v>12</v>
      </c>
      <c r="X578" t="s">
        <v>12</v>
      </c>
      <c r="Y578" t="s">
        <v>12</v>
      </c>
      <c r="Z578" t="s">
        <v>12</v>
      </c>
      <c r="AA578" t="s">
        <v>12</v>
      </c>
      <c r="AB578" t="s">
        <v>12</v>
      </c>
      <c r="AC578" t="s">
        <v>12</v>
      </c>
      <c r="AD578" t="s">
        <v>12</v>
      </c>
      <c r="AE578" t="s">
        <v>12</v>
      </c>
      <c r="AF578" t="s">
        <v>12</v>
      </c>
      <c r="AG578" t="s">
        <v>12</v>
      </c>
      <c r="AH578" t="s">
        <v>12</v>
      </c>
      <c r="AI578" t="s">
        <v>12</v>
      </c>
      <c r="AJ578" t="s">
        <v>12</v>
      </c>
      <c r="AK578" t="s">
        <v>12</v>
      </c>
      <c r="AL578" t="s">
        <v>12</v>
      </c>
      <c r="AM578" t="s">
        <v>12</v>
      </c>
      <c r="AN578" t="s">
        <v>12</v>
      </c>
      <c r="AO578" t="s">
        <v>12</v>
      </c>
    </row>
    <row r="579" spans="1:41" x14ac:dyDescent="0.35">
      <c r="A579">
        <v>15955862</v>
      </c>
      <c r="B579">
        <v>202512</v>
      </c>
      <c r="C579">
        <v>10428635324</v>
      </c>
      <c r="D579" t="s">
        <v>844</v>
      </c>
      <c r="E579">
        <v>42863532</v>
      </c>
      <c r="F579">
        <v>10258199</v>
      </c>
      <c r="G579" t="s">
        <v>45</v>
      </c>
      <c r="H579" t="s">
        <v>483</v>
      </c>
      <c r="I579">
        <v>75863.1953125</v>
      </c>
      <c r="J579" s="1">
        <v>45503</v>
      </c>
      <c r="K579">
        <v>14.49</v>
      </c>
      <c r="L579" t="s">
        <v>37</v>
      </c>
      <c r="M579" t="s">
        <v>37</v>
      </c>
      <c r="N579" t="s">
        <v>47</v>
      </c>
      <c r="O579">
        <v>202407</v>
      </c>
      <c r="P579">
        <v>90005.5</v>
      </c>
      <c r="Q579" t="s">
        <v>240</v>
      </c>
      <c r="R579" t="s">
        <v>241</v>
      </c>
      <c r="S579" t="s">
        <v>39</v>
      </c>
      <c r="T579" t="s">
        <v>40</v>
      </c>
      <c r="U579" t="s">
        <v>41</v>
      </c>
      <c r="V579">
        <v>1</v>
      </c>
      <c r="W579" t="s">
        <v>90</v>
      </c>
      <c r="X579" t="s">
        <v>59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0</v>
      </c>
      <c r="AE579">
        <v>0</v>
      </c>
      <c r="AF579" t="s">
        <v>12</v>
      </c>
      <c r="AG579" t="s">
        <v>12</v>
      </c>
      <c r="AH579" t="s">
        <v>12</v>
      </c>
      <c r="AI579" t="s">
        <v>12</v>
      </c>
      <c r="AJ579" t="s">
        <v>12</v>
      </c>
      <c r="AK579">
        <v>300000</v>
      </c>
      <c r="AL579">
        <v>0.21920000000000001</v>
      </c>
      <c r="AM579">
        <v>0.19919999999999999</v>
      </c>
      <c r="AN579" t="s">
        <v>12</v>
      </c>
      <c r="AO579" t="s">
        <v>12</v>
      </c>
    </row>
    <row r="580" spans="1:41" x14ac:dyDescent="0.35">
      <c r="A580">
        <v>20746811</v>
      </c>
      <c r="B580">
        <v>202601</v>
      </c>
      <c r="C580">
        <v>20608692623</v>
      </c>
      <c r="D580" t="s">
        <v>434</v>
      </c>
      <c r="E580" t="s">
        <v>1</v>
      </c>
      <c r="F580">
        <v>10274402</v>
      </c>
      <c r="G580" t="s">
        <v>78</v>
      </c>
      <c r="H580" t="s">
        <v>417</v>
      </c>
      <c r="I580">
        <v>74191.6875</v>
      </c>
      <c r="J580" s="1">
        <v>46030</v>
      </c>
      <c r="K580">
        <v>19</v>
      </c>
      <c r="L580" t="s">
        <v>4</v>
      </c>
      <c r="M580" t="s">
        <v>4</v>
      </c>
      <c r="N580" t="s">
        <v>41</v>
      </c>
      <c r="O580">
        <v>202601</v>
      </c>
      <c r="P580">
        <v>80304</v>
      </c>
      <c r="Q580" t="s">
        <v>417</v>
      </c>
      <c r="R580" t="s">
        <v>418</v>
      </c>
      <c r="S580" t="s">
        <v>31</v>
      </c>
      <c r="T580" t="s">
        <v>32</v>
      </c>
      <c r="U580" t="s">
        <v>41</v>
      </c>
      <c r="V580">
        <v>1</v>
      </c>
      <c r="W580" t="s">
        <v>21</v>
      </c>
      <c r="X580" t="s">
        <v>22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80304</v>
      </c>
      <c r="AF580">
        <v>19</v>
      </c>
      <c r="AG580" s="1">
        <v>46030</v>
      </c>
      <c r="AH580" t="s">
        <v>41</v>
      </c>
      <c r="AI580" t="s">
        <v>4</v>
      </c>
      <c r="AJ580" t="s">
        <v>33</v>
      </c>
      <c r="AK580">
        <v>80300</v>
      </c>
      <c r="AL580">
        <v>0.21</v>
      </c>
      <c r="AM580">
        <v>0.19</v>
      </c>
      <c r="AN580" t="s">
        <v>12</v>
      </c>
      <c r="AO580" t="s">
        <v>12</v>
      </c>
    </row>
    <row r="581" spans="1:41" x14ac:dyDescent="0.35">
      <c r="A581">
        <v>11754821</v>
      </c>
      <c r="B581">
        <v>202512</v>
      </c>
      <c r="C581">
        <v>20522737730</v>
      </c>
      <c r="D581" t="s">
        <v>179</v>
      </c>
      <c r="E581" t="s">
        <v>1</v>
      </c>
      <c r="F581">
        <v>10262706</v>
      </c>
      <c r="G581" t="s">
        <v>45</v>
      </c>
      <c r="H581" t="s">
        <v>93</v>
      </c>
      <c r="I581">
        <v>3527.98803710938</v>
      </c>
      <c r="J581" s="1">
        <v>45615</v>
      </c>
      <c r="K581">
        <v>15.5</v>
      </c>
      <c r="L581" t="s">
        <v>37</v>
      </c>
      <c r="M581" t="s">
        <v>37</v>
      </c>
      <c r="N581" t="s">
        <v>47</v>
      </c>
      <c r="O581">
        <v>202411</v>
      </c>
      <c r="P581">
        <v>90004.5</v>
      </c>
      <c r="Q581" t="s">
        <v>93</v>
      </c>
      <c r="R581" t="s">
        <v>94</v>
      </c>
      <c r="S581" t="s">
        <v>7</v>
      </c>
      <c r="T581" t="s">
        <v>8</v>
      </c>
      <c r="U581" t="s">
        <v>9</v>
      </c>
      <c r="V581">
        <v>1</v>
      </c>
      <c r="W581" t="s">
        <v>10</v>
      </c>
      <c r="X581" t="s">
        <v>22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12</v>
      </c>
      <c r="AG581" t="s">
        <v>12</v>
      </c>
      <c r="AH581" t="s">
        <v>12</v>
      </c>
      <c r="AI581" t="s">
        <v>12</v>
      </c>
      <c r="AJ581" t="s">
        <v>12</v>
      </c>
      <c r="AK581">
        <v>0</v>
      </c>
      <c r="AL581">
        <v>0</v>
      </c>
      <c r="AM581">
        <v>0</v>
      </c>
      <c r="AN581" t="s">
        <v>12</v>
      </c>
      <c r="AO581" t="s">
        <v>12</v>
      </c>
    </row>
    <row r="582" spans="1:41" x14ac:dyDescent="0.35">
      <c r="A582">
        <v>19829538</v>
      </c>
      <c r="B582">
        <v>202601</v>
      </c>
      <c r="C582">
        <v>20610648160</v>
      </c>
      <c r="D582" t="s">
        <v>845</v>
      </c>
      <c r="E582" t="s">
        <v>1</v>
      </c>
      <c r="F582">
        <v>10261452</v>
      </c>
      <c r="G582" t="s">
        <v>65</v>
      </c>
      <c r="H582" t="s">
        <v>159</v>
      </c>
      <c r="I582">
        <v>29982.8359375</v>
      </c>
      <c r="J582" s="1">
        <v>45576</v>
      </c>
      <c r="K582">
        <v>17.200001</v>
      </c>
      <c r="L582" t="s">
        <v>37</v>
      </c>
      <c r="M582" t="s">
        <v>37</v>
      </c>
      <c r="N582" t="s">
        <v>47</v>
      </c>
      <c r="O582">
        <v>202410</v>
      </c>
      <c r="P582">
        <v>45242.25</v>
      </c>
      <c r="Q582" t="s">
        <v>12</v>
      </c>
      <c r="R582" t="s">
        <v>12</v>
      </c>
      <c r="S582" t="s">
        <v>12</v>
      </c>
      <c r="T582" t="s">
        <v>12</v>
      </c>
      <c r="U582" t="s">
        <v>12</v>
      </c>
      <c r="V582" t="s">
        <v>12</v>
      </c>
      <c r="W582" t="s">
        <v>12</v>
      </c>
      <c r="X582" t="s">
        <v>12</v>
      </c>
      <c r="Y582" t="s">
        <v>12</v>
      </c>
      <c r="Z582" t="s">
        <v>12</v>
      </c>
      <c r="AA582" t="s">
        <v>12</v>
      </c>
      <c r="AB582" t="s">
        <v>12</v>
      </c>
      <c r="AC582" t="s">
        <v>12</v>
      </c>
      <c r="AD582" t="s">
        <v>12</v>
      </c>
      <c r="AE582" t="s">
        <v>12</v>
      </c>
      <c r="AF582" t="s">
        <v>12</v>
      </c>
      <c r="AG582" t="s">
        <v>12</v>
      </c>
      <c r="AH582" t="s">
        <v>12</v>
      </c>
      <c r="AI582" t="s">
        <v>12</v>
      </c>
      <c r="AJ582" t="s">
        <v>12</v>
      </c>
      <c r="AK582" t="s">
        <v>12</v>
      </c>
      <c r="AL582" t="s">
        <v>12</v>
      </c>
      <c r="AM582" t="s">
        <v>12</v>
      </c>
      <c r="AN582" t="s">
        <v>12</v>
      </c>
      <c r="AO582" t="s">
        <v>12</v>
      </c>
    </row>
    <row r="583" spans="1:41" x14ac:dyDescent="0.35">
      <c r="A583">
        <v>20602169</v>
      </c>
      <c r="B583">
        <v>202602</v>
      </c>
      <c r="C583">
        <v>20601208017</v>
      </c>
      <c r="D583" t="s">
        <v>771</v>
      </c>
      <c r="E583" t="s">
        <v>1</v>
      </c>
      <c r="F583">
        <v>10259393</v>
      </c>
      <c r="G583" t="s">
        <v>53</v>
      </c>
      <c r="H583" t="s">
        <v>39</v>
      </c>
      <c r="I583">
        <v>47924.96875</v>
      </c>
      <c r="J583" s="1">
        <v>45527</v>
      </c>
      <c r="K583">
        <v>13.8</v>
      </c>
      <c r="L583" t="s">
        <v>4</v>
      </c>
      <c r="M583" t="s">
        <v>4</v>
      </c>
      <c r="N583" t="s">
        <v>47</v>
      </c>
      <c r="O583">
        <v>202408</v>
      </c>
      <c r="P583">
        <v>90005.5</v>
      </c>
      <c r="Q583" t="s">
        <v>12</v>
      </c>
      <c r="R583" t="s">
        <v>12</v>
      </c>
      <c r="S583" t="s">
        <v>12</v>
      </c>
      <c r="T583" t="s">
        <v>12</v>
      </c>
      <c r="U583" t="s">
        <v>12</v>
      </c>
      <c r="V583" t="s">
        <v>12</v>
      </c>
      <c r="W583" t="s">
        <v>12</v>
      </c>
      <c r="X583" t="s">
        <v>12</v>
      </c>
      <c r="Y583" t="s">
        <v>12</v>
      </c>
      <c r="Z583" t="s">
        <v>12</v>
      </c>
      <c r="AA583" t="s">
        <v>12</v>
      </c>
      <c r="AB583" t="s">
        <v>12</v>
      </c>
      <c r="AC583" t="s">
        <v>12</v>
      </c>
      <c r="AD583" t="s">
        <v>12</v>
      </c>
      <c r="AE583" t="s">
        <v>12</v>
      </c>
      <c r="AF583" t="s">
        <v>12</v>
      </c>
      <c r="AG583" t="s">
        <v>12</v>
      </c>
      <c r="AH583" t="s">
        <v>12</v>
      </c>
      <c r="AI583" t="s">
        <v>12</v>
      </c>
      <c r="AJ583" t="s">
        <v>12</v>
      </c>
      <c r="AK583" t="s">
        <v>12</v>
      </c>
      <c r="AL583" t="s">
        <v>12</v>
      </c>
      <c r="AM583" t="s">
        <v>12</v>
      </c>
      <c r="AN583" t="s">
        <v>12</v>
      </c>
      <c r="AO583" t="s">
        <v>12</v>
      </c>
    </row>
    <row r="584" spans="1:41" x14ac:dyDescent="0.35">
      <c r="A584">
        <v>16391214</v>
      </c>
      <c r="B584">
        <v>202511</v>
      </c>
      <c r="C584">
        <v>20455363277</v>
      </c>
      <c r="D584" t="s">
        <v>846</v>
      </c>
      <c r="E584" t="s">
        <v>1</v>
      </c>
      <c r="F584">
        <v>10271562</v>
      </c>
      <c r="G584" t="s">
        <v>68</v>
      </c>
      <c r="H584" t="s">
        <v>170</v>
      </c>
      <c r="I584">
        <v>231715.265625</v>
      </c>
      <c r="J584" s="1">
        <v>45919</v>
      </c>
      <c r="K584">
        <v>14.5</v>
      </c>
      <c r="L584" t="s">
        <v>86</v>
      </c>
      <c r="M584" t="s">
        <v>86</v>
      </c>
      <c r="N584" t="s">
        <v>20</v>
      </c>
      <c r="O584">
        <v>202509</v>
      </c>
      <c r="P584">
        <v>250012.5</v>
      </c>
      <c r="Q584" t="s">
        <v>170</v>
      </c>
      <c r="R584" t="s">
        <v>171</v>
      </c>
      <c r="S584" t="s">
        <v>111</v>
      </c>
      <c r="T584" t="s">
        <v>112</v>
      </c>
      <c r="U584" t="s">
        <v>9</v>
      </c>
      <c r="V584">
        <v>2</v>
      </c>
      <c r="W584" t="s">
        <v>10</v>
      </c>
      <c r="X584" t="s">
        <v>22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 t="s">
        <v>12</v>
      </c>
      <c r="AG584" t="s">
        <v>12</v>
      </c>
      <c r="AH584" t="s">
        <v>12</v>
      </c>
      <c r="AI584" t="s">
        <v>12</v>
      </c>
      <c r="AJ584" t="s">
        <v>12</v>
      </c>
      <c r="AK584">
        <v>0</v>
      </c>
      <c r="AL584">
        <v>0</v>
      </c>
      <c r="AM584">
        <v>0</v>
      </c>
      <c r="AN584" t="s">
        <v>12</v>
      </c>
      <c r="AO584" t="s">
        <v>12</v>
      </c>
    </row>
    <row r="585" spans="1:41" x14ac:dyDescent="0.35">
      <c r="A585">
        <v>21482663</v>
      </c>
      <c r="B585">
        <v>202511</v>
      </c>
      <c r="C585">
        <v>20611525070</v>
      </c>
      <c r="D585" t="s">
        <v>847</v>
      </c>
      <c r="E585" t="s">
        <v>1</v>
      </c>
      <c r="F585">
        <v>10265671</v>
      </c>
      <c r="G585" t="s">
        <v>73</v>
      </c>
      <c r="H585" t="s">
        <v>85</v>
      </c>
      <c r="I585">
        <v>70338.6875</v>
      </c>
      <c r="J585" s="1">
        <v>45713</v>
      </c>
      <c r="K585">
        <v>18</v>
      </c>
      <c r="L585" t="s">
        <v>4</v>
      </c>
      <c r="M585" t="s">
        <v>75</v>
      </c>
      <c r="N585" t="s">
        <v>20</v>
      </c>
      <c r="O585">
        <v>202502</v>
      </c>
      <c r="P585">
        <v>100005</v>
      </c>
      <c r="Q585" t="s">
        <v>85</v>
      </c>
      <c r="R585" t="s">
        <v>87</v>
      </c>
      <c r="S585" t="s">
        <v>88</v>
      </c>
      <c r="T585" t="s">
        <v>89</v>
      </c>
      <c r="U585" t="s">
        <v>20</v>
      </c>
      <c r="V585">
        <v>2</v>
      </c>
      <c r="W585" t="s">
        <v>10</v>
      </c>
      <c r="X585" t="s">
        <v>22</v>
      </c>
      <c r="Y585">
        <v>1</v>
      </c>
      <c r="Z585">
        <v>1</v>
      </c>
      <c r="AA585">
        <v>0</v>
      </c>
      <c r="AB585">
        <v>0</v>
      </c>
      <c r="AC585">
        <v>1</v>
      </c>
      <c r="AD585">
        <v>1</v>
      </c>
      <c r="AE585">
        <v>0</v>
      </c>
      <c r="AF585" t="s">
        <v>12</v>
      </c>
      <c r="AG585" t="s">
        <v>12</v>
      </c>
      <c r="AH585" t="s">
        <v>12</v>
      </c>
      <c r="AI585" t="s">
        <v>12</v>
      </c>
      <c r="AJ585" t="s">
        <v>12</v>
      </c>
      <c r="AK585">
        <v>1</v>
      </c>
      <c r="AL585">
        <v>1</v>
      </c>
      <c r="AM585" t="s">
        <v>12</v>
      </c>
      <c r="AN585" t="s">
        <v>12</v>
      </c>
      <c r="AO585" t="s">
        <v>12</v>
      </c>
    </row>
    <row r="586" spans="1:41" x14ac:dyDescent="0.35">
      <c r="A586">
        <v>16076401</v>
      </c>
      <c r="B586">
        <v>202503</v>
      </c>
      <c r="C586">
        <v>20601281091</v>
      </c>
      <c r="D586" t="s">
        <v>848</v>
      </c>
      <c r="E586" t="s">
        <v>1</v>
      </c>
      <c r="F586">
        <v>10199207</v>
      </c>
      <c r="G586" t="s">
        <v>199</v>
      </c>
      <c r="H586" t="s">
        <v>230</v>
      </c>
      <c r="I586">
        <v>20860.3203125</v>
      </c>
      <c r="J586" t="s">
        <v>12</v>
      </c>
      <c r="K586" t="s">
        <v>12</v>
      </c>
      <c r="L586" t="s">
        <v>12</v>
      </c>
      <c r="M586" t="s">
        <v>12</v>
      </c>
      <c r="N586" t="s">
        <v>12</v>
      </c>
      <c r="O586" t="s">
        <v>12</v>
      </c>
      <c r="P586" t="s">
        <v>12</v>
      </c>
      <c r="Q586" t="s">
        <v>12</v>
      </c>
      <c r="R586" t="s">
        <v>12</v>
      </c>
      <c r="S586" t="s">
        <v>12</v>
      </c>
      <c r="T586" t="s">
        <v>12</v>
      </c>
      <c r="U586" t="s">
        <v>12</v>
      </c>
      <c r="V586" t="s">
        <v>12</v>
      </c>
      <c r="W586" t="s">
        <v>12</v>
      </c>
      <c r="X586" t="s">
        <v>12</v>
      </c>
      <c r="Y586" t="s">
        <v>12</v>
      </c>
      <c r="Z586" t="s">
        <v>12</v>
      </c>
      <c r="AA586" t="s">
        <v>12</v>
      </c>
      <c r="AB586" t="s">
        <v>12</v>
      </c>
      <c r="AC586" t="s">
        <v>12</v>
      </c>
      <c r="AD586" t="s">
        <v>12</v>
      </c>
      <c r="AE586" t="s">
        <v>12</v>
      </c>
      <c r="AF586" t="s">
        <v>12</v>
      </c>
      <c r="AG586" t="s">
        <v>12</v>
      </c>
      <c r="AH586" t="s">
        <v>12</v>
      </c>
      <c r="AI586" t="s">
        <v>12</v>
      </c>
      <c r="AJ586" t="s">
        <v>12</v>
      </c>
      <c r="AK586" t="s">
        <v>12</v>
      </c>
      <c r="AL586" t="s">
        <v>12</v>
      </c>
      <c r="AM586" t="s">
        <v>12</v>
      </c>
      <c r="AN586" t="s">
        <v>12</v>
      </c>
      <c r="AO586" t="s">
        <v>12</v>
      </c>
    </row>
    <row r="587" spans="1:41" x14ac:dyDescent="0.35">
      <c r="A587">
        <v>17006662</v>
      </c>
      <c r="B587">
        <v>202509</v>
      </c>
      <c r="C587">
        <v>20559205592</v>
      </c>
      <c r="D587" t="s">
        <v>849</v>
      </c>
      <c r="E587" t="s">
        <v>1</v>
      </c>
      <c r="F587">
        <v>10193950</v>
      </c>
      <c r="G587" t="s">
        <v>199</v>
      </c>
      <c r="H587" t="s">
        <v>230</v>
      </c>
      <c r="I587">
        <v>12927.134765625</v>
      </c>
      <c r="J587" t="s">
        <v>12</v>
      </c>
      <c r="K587" t="s">
        <v>12</v>
      </c>
      <c r="L587" t="s">
        <v>12</v>
      </c>
      <c r="M587" t="s">
        <v>12</v>
      </c>
      <c r="N587" t="s">
        <v>12</v>
      </c>
      <c r="O587" t="s">
        <v>12</v>
      </c>
      <c r="P587" t="s">
        <v>12</v>
      </c>
      <c r="Q587" t="s">
        <v>12</v>
      </c>
      <c r="R587" t="s">
        <v>12</v>
      </c>
      <c r="S587" t="s">
        <v>12</v>
      </c>
      <c r="T587" t="s">
        <v>12</v>
      </c>
      <c r="U587" t="s">
        <v>12</v>
      </c>
      <c r="V587" t="s">
        <v>12</v>
      </c>
      <c r="W587" t="s">
        <v>12</v>
      </c>
      <c r="X587" t="s">
        <v>12</v>
      </c>
      <c r="Y587" t="s">
        <v>12</v>
      </c>
      <c r="Z587" t="s">
        <v>12</v>
      </c>
      <c r="AA587" t="s">
        <v>12</v>
      </c>
      <c r="AB587" t="s">
        <v>12</v>
      </c>
      <c r="AC587" t="s">
        <v>12</v>
      </c>
      <c r="AD587" t="s">
        <v>12</v>
      </c>
      <c r="AE587" t="s">
        <v>12</v>
      </c>
      <c r="AF587" t="s">
        <v>12</v>
      </c>
      <c r="AG587" t="s">
        <v>12</v>
      </c>
      <c r="AH587" t="s">
        <v>12</v>
      </c>
      <c r="AI587" t="s">
        <v>12</v>
      </c>
      <c r="AJ587" t="s">
        <v>12</v>
      </c>
      <c r="AK587" t="s">
        <v>12</v>
      </c>
      <c r="AL587" t="s">
        <v>12</v>
      </c>
      <c r="AM587" t="s">
        <v>12</v>
      </c>
      <c r="AN587" t="s">
        <v>12</v>
      </c>
      <c r="AO587" t="s">
        <v>12</v>
      </c>
    </row>
    <row r="588" spans="1:41" x14ac:dyDescent="0.35">
      <c r="A588">
        <v>12531832</v>
      </c>
      <c r="B588">
        <v>202502</v>
      </c>
      <c r="C588">
        <v>20486741784</v>
      </c>
      <c r="D588" t="s">
        <v>850</v>
      </c>
      <c r="E588" t="s">
        <v>1</v>
      </c>
      <c r="F588">
        <v>10172310</v>
      </c>
      <c r="G588" t="s">
        <v>2</v>
      </c>
      <c r="H588" t="s">
        <v>159</v>
      </c>
      <c r="I588">
        <v>85560.2578125</v>
      </c>
      <c r="J588" s="1">
        <v>45589</v>
      </c>
      <c r="K588">
        <v>17</v>
      </c>
      <c r="L588" t="s">
        <v>4</v>
      </c>
      <c r="M588" t="s">
        <v>4</v>
      </c>
      <c r="N588" t="s">
        <v>5</v>
      </c>
      <c r="O588">
        <v>202410</v>
      </c>
      <c r="P588">
        <v>100005</v>
      </c>
      <c r="Q588" t="s">
        <v>705</v>
      </c>
      <c r="R588" t="s">
        <v>851</v>
      </c>
      <c r="S588" t="s">
        <v>39</v>
      </c>
      <c r="T588" t="s">
        <v>40</v>
      </c>
      <c r="U588" t="s">
        <v>70</v>
      </c>
      <c r="V588">
        <v>1</v>
      </c>
      <c r="W588" t="s">
        <v>10</v>
      </c>
      <c r="X588" t="s">
        <v>12</v>
      </c>
      <c r="Y588">
        <v>1</v>
      </c>
      <c r="Z588">
        <v>1</v>
      </c>
      <c r="AA588">
        <v>0</v>
      </c>
      <c r="AB588">
        <v>0</v>
      </c>
      <c r="AC588">
        <v>1</v>
      </c>
      <c r="AD588">
        <v>0</v>
      </c>
      <c r="AE588">
        <v>0</v>
      </c>
      <c r="AF588" t="s">
        <v>12</v>
      </c>
      <c r="AG588" t="s">
        <v>12</v>
      </c>
      <c r="AH588" t="s">
        <v>12</v>
      </c>
      <c r="AI588" t="s">
        <v>12</v>
      </c>
      <c r="AJ588" t="s">
        <v>12</v>
      </c>
      <c r="AK588">
        <v>155000</v>
      </c>
      <c r="AL588">
        <v>0.22</v>
      </c>
      <c r="AM588">
        <v>0.20280000000000001</v>
      </c>
      <c r="AN588" t="s">
        <v>12</v>
      </c>
      <c r="AO588" t="s">
        <v>12</v>
      </c>
    </row>
    <row r="589" spans="1:41" x14ac:dyDescent="0.35">
      <c r="A589">
        <v>21527245</v>
      </c>
      <c r="B589">
        <v>202601</v>
      </c>
      <c r="C589">
        <v>20601798060</v>
      </c>
      <c r="D589" t="s">
        <v>852</v>
      </c>
      <c r="E589" t="s">
        <v>1</v>
      </c>
      <c r="F589">
        <v>10271108</v>
      </c>
      <c r="G589" t="s">
        <v>78</v>
      </c>
      <c r="H589" t="s">
        <v>54</v>
      </c>
      <c r="I589">
        <v>199913.109375</v>
      </c>
      <c r="J589" s="1">
        <v>45908</v>
      </c>
      <c r="K589">
        <v>15</v>
      </c>
      <c r="L589" t="s">
        <v>86</v>
      </c>
      <c r="M589" t="s">
        <v>86</v>
      </c>
      <c r="N589" t="s">
        <v>41</v>
      </c>
      <c r="O589">
        <v>202509</v>
      </c>
      <c r="P589">
        <v>250012.5</v>
      </c>
      <c r="Q589" t="s">
        <v>54</v>
      </c>
      <c r="R589" t="s">
        <v>55</v>
      </c>
      <c r="S589" t="s">
        <v>31</v>
      </c>
      <c r="T589" t="s">
        <v>32</v>
      </c>
      <c r="U589" t="s">
        <v>168</v>
      </c>
      <c r="V589">
        <v>1</v>
      </c>
      <c r="W589" t="s">
        <v>21</v>
      </c>
      <c r="X589" t="s">
        <v>11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 t="s">
        <v>12</v>
      </c>
      <c r="AG589" t="s">
        <v>12</v>
      </c>
      <c r="AH589" t="s">
        <v>12</v>
      </c>
      <c r="AI589" t="s">
        <v>12</v>
      </c>
      <c r="AJ589" t="s">
        <v>12</v>
      </c>
      <c r="AK589">
        <v>0</v>
      </c>
      <c r="AL589">
        <v>0</v>
      </c>
      <c r="AM589">
        <v>0</v>
      </c>
      <c r="AN589" t="s">
        <v>12</v>
      </c>
      <c r="AO589" t="s">
        <v>12</v>
      </c>
    </row>
    <row r="590" spans="1:41" x14ac:dyDescent="0.35">
      <c r="A590">
        <v>16543687</v>
      </c>
      <c r="B590">
        <v>202511</v>
      </c>
      <c r="C590">
        <v>20570706331</v>
      </c>
      <c r="D590" t="s">
        <v>853</v>
      </c>
      <c r="E590" t="s">
        <v>1</v>
      </c>
      <c r="F590">
        <v>10269863</v>
      </c>
      <c r="G590" t="s">
        <v>14</v>
      </c>
      <c r="H590" t="s">
        <v>85</v>
      </c>
      <c r="I590">
        <v>93968.8984375</v>
      </c>
      <c r="J590" s="1">
        <v>45860</v>
      </c>
      <c r="K590">
        <v>17</v>
      </c>
      <c r="L590" t="s">
        <v>37</v>
      </c>
      <c r="M590" t="s">
        <v>37</v>
      </c>
      <c r="N590" t="s">
        <v>16</v>
      </c>
      <c r="O590">
        <v>202507</v>
      </c>
      <c r="P590">
        <v>120006</v>
      </c>
      <c r="Q590" t="s">
        <v>85</v>
      </c>
      <c r="R590" t="s">
        <v>87</v>
      </c>
      <c r="S590" t="s">
        <v>88</v>
      </c>
      <c r="T590" t="s">
        <v>89</v>
      </c>
      <c r="U590" t="s">
        <v>20</v>
      </c>
      <c r="V590">
        <v>2</v>
      </c>
      <c r="W590" t="s">
        <v>10</v>
      </c>
      <c r="X590" t="s">
        <v>51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12</v>
      </c>
      <c r="AG590" t="s">
        <v>12</v>
      </c>
      <c r="AH590" t="s">
        <v>12</v>
      </c>
      <c r="AI590" t="s">
        <v>12</v>
      </c>
      <c r="AJ590" t="s">
        <v>12</v>
      </c>
      <c r="AK590">
        <v>1</v>
      </c>
      <c r="AL590">
        <v>1</v>
      </c>
      <c r="AM590" t="s">
        <v>12</v>
      </c>
      <c r="AN590" t="s">
        <v>12</v>
      </c>
      <c r="AO590" t="s">
        <v>12</v>
      </c>
    </row>
    <row r="591" spans="1:41" x14ac:dyDescent="0.35">
      <c r="A591">
        <v>12285854</v>
      </c>
      <c r="B591">
        <v>202511</v>
      </c>
      <c r="C591">
        <v>10447216189</v>
      </c>
      <c r="D591" t="s">
        <v>854</v>
      </c>
      <c r="E591">
        <v>44721618</v>
      </c>
      <c r="F591">
        <v>10251922</v>
      </c>
      <c r="G591" t="s">
        <v>53</v>
      </c>
      <c r="H591" t="s">
        <v>855</v>
      </c>
      <c r="I591">
        <v>38028.2890625</v>
      </c>
      <c r="J591" s="1">
        <v>45411</v>
      </c>
      <c r="K591">
        <v>15</v>
      </c>
      <c r="L591" t="s">
        <v>37</v>
      </c>
      <c r="M591" t="s">
        <v>37</v>
      </c>
      <c r="N591" t="s">
        <v>47</v>
      </c>
      <c r="O591">
        <v>202404</v>
      </c>
      <c r="P591">
        <v>71033.55</v>
      </c>
      <c r="Q591" t="s">
        <v>12</v>
      </c>
      <c r="R591" t="s">
        <v>12</v>
      </c>
      <c r="S591" t="s">
        <v>12</v>
      </c>
      <c r="T591" t="s">
        <v>12</v>
      </c>
      <c r="U591" t="s">
        <v>12</v>
      </c>
      <c r="V591" t="s">
        <v>12</v>
      </c>
      <c r="W591" t="s">
        <v>12</v>
      </c>
      <c r="X591" t="s">
        <v>12</v>
      </c>
      <c r="Y591" t="s">
        <v>12</v>
      </c>
      <c r="Z591" t="s">
        <v>12</v>
      </c>
      <c r="AA591" t="s">
        <v>12</v>
      </c>
      <c r="AB591" t="s">
        <v>12</v>
      </c>
      <c r="AC591" t="s">
        <v>12</v>
      </c>
      <c r="AD591" t="s">
        <v>12</v>
      </c>
      <c r="AE591" t="s">
        <v>12</v>
      </c>
      <c r="AF591" t="s">
        <v>12</v>
      </c>
      <c r="AG591" t="s">
        <v>12</v>
      </c>
      <c r="AH591" t="s">
        <v>12</v>
      </c>
      <c r="AI591" t="s">
        <v>12</v>
      </c>
      <c r="AJ591" t="s">
        <v>12</v>
      </c>
      <c r="AK591" t="s">
        <v>12</v>
      </c>
      <c r="AL591" t="s">
        <v>12</v>
      </c>
      <c r="AM591" t="s">
        <v>12</v>
      </c>
      <c r="AN591" t="s">
        <v>12</v>
      </c>
      <c r="AO591" t="s">
        <v>12</v>
      </c>
    </row>
    <row r="592" spans="1:41" x14ac:dyDescent="0.35">
      <c r="A592">
        <v>18730524</v>
      </c>
      <c r="B592">
        <v>202510</v>
      </c>
      <c r="C592">
        <v>20548226938</v>
      </c>
      <c r="D592" t="s">
        <v>216</v>
      </c>
      <c r="E592" t="s">
        <v>1</v>
      </c>
      <c r="F592">
        <v>10255446</v>
      </c>
      <c r="G592" t="s">
        <v>45</v>
      </c>
      <c r="H592" t="s">
        <v>217</v>
      </c>
      <c r="I592">
        <v>14920.994140625</v>
      </c>
      <c r="J592" s="1">
        <v>45461</v>
      </c>
      <c r="K592">
        <v>15.4</v>
      </c>
      <c r="L592" t="s">
        <v>4</v>
      </c>
      <c r="M592" t="s">
        <v>4</v>
      </c>
      <c r="N592" t="s">
        <v>47</v>
      </c>
      <c r="O592">
        <v>202406</v>
      </c>
      <c r="P592">
        <v>90004.5</v>
      </c>
      <c r="Q592" t="s">
        <v>217</v>
      </c>
      <c r="R592" t="s">
        <v>218</v>
      </c>
      <c r="S592" t="s">
        <v>18</v>
      </c>
      <c r="T592" t="s">
        <v>122</v>
      </c>
      <c r="U592" t="s">
        <v>70</v>
      </c>
      <c r="V592">
        <v>1</v>
      </c>
      <c r="W592" t="s">
        <v>10</v>
      </c>
      <c r="X592" t="s">
        <v>12</v>
      </c>
      <c r="Y592">
        <v>1</v>
      </c>
      <c r="Z592">
        <v>1</v>
      </c>
      <c r="AA592">
        <v>0</v>
      </c>
      <c r="AB592">
        <v>0</v>
      </c>
      <c r="AC592">
        <v>1</v>
      </c>
      <c r="AD592">
        <v>1</v>
      </c>
      <c r="AE592">
        <v>0</v>
      </c>
      <c r="AF592" t="s">
        <v>12</v>
      </c>
      <c r="AG592" t="s">
        <v>12</v>
      </c>
      <c r="AH592" t="s">
        <v>12</v>
      </c>
      <c r="AI592" t="s">
        <v>12</v>
      </c>
      <c r="AJ592" t="s">
        <v>12</v>
      </c>
      <c r="AK592">
        <v>111000</v>
      </c>
      <c r="AL592">
        <v>0.1938</v>
      </c>
      <c r="AM592">
        <v>0.17380000000000001</v>
      </c>
      <c r="AN592" t="s">
        <v>12</v>
      </c>
      <c r="AO592" t="s">
        <v>12</v>
      </c>
    </row>
    <row r="593" spans="1:41" x14ac:dyDescent="0.35">
      <c r="A593">
        <v>14231632</v>
      </c>
      <c r="B593">
        <v>202512</v>
      </c>
      <c r="C593">
        <v>20548513163</v>
      </c>
      <c r="D593" t="s">
        <v>856</v>
      </c>
      <c r="E593" t="s">
        <v>1</v>
      </c>
      <c r="F593">
        <v>10170721</v>
      </c>
      <c r="G593" t="s">
        <v>2</v>
      </c>
      <c r="H593" t="s">
        <v>305</v>
      </c>
      <c r="I593">
        <v>129384.5625</v>
      </c>
      <c r="J593" s="1">
        <v>45755</v>
      </c>
      <c r="K593">
        <v>16</v>
      </c>
      <c r="L593" t="s">
        <v>4</v>
      </c>
      <c r="M593" t="s">
        <v>4</v>
      </c>
      <c r="N593" t="s">
        <v>5</v>
      </c>
      <c r="O593">
        <v>202504</v>
      </c>
      <c r="P593">
        <v>184009.2</v>
      </c>
      <c r="Q593" t="s">
        <v>305</v>
      </c>
      <c r="R593" t="s">
        <v>306</v>
      </c>
      <c r="S593" t="s">
        <v>7</v>
      </c>
      <c r="T593" t="s">
        <v>8</v>
      </c>
      <c r="U593" t="s">
        <v>5</v>
      </c>
      <c r="V593">
        <v>1</v>
      </c>
      <c r="W593" t="s">
        <v>10</v>
      </c>
      <c r="X593" t="s">
        <v>51</v>
      </c>
      <c r="Y593">
        <v>1</v>
      </c>
      <c r="Z593">
        <v>1</v>
      </c>
      <c r="AA593">
        <v>0</v>
      </c>
      <c r="AB593">
        <v>0</v>
      </c>
      <c r="AC593">
        <v>1</v>
      </c>
      <c r="AD593">
        <v>1</v>
      </c>
      <c r="AE593">
        <v>0</v>
      </c>
      <c r="AF593" t="s">
        <v>12</v>
      </c>
      <c r="AG593" t="s">
        <v>12</v>
      </c>
      <c r="AH593" t="s">
        <v>12</v>
      </c>
      <c r="AI593" t="s">
        <v>12</v>
      </c>
      <c r="AJ593" t="s">
        <v>12</v>
      </c>
      <c r="AK593">
        <v>47300</v>
      </c>
      <c r="AL593">
        <v>0.21</v>
      </c>
      <c r="AM593">
        <v>0.19</v>
      </c>
      <c r="AN593" t="s">
        <v>12</v>
      </c>
      <c r="AO593" t="s">
        <v>12</v>
      </c>
    </row>
    <row r="594" spans="1:41" x14ac:dyDescent="0.35">
      <c r="A594">
        <v>20794131</v>
      </c>
      <c r="B594">
        <v>202509</v>
      </c>
      <c r="C594">
        <v>20533154299</v>
      </c>
      <c r="D594" t="s">
        <v>857</v>
      </c>
      <c r="E594" t="s">
        <v>1</v>
      </c>
      <c r="F594">
        <v>10251517</v>
      </c>
      <c r="G594" t="s">
        <v>65</v>
      </c>
      <c r="H594" t="s">
        <v>210</v>
      </c>
      <c r="I594">
        <v>57415.66015625</v>
      </c>
      <c r="J594" s="1">
        <v>45406</v>
      </c>
      <c r="K594">
        <v>13.8</v>
      </c>
      <c r="L594" t="s">
        <v>37</v>
      </c>
      <c r="M594" t="s">
        <v>37</v>
      </c>
      <c r="N594" t="s">
        <v>47</v>
      </c>
      <c r="O594">
        <v>202404</v>
      </c>
      <c r="P594">
        <v>100005</v>
      </c>
      <c r="Q594" t="s">
        <v>210</v>
      </c>
      <c r="R594" t="s">
        <v>211</v>
      </c>
      <c r="S594" t="s">
        <v>39</v>
      </c>
      <c r="T594" t="s">
        <v>40</v>
      </c>
      <c r="U594" t="s">
        <v>41</v>
      </c>
      <c r="V594">
        <v>1</v>
      </c>
      <c r="W594" t="s">
        <v>10</v>
      </c>
      <c r="X594" t="s">
        <v>11</v>
      </c>
      <c r="Y594">
        <v>1</v>
      </c>
      <c r="Z594">
        <v>1</v>
      </c>
      <c r="AA594">
        <v>0</v>
      </c>
      <c r="AB594">
        <v>0</v>
      </c>
      <c r="AC594">
        <v>1</v>
      </c>
      <c r="AD594">
        <v>1</v>
      </c>
      <c r="AE594">
        <v>0</v>
      </c>
      <c r="AF594" t="s">
        <v>12</v>
      </c>
      <c r="AG594" t="s">
        <v>12</v>
      </c>
      <c r="AH594" t="s">
        <v>12</v>
      </c>
      <c r="AI594" t="s">
        <v>12</v>
      </c>
      <c r="AJ594" t="s">
        <v>12</v>
      </c>
      <c r="AK594">
        <v>400000</v>
      </c>
      <c r="AL594">
        <v>0.17</v>
      </c>
      <c r="AM594">
        <v>0.15</v>
      </c>
      <c r="AN594" t="s">
        <v>12</v>
      </c>
      <c r="AO594" t="s">
        <v>12</v>
      </c>
    </row>
    <row r="595" spans="1:41" x14ac:dyDescent="0.35">
      <c r="A595">
        <v>20959246</v>
      </c>
      <c r="B595">
        <v>202507</v>
      </c>
      <c r="C595">
        <v>20606739011</v>
      </c>
      <c r="D595" t="s">
        <v>858</v>
      </c>
      <c r="E595" t="s">
        <v>1</v>
      </c>
      <c r="F595">
        <v>10255732</v>
      </c>
      <c r="G595" t="s">
        <v>45</v>
      </c>
      <c r="H595" t="s">
        <v>273</v>
      </c>
      <c r="I595">
        <v>66552.2734375</v>
      </c>
      <c r="J595" s="1">
        <v>45463</v>
      </c>
      <c r="K595">
        <v>16.399999999999999</v>
      </c>
      <c r="L595" t="s">
        <v>37</v>
      </c>
      <c r="M595" t="s">
        <v>37</v>
      </c>
      <c r="N595" t="s">
        <v>47</v>
      </c>
      <c r="O595">
        <v>202406</v>
      </c>
      <c r="P595">
        <v>90004.5</v>
      </c>
      <c r="Q595" t="s">
        <v>859</v>
      </c>
      <c r="R595" t="s">
        <v>274</v>
      </c>
      <c r="S595" t="s">
        <v>39</v>
      </c>
      <c r="T595" t="s">
        <v>40</v>
      </c>
      <c r="U595" t="s">
        <v>41</v>
      </c>
      <c r="V595">
        <v>1</v>
      </c>
      <c r="W595" t="s">
        <v>10</v>
      </c>
      <c r="X595" t="s">
        <v>12</v>
      </c>
      <c r="Y595">
        <v>1</v>
      </c>
      <c r="Z595">
        <v>1</v>
      </c>
      <c r="AA595">
        <v>0</v>
      </c>
      <c r="AB595">
        <v>1</v>
      </c>
      <c r="AC595">
        <v>1</v>
      </c>
      <c r="AD595">
        <v>1</v>
      </c>
      <c r="AE595">
        <v>0</v>
      </c>
      <c r="AF595" t="s">
        <v>12</v>
      </c>
      <c r="AG595" t="s">
        <v>12</v>
      </c>
      <c r="AH595" t="s">
        <v>12</v>
      </c>
      <c r="AI595" t="s">
        <v>12</v>
      </c>
      <c r="AJ595" t="s">
        <v>12</v>
      </c>
      <c r="AK595">
        <v>250000</v>
      </c>
      <c r="AL595">
        <v>0.25</v>
      </c>
      <c r="AM595">
        <v>0.23</v>
      </c>
      <c r="AN595" t="s">
        <v>12</v>
      </c>
      <c r="AO595" t="s">
        <v>12</v>
      </c>
    </row>
    <row r="596" spans="1:41" x14ac:dyDescent="0.35">
      <c r="A596">
        <v>9842015</v>
      </c>
      <c r="B596">
        <v>202511</v>
      </c>
      <c r="C596">
        <v>10424780907</v>
      </c>
      <c r="D596" t="s">
        <v>860</v>
      </c>
      <c r="E596">
        <v>42478090</v>
      </c>
      <c r="F596">
        <v>10249258</v>
      </c>
      <c r="G596" t="s">
        <v>45</v>
      </c>
      <c r="H596" t="s">
        <v>422</v>
      </c>
      <c r="I596">
        <v>32027.392578125</v>
      </c>
      <c r="J596" s="1">
        <v>45364</v>
      </c>
      <c r="K596">
        <v>14.3</v>
      </c>
      <c r="L596" t="s">
        <v>37</v>
      </c>
      <c r="M596" t="s">
        <v>37</v>
      </c>
      <c r="N596" t="s">
        <v>47</v>
      </c>
      <c r="O596">
        <v>202403</v>
      </c>
      <c r="P596">
        <v>90004.5</v>
      </c>
      <c r="Q596" t="s">
        <v>422</v>
      </c>
      <c r="R596" t="s">
        <v>424</v>
      </c>
      <c r="S596" t="s">
        <v>88</v>
      </c>
      <c r="T596" t="s">
        <v>89</v>
      </c>
      <c r="U596" t="s">
        <v>20</v>
      </c>
      <c r="V596">
        <v>2</v>
      </c>
      <c r="W596" t="s">
        <v>90</v>
      </c>
      <c r="X596" t="s">
        <v>59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12</v>
      </c>
      <c r="AG596" t="s">
        <v>12</v>
      </c>
      <c r="AH596" t="s">
        <v>12</v>
      </c>
      <c r="AI596" t="s">
        <v>12</v>
      </c>
      <c r="AJ596" t="s">
        <v>12</v>
      </c>
      <c r="AK596">
        <v>1</v>
      </c>
      <c r="AL596">
        <v>1</v>
      </c>
      <c r="AM596" t="s">
        <v>12</v>
      </c>
      <c r="AN596" t="s">
        <v>12</v>
      </c>
      <c r="AO596" t="s">
        <v>12</v>
      </c>
    </row>
    <row r="597" spans="1:41" x14ac:dyDescent="0.35">
      <c r="A597">
        <v>18649418</v>
      </c>
      <c r="B597">
        <v>202508</v>
      </c>
      <c r="C597">
        <v>20602506054</v>
      </c>
      <c r="D597" t="s">
        <v>861</v>
      </c>
      <c r="E597" t="s">
        <v>1</v>
      </c>
      <c r="F597">
        <v>10222557</v>
      </c>
      <c r="G597" t="s">
        <v>2</v>
      </c>
      <c r="H597" t="s">
        <v>7</v>
      </c>
      <c r="I597">
        <v>10518.2158203125</v>
      </c>
      <c r="J597" s="1">
        <v>45687</v>
      </c>
      <c r="K597">
        <v>15.5</v>
      </c>
      <c r="L597" t="s">
        <v>4</v>
      </c>
      <c r="M597" t="s">
        <v>4</v>
      </c>
      <c r="N597" t="s">
        <v>862</v>
      </c>
      <c r="O597">
        <v>202501</v>
      </c>
      <c r="P597">
        <v>120006</v>
      </c>
      <c r="Q597" t="s">
        <v>12</v>
      </c>
      <c r="R597" t="s">
        <v>12</v>
      </c>
      <c r="S597" t="s">
        <v>12</v>
      </c>
      <c r="T597" t="s">
        <v>12</v>
      </c>
      <c r="U597" t="s">
        <v>12</v>
      </c>
      <c r="V597" t="s">
        <v>12</v>
      </c>
      <c r="W597" t="s">
        <v>12</v>
      </c>
      <c r="X597" t="s">
        <v>12</v>
      </c>
      <c r="Y597" t="s">
        <v>12</v>
      </c>
      <c r="Z597" t="s">
        <v>12</v>
      </c>
      <c r="AA597" t="s">
        <v>12</v>
      </c>
      <c r="AB597" t="s">
        <v>12</v>
      </c>
      <c r="AC597" t="s">
        <v>12</v>
      </c>
      <c r="AD597" t="s">
        <v>12</v>
      </c>
      <c r="AE597" t="s">
        <v>12</v>
      </c>
      <c r="AF597" t="s">
        <v>12</v>
      </c>
      <c r="AG597" t="s">
        <v>12</v>
      </c>
      <c r="AH597" t="s">
        <v>12</v>
      </c>
      <c r="AI597" t="s">
        <v>12</v>
      </c>
      <c r="AJ597" t="s">
        <v>12</v>
      </c>
      <c r="AK597" t="s">
        <v>12</v>
      </c>
      <c r="AL597" t="s">
        <v>12</v>
      </c>
      <c r="AM597" t="s">
        <v>12</v>
      </c>
      <c r="AN597" t="s">
        <v>12</v>
      </c>
      <c r="AO597" t="s">
        <v>12</v>
      </c>
    </row>
    <row r="598" spans="1:41" x14ac:dyDescent="0.35">
      <c r="A598">
        <v>21856779</v>
      </c>
      <c r="B598">
        <v>202510</v>
      </c>
      <c r="C598">
        <v>20501534014</v>
      </c>
      <c r="D598" t="s">
        <v>863</v>
      </c>
      <c r="E598" t="s">
        <v>1</v>
      </c>
      <c r="F598">
        <v>10271537</v>
      </c>
      <c r="G598" t="s">
        <v>14</v>
      </c>
      <c r="H598" t="s">
        <v>159</v>
      </c>
      <c r="I598">
        <v>96428.609375</v>
      </c>
      <c r="J598" s="1">
        <v>45919</v>
      </c>
      <c r="K598">
        <v>17.12</v>
      </c>
      <c r="L598" t="s">
        <v>37</v>
      </c>
      <c r="M598" t="s">
        <v>75</v>
      </c>
      <c r="N598" t="s">
        <v>16</v>
      </c>
      <c r="O598">
        <v>202509</v>
      </c>
      <c r="P598">
        <v>100005</v>
      </c>
      <c r="Q598" t="s">
        <v>12</v>
      </c>
      <c r="R598" t="s">
        <v>12</v>
      </c>
      <c r="S598" t="s">
        <v>12</v>
      </c>
      <c r="T598" t="s">
        <v>12</v>
      </c>
      <c r="U598" t="s">
        <v>12</v>
      </c>
      <c r="V598" t="s">
        <v>12</v>
      </c>
      <c r="W598" t="s">
        <v>12</v>
      </c>
      <c r="X598" t="s">
        <v>12</v>
      </c>
      <c r="Y598" t="s">
        <v>12</v>
      </c>
      <c r="Z598" t="s">
        <v>12</v>
      </c>
      <c r="AA598" t="s">
        <v>12</v>
      </c>
      <c r="AB598" t="s">
        <v>12</v>
      </c>
      <c r="AC598" t="s">
        <v>12</v>
      </c>
      <c r="AD598" t="s">
        <v>12</v>
      </c>
      <c r="AE598" t="s">
        <v>12</v>
      </c>
      <c r="AF598" t="s">
        <v>12</v>
      </c>
      <c r="AG598" t="s">
        <v>12</v>
      </c>
      <c r="AH598" t="s">
        <v>12</v>
      </c>
      <c r="AI598" t="s">
        <v>12</v>
      </c>
      <c r="AJ598" t="s">
        <v>12</v>
      </c>
      <c r="AK598" t="s">
        <v>12</v>
      </c>
      <c r="AL598" t="s">
        <v>12</v>
      </c>
      <c r="AM598" t="s">
        <v>12</v>
      </c>
      <c r="AN598" t="s">
        <v>12</v>
      </c>
      <c r="AO598" t="s">
        <v>12</v>
      </c>
    </row>
    <row r="599" spans="1:41" x14ac:dyDescent="0.35">
      <c r="A599">
        <v>9841337</v>
      </c>
      <c r="B599">
        <v>202505</v>
      </c>
      <c r="C599">
        <v>10068139363</v>
      </c>
      <c r="D599" t="s">
        <v>864</v>
      </c>
      <c r="E599">
        <v>6813936</v>
      </c>
      <c r="F599">
        <v>10267296</v>
      </c>
      <c r="G599" t="s">
        <v>100</v>
      </c>
      <c r="H599" t="s">
        <v>865</v>
      </c>
      <c r="I599">
        <v>83731.015625</v>
      </c>
      <c r="J599" s="1">
        <v>45771</v>
      </c>
      <c r="K599">
        <v>18</v>
      </c>
      <c r="L599" t="s">
        <v>37</v>
      </c>
      <c r="M599" t="s">
        <v>75</v>
      </c>
      <c r="N599" t="s">
        <v>102</v>
      </c>
      <c r="O599">
        <v>202504</v>
      </c>
      <c r="P599">
        <v>107015.35</v>
      </c>
      <c r="Q599" t="s">
        <v>12</v>
      </c>
      <c r="R599" t="s">
        <v>12</v>
      </c>
      <c r="S599" t="s">
        <v>12</v>
      </c>
      <c r="T599" t="s">
        <v>12</v>
      </c>
      <c r="U599" t="s">
        <v>12</v>
      </c>
      <c r="V599" t="s">
        <v>12</v>
      </c>
      <c r="W599" t="s">
        <v>12</v>
      </c>
      <c r="X599" t="s">
        <v>12</v>
      </c>
      <c r="Y599" t="s">
        <v>12</v>
      </c>
      <c r="Z599" t="s">
        <v>12</v>
      </c>
      <c r="AA599" t="s">
        <v>12</v>
      </c>
      <c r="AB599" t="s">
        <v>12</v>
      </c>
      <c r="AC599" t="s">
        <v>12</v>
      </c>
      <c r="AD599" t="s">
        <v>12</v>
      </c>
      <c r="AE599" t="s">
        <v>12</v>
      </c>
      <c r="AF599" t="s">
        <v>12</v>
      </c>
      <c r="AG599" t="s">
        <v>12</v>
      </c>
      <c r="AH599" t="s">
        <v>12</v>
      </c>
      <c r="AI599" t="s">
        <v>12</v>
      </c>
      <c r="AJ599" t="s">
        <v>12</v>
      </c>
      <c r="AK599" t="s">
        <v>12</v>
      </c>
      <c r="AL599" t="s">
        <v>12</v>
      </c>
      <c r="AM599" t="s">
        <v>12</v>
      </c>
      <c r="AN599" t="s">
        <v>12</v>
      </c>
      <c r="AO599" t="s">
        <v>12</v>
      </c>
    </row>
    <row r="600" spans="1:41" x14ac:dyDescent="0.35">
      <c r="A600">
        <v>14947880</v>
      </c>
      <c r="B600">
        <v>202510</v>
      </c>
      <c r="C600">
        <v>20566238412</v>
      </c>
      <c r="D600" t="s">
        <v>866</v>
      </c>
      <c r="E600" t="s">
        <v>1</v>
      </c>
      <c r="F600">
        <v>10265487</v>
      </c>
      <c r="G600" t="s">
        <v>14</v>
      </c>
      <c r="H600" t="s">
        <v>385</v>
      </c>
      <c r="I600">
        <v>70427.6796875</v>
      </c>
      <c r="J600" s="1">
        <v>45708</v>
      </c>
      <c r="K600">
        <v>18.5</v>
      </c>
      <c r="L600" t="s">
        <v>37</v>
      </c>
      <c r="M600" t="s">
        <v>75</v>
      </c>
      <c r="N600" t="s">
        <v>16</v>
      </c>
      <c r="O600">
        <v>202502</v>
      </c>
      <c r="P600">
        <v>100005</v>
      </c>
      <c r="Q600" t="s">
        <v>385</v>
      </c>
      <c r="R600" t="s">
        <v>386</v>
      </c>
      <c r="S600" t="s">
        <v>31</v>
      </c>
      <c r="T600" t="s">
        <v>32</v>
      </c>
      <c r="U600" t="s">
        <v>41</v>
      </c>
      <c r="V600">
        <v>1</v>
      </c>
      <c r="W600" t="s">
        <v>10</v>
      </c>
      <c r="X600" t="s">
        <v>12</v>
      </c>
      <c r="Y600">
        <v>1</v>
      </c>
      <c r="Z600">
        <v>1</v>
      </c>
      <c r="AA600">
        <v>0</v>
      </c>
      <c r="AB600">
        <v>1</v>
      </c>
      <c r="AC600">
        <v>1</v>
      </c>
      <c r="AD600">
        <v>1</v>
      </c>
      <c r="AE600">
        <v>0</v>
      </c>
      <c r="AF600" t="s">
        <v>12</v>
      </c>
      <c r="AG600" t="s">
        <v>12</v>
      </c>
      <c r="AH600" t="s">
        <v>12</v>
      </c>
      <c r="AI600" t="s">
        <v>12</v>
      </c>
      <c r="AJ600" t="s">
        <v>12</v>
      </c>
      <c r="AK600">
        <v>400000</v>
      </c>
      <c r="AL600">
        <v>0.21</v>
      </c>
      <c r="AM600">
        <v>0.19</v>
      </c>
      <c r="AN600" t="s">
        <v>12</v>
      </c>
      <c r="AO600" t="s">
        <v>12</v>
      </c>
    </row>
    <row r="601" spans="1:41" x14ac:dyDescent="0.35">
      <c r="A601">
        <v>21410019</v>
      </c>
      <c r="B601">
        <v>202505</v>
      </c>
      <c r="C601">
        <v>20607749338</v>
      </c>
      <c r="D601" t="s">
        <v>867</v>
      </c>
      <c r="E601" t="s">
        <v>1</v>
      </c>
      <c r="F601">
        <v>10264562</v>
      </c>
      <c r="G601" t="s">
        <v>14</v>
      </c>
      <c r="H601" t="s">
        <v>159</v>
      </c>
      <c r="I601">
        <v>30321.91796875</v>
      </c>
      <c r="J601" s="1">
        <v>45671</v>
      </c>
      <c r="K601">
        <v>19.200001</v>
      </c>
      <c r="L601" t="s">
        <v>37</v>
      </c>
      <c r="M601" t="s">
        <v>37</v>
      </c>
      <c r="N601" t="s">
        <v>16</v>
      </c>
      <c r="O601">
        <v>202501</v>
      </c>
      <c r="P601">
        <v>47102.35</v>
      </c>
      <c r="Q601" t="s">
        <v>12</v>
      </c>
      <c r="R601" t="s">
        <v>12</v>
      </c>
      <c r="S601" t="s">
        <v>12</v>
      </c>
      <c r="T601" t="s">
        <v>12</v>
      </c>
      <c r="U601" t="s">
        <v>12</v>
      </c>
      <c r="V601" t="s">
        <v>12</v>
      </c>
      <c r="W601" t="s">
        <v>12</v>
      </c>
      <c r="X601" t="s">
        <v>12</v>
      </c>
      <c r="Y601" t="s">
        <v>12</v>
      </c>
      <c r="Z601" t="s">
        <v>12</v>
      </c>
      <c r="AA601" t="s">
        <v>12</v>
      </c>
      <c r="AB601" t="s">
        <v>12</v>
      </c>
      <c r="AC601" t="s">
        <v>12</v>
      </c>
      <c r="AD601" t="s">
        <v>12</v>
      </c>
      <c r="AE601" t="s">
        <v>12</v>
      </c>
      <c r="AF601" t="s">
        <v>12</v>
      </c>
      <c r="AG601" t="s">
        <v>12</v>
      </c>
      <c r="AH601" t="s">
        <v>12</v>
      </c>
      <c r="AI601" t="s">
        <v>12</v>
      </c>
      <c r="AJ601" t="s">
        <v>12</v>
      </c>
      <c r="AK601" t="s">
        <v>12</v>
      </c>
      <c r="AL601" t="s">
        <v>12</v>
      </c>
      <c r="AM601" t="s">
        <v>12</v>
      </c>
      <c r="AN601" t="s">
        <v>12</v>
      </c>
      <c r="AO601" t="s">
        <v>12</v>
      </c>
    </row>
    <row r="602" spans="1:41" x14ac:dyDescent="0.35">
      <c r="A602">
        <v>21454604</v>
      </c>
      <c r="B602">
        <v>202511</v>
      </c>
      <c r="C602">
        <v>20456215026</v>
      </c>
      <c r="D602" t="s">
        <v>868</v>
      </c>
      <c r="E602" t="s">
        <v>1</v>
      </c>
      <c r="F602">
        <v>10268665</v>
      </c>
      <c r="G602" t="s">
        <v>100</v>
      </c>
      <c r="H602" t="s">
        <v>166</v>
      </c>
      <c r="I602">
        <v>122726.6171875</v>
      </c>
      <c r="J602" s="1">
        <v>45821</v>
      </c>
      <c r="K602">
        <v>17.700001</v>
      </c>
      <c r="L602" t="s">
        <v>37</v>
      </c>
      <c r="M602" t="s">
        <v>37</v>
      </c>
      <c r="N602" t="s">
        <v>102</v>
      </c>
      <c r="O602">
        <v>202506</v>
      </c>
      <c r="P602">
        <v>138006.9</v>
      </c>
      <c r="Q602" t="s">
        <v>166</v>
      </c>
      <c r="R602" t="s">
        <v>167</v>
      </c>
      <c r="S602" t="s">
        <v>111</v>
      </c>
      <c r="T602" t="s">
        <v>112</v>
      </c>
      <c r="U602" t="s">
        <v>41</v>
      </c>
      <c r="V602">
        <v>2</v>
      </c>
      <c r="W602" t="s">
        <v>10</v>
      </c>
      <c r="X602" t="s">
        <v>22</v>
      </c>
      <c r="Y602">
        <v>1</v>
      </c>
      <c r="Z602">
        <v>1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12</v>
      </c>
      <c r="AG602" t="s">
        <v>12</v>
      </c>
      <c r="AH602" t="s">
        <v>12</v>
      </c>
      <c r="AI602" t="s">
        <v>12</v>
      </c>
      <c r="AJ602" t="s">
        <v>12</v>
      </c>
      <c r="AK602">
        <v>130000</v>
      </c>
      <c r="AL602">
        <v>0.26379999999999998</v>
      </c>
      <c r="AM602">
        <v>0.24379999999999999</v>
      </c>
      <c r="AN602" t="s">
        <v>12</v>
      </c>
      <c r="AO602" t="s">
        <v>12</v>
      </c>
    </row>
    <row r="603" spans="1:41" x14ac:dyDescent="0.35">
      <c r="A603">
        <v>18619539</v>
      </c>
      <c r="B603">
        <v>202509</v>
      </c>
      <c r="C603">
        <v>20448805809</v>
      </c>
      <c r="D603" t="s">
        <v>869</v>
      </c>
      <c r="E603" t="s">
        <v>1</v>
      </c>
      <c r="F603">
        <v>10267468</v>
      </c>
      <c r="G603" t="s">
        <v>100</v>
      </c>
      <c r="H603" t="s">
        <v>227</v>
      </c>
      <c r="I603">
        <v>60499.51953125</v>
      </c>
      <c r="J603" s="1">
        <v>45776</v>
      </c>
      <c r="K603">
        <v>16.16</v>
      </c>
      <c r="L603" t="s">
        <v>37</v>
      </c>
      <c r="M603" t="s">
        <v>37</v>
      </c>
      <c r="N603" t="s">
        <v>102</v>
      </c>
      <c r="O603">
        <v>202504</v>
      </c>
      <c r="P603">
        <v>85104.25</v>
      </c>
      <c r="Q603" t="s">
        <v>227</v>
      </c>
      <c r="R603" t="s">
        <v>228</v>
      </c>
      <c r="S603" t="s">
        <v>127</v>
      </c>
      <c r="T603" t="s">
        <v>147</v>
      </c>
      <c r="U603" t="s">
        <v>41</v>
      </c>
      <c r="V603">
        <v>1</v>
      </c>
      <c r="W603" t="s">
        <v>10</v>
      </c>
      <c r="X603" t="s">
        <v>11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 t="s">
        <v>12</v>
      </c>
      <c r="AG603" t="s">
        <v>12</v>
      </c>
      <c r="AH603" t="s">
        <v>12</v>
      </c>
      <c r="AI603" t="s">
        <v>12</v>
      </c>
      <c r="AJ603" t="s">
        <v>12</v>
      </c>
      <c r="AK603">
        <v>400000</v>
      </c>
      <c r="AL603">
        <v>0.18</v>
      </c>
      <c r="AM603">
        <v>0.16</v>
      </c>
      <c r="AN603" t="s">
        <v>12</v>
      </c>
      <c r="AO603" t="s">
        <v>12</v>
      </c>
    </row>
    <row r="604" spans="1:41" x14ac:dyDescent="0.35">
      <c r="A604">
        <v>21556067</v>
      </c>
      <c r="B604">
        <v>202510</v>
      </c>
      <c r="C604">
        <v>20555745614</v>
      </c>
      <c r="D604" t="s">
        <v>870</v>
      </c>
      <c r="E604" t="s">
        <v>1</v>
      </c>
      <c r="F604">
        <v>10266720</v>
      </c>
      <c r="G604" t="s">
        <v>100</v>
      </c>
      <c r="H604" t="s">
        <v>265</v>
      </c>
      <c r="I604">
        <v>129297.90625</v>
      </c>
      <c r="J604" s="1">
        <v>45744</v>
      </c>
      <c r="K604">
        <v>14</v>
      </c>
      <c r="L604" t="s">
        <v>37</v>
      </c>
      <c r="M604" t="s">
        <v>37</v>
      </c>
      <c r="N604" t="s">
        <v>102</v>
      </c>
      <c r="O604">
        <v>202503</v>
      </c>
      <c r="P604">
        <v>149822.45000000001</v>
      </c>
      <c r="Q604" t="s">
        <v>265</v>
      </c>
      <c r="R604" t="s">
        <v>266</v>
      </c>
      <c r="S604" t="s">
        <v>18</v>
      </c>
      <c r="T604" t="s">
        <v>122</v>
      </c>
      <c r="U604" t="s">
        <v>41</v>
      </c>
      <c r="V604">
        <v>1</v>
      </c>
      <c r="W604" t="s">
        <v>10</v>
      </c>
      <c r="X604" t="s">
        <v>12</v>
      </c>
      <c r="Y604">
        <v>1</v>
      </c>
      <c r="Z604">
        <v>1</v>
      </c>
      <c r="AA604">
        <v>0</v>
      </c>
      <c r="AB604">
        <v>1</v>
      </c>
      <c r="AC604">
        <v>1</v>
      </c>
      <c r="AD604">
        <v>1</v>
      </c>
      <c r="AE604">
        <v>0</v>
      </c>
      <c r="AF604" t="s">
        <v>12</v>
      </c>
      <c r="AG604" t="s">
        <v>12</v>
      </c>
      <c r="AH604" t="s">
        <v>12</v>
      </c>
      <c r="AI604" t="s">
        <v>12</v>
      </c>
      <c r="AJ604" t="s">
        <v>12</v>
      </c>
      <c r="AK604">
        <v>400000</v>
      </c>
      <c r="AL604">
        <v>0.21</v>
      </c>
      <c r="AM604">
        <v>0.19</v>
      </c>
      <c r="AN604" t="s">
        <v>12</v>
      </c>
      <c r="AO604" t="s">
        <v>12</v>
      </c>
    </row>
    <row r="605" spans="1:41" x14ac:dyDescent="0.35">
      <c r="A605">
        <v>21831733</v>
      </c>
      <c r="B605">
        <v>202511</v>
      </c>
      <c r="C605">
        <v>20610095594</v>
      </c>
      <c r="D605" t="s">
        <v>871</v>
      </c>
      <c r="E605" t="s">
        <v>1</v>
      </c>
      <c r="F605">
        <v>10271021</v>
      </c>
      <c r="G605" t="s">
        <v>100</v>
      </c>
      <c r="H605" t="s">
        <v>159</v>
      </c>
      <c r="I605">
        <v>140113.265625</v>
      </c>
      <c r="J605" s="1">
        <v>45903</v>
      </c>
      <c r="K605">
        <v>17</v>
      </c>
      <c r="L605" t="s">
        <v>37</v>
      </c>
      <c r="M605" t="s">
        <v>37</v>
      </c>
      <c r="N605" t="s">
        <v>102</v>
      </c>
      <c r="O605">
        <v>202509</v>
      </c>
      <c r="P605">
        <v>150082.5</v>
      </c>
      <c r="Q605" t="s">
        <v>12</v>
      </c>
      <c r="R605" t="s">
        <v>12</v>
      </c>
      <c r="S605" t="s">
        <v>12</v>
      </c>
      <c r="T605" t="s">
        <v>12</v>
      </c>
      <c r="U605" t="s">
        <v>196</v>
      </c>
      <c r="V605">
        <v>3</v>
      </c>
      <c r="W605" t="s">
        <v>10</v>
      </c>
      <c r="X605" t="s">
        <v>22</v>
      </c>
      <c r="Y605">
        <v>1</v>
      </c>
      <c r="Z605">
        <v>0</v>
      </c>
      <c r="AA605">
        <v>0</v>
      </c>
      <c r="AB605">
        <v>0</v>
      </c>
      <c r="AC605">
        <v>0</v>
      </c>
      <c r="AD605" t="s">
        <v>12</v>
      </c>
      <c r="AE605">
        <v>0</v>
      </c>
      <c r="AF605" t="s">
        <v>12</v>
      </c>
      <c r="AG605" t="s">
        <v>12</v>
      </c>
      <c r="AH605" t="s">
        <v>12</v>
      </c>
      <c r="AI605" t="s">
        <v>12</v>
      </c>
      <c r="AJ605" t="s">
        <v>12</v>
      </c>
      <c r="AK605" t="s">
        <v>12</v>
      </c>
      <c r="AL605" t="s">
        <v>12</v>
      </c>
      <c r="AM605" t="s">
        <v>12</v>
      </c>
      <c r="AN605" t="s">
        <v>269</v>
      </c>
      <c r="AO605" t="s">
        <v>270</v>
      </c>
    </row>
    <row r="606" spans="1:41" x14ac:dyDescent="0.35">
      <c r="A606">
        <v>17509464</v>
      </c>
      <c r="B606">
        <v>202601</v>
      </c>
      <c r="C606">
        <v>20602794211</v>
      </c>
      <c r="D606" t="s">
        <v>872</v>
      </c>
      <c r="E606" t="s">
        <v>1</v>
      </c>
      <c r="F606">
        <v>10271585</v>
      </c>
      <c r="G606" t="s">
        <v>268</v>
      </c>
      <c r="H606" t="s">
        <v>49</v>
      </c>
      <c r="I606">
        <v>82201.703125</v>
      </c>
      <c r="J606" s="1">
        <v>45922</v>
      </c>
      <c r="K606">
        <v>20</v>
      </c>
      <c r="L606" t="s">
        <v>37</v>
      </c>
      <c r="M606" t="s">
        <v>37</v>
      </c>
      <c r="N606" t="s">
        <v>98</v>
      </c>
      <c r="O606">
        <v>202509</v>
      </c>
      <c r="P606">
        <v>96004.800000000003</v>
      </c>
      <c r="Q606" t="s">
        <v>12</v>
      </c>
      <c r="R606" t="s">
        <v>12</v>
      </c>
      <c r="S606" t="s">
        <v>12</v>
      </c>
      <c r="T606" t="s">
        <v>12</v>
      </c>
      <c r="U606" t="s">
        <v>12</v>
      </c>
      <c r="V606" t="s">
        <v>12</v>
      </c>
      <c r="W606" t="s">
        <v>12</v>
      </c>
      <c r="X606" t="s">
        <v>12</v>
      </c>
      <c r="Y606" t="s">
        <v>12</v>
      </c>
      <c r="Z606" t="s">
        <v>12</v>
      </c>
      <c r="AA606" t="s">
        <v>12</v>
      </c>
      <c r="AB606" t="s">
        <v>12</v>
      </c>
      <c r="AC606" t="s">
        <v>12</v>
      </c>
      <c r="AD606" t="s">
        <v>12</v>
      </c>
      <c r="AE606" t="s">
        <v>12</v>
      </c>
      <c r="AF606" t="s">
        <v>12</v>
      </c>
      <c r="AG606" t="s">
        <v>12</v>
      </c>
      <c r="AH606" t="s">
        <v>12</v>
      </c>
      <c r="AI606" t="s">
        <v>12</v>
      </c>
      <c r="AJ606" t="s">
        <v>12</v>
      </c>
      <c r="AK606" t="s">
        <v>12</v>
      </c>
      <c r="AL606" t="s">
        <v>12</v>
      </c>
      <c r="AM606" t="s">
        <v>12</v>
      </c>
      <c r="AN606" t="s">
        <v>12</v>
      </c>
      <c r="AO606" t="s">
        <v>12</v>
      </c>
    </row>
    <row r="607" spans="1:41" x14ac:dyDescent="0.35">
      <c r="A607">
        <v>21556719</v>
      </c>
      <c r="B607">
        <v>202504</v>
      </c>
      <c r="C607">
        <v>20603268700</v>
      </c>
      <c r="D607" t="s">
        <v>873</v>
      </c>
      <c r="E607" t="s">
        <v>1</v>
      </c>
      <c r="F607">
        <v>10266707</v>
      </c>
      <c r="G607" t="s">
        <v>14</v>
      </c>
      <c r="H607" t="s">
        <v>159</v>
      </c>
      <c r="I607">
        <v>110205.4921875</v>
      </c>
      <c r="J607" s="1">
        <v>45744</v>
      </c>
      <c r="K607">
        <v>17</v>
      </c>
      <c r="L607" t="s">
        <v>37</v>
      </c>
      <c r="M607" t="s">
        <v>37</v>
      </c>
      <c r="N607" t="s">
        <v>16</v>
      </c>
      <c r="O607">
        <v>202503</v>
      </c>
      <c r="P607">
        <v>110205.5</v>
      </c>
      <c r="Q607" t="s">
        <v>12</v>
      </c>
      <c r="R607" t="s">
        <v>12</v>
      </c>
      <c r="S607" t="s">
        <v>12</v>
      </c>
      <c r="T607" t="s">
        <v>12</v>
      </c>
      <c r="U607" t="s">
        <v>12</v>
      </c>
      <c r="V607" t="s">
        <v>12</v>
      </c>
      <c r="W607" t="s">
        <v>12</v>
      </c>
      <c r="X607" t="s">
        <v>12</v>
      </c>
      <c r="Y607" t="s">
        <v>12</v>
      </c>
      <c r="Z607" t="s">
        <v>12</v>
      </c>
      <c r="AA607" t="s">
        <v>12</v>
      </c>
      <c r="AB607" t="s">
        <v>12</v>
      </c>
      <c r="AC607" t="s">
        <v>12</v>
      </c>
      <c r="AD607" t="s">
        <v>12</v>
      </c>
      <c r="AE607" t="s">
        <v>12</v>
      </c>
      <c r="AF607" t="s">
        <v>12</v>
      </c>
      <c r="AG607" t="s">
        <v>12</v>
      </c>
      <c r="AH607" t="s">
        <v>12</v>
      </c>
      <c r="AI607" t="s">
        <v>12</v>
      </c>
      <c r="AJ607" t="s">
        <v>12</v>
      </c>
      <c r="AK607" t="s">
        <v>12</v>
      </c>
      <c r="AL607" t="s">
        <v>12</v>
      </c>
      <c r="AM607" t="s">
        <v>12</v>
      </c>
      <c r="AN607" t="s">
        <v>12</v>
      </c>
      <c r="AO607" t="s">
        <v>12</v>
      </c>
    </row>
    <row r="608" spans="1:41" x14ac:dyDescent="0.35">
      <c r="A608">
        <v>17983675</v>
      </c>
      <c r="B608">
        <v>202601</v>
      </c>
      <c r="C608">
        <v>20554976990</v>
      </c>
      <c r="D608" t="s">
        <v>874</v>
      </c>
      <c r="E608" t="s">
        <v>1</v>
      </c>
      <c r="F608">
        <v>10270524</v>
      </c>
      <c r="G608" t="s">
        <v>78</v>
      </c>
      <c r="H608" t="s">
        <v>127</v>
      </c>
      <c r="I608">
        <v>78520.546875</v>
      </c>
      <c r="J608" s="1">
        <v>45889</v>
      </c>
      <c r="K608">
        <v>19</v>
      </c>
      <c r="L608" t="s">
        <v>86</v>
      </c>
      <c r="M608" t="s">
        <v>86</v>
      </c>
      <c r="N608" t="s">
        <v>41</v>
      </c>
      <c r="O608">
        <v>202508</v>
      </c>
      <c r="P608">
        <v>184509.2</v>
      </c>
      <c r="Q608" t="s">
        <v>220</v>
      </c>
      <c r="R608" t="s">
        <v>221</v>
      </c>
      <c r="S608" t="s">
        <v>127</v>
      </c>
      <c r="T608" t="s">
        <v>147</v>
      </c>
      <c r="U608" t="s">
        <v>41</v>
      </c>
      <c r="V608">
        <v>1</v>
      </c>
      <c r="W608" t="s">
        <v>21</v>
      </c>
      <c r="X608" t="s">
        <v>22</v>
      </c>
      <c r="Y608">
        <v>1</v>
      </c>
      <c r="Z608">
        <v>1</v>
      </c>
      <c r="AA608">
        <v>0</v>
      </c>
      <c r="AB608">
        <v>1</v>
      </c>
      <c r="AC608">
        <v>1</v>
      </c>
      <c r="AD608">
        <v>0</v>
      </c>
      <c r="AE608">
        <v>0</v>
      </c>
      <c r="AF608" t="s">
        <v>12</v>
      </c>
      <c r="AG608" t="s">
        <v>12</v>
      </c>
      <c r="AH608" t="s">
        <v>12</v>
      </c>
      <c r="AI608" t="s">
        <v>12</v>
      </c>
      <c r="AJ608" t="s">
        <v>12</v>
      </c>
      <c r="AK608">
        <v>67100</v>
      </c>
      <c r="AL608">
        <v>0.21</v>
      </c>
      <c r="AM608">
        <v>0.19</v>
      </c>
      <c r="AN608" t="s">
        <v>12</v>
      </c>
      <c r="AO608" t="s">
        <v>12</v>
      </c>
    </row>
    <row r="609" spans="1:41" x14ac:dyDescent="0.35">
      <c r="A609">
        <v>21701860</v>
      </c>
      <c r="B609">
        <v>202509</v>
      </c>
      <c r="C609">
        <v>20608047191</v>
      </c>
      <c r="D609" t="s">
        <v>875</v>
      </c>
      <c r="E609" t="s">
        <v>1</v>
      </c>
      <c r="F609">
        <v>10268905</v>
      </c>
      <c r="G609" t="s">
        <v>28</v>
      </c>
      <c r="H609" t="s">
        <v>18</v>
      </c>
      <c r="I609">
        <v>160722.484375</v>
      </c>
      <c r="J609" s="1">
        <v>45828</v>
      </c>
      <c r="K609">
        <v>18</v>
      </c>
      <c r="L609" t="s">
        <v>4</v>
      </c>
      <c r="M609" t="s">
        <v>4</v>
      </c>
      <c r="N609" t="s">
        <v>26</v>
      </c>
      <c r="O609">
        <v>202506</v>
      </c>
      <c r="P609">
        <v>180009</v>
      </c>
      <c r="Q609" t="s">
        <v>12</v>
      </c>
      <c r="R609" t="s">
        <v>12</v>
      </c>
      <c r="S609" t="s">
        <v>12</v>
      </c>
      <c r="T609" t="s">
        <v>12</v>
      </c>
      <c r="U609" t="s">
        <v>12</v>
      </c>
      <c r="V609" t="s">
        <v>12</v>
      </c>
      <c r="W609" t="s">
        <v>12</v>
      </c>
      <c r="X609" t="s">
        <v>12</v>
      </c>
      <c r="Y609" t="s">
        <v>12</v>
      </c>
      <c r="Z609" t="s">
        <v>12</v>
      </c>
      <c r="AA609" t="s">
        <v>12</v>
      </c>
      <c r="AB609" t="s">
        <v>12</v>
      </c>
      <c r="AC609" t="s">
        <v>12</v>
      </c>
      <c r="AD609" t="s">
        <v>12</v>
      </c>
      <c r="AE609" t="s">
        <v>12</v>
      </c>
      <c r="AF609" t="s">
        <v>12</v>
      </c>
      <c r="AG609" t="s">
        <v>12</v>
      </c>
      <c r="AH609" t="s">
        <v>12</v>
      </c>
      <c r="AI609" t="s">
        <v>12</v>
      </c>
      <c r="AJ609" t="s">
        <v>12</v>
      </c>
      <c r="AK609" t="s">
        <v>12</v>
      </c>
      <c r="AL609" t="s">
        <v>12</v>
      </c>
      <c r="AM609" t="s">
        <v>12</v>
      </c>
      <c r="AN609" t="s">
        <v>12</v>
      </c>
      <c r="AO609" t="s">
        <v>12</v>
      </c>
    </row>
    <row r="610" spans="1:41" x14ac:dyDescent="0.35">
      <c r="A610">
        <v>11841307</v>
      </c>
      <c r="B610">
        <v>202602</v>
      </c>
      <c r="C610">
        <v>10083190430</v>
      </c>
      <c r="D610" t="s">
        <v>876</v>
      </c>
      <c r="E610">
        <v>8319043</v>
      </c>
      <c r="F610">
        <v>10262575</v>
      </c>
      <c r="G610" t="s">
        <v>45</v>
      </c>
      <c r="H610" t="s">
        <v>422</v>
      </c>
      <c r="I610">
        <v>26568.78125</v>
      </c>
      <c r="J610" s="1">
        <v>45609</v>
      </c>
      <c r="K610">
        <v>17.899999999999999</v>
      </c>
      <c r="L610" t="s">
        <v>37</v>
      </c>
      <c r="M610" t="s">
        <v>37</v>
      </c>
      <c r="N610" t="s">
        <v>47</v>
      </c>
      <c r="O610">
        <v>202411</v>
      </c>
      <c r="P610">
        <v>40002</v>
      </c>
      <c r="Q610" t="s">
        <v>422</v>
      </c>
      <c r="R610" t="s">
        <v>424</v>
      </c>
      <c r="S610" t="s">
        <v>88</v>
      </c>
      <c r="T610" t="s">
        <v>89</v>
      </c>
      <c r="U610" t="s">
        <v>63</v>
      </c>
      <c r="V610">
        <v>2</v>
      </c>
      <c r="W610" t="s">
        <v>90</v>
      </c>
      <c r="X610" t="s">
        <v>59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 t="s">
        <v>12</v>
      </c>
      <c r="AG610" t="s">
        <v>12</v>
      </c>
      <c r="AH610" t="s">
        <v>12</v>
      </c>
      <c r="AI610" t="s">
        <v>12</v>
      </c>
      <c r="AJ610" t="s">
        <v>12</v>
      </c>
      <c r="AK610">
        <v>50000</v>
      </c>
      <c r="AL610">
        <v>0.21</v>
      </c>
      <c r="AM610">
        <v>0.19</v>
      </c>
      <c r="AN610" t="s">
        <v>12</v>
      </c>
      <c r="AO610" t="s">
        <v>12</v>
      </c>
    </row>
    <row r="611" spans="1:41" x14ac:dyDescent="0.35">
      <c r="A611">
        <v>12188425</v>
      </c>
      <c r="B611">
        <v>202509</v>
      </c>
      <c r="C611">
        <v>10296653077</v>
      </c>
      <c r="D611" t="s">
        <v>877</v>
      </c>
      <c r="E611">
        <v>29665307</v>
      </c>
      <c r="F611">
        <v>10256532</v>
      </c>
      <c r="G611" t="s">
        <v>65</v>
      </c>
      <c r="H611" t="s">
        <v>159</v>
      </c>
      <c r="I611">
        <v>19764.912109375</v>
      </c>
      <c r="J611" s="1">
        <v>45469</v>
      </c>
      <c r="K611">
        <v>15.5</v>
      </c>
      <c r="L611" t="s">
        <v>37</v>
      </c>
      <c r="M611" t="s">
        <v>37</v>
      </c>
      <c r="N611" t="s">
        <v>47</v>
      </c>
      <c r="O611">
        <v>202406</v>
      </c>
      <c r="P611">
        <v>30001.5</v>
      </c>
      <c r="Q611" t="s">
        <v>12</v>
      </c>
      <c r="R611" t="s">
        <v>12</v>
      </c>
      <c r="S611" t="s">
        <v>12</v>
      </c>
      <c r="T611" t="s">
        <v>12</v>
      </c>
      <c r="U611" t="s">
        <v>12</v>
      </c>
      <c r="V611" t="s">
        <v>12</v>
      </c>
      <c r="W611" t="s">
        <v>12</v>
      </c>
      <c r="X611" t="s">
        <v>12</v>
      </c>
      <c r="Y611" t="s">
        <v>12</v>
      </c>
      <c r="Z611" t="s">
        <v>12</v>
      </c>
      <c r="AA611" t="s">
        <v>12</v>
      </c>
      <c r="AB611" t="s">
        <v>12</v>
      </c>
      <c r="AC611" t="s">
        <v>12</v>
      </c>
      <c r="AD611" t="s">
        <v>12</v>
      </c>
      <c r="AE611" t="s">
        <v>12</v>
      </c>
      <c r="AF611" t="s">
        <v>12</v>
      </c>
      <c r="AG611" t="s">
        <v>12</v>
      </c>
      <c r="AH611" t="s">
        <v>12</v>
      </c>
      <c r="AI611" t="s">
        <v>12</v>
      </c>
      <c r="AJ611" t="s">
        <v>12</v>
      </c>
      <c r="AK611" t="s">
        <v>12</v>
      </c>
      <c r="AL611" t="s">
        <v>12</v>
      </c>
      <c r="AM611" t="s">
        <v>12</v>
      </c>
      <c r="AN611" t="s">
        <v>12</v>
      </c>
      <c r="AO611" t="s">
        <v>12</v>
      </c>
    </row>
    <row r="612" spans="1:41" x14ac:dyDescent="0.35">
      <c r="A612">
        <v>16391915</v>
      </c>
      <c r="B612">
        <v>202509</v>
      </c>
      <c r="C612">
        <v>20605227857</v>
      </c>
      <c r="D612" t="s">
        <v>878</v>
      </c>
      <c r="E612" t="s">
        <v>1</v>
      </c>
      <c r="F612">
        <v>10257975</v>
      </c>
      <c r="G612" t="s">
        <v>65</v>
      </c>
      <c r="H612" t="s">
        <v>111</v>
      </c>
      <c r="I612">
        <v>41851.73828125</v>
      </c>
      <c r="J612" s="1">
        <v>45498</v>
      </c>
      <c r="K612">
        <v>15</v>
      </c>
      <c r="L612" t="s">
        <v>4</v>
      </c>
      <c r="M612" t="s">
        <v>4</v>
      </c>
      <c r="N612" t="s">
        <v>47</v>
      </c>
      <c r="O612">
        <v>202407</v>
      </c>
      <c r="P612">
        <v>60003</v>
      </c>
      <c r="Q612" t="s">
        <v>12</v>
      </c>
      <c r="R612" t="s">
        <v>12</v>
      </c>
      <c r="S612" t="s">
        <v>12</v>
      </c>
      <c r="T612" t="s">
        <v>12</v>
      </c>
      <c r="U612" t="s">
        <v>12</v>
      </c>
      <c r="V612" t="s">
        <v>12</v>
      </c>
      <c r="W612" t="s">
        <v>12</v>
      </c>
      <c r="X612" t="s">
        <v>12</v>
      </c>
      <c r="Y612" t="s">
        <v>12</v>
      </c>
      <c r="Z612" t="s">
        <v>12</v>
      </c>
      <c r="AA612" t="s">
        <v>12</v>
      </c>
      <c r="AB612" t="s">
        <v>12</v>
      </c>
      <c r="AC612" t="s">
        <v>12</v>
      </c>
      <c r="AD612" t="s">
        <v>12</v>
      </c>
      <c r="AE612" t="s">
        <v>12</v>
      </c>
      <c r="AF612" t="s">
        <v>12</v>
      </c>
      <c r="AG612" t="s">
        <v>12</v>
      </c>
      <c r="AH612" t="s">
        <v>12</v>
      </c>
      <c r="AI612" t="s">
        <v>12</v>
      </c>
      <c r="AJ612" t="s">
        <v>12</v>
      </c>
      <c r="AK612" t="s">
        <v>12</v>
      </c>
      <c r="AL612" t="s">
        <v>12</v>
      </c>
      <c r="AM612" t="s">
        <v>12</v>
      </c>
      <c r="AN612" t="s">
        <v>12</v>
      </c>
      <c r="AO612" t="s">
        <v>12</v>
      </c>
    </row>
    <row r="613" spans="1:41" x14ac:dyDescent="0.35">
      <c r="A613">
        <v>21280639</v>
      </c>
      <c r="B613">
        <v>202509</v>
      </c>
      <c r="C613">
        <v>20604770565</v>
      </c>
      <c r="D613" t="s">
        <v>879</v>
      </c>
      <c r="E613" t="s">
        <v>1</v>
      </c>
      <c r="F613">
        <v>10262272</v>
      </c>
      <c r="G613" t="s">
        <v>45</v>
      </c>
      <c r="H613" t="s">
        <v>124</v>
      </c>
      <c r="I613">
        <v>76648.9375</v>
      </c>
      <c r="J613" s="1">
        <v>45596</v>
      </c>
      <c r="K613">
        <v>14</v>
      </c>
      <c r="L613" t="s">
        <v>4</v>
      </c>
      <c r="M613" t="s">
        <v>4</v>
      </c>
      <c r="N613" t="s">
        <v>47</v>
      </c>
      <c r="O613">
        <v>202410</v>
      </c>
      <c r="P613">
        <v>90004.5</v>
      </c>
      <c r="Q613" t="s">
        <v>124</v>
      </c>
      <c r="R613" t="s">
        <v>125</v>
      </c>
      <c r="S613" t="s">
        <v>88</v>
      </c>
      <c r="T613" t="s">
        <v>89</v>
      </c>
      <c r="U613" t="s">
        <v>20</v>
      </c>
      <c r="V613">
        <v>2</v>
      </c>
      <c r="W613" t="s">
        <v>10</v>
      </c>
      <c r="X613" t="s">
        <v>51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 t="s">
        <v>12</v>
      </c>
      <c r="AG613" t="s">
        <v>12</v>
      </c>
      <c r="AH613" t="s">
        <v>12</v>
      </c>
      <c r="AI613" t="s">
        <v>12</v>
      </c>
      <c r="AJ613" t="s">
        <v>12</v>
      </c>
      <c r="AK613">
        <v>1</v>
      </c>
      <c r="AL613">
        <v>1</v>
      </c>
      <c r="AM613" t="s">
        <v>12</v>
      </c>
      <c r="AN613" t="s">
        <v>12</v>
      </c>
      <c r="AO613" t="s">
        <v>12</v>
      </c>
    </row>
    <row r="614" spans="1:41" x14ac:dyDescent="0.35">
      <c r="A614">
        <v>18069880</v>
      </c>
      <c r="B614">
        <v>202506</v>
      </c>
      <c r="C614">
        <v>20608007149</v>
      </c>
      <c r="D614" t="s">
        <v>880</v>
      </c>
      <c r="E614" t="s">
        <v>1</v>
      </c>
      <c r="F614">
        <v>10264602</v>
      </c>
      <c r="G614" t="s">
        <v>24</v>
      </c>
      <c r="H614" t="s">
        <v>124</v>
      </c>
      <c r="I614">
        <v>74686.71875</v>
      </c>
      <c r="J614" s="1">
        <v>45673</v>
      </c>
      <c r="K614">
        <v>18.200001</v>
      </c>
      <c r="L614" t="s">
        <v>37</v>
      </c>
      <c r="M614" t="s">
        <v>37</v>
      </c>
      <c r="N614" t="s">
        <v>98</v>
      </c>
      <c r="O614">
        <v>202501</v>
      </c>
      <c r="P614">
        <v>100005</v>
      </c>
      <c r="Q614" t="s">
        <v>124</v>
      </c>
      <c r="R614" t="s">
        <v>125</v>
      </c>
      <c r="S614" t="s">
        <v>88</v>
      </c>
      <c r="T614" t="s">
        <v>89</v>
      </c>
      <c r="U614" t="s">
        <v>20</v>
      </c>
      <c r="V614">
        <v>2</v>
      </c>
      <c r="W614" t="s">
        <v>10</v>
      </c>
      <c r="X614" t="s">
        <v>12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12</v>
      </c>
      <c r="AG614" t="s">
        <v>12</v>
      </c>
      <c r="AH614" t="s">
        <v>12</v>
      </c>
      <c r="AI614" t="s">
        <v>12</v>
      </c>
      <c r="AJ614" t="s">
        <v>12</v>
      </c>
      <c r="AK614">
        <v>1</v>
      </c>
      <c r="AL614">
        <v>0.1883</v>
      </c>
      <c r="AM614" t="s">
        <v>12</v>
      </c>
      <c r="AN614" t="s">
        <v>12</v>
      </c>
      <c r="AO614" t="s">
        <v>12</v>
      </c>
    </row>
    <row r="615" spans="1:41" x14ac:dyDescent="0.35">
      <c r="A615">
        <v>11189411</v>
      </c>
      <c r="B615">
        <v>202510</v>
      </c>
      <c r="C615">
        <v>10215258926</v>
      </c>
      <c r="D615" t="s">
        <v>881</v>
      </c>
      <c r="E615">
        <v>21525892</v>
      </c>
      <c r="F615">
        <v>10264680</v>
      </c>
      <c r="G615" t="s">
        <v>24</v>
      </c>
      <c r="H615" t="s">
        <v>124</v>
      </c>
      <c r="I615">
        <v>3333.37329101563</v>
      </c>
      <c r="J615" s="1">
        <v>45678</v>
      </c>
      <c r="K615">
        <v>24.200001</v>
      </c>
      <c r="L615" t="s">
        <v>37</v>
      </c>
      <c r="M615" t="s">
        <v>37</v>
      </c>
      <c r="N615" t="s">
        <v>98</v>
      </c>
      <c r="O615">
        <v>202501</v>
      </c>
      <c r="P615">
        <v>60003</v>
      </c>
      <c r="Q615" t="s">
        <v>124</v>
      </c>
      <c r="R615" t="s">
        <v>125</v>
      </c>
      <c r="S615" t="s">
        <v>88</v>
      </c>
      <c r="T615" t="s">
        <v>89</v>
      </c>
      <c r="U615" t="s">
        <v>20</v>
      </c>
      <c r="V615">
        <v>2</v>
      </c>
      <c r="W615" t="s">
        <v>10</v>
      </c>
      <c r="X615" t="s">
        <v>12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12</v>
      </c>
      <c r="AG615" t="s">
        <v>12</v>
      </c>
      <c r="AH615" t="s">
        <v>12</v>
      </c>
      <c r="AI615" t="s">
        <v>12</v>
      </c>
      <c r="AJ615" t="s">
        <v>12</v>
      </c>
      <c r="AK615">
        <v>1</v>
      </c>
      <c r="AL615">
        <v>1</v>
      </c>
      <c r="AM615" t="s">
        <v>12</v>
      </c>
      <c r="AN615" t="s">
        <v>12</v>
      </c>
      <c r="AO615" t="s">
        <v>12</v>
      </c>
    </row>
    <row r="616" spans="1:41" x14ac:dyDescent="0.35">
      <c r="A616">
        <v>15620770</v>
      </c>
      <c r="B616">
        <v>202511</v>
      </c>
      <c r="C616">
        <v>10730030474</v>
      </c>
      <c r="D616" t="s">
        <v>882</v>
      </c>
      <c r="E616">
        <v>73003047</v>
      </c>
      <c r="F616">
        <v>10255420</v>
      </c>
      <c r="G616" t="s">
        <v>53</v>
      </c>
      <c r="H616" t="s">
        <v>149</v>
      </c>
      <c r="I616">
        <v>57778.96875</v>
      </c>
      <c r="J616" s="1">
        <v>45461</v>
      </c>
      <c r="K616">
        <v>16.700001</v>
      </c>
      <c r="L616" t="s">
        <v>4</v>
      </c>
      <c r="M616" t="s">
        <v>4</v>
      </c>
      <c r="N616" t="s">
        <v>47</v>
      </c>
      <c r="O616">
        <v>202406</v>
      </c>
      <c r="P616">
        <v>89984.45</v>
      </c>
      <c r="Q616" t="s">
        <v>149</v>
      </c>
      <c r="R616" t="s">
        <v>150</v>
      </c>
      <c r="S616" t="s">
        <v>7</v>
      </c>
      <c r="T616" t="s">
        <v>8</v>
      </c>
      <c r="U616" t="s">
        <v>20</v>
      </c>
      <c r="V616">
        <v>1</v>
      </c>
      <c r="W616" t="s">
        <v>10</v>
      </c>
      <c r="X616" t="s">
        <v>59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 t="s">
        <v>12</v>
      </c>
      <c r="AG616" t="s">
        <v>12</v>
      </c>
      <c r="AH616" t="s">
        <v>12</v>
      </c>
      <c r="AI616" t="s">
        <v>12</v>
      </c>
      <c r="AJ616" t="s">
        <v>12</v>
      </c>
      <c r="AK616">
        <v>1</v>
      </c>
      <c r="AL616">
        <v>1</v>
      </c>
      <c r="AM616" t="s">
        <v>12</v>
      </c>
      <c r="AN616" t="s">
        <v>12</v>
      </c>
      <c r="AO616" t="s">
        <v>12</v>
      </c>
    </row>
    <row r="617" spans="1:41" x14ac:dyDescent="0.35">
      <c r="A617">
        <v>21875970</v>
      </c>
      <c r="B617">
        <v>202512</v>
      </c>
      <c r="C617">
        <v>20485956698</v>
      </c>
      <c r="D617" t="s">
        <v>883</v>
      </c>
      <c r="E617" t="s">
        <v>1</v>
      </c>
      <c r="F617">
        <v>10271839</v>
      </c>
      <c r="G617" t="s">
        <v>14</v>
      </c>
      <c r="H617" t="s">
        <v>159</v>
      </c>
      <c r="I617">
        <v>106999.6953125</v>
      </c>
      <c r="J617" s="1">
        <v>45929</v>
      </c>
      <c r="K617">
        <v>17</v>
      </c>
      <c r="L617" t="s">
        <v>37</v>
      </c>
      <c r="M617" t="s">
        <v>37</v>
      </c>
      <c r="N617" t="s">
        <v>16</v>
      </c>
      <c r="O617">
        <v>202509</v>
      </c>
      <c r="P617">
        <v>120006</v>
      </c>
      <c r="Q617" t="s">
        <v>12</v>
      </c>
      <c r="R617" t="s">
        <v>12</v>
      </c>
      <c r="S617" t="s">
        <v>12</v>
      </c>
      <c r="T617" t="s">
        <v>12</v>
      </c>
      <c r="U617" t="s">
        <v>196</v>
      </c>
      <c r="V617">
        <v>3</v>
      </c>
      <c r="W617" t="s">
        <v>10</v>
      </c>
      <c r="X617" t="s">
        <v>51</v>
      </c>
      <c r="Y617">
        <v>1</v>
      </c>
      <c r="Z617">
        <v>1</v>
      </c>
      <c r="AA617">
        <v>0</v>
      </c>
      <c r="AB617">
        <v>0</v>
      </c>
      <c r="AC617">
        <v>1</v>
      </c>
      <c r="AD617" t="s">
        <v>12</v>
      </c>
      <c r="AE617">
        <v>0</v>
      </c>
      <c r="AF617" t="s">
        <v>12</v>
      </c>
      <c r="AG617" t="s">
        <v>12</v>
      </c>
      <c r="AH617" t="s">
        <v>12</v>
      </c>
      <c r="AI617" t="s">
        <v>12</v>
      </c>
      <c r="AJ617" t="s">
        <v>12</v>
      </c>
      <c r="AK617" t="s">
        <v>12</v>
      </c>
      <c r="AL617" t="s">
        <v>12</v>
      </c>
      <c r="AM617" t="s">
        <v>12</v>
      </c>
      <c r="AN617" t="s">
        <v>269</v>
      </c>
      <c r="AO617" t="s">
        <v>270</v>
      </c>
    </row>
    <row r="618" spans="1:41" x14ac:dyDescent="0.35">
      <c r="A618">
        <v>21821007</v>
      </c>
      <c r="B618">
        <v>202512</v>
      </c>
      <c r="C618">
        <v>20605514881</v>
      </c>
      <c r="D618" t="s">
        <v>884</v>
      </c>
      <c r="E618" t="s">
        <v>1</v>
      </c>
      <c r="F618">
        <v>10270814</v>
      </c>
      <c r="G618" t="s">
        <v>100</v>
      </c>
      <c r="H618" t="s">
        <v>422</v>
      </c>
      <c r="I618">
        <v>250588.390625</v>
      </c>
      <c r="J618" s="1">
        <v>45897</v>
      </c>
      <c r="K618">
        <v>15.5</v>
      </c>
      <c r="L618" t="s">
        <v>86</v>
      </c>
      <c r="M618" t="s">
        <v>75</v>
      </c>
      <c r="N618" t="s">
        <v>102</v>
      </c>
      <c r="O618">
        <v>202508</v>
      </c>
      <c r="P618">
        <v>281014.05</v>
      </c>
      <c r="Q618" t="s">
        <v>422</v>
      </c>
      <c r="R618" t="s">
        <v>424</v>
      </c>
      <c r="S618" t="s">
        <v>88</v>
      </c>
      <c r="T618" t="s">
        <v>89</v>
      </c>
      <c r="U618" t="s">
        <v>9</v>
      </c>
      <c r="V618">
        <v>2</v>
      </c>
      <c r="W618" t="s">
        <v>10</v>
      </c>
      <c r="X618" t="s">
        <v>22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12</v>
      </c>
      <c r="AG618" t="s">
        <v>12</v>
      </c>
      <c r="AH618" t="s">
        <v>12</v>
      </c>
      <c r="AI618" t="s">
        <v>12</v>
      </c>
      <c r="AJ618" t="s">
        <v>12</v>
      </c>
      <c r="AK618">
        <v>0</v>
      </c>
      <c r="AL618">
        <v>0</v>
      </c>
      <c r="AM618">
        <v>0</v>
      </c>
      <c r="AN618" t="s">
        <v>12</v>
      </c>
      <c r="AO618" t="s">
        <v>12</v>
      </c>
    </row>
    <row r="619" spans="1:41" x14ac:dyDescent="0.35">
      <c r="A619">
        <v>14059464</v>
      </c>
      <c r="B619">
        <v>202503</v>
      </c>
      <c r="C619">
        <v>20524086019</v>
      </c>
      <c r="D619" t="s">
        <v>885</v>
      </c>
      <c r="E619" t="s">
        <v>1</v>
      </c>
      <c r="F619">
        <v>10160072</v>
      </c>
      <c r="G619" t="s">
        <v>2</v>
      </c>
      <c r="H619" t="s">
        <v>159</v>
      </c>
      <c r="I619">
        <v>160475.078125</v>
      </c>
      <c r="J619" s="1">
        <v>45624</v>
      </c>
      <c r="K619">
        <v>16</v>
      </c>
      <c r="L619" t="s">
        <v>4</v>
      </c>
      <c r="M619" t="s">
        <v>4</v>
      </c>
      <c r="N619" t="s">
        <v>5</v>
      </c>
      <c r="O619">
        <v>202411</v>
      </c>
      <c r="P619">
        <v>180009</v>
      </c>
      <c r="Q619" t="s">
        <v>12</v>
      </c>
      <c r="R619" t="s">
        <v>12</v>
      </c>
      <c r="S619" t="s">
        <v>12</v>
      </c>
      <c r="T619" t="s">
        <v>12</v>
      </c>
      <c r="U619" t="s">
        <v>12</v>
      </c>
      <c r="V619" t="s">
        <v>12</v>
      </c>
      <c r="W619" t="s">
        <v>12</v>
      </c>
      <c r="X619" t="s">
        <v>12</v>
      </c>
      <c r="Y619" t="s">
        <v>12</v>
      </c>
      <c r="Z619" t="s">
        <v>12</v>
      </c>
      <c r="AA619" t="s">
        <v>12</v>
      </c>
      <c r="AB619" t="s">
        <v>12</v>
      </c>
      <c r="AC619" t="s">
        <v>12</v>
      </c>
      <c r="AD619" t="s">
        <v>12</v>
      </c>
      <c r="AE619" t="s">
        <v>12</v>
      </c>
      <c r="AF619" t="s">
        <v>12</v>
      </c>
      <c r="AG619" t="s">
        <v>12</v>
      </c>
      <c r="AH619" t="s">
        <v>12</v>
      </c>
      <c r="AI619" t="s">
        <v>12</v>
      </c>
      <c r="AJ619" t="s">
        <v>12</v>
      </c>
      <c r="AK619" t="s">
        <v>12</v>
      </c>
      <c r="AL619" t="s">
        <v>12</v>
      </c>
      <c r="AM619" t="s">
        <v>12</v>
      </c>
      <c r="AN619" t="s">
        <v>12</v>
      </c>
      <c r="AO619" t="s">
        <v>12</v>
      </c>
    </row>
    <row r="620" spans="1:41" x14ac:dyDescent="0.35">
      <c r="A620">
        <v>17640688</v>
      </c>
      <c r="B620">
        <v>202510</v>
      </c>
      <c r="C620">
        <v>20607216101</v>
      </c>
      <c r="D620" t="s">
        <v>886</v>
      </c>
      <c r="E620" t="s">
        <v>1</v>
      </c>
      <c r="F620">
        <v>10255173</v>
      </c>
      <c r="G620" t="s">
        <v>45</v>
      </c>
      <c r="H620" t="s">
        <v>220</v>
      </c>
      <c r="I620">
        <v>55661.71484375</v>
      </c>
      <c r="J620" s="1">
        <v>45457</v>
      </c>
      <c r="K620">
        <v>15.5</v>
      </c>
      <c r="L620" t="s">
        <v>37</v>
      </c>
      <c r="M620" t="s">
        <v>37</v>
      </c>
      <c r="N620" t="s">
        <v>47</v>
      </c>
      <c r="O620">
        <v>202406</v>
      </c>
      <c r="P620">
        <v>90004.5</v>
      </c>
      <c r="Q620" t="s">
        <v>220</v>
      </c>
      <c r="R620" t="s">
        <v>221</v>
      </c>
      <c r="S620" t="s">
        <v>127</v>
      </c>
      <c r="T620" t="s">
        <v>147</v>
      </c>
      <c r="U620" t="s">
        <v>20</v>
      </c>
      <c r="V620">
        <v>1</v>
      </c>
      <c r="W620" t="s">
        <v>10</v>
      </c>
      <c r="X620" t="s">
        <v>12</v>
      </c>
      <c r="Y620">
        <v>1</v>
      </c>
      <c r="Z620">
        <v>1</v>
      </c>
      <c r="AA620">
        <v>0</v>
      </c>
      <c r="AB620">
        <v>1</v>
      </c>
      <c r="AC620">
        <v>1</v>
      </c>
      <c r="AD620">
        <v>1</v>
      </c>
      <c r="AE620">
        <v>0</v>
      </c>
      <c r="AF620" t="s">
        <v>12</v>
      </c>
      <c r="AG620" t="s">
        <v>12</v>
      </c>
      <c r="AH620" t="s">
        <v>12</v>
      </c>
      <c r="AI620" t="s">
        <v>12</v>
      </c>
      <c r="AJ620" t="s">
        <v>12</v>
      </c>
      <c r="AK620">
        <v>1</v>
      </c>
      <c r="AL620">
        <v>1</v>
      </c>
      <c r="AM620" t="s">
        <v>12</v>
      </c>
      <c r="AN620" t="s">
        <v>12</v>
      </c>
      <c r="AO620" t="s">
        <v>12</v>
      </c>
    </row>
    <row r="621" spans="1:41" x14ac:dyDescent="0.35">
      <c r="A621">
        <v>15215762</v>
      </c>
      <c r="B621">
        <v>202512</v>
      </c>
      <c r="C621">
        <v>20515479261</v>
      </c>
      <c r="D621" t="s">
        <v>887</v>
      </c>
      <c r="E621" t="s">
        <v>1</v>
      </c>
      <c r="F621">
        <v>10264441</v>
      </c>
      <c r="G621" t="s">
        <v>24</v>
      </c>
      <c r="H621" t="s">
        <v>105</v>
      </c>
      <c r="I621">
        <v>41905.03125</v>
      </c>
      <c r="J621" s="1">
        <v>45663</v>
      </c>
      <c r="K621">
        <v>18.200001</v>
      </c>
      <c r="L621" t="s">
        <v>37</v>
      </c>
      <c r="M621" t="s">
        <v>37</v>
      </c>
      <c r="N621" t="s">
        <v>98</v>
      </c>
      <c r="O621">
        <v>202501</v>
      </c>
      <c r="P621">
        <v>100005</v>
      </c>
      <c r="Q621" t="s">
        <v>105</v>
      </c>
      <c r="R621" t="s">
        <v>106</v>
      </c>
      <c r="S621" t="s">
        <v>88</v>
      </c>
      <c r="T621" t="s">
        <v>89</v>
      </c>
      <c r="U621" t="s">
        <v>9</v>
      </c>
      <c r="V621">
        <v>2</v>
      </c>
      <c r="W621" t="s">
        <v>10</v>
      </c>
      <c r="X621" t="s">
        <v>22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 t="s">
        <v>12</v>
      </c>
      <c r="AG621" t="s">
        <v>12</v>
      </c>
      <c r="AH621" t="s">
        <v>12</v>
      </c>
      <c r="AI621" t="s">
        <v>12</v>
      </c>
      <c r="AJ621" t="s">
        <v>12</v>
      </c>
      <c r="AK621">
        <v>0</v>
      </c>
      <c r="AL621">
        <v>0</v>
      </c>
      <c r="AM621">
        <v>0</v>
      </c>
      <c r="AN621" t="s">
        <v>12</v>
      </c>
      <c r="AO621" t="s">
        <v>12</v>
      </c>
    </row>
    <row r="622" spans="1:41" x14ac:dyDescent="0.35">
      <c r="A622">
        <v>21899601</v>
      </c>
      <c r="B622">
        <v>202602</v>
      </c>
      <c r="C622">
        <v>20606417170</v>
      </c>
      <c r="D622" t="s">
        <v>888</v>
      </c>
      <c r="E622" t="s">
        <v>1</v>
      </c>
      <c r="F622">
        <v>10272246</v>
      </c>
      <c r="G622" t="s">
        <v>100</v>
      </c>
      <c r="H622" t="s">
        <v>109</v>
      </c>
      <c r="I622">
        <v>76132.0625</v>
      </c>
      <c r="J622" s="1">
        <v>45945</v>
      </c>
      <c r="K622">
        <v>14</v>
      </c>
      <c r="L622" t="s">
        <v>37</v>
      </c>
      <c r="M622" t="s">
        <v>37</v>
      </c>
      <c r="N622" t="s">
        <v>102</v>
      </c>
      <c r="O622">
        <v>202510</v>
      </c>
      <c r="P622">
        <v>97417.25</v>
      </c>
      <c r="Q622" t="s">
        <v>109</v>
      </c>
      <c r="R622" t="s">
        <v>110</v>
      </c>
      <c r="S622" t="s">
        <v>111</v>
      </c>
      <c r="T622" t="s">
        <v>112</v>
      </c>
      <c r="U622" t="s">
        <v>138</v>
      </c>
      <c r="V622">
        <v>2</v>
      </c>
      <c r="W622" t="s">
        <v>10</v>
      </c>
      <c r="X622" t="s">
        <v>11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 t="s">
        <v>12</v>
      </c>
      <c r="AG622" t="s">
        <v>12</v>
      </c>
      <c r="AH622" t="s">
        <v>12</v>
      </c>
      <c r="AI622" t="s">
        <v>12</v>
      </c>
      <c r="AJ622" t="s">
        <v>12</v>
      </c>
      <c r="AK622">
        <v>0</v>
      </c>
      <c r="AL622">
        <v>0</v>
      </c>
      <c r="AM622">
        <v>0</v>
      </c>
      <c r="AN622" t="s">
        <v>12</v>
      </c>
      <c r="AO622" t="s">
        <v>12</v>
      </c>
    </row>
    <row r="623" spans="1:41" x14ac:dyDescent="0.35">
      <c r="A623">
        <v>21601593</v>
      </c>
      <c r="B623">
        <v>202511</v>
      </c>
      <c r="C623">
        <v>20482587608</v>
      </c>
      <c r="D623" t="s">
        <v>889</v>
      </c>
      <c r="E623" t="s">
        <v>1</v>
      </c>
      <c r="F623">
        <v>10267302</v>
      </c>
      <c r="G623" t="s">
        <v>100</v>
      </c>
      <c r="H623" t="s">
        <v>101</v>
      </c>
      <c r="I623">
        <v>110650.6171875</v>
      </c>
      <c r="J623" s="1">
        <v>45771</v>
      </c>
      <c r="K623">
        <v>16</v>
      </c>
      <c r="L623" t="s">
        <v>37</v>
      </c>
      <c r="M623" t="s">
        <v>37</v>
      </c>
      <c r="N623" t="s">
        <v>102</v>
      </c>
      <c r="O623">
        <v>202504</v>
      </c>
      <c r="P623">
        <v>127656.35</v>
      </c>
      <c r="Q623" t="s">
        <v>101</v>
      </c>
      <c r="R623" t="s">
        <v>103</v>
      </c>
      <c r="S623" t="s">
        <v>88</v>
      </c>
      <c r="T623" t="s">
        <v>89</v>
      </c>
      <c r="U623" t="s">
        <v>41</v>
      </c>
      <c r="V623">
        <v>2</v>
      </c>
      <c r="W623" t="s">
        <v>10</v>
      </c>
      <c r="X623" t="s">
        <v>22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 t="s">
        <v>12</v>
      </c>
      <c r="AG623" t="s">
        <v>12</v>
      </c>
      <c r="AH623" t="s">
        <v>12</v>
      </c>
      <c r="AI623" t="s">
        <v>12</v>
      </c>
      <c r="AJ623" t="s">
        <v>12</v>
      </c>
      <c r="AK623">
        <v>250000</v>
      </c>
      <c r="AL623">
        <v>0.21</v>
      </c>
      <c r="AM623">
        <v>0.19</v>
      </c>
      <c r="AN623" t="s">
        <v>12</v>
      </c>
      <c r="AO623" t="s">
        <v>12</v>
      </c>
    </row>
    <row r="624" spans="1:41" x14ac:dyDescent="0.35">
      <c r="A624">
        <v>21499833</v>
      </c>
      <c r="B624">
        <v>202507</v>
      </c>
      <c r="C624">
        <v>20604628149</v>
      </c>
      <c r="D624" t="s">
        <v>890</v>
      </c>
      <c r="E624" t="s">
        <v>1</v>
      </c>
      <c r="F624">
        <v>10265666</v>
      </c>
      <c r="G624" t="s">
        <v>100</v>
      </c>
      <c r="H624" t="s">
        <v>201</v>
      </c>
      <c r="I624">
        <v>23493.791015625</v>
      </c>
      <c r="J624" s="1">
        <v>45713</v>
      </c>
      <c r="K624">
        <v>18.5</v>
      </c>
      <c r="L624" t="s">
        <v>37</v>
      </c>
      <c r="M624" t="s">
        <v>37</v>
      </c>
      <c r="N624" t="s">
        <v>102</v>
      </c>
      <c r="O624">
        <v>202502</v>
      </c>
      <c r="P624">
        <v>43372.15</v>
      </c>
      <c r="Q624" t="s">
        <v>201</v>
      </c>
      <c r="R624" t="s">
        <v>891</v>
      </c>
      <c r="S624" t="s">
        <v>111</v>
      </c>
      <c r="T624" t="s">
        <v>112</v>
      </c>
      <c r="U624" t="s">
        <v>20</v>
      </c>
      <c r="V624">
        <v>2</v>
      </c>
      <c r="W624" t="s">
        <v>10</v>
      </c>
      <c r="X624" t="s">
        <v>12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12</v>
      </c>
      <c r="AG624" t="s">
        <v>12</v>
      </c>
      <c r="AH624" t="s">
        <v>12</v>
      </c>
      <c r="AI624" t="s">
        <v>12</v>
      </c>
      <c r="AJ624" t="s">
        <v>12</v>
      </c>
      <c r="AK624">
        <v>1</v>
      </c>
      <c r="AL624">
        <v>0.21479999999999999</v>
      </c>
      <c r="AM624" t="s">
        <v>12</v>
      </c>
      <c r="AN624" t="s">
        <v>12</v>
      </c>
      <c r="AO624" t="s">
        <v>12</v>
      </c>
    </row>
    <row r="625" spans="1:41" x14ac:dyDescent="0.35">
      <c r="A625">
        <v>21419302</v>
      </c>
      <c r="B625">
        <v>202507</v>
      </c>
      <c r="C625">
        <v>20601992532</v>
      </c>
      <c r="D625" t="s">
        <v>892</v>
      </c>
      <c r="E625" t="s">
        <v>1</v>
      </c>
      <c r="F625">
        <v>10264561</v>
      </c>
      <c r="G625" t="s">
        <v>14</v>
      </c>
      <c r="H625" t="s">
        <v>124</v>
      </c>
      <c r="I625">
        <v>78177.953125</v>
      </c>
      <c r="J625" s="1">
        <v>45671</v>
      </c>
      <c r="K625">
        <v>19.200001</v>
      </c>
      <c r="L625" t="s">
        <v>37</v>
      </c>
      <c r="M625" t="s">
        <v>37</v>
      </c>
      <c r="N625" t="s">
        <v>98</v>
      </c>
      <c r="O625">
        <v>202501</v>
      </c>
      <c r="P625">
        <v>100005</v>
      </c>
      <c r="Q625" t="s">
        <v>124</v>
      </c>
      <c r="R625" t="s">
        <v>125</v>
      </c>
      <c r="S625" t="s">
        <v>88</v>
      </c>
      <c r="T625" t="s">
        <v>89</v>
      </c>
      <c r="U625" t="s">
        <v>20</v>
      </c>
      <c r="V625">
        <v>2</v>
      </c>
      <c r="W625" t="s">
        <v>10</v>
      </c>
      <c r="X625" t="s">
        <v>12</v>
      </c>
      <c r="Y625">
        <v>1</v>
      </c>
      <c r="Z625">
        <v>1</v>
      </c>
      <c r="AA625">
        <v>0</v>
      </c>
      <c r="AB625">
        <v>0</v>
      </c>
      <c r="AC625">
        <v>1</v>
      </c>
      <c r="AD625">
        <v>1</v>
      </c>
      <c r="AE625">
        <v>0</v>
      </c>
      <c r="AF625" t="s">
        <v>12</v>
      </c>
      <c r="AG625" t="s">
        <v>12</v>
      </c>
      <c r="AH625" t="s">
        <v>12</v>
      </c>
      <c r="AI625" t="s">
        <v>12</v>
      </c>
      <c r="AJ625" t="s">
        <v>12</v>
      </c>
      <c r="AK625">
        <v>1</v>
      </c>
      <c r="AL625">
        <v>0.2238</v>
      </c>
      <c r="AM625">
        <v>0</v>
      </c>
      <c r="AN625" t="s">
        <v>12</v>
      </c>
      <c r="AO625" t="s">
        <v>12</v>
      </c>
    </row>
    <row r="626" spans="1:41" x14ac:dyDescent="0.35">
      <c r="A626">
        <v>21737079</v>
      </c>
      <c r="B626">
        <v>202507</v>
      </c>
      <c r="C626">
        <v>20601553148</v>
      </c>
      <c r="D626" t="s">
        <v>893</v>
      </c>
      <c r="E626" t="s">
        <v>1</v>
      </c>
      <c r="F626">
        <v>10269560</v>
      </c>
      <c r="G626" t="s">
        <v>100</v>
      </c>
      <c r="H626" t="s">
        <v>159</v>
      </c>
      <c r="I626">
        <v>283264.5</v>
      </c>
      <c r="J626" s="1">
        <v>45852</v>
      </c>
      <c r="K626">
        <v>16.5</v>
      </c>
      <c r="L626" t="s">
        <v>37</v>
      </c>
      <c r="M626" t="s">
        <v>37</v>
      </c>
      <c r="N626" t="s">
        <v>102</v>
      </c>
      <c r="O626">
        <v>202507</v>
      </c>
      <c r="P626">
        <v>283264.52</v>
      </c>
      <c r="Q626" t="s">
        <v>894</v>
      </c>
      <c r="R626" t="s">
        <v>895</v>
      </c>
      <c r="S626" t="s">
        <v>558</v>
      </c>
      <c r="T626" t="s">
        <v>559</v>
      </c>
      <c r="U626" t="s">
        <v>102</v>
      </c>
      <c r="V626">
        <v>3</v>
      </c>
      <c r="W626" t="s">
        <v>10</v>
      </c>
      <c r="X626" t="s">
        <v>12</v>
      </c>
      <c r="Y626">
        <v>1</v>
      </c>
      <c r="Z626">
        <v>1</v>
      </c>
      <c r="AA626">
        <v>1</v>
      </c>
      <c r="AB626">
        <v>1</v>
      </c>
      <c r="AC626">
        <v>1</v>
      </c>
      <c r="AD626" t="s">
        <v>12</v>
      </c>
      <c r="AE626">
        <v>283264.52</v>
      </c>
      <c r="AF626">
        <v>16.5</v>
      </c>
      <c r="AG626" s="1">
        <v>45852</v>
      </c>
      <c r="AH626" t="s">
        <v>102</v>
      </c>
      <c r="AI626" t="s">
        <v>37</v>
      </c>
      <c r="AJ626" t="s">
        <v>560</v>
      </c>
      <c r="AK626">
        <v>300000</v>
      </c>
      <c r="AL626">
        <v>0.23</v>
      </c>
      <c r="AM626">
        <v>0.21</v>
      </c>
      <c r="AN626" t="s">
        <v>197</v>
      </c>
      <c r="AO626" t="s">
        <v>561</v>
      </c>
    </row>
    <row r="627" spans="1:41" x14ac:dyDescent="0.35">
      <c r="A627">
        <v>21588608</v>
      </c>
      <c r="B627">
        <v>202508</v>
      </c>
      <c r="C627">
        <v>20603480474</v>
      </c>
      <c r="D627" t="s">
        <v>896</v>
      </c>
      <c r="E627" t="s">
        <v>1</v>
      </c>
      <c r="F627">
        <v>10267478</v>
      </c>
      <c r="G627" t="s">
        <v>268</v>
      </c>
      <c r="H627" t="s">
        <v>159</v>
      </c>
      <c r="I627">
        <v>40326.18359375</v>
      </c>
      <c r="J627" s="1">
        <v>45776</v>
      </c>
      <c r="K627">
        <v>21</v>
      </c>
      <c r="L627" t="s">
        <v>37</v>
      </c>
      <c r="M627" t="s">
        <v>37</v>
      </c>
      <c r="N627" t="s">
        <v>98</v>
      </c>
      <c r="O627">
        <v>202504</v>
      </c>
      <c r="P627">
        <v>50002.5</v>
      </c>
      <c r="Q627" t="s">
        <v>12</v>
      </c>
      <c r="R627" t="s">
        <v>12</v>
      </c>
      <c r="S627" t="s">
        <v>12</v>
      </c>
      <c r="T627" t="s">
        <v>12</v>
      </c>
      <c r="U627" t="s">
        <v>12</v>
      </c>
      <c r="V627" t="s">
        <v>12</v>
      </c>
      <c r="W627" t="s">
        <v>12</v>
      </c>
      <c r="X627" t="s">
        <v>12</v>
      </c>
      <c r="Y627" t="s">
        <v>12</v>
      </c>
      <c r="Z627" t="s">
        <v>12</v>
      </c>
      <c r="AA627" t="s">
        <v>12</v>
      </c>
      <c r="AB627" t="s">
        <v>12</v>
      </c>
      <c r="AC627" t="s">
        <v>12</v>
      </c>
      <c r="AD627" t="s">
        <v>12</v>
      </c>
      <c r="AE627" t="s">
        <v>12</v>
      </c>
      <c r="AF627" t="s">
        <v>12</v>
      </c>
      <c r="AG627" t="s">
        <v>12</v>
      </c>
      <c r="AH627" t="s">
        <v>12</v>
      </c>
      <c r="AI627" t="s">
        <v>12</v>
      </c>
      <c r="AJ627" t="s">
        <v>12</v>
      </c>
      <c r="AK627" t="s">
        <v>12</v>
      </c>
      <c r="AL627" t="s">
        <v>12</v>
      </c>
      <c r="AM627" t="s">
        <v>12</v>
      </c>
      <c r="AN627" t="s">
        <v>12</v>
      </c>
      <c r="AO627" t="s">
        <v>12</v>
      </c>
    </row>
    <row r="628" spans="1:41" x14ac:dyDescent="0.35">
      <c r="A628">
        <v>21413750</v>
      </c>
      <c r="B628">
        <v>202502</v>
      </c>
      <c r="C628">
        <v>20607711641</v>
      </c>
      <c r="D628" t="s">
        <v>897</v>
      </c>
      <c r="E628" t="s">
        <v>1</v>
      </c>
      <c r="F628">
        <v>10264489</v>
      </c>
      <c r="G628" t="s">
        <v>14</v>
      </c>
      <c r="H628" t="s">
        <v>159</v>
      </c>
      <c r="I628">
        <v>59712.3125</v>
      </c>
      <c r="J628" s="1">
        <v>45666</v>
      </c>
      <c r="K628">
        <v>18.2</v>
      </c>
      <c r="L628" t="s">
        <v>37</v>
      </c>
      <c r="M628" t="s">
        <v>37</v>
      </c>
      <c r="N628" t="s">
        <v>16</v>
      </c>
      <c r="O628">
        <v>202501</v>
      </c>
      <c r="P628">
        <v>64703.199999999997</v>
      </c>
      <c r="Q628" t="s">
        <v>206</v>
      </c>
      <c r="R628" t="s">
        <v>207</v>
      </c>
      <c r="S628" t="s">
        <v>39</v>
      </c>
      <c r="T628" t="s">
        <v>40</v>
      </c>
      <c r="U628" t="s">
        <v>70</v>
      </c>
      <c r="V628">
        <v>1</v>
      </c>
      <c r="W628" t="s">
        <v>10</v>
      </c>
      <c r="X628" t="s">
        <v>12</v>
      </c>
      <c r="Y628">
        <v>1</v>
      </c>
      <c r="Z628">
        <v>1</v>
      </c>
      <c r="AA628">
        <v>0</v>
      </c>
      <c r="AB628">
        <v>0</v>
      </c>
      <c r="AC628">
        <v>1</v>
      </c>
      <c r="AD628">
        <v>0</v>
      </c>
      <c r="AE628">
        <v>0</v>
      </c>
      <c r="AF628" t="s">
        <v>12</v>
      </c>
      <c r="AG628" t="s">
        <v>12</v>
      </c>
      <c r="AH628" t="s">
        <v>12</v>
      </c>
      <c r="AI628" t="s">
        <v>12</v>
      </c>
      <c r="AJ628" t="s">
        <v>12</v>
      </c>
      <c r="AK628">
        <v>179000</v>
      </c>
      <c r="AL628">
        <v>0.18</v>
      </c>
      <c r="AM628">
        <v>0.1628</v>
      </c>
      <c r="AN628" t="s">
        <v>12</v>
      </c>
      <c r="AO628" t="s">
        <v>12</v>
      </c>
    </row>
    <row r="629" spans="1:41" x14ac:dyDescent="0.35">
      <c r="A629">
        <v>16176775</v>
      </c>
      <c r="B629">
        <v>202509</v>
      </c>
      <c r="C629">
        <v>20602132600</v>
      </c>
      <c r="D629" t="s">
        <v>474</v>
      </c>
      <c r="E629" t="s">
        <v>1</v>
      </c>
      <c r="F629">
        <v>10271075</v>
      </c>
      <c r="G629" t="s">
        <v>78</v>
      </c>
      <c r="H629" t="s">
        <v>260</v>
      </c>
      <c r="I629">
        <v>264791.90625</v>
      </c>
      <c r="J629" s="1">
        <v>45905</v>
      </c>
      <c r="K629">
        <v>18</v>
      </c>
      <c r="L629" t="s">
        <v>4</v>
      </c>
      <c r="M629" t="s">
        <v>4</v>
      </c>
      <c r="N629" t="s">
        <v>41</v>
      </c>
      <c r="O629">
        <v>202509</v>
      </c>
      <c r="P629">
        <v>266013.3</v>
      </c>
      <c r="Q629" t="s">
        <v>260</v>
      </c>
      <c r="R629" t="s">
        <v>261</v>
      </c>
      <c r="S629" t="s">
        <v>18</v>
      </c>
      <c r="T629" t="s">
        <v>122</v>
      </c>
      <c r="U629" t="s">
        <v>41</v>
      </c>
      <c r="V629">
        <v>1</v>
      </c>
      <c r="W629" t="s">
        <v>10</v>
      </c>
      <c r="X629" t="s">
        <v>11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266013.3</v>
      </c>
      <c r="AF629">
        <v>18</v>
      </c>
      <c r="AG629" s="1">
        <v>45905</v>
      </c>
      <c r="AH629" t="s">
        <v>41</v>
      </c>
      <c r="AI629" t="s">
        <v>4</v>
      </c>
      <c r="AJ629" t="s">
        <v>33</v>
      </c>
      <c r="AK629">
        <v>266000</v>
      </c>
      <c r="AL629">
        <v>0.21</v>
      </c>
      <c r="AM629">
        <v>0.19</v>
      </c>
      <c r="AN629" t="s">
        <v>12</v>
      </c>
      <c r="AO629" t="s">
        <v>12</v>
      </c>
    </row>
    <row r="630" spans="1:41" x14ac:dyDescent="0.35">
      <c r="A630">
        <v>17190250</v>
      </c>
      <c r="B630">
        <v>202511</v>
      </c>
      <c r="C630">
        <v>20563663694</v>
      </c>
      <c r="D630" t="s">
        <v>898</v>
      </c>
      <c r="E630" t="s">
        <v>1</v>
      </c>
      <c r="F630">
        <v>10271147</v>
      </c>
      <c r="G630" t="s">
        <v>24</v>
      </c>
      <c r="H630" t="s">
        <v>159</v>
      </c>
      <c r="I630">
        <v>46552.234375</v>
      </c>
      <c r="J630" s="1">
        <v>45909</v>
      </c>
      <c r="K630">
        <v>20.6</v>
      </c>
      <c r="L630" t="s">
        <v>37</v>
      </c>
      <c r="M630" t="s">
        <v>37</v>
      </c>
      <c r="N630" t="s">
        <v>98</v>
      </c>
      <c r="O630">
        <v>202509</v>
      </c>
      <c r="P630">
        <v>50002.5</v>
      </c>
      <c r="Q630" t="s">
        <v>12</v>
      </c>
      <c r="R630" t="s">
        <v>12</v>
      </c>
      <c r="S630" t="s">
        <v>12</v>
      </c>
      <c r="T630" t="s">
        <v>12</v>
      </c>
      <c r="U630" t="s">
        <v>196</v>
      </c>
      <c r="V630">
        <v>3</v>
      </c>
      <c r="W630" t="s">
        <v>10</v>
      </c>
      <c r="X630" t="s">
        <v>22</v>
      </c>
      <c r="Y630">
        <v>1</v>
      </c>
      <c r="Z630">
        <v>1</v>
      </c>
      <c r="AA630">
        <v>0</v>
      </c>
      <c r="AB630">
        <v>0</v>
      </c>
      <c r="AC630">
        <v>1</v>
      </c>
      <c r="AD630" t="s">
        <v>12</v>
      </c>
      <c r="AE630">
        <v>0</v>
      </c>
      <c r="AF630" t="s">
        <v>12</v>
      </c>
      <c r="AG630" t="s">
        <v>12</v>
      </c>
      <c r="AH630" t="s">
        <v>12</v>
      </c>
      <c r="AI630" t="s">
        <v>12</v>
      </c>
      <c r="AJ630" t="s">
        <v>12</v>
      </c>
      <c r="AK630" t="s">
        <v>12</v>
      </c>
      <c r="AL630" t="s">
        <v>12</v>
      </c>
      <c r="AM630" t="s">
        <v>12</v>
      </c>
      <c r="AN630" t="s">
        <v>269</v>
      </c>
      <c r="AO630" t="s">
        <v>270</v>
      </c>
    </row>
    <row r="631" spans="1:41" x14ac:dyDescent="0.35">
      <c r="A631">
        <v>21342561</v>
      </c>
      <c r="B631">
        <v>202502</v>
      </c>
      <c r="C631">
        <v>20550135605</v>
      </c>
      <c r="D631" t="s">
        <v>899</v>
      </c>
      <c r="E631" t="s">
        <v>1</v>
      </c>
      <c r="F631">
        <v>10263366</v>
      </c>
      <c r="G631" t="s">
        <v>65</v>
      </c>
      <c r="H631" t="s">
        <v>204</v>
      </c>
      <c r="I631">
        <v>41617.2421875</v>
      </c>
      <c r="J631" s="1">
        <v>45625</v>
      </c>
      <c r="K631">
        <v>14.5</v>
      </c>
      <c r="L631" t="s">
        <v>37</v>
      </c>
      <c r="M631" t="s">
        <v>37</v>
      </c>
      <c r="N631" t="s">
        <v>47</v>
      </c>
      <c r="O631">
        <v>202411</v>
      </c>
      <c r="P631">
        <v>90004.5</v>
      </c>
      <c r="Q631" t="s">
        <v>204</v>
      </c>
      <c r="R631" t="s">
        <v>291</v>
      </c>
      <c r="S631" t="s">
        <v>127</v>
      </c>
      <c r="T631" t="s">
        <v>147</v>
      </c>
      <c r="U631" t="s">
        <v>20</v>
      </c>
      <c r="V631">
        <v>1</v>
      </c>
      <c r="W631" t="s">
        <v>10</v>
      </c>
      <c r="X631" t="s">
        <v>12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12</v>
      </c>
      <c r="AG631" t="s">
        <v>12</v>
      </c>
      <c r="AH631" t="s">
        <v>12</v>
      </c>
      <c r="AI631" t="s">
        <v>12</v>
      </c>
      <c r="AJ631" t="s">
        <v>12</v>
      </c>
      <c r="AK631">
        <v>949745331</v>
      </c>
      <c r="AL631">
        <v>0</v>
      </c>
      <c r="AM631">
        <v>0</v>
      </c>
      <c r="AN631" t="s">
        <v>12</v>
      </c>
      <c r="AO631" t="s">
        <v>12</v>
      </c>
    </row>
    <row r="632" spans="1:41" x14ac:dyDescent="0.35">
      <c r="A632">
        <v>17966638</v>
      </c>
      <c r="B632">
        <v>202510</v>
      </c>
      <c r="C632">
        <v>20608135309</v>
      </c>
      <c r="D632" t="s">
        <v>900</v>
      </c>
      <c r="E632" t="s">
        <v>1</v>
      </c>
      <c r="F632">
        <v>10266285</v>
      </c>
      <c r="G632" t="s">
        <v>268</v>
      </c>
      <c r="H632" t="s">
        <v>249</v>
      </c>
      <c r="I632">
        <v>32401.85546875</v>
      </c>
      <c r="J632" s="1">
        <v>45734</v>
      </c>
      <c r="K632">
        <v>23</v>
      </c>
      <c r="L632" t="s">
        <v>37</v>
      </c>
      <c r="M632" t="s">
        <v>37</v>
      </c>
      <c r="N632" t="s">
        <v>98</v>
      </c>
      <c r="O632">
        <v>202503</v>
      </c>
      <c r="P632">
        <v>50002.5</v>
      </c>
      <c r="Q632" t="s">
        <v>249</v>
      </c>
      <c r="R632" t="s">
        <v>12</v>
      </c>
      <c r="S632" t="s">
        <v>12</v>
      </c>
      <c r="T632" t="s">
        <v>12</v>
      </c>
      <c r="U632" t="s">
        <v>20</v>
      </c>
      <c r="V632">
        <v>2</v>
      </c>
      <c r="W632" t="s">
        <v>10</v>
      </c>
      <c r="X632" t="s">
        <v>12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12</v>
      </c>
      <c r="AG632" t="s">
        <v>12</v>
      </c>
      <c r="AH632" t="s">
        <v>12</v>
      </c>
      <c r="AI632" t="s">
        <v>12</v>
      </c>
      <c r="AJ632" t="s">
        <v>12</v>
      </c>
      <c r="AK632">
        <v>1</v>
      </c>
      <c r="AL632">
        <v>1</v>
      </c>
      <c r="AM632" t="s">
        <v>12</v>
      </c>
      <c r="AN632" t="s">
        <v>12</v>
      </c>
      <c r="AO632" t="s">
        <v>12</v>
      </c>
    </row>
    <row r="633" spans="1:41" x14ac:dyDescent="0.35">
      <c r="A633">
        <v>12023466</v>
      </c>
      <c r="B633">
        <v>202511</v>
      </c>
      <c r="C633">
        <v>10178559309</v>
      </c>
      <c r="D633" t="s">
        <v>901</v>
      </c>
      <c r="E633">
        <v>17855930</v>
      </c>
      <c r="F633">
        <v>10162654</v>
      </c>
      <c r="G633" t="s">
        <v>2</v>
      </c>
      <c r="H633" t="s">
        <v>170</v>
      </c>
      <c r="I633">
        <v>12364.1923828125</v>
      </c>
      <c r="J633" s="1">
        <v>45580</v>
      </c>
      <c r="K633">
        <v>20</v>
      </c>
      <c r="L633" t="s">
        <v>4</v>
      </c>
      <c r="M633" t="s">
        <v>4</v>
      </c>
      <c r="N633" t="s">
        <v>5</v>
      </c>
      <c r="O633">
        <v>202410</v>
      </c>
      <c r="P633">
        <v>40002</v>
      </c>
      <c r="Q633" t="s">
        <v>170</v>
      </c>
      <c r="R633" t="s">
        <v>171</v>
      </c>
      <c r="S633" t="s">
        <v>111</v>
      </c>
      <c r="T633" t="s">
        <v>112</v>
      </c>
      <c r="U633" t="s">
        <v>20</v>
      </c>
      <c r="V633">
        <v>2</v>
      </c>
      <c r="W633" t="s">
        <v>90</v>
      </c>
      <c r="X633" t="s">
        <v>59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12</v>
      </c>
      <c r="AG633" t="s">
        <v>12</v>
      </c>
      <c r="AH633" t="s">
        <v>12</v>
      </c>
      <c r="AI633" t="s">
        <v>12</v>
      </c>
      <c r="AJ633" t="s">
        <v>12</v>
      </c>
      <c r="AK633">
        <v>1</v>
      </c>
      <c r="AL633">
        <v>1</v>
      </c>
      <c r="AM633" t="s">
        <v>12</v>
      </c>
      <c r="AN633" t="s">
        <v>12</v>
      </c>
      <c r="AO633" t="s">
        <v>12</v>
      </c>
    </row>
    <row r="634" spans="1:41" x14ac:dyDescent="0.35">
      <c r="A634">
        <v>18616617</v>
      </c>
      <c r="B634">
        <v>202512</v>
      </c>
      <c r="C634">
        <v>10479980816</v>
      </c>
      <c r="D634" t="s">
        <v>902</v>
      </c>
      <c r="E634">
        <v>47998081</v>
      </c>
      <c r="F634">
        <v>10269352</v>
      </c>
      <c r="G634" t="s">
        <v>28</v>
      </c>
      <c r="H634" t="s">
        <v>603</v>
      </c>
      <c r="I634">
        <v>52718.35546875</v>
      </c>
      <c r="J634" s="1">
        <v>45842</v>
      </c>
      <c r="K634">
        <v>22</v>
      </c>
      <c r="L634" t="s">
        <v>4</v>
      </c>
      <c r="M634" t="s">
        <v>4</v>
      </c>
      <c r="N634" t="s">
        <v>26</v>
      </c>
      <c r="O634">
        <v>202507</v>
      </c>
      <c r="P634">
        <v>70003.5</v>
      </c>
      <c r="Q634" t="s">
        <v>603</v>
      </c>
      <c r="R634" t="s">
        <v>642</v>
      </c>
      <c r="S634" t="s">
        <v>478</v>
      </c>
      <c r="T634" t="s">
        <v>479</v>
      </c>
      <c r="U634" t="s">
        <v>9</v>
      </c>
      <c r="V634">
        <v>1</v>
      </c>
      <c r="W634" t="s">
        <v>10</v>
      </c>
      <c r="X634" t="s">
        <v>59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12</v>
      </c>
      <c r="AG634" t="s">
        <v>12</v>
      </c>
      <c r="AH634" t="s">
        <v>12</v>
      </c>
      <c r="AI634" t="s">
        <v>12</v>
      </c>
      <c r="AJ634" t="s">
        <v>12</v>
      </c>
      <c r="AK634">
        <v>0</v>
      </c>
      <c r="AL634">
        <v>0</v>
      </c>
      <c r="AM634">
        <v>0</v>
      </c>
      <c r="AN634" t="s">
        <v>12</v>
      </c>
      <c r="AO634" t="s">
        <v>12</v>
      </c>
    </row>
    <row r="635" spans="1:41" x14ac:dyDescent="0.35">
      <c r="A635">
        <v>12586208</v>
      </c>
      <c r="B635">
        <v>202509</v>
      </c>
      <c r="C635">
        <v>10167468158</v>
      </c>
      <c r="D635" t="s">
        <v>903</v>
      </c>
      <c r="E635">
        <v>16746815</v>
      </c>
      <c r="F635">
        <v>10266322</v>
      </c>
      <c r="G635" t="s">
        <v>24</v>
      </c>
      <c r="H635" t="s">
        <v>46</v>
      </c>
      <c r="I635">
        <v>28475.513671875</v>
      </c>
      <c r="J635" s="1">
        <v>45735</v>
      </c>
      <c r="K635">
        <v>18</v>
      </c>
      <c r="L635" t="s">
        <v>37</v>
      </c>
      <c r="M635" t="s">
        <v>37</v>
      </c>
      <c r="N635" t="s">
        <v>98</v>
      </c>
      <c r="O635">
        <v>202503</v>
      </c>
      <c r="P635">
        <v>70003.5</v>
      </c>
      <c r="Q635" t="s">
        <v>46</v>
      </c>
      <c r="R635" t="s">
        <v>48</v>
      </c>
      <c r="S635" t="s">
        <v>49</v>
      </c>
      <c r="T635" t="s">
        <v>50</v>
      </c>
      <c r="U635" t="s">
        <v>41</v>
      </c>
      <c r="V635">
        <v>1</v>
      </c>
      <c r="W635" t="s">
        <v>90</v>
      </c>
      <c r="X635" t="s">
        <v>59</v>
      </c>
      <c r="Y635">
        <v>1</v>
      </c>
      <c r="Z635">
        <v>1</v>
      </c>
      <c r="AA635">
        <v>0</v>
      </c>
      <c r="AB635">
        <v>0</v>
      </c>
      <c r="AC635">
        <v>1</v>
      </c>
      <c r="AD635">
        <v>1</v>
      </c>
      <c r="AE635">
        <v>0</v>
      </c>
      <c r="AF635" t="s">
        <v>12</v>
      </c>
      <c r="AG635" t="s">
        <v>12</v>
      </c>
      <c r="AH635" t="s">
        <v>12</v>
      </c>
      <c r="AI635" t="s">
        <v>12</v>
      </c>
      <c r="AJ635" t="s">
        <v>12</v>
      </c>
      <c r="AK635">
        <v>87500</v>
      </c>
      <c r="AL635">
        <v>0.24</v>
      </c>
      <c r="AM635">
        <v>0.22</v>
      </c>
      <c r="AN635" t="s">
        <v>12</v>
      </c>
      <c r="AO635" t="s">
        <v>12</v>
      </c>
    </row>
    <row r="636" spans="1:41" x14ac:dyDescent="0.35">
      <c r="A636">
        <v>12350186</v>
      </c>
      <c r="B636">
        <v>202509</v>
      </c>
      <c r="C636">
        <v>20535614891</v>
      </c>
      <c r="D636" t="s">
        <v>734</v>
      </c>
      <c r="E636" t="s">
        <v>1</v>
      </c>
      <c r="F636">
        <v>10265394</v>
      </c>
      <c r="G636" t="s">
        <v>92</v>
      </c>
      <c r="H636" t="s">
        <v>458</v>
      </c>
      <c r="I636">
        <v>139752.015625</v>
      </c>
      <c r="J636" s="1">
        <v>45705</v>
      </c>
      <c r="K636">
        <v>16.280000999999999</v>
      </c>
      <c r="L636" t="s">
        <v>4</v>
      </c>
      <c r="M636" t="s">
        <v>4</v>
      </c>
      <c r="N636" t="s">
        <v>41</v>
      </c>
      <c r="O636">
        <v>202502</v>
      </c>
      <c r="P636">
        <v>200010</v>
      </c>
      <c r="Q636" t="s">
        <v>458</v>
      </c>
      <c r="R636" t="s">
        <v>459</v>
      </c>
      <c r="S636" t="s">
        <v>31</v>
      </c>
      <c r="T636" t="s">
        <v>32</v>
      </c>
      <c r="U636" t="s">
        <v>41</v>
      </c>
      <c r="V636">
        <v>1</v>
      </c>
      <c r="W636" t="s">
        <v>10</v>
      </c>
      <c r="X636" t="s">
        <v>11</v>
      </c>
      <c r="Y636">
        <v>1</v>
      </c>
      <c r="Z636">
        <v>1</v>
      </c>
      <c r="AA636">
        <v>0</v>
      </c>
      <c r="AB636">
        <v>0</v>
      </c>
      <c r="AC636">
        <v>1</v>
      </c>
      <c r="AD636">
        <v>1</v>
      </c>
      <c r="AE636">
        <v>0</v>
      </c>
      <c r="AF636" t="s">
        <v>12</v>
      </c>
      <c r="AG636" t="s">
        <v>12</v>
      </c>
      <c r="AH636" t="s">
        <v>12</v>
      </c>
      <c r="AI636" t="s">
        <v>12</v>
      </c>
      <c r="AJ636" t="s">
        <v>12</v>
      </c>
      <c r="AK636">
        <v>400000</v>
      </c>
      <c r="AL636">
        <v>0.18</v>
      </c>
      <c r="AM636">
        <v>0.16</v>
      </c>
      <c r="AN636" t="s">
        <v>12</v>
      </c>
      <c r="AO636" t="s">
        <v>12</v>
      </c>
    </row>
    <row r="637" spans="1:41" x14ac:dyDescent="0.35">
      <c r="A637">
        <v>15639760</v>
      </c>
      <c r="B637">
        <v>202601</v>
      </c>
      <c r="C637">
        <v>20603074387</v>
      </c>
      <c r="D637" t="s">
        <v>419</v>
      </c>
      <c r="E637" t="s">
        <v>1</v>
      </c>
      <c r="F637">
        <v>10272263</v>
      </c>
      <c r="G637" t="s">
        <v>92</v>
      </c>
      <c r="H637" t="s">
        <v>244</v>
      </c>
      <c r="I637">
        <v>116371.484375</v>
      </c>
      <c r="J637" s="1">
        <v>45945</v>
      </c>
      <c r="K637">
        <v>18</v>
      </c>
      <c r="L637" t="s">
        <v>4</v>
      </c>
      <c r="M637" t="s">
        <v>4</v>
      </c>
      <c r="N637" t="s">
        <v>41</v>
      </c>
      <c r="O637">
        <v>202510</v>
      </c>
      <c r="P637">
        <v>160008</v>
      </c>
      <c r="Q637" t="s">
        <v>244</v>
      </c>
      <c r="R637" t="s">
        <v>297</v>
      </c>
      <c r="S637" t="s">
        <v>7</v>
      </c>
      <c r="T637" t="s">
        <v>8</v>
      </c>
      <c r="U637" t="s">
        <v>20</v>
      </c>
      <c r="V637">
        <v>1</v>
      </c>
      <c r="W637" t="s">
        <v>10</v>
      </c>
      <c r="X637" t="s">
        <v>51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12</v>
      </c>
      <c r="AG637" t="s">
        <v>12</v>
      </c>
      <c r="AH637" t="s">
        <v>12</v>
      </c>
      <c r="AI637" t="s">
        <v>12</v>
      </c>
      <c r="AJ637" t="s">
        <v>12</v>
      </c>
      <c r="AK637">
        <v>1</v>
      </c>
      <c r="AL637">
        <v>1</v>
      </c>
      <c r="AM637">
        <v>0.24</v>
      </c>
      <c r="AN637" t="s">
        <v>12</v>
      </c>
      <c r="AO637" t="s">
        <v>12</v>
      </c>
    </row>
    <row r="638" spans="1:41" x14ac:dyDescent="0.35">
      <c r="A638">
        <v>13716698</v>
      </c>
      <c r="B638">
        <v>202601</v>
      </c>
      <c r="C638">
        <v>20549902431</v>
      </c>
      <c r="D638" t="s">
        <v>904</v>
      </c>
      <c r="E638" t="s">
        <v>1</v>
      </c>
      <c r="F638">
        <v>10270186</v>
      </c>
      <c r="G638" t="s">
        <v>14</v>
      </c>
      <c r="H638" t="s">
        <v>114</v>
      </c>
      <c r="I638">
        <v>26435.134765625</v>
      </c>
      <c r="J638" s="1">
        <v>45874</v>
      </c>
      <c r="K638">
        <v>19</v>
      </c>
      <c r="L638" t="s">
        <v>37</v>
      </c>
      <c r="M638" t="s">
        <v>37</v>
      </c>
      <c r="N638" t="s">
        <v>98</v>
      </c>
      <c r="O638">
        <v>202508</v>
      </c>
      <c r="P638">
        <v>50002.5</v>
      </c>
      <c r="Q638" t="s">
        <v>114</v>
      </c>
      <c r="R638" t="s">
        <v>115</v>
      </c>
      <c r="S638" t="s">
        <v>111</v>
      </c>
      <c r="T638" t="s">
        <v>112</v>
      </c>
      <c r="U638" t="s">
        <v>41</v>
      </c>
      <c r="V638">
        <v>2</v>
      </c>
      <c r="W638" t="s">
        <v>21</v>
      </c>
      <c r="X638" t="s">
        <v>51</v>
      </c>
      <c r="Y638">
        <v>1</v>
      </c>
      <c r="Z638">
        <v>1</v>
      </c>
      <c r="AA638">
        <v>0</v>
      </c>
      <c r="AB638">
        <v>0</v>
      </c>
      <c r="AC638">
        <v>1</v>
      </c>
      <c r="AD638">
        <v>1</v>
      </c>
      <c r="AE638">
        <v>0</v>
      </c>
      <c r="AF638" t="s">
        <v>12</v>
      </c>
      <c r="AG638" t="s">
        <v>12</v>
      </c>
      <c r="AH638" t="s">
        <v>12</v>
      </c>
      <c r="AI638" t="s">
        <v>12</v>
      </c>
      <c r="AJ638" t="s">
        <v>12</v>
      </c>
      <c r="AK638">
        <v>130000</v>
      </c>
      <c r="AL638">
        <v>0.26169999999999999</v>
      </c>
      <c r="AM638">
        <v>0.2417</v>
      </c>
      <c r="AN638" t="s">
        <v>12</v>
      </c>
      <c r="AO638" t="s">
        <v>12</v>
      </c>
    </row>
    <row r="639" spans="1:41" x14ac:dyDescent="0.35">
      <c r="A639">
        <v>15122053</v>
      </c>
      <c r="B639">
        <v>202602</v>
      </c>
      <c r="C639">
        <v>20538012778</v>
      </c>
      <c r="D639" t="s">
        <v>905</v>
      </c>
      <c r="E639" t="s">
        <v>1</v>
      </c>
      <c r="F639">
        <v>10142907</v>
      </c>
      <c r="G639" t="s">
        <v>2</v>
      </c>
      <c r="H639" t="s">
        <v>120</v>
      </c>
      <c r="I639">
        <v>39131.27734375</v>
      </c>
      <c r="J639" s="1">
        <v>45888</v>
      </c>
      <c r="K639">
        <v>18</v>
      </c>
      <c r="L639" t="s">
        <v>4</v>
      </c>
      <c r="M639" t="s">
        <v>4</v>
      </c>
      <c r="N639" t="s">
        <v>5</v>
      </c>
      <c r="O639">
        <v>202508</v>
      </c>
      <c r="P639">
        <v>50002.5</v>
      </c>
      <c r="Q639" t="s">
        <v>396</v>
      </c>
      <c r="R639" t="s">
        <v>397</v>
      </c>
      <c r="S639" t="s">
        <v>18</v>
      </c>
      <c r="T639" t="s">
        <v>19</v>
      </c>
      <c r="U639" t="s">
        <v>63</v>
      </c>
      <c r="V639">
        <v>1</v>
      </c>
      <c r="W639" t="s">
        <v>10</v>
      </c>
      <c r="X639" t="s">
        <v>22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 t="s">
        <v>12</v>
      </c>
      <c r="AG639" t="s">
        <v>12</v>
      </c>
      <c r="AH639" t="s">
        <v>12</v>
      </c>
      <c r="AI639" t="s">
        <v>12</v>
      </c>
      <c r="AJ639" t="s">
        <v>12</v>
      </c>
      <c r="AK639">
        <v>250000</v>
      </c>
      <c r="AL639">
        <v>0.21</v>
      </c>
      <c r="AM639">
        <v>0.19</v>
      </c>
      <c r="AN639" t="s">
        <v>12</v>
      </c>
      <c r="AO639" t="s">
        <v>12</v>
      </c>
    </row>
    <row r="640" spans="1:41" x14ac:dyDescent="0.35">
      <c r="A640">
        <v>10311127</v>
      </c>
      <c r="B640">
        <v>202602</v>
      </c>
      <c r="C640">
        <v>10434429531</v>
      </c>
      <c r="D640" t="s">
        <v>906</v>
      </c>
      <c r="E640">
        <v>43442953</v>
      </c>
      <c r="F640">
        <v>10258482</v>
      </c>
      <c r="G640" t="s">
        <v>65</v>
      </c>
      <c r="H640" t="s">
        <v>317</v>
      </c>
      <c r="I640">
        <v>26712.509765625</v>
      </c>
      <c r="J640" s="1">
        <v>45504</v>
      </c>
      <c r="K640">
        <v>14.5</v>
      </c>
      <c r="L640" t="s">
        <v>37</v>
      </c>
      <c r="M640" t="s">
        <v>37</v>
      </c>
      <c r="N640" t="s">
        <v>47</v>
      </c>
      <c r="O640">
        <v>202407</v>
      </c>
      <c r="P640">
        <v>50002.5</v>
      </c>
      <c r="Q640" t="s">
        <v>317</v>
      </c>
      <c r="R640" t="s">
        <v>318</v>
      </c>
      <c r="S640" t="s">
        <v>88</v>
      </c>
      <c r="T640" t="s">
        <v>89</v>
      </c>
      <c r="U640" t="s">
        <v>63</v>
      </c>
      <c r="V640">
        <v>2</v>
      </c>
      <c r="W640" t="s">
        <v>10</v>
      </c>
      <c r="X640" t="s">
        <v>59</v>
      </c>
      <c r="Y640">
        <v>1</v>
      </c>
      <c r="Z640">
        <v>1</v>
      </c>
      <c r="AA640">
        <v>0</v>
      </c>
      <c r="AB640">
        <v>0</v>
      </c>
      <c r="AC640">
        <v>1</v>
      </c>
      <c r="AD640">
        <v>1</v>
      </c>
      <c r="AE640">
        <v>0</v>
      </c>
      <c r="AF640" t="s">
        <v>12</v>
      </c>
      <c r="AG640" t="s">
        <v>12</v>
      </c>
      <c r="AH640" t="s">
        <v>12</v>
      </c>
      <c r="AI640" t="s">
        <v>12</v>
      </c>
      <c r="AJ640" t="s">
        <v>12</v>
      </c>
      <c r="AK640">
        <v>50000</v>
      </c>
      <c r="AL640">
        <v>0.25090000000000001</v>
      </c>
      <c r="AM640">
        <v>0.23089999999999999</v>
      </c>
      <c r="AN640" t="s">
        <v>12</v>
      </c>
      <c r="AO640" t="s">
        <v>12</v>
      </c>
    </row>
    <row r="641" spans="1:41" x14ac:dyDescent="0.35">
      <c r="A641">
        <v>21204011</v>
      </c>
      <c r="B641">
        <v>202508</v>
      </c>
      <c r="C641">
        <v>20482544119</v>
      </c>
      <c r="D641" t="s">
        <v>907</v>
      </c>
      <c r="E641" t="s">
        <v>1</v>
      </c>
      <c r="F641">
        <v>10261111</v>
      </c>
      <c r="G641" t="s">
        <v>65</v>
      </c>
      <c r="H641" t="s">
        <v>166</v>
      </c>
      <c r="I641">
        <v>59634.63671875</v>
      </c>
      <c r="J641" s="1">
        <v>45562</v>
      </c>
      <c r="K641">
        <v>14.5</v>
      </c>
      <c r="L641" t="s">
        <v>37</v>
      </c>
      <c r="M641" t="s">
        <v>37</v>
      </c>
      <c r="N641" t="s">
        <v>47</v>
      </c>
      <c r="O641">
        <v>202409</v>
      </c>
      <c r="P641">
        <v>70003.5</v>
      </c>
      <c r="Q641" t="s">
        <v>166</v>
      </c>
      <c r="R641" t="s">
        <v>167</v>
      </c>
      <c r="S641" t="s">
        <v>111</v>
      </c>
      <c r="T641" t="s">
        <v>112</v>
      </c>
      <c r="U641" t="s">
        <v>41</v>
      </c>
      <c r="V641">
        <v>2</v>
      </c>
      <c r="W641" t="s">
        <v>10</v>
      </c>
      <c r="X641" t="s">
        <v>12</v>
      </c>
      <c r="Y641">
        <v>1</v>
      </c>
      <c r="Z641">
        <v>1</v>
      </c>
      <c r="AA641">
        <v>0</v>
      </c>
      <c r="AB641">
        <v>1</v>
      </c>
      <c r="AC641">
        <v>1</v>
      </c>
      <c r="AD641">
        <v>1</v>
      </c>
      <c r="AE641">
        <v>0</v>
      </c>
      <c r="AF641" t="s">
        <v>12</v>
      </c>
      <c r="AG641" t="s">
        <v>12</v>
      </c>
      <c r="AH641" t="s">
        <v>12</v>
      </c>
      <c r="AI641" t="s">
        <v>12</v>
      </c>
      <c r="AJ641" t="s">
        <v>12</v>
      </c>
      <c r="AK641">
        <v>105900</v>
      </c>
      <c r="AL641">
        <v>0.21</v>
      </c>
      <c r="AM641">
        <v>0.19</v>
      </c>
      <c r="AN641" t="s">
        <v>12</v>
      </c>
      <c r="AO641" t="s">
        <v>12</v>
      </c>
    </row>
    <row r="642" spans="1:41" x14ac:dyDescent="0.35">
      <c r="A642">
        <v>16536930</v>
      </c>
      <c r="B642">
        <v>202507</v>
      </c>
      <c r="C642">
        <v>20548662835</v>
      </c>
      <c r="D642" t="s">
        <v>908</v>
      </c>
      <c r="E642" t="s">
        <v>1</v>
      </c>
      <c r="F642">
        <v>10177104</v>
      </c>
      <c r="G642" t="s">
        <v>2</v>
      </c>
      <c r="H642" t="s">
        <v>513</v>
      </c>
      <c r="I642">
        <v>56816.921875</v>
      </c>
      <c r="J642" s="1">
        <v>45580</v>
      </c>
      <c r="K642">
        <v>20</v>
      </c>
      <c r="L642" t="s">
        <v>4</v>
      </c>
      <c r="M642" t="s">
        <v>4</v>
      </c>
      <c r="N642" t="s">
        <v>5</v>
      </c>
      <c r="O642">
        <v>202410</v>
      </c>
      <c r="P642">
        <v>100005</v>
      </c>
      <c r="Q642" t="s">
        <v>513</v>
      </c>
      <c r="R642" t="s">
        <v>514</v>
      </c>
      <c r="S642" t="s">
        <v>111</v>
      </c>
      <c r="T642" t="s">
        <v>112</v>
      </c>
      <c r="U642" t="s">
        <v>20</v>
      </c>
      <c r="V642">
        <v>2</v>
      </c>
      <c r="W642" t="s">
        <v>10</v>
      </c>
      <c r="X642" t="s">
        <v>12</v>
      </c>
      <c r="Y642">
        <v>1</v>
      </c>
      <c r="Z642">
        <v>1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12</v>
      </c>
      <c r="AG642" t="s">
        <v>12</v>
      </c>
      <c r="AH642" t="s">
        <v>12</v>
      </c>
      <c r="AI642" t="s">
        <v>12</v>
      </c>
      <c r="AJ642" t="s">
        <v>12</v>
      </c>
      <c r="AK642">
        <v>1</v>
      </c>
      <c r="AL642">
        <v>0.20380000000000001</v>
      </c>
      <c r="AM642" t="s">
        <v>12</v>
      </c>
      <c r="AN642" t="s">
        <v>12</v>
      </c>
      <c r="AO642" t="s">
        <v>12</v>
      </c>
    </row>
    <row r="643" spans="1:41" x14ac:dyDescent="0.35">
      <c r="A643">
        <v>20197434</v>
      </c>
      <c r="B643">
        <v>202510</v>
      </c>
      <c r="C643">
        <v>20611020776</v>
      </c>
      <c r="D643" t="s">
        <v>909</v>
      </c>
      <c r="E643" t="s">
        <v>1</v>
      </c>
      <c r="F643">
        <v>10269156</v>
      </c>
      <c r="G643" t="s">
        <v>73</v>
      </c>
      <c r="H643" t="s">
        <v>513</v>
      </c>
      <c r="I643">
        <v>38685.05859375</v>
      </c>
      <c r="J643" s="1">
        <v>45835</v>
      </c>
      <c r="K643">
        <v>23</v>
      </c>
      <c r="L643" t="s">
        <v>86</v>
      </c>
      <c r="M643" t="s">
        <v>86</v>
      </c>
      <c r="N643" t="s">
        <v>20</v>
      </c>
      <c r="O643">
        <v>202506</v>
      </c>
      <c r="P643">
        <v>50002.5</v>
      </c>
      <c r="Q643" t="s">
        <v>513</v>
      </c>
      <c r="R643" t="s">
        <v>514</v>
      </c>
      <c r="S643" t="s">
        <v>111</v>
      </c>
      <c r="T643" t="s">
        <v>112</v>
      </c>
      <c r="U643" t="s">
        <v>20</v>
      </c>
      <c r="V643">
        <v>2</v>
      </c>
      <c r="W643" t="s">
        <v>10</v>
      </c>
      <c r="X643" t="s">
        <v>12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12</v>
      </c>
      <c r="AG643" t="s">
        <v>12</v>
      </c>
      <c r="AH643" t="s">
        <v>12</v>
      </c>
      <c r="AI643" t="s">
        <v>12</v>
      </c>
      <c r="AJ643" t="s">
        <v>12</v>
      </c>
      <c r="AK643">
        <v>1</v>
      </c>
      <c r="AL643">
        <v>1</v>
      </c>
      <c r="AM643" t="s">
        <v>12</v>
      </c>
      <c r="AN643" t="s">
        <v>12</v>
      </c>
      <c r="AO643" t="s">
        <v>12</v>
      </c>
    </row>
    <row r="644" spans="1:41" x14ac:dyDescent="0.35">
      <c r="A644">
        <v>11979216</v>
      </c>
      <c r="B644">
        <v>202508</v>
      </c>
      <c r="C644">
        <v>10198104511</v>
      </c>
      <c r="D644" t="s">
        <v>910</v>
      </c>
      <c r="E644">
        <v>19810451</v>
      </c>
      <c r="F644">
        <v>10260867</v>
      </c>
      <c r="G644" t="s">
        <v>65</v>
      </c>
      <c r="H644" t="s">
        <v>911</v>
      </c>
      <c r="I644">
        <v>53690.74609375</v>
      </c>
      <c r="J644" s="1">
        <v>45560</v>
      </c>
      <c r="K644">
        <v>14.5</v>
      </c>
      <c r="L644" t="s">
        <v>37</v>
      </c>
      <c r="M644" t="s">
        <v>37</v>
      </c>
      <c r="N644" t="s">
        <v>47</v>
      </c>
      <c r="O644">
        <v>202409</v>
      </c>
      <c r="P644">
        <v>63026.15</v>
      </c>
      <c r="Q644" t="s">
        <v>217</v>
      </c>
      <c r="R644" t="s">
        <v>218</v>
      </c>
      <c r="S644" t="s">
        <v>18</v>
      </c>
      <c r="T644" t="s">
        <v>122</v>
      </c>
      <c r="U644" t="s">
        <v>41</v>
      </c>
      <c r="V644">
        <v>1</v>
      </c>
      <c r="W644" t="s">
        <v>912</v>
      </c>
      <c r="X644" t="s">
        <v>12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12</v>
      </c>
      <c r="AG644" t="s">
        <v>12</v>
      </c>
      <c r="AH644" t="s">
        <v>12</v>
      </c>
      <c r="AI644" t="s">
        <v>12</v>
      </c>
      <c r="AJ644" t="s">
        <v>12</v>
      </c>
      <c r="AK644">
        <v>200000</v>
      </c>
      <c r="AL644">
        <v>0.25</v>
      </c>
      <c r="AM644">
        <v>0.23330000000000001</v>
      </c>
      <c r="AN644" t="s">
        <v>12</v>
      </c>
      <c r="AO644" t="s">
        <v>12</v>
      </c>
    </row>
    <row r="645" spans="1:41" x14ac:dyDescent="0.35">
      <c r="A645">
        <v>11979216</v>
      </c>
      <c r="B645">
        <v>202508</v>
      </c>
      <c r="C645">
        <v>10198104511</v>
      </c>
      <c r="D645" t="s">
        <v>910</v>
      </c>
      <c r="E645">
        <v>19810451</v>
      </c>
      <c r="F645">
        <v>10260867</v>
      </c>
      <c r="G645" t="s">
        <v>65</v>
      </c>
      <c r="H645" t="s">
        <v>911</v>
      </c>
      <c r="I645">
        <v>53690.74609375</v>
      </c>
      <c r="J645" s="1">
        <v>45560</v>
      </c>
      <c r="K645">
        <v>14.5</v>
      </c>
      <c r="L645" t="s">
        <v>37</v>
      </c>
      <c r="M645" t="s">
        <v>37</v>
      </c>
      <c r="N645" t="s">
        <v>47</v>
      </c>
      <c r="O645">
        <v>202409</v>
      </c>
      <c r="P645">
        <v>63026.15</v>
      </c>
      <c r="Q645" t="s">
        <v>217</v>
      </c>
      <c r="R645" t="s">
        <v>12</v>
      </c>
      <c r="S645" t="s">
        <v>12</v>
      </c>
      <c r="T645" t="s">
        <v>12</v>
      </c>
      <c r="U645" t="s">
        <v>41</v>
      </c>
      <c r="V645">
        <v>2</v>
      </c>
      <c r="W645" t="s">
        <v>912</v>
      </c>
      <c r="X645" t="s">
        <v>12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12</v>
      </c>
      <c r="AG645" t="s">
        <v>12</v>
      </c>
      <c r="AH645" t="s">
        <v>12</v>
      </c>
      <c r="AI645" t="s">
        <v>12</v>
      </c>
      <c r="AJ645" t="s">
        <v>12</v>
      </c>
      <c r="AK645">
        <v>200000</v>
      </c>
      <c r="AL645">
        <v>0.25</v>
      </c>
      <c r="AM645">
        <v>0.23330000000000001</v>
      </c>
      <c r="AN645" t="s">
        <v>12</v>
      </c>
      <c r="AO645" t="s">
        <v>12</v>
      </c>
    </row>
    <row r="646" spans="1:41" x14ac:dyDescent="0.35">
      <c r="A646">
        <v>12999749</v>
      </c>
      <c r="B646">
        <v>202601</v>
      </c>
      <c r="C646">
        <v>20549226044</v>
      </c>
      <c r="D646" t="s">
        <v>913</v>
      </c>
      <c r="E646" t="s">
        <v>1</v>
      </c>
      <c r="F646">
        <v>10263803</v>
      </c>
      <c r="G646" t="s">
        <v>65</v>
      </c>
      <c r="H646" t="s">
        <v>7</v>
      </c>
      <c r="I646">
        <v>1904.37939453125</v>
      </c>
      <c r="J646" s="1">
        <v>45642</v>
      </c>
      <c r="K646">
        <v>16.200001</v>
      </c>
      <c r="L646" t="s">
        <v>37</v>
      </c>
      <c r="M646" t="s">
        <v>37</v>
      </c>
      <c r="N646" t="s">
        <v>47</v>
      </c>
      <c r="O646">
        <v>202412</v>
      </c>
      <c r="P646">
        <v>48802.400000000001</v>
      </c>
      <c r="Q646" t="s">
        <v>305</v>
      </c>
      <c r="R646" t="s">
        <v>306</v>
      </c>
      <c r="S646" t="s">
        <v>7</v>
      </c>
      <c r="T646" t="s">
        <v>8</v>
      </c>
      <c r="U646" t="s">
        <v>168</v>
      </c>
      <c r="V646">
        <v>1</v>
      </c>
      <c r="W646" t="s">
        <v>21</v>
      </c>
      <c r="X646" t="s">
        <v>11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12</v>
      </c>
      <c r="AG646" t="s">
        <v>12</v>
      </c>
      <c r="AH646" t="s">
        <v>12</v>
      </c>
      <c r="AI646" t="s">
        <v>12</v>
      </c>
      <c r="AJ646" t="s">
        <v>12</v>
      </c>
      <c r="AK646">
        <v>0</v>
      </c>
      <c r="AL646">
        <v>0</v>
      </c>
      <c r="AM646">
        <v>0</v>
      </c>
      <c r="AN646" t="s">
        <v>12</v>
      </c>
      <c r="AO646" t="s">
        <v>12</v>
      </c>
    </row>
    <row r="647" spans="1:41" x14ac:dyDescent="0.35">
      <c r="A647">
        <v>11399899</v>
      </c>
      <c r="B647">
        <v>202511</v>
      </c>
      <c r="C647">
        <v>20195425729</v>
      </c>
      <c r="D647" t="s">
        <v>914</v>
      </c>
      <c r="E647" t="s">
        <v>1</v>
      </c>
      <c r="F647">
        <v>10259905</v>
      </c>
      <c r="G647" t="s">
        <v>53</v>
      </c>
      <c r="H647" t="s">
        <v>301</v>
      </c>
      <c r="I647">
        <v>117199.0546875</v>
      </c>
      <c r="J647" s="1">
        <v>45533</v>
      </c>
      <c r="K647">
        <v>13.48</v>
      </c>
      <c r="L647" t="s">
        <v>4</v>
      </c>
      <c r="M647" t="s">
        <v>4</v>
      </c>
      <c r="N647" t="s">
        <v>47</v>
      </c>
      <c r="O647">
        <v>202408</v>
      </c>
      <c r="P647">
        <v>168608.4</v>
      </c>
      <c r="Q647" t="s">
        <v>301</v>
      </c>
      <c r="R647" t="s">
        <v>310</v>
      </c>
      <c r="S647" t="s">
        <v>49</v>
      </c>
      <c r="T647" t="s">
        <v>50</v>
      </c>
      <c r="U647" t="s">
        <v>41</v>
      </c>
      <c r="V647">
        <v>1</v>
      </c>
      <c r="W647" t="s">
        <v>10</v>
      </c>
      <c r="X647" t="s">
        <v>11</v>
      </c>
      <c r="Y647">
        <v>1</v>
      </c>
      <c r="Z647">
        <v>1</v>
      </c>
      <c r="AA647">
        <v>0</v>
      </c>
      <c r="AB647">
        <v>0</v>
      </c>
      <c r="AC647">
        <v>1</v>
      </c>
      <c r="AD647">
        <v>1</v>
      </c>
      <c r="AE647">
        <v>0</v>
      </c>
      <c r="AF647" t="s">
        <v>12</v>
      </c>
      <c r="AG647" t="s">
        <v>12</v>
      </c>
      <c r="AH647" t="s">
        <v>12</v>
      </c>
      <c r="AI647" t="s">
        <v>12</v>
      </c>
      <c r="AJ647" t="s">
        <v>12</v>
      </c>
      <c r="AK647">
        <v>400000</v>
      </c>
      <c r="AL647">
        <v>0.21</v>
      </c>
      <c r="AM647">
        <v>0.19</v>
      </c>
      <c r="AN647" t="s">
        <v>12</v>
      </c>
      <c r="AO647" t="s">
        <v>12</v>
      </c>
    </row>
    <row r="648" spans="1:41" x14ac:dyDescent="0.35">
      <c r="A648">
        <v>10083386</v>
      </c>
      <c r="B648">
        <v>202506</v>
      </c>
      <c r="C648">
        <v>20203348780</v>
      </c>
      <c r="D648" t="s">
        <v>915</v>
      </c>
      <c r="E648" t="s">
        <v>1</v>
      </c>
      <c r="F648">
        <v>10257136</v>
      </c>
      <c r="G648" t="s">
        <v>92</v>
      </c>
      <c r="H648" t="s">
        <v>120</v>
      </c>
      <c r="I648">
        <v>10866.537109375</v>
      </c>
      <c r="J648" s="1">
        <v>45484</v>
      </c>
      <c r="K648">
        <v>19.899999999999999</v>
      </c>
      <c r="L648" t="s">
        <v>4</v>
      </c>
      <c r="M648" t="s">
        <v>4</v>
      </c>
      <c r="N648" t="s">
        <v>41</v>
      </c>
      <c r="O648">
        <v>202407</v>
      </c>
      <c r="P648">
        <v>120006</v>
      </c>
      <c r="Q648" t="s">
        <v>120</v>
      </c>
      <c r="R648" t="s">
        <v>121</v>
      </c>
      <c r="S648" t="s">
        <v>18</v>
      </c>
      <c r="T648" t="s">
        <v>122</v>
      </c>
      <c r="U648" t="s">
        <v>41</v>
      </c>
      <c r="V648">
        <v>1</v>
      </c>
      <c r="W648" t="s">
        <v>10</v>
      </c>
      <c r="X648" t="s">
        <v>12</v>
      </c>
      <c r="Y648">
        <v>1</v>
      </c>
      <c r="Z648">
        <v>1</v>
      </c>
      <c r="AA648">
        <v>0</v>
      </c>
      <c r="AB648">
        <v>0</v>
      </c>
      <c r="AC648">
        <v>1</v>
      </c>
      <c r="AD648">
        <v>1</v>
      </c>
      <c r="AE648">
        <v>0</v>
      </c>
      <c r="AF648" t="s">
        <v>12</v>
      </c>
      <c r="AG648" t="s">
        <v>12</v>
      </c>
      <c r="AH648" t="s">
        <v>12</v>
      </c>
      <c r="AI648" t="s">
        <v>12</v>
      </c>
      <c r="AJ648" t="s">
        <v>12</v>
      </c>
      <c r="AK648">
        <v>378441</v>
      </c>
      <c r="AL648">
        <v>0.2</v>
      </c>
      <c r="AM648">
        <v>0.18</v>
      </c>
      <c r="AN648" t="s">
        <v>12</v>
      </c>
      <c r="AO648" t="s">
        <v>12</v>
      </c>
    </row>
    <row r="649" spans="1:41" x14ac:dyDescent="0.35">
      <c r="A649">
        <v>11437830</v>
      </c>
      <c r="B649">
        <v>202511</v>
      </c>
      <c r="C649">
        <v>10329523352</v>
      </c>
      <c r="D649" t="s">
        <v>916</v>
      </c>
      <c r="E649">
        <v>32952335</v>
      </c>
      <c r="F649">
        <v>10255023</v>
      </c>
      <c r="G649" t="s">
        <v>53</v>
      </c>
      <c r="H649" t="s">
        <v>917</v>
      </c>
      <c r="I649">
        <v>13271.5283203125</v>
      </c>
      <c r="J649" s="1">
        <v>45455</v>
      </c>
      <c r="K649">
        <v>15.4</v>
      </c>
      <c r="L649" t="s">
        <v>4</v>
      </c>
      <c r="M649" t="s">
        <v>4</v>
      </c>
      <c r="N649" t="s">
        <v>47</v>
      </c>
      <c r="O649">
        <v>202406</v>
      </c>
      <c r="P649">
        <v>75003.75</v>
      </c>
      <c r="Q649" t="s">
        <v>210</v>
      </c>
      <c r="R649" t="s">
        <v>211</v>
      </c>
      <c r="S649" t="s">
        <v>39</v>
      </c>
      <c r="T649" t="s">
        <v>40</v>
      </c>
      <c r="U649" t="s">
        <v>41</v>
      </c>
      <c r="V649">
        <v>1</v>
      </c>
      <c r="W649" t="s">
        <v>90</v>
      </c>
      <c r="X649" t="s">
        <v>59</v>
      </c>
      <c r="Y649">
        <v>1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12</v>
      </c>
      <c r="AG649" t="s">
        <v>12</v>
      </c>
      <c r="AH649" t="s">
        <v>12</v>
      </c>
      <c r="AI649" t="s">
        <v>12</v>
      </c>
      <c r="AJ649" t="s">
        <v>12</v>
      </c>
      <c r="AK649">
        <v>200000</v>
      </c>
      <c r="AL649">
        <v>0.23680000000000001</v>
      </c>
      <c r="AM649">
        <v>0.21679999999999999</v>
      </c>
      <c r="AN649" t="s">
        <v>12</v>
      </c>
      <c r="AO649" t="s">
        <v>12</v>
      </c>
    </row>
    <row r="650" spans="1:41" x14ac:dyDescent="0.35">
      <c r="A650">
        <v>20175598</v>
      </c>
      <c r="B650">
        <v>202504</v>
      </c>
      <c r="C650">
        <v>20606367334</v>
      </c>
      <c r="D650" t="s">
        <v>918</v>
      </c>
      <c r="E650" t="s">
        <v>1</v>
      </c>
      <c r="F650">
        <v>10257582</v>
      </c>
      <c r="G650" t="s">
        <v>53</v>
      </c>
      <c r="H650" t="s">
        <v>210</v>
      </c>
      <c r="I650">
        <v>80089.828125</v>
      </c>
      <c r="J650" s="1">
        <v>45497</v>
      </c>
      <c r="K650">
        <v>15.4</v>
      </c>
      <c r="L650" t="s">
        <v>4</v>
      </c>
      <c r="M650" t="s">
        <v>4</v>
      </c>
      <c r="N650" t="s">
        <v>47</v>
      </c>
      <c r="O650">
        <v>202407</v>
      </c>
      <c r="P650">
        <v>90004.5</v>
      </c>
      <c r="Q650" t="s">
        <v>210</v>
      </c>
      <c r="R650" t="s">
        <v>211</v>
      </c>
      <c r="S650" t="s">
        <v>39</v>
      </c>
      <c r="T650" t="s">
        <v>40</v>
      </c>
      <c r="U650" t="s">
        <v>20</v>
      </c>
      <c r="V650">
        <v>1</v>
      </c>
      <c r="W650" t="s">
        <v>10</v>
      </c>
      <c r="X650" t="s">
        <v>12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12</v>
      </c>
      <c r="AG650" t="s">
        <v>12</v>
      </c>
      <c r="AH650" t="s">
        <v>12</v>
      </c>
      <c r="AI650" t="s">
        <v>12</v>
      </c>
      <c r="AJ650" t="s">
        <v>12</v>
      </c>
      <c r="AK650">
        <v>0</v>
      </c>
      <c r="AL650">
        <v>0</v>
      </c>
      <c r="AM650">
        <v>0</v>
      </c>
      <c r="AN650" t="s">
        <v>12</v>
      </c>
      <c r="AO650" t="s">
        <v>12</v>
      </c>
    </row>
    <row r="651" spans="1:41" x14ac:dyDescent="0.35">
      <c r="A651">
        <v>13621268</v>
      </c>
      <c r="B651">
        <v>202503</v>
      </c>
      <c r="C651">
        <v>20491854058</v>
      </c>
      <c r="D651" t="s">
        <v>919</v>
      </c>
      <c r="E651" t="s">
        <v>1</v>
      </c>
      <c r="F651">
        <v>10253970</v>
      </c>
      <c r="G651" t="s">
        <v>53</v>
      </c>
      <c r="H651" t="s">
        <v>246</v>
      </c>
      <c r="I651">
        <v>124031.734375</v>
      </c>
      <c r="J651" s="1">
        <v>45440</v>
      </c>
      <c r="K651">
        <v>16.899999999999999</v>
      </c>
      <c r="L651" t="s">
        <v>4</v>
      </c>
      <c r="M651" t="s">
        <v>4</v>
      </c>
      <c r="N651" t="s">
        <v>47</v>
      </c>
      <c r="O651">
        <v>202405</v>
      </c>
      <c r="P651">
        <v>139056.95000000001</v>
      </c>
      <c r="Q651" t="s">
        <v>246</v>
      </c>
      <c r="R651" t="s">
        <v>247</v>
      </c>
      <c r="S651" t="s">
        <v>18</v>
      </c>
      <c r="T651" t="s">
        <v>122</v>
      </c>
      <c r="U651" t="s">
        <v>20</v>
      </c>
      <c r="V651">
        <v>1</v>
      </c>
      <c r="W651" t="s">
        <v>10</v>
      </c>
      <c r="X651" t="s">
        <v>12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12</v>
      </c>
      <c r="AG651" t="s">
        <v>12</v>
      </c>
      <c r="AH651" t="s">
        <v>12</v>
      </c>
      <c r="AI651" t="s">
        <v>12</v>
      </c>
      <c r="AJ651" t="s">
        <v>12</v>
      </c>
      <c r="AK651">
        <v>982495171</v>
      </c>
      <c r="AL651">
        <v>0</v>
      </c>
      <c r="AM651">
        <v>0</v>
      </c>
      <c r="AN651" t="s">
        <v>12</v>
      </c>
      <c r="AO651" t="s">
        <v>12</v>
      </c>
    </row>
    <row r="652" spans="1:41" x14ac:dyDescent="0.35">
      <c r="A652">
        <v>14001930</v>
      </c>
      <c r="B652">
        <v>202602</v>
      </c>
      <c r="C652">
        <v>20566397481</v>
      </c>
      <c r="D652" t="s">
        <v>920</v>
      </c>
      <c r="E652" t="s">
        <v>1</v>
      </c>
      <c r="F652">
        <v>10254502</v>
      </c>
      <c r="G652" t="s">
        <v>45</v>
      </c>
      <c r="H652" t="s">
        <v>159</v>
      </c>
      <c r="I652">
        <v>23123.029296875</v>
      </c>
      <c r="J652" s="1">
        <v>45443</v>
      </c>
      <c r="K652">
        <v>15.5</v>
      </c>
      <c r="L652" t="s">
        <v>37</v>
      </c>
      <c r="M652" t="s">
        <v>37</v>
      </c>
      <c r="N652" t="s">
        <v>47</v>
      </c>
      <c r="O652">
        <v>202405</v>
      </c>
      <c r="P652">
        <v>90004.5</v>
      </c>
      <c r="Q652" t="s">
        <v>12</v>
      </c>
      <c r="R652" t="s">
        <v>12</v>
      </c>
      <c r="S652" t="s">
        <v>12</v>
      </c>
      <c r="T652" t="s">
        <v>12</v>
      </c>
      <c r="U652" t="s">
        <v>196</v>
      </c>
      <c r="V652">
        <v>3</v>
      </c>
      <c r="W652" t="s">
        <v>10</v>
      </c>
      <c r="X652" t="s">
        <v>51</v>
      </c>
      <c r="Y652">
        <v>1</v>
      </c>
      <c r="Z652">
        <v>1</v>
      </c>
      <c r="AA652">
        <v>0</v>
      </c>
      <c r="AB652">
        <v>0</v>
      </c>
      <c r="AC652">
        <v>0</v>
      </c>
      <c r="AD652" t="s">
        <v>12</v>
      </c>
      <c r="AE652">
        <v>0</v>
      </c>
      <c r="AF652" t="s">
        <v>12</v>
      </c>
      <c r="AG652" t="s">
        <v>12</v>
      </c>
      <c r="AH652" t="s">
        <v>12</v>
      </c>
      <c r="AI652" t="s">
        <v>12</v>
      </c>
      <c r="AJ652" t="s">
        <v>12</v>
      </c>
      <c r="AK652" t="s">
        <v>12</v>
      </c>
      <c r="AL652" t="s">
        <v>12</v>
      </c>
      <c r="AM652" t="s">
        <v>12</v>
      </c>
      <c r="AN652" t="s">
        <v>269</v>
      </c>
      <c r="AO652" t="s">
        <v>270</v>
      </c>
    </row>
    <row r="653" spans="1:41" x14ac:dyDescent="0.35">
      <c r="A653">
        <v>21614876</v>
      </c>
      <c r="B653">
        <v>202510</v>
      </c>
      <c r="C653">
        <v>20553383022</v>
      </c>
      <c r="D653" t="s">
        <v>921</v>
      </c>
      <c r="E653" t="s">
        <v>1</v>
      </c>
      <c r="F653">
        <v>10267608</v>
      </c>
      <c r="G653" t="s">
        <v>100</v>
      </c>
      <c r="H653" t="s">
        <v>644</v>
      </c>
      <c r="I653">
        <v>126326.890625</v>
      </c>
      <c r="J653" s="1">
        <v>45782</v>
      </c>
      <c r="K653">
        <v>15</v>
      </c>
      <c r="L653" t="s">
        <v>37</v>
      </c>
      <c r="M653" t="s">
        <v>37</v>
      </c>
      <c r="N653" t="s">
        <v>102</v>
      </c>
      <c r="O653">
        <v>202505</v>
      </c>
      <c r="P653">
        <v>142607.1</v>
      </c>
      <c r="Q653" t="s">
        <v>644</v>
      </c>
      <c r="R653" t="s">
        <v>12</v>
      </c>
      <c r="S653" t="s">
        <v>12</v>
      </c>
      <c r="T653" t="s">
        <v>12</v>
      </c>
      <c r="U653" t="s">
        <v>20</v>
      </c>
      <c r="V653">
        <v>2</v>
      </c>
      <c r="W653" t="s">
        <v>10</v>
      </c>
      <c r="X653" t="s">
        <v>12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12</v>
      </c>
      <c r="AG653" t="s">
        <v>12</v>
      </c>
      <c r="AH653" t="s">
        <v>12</v>
      </c>
      <c r="AI653" t="s">
        <v>12</v>
      </c>
      <c r="AJ653" t="s">
        <v>12</v>
      </c>
      <c r="AK653">
        <v>1</v>
      </c>
      <c r="AL653">
        <v>1</v>
      </c>
      <c r="AM653" t="s">
        <v>12</v>
      </c>
      <c r="AN653" t="s">
        <v>12</v>
      </c>
      <c r="AO653" t="s">
        <v>12</v>
      </c>
    </row>
    <row r="654" spans="1:41" x14ac:dyDescent="0.35">
      <c r="A654">
        <v>15752669</v>
      </c>
      <c r="B654">
        <v>202507</v>
      </c>
      <c r="C654">
        <v>10435611937</v>
      </c>
      <c r="D654" t="s">
        <v>922</v>
      </c>
      <c r="E654">
        <v>43561193</v>
      </c>
      <c r="F654">
        <v>10266356</v>
      </c>
      <c r="G654" t="s">
        <v>100</v>
      </c>
      <c r="H654" t="s">
        <v>257</v>
      </c>
      <c r="I654">
        <v>191616.515625</v>
      </c>
      <c r="J654" s="1">
        <v>45736</v>
      </c>
      <c r="K654">
        <v>17</v>
      </c>
      <c r="L654" t="s">
        <v>37</v>
      </c>
      <c r="M654" t="s">
        <v>37</v>
      </c>
      <c r="N654" t="s">
        <v>102</v>
      </c>
      <c r="O654">
        <v>202503</v>
      </c>
      <c r="P654">
        <v>240012</v>
      </c>
      <c r="Q654" t="s">
        <v>257</v>
      </c>
      <c r="R654" t="s">
        <v>258</v>
      </c>
      <c r="S654" t="s">
        <v>49</v>
      </c>
      <c r="T654" t="s">
        <v>50</v>
      </c>
      <c r="U654" t="s">
        <v>20</v>
      </c>
      <c r="V654">
        <v>1</v>
      </c>
      <c r="W654" t="s">
        <v>90</v>
      </c>
      <c r="X654" t="s">
        <v>12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12</v>
      </c>
      <c r="AG654" t="s">
        <v>12</v>
      </c>
      <c r="AH654" t="s">
        <v>12</v>
      </c>
      <c r="AI654" t="s">
        <v>12</v>
      </c>
      <c r="AJ654" t="s">
        <v>12</v>
      </c>
      <c r="AK654">
        <v>1</v>
      </c>
      <c r="AL654">
        <v>0.1678</v>
      </c>
      <c r="AM654" t="s">
        <v>12</v>
      </c>
      <c r="AN654" t="s">
        <v>12</v>
      </c>
      <c r="AO654" t="s">
        <v>12</v>
      </c>
    </row>
    <row r="655" spans="1:41" x14ac:dyDescent="0.35">
      <c r="A655">
        <v>17386529</v>
      </c>
      <c r="B655">
        <v>202510</v>
      </c>
      <c r="C655">
        <v>20603885652</v>
      </c>
      <c r="D655" t="s">
        <v>923</v>
      </c>
      <c r="E655" t="s">
        <v>1</v>
      </c>
      <c r="F655">
        <v>10265019</v>
      </c>
      <c r="G655" t="s">
        <v>24</v>
      </c>
      <c r="H655" t="s">
        <v>124</v>
      </c>
      <c r="I655">
        <v>70459.234375</v>
      </c>
      <c r="J655" s="1">
        <v>45687</v>
      </c>
      <c r="K655">
        <v>17</v>
      </c>
      <c r="L655" t="s">
        <v>37</v>
      </c>
      <c r="M655" t="s">
        <v>37</v>
      </c>
      <c r="N655" t="s">
        <v>98</v>
      </c>
      <c r="O655">
        <v>202501</v>
      </c>
      <c r="P655">
        <v>100005</v>
      </c>
      <c r="Q655" t="s">
        <v>124</v>
      </c>
      <c r="R655" t="s">
        <v>125</v>
      </c>
      <c r="S655" t="s">
        <v>88</v>
      </c>
      <c r="T655" t="s">
        <v>89</v>
      </c>
      <c r="U655" t="s">
        <v>20</v>
      </c>
      <c r="V655">
        <v>2</v>
      </c>
      <c r="W655" t="s">
        <v>10</v>
      </c>
      <c r="X655" t="s">
        <v>12</v>
      </c>
      <c r="Y655">
        <v>1</v>
      </c>
      <c r="Z655">
        <v>1</v>
      </c>
      <c r="AA655">
        <v>0</v>
      </c>
      <c r="AB655">
        <v>0</v>
      </c>
      <c r="AC655">
        <v>1</v>
      </c>
      <c r="AD655">
        <v>1</v>
      </c>
      <c r="AE655">
        <v>0</v>
      </c>
      <c r="AF655" t="s">
        <v>12</v>
      </c>
      <c r="AG655" t="s">
        <v>12</v>
      </c>
      <c r="AH655" t="s">
        <v>12</v>
      </c>
      <c r="AI655" t="s">
        <v>12</v>
      </c>
      <c r="AJ655" t="s">
        <v>12</v>
      </c>
      <c r="AK655">
        <v>1</v>
      </c>
      <c r="AL655">
        <v>1</v>
      </c>
      <c r="AM655" t="s">
        <v>12</v>
      </c>
      <c r="AN655" t="s">
        <v>12</v>
      </c>
      <c r="AO655" t="s">
        <v>12</v>
      </c>
    </row>
    <row r="656" spans="1:41" x14ac:dyDescent="0.35">
      <c r="A656">
        <v>17129124</v>
      </c>
      <c r="B656">
        <v>202509</v>
      </c>
      <c r="C656">
        <v>20509902900</v>
      </c>
      <c r="D656" t="s">
        <v>924</v>
      </c>
      <c r="E656" t="s">
        <v>1</v>
      </c>
      <c r="F656">
        <v>10200624</v>
      </c>
      <c r="G656" t="s">
        <v>199</v>
      </c>
      <c r="H656" t="s">
        <v>159</v>
      </c>
      <c r="I656">
        <v>67390.828125</v>
      </c>
      <c r="J656" t="s">
        <v>12</v>
      </c>
      <c r="K656" t="s">
        <v>12</v>
      </c>
      <c r="L656" t="s">
        <v>12</v>
      </c>
      <c r="M656" t="s">
        <v>12</v>
      </c>
      <c r="N656" t="s">
        <v>12</v>
      </c>
      <c r="O656" t="s">
        <v>12</v>
      </c>
      <c r="P656" t="s">
        <v>12</v>
      </c>
      <c r="Q656" t="s">
        <v>12</v>
      </c>
      <c r="R656" t="s">
        <v>12</v>
      </c>
      <c r="S656" t="s">
        <v>12</v>
      </c>
      <c r="T656" t="s">
        <v>12</v>
      </c>
      <c r="U656" t="s">
        <v>12</v>
      </c>
      <c r="V656" t="s">
        <v>12</v>
      </c>
      <c r="W656" t="s">
        <v>12</v>
      </c>
      <c r="X656" t="s">
        <v>12</v>
      </c>
      <c r="Y656" t="s">
        <v>12</v>
      </c>
      <c r="Z656" t="s">
        <v>12</v>
      </c>
      <c r="AA656" t="s">
        <v>12</v>
      </c>
      <c r="AB656" t="s">
        <v>12</v>
      </c>
      <c r="AC656" t="s">
        <v>12</v>
      </c>
      <c r="AD656" t="s">
        <v>12</v>
      </c>
      <c r="AE656" t="s">
        <v>12</v>
      </c>
      <c r="AF656" t="s">
        <v>12</v>
      </c>
      <c r="AG656" t="s">
        <v>12</v>
      </c>
      <c r="AH656" t="s">
        <v>12</v>
      </c>
      <c r="AI656" t="s">
        <v>12</v>
      </c>
      <c r="AJ656" t="s">
        <v>12</v>
      </c>
      <c r="AK656" t="s">
        <v>12</v>
      </c>
      <c r="AL656" t="s">
        <v>12</v>
      </c>
      <c r="AM656" t="s">
        <v>12</v>
      </c>
      <c r="AN656" t="s">
        <v>12</v>
      </c>
      <c r="AO656" t="s">
        <v>12</v>
      </c>
    </row>
    <row r="657" spans="1:41" x14ac:dyDescent="0.35">
      <c r="A657">
        <v>13982446</v>
      </c>
      <c r="B657">
        <v>202502</v>
      </c>
      <c r="C657">
        <v>20542016214</v>
      </c>
      <c r="D657" t="s">
        <v>925</v>
      </c>
      <c r="E657" t="s">
        <v>1</v>
      </c>
      <c r="F657">
        <v>10144855</v>
      </c>
      <c r="G657" t="s">
        <v>2</v>
      </c>
      <c r="H657" t="s">
        <v>43</v>
      </c>
      <c r="I657">
        <v>30673.091796875</v>
      </c>
      <c r="J657" t="s">
        <v>12</v>
      </c>
      <c r="K657" t="s">
        <v>12</v>
      </c>
      <c r="L657" t="s">
        <v>12</v>
      </c>
      <c r="M657" t="s">
        <v>12</v>
      </c>
      <c r="N657" t="s">
        <v>12</v>
      </c>
      <c r="O657" t="s">
        <v>12</v>
      </c>
      <c r="P657" t="s">
        <v>12</v>
      </c>
      <c r="Q657" t="s">
        <v>234</v>
      </c>
      <c r="R657" t="s">
        <v>235</v>
      </c>
      <c r="S657" t="s">
        <v>49</v>
      </c>
      <c r="T657" t="s">
        <v>50</v>
      </c>
      <c r="U657" t="s">
        <v>20</v>
      </c>
      <c r="V657">
        <v>1</v>
      </c>
      <c r="W657" t="s">
        <v>10</v>
      </c>
      <c r="X657" t="s">
        <v>12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12</v>
      </c>
      <c r="AG657" t="s">
        <v>12</v>
      </c>
      <c r="AH657" t="s">
        <v>12</v>
      </c>
      <c r="AI657" t="s">
        <v>12</v>
      </c>
      <c r="AJ657" t="s">
        <v>12</v>
      </c>
      <c r="AK657">
        <v>982051831</v>
      </c>
      <c r="AL657">
        <v>0</v>
      </c>
      <c r="AM657">
        <v>0</v>
      </c>
      <c r="AN657" t="s">
        <v>12</v>
      </c>
      <c r="AO657" t="s">
        <v>12</v>
      </c>
    </row>
    <row r="658" spans="1:41" x14ac:dyDescent="0.35">
      <c r="A658">
        <v>15510850</v>
      </c>
      <c r="B658">
        <v>202503</v>
      </c>
      <c r="C658">
        <v>20602865119</v>
      </c>
      <c r="D658" t="s">
        <v>926</v>
      </c>
      <c r="E658" t="s">
        <v>1</v>
      </c>
      <c r="F658">
        <v>10196453</v>
      </c>
      <c r="G658" t="s">
        <v>199</v>
      </c>
      <c r="H658" t="s">
        <v>230</v>
      </c>
      <c r="I658">
        <v>11019.8828125</v>
      </c>
      <c r="J658" t="s">
        <v>12</v>
      </c>
      <c r="K658" t="s">
        <v>12</v>
      </c>
      <c r="L658" t="s">
        <v>12</v>
      </c>
      <c r="M658" t="s">
        <v>12</v>
      </c>
      <c r="N658" t="s">
        <v>12</v>
      </c>
      <c r="O658" t="s">
        <v>12</v>
      </c>
      <c r="P658" t="s">
        <v>12</v>
      </c>
      <c r="Q658" t="s">
        <v>472</v>
      </c>
      <c r="R658" t="s">
        <v>615</v>
      </c>
      <c r="S658" t="s">
        <v>127</v>
      </c>
      <c r="T658" t="s">
        <v>147</v>
      </c>
      <c r="U658" t="s">
        <v>41</v>
      </c>
      <c r="V658">
        <v>1</v>
      </c>
      <c r="W658" t="s">
        <v>10</v>
      </c>
      <c r="X658" t="s">
        <v>12</v>
      </c>
      <c r="Y658">
        <v>1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12</v>
      </c>
      <c r="AG658" t="s">
        <v>12</v>
      </c>
      <c r="AH658" t="s">
        <v>12</v>
      </c>
      <c r="AI658" t="s">
        <v>12</v>
      </c>
      <c r="AJ658" t="s">
        <v>12</v>
      </c>
      <c r="AK658">
        <v>200000</v>
      </c>
      <c r="AL658">
        <v>0.22</v>
      </c>
      <c r="AM658">
        <v>0.20200000000000001</v>
      </c>
      <c r="AN658" t="s">
        <v>12</v>
      </c>
      <c r="AO658" t="s">
        <v>12</v>
      </c>
    </row>
    <row r="659" spans="1:41" x14ac:dyDescent="0.35">
      <c r="A659">
        <v>11129124</v>
      </c>
      <c r="B659">
        <v>202512</v>
      </c>
      <c r="C659">
        <v>20518966881</v>
      </c>
      <c r="D659" t="s">
        <v>927</v>
      </c>
      <c r="E659" t="s">
        <v>1</v>
      </c>
      <c r="F659">
        <v>10267598</v>
      </c>
      <c r="G659" t="s">
        <v>2</v>
      </c>
      <c r="H659" t="s">
        <v>522</v>
      </c>
      <c r="I659">
        <v>399664.53125</v>
      </c>
      <c r="J659" s="1">
        <v>46010</v>
      </c>
      <c r="K659">
        <v>19</v>
      </c>
      <c r="L659" t="s">
        <v>4</v>
      </c>
      <c r="M659" t="s">
        <v>4</v>
      </c>
      <c r="N659" t="s">
        <v>5</v>
      </c>
      <c r="O659">
        <v>202512</v>
      </c>
      <c r="P659">
        <v>400020</v>
      </c>
      <c r="Q659" t="s">
        <v>522</v>
      </c>
      <c r="R659" t="s">
        <v>523</v>
      </c>
      <c r="S659" t="s">
        <v>127</v>
      </c>
      <c r="T659" t="s">
        <v>147</v>
      </c>
      <c r="U659" t="s">
        <v>41</v>
      </c>
      <c r="V659">
        <v>1</v>
      </c>
      <c r="W659" t="s">
        <v>10</v>
      </c>
      <c r="X659" t="s">
        <v>22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400020</v>
      </c>
      <c r="AF659">
        <v>19</v>
      </c>
      <c r="AG659" s="1">
        <v>46010</v>
      </c>
      <c r="AH659" t="s">
        <v>41</v>
      </c>
      <c r="AI659" t="s">
        <v>4</v>
      </c>
      <c r="AJ659" t="s">
        <v>33</v>
      </c>
      <c r="AK659">
        <v>400000</v>
      </c>
      <c r="AL659">
        <v>0.21</v>
      </c>
      <c r="AM659">
        <v>0.19</v>
      </c>
      <c r="AN659" t="s">
        <v>12</v>
      </c>
      <c r="AO659" t="s">
        <v>12</v>
      </c>
    </row>
    <row r="660" spans="1:41" x14ac:dyDescent="0.35">
      <c r="A660">
        <v>20943753</v>
      </c>
      <c r="B660">
        <v>202602</v>
      </c>
      <c r="C660">
        <v>20607271268</v>
      </c>
      <c r="D660" t="s">
        <v>928</v>
      </c>
      <c r="E660" t="s">
        <v>1</v>
      </c>
      <c r="F660">
        <v>10255841</v>
      </c>
      <c r="G660" t="s">
        <v>45</v>
      </c>
      <c r="H660" t="s">
        <v>7</v>
      </c>
      <c r="I660">
        <v>40911.640625</v>
      </c>
      <c r="J660" s="1">
        <v>45463</v>
      </c>
      <c r="K660">
        <v>16.399999999999999</v>
      </c>
      <c r="L660" t="s">
        <v>37</v>
      </c>
      <c r="M660" t="s">
        <v>37</v>
      </c>
      <c r="N660" t="s">
        <v>47</v>
      </c>
      <c r="O660">
        <v>202406</v>
      </c>
      <c r="P660">
        <v>90004.5</v>
      </c>
      <c r="Q660" t="s">
        <v>12</v>
      </c>
      <c r="R660" t="s">
        <v>12</v>
      </c>
      <c r="S660" t="s">
        <v>12</v>
      </c>
      <c r="T660" t="s">
        <v>12</v>
      </c>
      <c r="U660" t="s">
        <v>12</v>
      </c>
      <c r="V660" t="s">
        <v>12</v>
      </c>
      <c r="W660" t="s">
        <v>12</v>
      </c>
      <c r="X660" t="s">
        <v>12</v>
      </c>
      <c r="Y660" t="s">
        <v>12</v>
      </c>
      <c r="Z660" t="s">
        <v>12</v>
      </c>
      <c r="AA660" t="s">
        <v>12</v>
      </c>
      <c r="AB660" t="s">
        <v>12</v>
      </c>
      <c r="AC660" t="s">
        <v>12</v>
      </c>
      <c r="AD660" t="s">
        <v>12</v>
      </c>
      <c r="AE660" t="s">
        <v>12</v>
      </c>
      <c r="AF660" t="s">
        <v>12</v>
      </c>
      <c r="AG660" t="s">
        <v>12</v>
      </c>
      <c r="AH660" t="s">
        <v>12</v>
      </c>
      <c r="AI660" t="s">
        <v>12</v>
      </c>
      <c r="AJ660" t="s">
        <v>12</v>
      </c>
      <c r="AK660" t="s">
        <v>12</v>
      </c>
      <c r="AL660" t="s">
        <v>12</v>
      </c>
      <c r="AM660" t="s">
        <v>12</v>
      </c>
      <c r="AN660" t="s">
        <v>12</v>
      </c>
      <c r="AO660" t="s">
        <v>12</v>
      </c>
    </row>
    <row r="661" spans="1:41" x14ac:dyDescent="0.35">
      <c r="A661">
        <v>18886214</v>
      </c>
      <c r="B661">
        <v>202506</v>
      </c>
      <c r="C661">
        <v>20608912241</v>
      </c>
      <c r="D661" t="s">
        <v>929</v>
      </c>
      <c r="E661" t="s">
        <v>1</v>
      </c>
      <c r="F661">
        <v>10248801</v>
      </c>
      <c r="G661" t="s">
        <v>65</v>
      </c>
      <c r="H661" t="s">
        <v>159</v>
      </c>
      <c r="I661">
        <v>18740.650390625</v>
      </c>
      <c r="J661" s="1">
        <v>45351</v>
      </c>
      <c r="K661">
        <v>16</v>
      </c>
      <c r="L661" t="s">
        <v>37</v>
      </c>
      <c r="M661" t="s">
        <v>37</v>
      </c>
      <c r="N661" t="s">
        <v>47</v>
      </c>
      <c r="O661">
        <v>202402</v>
      </c>
      <c r="P661">
        <v>30238.5</v>
      </c>
      <c r="Q661" t="s">
        <v>12</v>
      </c>
      <c r="R661" t="s">
        <v>12</v>
      </c>
      <c r="S661" t="s">
        <v>12</v>
      </c>
      <c r="T661" t="s">
        <v>12</v>
      </c>
      <c r="U661" t="s">
        <v>12</v>
      </c>
      <c r="V661" t="s">
        <v>12</v>
      </c>
      <c r="W661" t="s">
        <v>12</v>
      </c>
      <c r="X661" t="s">
        <v>12</v>
      </c>
      <c r="Y661" t="s">
        <v>12</v>
      </c>
      <c r="Z661" t="s">
        <v>12</v>
      </c>
      <c r="AA661" t="s">
        <v>12</v>
      </c>
      <c r="AB661" t="s">
        <v>12</v>
      </c>
      <c r="AC661" t="s">
        <v>12</v>
      </c>
      <c r="AD661" t="s">
        <v>12</v>
      </c>
      <c r="AE661" t="s">
        <v>12</v>
      </c>
      <c r="AF661" t="s">
        <v>12</v>
      </c>
      <c r="AG661" t="s">
        <v>12</v>
      </c>
      <c r="AH661" t="s">
        <v>12</v>
      </c>
      <c r="AI661" t="s">
        <v>12</v>
      </c>
      <c r="AJ661" t="s">
        <v>12</v>
      </c>
      <c r="AK661" t="s">
        <v>12</v>
      </c>
      <c r="AL661" t="s">
        <v>12</v>
      </c>
      <c r="AM661" t="s">
        <v>12</v>
      </c>
      <c r="AN661" t="s">
        <v>12</v>
      </c>
      <c r="AO661" t="s">
        <v>12</v>
      </c>
    </row>
    <row r="662" spans="1:41" x14ac:dyDescent="0.35">
      <c r="A662">
        <v>16023866</v>
      </c>
      <c r="B662">
        <v>202505</v>
      </c>
      <c r="C662">
        <v>10473432507</v>
      </c>
      <c r="D662" t="s">
        <v>930</v>
      </c>
      <c r="E662">
        <v>47343250</v>
      </c>
      <c r="F662">
        <v>10164043</v>
      </c>
      <c r="G662" t="s">
        <v>2</v>
      </c>
      <c r="H662" t="s">
        <v>931</v>
      </c>
      <c r="I662">
        <v>61723.94921875</v>
      </c>
      <c r="J662" s="1">
        <v>45604</v>
      </c>
      <c r="K662">
        <v>17.899999999999999</v>
      </c>
      <c r="L662" t="s">
        <v>4</v>
      </c>
      <c r="M662" t="s">
        <v>4</v>
      </c>
      <c r="N662" t="s">
        <v>5</v>
      </c>
      <c r="O662">
        <v>202411</v>
      </c>
      <c r="P662">
        <v>79003.95</v>
      </c>
      <c r="Q662" t="s">
        <v>931</v>
      </c>
      <c r="R662" t="s">
        <v>932</v>
      </c>
      <c r="S662" t="s">
        <v>111</v>
      </c>
      <c r="T662" t="s">
        <v>112</v>
      </c>
      <c r="U662" t="s">
        <v>20</v>
      </c>
      <c r="V662">
        <v>2</v>
      </c>
      <c r="W662" t="s">
        <v>10</v>
      </c>
      <c r="X662" t="s">
        <v>12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12</v>
      </c>
      <c r="AG662" t="s">
        <v>12</v>
      </c>
      <c r="AH662" t="s">
        <v>12</v>
      </c>
      <c r="AI662" t="s">
        <v>12</v>
      </c>
      <c r="AJ662" t="s">
        <v>12</v>
      </c>
      <c r="AK662">
        <v>0</v>
      </c>
      <c r="AL662">
        <v>0</v>
      </c>
      <c r="AM662">
        <v>0.2858</v>
      </c>
      <c r="AN662" t="s">
        <v>12</v>
      </c>
      <c r="AO662" t="s">
        <v>12</v>
      </c>
    </row>
    <row r="663" spans="1:41" x14ac:dyDescent="0.35">
      <c r="A663">
        <v>14396620</v>
      </c>
      <c r="B663">
        <v>202511</v>
      </c>
      <c r="C663">
        <v>20505026439</v>
      </c>
      <c r="D663" t="s">
        <v>933</v>
      </c>
      <c r="E663" t="s">
        <v>1</v>
      </c>
      <c r="F663">
        <v>10272560</v>
      </c>
      <c r="G663" t="s">
        <v>14</v>
      </c>
      <c r="H663" t="s">
        <v>159</v>
      </c>
      <c r="I663">
        <v>163975.765625</v>
      </c>
      <c r="J663" s="1">
        <v>45957</v>
      </c>
      <c r="K663">
        <v>18</v>
      </c>
      <c r="L663" t="s">
        <v>37</v>
      </c>
      <c r="M663" t="s">
        <v>37</v>
      </c>
      <c r="N663" t="s">
        <v>16</v>
      </c>
      <c r="O663">
        <v>202510</v>
      </c>
      <c r="P663">
        <v>170008.5</v>
      </c>
      <c r="Q663" t="s">
        <v>12</v>
      </c>
      <c r="R663" t="s">
        <v>12</v>
      </c>
      <c r="S663" t="s">
        <v>12</v>
      </c>
      <c r="T663" t="s">
        <v>12</v>
      </c>
      <c r="U663" t="s">
        <v>12</v>
      </c>
      <c r="V663" t="s">
        <v>12</v>
      </c>
      <c r="W663" t="s">
        <v>12</v>
      </c>
      <c r="X663" t="s">
        <v>12</v>
      </c>
      <c r="Y663" t="s">
        <v>12</v>
      </c>
      <c r="Z663" t="s">
        <v>12</v>
      </c>
      <c r="AA663" t="s">
        <v>12</v>
      </c>
      <c r="AB663" t="s">
        <v>12</v>
      </c>
      <c r="AC663" t="s">
        <v>12</v>
      </c>
      <c r="AD663" t="s">
        <v>12</v>
      </c>
      <c r="AE663" t="s">
        <v>12</v>
      </c>
      <c r="AF663" t="s">
        <v>12</v>
      </c>
      <c r="AG663" t="s">
        <v>12</v>
      </c>
      <c r="AH663" t="s">
        <v>12</v>
      </c>
      <c r="AI663" t="s">
        <v>12</v>
      </c>
      <c r="AJ663" t="s">
        <v>12</v>
      </c>
      <c r="AK663" t="s">
        <v>12</v>
      </c>
      <c r="AL663" t="s">
        <v>12</v>
      </c>
      <c r="AM663" t="s">
        <v>12</v>
      </c>
      <c r="AN663" t="s">
        <v>12</v>
      </c>
      <c r="AO663" t="s">
        <v>12</v>
      </c>
    </row>
    <row r="664" spans="1:41" x14ac:dyDescent="0.35">
      <c r="A664">
        <v>16691084</v>
      </c>
      <c r="B664">
        <v>202601</v>
      </c>
      <c r="C664">
        <v>20530305059</v>
      </c>
      <c r="D664" t="s">
        <v>934</v>
      </c>
      <c r="E664" t="s">
        <v>1</v>
      </c>
      <c r="F664">
        <v>10255097</v>
      </c>
      <c r="G664" t="s">
        <v>45</v>
      </c>
      <c r="H664" t="s">
        <v>49</v>
      </c>
      <c r="I664">
        <v>3792.70581054688</v>
      </c>
      <c r="J664" s="1">
        <v>45456</v>
      </c>
      <c r="K664">
        <v>14.5</v>
      </c>
      <c r="L664" t="s">
        <v>37</v>
      </c>
      <c r="M664" t="s">
        <v>37</v>
      </c>
      <c r="N664" t="s">
        <v>47</v>
      </c>
      <c r="O664">
        <v>202406</v>
      </c>
      <c r="P664">
        <v>90004.5</v>
      </c>
      <c r="Q664" t="s">
        <v>492</v>
      </c>
      <c r="R664" t="s">
        <v>493</v>
      </c>
      <c r="S664" t="s">
        <v>49</v>
      </c>
      <c r="T664" t="s">
        <v>50</v>
      </c>
      <c r="U664" t="s">
        <v>41</v>
      </c>
      <c r="V664">
        <v>1</v>
      </c>
      <c r="W664" t="s">
        <v>21</v>
      </c>
      <c r="X664" t="s">
        <v>22</v>
      </c>
      <c r="Y664">
        <v>1</v>
      </c>
      <c r="Z664">
        <v>1</v>
      </c>
      <c r="AA664">
        <v>0</v>
      </c>
      <c r="AB664">
        <v>0</v>
      </c>
      <c r="AC664">
        <v>1</v>
      </c>
      <c r="AD664">
        <v>0</v>
      </c>
      <c r="AE664">
        <v>0</v>
      </c>
      <c r="AF664" t="s">
        <v>12</v>
      </c>
      <c r="AG664" t="s">
        <v>12</v>
      </c>
      <c r="AH664" t="s">
        <v>12</v>
      </c>
      <c r="AI664" t="s">
        <v>12</v>
      </c>
      <c r="AJ664" t="s">
        <v>12</v>
      </c>
      <c r="AK664">
        <v>85500</v>
      </c>
      <c r="AL664">
        <v>0.26169999999999999</v>
      </c>
      <c r="AM664">
        <v>0.2417</v>
      </c>
      <c r="AN664" t="s">
        <v>12</v>
      </c>
      <c r="AO664" t="s">
        <v>12</v>
      </c>
    </row>
    <row r="665" spans="1:41" x14ac:dyDescent="0.35">
      <c r="A665">
        <v>17124370</v>
      </c>
      <c r="B665">
        <v>202504</v>
      </c>
      <c r="C665">
        <v>20600071531</v>
      </c>
      <c r="D665" t="s">
        <v>703</v>
      </c>
      <c r="E665" t="s">
        <v>1</v>
      </c>
      <c r="F665">
        <v>10248007</v>
      </c>
      <c r="G665" t="s">
        <v>28</v>
      </c>
      <c r="H665" t="s">
        <v>705</v>
      </c>
      <c r="I665">
        <v>61731.47265625</v>
      </c>
      <c r="J665" s="1">
        <v>45334</v>
      </c>
      <c r="K665">
        <v>22.299999</v>
      </c>
      <c r="L665" t="s">
        <v>4</v>
      </c>
      <c r="M665" t="s">
        <v>4</v>
      </c>
      <c r="N665" t="s">
        <v>26</v>
      </c>
      <c r="O665">
        <v>202402</v>
      </c>
      <c r="P665">
        <v>120006</v>
      </c>
      <c r="Q665" t="s">
        <v>12</v>
      </c>
      <c r="R665" t="s">
        <v>12</v>
      </c>
      <c r="S665" t="s">
        <v>12</v>
      </c>
      <c r="T665" t="s">
        <v>12</v>
      </c>
      <c r="U665" t="s">
        <v>12</v>
      </c>
      <c r="V665" t="s">
        <v>12</v>
      </c>
      <c r="W665" t="s">
        <v>12</v>
      </c>
      <c r="X665" t="s">
        <v>12</v>
      </c>
      <c r="Y665" t="s">
        <v>12</v>
      </c>
      <c r="Z665" t="s">
        <v>12</v>
      </c>
      <c r="AA665" t="s">
        <v>12</v>
      </c>
      <c r="AB665" t="s">
        <v>12</v>
      </c>
      <c r="AC665" t="s">
        <v>12</v>
      </c>
      <c r="AD665" t="s">
        <v>12</v>
      </c>
      <c r="AE665" t="s">
        <v>12</v>
      </c>
      <c r="AF665" t="s">
        <v>12</v>
      </c>
      <c r="AG665" t="s">
        <v>12</v>
      </c>
      <c r="AH665" t="s">
        <v>12</v>
      </c>
      <c r="AI665" t="s">
        <v>12</v>
      </c>
      <c r="AJ665" t="s">
        <v>12</v>
      </c>
      <c r="AK665" t="s">
        <v>12</v>
      </c>
      <c r="AL665" t="s">
        <v>12</v>
      </c>
      <c r="AM665" t="s">
        <v>12</v>
      </c>
      <c r="AN665" t="s">
        <v>12</v>
      </c>
      <c r="AO665" t="s">
        <v>12</v>
      </c>
    </row>
    <row r="666" spans="1:41" x14ac:dyDescent="0.35">
      <c r="A666">
        <v>15270321</v>
      </c>
      <c r="B666">
        <v>202502</v>
      </c>
      <c r="C666">
        <v>10440032040</v>
      </c>
      <c r="D666" t="s">
        <v>935</v>
      </c>
      <c r="E666">
        <v>44003204</v>
      </c>
      <c r="F666">
        <v>10244294</v>
      </c>
      <c r="G666" t="s">
        <v>92</v>
      </c>
      <c r="H666" t="s">
        <v>57</v>
      </c>
      <c r="I666">
        <v>12845.5263671875</v>
      </c>
      <c r="J666" s="1">
        <v>45195</v>
      </c>
      <c r="K666">
        <v>22.95</v>
      </c>
      <c r="L666" t="s">
        <v>4</v>
      </c>
      <c r="M666" t="s">
        <v>4</v>
      </c>
      <c r="N666" t="s">
        <v>41</v>
      </c>
      <c r="O666">
        <v>202309</v>
      </c>
      <c r="P666">
        <v>100005</v>
      </c>
      <c r="Q666" t="s">
        <v>57</v>
      </c>
      <c r="R666" t="s">
        <v>58</v>
      </c>
      <c r="S666" t="s">
        <v>39</v>
      </c>
      <c r="T666" t="s">
        <v>40</v>
      </c>
      <c r="U666" t="s">
        <v>41</v>
      </c>
      <c r="V666">
        <v>1</v>
      </c>
      <c r="W666" t="s">
        <v>90</v>
      </c>
      <c r="X666" t="s">
        <v>12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12</v>
      </c>
      <c r="AG666" t="s">
        <v>12</v>
      </c>
      <c r="AH666" t="s">
        <v>12</v>
      </c>
      <c r="AI666" t="s">
        <v>12</v>
      </c>
      <c r="AJ666" t="s">
        <v>12</v>
      </c>
      <c r="AK666">
        <v>100000</v>
      </c>
      <c r="AL666">
        <v>0.23</v>
      </c>
      <c r="AM666">
        <v>0.21179999999999999</v>
      </c>
      <c r="AN666" t="s">
        <v>12</v>
      </c>
      <c r="AO666" t="s">
        <v>12</v>
      </c>
    </row>
    <row r="667" spans="1:41" x14ac:dyDescent="0.35">
      <c r="A667">
        <v>21704817</v>
      </c>
      <c r="B667">
        <v>202510</v>
      </c>
      <c r="C667">
        <v>20603753365</v>
      </c>
      <c r="D667" t="s">
        <v>936</v>
      </c>
      <c r="E667" t="s">
        <v>1</v>
      </c>
      <c r="F667">
        <v>10268901</v>
      </c>
      <c r="G667" t="s">
        <v>73</v>
      </c>
      <c r="H667" t="s">
        <v>273</v>
      </c>
      <c r="I667">
        <v>128301.5390625</v>
      </c>
      <c r="J667" s="1">
        <v>45828</v>
      </c>
      <c r="K667">
        <v>17.5</v>
      </c>
      <c r="L667" t="s">
        <v>4</v>
      </c>
      <c r="M667" t="s">
        <v>75</v>
      </c>
      <c r="N667" t="s">
        <v>20</v>
      </c>
      <c r="O667">
        <v>202506</v>
      </c>
      <c r="P667">
        <v>150007.5</v>
      </c>
      <c r="Q667" t="s">
        <v>273</v>
      </c>
      <c r="R667" t="s">
        <v>274</v>
      </c>
      <c r="S667" t="s">
        <v>39</v>
      </c>
      <c r="T667" t="s">
        <v>40</v>
      </c>
      <c r="U667" t="s">
        <v>20</v>
      </c>
      <c r="V667">
        <v>1</v>
      </c>
      <c r="W667" t="s">
        <v>10</v>
      </c>
      <c r="X667" t="s">
        <v>12</v>
      </c>
      <c r="Y667">
        <v>1</v>
      </c>
      <c r="Z667">
        <v>1</v>
      </c>
      <c r="AA667">
        <v>0</v>
      </c>
      <c r="AB667">
        <v>0</v>
      </c>
      <c r="AC667">
        <v>1</v>
      </c>
      <c r="AD667">
        <v>1</v>
      </c>
      <c r="AE667">
        <v>0</v>
      </c>
      <c r="AF667" t="s">
        <v>12</v>
      </c>
      <c r="AG667" t="s">
        <v>12</v>
      </c>
      <c r="AH667" t="s">
        <v>12</v>
      </c>
      <c r="AI667" t="s">
        <v>12</v>
      </c>
      <c r="AJ667" t="s">
        <v>12</v>
      </c>
      <c r="AK667">
        <v>1</v>
      </c>
      <c r="AL667">
        <v>1</v>
      </c>
      <c r="AM667" t="s">
        <v>12</v>
      </c>
      <c r="AN667" t="s">
        <v>12</v>
      </c>
      <c r="AO667" t="s">
        <v>12</v>
      </c>
    </row>
    <row r="668" spans="1:41" x14ac:dyDescent="0.35">
      <c r="A668">
        <v>11869528</v>
      </c>
      <c r="B668">
        <v>202508</v>
      </c>
      <c r="C668">
        <v>20297675649</v>
      </c>
      <c r="D668" t="s">
        <v>937</v>
      </c>
      <c r="E668" t="s">
        <v>1</v>
      </c>
      <c r="F668">
        <v>10257444</v>
      </c>
      <c r="G668" t="s">
        <v>53</v>
      </c>
      <c r="H668" t="s">
        <v>458</v>
      </c>
      <c r="I668">
        <v>183962.53125</v>
      </c>
      <c r="J668" s="1">
        <v>45491</v>
      </c>
      <c r="K668">
        <v>14.49</v>
      </c>
      <c r="L668" t="s">
        <v>4</v>
      </c>
      <c r="M668" t="s">
        <v>4</v>
      </c>
      <c r="N668" t="s">
        <v>47</v>
      </c>
      <c r="O668">
        <v>202407</v>
      </c>
      <c r="P668">
        <v>250012.5</v>
      </c>
      <c r="Q668" t="s">
        <v>458</v>
      </c>
      <c r="R668" t="s">
        <v>459</v>
      </c>
      <c r="S668" t="s">
        <v>31</v>
      </c>
      <c r="T668" t="s">
        <v>32</v>
      </c>
      <c r="U668" t="s">
        <v>20</v>
      </c>
      <c r="V668">
        <v>1</v>
      </c>
      <c r="W668" t="s">
        <v>10</v>
      </c>
      <c r="X668" t="s">
        <v>12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 t="s">
        <v>12</v>
      </c>
      <c r="AG668" t="s">
        <v>12</v>
      </c>
      <c r="AH668" t="s">
        <v>12</v>
      </c>
      <c r="AI668" t="s">
        <v>12</v>
      </c>
      <c r="AJ668" t="s">
        <v>12</v>
      </c>
      <c r="AK668">
        <v>1</v>
      </c>
      <c r="AL668">
        <v>0.1613</v>
      </c>
      <c r="AM668">
        <v>0</v>
      </c>
      <c r="AN668" t="s">
        <v>12</v>
      </c>
      <c r="AO668" t="s">
        <v>12</v>
      </c>
    </row>
    <row r="669" spans="1:41" x14ac:dyDescent="0.35">
      <c r="A669">
        <v>17048837</v>
      </c>
      <c r="B669">
        <v>202502</v>
      </c>
      <c r="C669">
        <v>20393029774</v>
      </c>
      <c r="D669" t="s">
        <v>938</v>
      </c>
      <c r="E669" t="s">
        <v>1</v>
      </c>
      <c r="F669">
        <v>10259889</v>
      </c>
      <c r="G669" t="s">
        <v>65</v>
      </c>
      <c r="H669" t="s">
        <v>230</v>
      </c>
      <c r="I669">
        <v>90004.5</v>
      </c>
      <c r="J669" s="1">
        <v>45533</v>
      </c>
      <c r="K669">
        <v>15.7</v>
      </c>
      <c r="L669" t="s">
        <v>4</v>
      </c>
      <c r="M669" t="s">
        <v>4</v>
      </c>
      <c r="N669" t="s">
        <v>47</v>
      </c>
      <c r="O669">
        <v>202408</v>
      </c>
      <c r="P669">
        <v>90004.5</v>
      </c>
      <c r="Q669" t="s">
        <v>12</v>
      </c>
      <c r="R669" t="s">
        <v>12</v>
      </c>
      <c r="S669" t="s">
        <v>12</v>
      </c>
      <c r="T669" t="s">
        <v>12</v>
      </c>
      <c r="U669" t="s">
        <v>12</v>
      </c>
      <c r="V669" t="s">
        <v>12</v>
      </c>
      <c r="W669" t="s">
        <v>12</v>
      </c>
      <c r="X669" t="s">
        <v>12</v>
      </c>
      <c r="Y669" t="s">
        <v>12</v>
      </c>
      <c r="Z669" t="s">
        <v>12</v>
      </c>
      <c r="AA669" t="s">
        <v>12</v>
      </c>
      <c r="AB669" t="s">
        <v>12</v>
      </c>
      <c r="AC669" t="s">
        <v>12</v>
      </c>
      <c r="AD669" t="s">
        <v>12</v>
      </c>
      <c r="AE669" t="s">
        <v>12</v>
      </c>
      <c r="AF669" t="s">
        <v>12</v>
      </c>
      <c r="AG669" t="s">
        <v>12</v>
      </c>
      <c r="AH669" t="s">
        <v>12</v>
      </c>
      <c r="AI669" t="s">
        <v>12</v>
      </c>
      <c r="AJ669" t="s">
        <v>12</v>
      </c>
      <c r="AK669" t="s">
        <v>12</v>
      </c>
      <c r="AL669" t="s">
        <v>12</v>
      </c>
      <c r="AM669" t="s">
        <v>12</v>
      </c>
      <c r="AN669" t="s">
        <v>12</v>
      </c>
      <c r="AO669" t="s">
        <v>12</v>
      </c>
    </row>
    <row r="670" spans="1:41" x14ac:dyDescent="0.35">
      <c r="A670">
        <v>18857889</v>
      </c>
      <c r="B670">
        <v>202511</v>
      </c>
      <c r="C670">
        <v>10778219609</v>
      </c>
      <c r="D670" t="s">
        <v>939</v>
      </c>
      <c r="E670">
        <v>77821960</v>
      </c>
      <c r="F670">
        <v>10270421</v>
      </c>
      <c r="G670" t="s">
        <v>14</v>
      </c>
      <c r="H670" t="s">
        <v>422</v>
      </c>
      <c r="I670">
        <v>49429.60546875</v>
      </c>
      <c r="J670" s="1">
        <v>45884</v>
      </c>
      <c r="K670">
        <v>20.700001</v>
      </c>
      <c r="L670" t="s">
        <v>37</v>
      </c>
      <c r="M670" t="s">
        <v>37</v>
      </c>
      <c r="N670" t="s">
        <v>16</v>
      </c>
      <c r="O670">
        <v>202508</v>
      </c>
      <c r="P670">
        <v>60003</v>
      </c>
      <c r="Q670" t="s">
        <v>422</v>
      </c>
      <c r="R670" t="s">
        <v>424</v>
      </c>
      <c r="S670" t="s">
        <v>88</v>
      </c>
      <c r="T670" t="s">
        <v>89</v>
      </c>
      <c r="U670" t="s">
        <v>20</v>
      </c>
      <c r="V670">
        <v>2</v>
      </c>
      <c r="W670" t="s">
        <v>10</v>
      </c>
      <c r="X670" t="s">
        <v>59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12</v>
      </c>
      <c r="AG670" t="s">
        <v>12</v>
      </c>
      <c r="AH670" t="s">
        <v>12</v>
      </c>
      <c r="AI670" t="s">
        <v>12</v>
      </c>
      <c r="AJ670" t="s">
        <v>12</v>
      </c>
      <c r="AK670">
        <v>1</v>
      </c>
      <c r="AL670">
        <v>1</v>
      </c>
      <c r="AM670" t="s">
        <v>12</v>
      </c>
      <c r="AN670" t="s">
        <v>12</v>
      </c>
      <c r="AO670" t="s">
        <v>12</v>
      </c>
    </row>
    <row r="671" spans="1:41" x14ac:dyDescent="0.35">
      <c r="A671">
        <v>17120512</v>
      </c>
      <c r="B671">
        <v>202507</v>
      </c>
      <c r="C671">
        <v>20549219269</v>
      </c>
      <c r="D671" t="s">
        <v>794</v>
      </c>
      <c r="E671" t="s">
        <v>1</v>
      </c>
      <c r="F671">
        <v>10267484</v>
      </c>
      <c r="G671" t="s">
        <v>2</v>
      </c>
      <c r="H671" t="s">
        <v>294</v>
      </c>
      <c r="I671">
        <v>185572.640625</v>
      </c>
      <c r="J671" s="1">
        <v>45929</v>
      </c>
      <c r="K671">
        <v>15</v>
      </c>
      <c r="L671" t="s">
        <v>4</v>
      </c>
      <c r="M671" t="s">
        <v>4</v>
      </c>
      <c r="N671" t="s">
        <v>5</v>
      </c>
      <c r="O671">
        <v>202509</v>
      </c>
      <c r="P671">
        <v>123006.15</v>
      </c>
      <c r="Q671" t="s">
        <v>294</v>
      </c>
      <c r="R671" t="s">
        <v>295</v>
      </c>
      <c r="S671" t="s">
        <v>7</v>
      </c>
      <c r="T671" t="s">
        <v>8</v>
      </c>
      <c r="U671" t="s">
        <v>20</v>
      </c>
      <c r="V671">
        <v>1</v>
      </c>
      <c r="W671" t="s">
        <v>10</v>
      </c>
      <c r="X671" t="s">
        <v>12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12</v>
      </c>
      <c r="AG671" t="s">
        <v>12</v>
      </c>
      <c r="AH671" t="s">
        <v>12</v>
      </c>
      <c r="AI671" t="s">
        <v>12</v>
      </c>
      <c r="AJ671" t="s">
        <v>12</v>
      </c>
      <c r="AK671">
        <v>1</v>
      </c>
      <c r="AL671">
        <v>0.18779999999999999</v>
      </c>
      <c r="AM671" t="s">
        <v>12</v>
      </c>
      <c r="AN671" t="s">
        <v>12</v>
      </c>
      <c r="AO671" t="s">
        <v>12</v>
      </c>
    </row>
    <row r="672" spans="1:41" x14ac:dyDescent="0.35">
      <c r="A672">
        <v>20977782</v>
      </c>
      <c r="B672">
        <v>202510</v>
      </c>
      <c r="C672">
        <v>20605999311</v>
      </c>
      <c r="D672" t="s">
        <v>940</v>
      </c>
      <c r="E672" t="s">
        <v>1</v>
      </c>
      <c r="F672">
        <v>10266412</v>
      </c>
      <c r="G672" t="s">
        <v>28</v>
      </c>
      <c r="H672" t="s">
        <v>385</v>
      </c>
      <c r="I672">
        <v>118523.71875</v>
      </c>
      <c r="J672" s="1">
        <v>45737</v>
      </c>
      <c r="K672">
        <v>17</v>
      </c>
      <c r="L672" t="s">
        <v>4</v>
      </c>
      <c r="M672" t="s">
        <v>4</v>
      </c>
      <c r="N672" t="s">
        <v>26</v>
      </c>
      <c r="O672">
        <v>202503</v>
      </c>
      <c r="P672">
        <v>160008</v>
      </c>
      <c r="Q672" t="s">
        <v>385</v>
      </c>
      <c r="R672" t="s">
        <v>386</v>
      </c>
      <c r="S672" t="s">
        <v>31</v>
      </c>
      <c r="T672" t="s">
        <v>32</v>
      </c>
      <c r="U672" t="s">
        <v>41</v>
      </c>
      <c r="V672">
        <v>1</v>
      </c>
      <c r="W672" t="s">
        <v>10</v>
      </c>
      <c r="X672" t="s">
        <v>12</v>
      </c>
      <c r="Y672">
        <v>1</v>
      </c>
      <c r="Z672">
        <v>1</v>
      </c>
      <c r="AA672">
        <v>0</v>
      </c>
      <c r="AB672">
        <v>0</v>
      </c>
      <c r="AC672">
        <v>1</v>
      </c>
      <c r="AD672">
        <v>1</v>
      </c>
      <c r="AE672">
        <v>0</v>
      </c>
      <c r="AF672" t="s">
        <v>12</v>
      </c>
      <c r="AG672" t="s">
        <v>12</v>
      </c>
      <c r="AH672" t="s">
        <v>12</v>
      </c>
      <c r="AI672" t="s">
        <v>12</v>
      </c>
      <c r="AJ672" t="s">
        <v>12</v>
      </c>
      <c r="AK672">
        <v>200000</v>
      </c>
      <c r="AL672">
        <v>0.21</v>
      </c>
      <c r="AM672">
        <v>0.19</v>
      </c>
      <c r="AN672" t="s">
        <v>12</v>
      </c>
      <c r="AO672" t="s">
        <v>12</v>
      </c>
    </row>
    <row r="673" spans="1:41" x14ac:dyDescent="0.35">
      <c r="A673">
        <v>14939695</v>
      </c>
      <c r="B673">
        <v>202512</v>
      </c>
      <c r="C673">
        <v>10456842581</v>
      </c>
      <c r="D673" t="s">
        <v>941</v>
      </c>
      <c r="E673">
        <v>45684258</v>
      </c>
      <c r="F673">
        <v>10266345</v>
      </c>
      <c r="G673" t="s">
        <v>24</v>
      </c>
      <c r="H673" t="s">
        <v>101</v>
      </c>
      <c r="I673">
        <v>32005.40234375</v>
      </c>
      <c r="J673" s="1">
        <v>45735</v>
      </c>
      <c r="K673">
        <v>18.5</v>
      </c>
      <c r="L673" t="s">
        <v>37</v>
      </c>
      <c r="M673" t="s">
        <v>37</v>
      </c>
      <c r="N673" t="s">
        <v>98</v>
      </c>
      <c r="O673">
        <v>202503</v>
      </c>
      <c r="P673">
        <v>60003</v>
      </c>
      <c r="Q673" t="s">
        <v>101</v>
      </c>
      <c r="R673" t="s">
        <v>103</v>
      </c>
      <c r="S673" t="s">
        <v>88</v>
      </c>
      <c r="T673" t="s">
        <v>89</v>
      </c>
      <c r="U673" t="s">
        <v>41</v>
      </c>
      <c r="V673">
        <v>2</v>
      </c>
      <c r="W673" t="s">
        <v>10</v>
      </c>
      <c r="X673" t="s">
        <v>59</v>
      </c>
      <c r="Y673">
        <v>1</v>
      </c>
      <c r="Z673">
        <v>1</v>
      </c>
      <c r="AA673">
        <v>0</v>
      </c>
      <c r="AB673">
        <v>0</v>
      </c>
      <c r="AC673">
        <v>1</v>
      </c>
      <c r="AD673">
        <v>1</v>
      </c>
      <c r="AE673">
        <v>0</v>
      </c>
      <c r="AF673" t="s">
        <v>12</v>
      </c>
      <c r="AG673" t="s">
        <v>12</v>
      </c>
      <c r="AH673" t="s">
        <v>12</v>
      </c>
      <c r="AI673" t="s">
        <v>12</v>
      </c>
      <c r="AJ673" t="s">
        <v>12</v>
      </c>
      <c r="AK673">
        <v>50000</v>
      </c>
      <c r="AL673">
        <v>0.21920000000000001</v>
      </c>
      <c r="AM673">
        <v>0.19919999999999999</v>
      </c>
      <c r="AN673" t="s">
        <v>12</v>
      </c>
      <c r="AO673" t="s">
        <v>12</v>
      </c>
    </row>
    <row r="674" spans="1:41" x14ac:dyDescent="0.35">
      <c r="A674">
        <v>9883209</v>
      </c>
      <c r="B674">
        <v>202512</v>
      </c>
      <c r="C674">
        <v>10100770071</v>
      </c>
      <c r="D674" t="s">
        <v>942</v>
      </c>
      <c r="E674">
        <v>10077007</v>
      </c>
      <c r="F674">
        <v>10264902</v>
      </c>
      <c r="G674" t="s">
        <v>24</v>
      </c>
      <c r="H674" t="s">
        <v>249</v>
      </c>
      <c r="I674">
        <v>20203.154296875</v>
      </c>
      <c r="J674" s="1">
        <v>45686</v>
      </c>
      <c r="K674">
        <v>19.200001</v>
      </c>
      <c r="L674" t="s">
        <v>37</v>
      </c>
      <c r="M674" t="s">
        <v>37</v>
      </c>
      <c r="N674" t="s">
        <v>98</v>
      </c>
      <c r="O674">
        <v>202501</v>
      </c>
      <c r="P674">
        <v>42002.1</v>
      </c>
      <c r="Q674" t="s">
        <v>249</v>
      </c>
      <c r="R674" t="s">
        <v>383</v>
      </c>
      <c r="S674" t="s">
        <v>111</v>
      </c>
      <c r="T674" t="s">
        <v>112</v>
      </c>
      <c r="U674" t="s">
        <v>41</v>
      </c>
      <c r="V674">
        <v>2</v>
      </c>
      <c r="W674" t="s">
        <v>10</v>
      </c>
      <c r="X674" t="s">
        <v>59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12</v>
      </c>
      <c r="AG674" t="s">
        <v>12</v>
      </c>
      <c r="AH674" t="s">
        <v>12</v>
      </c>
      <c r="AI674" t="s">
        <v>12</v>
      </c>
      <c r="AJ674" t="s">
        <v>12</v>
      </c>
      <c r="AK674">
        <v>200000</v>
      </c>
      <c r="AL674">
        <v>0.2412</v>
      </c>
      <c r="AM674">
        <v>0.22120000000000001</v>
      </c>
      <c r="AN674" t="s">
        <v>12</v>
      </c>
      <c r="AO674" t="s">
        <v>12</v>
      </c>
    </row>
    <row r="675" spans="1:41" x14ac:dyDescent="0.35">
      <c r="A675">
        <v>17920851</v>
      </c>
      <c r="B675">
        <v>202505</v>
      </c>
      <c r="C675">
        <v>20603696990</v>
      </c>
      <c r="D675" t="s">
        <v>943</v>
      </c>
      <c r="E675" t="s">
        <v>1</v>
      </c>
      <c r="F675">
        <v>10243214</v>
      </c>
      <c r="G675" t="s">
        <v>92</v>
      </c>
      <c r="H675" t="s">
        <v>472</v>
      </c>
      <c r="I675">
        <v>127543.1015625</v>
      </c>
      <c r="J675" s="1">
        <v>45169</v>
      </c>
      <c r="K675">
        <v>19</v>
      </c>
      <c r="L675" t="s">
        <v>4</v>
      </c>
      <c r="M675" t="s">
        <v>4</v>
      </c>
      <c r="N675" t="s">
        <v>41</v>
      </c>
      <c r="O675">
        <v>202308</v>
      </c>
      <c r="P675">
        <v>250012.5</v>
      </c>
      <c r="Q675" t="s">
        <v>472</v>
      </c>
      <c r="R675" t="s">
        <v>615</v>
      </c>
      <c r="S675" t="s">
        <v>127</v>
      </c>
      <c r="T675" t="s">
        <v>147</v>
      </c>
      <c r="U675" t="s">
        <v>70</v>
      </c>
      <c r="V675">
        <v>1</v>
      </c>
      <c r="W675" t="s">
        <v>10</v>
      </c>
      <c r="X675" t="s">
        <v>12</v>
      </c>
      <c r="Y675">
        <v>1</v>
      </c>
      <c r="Z675">
        <v>1</v>
      </c>
      <c r="AA675">
        <v>0</v>
      </c>
      <c r="AB675">
        <v>0</v>
      </c>
      <c r="AC675">
        <v>1</v>
      </c>
      <c r="AD675">
        <v>0</v>
      </c>
      <c r="AE675">
        <v>0</v>
      </c>
      <c r="AF675" t="s">
        <v>12</v>
      </c>
      <c r="AG675" t="s">
        <v>12</v>
      </c>
      <c r="AH675" t="s">
        <v>12</v>
      </c>
      <c r="AI675" t="s">
        <v>12</v>
      </c>
      <c r="AJ675" t="s">
        <v>12</v>
      </c>
      <c r="AK675">
        <v>300000</v>
      </c>
      <c r="AL675">
        <v>0.22</v>
      </c>
      <c r="AM675">
        <v>0.20280000000000001</v>
      </c>
      <c r="AN675" t="s">
        <v>12</v>
      </c>
      <c r="AO675" t="s">
        <v>12</v>
      </c>
    </row>
    <row r="676" spans="1:41" x14ac:dyDescent="0.35">
      <c r="A676">
        <v>17199953</v>
      </c>
      <c r="B676">
        <v>202509</v>
      </c>
      <c r="C676">
        <v>20601909163</v>
      </c>
      <c r="D676" t="s">
        <v>944</v>
      </c>
      <c r="E676" t="s">
        <v>1</v>
      </c>
      <c r="F676">
        <v>10269785</v>
      </c>
      <c r="G676" t="s">
        <v>100</v>
      </c>
      <c r="H676" t="s">
        <v>412</v>
      </c>
      <c r="I676">
        <v>240418.734375</v>
      </c>
      <c r="J676" s="1">
        <v>45859</v>
      </c>
      <c r="K676">
        <v>13</v>
      </c>
      <c r="L676" t="s">
        <v>86</v>
      </c>
      <c r="M676" t="s">
        <v>86</v>
      </c>
      <c r="N676" t="s">
        <v>102</v>
      </c>
      <c r="O676">
        <v>202507</v>
      </c>
      <c r="P676">
        <v>267758.84000000003</v>
      </c>
      <c r="Q676" t="s">
        <v>412</v>
      </c>
      <c r="R676" t="s">
        <v>413</v>
      </c>
      <c r="S676" t="s">
        <v>88</v>
      </c>
      <c r="T676" t="s">
        <v>89</v>
      </c>
      <c r="U676" t="s">
        <v>20</v>
      </c>
      <c r="V676">
        <v>2</v>
      </c>
      <c r="W676" t="s">
        <v>10</v>
      </c>
      <c r="X676" t="s">
        <v>51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 t="s">
        <v>12</v>
      </c>
      <c r="AG676" t="s">
        <v>12</v>
      </c>
      <c r="AH676" t="s">
        <v>12</v>
      </c>
      <c r="AI676" t="s">
        <v>12</v>
      </c>
      <c r="AJ676" t="s">
        <v>12</v>
      </c>
      <c r="AK676">
        <v>1</v>
      </c>
      <c r="AL676">
        <v>1</v>
      </c>
      <c r="AM676" t="s">
        <v>12</v>
      </c>
      <c r="AN676" t="s">
        <v>12</v>
      </c>
      <c r="AO676" t="s">
        <v>12</v>
      </c>
    </row>
    <row r="677" spans="1:41" x14ac:dyDescent="0.35">
      <c r="A677">
        <v>2027274</v>
      </c>
      <c r="B677">
        <v>202512</v>
      </c>
      <c r="C677">
        <v>10052306405</v>
      </c>
      <c r="D677" t="s">
        <v>945</v>
      </c>
      <c r="E677">
        <v>5230640</v>
      </c>
      <c r="F677">
        <v>10267114</v>
      </c>
      <c r="G677" t="s">
        <v>100</v>
      </c>
      <c r="H677" t="s">
        <v>329</v>
      </c>
      <c r="I677">
        <v>94716.4765625</v>
      </c>
      <c r="J677" s="1">
        <v>45763</v>
      </c>
      <c r="K677">
        <v>15</v>
      </c>
      <c r="L677" t="s">
        <v>37</v>
      </c>
      <c r="M677" t="s">
        <v>37</v>
      </c>
      <c r="N677" t="s">
        <v>102</v>
      </c>
      <c r="O677">
        <v>202504</v>
      </c>
      <c r="P677">
        <v>135488.25</v>
      </c>
      <c r="Q677" t="s">
        <v>329</v>
      </c>
      <c r="R677" t="s">
        <v>330</v>
      </c>
      <c r="S677" t="s">
        <v>111</v>
      </c>
      <c r="T677" t="s">
        <v>112</v>
      </c>
      <c r="U677" t="s">
        <v>41</v>
      </c>
      <c r="V677">
        <v>2</v>
      </c>
      <c r="W677" t="s">
        <v>90</v>
      </c>
      <c r="X677" t="s">
        <v>59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12</v>
      </c>
      <c r="AG677" t="s">
        <v>12</v>
      </c>
      <c r="AH677" t="s">
        <v>12</v>
      </c>
      <c r="AI677" t="s">
        <v>12</v>
      </c>
      <c r="AJ677" t="s">
        <v>12</v>
      </c>
      <c r="AK677">
        <v>300000</v>
      </c>
      <c r="AL677">
        <v>0.21</v>
      </c>
      <c r="AM677">
        <v>0.19</v>
      </c>
      <c r="AN677" t="s">
        <v>12</v>
      </c>
      <c r="AO677" t="s">
        <v>12</v>
      </c>
    </row>
    <row r="678" spans="1:41" x14ac:dyDescent="0.35">
      <c r="A678">
        <v>12984682</v>
      </c>
      <c r="B678">
        <v>202512</v>
      </c>
      <c r="C678">
        <v>10463036450</v>
      </c>
      <c r="D678" t="s">
        <v>946</v>
      </c>
      <c r="E678">
        <v>46303645</v>
      </c>
      <c r="F678">
        <v>10254743</v>
      </c>
      <c r="G678" t="s">
        <v>45</v>
      </c>
      <c r="H678" t="s">
        <v>947</v>
      </c>
      <c r="I678">
        <v>33180.265625</v>
      </c>
      <c r="J678" s="1">
        <v>45448</v>
      </c>
      <c r="K678">
        <v>14.9</v>
      </c>
      <c r="L678" t="s">
        <v>37</v>
      </c>
      <c r="M678" t="s">
        <v>37</v>
      </c>
      <c r="N678" t="s">
        <v>47</v>
      </c>
      <c r="O678">
        <v>202406</v>
      </c>
      <c r="P678">
        <v>62003.1</v>
      </c>
      <c r="Q678" t="s">
        <v>12</v>
      </c>
      <c r="R678" t="s">
        <v>12</v>
      </c>
      <c r="S678" t="s">
        <v>12</v>
      </c>
      <c r="T678" t="s">
        <v>12</v>
      </c>
      <c r="U678" t="s">
        <v>12</v>
      </c>
      <c r="V678" t="s">
        <v>12</v>
      </c>
      <c r="W678" t="s">
        <v>12</v>
      </c>
      <c r="X678" t="s">
        <v>12</v>
      </c>
      <c r="Y678" t="s">
        <v>12</v>
      </c>
      <c r="Z678" t="s">
        <v>12</v>
      </c>
      <c r="AA678" t="s">
        <v>12</v>
      </c>
      <c r="AB678" t="s">
        <v>12</v>
      </c>
      <c r="AC678" t="s">
        <v>12</v>
      </c>
      <c r="AD678" t="s">
        <v>12</v>
      </c>
      <c r="AE678" t="s">
        <v>12</v>
      </c>
      <c r="AF678" t="s">
        <v>12</v>
      </c>
      <c r="AG678" t="s">
        <v>12</v>
      </c>
      <c r="AH678" t="s">
        <v>12</v>
      </c>
      <c r="AI678" t="s">
        <v>12</v>
      </c>
      <c r="AJ678" t="s">
        <v>12</v>
      </c>
      <c r="AK678" t="s">
        <v>12</v>
      </c>
      <c r="AL678" t="s">
        <v>12</v>
      </c>
      <c r="AM678" t="s">
        <v>12</v>
      </c>
      <c r="AN678" t="s">
        <v>12</v>
      </c>
      <c r="AO678" t="s">
        <v>12</v>
      </c>
    </row>
    <row r="679" spans="1:41" x14ac:dyDescent="0.35">
      <c r="A679">
        <v>16255498</v>
      </c>
      <c r="B679">
        <v>202509</v>
      </c>
      <c r="C679">
        <v>20605078134</v>
      </c>
      <c r="D679" t="s">
        <v>948</v>
      </c>
      <c r="E679" t="s">
        <v>1</v>
      </c>
      <c r="F679">
        <v>10267854</v>
      </c>
      <c r="G679" t="s">
        <v>92</v>
      </c>
      <c r="H679" t="s">
        <v>260</v>
      </c>
      <c r="I679">
        <v>80123.1328125</v>
      </c>
      <c r="J679" s="1">
        <v>45793</v>
      </c>
      <c r="K679">
        <v>20</v>
      </c>
      <c r="L679" t="s">
        <v>4</v>
      </c>
      <c r="M679" t="s">
        <v>4</v>
      </c>
      <c r="N679" t="s">
        <v>41</v>
      </c>
      <c r="O679">
        <v>202505</v>
      </c>
      <c r="P679">
        <v>100005</v>
      </c>
      <c r="Q679" t="s">
        <v>260</v>
      </c>
      <c r="R679" t="s">
        <v>261</v>
      </c>
      <c r="S679" t="s">
        <v>18</v>
      </c>
      <c r="T679" t="s">
        <v>122</v>
      </c>
      <c r="U679" t="s">
        <v>41</v>
      </c>
      <c r="V679">
        <v>1</v>
      </c>
      <c r="W679" t="s">
        <v>10</v>
      </c>
      <c r="X679" t="s">
        <v>11</v>
      </c>
      <c r="Y679">
        <v>1</v>
      </c>
      <c r="Z679">
        <v>1</v>
      </c>
      <c r="AA679">
        <v>0</v>
      </c>
      <c r="AB679">
        <v>0</v>
      </c>
      <c r="AC679">
        <v>1</v>
      </c>
      <c r="AD679">
        <v>1</v>
      </c>
      <c r="AE679">
        <v>0</v>
      </c>
      <c r="AF679" t="s">
        <v>12</v>
      </c>
      <c r="AG679" t="s">
        <v>12</v>
      </c>
      <c r="AH679" t="s">
        <v>12</v>
      </c>
      <c r="AI679" t="s">
        <v>12</v>
      </c>
      <c r="AJ679" t="s">
        <v>12</v>
      </c>
      <c r="AK679">
        <v>171000</v>
      </c>
      <c r="AL679">
        <v>0.21</v>
      </c>
      <c r="AM679">
        <v>0.19</v>
      </c>
      <c r="AN679" t="s">
        <v>12</v>
      </c>
      <c r="AO679" t="s">
        <v>12</v>
      </c>
    </row>
    <row r="680" spans="1:41" x14ac:dyDescent="0.35">
      <c r="A680">
        <v>16367101</v>
      </c>
      <c r="B680">
        <v>202510</v>
      </c>
      <c r="C680">
        <v>20601669413</v>
      </c>
      <c r="D680" t="s">
        <v>565</v>
      </c>
      <c r="E680" t="s">
        <v>1</v>
      </c>
      <c r="F680">
        <v>10266181</v>
      </c>
      <c r="G680" t="s">
        <v>209</v>
      </c>
      <c r="H680" t="s">
        <v>82</v>
      </c>
      <c r="I680">
        <v>87517.6640625</v>
      </c>
      <c r="J680" s="1">
        <v>45730</v>
      </c>
      <c r="K680">
        <v>16.5</v>
      </c>
      <c r="L680" t="s">
        <v>4</v>
      </c>
      <c r="M680" t="s">
        <v>4</v>
      </c>
      <c r="N680" t="s">
        <v>41</v>
      </c>
      <c r="O680">
        <v>202503</v>
      </c>
      <c r="P680">
        <v>200010</v>
      </c>
      <c r="Q680" t="s">
        <v>82</v>
      </c>
      <c r="R680" t="s">
        <v>83</v>
      </c>
      <c r="S680" t="s">
        <v>49</v>
      </c>
      <c r="T680" t="s">
        <v>50</v>
      </c>
      <c r="U680" t="s">
        <v>20</v>
      </c>
      <c r="V680">
        <v>1</v>
      </c>
      <c r="W680" t="s">
        <v>10</v>
      </c>
      <c r="X680" t="s">
        <v>12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12</v>
      </c>
      <c r="AG680" t="s">
        <v>12</v>
      </c>
      <c r="AH680" t="s">
        <v>12</v>
      </c>
      <c r="AI680" t="s">
        <v>12</v>
      </c>
      <c r="AJ680" t="s">
        <v>12</v>
      </c>
      <c r="AK680">
        <v>1</v>
      </c>
      <c r="AL680">
        <v>1</v>
      </c>
      <c r="AM680" t="s">
        <v>12</v>
      </c>
      <c r="AN680" t="s">
        <v>12</v>
      </c>
      <c r="AO680" t="s">
        <v>12</v>
      </c>
    </row>
    <row r="681" spans="1:41" x14ac:dyDescent="0.35">
      <c r="A681">
        <v>14640878</v>
      </c>
      <c r="B681">
        <v>202602</v>
      </c>
      <c r="C681">
        <v>10075185711</v>
      </c>
      <c r="D681" t="s">
        <v>949</v>
      </c>
      <c r="E681">
        <v>7518571</v>
      </c>
      <c r="F681">
        <v>10145385</v>
      </c>
      <c r="G681" t="s">
        <v>2</v>
      </c>
      <c r="H681" t="s">
        <v>54</v>
      </c>
      <c r="I681">
        <v>11105.85546875</v>
      </c>
      <c r="J681" s="1">
        <v>46148</v>
      </c>
      <c r="K681">
        <v>18</v>
      </c>
      <c r="L681" t="s">
        <v>4</v>
      </c>
      <c r="M681" t="s">
        <v>4</v>
      </c>
      <c r="N681" t="s">
        <v>5</v>
      </c>
      <c r="O681">
        <v>202605</v>
      </c>
      <c r="P681">
        <v>150007.5</v>
      </c>
      <c r="Q681" t="s">
        <v>54</v>
      </c>
      <c r="R681" t="s">
        <v>55</v>
      </c>
      <c r="S681" t="s">
        <v>31</v>
      </c>
      <c r="T681" t="s">
        <v>32</v>
      </c>
      <c r="U681" t="s">
        <v>63</v>
      </c>
      <c r="V681">
        <v>1</v>
      </c>
      <c r="W681" t="s">
        <v>90</v>
      </c>
      <c r="X681" t="s">
        <v>59</v>
      </c>
      <c r="Y681">
        <v>1</v>
      </c>
      <c r="Z681">
        <v>1</v>
      </c>
      <c r="AA681">
        <v>0</v>
      </c>
      <c r="AB681">
        <v>0</v>
      </c>
      <c r="AC681">
        <v>1</v>
      </c>
      <c r="AD681">
        <v>1</v>
      </c>
      <c r="AE681">
        <v>0</v>
      </c>
      <c r="AF681" t="s">
        <v>12</v>
      </c>
      <c r="AG681" t="s">
        <v>12</v>
      </c>
      <c r="AH681" t="s">
        <v>12</v>
      </c>
      <c r="AI681" t="s">
        <v>12</v>
      </c>
      <c r="AJ681" t="s">
        <v>12</v>
      </c>
      <c r="AK681">
        <v>250000</v>
      </c>
      <c r="AL681">
        <v>0.22589999999999999</v>
      </c>
      <c r="AM681">
        <v>0.2059</v>
      </c>
      <c r="AN681" t="s">
        <v>12</v>
      </c>
      <c r="AO681" t="s">
        <v>12</v>
      </c>
    </row>
    <row r="682" spans="1:41" x14ac:dyDescent="0.35">
      <c r="A682">
        <v>9167709</v>
      </c>
      <c r="B682">
        <v>202511</v>
      </c>
      <c r="C682">
        <v>10214807918</v>
      </c>
      <c r="D682" t="s">
        <v>950</v>
      </c>
      <c r="E682">
        <v>21480791</v>
      </c>
      <c r="F682">
        <v>10152084</v>
      </c>
      <c r="G682" t="s">
        <v>2</v>
      </c>
      <c r="H682" t="s">
        <v>36</v>
      </c>
      <c r="I682">
        <v>22743.66015625</v>
      </c>
      <c r="J682" s="1">
        <v>45356</v>
      </c>
      <c r="K682">
        <v>19.8</v>
      </c>
      <c r="L682" t="s">
        <v>4</v>
      </c>
      <c r="M682" t="s">
        <v>4</v>
      </c>
      <c r="N682" t="s">
        <v>5</v>
      </c>
      <c r="O682">
        <v>202403</v>
      </c>
      <c r="P682">
        <v>94204.7</v>
      </c>
      <c r="Q682" t="s">
        <v>36</v>
      </c>
      <c r="R682" t="s">
        <v>38</v>
      </c>
      <c r="S682" t="s">
        <v>39</v>
      </c>
      <c r="T682" t="s">
        <v>40</v>
      </c>
      <c r="U682" t="s">
        <v>70</v>
      </c>
      <c r="V682">
        <v>1</v>
      </c>
      <c r="W682" t="s">
        <v>10</v>
      </c>
      <c r="X682" t="s">
        <v>59</v>
      </c>
      <c r="Y682">
        <v>1</v>
      </c>
      <c r="Z682">
        <v>1</v>
      </c>
      <c r="AA682">
        <v>0</v>
      </c>
      <c r="AB682">
        <v>0</v>
      </c>
      <c r="AC682">
        <v>1</v>
      </c>
      <c r="AD682">
        <v>1</v>
      </c>
      <c r="AE682">
        <v>0</v>
      </c>
      <c r="AF682" t="s">
        <v>12</v>
      </c>
      <c r="AG682" t="s">
        <v>12</v>
      </c>
      <c r="AH682" t="s">
        <v>12</v>
      </c>
      <c r="AI682" t="s">
        <v>12</v>
      </c>
      <c r="AJ682" t="s">
        <v>12</v>
      </c>
      <c r="AK682">
        <v>161000</v>
      </c>
      <c r="AL682">
        <v>0.218</v>
      </c>
      <c r="AM682">
        <v>0.19800000000000001</v>
      </c>
      <c r="AN682" t="s">
        <v>12</v>
      </c>
      <c r="AO682" t="s">
        <v>12</v>
      </c>
    </row>
    <row r="683" spans="1:41" x14ac:dyDescent="0.35">
      <c r="A683">
        <v>11873422</v>
      </c>
      <c r="B683">
        <v>202601</v>
      </c>
      <c r="C683">
        <v>20153430366</v>
      </c>
      <c r="D683" t="s">
        <v>951</v>
      </c>
      <c r="E683" t="s">
        <v>1</v>
      </c>
      <c r="F683">
        <v>10262027</v>
      </c>
      <c r="G683" t="s">
        <v>14</v>
      </c>
      <c r="H683" t="s">
        <v>127</v>
      </c>
      <c r="I683">
        <v>60801.859375</v>
      </c>
      <c r="J683" s="1">
        <v>45589</v>
      </c>
      <c r="K683">
        <v>19.5</v>
      </c>
      <c r="L683" t="s">
        <v>37</v>
      </c>
      <c r="M683" t="s">
        <v>37</v>
      </c>
      <c r="N683" t="s">
        <v>16</v>
      </c>
      <c r="O683">
        <v>202410</v>
      </c>
      <c r="P683">
        <v>145507.25</v>
      </c>
      <c r="Q683" t="s">
        <v>12</v>
      </c>
      <c r="R683" t="s">
        <v>12</v>
      </c>
      <c r="S683" t="s">
        <v>12</v>
      </c>
      <c r="T683" t="s">
        <v>12</v>
      </c>
      <c r="U683" t="s">
        <v>12</v>
      </c>
      <c r="V683" t="s">
        <v>12</v>
      </c>
      <c r="W683" t="s">
        <v>12</v>
      </c>
      <c r="X683" t="s">
        <v>12</v>
      </c>
      <c r="Y683" t="s">
        <v>12</v>
      </c>
      <c r="Z683" t="s">
        <v>12</v>
      </c>
      <c r="AA683" t="s">
        <v>12</v>
      </c>
      <c r="AB683" t="s">
        <v>12</v>
      </c>
      <c r="AC683" t="s">
        <v>12</v>
      </c>
      <c r="AD683" t="s">
        <v>12</v>
      </c>
      <c r="AE683" t="s">
        <v>12</v>
      </c>
      <c r="AF683" t="s">
        <v>12</v>
      </c>
      <c r="AG683" t="s">
        <v>12</v>
      </c>
      <c r="AH683" t="s">
        <v>12</v>
      </c>
      <c r="AI683" t="s">
        <v>12</v>
      </c>
      <c r="AJ683" t="s">
        <v>12</v>
      </c>
      <c r="AK683" t="s">
        <v>12</v>
      </c>
      <c r="AL683" t="s">
        <v>12</v>
      </c>
      <c r="AM683" t="s">
        <v>12</v>
      </c>
      <c r="AN683" t="s">
        <v>12</v>
      </c>
      <c r="AO683" t="s">
        <v>12</v>
      </c>
    </row>
    <row r="684" spans="1:41" x14ac:dyDescent="0.35">
      <c r="A684">
        <v>18147969</v>
      </c>
      <c r="B684">
        <v>202507</v>
      </c>
      <c r="C684">
        <v>10458400712</v>
      </c>
      <c r="D684" t="s">
        <v>952</v>
      </c>
      <c r="E684">
        <v>45840071</v>
      </c>
      <c r="F684">
        <v>10256658</v>
      </c>
      <c r="G684" t="s">
        <v>65</v>
      </c>
      <c r="H684" t="s">
        <v>953</v>
      </c>
      <c r="I684">
        <v>10400.2265625</v>
      </c>
      <c r="J684" s="1">
        <v>45470</v>
      </c>
      <c r="K684">
        <v>15.5</v>
      </c>
      <c r="L684" t="s">
        <v>37</v>
      </c>
      <c r="M684" t="s">
        <v>37</v>
      </c>
      <c r="N684" t="s">
        <v>47</v>
      </c>
      <c r="O684">
        <v>202406</v>
      </c>
      <c r="P684">
        <v>14094.7</v>
      </c>
      <c r="Q684" t="s">
        <v>12</v>
      </c>
      <c r="R684" t="s">
        <v>12</v>
      </c>
      <c r="S684" t="s">
        <v>12</v>
      </c>
      <c r="T684" t="s">
        <v>12</v>
      </c>
      <c r="U684" t="s">
        <v>12</v>
      </c>
      <c r="V684" t="s">
        <v>12</v>
      </c>
      <c r="W684" t="s">
        <v>12</v>
      </c>
      <c r="X684" t="s">
        <v>12</v>
      </c>
      <c r="Y684" t="s">
        <v>12</v>
      </c>
      <c r="Z684" t="s">
        <v>12</v>
      </c>
      <c r="AA684" t="s">
        <v>12</v>
      </c>
      <c r="AB684" t="s">
        <v>12</v>
      </c>
      <c r="AC684" t="s">
        <v>12</v>
      </c>
      <c r="AD684" t="s">
        <v>12</v>
      </c>
      <c r="AE684" t="s">
        <v>12</v>
      </c>
      <c r="AF684" t="s">
        <v>12</v>
      </c>
      <c r="AG684" t="s">
        <v>12</v>
      </c>
      <c r="AH684" t="s">
        <v>12</v>
      </c>
      <c r="AI684" t="s">
        <v>12</v>
      </c>
      <c r="AJ684" t="s">
        <v>12</v>
      </c>
      <c r="AK684" t="s">
        <v>12</v>
      </c>
      <c r="AL684" t="s">
        <v>12</v>
      </c>
      <c r="AM684" t="s">
        <v>12</v>
      </c>
      <c r="AN684" t="s">
        <v>12</v>
      </c>
      <c r="AO684" t="s">
        <v>12</v>
      </c>
    </row>
    <row r="685" spans="1:41" x14ac:dyDescent="0.35">
      <c r="A685">
        <v>10856041</v>
      </c>
      <c r="B685">
        <v>202512</v>
      </c>
      <c r="C685">
        <v>20428728573</v>
      </c>
      <c r="D685" t="s">
        <v>954</v>
      </c>
      <c r="E685" t="s">
        <v>1</v>
      </c>
      <c r="F685">
        <v>10259780</v>
      </c>
      <c r="G685" t="s">
        <v>73</v>
      </c>
      <c r="H685" t="s">
        <v>145</v>
      </c>
      <c r="I685">
        <v>75521.078125</v>
      </c>
      <c r="J685" s="1">
        <v>45532</v>
      </c>
      <c r="K685">
        <v>21.299999</v>
      </c>
      <c r="L685" t="s">
        <v>4</v>
      </c>
      <c r="M685" t="s">
        <v>4</v>
      </c>
      <c r="N685" t="s">
        <v>12</v>
      </c>
      <c r="O685">
        <v>202408</v>
      </c>
      <c r="P685">
        <v>200010</v>
      </c>
      <c r="Q685" t="s">
        <v>12</v>
      </c>
      <c r="R685" t="s">
        <v>12</v>
      </c>
      <c r="S685" t="s">
        <v>12</v>
      </c>
      <c r="T685" t="s">
        <v>12</v>
      </c>
      <c r="U685" t="s">
        <v>12</v>
      </c>
      <c r="V685" t="s">
        <v>12</v>
      </c>
      <c r="W685" t="s">
        <v>12</v>
      </c>
      <c r="X685" t="s">
        <v>12</v>
      </c>
      <c r="Y685" t="s">
        <v>12</v>
      </c>
      <c r="Z685" t="s">
        <v>12</v>
      </c>
      <c r="AA685" t="s">
        <v>12</v>
      </c>
      <c r="AB685" t="s">
        <v>12</v>
      </c>
      <c r="AC685" t="s">
        <v>12</v>
      </c>
      <c r="AD685" t="s">
        <v>12</v>
      </c>
      <c r="AE685" t="s">
        <v>12</v>
      </c>
      <c r="AF685" t="s">
        <v>12</v>
      </c>
      <c r="AG685" t="s">
        <v>12</v>
      </c>
      <c r="AH685" t="s">
        <v>12</v>
      </c>
      <c r="AI685" t="s">
        <v>12</v>
      </c>
      <c r="AJ685" t="s">
        <v>12</v>
      </c>
      <c r="AK685" t="s">
        <v>12</v>
      </c>
      <c r="AL685" t="s">
        <v>12</v>
      </c>
      <c r="AM685" t="s">
        <v>12</v>
      </c>
      <c r="AN685" t="s">
        <v>12</v>
      </c>
      <c r="AO685" t="s">
        <v>12</v>
      </c>
    </row>
    <row r="686" spans="1:41" x14ac:dyDescent="0.35">
      <c r="A686">
        <v>16526613</v>
      </c>
      <c r="B686">
        <v>202510</v>
      </c>
      <c r="C686">
        <v>20604960518</v>
      </c>
      <c r="D686" t="s">
        <v>955</v>
      </c>
      <c r="E686" t="s">
        <v>1</v>
      </c>
      <c r="F686">
        <v>10254009</v>
      </c>
      <c r="G686" t="s">
        <v>92</v>
      </c>
      <c r="H686" t="s">
        <v>31</v>
      </c>
      <c r="I686">
        <v>19087.68359375</v>
      </c>
      <c r="J686" s="1">
        <v>45440</v>
      </c>
      <c r="K686">
        <v>22.450001</v>
      </c>
      <c r="L686" t="s">
        <v>4</v>
      </c>
      <c r="M686" t="s">
        <v>4</v>
      </c>
      <c r="N686" t="s">
        <v>41</v>
      </c>
      <c r="O686">
        <v>202405</v>
      </c>
      <c r="P686">
        <v>150007.5</v>
      </c>
      <c r="Q686" t="s">
        <v>12</v>
      </c>
      <c r="R686" t="s">
        <v>12</v>
      </c>
      <c r="S686" t="s">
        <v>12</v>
      </c>
      <c r="T686" t="s">
        <v>12</v>
      </c>
      <c r="U686" t="s">
        <v>12</v>
      </c>
      <c r="V686" t="s">
        <v>12</v>
      </c>
      <c r="W686" t="s">
        <v>12</v>
      </c>
      <c r="X686" t="s">
        <v>12</v>
      </c>
      <c r="Y686" t="s">
        <v>12</v>
      </c>
      <c r="Z686" t="s">
        <v>12</v>
      </c>
      <c r="AA686" t="s">
        <v>12</v>
      </c>
      <c r="AB686" t="s">
        <v>12</v>
      </c>
      <c r="AC686" t="s">
        <v>12</v>
      </c>
      <c r="AD686" t="s">
        <v>12</v>
      </c>
      <c r="AE686" t="s">
        <v>12</v>
      </c>
      <c r="AF686" t="s">
        <v>12</v>
      </c>
      <c r="AG686" t="s">
        <v>12</v>
      </c>
      <c r="AH686" t="s">
        <v>12</v>
      </c>
      <c r="AI686" t="s">
        <v>12</v>
      </c>
      <c r="AJ686" t="s">
        <v>12</v>
      </c>
      <c r="AK686" t="s">
        <v>12</v>
      </c>
      <c r="AL686" t="s">
        <v>12</v>
      </c>
      <c r="AM686" t="s">
        <v>12</v>
      </c>
      <c r="AN686" t="s">
        <v>12</v>
      </c>
      <c r="AO686" t="s">
        <v>12</v>
      </c>
    </row>
    <row r="687" spans="1:41" x14ac:dyDescent="0.35">
      <c r="A687">
        <v>21469767</v>
      </c>
      <c r="B687">
        <v>202503</v>
      </c>
      <c r="C687">
        <v>20607935417</v>
      </c>
      <c r="D687" t="s">
        <v>956</v>
      </c>
      <c r="E687" t="s">
        <v>1</v>
      </c>
      <c r="F687">
        <v>10266075</v>
      </c>
      <c r="G687" t="s">
        <v>28</v>
      </c>
      <c r="H687" t="s">
        <v>452</v>
      </c>
      <c r="I687">
        <v>85123.1640625</v>
      </c>
      <c r="J687" s="1">
        <v>45727</v>
      </c>
      <c r="K687">
        <v>19.200001</v>
      </c>
      <c r="L687" t="s">
        <v>4</v>
      </c>
      <c r="M687" t="s">
        <v>4</v>
      </c>
      <c r="N687" t="s">
        <v>26</v>
      </c>
      <c r="O687">
        <v>202503</v>
      </c>
      <c r="P687">
        <v>120006</v>
      </c>
      <c r="Q687" t="s">
        <v>452</v>
      </c>
      <c r="R687" t="s">
        <v>453</v>
      </c>
      <c r="S687" t="s">
        <v>31</v>
      </c>
      <c r="T687" t="s">
        <v>32</v>
      </c>
      <c r="U687" t="s">
        <v>26</v>
      </c>
      <c r="V687">
        <v>1</v>
      </c>
      <c r="W687" t="s">
        <v>10</v>
      </c>
      <c r="X687" t="s">
        <v>12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0</v>
      </c>
      <c r="AE687">
        <v>120006</v>
      </c>
      <c r="AF687">
        <v>19.200001</v>
      </c>
      <c r="AG687" s="1">
        <v>45727</v>
      </c>
      <c r="AH687" t="s">
        <v>26</v>
      </c>
      <c r="AI687" t="s">
        <v>4</v>
      </c>
      <c r="AJ687" t="s">
        <v>33</v>
      </c>
      <c r="AK687">
        <v>0</v>
      </c>
      <c r="AL687">
        <v>0.21199999999999999</v>
      </c>
      <c r="AM687">
        <v>0.192</v>
      </c>
      <c r="AN687" t="s">
        <v>12</v>
      </c>
      <c r="AO687" t="s">
        <v>12</v>
      </c>
    </row>
    <row r="688" spans="1:41" x14ac:dyDescent="0.35">
      <c r="A688">
        <v>20023996</v>
      </c>
      <c r="B688">
        <v>202509</v>
      </c>
      <c r="C688">
        <v>20601427436</v>
      </c>
      <c r="D688" t="s">
        <v>957</v>
      </c>
      <c r="E688" t="s">
        <v>1</v>
      </c>
      <c r="F688">
        <v>10264436</v>
      </c>
      <c r="G688" t="s">
        <v>92</v>
      </c>
      <c r="H688" t="s">
        <v>18</v>
      </c>
      <c r="I688">
        <v>140615.609375</v>
      </c>
      <c r="J688" s="1">
        <v>45660</v>
      </c>
      <c r="K688">
        <v>18</v>
      </c>
      <c r="L688" t="s">
        <v>4</v>
      </c>
      <c r="M688" t="s">
        <v>4</v>
      </c>
      <c r="N688" t="s">
        <v>41</v>
      </c>
      <c r="O688">
        <v>202501</v>
      </c>
      <c r="P688">
        <v>200010</v>
      </c>
      <c r="Q688" t="s">
        <v>246</v>
      </c>
      <c r="R688" t="s">
        <v>247</v>
      </c>
      <c r="S688" t="s">
        <v>18</v>
      </c>
      <c r="T688" t="s">
        <v>122</v>
      </c>
      <c r="U688" t="s">
        <v>41</v>
      </c>
      <c r="V688">
        <v>1</v>
      </c>
      <c r="W688" t="s">
        <v>10</v>
      </c>
      <c r="X688" t="s">
        <v>22</v>
      </c>
      <c r="Y688">
        <v>1</v>
      </c>
      <c r="Z688">
        <v>1</v>
      </c>
      <c r="AA688">
        <v>0</v>
      </c>
      <c r="AB688">
        <v>0</v>
      </c>
      <c r="AC688">
        <v>1</v>
      </c>
      <c r="AD688">
        <v>1</v>
      </c>
      <c r="AE688">
        <v>0</v>
      </c>
      <c r="AF688" t="s">
        <v>12</v>
      </c>
      <c r="AG688" t="s">
        <v>12</v>
      </c>
      <c r="AH688" t="s">
        <v>12</v>
      </c>
      <c r="AI688" t="s">
        <v>12</v>
      </c>
      <c r="AJ688" t="s">
        <v>12</v>
      </c>
      <c r="AK688">
        <v>83600</v>
      </c>
      <c r="AL688">
        <v>0.21</v>
      </c>
      <c r="AM688">
        <v>0.19</v>
      </c>
      <c r="AN688" t="s">
        <v>12</v>
      </c>
      <c r="AO688" t="s">
        <v>12</v>
      </c>
    </row>
    <row r="689" spans="1:41" x14ac:dyDescent="0.35">
      <c r="A689">
        <v>11470833</v>
      </c>
      <c r="B689">
        <v>202503</v>
      </c>
      <c r="C689">
        <v>10472191689</v>
      </c>
      <c r="D689" t="s">
        <v>958</v>
      </c>
      <c r="E689">
        <v>47219168</v>
      </c>
      <c r="F689">
        <v>10265323</v>
      </c>
      <c r="G689" t="s">
        <v>100</v>
      </c>
      <c r="H689" t="s">
        <v>737</v>
      </c>
      <c r="I689">
        <v>71674.8828125</v>
      </c>
      <c r="J689" s="1">
        <v>45701</v>
      </c>
      <c r="K689">
        <v>15</v>
      </c>
      <c r="L689" t="s">
        <v>37</v>
      </c>
      <c r="M689" t="s">
        <v>37</v>
      </c>
      <c r="N689" t="s">
        <v>102</v>
      </c>
      <c r="O689">
        <v>202502</v>
      </c>
      <c r="P689">
        <v>74368.7</v>
      </c>
      <c r="Q689" t="s">
        <v>12</v>
      </c>
      <c r="R689" t="s">
        <v>12</v>
      </c>
      <c r="S689" t="s">
        <v>12</v>
      </c>
      <c r="T689" t="s">
        <v>12</v>
      </c>
      <c r="U689" t="s">
        <v>12</v>
      </c>
      <c r="V689" t="s">
        <v>12</v>
      </c>
      <c r="W689" t="s">
        <v>12</v>
      </c>
      <c r="X689" t="s">
        <v>12</v>
      </c>
      <c r="Y689" t="s">
        <v>12</v>
      </c>
      <c r="Z689" t="s">
        <v>12</v>
      </c>
      <c r="AA689" t="s">
        <v>12</v>
      </c>
      <c r="AB689" t="s">
        <v>12</v>
      </c>
      <c r="AC689" t="s">
        <v>12</v>
      </c>
      <c r="AD689" t="s">
        <v>12</v>
      </c>
      <c r="AE689" t="s">
        <v>12</v>
      </c>
      <c r="AF689" t="s">
        <v>12</v>
      </c>
      <c r="AG689" t="s">
        <v>12</v>
      </c>
      <c r="AH689" t="s">
        <v>12</v>
      </c>
      <c r="AI689" t="s">
        <v>12</v>
      </c>
      <c r="AJ689" t="s">
        <v>12</v>
      </c>
      <c r="AK689" t="s">
        <v>12</v>
      </c>
      <c r="AL689" t="s">
        <v>12</v>
      </c>
      <c r="AM689" t="s">
        <v>12</v>
      </c>
      <c r="AN689" t="s">
        <v>12</v>
      </c>
      <c r="AO689" t="s">
        <v>12</v>
      </c>
    </row>
    <row r="690" spans="1:41" x14ac:dyDescent="0.35">
      <c r="A690">
        <v>12227795</v>
      </c>
      <c r="B690">
        <v>202510</v>
      </c>
      <c r="C690">
        <v>10431098976</v>
      </c>
      <c r="D690" t="s">
        <v>425</v>
      </c>
      <c r="E690">
        <v>43109897</v>
      </c>
      <c r="F690">
        <v>10269860</v>
      </c>
      <c r="G690" t="s">
        <v>92</v>
      </c>
      <c r="H690" t="s">
        <v>257</v>
      </c>
      <c r="I690">
        <v>160529.40625</v>
      </c>
      <c r="J690" s="1">
        <v>45860</v>
      </c>
      <c r="K690">
        <v>16.5</v>
      </c>
      <c r="L690" t="s">
        <v>4</v>
      </c>
      <c r="M690" t="s">
        <v>4</v>
      </c>
      <c r="N690" t="s">
        <v>41</v>
      </c>
      <c r="O690">
        <v>202507</v>
      </c>
      <c r="P690">
        <v>180009</v>
      </c>
      <c r="Q690" t="s">
        <v>257</v>
      </c>
      <c r="R690" t="s">
        <v>258</v>
      </c>
      <c r="S690" t="s">
        <v>49</v>
      </c>
      <c r="T690" t="s">
        <v>50</v>
      </c>
      <c r="U690" t="s">
        <v>20</v>
      </c>
      <c r="V690">
        <v>1</v>
      </c>
      <c r="W690" t="s">
        <v>10</v>
      </c>
      <c r="X690" t="s">
        <v>12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12</v>
      </c>
      <c r="AG690" t="s">
        <v>12</v>
      </c>
      <c r="AH690" t="s">
        <v>12</v>
      </c>
      <c r="AI690" t="s">
        <v>12</v>
      </c>
      <c r="AJ690" t="s">
        <v>12</v>
      </c>
      <c r="AK690">
        <v>1</v>
      </c>
      <c r="AL690">
        <v>1</v>
      </c>
      <c r="AM690" t="s">
        <v>12</v>
      </c>
      <c r="AN690" t="s">
        <v>12</v>
      </c>
      <c r="AO690" t="s">
        <v>12</v>
      </c>
    </row>
    <row r="691" spans="1:41" x14ac:dyDescent="0.35">
      <c r="A691">
        <v>21574756</v>
      </c>
      <c r="B691">
        <v>202507</v>
      </c>
      <c r="C691">
        <v>20607073504</v>
      </c>
      <c r="D691" t="s">
        <v>959</v>
      </c>
      <c r="E691" t="s">
        <v>1</v>
      </c>
      <c r="F691">
        <v>10266903</v>
      </c>
      <c r="G691" t="s">
        <v>24</v>
      </c>
      <c r="H691" t="s">
        <v>159</v>
      </c>
      <c r="I691">
        <v>86762.328125</v>
      </c>
      <c r="J691" s="1">
        <v>45754</v>
      </c>
      <c r="K691">
        <v>18.5</v>
      </c>
      <c r="L691" t="s">
        <v>37</v>
      </c>
      <c r="M691" t="s">
        <v>37</v>
      </c>
      <c r="N691" t="s">
        <v>98</v>
      </c>
      <c r="O691">
        <v>202504</v>
      </c>
      <c r="P691">
        <v>102005.1</v>
      </c>
      <c r="Q691" t="s">
        <v>12</v>
      </c>
      <c r="R691" t="s">
        <v>12</v>
      </c>
      <c r="S691" t="s">
        <v>12</v>
      </c>
      <c r="T691" t="s">
        <v>12</v>
      </c>
      <c r="U691" t="s">
        <v>12</v>
      </c>
      <c r="V691" t="s">
        <v>12</v>
      </c>
      <c r="W691" t="s">
        <v>12</v>
      </c>
      <c r="X691" t="s">
        <v>12</v>
      </c>
      <c r="Y691" t="s">
        <v>12</v>
      </c>
      <c r="Z691" t="s">
        <v>12</v>
      </c>
      <c r="AA691" t="s">
        <v>12</v>
      </c>
      <c r="AB691" t="s">
        <v>12</v>
      </c>
      <c r="AC691" t="s">
        <v>12</v>
      </c>
      <c r="AD691" t="s">
        <v>12</v>
      </c>
      <c r="AE691" t="s">
        <v>12</v>
      </c>
      <c r="AF691" t="s">
        <v>12</v>
      </c>
      <c r="AG691" t="s">
        <v>12</v>
      </c>
      <c r="AH691" t="s">
        <v>12</v>
      </c>
      <c r="AI691" t="s">
        <v>12</v>
      </c>
      <c r="AJ691" t="s">
        <v>12</v>
      </c>
      <c r="AK691" t="s">
        <v>12</v>
      </c>
      <c r="AL691" t="s">
        <v>12</v>
      </c>
      <c r="AM691" t="s">
        <v>12</v>
      </c>
      <c r="AN691" t="s">
        <v>12</v>
      </c>
      <c r="AO691" t="s">
        <v>12</v>
      </c>
    </row>
    <row r="692" spans="1:41" x14ac:dyDescent="0.35">
      <c r="A692">
        <v>12069111</v>
      </c>
      <c r="B692">
        <v>202506</v>
      </c>
      <c r="C692">
        <v>10296446187</v>
      </c>
      <c r="D692" t="s">
        <v>960</v>
      </c>
      <c r="E692">
        <v>29644618</v>
      </c>
      <c r="F692">
        <v>10267001</v>
      </c>
      <c r="G692" t="s">
        <v>100</v>
      </c>
      <c r="H692" t="s">
        <v>961</v>
      </c>
      <c r="I692">
        <v>63056.6328125</v>
      </c>
      <c r="J692" s="1">
        <v>45758</v>
      </c>
      <c r="K692">
        <v>17</v>
      </c>
      <c r="L692" t="s">
        <v>37</v>
      </c>
      <c r="M692" t="s">
        <v>37</v>
      </c>
      <c r="N692" t="s">
        <v>102</v>
      </c>
      <c r="O692">
        <v>202504</v>
      </c>
      <c r="P692">
        <v>70004.06</v>
      </c>
      <c r="Q692" t="s">
        <v>12</v>
      </c>
      <c r="R692" t="s">
        <v>12</v>
      </c>
      <c r="S692" t="s">
        <v>12</v>
      </c>
      <c r="T692" t="s">
        <v>12</v>
      </c>
      <c r="U692" t="s">
        <v>12</v>
      </c>
      <c r="V692" t="s">
        <v>12</v>
      </c>
      <c r="W692" t="s">
        <v>12</v>
      </c>
      <c r="X692" t="s">
        <v>12</v>
      </c>
      <c r="Y692" t="s">
        <v>12</v>
      </c>
      <c r="Z692" t="s">
        <v>12</v>
      </c>
      <c r="AA692" t="s">
        <v>12</v>
      </c>
      <c r="AB692" t="s">
        <v>12</v>
      </c>
      <c r="AC692" t="s">
        <v>12</v>
      </c>
      <c r="AD692" t="s">
        <v>12</v>
      </c>
      <c r="AE692" t="s">
        <v>12</v>
      </c>
      <c r="AF692" t="s">
        <v>12</v>
      </c>
      <c r="AG692" t="s">
        <v>12</v>
      </c>
      <c r="AH692" t="s">
        <v>12</v>
      </c>
      <c r="AI692" t="s">
        <v>12</v>
      </c>
      <c r="AJ692" t="s">
        <v>12</v>
      </c>
      <c r="AK692" t="s">
        <v>12</v>
      </c>
      <c r="AL692" t="s">
        <v>12</v>
      </c>
      <c r="AM692" t="s">
        <v>12</v>
      </c>
      <c r="AN692" t="s">
        <v>12</v>
      </c>
      <c r="AO692" t="s">
        <v>12</v>
      </c>
    </row>
    <row r="693" spans="1:41" x14ac:dyDescent="0.35">
      <c r="A693">
        <v>21534659</v>
      </c>
      <c r="B693">
        <v>202601</v>
      </c>
      <c r="C693">
        <v>20607183512</v>
      </c>
      <c r="D693" t="s">
        <v>962</v>
      </c>
      <c r="E693" t="s">
        <v>1</v>
      </c>
      <c r="F693">
        <v>10266303</v>
      </c>
      <c r="G693" t="s">
        <v>28</v>
      </c>
      <c r="H693" t="s">
        <v>31</v>
      </c>
      <c r="I693">
        <v>65553.0546875</v>
      </c>
      <c r="J693" s="1">
        <v>45735</v>
      </c>
      <c r="K693">
        <v>21</v>
      </c>
      <c r="L693" t="s">
        <v>4</v>
      </c>
      <c r="M693" t="s">
        <v>4</v>
      </c>
      <c r="N693" t="s">
        <v>26</v>
      </c>
      <c r="O693">
        <v>202503</v>
      </c>
      <c r="P693">
        <v>104005.2</v>
      </c>
      <c r="Q693" t="s">
        <v>417</v>
      </c>
      <c r="R693" t="s">
        <v>418</v>
      </c>
      <c r="S693" t="s">
        <v>31</v>
      </c>
      <c r="T693" t="s">
        <v>32</v>
      </c>
      <c r="U693" t="s">
        <v>177</v>
      </c>
      <c r="V693">
        <v>1</v>
      </c>
      <c r="W693" t="s">
        <v>21</v>
      </c>
      <c r="X693" t="s">
        <v>22</v>
      </c>
      <c r="Y693">
        <v>1</v>
      </c>
      <c r="Z693">
        <v>1</v>
      </c>
      <c r="AA693">
        <v>0</v>
      </c>
      <c r="AB693">
        <v>1</v>
      </c>
      <c r="AC693">
        <v>1</v>
      </c>
      <c r="AD693">
        <v>1</v>
      </c>
      <c r="AE693">
        <v>0</v>
      </c>
      <c r="AF693" t="s">
        <v>12</v>
      </c>
      <c r="AG693" t="s">
        <v>12</v>
      </c>
      <c r="AH693" t="s">
        <v>12</v>
      </c>
      <c r="AI693" t="s">
        <v>12</v>
      </c>
      <c r="AJ693" t="s">
        <v>12</v>
      </c>
      <c r="AK693">
        <v>500000</v>
      </c>
      <c r="AL693">
        <v>0.22</v>
      </c>
      <c r="AM693">
        <v>0.2</v>
      </c>
      <c r="AN693" t="s">
        <v>12</v>
      </c>
      <c r="AO693" t="s">
        <v>12</v>
      </c>
    </row>
    <row r="694" spans="1:41" x14ac:dyDescent="0.35">
      <c r="A694">
        <v>19534764</v>
      </c>
      <c r="B694">
        <v>202504</v>
      </c>
      <c r="C694">
        <v>20462351268</v>
      </c>
      <c r="D694" t="s">
        <v>963</v>
      </c>
      <c r="E694" t="s">
        <v>1</v>
      </c>
      <c r="F694">
        <v>10265615</v>
      </c>
      <c r="G694" t="s">
        <v>14</v>
      </c>
      <c r="H694" t="s">
        <v>159</v>
      </c>
      <c r="I694">
        <v>83617.0546875</v>
      </c>
      <c r="J694" s="1">
        <v>45712</v>
      </c>
      <c r="K694">
        <v>18.2</v>
      </c>
      <c r="L694" t="s">
        <v>37</v>
      </c>
      <c r="M694" t="s">
        <v>37</v>
      </c>
      <c r="N694" t="s">
        <v>16</v>
      </c>
      <c r="O694">
        <v>202502</v>
      </c>
      <c r="P694">
        <v>90004.5</v>
      </c>
      <c r="Q694" t="s">
        <v>12</v>
      </c>
      <c r="R694" t="s">
        <v>12</v>
      </c>
      <c r="S694" t="s">
        <v>12</v>
      </c>
      <c r="T694" t="s">
        <v>12</v>
      </c>
      <c r="U694" t="s">
        <v>12</v>
      </c>
      <c r="V694" t="s">
        <v>12</v>
      </c>
      <c r="W694" t="s">
        <v>12</v>
      </c>
      <c r="X694" t="s">
        <v>12</v>
      </c>
      <c r="Y694" t="s">
        <v>12</v>
      </c>
      <c r="Z694" t="s">
        <v>12</v>
      </c>
      <c r="AA694" t="s">
        <v>12</v>
      </c>
      <c r="AB694" t="s">
        <v>12</v>
      </c>
      <c r="AC694" t="s">
        <v>12</v>
      </c>
      <c r="AD694" t="s">
        <v>12</v>
      </c>
      <c r="AE694" t="s">
        <v>12</v>
      </c>
      <c r="AF694" t="s">
        <v>12</v>
      </c>
      <c r="AG694" t="s">
        <v>12</v>
      </c>
      <c r="AH694" t="s">
        <v>12</v>
      </c>
      <c r="AI694" t="s">
        <v>12</v>
      </c>
      <c r="AJ694" t="s">
        <v>12</v>
      </c>
      <c r="AK694" t="s">
        <v>12</v>
      </c>
      <c r="AL694" t="s">
        <v>12</v>
      </c>
      <c r="AM694" t="s">
        <v>12</v>
      </c>
      <c r="AN694" t="s">
        <v>12</v>
      </c>
      <c r="AO694" t="s">
        <v>12</v>
      </c>
    </row>
    <row r="695" spans="1:41" x14ac:dyDescent="0.35">
      <c r="A695">
        <v>21471889</v>
      </c>
      <c r="B695">
        <v>202505</v>
      </c>
      <c r="C695">
        <v>20610140123</v>
      </c>
      <c r="D695" t="s">
        <v>964</v>
      </c>
      <c r="E695" t="s">
        <v>1</v>
      </c>
      <c r="F695">
        <v>10265208</v>
      </c>
      <c r="G695" t="s">
        <v>268</v>
      </c>
      <c r="H695" t="s">
        <v>159</v>
      </c>
      <c r="I695">
        <v>34106.046875</v>
      </c>
      <c r="J695" s="1">
        <v>45698</v>
      </c>
      <c r="K695">
        <v>21</v>
      </c>
      <c r="L695" t="s">
        <v>37</v>
      </c>
      <c r="M695" t="s">
        <v>37</v>
      </c>
      <c r="N695" t="s">
        <v>98</v>
      </c>
      <c r="O695">
        <v>202502</v>
      </c>
      <c r="P695">
        <v>40002</v>
      </c>
      <c r="Q695" t="s">
        <v>12</v>
      </c>
      <c r="R695" t="s">
        <v>12</v>
      </c>
      <c r="S695" t="s">
        <v>12</v>
      </c>
      <c r="T695" t="s">
        <v>12</v>
      </c>
      <c r="U695" t="s">
        <v>12</v>
      </c>
      <c r="V695" t="s">
        <v>12</v>
      </c>
      <c r="W695" t="s">
        <v>12</v>
      </c>
      <c r="X695" t="s">
        <v>12</v>
      </c>
      <c r="Y695" t="s">
        <v>12</v>
      </c>
      <c r="Z695" t="s">
        <v>12</v>
      </c>
      <c r="AA695" t="s">
        <v>12</v>
      </c>
      <c r="AB695" t="s">
        <v>12</v>
      </c>
      <c r="AC695" t="s">
        <v>12</v>
      </c>
      <c r="AD695" t="s">
        <v>12</v>
      </c>
      <c r="AE695" t="s">
        <v>12</v>
      </c>
      <c r="AF695" t="s">
        <v>12</v>
      </c>
      <c r="AG695" t="s">
        <v>12</v>
      </c>
      <c r="AH695" t="s">
        <v>12</v>
      </c>
      <c r="AI695" t="s">
        <v>12</v>
      </c>
      <c r="AJ695" t="s">
        <v>12</v>
      </c>
      <c r="AK695" t="s">
        <v>12</v>
      </c>
      <c r="AL695" t="s">
        <v>12</v>
      </c>
      <c r="AM695" t="s">
        <v>12</v>
      </c>
      <c r="AN695" t="s">
        <v>12</v>
      </c>
      <c r="AO695" t="s">
        <v>12</v>
      </c>
    </row>
    <row r="696" spans="1:41" x14ac:dyDescent="0.35">
      <c r="A696">
        <v>11460428</v>
      </c>
      <c r="B696">
        <v>202509</v>
      </c>
      <c r="C696">
        <v>10011586061</v>
      </c>
      <c r="D696" t="s">
        <v>965</v>
      </c>
      <c r="E696">
        <v>1158606</v>
      </c>
      <c r="F696">
        <v>10264629</v>
      </c>
      <c r="G696" t="s">
        <v>24</v>
      </c>
      <c r="H696" t="s">
        <v>301</v>
      </c>
      <c r="I696">
        <v>35654.66796875</v>
      </c>
      <c r="J696" s="1">
        <v>45674</v>
      </c>
      <c r="K696">
        <v>23.200001</v>
      </c>
      <c r="L696" t="s">
        <v>4</v>
      </c>
      <c r="M696" t="s">
        <v>4</v>
      </c>
      <c r="N696" t="s">
        <v>26</v>
      </c>
      <c r="O696">
        <v>202501</v>
      </c>
      <c r="P696">
        <v>50002.5</v>
      </c>
      <c r="Q696" t="s">
        <v>301</v>
      </c>
      <c r="R696" t="s">
        <v>310</v>
      </c>
      <c r="S696" t="s">
        <v>49</v>
      </c>
      <c r="T696" t="s">
        <v>50</v>
      </c>
      <c r="U696" t="s">
        <v>20</v>
      </c>
      <c r="V696">
        <v>1</v>
      </c>
      <c r="W696" t="s">
        <v>10</v>
      </c>
      <c r="X696" t="s">
        <v>59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12</v>
      </c>
      <c r="AG696" t="s">
        <v>12</v>
      </c>
      <c r="AH696" t="s">
        <v>12</v>
      </c>
      <c r="AI696" t="s">
        <v>12</v>
      </c>
      <c r="AJ696" t="s">
        <v>12</v>
      </c>
      <c r="AK696">
        <v>1</v>
      </c>
      <c r="AL696">
        <v>1</v>
      </c>
      <c r="AM696" t="s">
        <v>12</v>
      </c>
      <c r="AN696" t="s">
        <v>12</v>
      </c>
      <c r="AO696" t="s">
        <v>12</v>
      </c>
    </row>
    <row r="697" spans="1:41" x14ac:dyDescent="0.35">
      <c r="A697">
        <v>21449884</v>
      </c>
      <c r="B697">
        <v>202505</v>
      </c>
      <c r="C697">
        <v>20607413291</v>
      </c>
      <c r="D697" t="s">
        <v>966</v>
      </c>
      <c r="E697" t="s">
        <v>1</v>
      </c>
      <c r="F697">
        <v>10264984</v>
      </c>
      <c r="G697" t="s">
        <v>28</v>
      </c>
      <c r="H697" t="s">
        <v>120</v>
      </c>
      <c r="I697">
        <v>30136.158203125</v>
      </c>
      <c r="J697" s="1">
        <v>45687</v>
      </c>
      <c r="K697">
        <v>22</v>
      </c>
      <c r="L697" t="s">
        <v>4</v>
      </c>
      <c r="M697" t="s">
        <v>4</v>
      </c>
      <c r="N697" t="s">
        <v>26</v>
      </c>
      <c r="O697">
        <v>202501</v>
      </c>
      <c r="P697">
        <v>35001.75</v>
      </c>
      <c r="Q697" t="s">
        <v>120</v>
      </c>
      <c r="R697" t="s">
        <v>121</v>
      </c>
      <c r="S697" t="s">
        <v>18</v>
      </c>
      <c r="T697" t="s">
        <v>122</v>
      </c>
      <c r="U697" t="s">
        <v>20</v>
      </c>
      <c r="V697">
        <v>1</v>
      </c>
      <c r="W697" t="s">
        <v>10</v>
      </c>
      <c r="X697" t="s">
        <v>12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12</v>
      </c>
      <c r="AG697" t="s">
        <v>12</v>
      </c>
      <c r="AH697" t="s">
        <v>12</v>
      </c>
      <c r="AI697" t="s">
        <v>12</v>
      </c>
      <c r="AJ697" t="s">
        <v>12</v>
      </c>
      <c r="AK697">
        <v>0</v>
      </c>
      <c r="AL697">
        <v>0</v>
      </c>
      <c r="AM697">
        <v>0.27079999999999999</v>
      </c>
      <c r="AN697" t="s">
        <v>12</v>
      </c>
      <c r="AO697" t="s">
        <v>12</v>
      </c>
    </row>
    <row r="698" spans="1:41" x14ac:dyDescent="0.35">
      <c r="A698">
        <v>17362519</v>
      </c>
      <c r="B698">
        <v>202601</v>
      </c>
      <c r="C698">
        <v>20511341761</v>
      </c>
      <c r="D698" t="s">
        <v>499</v>
      </c>
      <c r="E698" t="s">
        <v>1</v>
      </c>
      <c r="F698">
        <v>10274469</v>
      </c>
      <c r="G698" t="s">
        <v>78</v>
      </c>
      <c r="H698" t="s">
        <v>500</v>
      </c>
      <c r="I698">
        <v>75394.78125</v>
      </c>
      <c r="J698" s="1">
        <v>46034</v>
      </c>
      <c r="K698">
        <v>16</v>
      </c>
      <c r="L698" t="s">
        <v>4</v>
      </c>
      <c r="M698" t="s">
        <v>4</v>
      </c>
      <c r="N698" t="s">
        <v>41</v>
      </c>
      <c r="O698">
        <v>202601</v>
      </c>
      <c r="P698">
        <v>150007.5</v>
      </c>
      <c r="Q698" t="s">
        <v>500</v>
      </c>
      <c r="R698" t="s">
        <v>501</v>
      </c>
      <c r="S698" t="s">
        <v>31</v>
      </c>
      <c r="T698" t="s">
        <v>32</v>
      </c>
      <c r="U698" t="s">
        <v>41</v>
      </c>
      <c r="V698">
        <v>1</v>
      </c>
      <c r="W698" t="s">
        <v>21</v>
      </c>
      <c r="X698" t="s">
        <v>22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150007.5</v>
      </c>
      <c r="AF698">
        <v>16</v>
      </c>
      <c r="AG698" s="1">
        <v>46034</v>
      </c>
      <c r="AH698" t="s">
        <v>41</v>
      </c>
      <c r="AI698" t="s">
        <v>4</v>
      </c>
      <c r="AJ698" t="s">
        <v>33</v>
      </c>
      <c r="AK698">
        <v>169900</v>
      </c>
      <c r="AL698">
        <v>0.21</v>
      </c>
      <c r="AM698">
        <v>0.19</v>
      </c>
      <c r="AN698" t="s">
        <v>12</v>
      </c>
      <c r="AO698" t="s">
        <v>12</v>
      </c>
    </row>
    <row r="699" spans="1:41" x14ac:dyDescent="0.35">
      <c r="A699">
        <v>21537727</v>
      </c>
      <c r="B699">
        <v>202506</v>
      </c>
      <c r="C699">
        <v>20609574977</v>
      </c>
      <c r="D699" t="s">
        <v>967</v>
      </c>
      <c r="E699" t="s">
        <v>1</v>
      </c>
      <c r="F699">
        <v>10266439</v>
      </c>
      <c r="G699" t="s">
        <v>28</v>
      </c>
      <c r="H699" t="s">
        <v>159</v>
      </c>
      <c r="I699">
        <v>25616.169921875</v>
      </c>
      <c r="J699" s="1">
        <v>45737</v>
      </c>
      <c r="K699">
        <v>22.5</v>
      </c>
      <c r="L699" t="s">
        <v>4</v>
      </c>
      <c r="M699" t="s">
        <v>4</v>
      </c>
      <c r="N699" t="s">
        <v>26</v>
      </c>
      <c r="O699">
        <v>202503</v>
      </c>
      <c r="P699">
        <v>30001.5</v>
      </c>
      <c r="Q699" t="s">
        <v>12</v>
      </c>
      <c r="R699" t="s">
        <v>12</v>
      </c>
      <c r="S699" t="s">
        <v>12</v>
      </c>
      <c r="T699" t="s">
        <v>12</v>
      </c>
      <c r="U699" t="s">
        <v>12</v>
      </c>
      <c r="V699" t="s">
        <v>12</v>
      </c>
      <c r="W699" t="s">
        <v>12</v>
      </c>
      <c r="X699" t="s">
        <v>12</v>
      </c>
      <c r="Y699" t="s">
        <v>12</v>
      </c>
      <c r="Z699" t="s">
        <v>12</v>
      </c>
      <c r="AA699" t="s">
        <v>12</v>
      </c>
      <c r="AB699" t="s">
        <v>12</v>
      </c>
      <c r="AC699" t="s">
        <v>12</v>
      </c>
      <c r="AD699" t="s">
        <v>12</v>
      </c>
      <c r="AE699" t="s">
        <v>12</v>
      </c>
      <c r="AF699" t="s">
        <v>12</v>
      </c>
      <c r="AG699" t="s">
        <v>12</v>
      </c>
      <c r="AH699" t="s">
        <v>12</v>
      </c>
      <c r="AI699" t="s">
        <v>12</v>
      </c>
      <c r="AJ699" t="s">
        <v>12</v>
      </c>
      <c r="AK699" t="s">
        <v>12</v>
      </c>
      <c r="AL699" t="s">
        <v>12</v>
      </c>
      <c r="AM699" t="s">
        <v>12</v>
      </c>
      <c r="AN699" t="s">
        <v>12</v>
      </c>
      <c r="AO699" t="s">
        <v>12</v>
      </c>
    </row>
    <row r="700" spans="1:41" x14ac:dyDescent="0.35">
      <c r="A700">
        <v>13594213</v>
      </c>
      <c r="B700">
        <v>202506</v>
      </c>
      <c r="C700">
        <v>10419215258</v>
      </c>
      <c r="D700" t="s">
        <v>968</v>
      </c>
      <c r="E700">
        <v>41921525</v>
      </c>
      <c r="F700">
        <v>10267356</v>
      </c>
      <c r="G700" t="s">
        <v>100</v>
      </c>
      <c r="H700" t="s">
        <v>692</v>
      </c>
      <c r="I700">
        <v>114505.9921875</v>
      </c>
      <c r="J700" s="1">
        <v>45772</v>
      </c>
      <c r="K700">
        <v>16</v>
      </c>
      <c r="L700" t="s">
        <v>37</v>
      </c>
      <c r="M700" t="s">
        <v>37</v>
      </c>
      <c r="N700" t="s">
        <v>102</v>
      </c>
      <c r="O700">
        <v>202504</v>
      </c>
      <c r="P700">
        <v>123056.15</v>
      </c>
      <c r="Q700" t="s">
        <v>12</v>
      </c>
      <c r="R700" t="s">
        <v>12</v>
      </c>
      <c r="S700" t="s">
        <v>12</v>
      </c>
      <c r="T700" t="s">
        <v>12</v>
      </c>
      <c r="U700" t="s">
        <v>12</v>
      </c>
      <c r="V700" t="s">
        <v>12</v>
      </c>
      <c r="W700" t="s">
        <v>12</v>
      </c>
      <c r="X700" t="s">
        <v>12</v>
      </c>
      <c r="Y700" t="s">
        <v>12</v>
      </c>
      <c r="Z700" t="s">
        <v>12</v>
      </c>
      <c r="AA700" t="s">
        <v>12</v>
      </c>
      <c r="AB700" t="s">
        <v>12</v>
      </c>
      <c r="AC700" t="s">
        <v>12</v>
      </c>
      <c r="AD700" t="s">
        <v>12</v>
      </c>
      <c r="AE700" t="s">
        <v>12</v>
      </c>
      <c r="AF700" t="s">
        <v>12</v>
      </c>
      <c r="AG700" t="s">
        <v>12</v>
      </c>
      <c r="AH700" t="s">
        <v>12</v>
      </c>
      <c r="AI700" t="s">
        <v>12</v>
      </c>
      <c r="AJ700" t="s">
        <v>12</v>
      </c>
      <c r="AK700" t="s">
        <v>12</v>
      </c>
      <c r="AL700" t="s">
        <v>12</v>
      </c>
      <c r="AM700" t="s">
        <v>12</v>
      </c>
      <c r="AN700" t="s">
        <v>12</v>
      </c>
      <c r="AO700" t="s">
        <v>12</v>
      </c>
    </row>
    <row r="701" spans="1:41" x14ac:dyDescent="0.35">
      <c r="A701">
        <v>21615571</v>
      </c>
      <c r="B701">
        <v>202509</v>
      </c>
      <c r="C701">
        <v>20608036998</v>
      </c>
      <c r="D701" t="s">
        <v>969</v>
      </c>
      <c r="E701" t="s">
        <v>1</v>
      </c>
      <c r="F701">
        <v>10267611</v>
      </c>
      <c r="G701" t="s">
        <v>28</v>
      </c>
      <c r="H701" t="s">
        <v>217</v>
      </c>
      <c r="I701">
        <v>67069.3046875</v>
      </c>
      <c r="J701" s="1">
        <v>45782</v>
      </c>
      <c r="K701">
        <v>17.5</v>
      </c>
      <c r="L701" t="s">
        <v>4</v>
      </c>
      <c r="M701" t="s">
        <v>75</v>
      </c>
      <c r="N701" t="s">
        <v>26</v>
      </c>
      <c r="O701">
        <v>202505</v>
      </c>
      <c r="P701">
        <v>104005.2</v>
      </c>
      <c r="Q701" t="s">
        <v>217</v>
      </c>
      <c r="R701" t="s">
        <v>218</v>
      </c>
      <c r="S701" t="s">
        <v>18</v>
      </c>
      <c r="T701" t="s">
        <v>122</v>
      </c>
      <c r="U701" t="s">
        <v>20</v>
      </c>
      <c r="V701">
        <v>1</v>
      </c>
      <c r="W701" t="s">
        <v>10</v>
      </c>
      <c r="X701" t="s">
        <v>51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12</v>
      </c>
      <c r="AG701" t="s">
        <v>12</v>
      </c>
      <c r="AH701" t="s">
        <v>12</v>
      </c>
      <c r="AI701" t="s">
        <v>12</v>
      </c>
      <c r="AJ701" t="s">
        <v>12</v>
      </c>
      <c r="AK701">
        <v>1</v>
      </c>
      <c r="AL701">
        <v>1</v>
      </c>
      <c r="AM701" t="s">
        <v>12</v>
      </c>
      <c r="AN701" t="s">
        <v>12</v>
      </c>
      <c r="AO701" t="s">
        <v>12</v>
      </c>
    </row>
    <row r="702" spans="1:41" x14ac:dyDescent="0.35">
      <c r="A702">
        <v>21786822</v>
      </c>
      <c r="B702">
        <v>202511</v>
      </c>
      <c r="C702">
        <v>20606682442</v>
      </c>
      <c r="D702" t="s">
        <v>970</v>
      </c>
      <c r="E702" t="s">
        <v>1</v>
      </c>
      <c r="F702">
        <v>10271448</v>
      </c>
      <c r="G702" t="s">
        <v>73</v>
      </c>
      <c r="H702" t="s">
        <v>246</v>
      </c>
      <c r="I702">
        <v>211077.921875</v>
      </c>
      <c r="J702" s="1">
        <v>45917</v>
      </c>
      <c r="K702">
        <v>17</v>
      </c>
      <c r="L702" t="s">
        <v>4</v>
      </c>
      <c r="M702" t="s">
        <v>75</v>
      </c>
      <c r="N702" t="s">
        <v>20</v>
      </c>
      <c r="O702">
        <v>202509</v>
      </c>
      <c r="P702">
        <v>250012.5</v>
      </c>
      <c r="Q702" t="s">
        <v>246</v>
      </c>
      <c r="R702" t="s">
        <v>247</v>
      </c>
      <c r="S702" t="s">
        <v>18</v>
      </c>
      <c r="T702" t="s">
        <v>122</v>
      </c>
      <c r="U702" t="s">
        <v>20</v>
      </c>
      <c r="V702">
        <v>1</v>
      </c>
      <c r="W702" t="s">
        <v>10</v>
      </c>
      <c r="X702" t="s">
        <v>51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12</v>
      </c>
      <c r="AG702" t="s">
        <v>12</v>
      </c>
      <c r="AH702" t="s">
        <v>12</v>
      </c>
      <c r="AI702" t="s">
        <v>12</v>
      </c>
      <c r="AJ702" t="s">
        <v>12</v>
      </c>
      <c r="AK702">
        <v>1</v>
      </c>
      <c r="AL702">
        <v>1</v>
      </c>
      <c r="AM702" t="s">
        <v>12</v>
      </c>
      <c r="AN702" t="s">
        <v>12</v>
      </c>
      <c r="AO702" t="s">
        <v>12</v>
      </c>
    </row>
    <row r="703" spans="1:41" x14ac:dyDescent="0.35">
      <c r="A703">
        <v>9236708</v>
      </c>
      <c r="B703">
        <v>202509</v>
      </c>
      <c r="C703">
        <v>10105866777</v>
      </c>
      <c r="D703" t="s">
        <v>971</v>
      </c>
      <c r="E703">
        <v>10586677</v>
      </c>
      <c r="F703">
        <v>10269728</v>
      </c>
      <c r="G703" t="s">
        <v>100</v>
      </c>
      <c r="H703" t="s">
        <v>972</v>
      </c>
      <c r="I703">
        <v>120157.53125</v>
      </c>
      <c r="J703" s="1">
        <v>45856</v>
      </c>
      <c r="K703">
        <v>17.25</v>
      </c>
      <c r="L703" t="s">
        <v>37</v>
      </c>
      <c r="M703" t="s">
        <v>37</v>
      </c>
      <c r="N703" t="s">
        <v>102</v>
      </c>
      <c r="O703">
        <v>202507</v>
      </c>
      <c r="P703">
        <v>135476.75</v>
      </c>
      <c r="Q703" t="s">
        <v>12</v>
      </c>
      <c r="R703" t="s">
        <v>12</v>
      </c>
      <c r="S703" t="s">
        <v>12</v>
      </c>
      <c r="T703" t="s">
        <v>12</v>
      </c>
      <c r="U703" t="s">
        <v>12</v>
      </c>
      <c r="V703" t="s">
        <v>12</v>
      </c>
      <c r="W703" t="s">
        <v>12</v>
      </c>
      <c r="X703" t="s">
        <v>12</v>
      </c>
      <c r="Y703" t="s">
        <v>12</v>
      </c>
      <c r="Z703" t="s">
        <v>12</v>
      </c>
      <c r="AA703" t="s">
        <v>12</v>
      </c>
      <c r="AB703" t="s">
        <v>12</v>
      </c>
      <c r="AC703" t="s">
        <v>12</v>
      </c>
      <c r="AD703" t="s">
        <v>12</v>
      </c>
      <c r="AE703" t="s">
        <v>12</v>
      </c>
      <c r="AF703" t="s">
        <v>12</v>
      </c>
      <c r="AG703" t="s">
        <v>12</v>
      </c>
      <c r="AH703" t="s">
        <v>12</v>
      </c>
      <c r="AI703" t="s">
        <v>12</v>
      </c>
      <c r="AJ703" t="s">
        <v>12</v>
      </c>
      <c r="AK703" t="s">
        <v>12</v>
      </c>
      <c r="AL703" t="s">
        <v>12</v>
      </c>
      <c r="AM703" t="s">
        <v>12</v>
      </c>
      <c r="AN703" t="s">
        <v>12</v>
      </c>
      <c r="AO703" t="s">
        <v>12</v>
      </c>
    </row>
    <row r="704" spans="1:41" x14ac:dyDescent="0.35">
      <c r="A704">
        <v>15968249</v>
      </c>
      <c r="B704">
        <v>202602</v>
      </c>
      <c r="C704">
        <v>20550899575</v>
      </c>
      <c r="D704" t="s">
        <v>973</v>
      </c>
      <c r="E704" t="s">
        <v>1</v>
      </c>
      <c r="F704">
        <v>10162724</v>
      </c>
      <c r="G704" t="s">
        <v>2</v>
      </c>
      <c r="H704" t="s">
        <v>227</v>
      </c>
      <c r="I704">
        <v>115375.9375</v>
      </c>
      <c r="J704" s="1">
        <v>45845</v>
      </c>
      <c r="K704">
        <v>16</v>
      </c>
      <c r="L704" t="s">
        <v>4</v>
      </c>
      <c r="M704" t="s">
        <v>4</v>
      </c>
      <c r="N704" t="s">
        <v>5</v>
      </c>
      <c r="O704">
        <v>202507</v>
      </c>
      <c r="P704">
        <v>155007.75</v>
      </c>
      <c r="Q704" t="s">
        <v>227</v>
      </c>
      <c r="R704" t="s">
        <v>228</v>
      </c>
      <c r="S704" t="s">
        <v>127</v>
      </c>
      <c r="T704" t="s">
        <v>147</v>
      </c>
      <c r="U704" t="s">
        <v>63</v>
      </c>
      <c r="V704">
        <v>1</v>
      </c>
      <c r="W704" t="s">
        <v>10</v>
      </c>
      <c r="X704" t="s">
        <v>22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12</v>
      </c>
      <c r="AG704" t="s">
        <v>12</v>
      </c>
      <c r="AH704" t="s">
        <v>12</v>
      </c>
      <c r="AI704" t="s">
        <v>12</v>
      </c>
      <c r="AJ704" t="s">
        <v>12</v>
      </c>
      <c r="AK704">
        <v>500000</v>
      </c>
      <c r="AL704">
        <v>0.21</v>
      </c>
      <c r="AM704">
        <v>0.19</v>
      </c>
      <c r="AN704" t="s">
        <v>12</v>
      </c>
      <c r="AO704" t="s">
        <v>12</v>
      </c>
    </row>
    <row r="705" spans="1:41" x14ac:dyDescent="0.35">
      <c r="A705">
        <v>12463983</v>
      </c>
      <c r="B705">
        <v>202509</v>
      </c>
      <c r="C705">
        <v>10021690941</v>
      </c>
      <c r="D705" t="s">
        <v>974</v>
      </c>
      <c r="E705">
        <v>2169094</v>
      </c>
      <c r="F705">
        <v>10268211</v>
      </c>
      <c r="G705" t="s">
        <v>100</v>
      </c>
      <c r="H705" t="s">
        <v>101</v>
      </c>
      <c r="I705">
        <v>29512.314453125</v>
      </c>
      <c r="J705" s="1">
        <v>45804</v>
      </c>
      <c r="K705">
        <v>15</v>
      </c>
      <c r="L705" t="s">
        <v>37</v>
      </c>
      <c r="M705" t="s">
        <v>37</v>
      </c>
      <c r="N705" t="s">
        <v>102</v>
      </c>
      <c r="O705">
        <v>202505</v>
      </c>
      <c r="P705">
        <v>58002.9</v>
      </c>
      <c r="Q705" t="s">
        <v>101</v>
      </c>
      <c r="R705" t="s">
        <v>103</v>
      </c>
      <c r="S705" t="s">
        <v>88</v>
      </c>
      <c r="T705" t="s">
        <v>89</v>
      </c>
      <c r="U705" t="s">
        <v>20</v>
      </c>
      <c r="V705">
        <v>2</v>
      </c>
      <c r="W705" t="s">
        <v>10</v>
      </c>
      <c r="X705" t="s">
        <v>59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12</v>
      </c>
      <c r="AG705" t="s">
        <v>12</v>
      </c>
      <c r="AH705" t="s">
        <v>12</v>
      </c>
      <c r="AI705" t="s">
        <v>12</v>
      </c>
      <c r="AJ705" t="s">
        <v>12</v>
      </c>
      <c r="AK705">
        <v>1</v>
      </c>
      <c r="AL705">
        <v>1</v>
      </c>
      <c r="AM705" t="s">
        <v>12</v>
      </c>
      <c r="AN705" t="s">
        <v>12</v>
      </c>
      <c r="AO705" t="s">
        <v>12</v>
      </c>
    </row>
    <row r="706" spans="1:41" x14ac:dyDescent="0.35">
      <c r="A706">
        <v>18899204</v>
      </c>
      <c r="B706">
        <v>202601</v>
      </c>
      <c r="C706">
        <v>20477384073</v>
      </c>
      <c r="D706" t="s">
        <v>975</v>
      </c>
      <c r="E706" t="s">
        <v>1</v>
      </c>
      <c r="F706">
        <v>10271663</v>
      </c>
      <c r="G706" t="s">
        <v>92</v>
      </c>
      <c r="H706" t="s">
        <v>301</v>
      </c>
      <c r="I706">
        <v>130153.6328125</v>
      </c>
      <c r="J706" s="1">
        <v>45924</v>
      </c>
      <c r="K706">
        <v>15</v>
      </c>
      <c r="L706" t="s">
        <v>4</v>
      </c>
      <c r="M706" t="s">
        <v>4</v>
      </c>
      <c r="N706" t="s">
        <v>41</v>
      </c>
      <c r="O706">
        <v>202509</v>
      </c>
      <c r="P706">
        <v>145807.25</v>
      </c>
      <c r="Q706" t="s">
        <v>301</v>
      </c>
      <c r="R706" t="s">
        <v>310</v>
      </c>
      <c r="S706" t="s">
        <v>49</v>
      </c>
      <c r="T706" t="s">
        <v>50</v>
      </c>
      <c r="U706" t="s">
        <v>168</v>
      </c>
      <c r="V706">
        <v>1</v>
      </c>
      <c r="W706" t="s">
        <v>21</v>
      </c>
      <c r="X706" t="s">
        <v>11</v>
      </c>
      <c r="Y706">
        <v>1</v>
      </c>
      <c r="Z706">
        <v>1</v>
      </c>
      <c r="AA706">
        <v>0</v>
      </c>
      <c r="AB706">
        <v>0</v>
      </c>
      <c r="AC706">
        <v>1</v>
      </c>
      <c r="AD706">
        <v>1</v>
      </c>
      <c r="AE706">
        <v>0</v>
      </c>
      <c r="AF706" t="s">
        <v>12</v>
      </c>
      <c r="AG706" t="s">
        <v>12</v>
      </c>
      <c r="AH706" t="s">
        <v>12</v>
      </c>
      <c r="AI706" t="s">
        <v>12</v>
      </c>
      <c r="AJ706" t="s">
        <v>12</v>
      </c>
      <c r="AK706">
        <v>0</v>
      </c>
      <c r="AL706">
        <v>0</v>
      </c>
      <c r="AM706">
        <v>0</v>
      </c>
      <c r="AN706" t="s">
        <v>12</v>
      </c>
      <c r="AO706" t="s">
        <v>12</v>
      </c>
    </row>
    <row r="707" spans="1:41" x14ac:dyDescent="0.35">
      <c r="A707">
        <v>10316792</v>
      </c>
      <c r="B707">
        <v>202511</v>
      </c>
      <c r="C707">
        <v>10102664316</v>
      </c>
      <c r="D707" t="s">
        <v>976</v>
      </c>
      <c r="E707">
        <v>10266431</v>
      </c>
      <c r="F707">
        <v>10271699</v>
      </c>
      <c r="G707" t="s">
        <v>68</v>
      </c>
      <c r="H707" t="s">
        <v>606</v>
      </c>
      <c r="I707">
        <v>181695.015625</v>
      </c>
      <c r="J707" s="1">
        <v>45924</v>
      </c>
      <c r="K707">
        <v>17</v>
      </c>
      <c r="L707" t="s">
        <v>4</v>
      </c>
      <c r="M707" t="s">
        <v>4</v>
      </c>
      <c r="N707" t="s">
        <v>20</v>
      </c>
      <c r="O707">
        <v>202509</v>
      </c>
      <c r="P707">
        <v>195009.75</v>
      </c>
      <c r="Q707" t="s">
        <v>606</v>
      </c>
      <c r="R707" t="s">
        <v>607</v>
      </c>
      <c r="S707" t="s">
        <v>127</v>
      </c>
      <c r="T707" t="s">
        <v>147</v>
      </c>
      <c r="U707" t="s">
        <v>20</v>
      </c>
      <c r="V707">
        <v>1</v>
      </c>
      <c r="W707" t="s">
        <v>10</v>
      </c>
      <c r="X707" t="s">
        <v>59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 t="s">
        <v>12</v>
      </c>
      <c r="AG707" t="s">
        <v>12</v>
      </c>
      <c r="AH707" t="s">
        <v>12</v>
      </c>
      <c r="AI707" t="s">
        <v>12</v>
      </c>
      <c r="AJ707" t="s">
        <v>12</v>
      </c>
      <c r="AK707">
        <v>1</v>
      </c>
      <c r="AL707">
        <v>1</v>
      </c>
      <c r="AM707" t="s">
        <v>12</v>
      </c>
      <c r="AN707" t="s">
        <v>12</v>
      </c>
      <c r="AO707" t="s">
        <v>12</v>
      </c>
    </row>
    <row r="708" spans="1:41" x14ac:dyDescent="0.35">
      <c r="A708">
        <v>16405348</v>
      </c>
      <c r="B708">
        <v>202511</v>
      </c>
      <c r="C708">
        <v>20605276840</v>
      </c>
      <c r="D708" t="s">
        <v>977</v>
      </c>
      <c r="E708" t="s">
        <v>1</v>
      </c>
      <c r="F708">
        <v>10268957</v>
      </c>
      <c r="G708" t="s">
        <v>28</v>
      </c>
      <c r="H708" t="s">
        <v>385</v>
      </c>
      <c r="I708">
        <v>89839.8671875</v>
      </c>
      <c r="J708" s="1">
        <v>45831</v>
      </c>
      <c r="K708">
        <v>17</v>
      </c>
      <c r="L708" t="s">
        <v>4</v>
      </c>
      <c r="M708" t="s">
        <v>4</v>
      </c>
      <c r="N708" t="s">
        <v>26</v>
      </c>
      <c r="O708">
        <v>202506</v>
      </c>
      <c r="P708">
        <v>120006</v>
      </c>
      <c r="Q708" t="s">
        <v>385</v>
      </c>
      <c r="R708" t="s">
        <v>386</v>
      </c>
      <c r="S708" t="s">
        <v>31</v>
      </c>
      <c r="T708" t="s">
        <v>32</v>
      </c>
      <c r="U708" t="s">
        <v>9</v>
      </c>
      <c r="V708">
        <v>1</v>
      </c>
      <c r="W708" t="s">
        <v>10</v>
      </c>
      <c r="X708" t="s">
        <v>22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 t="s">
        <v>12</v>
      </c>
      <c r="AG708" t="s">
        <v>12</v>
      </c>
      <c r="AH708" t="s">
        <v>12</v>
      </c>
      <c r="AI708" t="s">
        <v>12</v>
      </c>
      <c r="AJ708" t="s">
        <v>12</v>
      </c>
      <c r="AK708">
        <v>0</v>
      </c>
      <c r="AL708">
        <v>0</v>
      </c>
      <c r="AM708">
        <v>0</v>
      </c>
      <c r="AN708" t="s">
        <v>12</v>
      </c>
      <c r="AO708" t="s">
        <v>12</v>
      </c>
    </row>
    <row r="709" spans="1:41" x14ac:dyDescent="0.35">
      <c r="A709">
        <v>17866634</v>
      </c>
      <c r="B709">
        <v>202507</v>
      </c>
      <c r="C709">
        <v>20557233629</v>
      </c>
      <c r="D709" t="s">
        <v>978</v>
      </c>
      <c r="E709" t="s">
        <v>1</v>
      </c>
      <c r="F709">
        <v>10266649</v>
      </c>
      <c r="G709" t="s">
        <v>73</v>
      </c>
      <c r="H709" t="s">
        <v>305</v>
      </c>
      <c r="I709">
        <v>80543.3828125</v>
      </c>
      <c r="J709" s="1">
        <v>45743</v>
      </c>
      <c r="K709">
        <v>18</v>
      </c>
      <c r="L709" t="s">
        <v>4</v>
      </c>
      <c r="M709" t="s">
        <v>4</v>
      </c>
      <c r="N709" t="s">
        <v>20</v>
      </c>
      <c r="O709">
        <v>202503</v>
      </c>
      <c r="P709">
        <v>90004.5</v>
      </c>
      <c r="Q709" t="s">
        <v>305</v>
      </c>
      <c r="R709" t="s">
        <v>306</v>
      </c>
      <c r="S709" t="s">
        <v>7</v>
      </c>
      <c r="T709" t="s">
        <v>8</v>
      </c>
      <c r="U709" t="s">
        <v>20</v>
      </c>
      <c r="V709">
        <v>1</v>
      </c>
      <c r="W709" t="s">
        <v>10</v>
      </c>
      <c r="X709" t="s">
        <v>12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12</v>
      </c>
      <c r="AG709" t="s">
        <v>12</v>
      </c>
      <c r="AH709" t="s">
        <v>12</v>
      </c>
      <c r="AI709" t="s">
        <v>12</v>
      </c>
      <c r="AJ709" t="s">
        <v>12</v>
      </c>
      <c r="AK709">
        <v>1</v>
      </c>
      <c r="AL709">
        <v>0.20380000000000001</v>
      </c>
      <c r="AM709" t="s">
        <v>12</v>
      </c>
      <c r="AN709" t="s">
        <v>12</v>
      </c>
      <c r="AO709" t="s">
        <v>12</v>
      </c>
    </row>
    <row r="710" spans="1:41" x14ac:dyDescent="0.35">
      <c r="A710">
        <v>14542555</v>
      </c>
      <c r="B710">
        <v>202509</v>
      </c>
      <c r="C710">
        <v>20600918991</v>
      </c>
      <c r="D710" t="s">
        <v>979</v>
      </c>
      <c r="E710" t="s">
        <v>1</v>
      </c>
      <c r="F710">
        <v>10140426</v>
      </c>
      <c r="G710" t="s">
        <v>2</v>
      </c>
      <c r="H710" t="s">
        <v>117</v>
      </c>
      <c r="I710">
        <v>85501.6328125</v>
      </c>
      <c r="J710" s="1">
        <v>45643</v>
      </c>
      <c r="K710">
        <v>18</v>
      </c>
      <c r="L710" t="s">
        <v>4</v>
      </c>
      <c r="M710" t="s">
        <v>4</v>
      </c>
      <c r="N710" t="s">
        <v>5</v>
      </c>
      <c r="O710">
        <v>202412</v>
      </c>
      <c r="P710">
        <v>120006</v>
      </c>
      <c r="Q710" t="s">
        <v>117</v>
      </c>
      <c r="R710" t="s">
        <v>118</v>
      </c>
      <c r="S710" t="s">
        <v>39</v>
      </c>
      <c r="T710" t="s">
        <v>40</v>
      </c>
      <c r="U710" t="s">
        <v>41</v>
      </c>
      <c r="V710">
        <v>1</v>
      </c>
      <c r="W710" t="s">
        <v>10</v>
      </c>
      <c r="X710" t="s">
        <v>11</v>
      </c>
      <c r="Y710">
        <v>1</v>
      </c>
      <c r="Z710">
        <v>1</v>
      </c>
      <c r="AA710">
        <v>0</v>
      </c>
      <c r="AB710">
        <v>0</v>
      </c>
      <c r="AC710">
        <v>1</v>
      </c>
      <c r="AD710">
        <v>1</v>
      </c>
      <c r="AE710">
        <v>0</v>
      </c>
      <c r="AF710" t="s">
        <v>12</v>
      </c>
      <c r="AG710" t="s">
        <v>12</v>
      </c>
      <c r="AH710" t="s">
        <v>12</v>
      </c>
      <c r="AI710" t="s">
        <v>12</v>
      </c>
      <c r="AJ710" t="s">
        <v>12</v>
      </c>
      <c r="AK710">
        <v>400000</v>
      </c>
      <c r="AL710">
        <v>0.18379999999999999</v>
      </c>
      <c r="AM710">
        <v>0.1638</v>
      </c>
      <c r="AN710" t="s">
        <v>12</v>
      </c>
      <c r="AO710" t="s">
        <v>12</v>
      </c>
    </row>
    <row r="711" spans="1:41" x14ac:dyDescent="0.35">
      <c r="A711">
        <v>10369799</v>
      </c>
      <c r="B711">
        <v>202507</v>
      </c>
      <c r="C711">
        <v>10082816114</v>
      </c>
      <c r="D711" t="s">
        <v>655</v>
      </c>
      <c r="E711">
        <v>8281611</v>
      </c>
      <c r="F711">
        <v>10173142</v>
      </c>
      <c r="G711" t="s">
        <v>2</v>
      </c>
      <c r="H711" t="s">
        <v>513</v>
      </c>
      <c r="I711">
        <v>3462.73828125</v>
      </c>
      <c r="J711" s="1">
        <v>45616</v>
      </c>
      <c r="K711">
        <v>17.899999999999999</v>
      </c>
      <c r="L711" t="s">
        <v>4</v>
      </c>
      <c r="M711" t="s">
        <v>4</v>
      </c>
      <c r="N711" t="s">
        <v>5</v>
      </c>
      <c r="O711">
        <v>202411</v>
      </c>
      <c r="P711">
        <v>120006</v>
      </c>
      <c r="Q711" t="s">
        <v>513</v>
      </c>
      <c r="R711" t="s">
        <v>514</v>
      </c>
      <c r="S711" t="s">
        <v>111</v>
      </c>
      <c r="T711" t="s">
        <v>112</v>
      </c>
      <c r="U711" t="s">
        <v>20</v>
      </c>
      <c r="V711">
        <v>2</v>
      </c>
      <c r="W711" t="s">
        <v>90</v>
      </c>
      <c r="X711" t="s">
        <v>12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 t="s">
        <v>12</v>
      </c>
      <c r="AG711" t="s">
        <v>12</v>
      </c>
      <c r="AH711" t="s">
        <v>12</v>
      </c>
      <c r="AI711" t="s">
        <v>12</v>
      </c>
      <c r="AJ711" t="s">
        <v>12</v>
      </c>
      <c r="AK711">
        <v>1</v>
      </c>
      <c r="AL711">
        <v>0.1898</v>
      </c>
      <c r="AM711" t="s">
        <v>12</v>
      </c>
      <c r="AN711" t="s">
        <v>12</v>
      </c>
      <c r="AO711" t="s">
        <v>12</v>
      </c>
    </row>
    <row r="712" spans="1:41" x14ac:dyDescent="0.35">
      <c r="A712">
        <v>9882782</v>
      </c>
      <c r="B712">
        <v>202601</v>
      </c>
      <c r="C712">
        <v>10100303863</v>
      </c>
      <c r="D712" t="s">
        <v>980</v>
      </c>
      <c r="E712">
        <v>10030386</v>
      </c>
      <c r="F712">
        <v>10261562</v>
      </c>
      <c r="G712" t="s">
        <v>65</v>
      </c>
      <c r="H712" t="s">
        <v>981</v>
      </c>
      <c r="I712">
        <v>32502.130859375</v>
      </c>
      <c r="J712" s="1">
        <v>45580</v>
      </c>
      <c r="K712">
        <v>16.200001</v>
      </c>
      <c r="L712" t="s">
        <v>37</v>
      </c>
      <c r="M712" t="s">
        <v>37</v>
      </c>
      <c r="N712" t="s">
        <v>47</v>
      </c>
      <c r="O712">
        <v>202410</v>
      </c>
      <c r="P712">
        <v>49212.45</v>
      </c>
      <c r="Q712" t="s">
        <v>85</v>
      </c>
      <c r="R712" t="s">
        <v>87</v>
      </c>
      <c r="S712" t="s">
        <v>88</v>
      </c>
      <c r="T712" t="s">
        <v>89</v>
      </c>
      <c r="U712" t="s">
        <v>41</v>
      </c>
      <c r="V712">
        <v>2</v>
      </c>
      <c r="W712" t="s">
        <v>21</v>
      </c>
      <c r="X712" t="s">
        <v>59</v>
      </c>
      <c r="Y712">
        <v>1</v>
      </c>
      <c r="Z712">
        <v>1</v>
      </c>
      <c r="AA712">
        <v>0</v>
      </c>
      <c r="AB712">
        <v>1</v>
      </c>
      <c r="AC712">
        <v>1</v>
      </c>
      <c r="AD712">
        <v>0</v>
      </c>
      <c r="AE712">
        <v>0</v>
      </c>
      <c r="AF712" t="s">
        <v>12</v>
      </c>
      <c r="AG712" t="s">
        <v>12</v>
      </c>
      <c r="AH712" t="s">
        <v>12</v>
      </c>
      <c r="AI712" t="s">
        <v>12</v>
      </c>
      <c r="AJ712" t="s">
        <v>12</v>
      </c>
      <c r="AK712">
        <v>200000</v>
      </c>
      <c r="AL712">
        <v>0.2447</v>
      </c>
      <c r="AM712">
        <v>0.22470000000000001</v>
      </c>
      <c r="AN712" t="s">
        <v>12</v>
      </c>
      <c r="AO712" t="s">
        <v>12</v>
      </c>
    </row>
    <row r="713" spans="1:41" x14ac:dyDescent="0.35">
      <c r="A713">
        <v>21104032</v>
      </c>
      <c r="B713">
        <v>202510</v>
      </c>
      <c r="C713">
        <v>20606186038</v>
      </c>
      <c r="D713" t="s">
        <v>982</v>
      </c>
      <c r="E713" t="s">
        <v>1</v>
      </c>
      <c r="F713">
        <v>10259564</v>
      </c>
      <c r="G713" t="s">
        <v>45</v>
      </c>
      <c r="H713" t="s">
        <v>240</v>
      </c>
      <c r="I713">
        <v>47098.125</v>
      </c>
      <c r="J713" s="1">
        <v>45530</v>
      </c>
      <c r="K713">
        <v>14.8</v>
      </c>
      <c r="L713" t="s">
        <v>37</v>
      </c>
      <c r="M713" t="s">
        <v>37</v>
      </c>
      <c r="N713" t="s">
        <v>47</v>
      </c>
      <c r="O713">
        <v>202408</v>
      </c>
      <c r="P713">
        <v>63939.15</v>
      </c>
      <c r="Q713" t="s">
        <v>240</v>
      </c>
      <c r="R713" t="s">
        <v>241</v>
      </c>
      <c r="S713" t="s">
        <v>39</v>
      </c>
      <c r="T713" t="s">
        <v>40</v>
      </c>
      <c r="U713" t="s">
        <v>9</v>
      </c>
      <c r="V713">
        <v>1</v>
      </c>
      <c r="W713" t="s">
        <v>10</v>
      </c>
      <c r="X713" t="s">
        <v>12</v>
      </c>
      <c r="Y713">
        <v>1</v>
      </c>
      <c r="Z713">
        <v>1</v>
      </c>
      <c r="AA713">
        <v>0</v>
      </c>
      <c r="AB713">
        <v>1</v>
      </c>
      <c r="AC713">
        <v>1</v>
      </c>
      <c r="AD713">
        <v>1</v>
      </c>
      <c r="AE713">
        <v>0</v>
      </c>
      <c r="AF713" t="s">
        <v>12</v>
      </c>
      <c r="AG713" t="s">
        <v>12</v>
      </c>
      <c r="AH713" t="s">
        <v>12</v>
      </c>
      <c r="AI713" t="s">
        <v>12</v>
      </c>
      <c r="AJ713" t="s">
        <v>12</v>
      </c>
      <c r="AK713">
        <v>0</v>
      </c>
      <c r="AL713">
        <v>0</v>
      </c>
      <c r="AM713">
        <v>0.19</v>
      </c>
      <c r="AN713" t="s">
        <v>12</v>
      </c>
      <c r="AO713" t="s">
        <v>12</v>
      </c>
    </row>
    <row r="714" spans="1:41" x14ac:dyDescent="0.35">
      <c r="A714">
        <v>18899204</v>
      </c>
      <c r="B714">
        <v>202601</v>
      </c>
      <c r="C714">
        <v>20477384073</v>
      </c>
      <c r="D714" t="s">
        <v>975</v>
      </c>
      <c r="E714" t="s">
        <v>1</v>
      </c>
      <c r="F714">
        <v>10267090</v>
      </c>
      <c r="G714" t="s">
        <v>68</v>
      </c>
      <c r="H714" t="s">
        <v>301</v>
      </c>
      <c r="I714">
        <v>226371.28125</v>
      </c>
      <c r="J714" s="1">
        <v>45762</v>
      </c>
      <c r="K714">
        <v>15</v>
      </c>
      <c r="L714" t="s">
        <v>4</v>
      </c>
      <c r="M714" t="s">
        <v>4</v>
      </c>
      <c r="N714" t="s">
        <v>70</v>
      </c>
      <c r="O714">
        <v>202504</v>
      </c>
      <c r="P714">
        <v>287014.34999999998</v>
      </c>
      <c r="Q714" t="s">
        <v>301</v>
      </c>
      <c r="R714" t="s">
        <v>310</v>
      </c>
      <c r="S714" t="s">
        <v>49</v>
      </c>
      <c r="T714" t="s">
        <v>50</v>
      </c>
      <c r="U714" t="s">
        <v>168</v>
      </c>
      <c r="V714">
        <v>1</v>
      </c>
      <c r="W714" t="s">
        <v>21</v>
      </c>
      <c r="X714" t="s">
        <v>11</v>
      </c>
      <c r="Y714">
        <v>1</v>
      </c>
      <c r="Z714">
        <v>1</v>
      </c>
      <c r="AA714">
        <v>0</v>
      </c>
      <c r="AB714">
        <v>0</v>
      </c>
      <c r="AC714">
        <v>1</v>
      </c>
      <c r="AD714">
        <v>1</v>
      </c>
      <c r="AE714">
        <v>0</v>
      </c>
      <c r="AF714" t="s">
        <v>12</v>
      </c>
      <c r="AG714" t="s">
        <v>12</v>
      </c>
      <c r="AH714" t="s">
        <v>12</v>
      </c>
      <c r="AI714" t="s">
        <v>12</v>
      </c>
      <c r="AJ714" t="s">
        <v>12</v>
      </c>
      <c r="AK714">
        <v>0</v>
      </c>
      <c r="AL714">
        <v>0</v>
      </c>
      <c r="AM714">
        <v>0</v>
      </c>
      <c r="AN714" t="s">
        <v>12</v>
      </c>
      <c r="AO714" t="s">
        <v>12</v>
      </c>
    </row>
    <row r="715" spans="1:41" x14ac:dyDescent="0.35">
      <c r="A715">
        <v>21338416</v>
      </c>
      <c r="B715">
        <v>202508</v>
      </c>
      <c r="C715">
        <v>20546285104</v>
      </c>
      <c r="D715" t="s">
        <v>983</v>
      </c>
      <c r="E715" t="s">
        <v>1</v>
      </c>
      <c r="F715">
        <v>10267821</v>
      </c>
      <c r="G715" t="s">
        <v>14</v>
      </c>
      <c r="H715" t="s">
        <v>18</v>
      </c>
      <c r="I715">
        <v>151574.21875</v>
      </c>
      <c r="J715" s="1">
        <v>45792</v>
      </c>
      <c r="K715">
        <v>17</v>
      </c>
      <c r="L715" t="s">
        <v>37</v>
      </c>
      <c r="M715" t="s">
        <v>37</v>
      </c>
      <c r="N715" t="s">
        <v>16</v>
      </c>
      <c r="O715">
        <v>202505</v>
      </c>
      <c r="P715">
        <v>170008.5</v>
      </c>
      <c r="Q715" t="s">
        <v>12</v>
      </c>
      <c r="R715" t="s">
        <v>12</v>
      </c>
      <c r="S715" t="s">
        <v>12</v>
      </c>
      <c r="T715" t="s">
        <v>12</v>
      </c>
      <c r="U715" t="s">
        <v>12</v>
      </c>
      <c r="V715" t="s">
        <v>12</v>
      </c>
      <c r="W715" t="s">
        <v>12</v>
      </c>
      <c r="X715" t="s">
        <v>12</v>
      </c>
      <c r="Y715" t="s">
        <v>12</v>
      </c>
      <c r="Z715" t="s">
        <v>12</v>
      </c>
      <c r="AA715" t="s">
        <v>12</v>
      </c>
      <c r="AB715" t="s">
        <v>12</v>
      </c>
      <c r="AC715" t="s">
        <v>12</v>
      </c>
      <c r="AD715" t="s">
        <v>12</v>
      </c>
      <c r="AE715" t="s">
        <v>12</v>
      </c>
      <c r="AF715" t="s">
        <v>12</v>
      </c>
      <c r="AG715" t="s">
        <v>12</v>
      </c>
      <c r="AH715" t="s">
        <v>12</v>
      </c>
      <c r="AI715" t="s">
        <v>12</v>
      </c>
      <c r="AJ715" t="s">
        <v>12</v>
      </c>
      <c r="AK715" t="s">
        <v>12</v>
      </c>
      <c r="AL715" t="s">
        <v>12</v>
      </c>
      <c r="AM715" t="s">
        <v>12</v>
      </c>
      <c r="AN715" t="s">
        <v>12</v>
      </c>
      <c r="AO715" t="s">
        <v>12</v>
      </c>
    </row>
    <row r="716" spans="1:41" x14ac:dyDescent="0.35">
      <c r="A716">
        <v>13012781</v>
      </c>
      <c r="B716">
        <v>202511</v>
      </c>
      <c r="C716">
        <v>10056459419</v>
      </c>
      <c r="D716" t="s">
        <v>984</v>
      </c>
      <c r="E716">
        <v>5645941</v>
      </c>
      <c r="F716">
        <v>10271509</v>
      </c>
      <c r="G716" t="s">
        <v>24</v>
      </c>
      <c r="H716" t="s">
        <v>159</v>
      </c>
      <c r="I716">
        <v>42349.87109375</v>
      </c>
      <c r="J716" s="1">
        <v>45918</v>
      </c>
      <c r="K716">
        <v>21</v>
      </c>
      <c r="L716" t="s">
        <v>37</v>
      </c>
      <c r="M716" t="s">
        <v>37</v>
      </c>
      <c r="N716" t="s">
        <v>98</v>
      </c>
      <c r="O716">
        <v>202509</v>
      </c>
      <c r="P716">
        <v>50002.5</v>
      </c>
      <c r="Q716" t="s">
        <v>12</v>
      </c>
      <c r="R716" t="s">
        <v>12</v>
      </c>
      <c r="S716" t="s">
        <v>12</v>
      </c>
      <c r="T716" t="s">
        <v>12</v>
      </c>
      <c r="U716" t="s">
        <v>196</v>
      </c>
      <c r="V716">
        <v>3</v>
      </c>
      <c r="W716" t="s">
        <v>90</v>
      </c>
      <c r="X716" t="s">
        <v>59</v>
      </c>
      <c r="Y716">
        <v>1</v>
      </c>
      <c r="Z716">
        <v>1</v>
      </c>
      <c r="AA716">
        <v>0</v>
      </c>
      <c r="AB716">
        <v>0</v>
      </c>
      <c r="AC716">
        <v>0</v>
      </c>
      <c r="AD716" t="s">
        <v>12</v>
      </c>
      <c r="AE716">
        <v>0</v>
      </c>
      <c r="AF716" t="s">
        <v>12</v>
      </c>
      <c r="AG716" t="s">
        <v>12</v>
      </c>
      <c r="AH716" t="s">
        <v>12</v>
      </c>
      <c r="AI716" t="s">
        <v>12</v>
      </c>
      <c r="AJ716" t="s">
        <v>12</v>
      </c>
      <c r="AK716" t="s">
        <v>12</v>
      </c>
      <c r="AL716" t="s">
        <v>12</v>
      </c>
      <c r="AM716" t="s">
        <v>12</v>
      </c>
      <c r="AN716" t="s">
        <v>269</v>
      </c>
      <c r="AO716" t="s">
        <v>270</v>
      </c>
    </row>
    <row r="717" spans="1:41" x14ac:dyDescent="0.35">
      <c r="A717">
        <v>21580130</v>
      </c>
      <c r="B717">
        <v>202512</v>
      </c>
      <c r="C717">
        <v>20610538143</v>
      </c>
      <c r="D717" t="s">
        <v>985</v>
      </c>
      <c r="E717" t="s">
        <v>1</v>
      </c>
      <c r="F717">
        <v>10270016</v>
      </c>
      <c r="G717" t="s">
        <v>268</v>
      </c>
      <c r="H717" t="s">
        <v>159</v>
      </c>
      <c r="I717">
        <v>40342.14453125</v>
      </c>
      <c r="J717" s="1">
        <v>45868</v>
      </c>
      <c r="K717">
        <v>24</v>
      </c>
      <c r="L717" t="s">
        <v>37</v>
      </c>
      <c r="M717" t="s">
        <v>37</v>
      </c>
      <c r="N717" t="s">
        <v>98</v>
      </c>
      <c r="O717">
        <v>202507</v>
      </c>
      <c r="P717">
        <v>50002.5</v>
      </c>
      <c r="Q717" t="s">
        <v>12</v>
      </c>
      <c r="R717" t="s">
        <v>12</v>
      </c>
      <c r="S717" t="s">
        <v>12</v>
      </c>
      <c r="T717" t="s">
        <v>12</v>
      </c>
      <c r="U717" t="s">
        <v>12</v>
      </c>
      <c r="V717" t="s">
        <v>12</v>
      </c>
      <c r="W717" t="s">
        <v>12</v>
      </c>
      <c r="X717" t="s">
        <v>12</v>
      </c>
      <c r="Y717" t="s">
        <v>12</v>
      </c>
      <c r="Z717" t="s">
        <v>12</v>
      </c>
      <c r="AA717" t="s">
        <v>12</v>
      </c>
      <c r="AB717" t="s">
        <v>12</v>
      </c>
      <c r="AC717" t="s">
        <v>12</v>
      </c>
      <c r="AD717" t="s">
        <v>12</v>
      </c>
      <c r="AE717" t="s">
        <v>12</v>
      </c>
      <c r="AF717" t="s">
        <v>12</v>
      </c>
      <c r="AG717" t="s">
        <v>12</v>
      </c>
      <c r="AH717" t="s">
        <v>12</v>
      </c>
      <c r="AI717" t="s">
        <v>12</v>
      </c>
      <c r="AJ717" t="s">
        <v>12</v>
      </c>
      <c r="AK717" t="s">
        <v>12</v>
      </c>
      <c r="AL717" t="s">
        <v>12</v>
      </c>
      <c r="AM717" t="s">
        <v>12</v>
      </c>
      <c r="AN717" t="s">
        <v>12</v>
      </c>
      <c r="AO717" t="s">
        <v>12</v>
      </c>
    </row>
    <row r="718" spans="1:41" x14ac:dyDescent="0.35">
      <c r="A718">
        <v>8209000</v>
      </c>
      <c r="B718">
        <v>202512</v>
      </c>
      <c r="C718">
        <v>10076180844</v>
      </c>
      <c r="D718" t="s">
        <v>986</v>
      </c>
      <c r="E718">
        <v>7618084</v>
      </c>
      <c r="F718">
        <v>10259519</v>
      </c>
      <c r="G718" t="s">
        <v>65</v>
      </c>
      <c r="H718" t="s">
        <v>105</v>
      </c>
      <c r="I718">
        <v>36991.7890625</v>
      </c>
      <c r="J718" s="1">
        <v>45530</v>
      </c>
      <c r="K718">
        <v>14.7</v>
      </c>
      <c r="L718" t="s">
        <v>4</v>
      </c>
      <c r="M718" t="s">
        <v>4</v>
      </c>
      <c r="N718" t="s">
        <v>47</v>
      </c>
      <c r="O718">
        <v>202408</v>
      </c>
      <c r="P718">
        <v>60003</v>
      </c>
      <c r="Q718" t="s">
        <v>105</v>
      </c>
      <c r="R718" t="s">
        <v>106</v>
      </c>
      <c r="S718" t="s">
        <v>88</v>
      </c>
      <c r="T718" t="s">
        <v>89</v>
      </c>
      <c r="U718" t="s">
        <v>9</v>
      </c>
      <c r="V718">
        <v>2</v>
      </c>
      <c r="W718" t="s">
        <v>90</v>
      </c>
      <c r="X718" t="s">
        <v>59</v>
      </c>
      <c r="Y718">
        <v>1</v>
      </c>
      <c r="Z718">
        <v>1</v>
      </c>
      <c r="AA718">
        <v>0</v>
      </c>
      <c r="AB718">
        <v>1</v>
      </c>
      <c r="AC718">
        <v>1</v>
      </c>
      <c r="AD718">
        <v>1</v>
      </c>
      <c r="AE718">
        <v>0</v>
      </c>
      <c r="AF718" t="s">
        <v>12</v>
      </c>
      <c r="AG718" t="s">
        <v>12</v>
      </c>
      <c r="AH718" t="s">
        <v>12</v>
      </c>
      <c r="AI718" t="s">
        <v>12</v>
      </c>
      <c r="AJ718" t="s">
        <v>12</v>
      </c>
      <c r="AK718">
        <v>0</v>
      </c>
      <c r="AL718">
        <v>0</v>
      </c>
      <c r="AM718">
        <v>0.19</v>
      </c>
      <c r="AN718" t="s">
        <v>12</v>
      </c>
      <c r="AO718" t="s">
        <v>12</v>
      </c>
    </row>
    <row r="719" spans="1:41" x14ac:dyDescent="0.35">
      <c r="A719">
        <v>20005059</v>
      </c>
      <c r="B719">
        <v>202510</v>
      </c>
      <c r="C719">
        <v>20611028203</v>
      </c>
      <c r="D719" t="s">
        <v>987</v>
      </c>
      <c r="E719" t="s">
        <v>1</v>
      </c>
      <c r="F719">
        <v>10258058</v>
      </c>
      <c r="G719" t="s">
        <v>45</v>
      </c>
      <c r="H719" t="s">
        <v>190</v>
      </c>
      <c r="I719">
        <v>59271.4140625</v>
      </c>
      <c r="J719" s="1">
        <v>45498</v>
      </c>
      <c r="K719">
        <v>15.5</v>
      </c>
      <c r="L719" t="s">
        <v>37</v>
      </c>
      <c r="M719" t="s">
        <v>37</v>
      </c>
      <c r="N719" t="s">
        <v>47</v>
      </c>
      <c r="O719">
        <v>202407</v>
      </c>
      <c r="P719">
        <v>90004.5</v>
      </c>
      <c r="Q719" t="s">
        <v>190</v>
      </c>
      <c r="R719" t="s">
        <v>191</v>
      </c>
      <c r="S719" t="s">
        <v>49</v>
      </c>
      <c r="T719" t="s">
        <v>50</v>
      </c>
      <c r="U719" t="s">
        <v>20</v>
      </c>
      <c r="V719">
        <v>1</v>
      </c>
      <c r="W719" t="s">
        <v>10</v>
      </c>
      <c r="X719" t="s">
        <v>12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12</v>
      </c>
      <c r="AG719" t="s">
        <v>12</v>
      </c>
      <c r="AH719" t="s">
        <v>12</v>
      </c>
      <c r="AI719" t="s">
        <v>12</v>
      </c>
      <c r="AJ719" t="s">
        <v>12</v>
      </c>
      <c r="AK719">
        <v>1</v>
      </c>
      <c r="AL719">
        <v>1</v>
      </c>
      <c r="AM719" t="s">
        <v>12</v>
      </c>
      <c r="AN719" t="s">
        <v>12</v>
      </c>
      <c r="AO719" t="s">
        <v>12</v>
      </c>
    </row>
    <row r="720" spans="1:41" x14ac:dyDescent="0.35">
      <c r="A720">
        <v>3983350</v>
      </c>
      <c r="B720">
        <v>202602</v>
      </c>
      <c r="C720">
        <v>10040660653</v>
      </c>
      <c r="D720" t="s">
        <v>988</v>
      </c>
      <c r="E720">
        <v>4066065</v>
      </c>
      <c r="F720">
        <v>10256130</v>
      </c>
      <c r="G720" t="s">
        <v>53</v>
      </c>
      <c r="H720" t="s">
        <v>79</v>
      </c>
      <c r="I720">
        <v>37422.9453125</v>
      </c>
      <c r="J720" s="1">
        <v>45467</v>
      </c>
      <c r="K720">
        <v>15.3</v>
      </c>
      <c r="L720" t="s">
        <v>4</v>
      </c>
      <c r="M720" t="s">
        <v>4</v>
      </c>
      <c r="N720" t="s">
        <v>47</v>
      </c>
      <c r="O720">
        <v>202406</v>
      </c>
      <c r="P720">
        <v>105245.25</v>
      </c>
      <c r="Q720" t="s">
        <v>79</v>
      </c>
      <c r="R720" t="s">
        <v>80</v>
      </c>
      <c r="S720" t="s">
        <v>31</v>
      </c>
      <c r="T720" t="s">
        <v>32</v>
      </c>
      <c r="U720" t="s">
        <v>63</v>
      </c>
      <c r="V720">
        <v>1</v>
      </c>
      <c r="W720" t="s">
        <v>90</v>
      </c>
      <c r="X720" t="s">
        <v>59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12</v>
      </c>
      <c r="AG720" t="s">
        <v>12</v>
      </c>
      <c r="AH720" t="s">
        <v>12</v>
      </c>
      <c r="AI720" t="s">
        <v>12</v>
      </c>
      <c r="AJ720" t="s">
        <v>12</v>
      </c>
      <c r="AK720">
        <v>250000</v>
      </c>
      <c r="AL720">
        <v>0.22589999999999999</v>
      </c>
      <c r="AM720">
        <v>0.2059</v>
      </c>
      <c r="AN720" t="s">
        <v>12</v>
      </c>
      <c r="AO720" t="s">
        <v>12</v>
      </c>
    </row>
    <row r="721" spans="1:41" x14ac:dyDescent="0.35">
      <c r="A721">
        <v>15087545</v>
      </c>
      <c r="B721">
        <v>202511</v>
      </c>
      <c r="C721">
        <v>20600455321</v>
      </c>
      <c r="D721" t="s">
        <v>989</v>
      </c>
      <c r="E721" t="s">
        <v>1</v>
      </c>
      <c r="F721">
        <v>10255529</v>
      </c>
      <c r="G721" t="s">
        <v>53</v>
      </c>
      <c r="H721" t="s">
        <v>531</v>
      </c>
      <c r="I721">
        <v>52044.3984375</v>
      </c>
      <c r="J721" s="1">
        <v>45462</v>
      </c>
      <c r="K721">
        <v>15.7</v>
      </c>
      <c r="L721" t="s">
        <v>37</v>
      </c>
      <c r="M721" t="s">
        <v>37</v>
      </c>
      <c r="N721" t="s">
        <v>47</v>
      </c>
      <c r="O721">
        <v>202406</v>
      </c>
      <c r="P721">
        <v>90004.5</v>
      </c>
      <c r="Q721" t="s">
        <v>531</v>
      </c>
      <c r="R721" t="s">
        <v>532</v>
      </c>
      <c r="S721" t="s">
        <v>39</v>
      </c>
      <c r="T721" t="s">
        <v>40</v>
      </c>
      <c r="U721" t="s">
        <v>41</v>
      </c>
      <c r="V721">
        <v>1</v>
      </c>
      <c r="W721" t="s">
        <v>10</v>
      </c>
      <c r="X721" t="s">
        <v>51</v>
      </c>
      <c r="Y721">
        <v>1</v>
      </c>
      <c r="Z721">
        <v>1</v>
      </c>
      <c r="AA721">
        <v>0</v>
      </c>
      <c r="AB721">
        <v>0</v>
      </c>
      <c r="AC721">
        <v>1</v>
      </c>
      <c r="AD721">
        <v>1</v>
      </c>
      <c r="AE721">
        <v>0</v>
      </c>
      <c r="AF721" t="s">
        <v>12</v>
      </c>
      <c r="AG721" t="s">
        <v>12</v>
      </c>
      <c r="AH721" t="s">
        <v>12</v>
      </c>
      <c r="AI721" t="s">
        <v>12</v>
      </c>
      <c r="AJ721" t="s">
        <v>12</v>
      </c>
      <c r="AK721">
        <v>250000</v>
      </c>
      <c r="AL721">
        <v>0.2127</v>
      </c>
      <c r="AM721">
        <v>0.19270000000000001</v>
      </c>
      <c r="AN721" t="s">
        <v>12</v>
      </c>
      <c r="AO721" t="s">
        <v>12</v>
      </c>
    </row>
    <row r="722" spans="1:41" x14ac:dyDescent="0.35">
      <c r="A722">
        <v>18703505</v>
      </c>
      <c r="B722">
        <v>202509</v>
      </c>
      <c r="C722">
        <v>20609064138</v>
      </c>
      <c r="D722" t="s">
        <v>990</v>
      </c>
      <c r="E722" t="s">
        <v>1</v>
      </c>
      <c r="F722">
        <v>10261512</v>
      </c>
      <c r="G722" t="s">
        <v>65</v>
      </c>
      <c r="H722" t="s">
        <v>240</v>
      </c>
      <c r="I722">
        <v>73348.7578125</v>
      </c>
      <c r="J722" s="1">
        <v>45579</v>
      </c>
      <c r="K722">
        <v>15</v>
      </c>
      <c r="L722" t="s">
        <v>4</v>
      </c>
      <c r="M722" t="s">
        <v>4</v>
      </c>
      <c r="N722" t="s">
        <v>47</v>
      </c>
      <c r="O722">
        <v>202410</v>
      </c>
      <c r="P722">
        <v>90004.5</v>
      </c>
      <c r="Q722" t="s">
        <v>240</v>
      </c>
      <c r="R722" t="s">
        <v>241</v>
      </c>
      <c r="S722" t="s">
        <v>39</v>
      </c>
      <c r="T722" t="s">
        <v>40</v>
      </c>
      <c r="U722" t="s">
        <v>20</v>
      </c>
      <c r="V722">
        <v>1</v>
      </c>
      <c r="W722" t="s">
        <v>10</v>
      </c>
      <c r="X722" t="s">
        <v>22</v>
      </c>
      <c r="Y722">
        <v>1</v>
      </c>
      <c r="Z722">
        <v>1</v>
      </c>
      <c r="AA722">
        <v>0</v>
      </c>
      <c r="AB722">
        <v>1</v>
      </c>
      <c r="AC722">
        <v>1</v>
      </c>
      <c r="AD722">
        <v>1</v>
      </c>
      <c r="AE722">
        <v>0</v>
      </c>
      <c r="AF722" t="s">
        <v>12</v>
      </c>
      <c r="AG722" t="s">
        <v>12</v>
      </c>
      <c r="AH722" t="s">
        <v>12</v>
      </c>
      <c r="AI722" t="s">
        <v>12</v>
      </c>
      <c r="AJ722" t="s">
        <v>12</v>
      </c>
      <c r="AK722">
        <v>1</v>
      </c>
      <c r="AL722">
        <v>1</v>
      </c>
      <c r="AM722" t="s">
        <v>12</v>
      </c>
      <c r="AN722" t="s">
        <v>12</v>
      </c>
      <c r="AO722" t="s">
        <v>12</v>
      </c>
    </row>
    <row r="723" spans="1:41" x14ac:dyDescent="0.35">
      <c r="A723">
        <v>21134769</v>
      </c>
      <c r="B723">
        <v>202602</v>
      </c>
      <c r="C723">
        <v>20559822281</v>
      </c>
      <c r="D723" t="s">
        <v>991</v>
      </c>
      <c r="E723" t="s">
        <v>1</v>
      </c>
      <c r="F723">
        <v>10259977</v>
      </c>
      <c r="G723" t="s">
        <v>65</v>
      </c>
      <c r="H723" t="s">
        <v>159</v>
      </c>
      <c r="I723">
        <v>1255.41809082031</v>
      </c>
      <c r="J723" s="1">
        <v>45538</v>
      </c>
      <c r="K723">
        <v>15.5</v>
      </c>
      <c r="L723" t="s">
        <v>37</v>
      </c>
      <c r="M723" t="s">
        <v>37</v>
      </c>
      <c r="N723" t="s">
        <v>47</v>
      </c>
      <c r="O723">
        <v>202409</v>
      </c>
      <c r="P723">
        <v>30001.5</v>
      </c>
      <c r="Q723" t="s">
        <v>12</v>
      </c>
      <c r="R723" t="s">
        <v>12</v>
      </c>
      <c r="S723" t="s">
        <v>12</v>
      </c>
      <c r="T723" t="s">
        <v>12</v>
      </c>
      <c r="U723" t="s">
        <v>12</v>
      </c>
      <c r="V723" t="s">
        <v>12</v>
      </c>
      <c r="W723" t="s">
        <v>12</v>
      </c>
      <c r="X723" t="s">
        <v>12</v>
      </c>
      <c r="Y723" t="s">
        <v>12</v>
      </c>
      <c r="Z723" t="s">
        <v>12</v>
      </c>
      <c r="AA723" t="s">
        <v>12</v>
      </c>
      <c r="AB723" t="s">
        <v>12</v>
      </c>
      <c r="AC723" t="s">
        <v>12</v>
      </c>
      <c r="AD723" t="s">
        <v>12</v>
      </c>
      <c r="AE723" t="s">
        <v>12</v>
      </c>
      <c r="AF723" t="s">
        <v>12</v>
      </c>
      <c r="AG723" t="s">
        <v>12</v>
      </c>
      <c r="AH723" t="s">
        <v>12</v>
      </c>
      <c r="AI723" t="s">
        <v>12</v>
      </c>
      <c r="AJ723" t="s">
        <v>12</v>
      </c>
      <c r="AK723" t="s">
        <v>12</v>
      </c>
      <c r="AL723" t="s">
        <v>12</v>
      </c>
      <c r="AM723" t="s">
        <v>12</v>
      </c>
      <c r="AN723" t="s">
        <v>12</v>
      </c>
      <c r="AO723" t="s">
        <v>12</v>
      </c>
    </row>
    <row r="724" spans="1:41" x14ac:dyDescent="0.35">
      <c r="A724">
        <v>19146289</v>
      </c>
      <c r="B724">
        <v>202602</v>
      </c>
      <c r="C724">
        <v>20603538049</v>
      </c>
      <c r="D724" t="s">
        <v>992</v>
      </c>
      <c r="E724" t="s">
        <v>1</v>
      </c>
      <c r="F724">
        <v>10272293</v>
      </c>
      <c r="G724" t="s">
        <v>73</v>
      </c>
      <c r="H724" t="s">
        <v>39</v>
      </c>
      <c r="I724">
        <v>128626.7109375</v>
      </c>
      <c r="J724" s="1">
        <v>45946</v>
      </c>
      <c r="K724">
        <v>19</v>
      </c>
      <c r="L724" t="s">
        <v>4</v>
      </c>
      <c r="M724" t="s">
        <v>4</v>
      </c>
      <c r="N724" t="s">
        <v>20</v>
      </c>
      <c r="O724">
        <v>202510</v>
      </c>
      <c r="P724">
        <v>150007.5</v>
      </c>
      <c r="Q724" t="s">
        <v>12</v>
      </c>
      <c r="R724" t="s">
        <v>12</v>
      </c>
      <c r="S724" t="s">
        <v>12</v>
      </c>
      <c r="T724" t="s">
        <v>12</v>
      </c>
      <c r="U724" t="s">
        <v>12</v>
      </c>
      <c r="V724" t="s">
        <v>12</v>
      </c>
      <c r="W724" t="s">
        <v>12</v>
      </c>
      <c r="X724" t="s">
        <v>12</v>
      </c>
      <c r="Y724" t="s">
        <v>12</v>
      </c>
      <c r="Z724" t="s">
        <v>12</v>
      </c>
      <c r="AA724" t="s">
        <v>12</v>
      </c>
      <c r="AB724" t="s">
        <v>12</v>
      </c>
      <c r="AC724" t="s">
        <v>12</v>
      </c>
      <c r="AD724" t="s">
        <v>12</v>
      </c>
      <c r="AE724" t="s">
        <v>12</v>
      </c>
      <c r="AF724" t="s">
        <v>12</v>
      </c>
      <c r="AG724" t="s">
        <v>12</v>
      </c>
      <c r="AH724" t="s">
        <v>12</v>
      </c>
      <c r="AI724" t="s">
        <v>12</v>
      </c>
      <c r="AJ724" t="s">
        <v>12</v>
      </c>
      <c r="AK724" t="s">
        <v>12</v>
      </c>
      <c r="AL724" t="s">
        <v>12</v>
      </c>
      <c r="AM724" t="s">
        <v>12</v>
      </c>
      <c r="AN724" t="s">
        <v>12</v>
      </c>
      <c r="AO724" t="s">
        <v>12</v>
      </c>
    </row>
    <row r="725" spans="1:41" x14ac:dyDescent="0.35">
      <c r="A725">
        <v>15372172</v>
      </c>
      <c r="B725">
        <v>202601</v>
      </c>
      <c r="C725">
        <v>20546655807</v>
      </c>
      <c r="D725" t="s">
        <v>781</v>
      </c>
      <c r="E725" t="s">
        <v>1</v>
      </c>
      <c r="F725">
        <v>10264369</v>
      </c>
      <c r="G725" t="s">
        <v>45</v>
      </c>
      <c r="H725" t="s">
        <v>135</v>
      </c>
      <c r="I725">
        <v>3478.97021484375</v>
      </c>
      <c r="J725" s="1">
        <v>45656</v>
      </c>
      <c r="K725">
        <v>15.5</v>
      </c>
      <c r="L725" t="s">
        <v>4</v>
      </c>
      <c r="M725" t="s">
        <v>4</v>
      </c>
      <c r="N725" t="s">
        <v>47</v>
      </c>
      <c r="O725">
        <v>202412</v>
      </c>
      <c r="P725">
        <v>90004.5</v>
      </c>
      <c r="Q725" t="s">
        <v>135</v>
      </c>
      <c r="R725" t="s">
        <v>136</v>
      </c>
      <c r="S725" t="s">
        <v>18</v>
      </c>
      <c r="T725" t="s">
        <v>19</v>
      </c>
      <c r="U725" t="s">
        <v>20</v>
      </c>
      <c r="V725">
        <v>1</v>
      </c>
      <c r="W725" t="s">
        <v>21</v>
      </c>
      <c r="X725" t="s">
        <v>22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12</v>
      </c>
      <c r="AG725" t="s">
        <v>12</v>
      </c>
      <c r="AH725" t="s">
        <v>12</v>
      </c>
      <c r="AI725" t="s">
        <v>12</v>
      </c>
      <c r="AJ725" t="s">
        <v>12</v>
      </c>
      <c r="AK725">
        <v>1</v>
      </c>
      <c r="AL725">
        <v>1</v>
      </c>
      <c r="AM725">
        <v>0.24</v>
      </c>
      <c r="AN725" t="s">
        <v>12</v>
      </c>
      <c r="AO725" t="s">
        <v>12</v>
      </c>
    </row>
    <row r="726" spans="1:41" x14ac:dyDescent="0.35">
      <c r="A726">
        <v>16023770</v>
      </c>
      <c r="B726">
        <v>202511</v>
      </c>
      <c r="C726">
        <v>20602163831</v>
      </c>
      <c r="D726" t="s">
        <v>993</v>
      </c>
      <c r="E726" t="s">
        <v>1</v>
      </c>
      <c r="F726">
        <v>10258145</v>
      </c>
      <c r="G726" t="s">
        <v>53</v>
      </c>
      <c r="H726" t="s">
        <v>257</v>
      </c>
      <c r="I726">
        <v>59252.66015625</v>
      </c>
      <c r="J726" s="1">
        <v>45503</v>
      </c>
      <c r="K726">
        <v>15.4</v>
      </c>
      <c r="L726" t="s">
        <v>4</v>
      </c>
      <c r="M726" t="s">
        <v>4</v>
      </c>
      <c r="N726" t="s">
        <v>47</v>
      </c>
      <c r="O726">
        <v>202407</v>
      </c>
      <c r="P726">
        <v>90004.5</v>
      </c>
      <c r="Q726" t="s">
        <v>12</v>
      </c>
      <c r="R726" t="s">
        <v>12</v>
      </c>
      <c r="S726" t="s">
        <v>12</v>
      </c>
      <c r="T726" t="s">
        <v>12</v>
      </c>
      <c r="U726" t="s">
        <v>12</v>
      </c>
      <c r="V726" t="s">
        <v>12</v>
      </c>
      <c r="W726" t="s">
        <v>12</v>
      </c>
      <c r="X726" t="s">
        <v>12</v>
      </c>
      <c r="Y726" t="s">
        <v>12</v>
      </c>
      <c r="Z726" t="s">
        <v>12</v>
      </c>
      <c r="AA726" t="s">
        <v>12</v>
      </c>
      <c r="AB726" t="s">
        <v>12</v>
      </c>
      <c r="AC726" t="s">
        <v>12</v>
      </c>
      <c r="AD726" t="s">
        <v>12</v>
      </c>
      <c r="AE726" t="s">
        <v>12</v>
      </c>
      <c r="AF726" t="s">
        <v>12</v>
      </c>
      <c r="AG726" t="s">
        <v>12</v>
      </c>
      <c r="AH726" t="s">
        <v>12</v>
      </c>
      <c r="AI726" t="s">
        <v>12</v>
      </c>
      <c r="AJ726" t="s">
        <v>12</v>
      </c>
      <c r="AK726" t="s">
        <v>12</v>
      </c>
      <c r="AL726" t="s">
        <v>12</v>
      </c>
      <c r="AM726" t="s">
        <v>12</v>
      </c>
      <c r="AN726" t="s">
        <v>12</v>
      </c>
      <c r="AO726" t="s">
        <v>12</v>
      </c>
    </row>
    <row r="727" spans="1:41" x14ac:dyDescent="0.35">
      <c r="A727">
        <v>12282526</v>
      </c>
      <c r="B727">
        <v>202503</v>
      </c>
      <c r="C727">
        <v>10417760542</v>
      </c>
      <c r="D727" t="s">
        <v>994</v>
      </c>
      <c r="E727">
        <v>41776054</v>
      </c>
      <c r="F727">
        <v>10256128</v>
      </c>
      <c r="G727" t="s">
        <v>45</v>
      </c>
      <c r="H727" t="s">
        <v>36</v>
      </c>
      <c r="I727">
        <v>266502.53125</v>
      </c>
      <c r="J727" s="1">
        <v>45467</v>
      </c>
      <c r="K727">
        <v>13.6</v>
      </c>
      <c r="L727" t="s">
        <v>4</v>
      </c>
      <c r="M727" t="s">
        <v>4</v>
      </c>
      <c r="N727" t="s">
        <v>47</v>
      </c>
      <c r="O727">
        <v>202406</v>
      </c>
      <c r="P727">
        <v>300015</v>
      </c>
      <c r="Q727" t="s">
        <v>36</v>
      </c>
      <c r="R727" t="s">
        <v>38</v>
      </c>
      <c r="S727" t="s">
        <v>39</v>
      </c>
      <c r="T727" t="s">
        <v>40</v>
      </c>
      <c r="U727" t="s">
        <v>20</v>
      </c>
      <c r="V727">
        <v>1</v>
      </c>
      <c r="W727" t="s">
        <v>10</v>
      </c>
      <c r="X727" t="s">
        <v>12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12</v>
      </c>
      <c r="AG727" t="s">
        <v>12</v>
      </c>
      <c r="AH727" t="s">
        <v>12</v>
      </c>
      <c r="AI727" t="s">
        <v>12</v>
      </c>
      <c r="AJ727" t="s">
        <v>12</v>
      </c>
      <c r="AK727">
        <v>942057558</v>
      </c>
      <c r="AL727">
        <v>0</v>
      </c>
      <c r="AM727">
        <v>0</v>
      </c>
      <c r="AN727" t="s">
        <v>12</v>
      </c>
      <c r="AO727" t="s">
        <v>12</v>
      </c>
    </row>
    <row r="728" spans="1:41" x14ac:dyDescent="0.35">
      <c r="A728">
        <v>20562756</v>
      </c>
      <c r="B728">
        <v>202601</v>
      </c>
      <c r="C728">
        <v>20612025844</v>
      </c>
      <c r="D728" t="s">
        <v>995</v>
      </c>
      <c r="E728" t="s">
        <v>1</v>
      </c>
      <c r="F728">
        <v>10274196</v>
      </c>
      <c r="G728" t="s">
        <v>268</v>
      </c>
      <c r="H728" t="s">
        <v>159</v>
      </c>
      <c r="I728">
        <v>30001.505859375</v>
      </c>
      <c r="J728" s="1">
        <v>46015</v>
      </c>
      <c r="K728">
        <v>19</v>
      </c>
      <c r="L728" t="s">
        <v>37</v>
      </c>
      <c r="M728" t="s">
        <v>37</v>
      </c>
      <c r="N728" t="s">
        <v>98</v>
      </c>
      <c r="O728">
        <v>202512</v>
      </c>
      <c r="P728">
        <v>30001.5</v>
      </c>
      <c r="Q728" t="s">
        <v>12</v>
      </c>
      <c r="R728" t="s">
        <v>12</v>
      </c>
      <c r="S728" t="s">
        <v>12</v>
      </c>
      <c r="T728" t="s">
        <v>12</v>
      </c>
      <c r="U728" t="s">
        <v>98</v>
      </c>
      <c r="V728">
        <v>3</v>
      </c>
      <c r="W728" t="s">
        <v>90</v>
      </c>
      <c r="X728" t="s">
        <v>59</v>
      </c>
      <c r="Y728">
        <v>1</v>
      </c>
      <c r="Z728">
        <v>1</v>
      </c>
      <c r="AA728">
        <v>0</v>
      </c>
      <c r="AB728">
        <v>0</v>
      </c>
      <c r="AC728">
        <v>0</v>
      </c>
      <c r="AD728" t="s">
        <v>12</v>
      </c>
      <c r="AE728">
        <v>0</v>
      </c>
      <c r="AF728" t="s">
        <v>12</v>
      </c>
      <c r="AG728" t="s">
        <v>12</v>
      </c>
      <c r="AH728" t="s">
        <v>12</v>
      </c>
      <c r="AI728" t="s">
        <v>12</v>
      </c>
      <c r="AJ728" t="s">
        <v>12</v>
      </c>
      <c r="AK728">
        <v>200000</v>
      </c>
      <c r="AL728">
        <v>0.2407</v>
      </c>
      <c r="AM728">
        <v>0.22070000000000001</v>
      </c>
      <c r="AN728" t="s">
        <v>269</v>
      </c>
      <c r="AO728" t="s">
        <v>270</v>
      </c>
    </row>
    <row r="729" spans="1:41" x14ac:dyDescent="0.35">
      <c r="A729">
        <v>19100556</v>
      </c>
      <c r="B729">
        <v>202504</v>
      </c>
      <c r="C729">
        <v>20602992099</v>
      </c>
      <c r="D729" t="s">
        <v>996</v>
      </c>
      <c r="E729" t="s">
        <v>1</v>
      </c>
      <c r="F729">
        <v>10261930</v>
      </c>
      <c r="G729" t="s">
        <v>65</v>
      </c>
      <c r="H729" t="s">
        <v>159</v>
      </c>
      <c r="I729">
        <v>75003.734375</v>
      </c>
      <c r="J729" s="1">
        <v>45588</v>
      </c>
      <c r="K729">
        <v>15</v>
      </c>
      <c r="L729" t="s">
        <v>4</v>
      </c>
      <c r="M729" t="s">
        <v>4</v>
      </c>
      <c r="N729" t="s">
        <v>47</v>
      </c>
      <c r="O729">
        <v>202410</v>
      </c>
      <c r="P729">
        <v>75003.75</v>
      </c>
      <c r="Q729" t="s">
        <v>12</v>
      </c>
      <c r="R729" t="s">
        <v>12</v>
      </c>
      <c r="S729" t="s">
        <v>12</v>
      </c>
      <c r="T729" t="s">
        <v>12</v>
      </c>
      <c r="U729" t="s">
        <v>12</v>
      </c>
      <c r="V729" t="s">
        <v>12</v>
      </c>
      <c r="W729" t="s">
        <v>12</v>
      </c>
      <c r="X729" t="s">
        <v>12</v>
      </c>
      <c r="Y729" t="s">
        <v>12</v>
      </c>
      <c r="Z729" t="s">
        <v>12</v>
      </c>
      <c r="AA729" t="s">
        <v>12</v>
      </c>
      <c r="AB729" t="s">
        <v>12</v>
      </c>
      <c r="AC729" t="s">
        <v>12</v>
      </c>
      <c r="AD729" t="s">
        <v>12</v>
      </c>
      <c r="AE729" t="s">
        <v>12</v>
      </c>
      <c r="AF729" t="s">
        <v>12</v>
      </c>
      <c r="AG729" t="s">
        <v>12</v>
      </c>
      <c r="AH729" t="s">
        <v>12</v>
      </c>
      <c r="AI729" t="s">
        <v>12</v>
      </c>
      <c r="AJ729" t="s">
        <v>12</v>
      </c>
      <c r="AK729" t="s">
        <v>12</v>
      </c>
      <c r="AL729" t="s">
        <v>12</v>
      </c>
      <c r="AM729" t="s">
        <v>12</v>
      </c>
      <c r="AN729" t="s">
        <v>12</v>
      </c>
      <c r="AO729" t="s">
        <v>12</v>
      </c>
    </row>
    <row r="730" spans="1:41" x14ac:dyDescent="0.35">
      <c r="A730">
        <v>17595640</v>
      </c>
      <c r="B730">
        <v>202601</v>
      </c>
      <c r="C730">
        <v>20606569123</v>
      </c>
      <c r="D730" t="s">
        <v>395</v>
      </c>
      <c r="E730" t="s">
        <v>1</v>
      </c>
      <c r="F730">
        <v>10274515</v>
      </c>
      <c r="G730" t="s">
        <v>78</v>
      </c>
      <c r="H730" t="s">
        <v>396</v>
      </c>
      <c r="I730">
        <v>158542.625</v>
      </c>
      <c r="J730" s="1">
        <v>46035</v>
      </c>
      <c r="K730">
        <v>16</v>
      </c>
      <c r="L730" t="s">
        <v>4</v>
      </c>
      <c r="M730" t="s">
        <v>4</v>
      </c>
      <c r="N730" t="s">
        <v>41</v>
      </c>
      <c r="O730">
        <v>202601</v>
      </c>
      <c r="P730">
        <v>256612.8</v>
      </c>
      <c r="Q730" t="s">
        <v>396</v>
      </c>
      <c r="R730" t="s">
        <v>397</v>
      </c>
      <c r="S730" t="s">
        <v>18</v>
      </c>
      <c r="T730" t="s">
        <v>19</v>
      </c>
      <c r="U730" t="s">
        <v>41</v>
      </c>
      <c r="V730">
        <v>1</v>
      </c>
      <c r="W730" t="s">
        <v>21</v>
      </c>
      <c r="X730" t="s">
        <v>11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256612.8</v>
      </c>
      <c r="AF730">
        <v>16</v>
      </c>
      <c r="AG730" s="1">
        <v>46035</v>
      </c>
      <c r="AH730" t="s">
        <v>41</v>
      </c>
      <c r="AI730" t="s">
        <v>4</v>
      </c>
      <c r="AJ730" t="s">
        <v>33</v>
      </c>
      <c r="AK730">
        <v>256600</v>
      </c>
      <c r="AL730">
        <v>0.21</v>
      </c>
      <c r="AM730">
        <v>0.19</v>
      </c>
      <c r="AN730" t="s">
        <v>12</v>
      </c>
      <c r="AO730" t="s">
        <v>12</v>
      </c>
    </row>
    <row r="731" spans="1:41" x14ac:dyDescent="0.35">
      <c r="A731">
        <v>16643644</v>
      </c>
      <c r="B731">
        <v>202601</v>
      </c>
      <c r="C731">
        <v>20605427813</v>
      </c>
      <c r="D731" t="s">
        <v>997</v>
      </c>
      <c r="E731" t="s">
        <v>1</v>
      </c>
      <c r="F731">
        <v>10265735</v>
      </c>
      <c r="G731" t="s">
        <v>268</v>
      </c>
      <c r="H731" t="s">
        <v>39</v>
      </c>
      <c r="I731">
        <v>14487.51171875</v>
      </c>
      <c r="J731" s="1">
        <v>45714</v>
      </c>
      <c r="K731">
        <v>21</v>
      </c>
      <c r="L731" t="s">
        <v>37</v>
      </c>
      <c r="M731" t="s">
        <v>37</v>
      </c>
      <c r="N731" t="s">
        <v>98</v>
      </c>
      <c r="O731">
        <v>202502</v>
      </c>
      <c r="P731">
        <v>30001.5</v>
      </c>
      <c r="Q731" t="s">
        <v>12</v>
      </c>
      <c r="R731" t="s">
        <v>12</v>
      </c>
      <c r="S731" t="s">
        <v>12</v>
      </c>
      <c r="T731" t="s">
        <v>12</v>
      </c>
      <c r="U731" t="s">
        <v>12</v>
      </c>
      <c r="V731" t="s">
        <v>12</v>
      </c>
      <c r="W731" t="s">
        <v>12</v>
      </c>
      <c r="X731" t="s">
        <v>12</v>
      </c>
      <c r="Y731" t="s">
        <v>12</v>
      </c>
      <c r="Z731" t="s">
        <v>12</v>
      </c>
      <c r="AA731" t="s">
        <v>12</v>
      </c>
      <c r="AB731" t="s">
        <v>12</v>
      </c>
      <c r="AC731" t="s">
        <v>12</v>
      </c>
      <c r="AD731" t="s">
        <v>12</v>
      </c>
      <c r="AE731" t="s">
        <v>12</v>
      </c>
      <c r="AF731" t="s">
        <v>12</v>
      </c>
      <c r="AG731" t="s">
        <v>12</v>
      </c>
      <c r="AH731" t="s">
        <v>12</v>
      </c>
      <c r="AI731" t="s">
        <v>12</v>
      </c>
      <c r="AJ731" t="s">
        <v>12</v>
      </c>
      <c r="AK731" t="s">
        <v>12</v>
      </c>
      <c r="AL731" t="s">
        <v>12</v>
      </c>
      <c r="AM731" t="s">
        <v>12</v>
      </c>
      <c r="AN731" t="s">
        <v>12</v>
      </c>
      <c r="AO731" t="s">
        <v>12</v>
      </c>
    </row>
    <row r="732" spans="1:41" x14ac:dyDescent="0.35">
      <c r="A732">
        <v>20732386</v>
      </c>
      <c r="B732">
        <v>202506</v>
      </c>
      <c r="C732">
        <v>10720825690</v>
      </c>
      <c r="D732" t="s">
        <v>998</v>
      </c>
      <c r="E732">
        <v>72082569</v>
      </c>
      <c r="F732">
        <v>10250071</v>
      </c>
      <c r="G732" t="s">
        <v>65</v>
      </c>
      <c r="H732" t="s">
        <v>428</v>
      </c>
      <c r="I732">
        <v>58967.85546875</v>
      </c>
      <c r="J732" s="1">
        <v>45377</v>
      </c>
      <c r="K732">
        <v>13.8</v>
      </c>
      <c r="L732" t="s">
        <v>37</v>
      </c>
      <c r="M732" t="s">
        <v>37</v>
      </c>
      <c r="N732" t="s">
        <v>47</v>
      </c>
      <c r="O732">
        <v>202403</v>
      </c>
      <c r="P732">
        <v>90004.5</v>
      </c>
      <c r="Q732" t="s">
        <v>101</v>
      </c>
      <c r="R732" t="s">
        <v>103</v>
      </c>
      <c r="S732" t="s">
        <v>88</v>
      </c>
      <c r="T732" t="s">
        <v>89</v>
      </c>
      <c r="U732" t="s">
        <v>41</v>
      </c>
      <c r="V732">
        <v>2</v>
      </c>
      <c r="W732" t="s">
        <v>90</v>
      </c>
      <c r="X732" t="s">
        <v>12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12</v>
      </c>
      <c r="AG732" t="s">
        <v>12</v>
      </c>
      <c r="AH732" t="s">
        <v>12</v>
      </c>
      <c r="AI732" t="s">
        <v>12</v>
      </c>
      <c r="AJ732" t="s">
        <v>12</v>
      </c>
      <c r="AK732">
        <v>200000</v>
      </c>
      <c r="AL732">
        <v>0.23</v>
      </c>
      <c r="AM732">
        <v>0.21229999999999999</v>
      </c>
      <c r="AN732" t="s">
        <v>12</v>
      </c>
      <c r="AO732" t="s">
        <v>12</v>
      </c>
    </row>
    <row r="733" spans="1:41" x14ac:dyDescent="0.35">
      <c r="A733">
        <v>18329514</v>
      </c>
      <c r="B733">
        <v>202507</v>
      </c>
      <c r="C733">
        <v>20523262816</v>
      </c>
      <c r="D733" t="s">
        <v>999</v>
      </c>
      <c r="E733" t="s">
        <v>1</v>
      </c>
      <c r="F733">
        <v>10229085</v>
      </c>
      <c r="G733" t="s">
        <v>2</v>
      </c>
      <c r="H733" t="s">
        <v>79</v>
      </c>
      <c r="I733">
        <v>102738.6015625</v>
      </c>
      <c r="J733" s="1">
        <v>45803</v>
      </c>
      <c r="K733">
        <v>19</v>
      </c>
      <c r="L733" t="s">
        <v>4</v>
      </c>
      <c r="M733" t="s">
        <v>4</v>
      </c>
      <c r="N733" t="s">
        <v>5</v>
      </c>
      <c r="O733">
        <v>202505</v>
      </c>
      <c r="P733">
        <v>107005.35</v>
      </c>
      <c r="Q733" t="s">
        <v>79</v>
      </c>
      <c r="R733" t="s">
        <v>80</v>
      </c>
      <c r="S733" t="s">
        <v>31</v>
      </c>
      <c r="T733" t="s">
        <v>32</v>
      </c>
      <c r="U733" t="s">
        <v>41</v>
      </c>
      <c r="V733">
        <v>1</v>
      </c>
      <c r="W733" t="s">
        <v>10</v>
      </c>
      <c r="X733" t="s">
        <v>12</v>
      </c>
      <c r="Y733">
        <v>1</v>
      </c>
      <c r="Z733">
        <v>1</v>
      </c>
      <c r="AA733">
        <v>0</v>
      </c>
      <c r="AB733">
        <v>0</v>
      </c>
      <c r="AC733">
        <v>1</v>
      </c>
      <c r="AD733">
        <v>1</v>
      </c>
      <c r="AE733">
        <v>0</v>
      </c>
      <c r="AF733" t="s">
        <v>12</v>
      </c>
      <c r="AG733" t="s">
        <v>12</v>
      </c>
      <c r="AH733" t="s">
        <v>12</v>
      </c>
      <c r="AI733" t="s">
        <v>12</v>
      </c>
      <c r="AJ733" t="s">
        <v>12</v>
      </c>
      <c r="AK733">
        <v>250000</v>
      </c>
      <c r="AL733">
        <v>0.24</v>
      </c>
      <c r="AM733">
        <v>0.22</v>
      </c>
      <c r="AN733" t="s">
        <v>12</v>
      </c>
      <c r="AO733" t="s">
        <v>12</v>
      </c>
    </row>
    <row r="734" spans="1:41" x14ac:dyDescent="0.35">
      <c r="A734">
        <v>8257527</v>
      </c>
      <c r="B734">
        <v>202504</v>
      </c>
      <c r="C734">
        <v>10239520508</v>
      </c>
      <c r="D734" t="s">
        <v>1000</v>
      </c>
      <c r="E734">
        <v>23952050</v>
      </c>
      <c r="F734">
        <v>10184157</v>
      </c>
      <c r="G734" t="s">
        <v>199</v>
      </c>
      <c r="H734" t="s">
        <v>732</v>
      </c>
      <c r="I734">
        <v>14800.7685546875</v>
      </c>
      <c r="J734" t="s">
        <v>12</v>
      </c>
      <c r="K734" t="s">
        <v>12</v>
      </c>
      <c r="L734" t="s">
        <v>12</v>
      </c>
      <c r="M734" t="s">
        <v>12</v>
      </c>
      <c r="N734" t="s">
        <v>12</v>
      </c>
      <c r="O734" t="s">
        <v>12</v>
      </c>
      <c r="P734" t="s">
        <v>12</v>
      </c>
      <c r="Q734" t="s">
        <v>12</v>
      </c>
      <c r="R734" t="s">
        <v>12</v>
      </c>
      <c r="S734" t="s">
        <v>12</v>
      </c>
      <c r="T734" t="s">
        <v>12</v>
      </c>
      <c r="U734" t="s">
        <v>12</v>
      </c>
      <c r="V734" t="s">
        <v>12</v>
      </c>
      <c r="W734" t="s">
        <v>12</v>
      </c>
      <c r="X734" t="s">
        <v>12</v>
      </c>
      <c r="Y734" t="s">
        <v>12</v>
      </c>
      <c r="Z734" t="s">
        <v>12</v>
      </c>
      <c r="AA734" t="s">
        <v>12</v>
      </c>
      <c r="AB734" t="s">
        <v>12</v>
      </c>
      <c r="AC734" t="s">
        <v>12</v>
      </c>
      <c r="AD734" t="s">
        <v>12</v>
      </c>
      <c r="AE734" t="s">
        <v>12</v>
      </c>
      <c r="AF734" t="s">
        <v>12</v>
      </c>
      <c r="AG734" t="s">
        <v>12</v>
      </c>
      <c r="AH734" t="s">
        <v>12</v>
      </c>
      <c r="AI734" t="s">
        <v>12</v>
      </c>
      <c r="AJ734" t="s">
        <v>12</v>
      </c>
      <c r="AK734" t="s">
        <v>12</v>
      </c>
      <c r="AL734" t="s">
        <v>12</v>
      </c>
      <c r="AM734" t="s">
        <v>12</v>
      </c>
      <c r="AN734" t="s">
        <v>12</v>
      </c>
      <c r="AO734" t="s">
        <v>12</v>
      </c>
    </row>
    <row r="735" spans="1:41" x14ac:dyDescent="0.35">
      <c r="A735">
        <v>14269232</v>
      </c>
      <c r="B735">
        <v>202502</v>
      </c>
      <c r="C735">
        <v>20478035358</v>
      </c>
      <c r="D735" t="s">
        <v>1001</v>
      </c>
      <c r="E735" t="s">
        <v>1</v>
      </c>
      <c r="F735">
        <v>10211040</v>
      </c>
      <c r="G735" t="s">
        <v>199</v>
      </c>
      <c r="H735" t="s">
        <v>159</v>
      </c>
      <c r="I735">
        <v>43606.05859375</v>
      </c>
      <c r="J735" t="s">
        <v>12</v>
      </c>
      <c r="K735" t="s">
        <v>12</v>
      </c>
      <c r="L735" t="s">
        <v>12</v>
      </c>
      <c r="M735" t="s">
        <v>12</v>
      </c>
      <c r="N735" t="s">
        <v>12</v>
      </c>
      <c r="O735" t="s">
        <v>12</v>
      </c>
      <c r="P735" t="s">
        <v>12</v>
      </c>
      <c r="Q735" t="s">
        <v>12</v>
      </c>
      <c r="R735" t="s">
        <v>12</v>
      </c>
      <c r="S735" t="s">
        <v>12</v>
      </c>
      <c r="T735" t="s">
        <v>12</v>
      </c>
      <c r="U735" t="s">
        <v>12</v>
      </c>
      <c r="V735" t="s">
        <v>12</v>
      </c>
      <c r="W735" t="s">
        <v>12</v>
      </c>
      <c r="X735" t="s">
        <v>12</v>
      </c>
      <c r="Y735" t="s">
        <v>12</v>
      </c>
      <c r="Z735" t="s">
        <v>12</v>
      </c>
      <c r="AA735" t="s">
        <v>12</v>
      </c>
      <c r="AB735" t="s">
        <v>12</v>
      </c>
      <c r="AC735" t="s">
        <v>12</v>
      </c>
      <c r="AD735" t="s">
        <v>12</v>
      </c>
      <c r="AE735" t="s">
        <v>12</v>
      </c>
      <c r="AF735" t="s">
        <v>12</v>
      </c>
      <c r="AG735" t="s">
        <v>12</v>
      </c>
      <c r="AH735" t="s">
        <v>12</v>
      </c>
      <c r="AI735" t="s">
        <v>12</v>
      </c>
      <c r="AJ735" t="s">
        <v>12</v>
      </c>
      <c r="AK735" t="s">
        <v>12</v>
      </c>
      <c r="AL735" t="s">
        <v>12</v>
      </c>
      <c r="AM735" t="s">
        <v>12</v>
      </c>
      <c r="AN735" t="s">
        <v>12</v>
      </c>
      <c r="AO735" t="s">
        <v>12</v>
      </c>
    </row>
    <row r="736" spans="1:41" x14ac:dyDescent="0.35">
      <c r="A736">
        <v>14743797</v>
      </c>
      <c r="B736">
        <v>202505</v>
      </c>
      <c r="C736">
        <v>20600482611</v>
      </c>
      <c r="D736" t="s">
        <v>1002</v>
      </c>
      <c r="E736" t="s">
        <v>1</v>
      </c>
      <c r="F736">
        <v>10222869</v>
      </c>
      <c r="G736" t="s">
        <v>2</v>
      </c>
      <c r="H736" t="s">
        <v>7</v>
      </c>
      <c r="I736">
        <v>115040.328125</v>
      </c>
      <c r="J736" s="1">
        <v>45677</v>
      </c>
      <c r="K736">
        <v>16</v>
      </c>
      <c r="L736" t="s">
        <v>4</v>
      </c>
      <c r="M736" t="s">
        <v>4</v>
      </c>
      <c r="N736" t="s">
        <v>5</v>
      </c>
      <c r="O736">
        <v>202501</v>
      </c>
      <c r="P736">
        <v>150007.5</v>
      </c>
      <c r="Q736" t="s">
        <v>204</v>
      </c>
      <c r="R736" t="s">
        <v>291</v>
      </c>
      <c r="S736" t="s">
        <v>127</v>
      </c>
      <c r="T736" t="s">
        <v>147</v>
      </c>
      <c r="U736" t="s">
        <v>41</v>
      </c>
      <c r="V736">
        <v>1</v>
      </c>
      <c r="W736" t="s">
        <v>10</v>
      </c>
      <c r="X736" t="s">
        <v>12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12</v>
      </c>
      <c r="AG736" t="s">
        <v>12</v>
      </c>
      <c r="AH736" t="s">
        <v>12</v>
      </c>
      <c r="AI736" t="s">
        <v>12</v>
      </c>
      <c r="AJ736" t="s">
        <v>12</v>
      </c>
      <c r="AK736">
        <v>250000</v>
      </c>
      <c r="AL736">
        <v>0.22</v>
      </c>
      <c r="AM736">
        <v>0.20280000000000001</v>
      </c>
      <c r="AN736" t="s">
        <v>12</v>
      </c>
      <c r="AO736" t="s">
        <v>12</v>
      </c>
    </row>
    <row r="737" spans="1:41" x14ac:dyDescent="0.35">
      <c r="A737">
        <v>15847299</v>
      </c>
      <c r="B737">
        <v>202506</v>
      </c>
      <c r="C737">
        <v>20558185687</v>
      </c>
      <c r="D737" t="s">
        <v>1003</v>
      </c>
      <c r="E737" t="s">
        <v>1</v>
      </c>
      <c r="F737">
        <v>10169736</v>
      </c>
      <c r="G737" t="s">
        <v>2</v>
      </c>
      <c r="H737" t="s">
        <v>117</v>
      </c>
      <c r="I737">
        <v>106396.6484375</v>
      </c>
      <c r="J737" s="1">
        <v>45569</v>
      </c>
      <c r="K737">
        <v>18.8</v>
      </c>
      <c r="L737" t="s">
        <v>4</v>
      </c>
      <c r="M737" t="s">
        <v>4</v>
      </c>
      <c r="N737" t="s">
        <v>5</v>
      </c>
      <c r="O737">
        <v>202410</v>
      </c>
      <c r="P737">
        <v>150007.5</v>
      </c>
      <c r="Q737" t="s">
        <v>117</v>
      </c>
      <c r="R737" t="s">
        <v>118</v>
      </c>
      <c r="S737" t="s">
        <v>39</v>
      </c>
      <c r="T737" t="s">
        <v>40</v>
      </c>
      <c r="U737" t="s">
        <v>70</v>
      </c>
      <c r="V737">
        <v>1</v>
      </c>
      <c r="W737" t="s">
        <v>10</v>
      </c>
      <c r="X737" t="s">
        <v>12</v>
      </c>
      <c r="Y737">
        <v>1</v>
      </c>
      <c r="Z737">
        <v>1</v>
      </c>
      <c r="AA737">
        <v>0</v>
      </c>
      <c r="AB737">
        <v>0</v>
      </c>
      <c r="AC737">
        <v>1</v>
      </c>
      <c r="AD737">
        <v>1</v>
      </c>
      <c r="AE737">
        <v>0</v>
      </c>
      <c r="AF737" t="s">
        <v>12</v>
      </c>
      <c r="AG737" t="s">
        <v>12</v>
      </c>
      <c r="AH737" t="s">
        <v>12</v>
      </c>
      <c r="AI737" t="s">
        <v>12</v>
      </c>
      <c r="AJ737" t="s">
        <v>12</v>
      </c>
      <c r="AK737">
        <v>156000</v>
      </c>
      <c r="AL737">
        <v>0.21</v>
      </c>
      <c r="AM737">
        <v>0.1883</v>
      </c>
      <c r="AN737" t="s">
        <v>12</v>
      </c>
      <c r="AO737" t="s">
        <v>12</v>
      </c>
    </row>
    <row r="738" spans="1:41" x14ac:dyDescent="0.35">
      <c r="A738">
        <v>15369987</v>
      </c>
      <c r="B738">
        <v>202510</v>
      </c>
      <c r="C738">
        <v>10004995835</v>
      </c>
      <c r="D738" t="s">
        <v>1004</v>
      </c>
      <c r="E738">
        <v>499583</v>
      </c>
      <c r="F738">
        <v>10149291</v>
      </c>
      <c r="G738" t="s">
        <v>2</v>
      </c>
      <c r="H738" t="s">
        <v>190</v>
      </c>
      <c r="I738">
        <v>46610.40234375</v>
      </c>
      <c r="J738" s="1">
        <v>45666</v>
      </c>
      <c r="K738">
        <v>18.73</v>
      </c>
      <c r="L738" t="s">
        <v>4</v>
      </c>
      <c r="M738" t="s">
        <v>4</v>
      </c>
      <c r="N738" t="s">
        <v>5</v>
      </c>
      <c r="O738">
        <v>202501</v>
      </c>
      <c r="P738">
        <v>70003.5</v>
      </c>
      <c r="Q738" t="s">
        <v>190</v>
      </c>
      <c r="R738" t="s">
        <v>191</v>
      </c>
      <c r="S738" t="s">
        <v>49</v>
      </c>
      <c r="T738" t="s">
        <v>50</v>
      </c>
      <c r="U738" t="s">
        <v>20</v>
      </c>
      <c r="V738">
        <v>1</v>
      </c>
      <c r="W738" t="s">
        <v>10</v>
      </c>
      <c r="X738" t="s">
        <v>12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12</v>
      </c>
      <c r="AG738" t="s">
        <v>12</v>
      </c>
      <c r="AH738" t="s">
        <v>12</v>
      </c>
      <c r="AI738" t="s">
        <v>12</v>
      </c>
      <c r="AJ738" t="s">
        <v>12</v>
      </c>
      <c r="AK738">
        <v>1</v>
      </c>
      <c r="AL738">
        <v>1</v>
      </c>
      <c r="AM738" t="s">
        <v>12</v>
      </c>
      <c r="AN738" t="s">
        <v>12</v>
      </c>
      <c r="AO738" t="s">
        <v>12</v>
      </c>
    </row>
    <row r="739" spans="1:41" x14ac:dyDescent="0.35">
      <c r="A739">
        <v>21699378</v>
      </c>
      <c r="B739">
        <v>202512</v>
      </c>
      <c r="C739">
        <v>20607131962</v>
      </c>
      <c r="D739" t="s">
        <v>1005</v>
      </c>
      <c r="E739" t="s">
        <v>1</v>
      </c>
      <c r="F739">
        <v>10269145</v>
      </c>
      <c r="G739" t="s">
        <v>28</v>
      </c>
      <c r="H739" t="s">
        <v>244</v>
      </c>
      <c r="I739">
        <v>67417.15625</v>
      </c>
      <c r="J739" s="1">
        <v>45835</v>
      </c>
      <c r="K739">
        <v>18</v>
      </c>
      <c r="L739" t="s">
        <v>4</v>
      </c>
      <c r="M739" t="s">
        <v>4</v>
      </c>
      <c r="N739" t="s">
        <v>26</v>
      </c>
      <c r="O739">
        <v>202506</v>
      </c>
      <c r="P739">
        <v>90004.5</v>
      </c>
      <c r="Q739" t="s">
        <v>93</v>
      </c>
      <c r="R739" t="s">
        <v>94</v>
      </c>
      <c r="S739" t="s">
        <v>7</v>
      </c>
      <c r="T739" t="s">
        <v>8</v>
      </c>
      <c r="U739" t="s">
        <v>41</v>
      </c>
      <c r="V739">
        <v>1</v>
      </c>
      <c r="W739" t="s">
        <v>10</v>
      </c>
      <c r="X739" t="s">
        <v>22</v>
      </c>
      <c r="Y739">
        <v>1</v>
      </c>
      <c r="Z739">
        <v>1</v>
      </c>
      <c r="AA739">
        <v>0</v>
      </c>
      <c r="AB739">
        <v>0</v>
      </c>
      <c r="AC739">
        <v>1</v>
      </c>
      <c r="AD739">
        <v>1</v>
      </c>
      <c r="AE739">
        <v>0</v>
      </c>
      <c r="AF739" t="s">
        <v>12</v>
      </c>
      <c r="AG739" t="s">
        <v>12</v>
      </c>
      <c r="AH739" t="s">
        <v>12</v>
      </c>
      <c r="AI739" t="s">
        <v>12</v>
      </c>
      <c r="AJ739" t="s">
        <v>12</v>
      </c>
      <c r="AK739">
        <v>100000</v>
      </c>
      <c r="AL739">
        <v>0.26119999999999999</v>
      </c>
      <c r="AM739">
        <v>0.2412</v>
      </c>
      <c r="AN739" t="s">
        <v>12</v>
      </c>
      <c r="AO739" t="s">
        <v>12</v>
      </c>
    </row>
    <row r="740" spans="1:41" x14ac:dyDescent="0.35">
      <c r="A740">
        <v>17187339</v>
      </c>
      <c r="B740">
        <v>202506</v>
      </c>
      <c r="C740">
        <v>20600646436</v>
      </c>
      <c r="D740" t="s">
        <v>1006</v>
      </c>
      <c r="E740" t="s">
        <v>1</v>
      </c>
      <c r="F740">
        <v>10261893</v>
      </c>
      <c r="G740" t="s">
        <v>45</v>
      </c>
      <c r="H740" t="s">
        <v>1007</v>
      </c>
      <c r="I740">
        <v>83476.546875</v>
      </c>
      <c r="J740" s="1">
        <v>45587</v>
      </c>
      <c r="K740">
        <v>15</v>
      </c>
      <c r="L740" t="s">
        <v>4</v>
      </c>
      <c r="M740" t="s">
        <v>4</v>
      </c>
      <c r="N740" t="s">
        <v>47</v>
      </c>
      <c r="O740">
        <v>202410</v>
      </c>
      <c r="P740">
        <v>90004.5</v>
      </c>
      <c r="Q740" t="s">
        <v>12</v>
      </c>
      <c r="R740" t="s">
        <v>12</v>
      </c>
      <c r="S740" t="s">
        <v>12</v>
      </c>
      <c r="T740" t="s">
        <v>12</v>
      </c>
      <c r="U740" t="s">
        <v>12</v>
      </c>
      <c r="V740" t="s">
        <v>12</v>
      </c>
      <c r="W740" t="s">
        <v>12</v>
      </c>
      <c r="X740" t="s">
        <v>12</v>
      </c>
      <c r="Y740" t="s">
        <v>12</v>
      </c>
      <c r="Z740" t="s">
        <v>12</v>
      </c>
      <c r="AA740" t="s">
        <v>12</v>
      </c>
      <c r="AB740" t="s">
        <v>12</v>
      </c>
      <c r="AC740" t="s">
        <v>12</v>
      </c>
      <c r="AD740" t="s">
        <v>12</v>
      </c>
      <c r="AE740" t="s">
        <v>12</v>
      </c>
      <c r="AF740" t="s">
        <v>12</v>
      </c>
      <c r="AG740" t="s">
        <v>12</v>
      </c>
      <c r="AH740" t="s">
        <v>12</v>
      </c>
      <c r="AI740" t="s">
        <v>12</v>
      </c>
      <c r="AJ740" t="s">
        <v>12</v>
      </c>
      <c r="AK740" t="s">
        <v>12</v>
      </c>
      <c r="AL740" t="s">
        <v>12</v>
      </c>
      <c r="AM740" t="s">
        <v>12</v>
      </c>
      <c r="AN740" t="s">
        <v>12</v>
      </c>
      <c r="AO740" t="s">
        <v>12</v>
      </c>
    </row>
    <row r="741" spans="1:41" x14ac:dyDescent="0.35">
      <c r="A741">
        <v>19462761</v>
      </c>
      <c r="B741">
        <v>202510</v>
      </c>
      <c r="C741">
        <v>20608129856</v>
      </c>
      <c r="D741" t="s">
        <v>1008</v>
      </c>
      <c r="E741" t="s">
        <v>1</v>
      </c>
      <c r="F741">
        <v>10261910</v>
      </c>
      <c r="G741" t="s">
        <v>24</v>
      </c>
      <c r="H741" t="s">
        <v>260</v>
      </c>
      <c r="I741">
        <v>29300.6015625</v>
      </c>
      <c r="J741" s="1">
        <v>45587</v>
      </c>
      <c r="K741">
        <v>18.200001</v>
      </c>
      <c r="L741" t="s">
        <v>37</v>
      </c>
      <c r="M741" t="s">
        <v>37</v>
      </c>
      <c r="N741" t="s">
        <v>12</v>
      </c>
      <c r="O741">
        <v>202410</v>
      </c>
      <c r="P741">
        <v>50002.5</v>
      </c>
      <c r="Q741" t="s">
        <v>260</v>
      </c>
      <c r="R741" t="s">
        <v>261</v>
      </c>
      <c r="S741" t="s">
        <v>18</v>
      </c>
      <c r="T741" t="s">
        <v>122</v>
      </c>
      <c r="U741" t="s">
        <v>41</v>
      </c>
      <c r="V741">
        <v>1</v>
      </c>
      <c r="W741" t="s">
        <v>10</v>
      </c>
      <c r="X741" t="s">
        <v>12</v>
      </c>
      <c r="Y741">
        <v>1</v>
      </c>
      <c r="Z741">
        <v>1</v>
      </c>
      <c r="AA741">
        <v>0</v>
      </c>
      <c r="AB741">
        <v>0</v>
      </c>
      <c r="AC741">
        <v>1</v>
      </c>
      <c r="AD741">
        <v>1</v>
      </c>
      <c r="AE741">
        <v>0</v>
      </c>
      <c r="AF741" t="s">
        <v>12</v>
      </c>
      <c r="AG741" t="s">
        <v>12</v>
      </c>
      <c r="AH741" t="s">
        <v>12</v>
      </c>
      <c r="AI741" t="s">
        <v>12</v>
      </c>
      <c r="AJ741" t="s">
        <v>12</v>
      </c>
      <c r="AK741">
        <v>250000</v>
      </c>
      <c r="AL741">
        <v>0.21</v>
      </c>
      <c r="AM741">
        <v>0.19</v>
      </c>
      <c r="AN741" t="s">
        <v>12</v>
      </c>
      <c r="AO741" t="s">
        <v>12</v>
      </c>
    </row>
    <row r="742" spans="1:41" x14ac:dyDescent="0.35">
      <c r="A742">
        <v>19183451</v>
      </c>
      <c r="B742">
        <v>202509</v>
      </c>
      <c r="C742">
        <v>20608902229</v>
      </c>
      <c r="D742" t="s">
        <v>1009</v>
      </c>
      <c r="E742" t="s">
        <v>1</v>
      </c>
      <c r="F742">
        <v>10250843</v>
      </c>
      <c r="G742" t="s">
        <v>53</v>
      </c>
      <c r="H742" t="s">
        <v>111</v>
      </c>
      <c r="I742">
        <v>38170.9375</v>
      </c>
      <c r="J742" s="1">
        <v>45397</v>
      </c>
      <c r="K742">
        <v>15</v>
      </c>
      <c r="L742" t="s">
        <v>37</v>
      </c>
      <c r="M742" t="s">
        <v>37</v>
      </c>
      <c r="N742" t="s">
        <v>47</v>
      </c>
      <c r="O742">
        <v>202404</v>
      </c>
      <c r="P742">
        <v>66183.3</v>
      </c>
      <c r="Q742" t="s">
        <v>170</v>
      </c>
      <c r="R742" t="s">
        <v>678</v>
      </c>
      <c r="S742" t="s">
        <v>111</v>
      </c>
      <c r="T742" t="s">
        <v>112</v>
      </c>
      <c r="U742" t="s">
        <v>41</v>
      </c>
      <c r="V742">
        <v>2</v>
      </c>
      <c r="W742" t="s">
        <v>10</v>
      </c>
      <c r="X742" t="s">
        <v>22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12</v>
      </c>
      <c r="AG742" t="s">
        <v>12</v>
      </c>
      <c r="AH742" t="s">
        <v>12</v>
      </c>
      <c r="AI742" t="s">
        <v>12</v>
      </c>
      <c r="AJ742" t="s">
        <v>12</v>
      </c>
      <c r="AK742">
        <v>250000</v>
      </c>
      <c r="AL742">
        <v>0.21</v>
      </c>
      <c r="AM742">
        <v>0.19</v>
      </c>
      <c r="AN742" t="s">
        <v>12</v>
      </c>
      <c r="AO742" t="s">
        <v>12</v>
      </c>
    </row>
    <row r="743" spans="1:41" x14ac:dyDescent="0.35">
      <c r="A743">
        <v>16026945</v>
      </c>
      <c r="B743">
        <v>202601</v>
      </c>
      <c r="C743">
        <v>20604304807</v>
      </c>
      <c r="D743" t="s">
        <v>1010</v>
      </c>
      <c r="E743" t="s">
        <v>1</v>
      </c>
      <c r="F743">
        <v>10251206</v>
      </c>
      <c r="G743" t="s">
        <v>53</v>
      </c>
      <c r="H743" t="s">
        <v>54</v>
      </c>
      <c r="I743">
        <v>71107.015625</v>
      </c>
      <c r="J743" s="1">
        <v>45401</v>
      </c>
      <c r="K743">
        <v>14</v>
      </c>
      <c r="L743" t="s">
        <v>4</v>
      </c>
      <c r="M743" t="s">
        <v>4</v>
      </c>
      <c r="N743" t="s">
        <v>47</v>
      </c>
      <c r="O743">
        <v>202404</v>
      </c>
      <c r="P743">
        <v>174918.7</v>
      </c>
      <c r="Q743" t="s">
        <v>54</v>
      </c>
      <c r="R743" t="s">
        <v>55</v>
      </c>
      <c r="S743" t="s">
        <v>31</v>
      </c>
      <c r="T743" t="s">
        <v>32</v>
      </c>
      <c r="U743" t="s">
        <v>20</v>
      </c>
      <c r="V743">
        <v>1</v>
      </c>
      <c r="W743" t="s">
        <v>21</v>
      </c>
      <c r="X743" t="s">
        <v>22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12</v>
      </c>
      <c r="AG743" t="s">
        <v>12</v>
      </c>
      <c r="AH743" t="s">
        <v>12</v>
      </c>
      <c r="AI743" t="s">
        <v>12</v>
      </c>
      <c r="AJ743" t="s">
        <v>12</v>
      </c>
      <c r="AK743">
        <v>1</v>
      </c>
      <c r="AL743">
        <v>1</v>
      </c>
      <c r="AM743">
        <v>0.24</v>
      </c>
      <c r="AN743" t="s">
        <v>12</v>
      </c>
      <c r="AO743" t="s">
        <v>12</v>
      </c>
    </row>
    <row r="744" spans="1:41" x14ac:dyDescent="0.35">
      <c r="A744">
        <v>19970426</v>
      </c>
      <c r="B744">
        <v>202508</v>
      </c>
      <c r="C744">
        <v>10105321266</v>
      </c>
      <c r="D744" t="s">
        <v>232</v>
      </c>
      <c r="E744">
        <v>10532126</v>
      </c>
      <c r="F744">
        <v>10248671</v>
      </c>
      <c r="G744" t="s">
        <v>92</v>
      </c>
      <c r="H744" t="s">
        <v>18</v>
      </c>
      <c r="I744">
        <v>47.634300231933601</v>
      </c>
      <c r="J744" s="1">
        <v>45350</v>
      </c>
      <c r="K744">
        <v>19.799999</v>
      </c>
      <c r="L744" t="s">
        <v>4</v>
      </c>
      <c r="M744" t="s">
        <v>4</v>
      </c>
      <c r="N744" t="s">
        <v>41</v>
      </c>
      <c r="O744">
        <v>202402</v>
      </c>
      <c r="P744">
        <v>100005</v>
      </c>
      <c r="Q744" t="s">
        <v>12</v>
      </c>
      <c r="R744" t="s">
        <v>12</v>
      </c>
      <c r="S744" t="s">
        <v>12</v>
      </c>
      <c r="T744" t="s">
        <v>12</v>
      </c>
      <c r="U744" t="s">
        <v>12</v>
      </c>
      <c r="V744" t="s">
        <v>12</v>
      </c>
      <c r="W744" t="s">
        <v>12</v>
      </c>
      <c r="X744" t="s">
        <v>12</v>
      </c>
      <c r="Y744" t="s">
        <v>12</v>
      </c>
      <c r="Z744" t="s">
        <v>12</v>
      </c>
      <c r="AA744" t="s">
        <v>12</v>
      </c>
      <c r="AB744" t="s">
        <v>12</v>
      </c>
      <c r="AC744" t="s">
        <v>12</v>
      </c>
      <c r="AD744" t="s">
        <v>12</v>
      </c>
      <c r="AE744" t="s">
        <v>12</v>
      </c>
      <c r="AF744" t="s">
        <v>12</v>
      </c>
      <c r="AG744" t="s">
        <v>12</v>
      </c>
      <c r="AH744" t="s">
        <v>12</v>
      </c>
      <c r="AI744" t="s">
        <v>12</v>
      </c>
      <c r="AJ744" t="s">
        <v>12</v>
      </c>
      <c r="AK744" t="s">
        <v>12</v>
      </c>
      <c r="AL744" t="s">
        <v>12</v>
      </c>
      <c r="AM744" t="s">
        <v>12</v>
      </c>
      <c r="AN744" t="s">
        <v>12</v>
      </c>
      <c r="AO744" t="s">
        <v>12</v>
      </c>
    </row>
    <row r="745" spans="1:41" x14ac:dyDescent="0.35">
      <c r="A745">
        <v>20718107</v>
      </c>
      <c r="B745">
        <v>202505</v>
      </c>
      <c r="C745">
        <v>10419725621</v>
      </c>
      <c r="D745" t="s">
        <v>1011</v>
      </c>
      <c r="E745">
        <v>41972562</v>
      </c>
      <c r="F745">
        <v>10249585</v>
      </c>
      <c r="G745" t="s">
        <v>65</v>
      </c>
      <c r="H745" t="s">
        <v>428</v>
      </c>
      <c r="I745">
        <v>62621.63671875</v>
      </c>
      <c r="J745" s="1">
        <v>45370</v>
      </c>
      <c r="K745">
        <v>14.2</v>
      </c>
      <c r="L745" t="s">
        <v>37</v>
      </c>
      <c r="M745" t="s">
        <v>37</v>
      </c>
      <c r="N745" t="s">
        <v>47</v>
      </c>
      <c r="O745">
        <v>202403</v>
      </c>
      <c r="P745">
        <v>90004.5</v>
      </c>
      <c r="Q745" t="s">
        <v>201</v>
      </c>
      <c r="R745" t="s">
        <v>202</v>
      </c>
      <c r="S745" t="s">
        <v>111</v>
      </c>
      <c r="T745" t="s">
        <v>112</v>
      </c>
      <c r="U745" t="s">
        <v>41</v>
      </c>
      <c r="V745">
        <v>2</v>
      </c>
      <c r="W745" t="s">
        <v>90</v>
      </c>
      <c r="X745" t="s">
        <v>12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12</v>
      </c>
      <c r="AG745" t="s">
        <v>12</v>
      </c>
      <c r="AH745" t="s">
        <v>12</v>
      </c>
      <c r="AI745" t="s">
        <v>12</v>
      </c>
      <c r="AJ745" t="s">
        <v>12</v>
      </c>
      <c r="AK745">
        <v>200000</v>
      </c>
      <c r="AL745">
        <v>0.23</v>
      </c>
      <c r="AM745">
        <v>0.20780000000000001</v>
      </c>
      <c r="AN745" t="s">
        <v>12</v>
      </c>
      <c r="AO745" t="s">
        <v>12</v>
      </c>
    </row>
    <row r="746" spans="1:41" x14ac:dyDescent="0.35">
      <c r="A746">
        <v>19579502</v>
      </c>
      <c r="B746">
        <v>202503</v>
      </c>
      <c r="C746">
        <v>20454332009</v>
      </c>
      <c r="D746" t="s">
        <v>1012</v>
      </c>
      <c r="E746" t="s">
        <v>1</v>
      </c>
      <c r="F746">
        <v>10262362</v>
      </c>
      <c r="G746" t="s">
        <v>92</v>
      </c>
      <c r="H746" t="s">
        <v>206</v>
      </c>
      <c r="I746">
        <v>59659.56640625</v>
      </c>
      <c r="J746" s="1">
        <v>45601</v>
      </c>
      <c r="K746">
        <v>22.8</v>
      </c>
      <c r="L746" t="s">
        <v>4</v>
      </c>
      <c r="M746" t="s">
        <v>4</v>
      </c>
      <c r="N746" t="s">
        <v>41</v>
      </c>
      <c r="O746">
        <v>202411</v>
      </c>
      <c r="P746">
        <v>100005</v>
      </c>
      <c r="Q746" t="s">
        <v>206</v>
      </c>
      <c r="R746" t="s">
        <v>207</v>
      </c>
      <c r="S746" t="s">
        <v>39</v>
      </c>
      <c r="T746" t="s">
        <v>40</v>
      </c>
      <c r="U746" t="s">
        <v>20</v>
      </c>
      <c r="V746">
        <v>1</v>
      </c>
      <c r="W746" t="s">
        <v>10</v>
      </c>
      <c r="X746" t="s">
        <v>12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12</v>
      </c>
      <c r="AG746" t="s">
        <v>12</v>
      </c>
      <c r="AH746" t="s">
        <v>12</v>
      </c>
      <c r="AI746" t="s">
        <v>12</v>
      </c>
      <c r="AJ746" t="s">
        <v>12</v>
      </c>
      <c r="AK746">
        <v>956285168</v>
      </c>
      <c r="AL746">
        <v>0</v>
      </c>
      <c r="AM746">
        <v>0</v>
      </c>
      <c r="AN746" t="s">
        <v>12</v>
      </c>
      <c r="AO746" t="s">
        <v>12</v>
      </c>
    </row>
    <row r="747" spans="1:41" x14ac:dyDescent="0.35">
      <c r="A747">
        <v>15395575</v>
      </c>
      <c r="B747">
        <v>202507</v>
      </c>
      <c r="C747">
        <v>10800260456</v>
      </c>
      <c r="D747" t="s">
        <v>1013</v>
      </c>
      <c r="E747">
        <v>80026045</v>
      </c>
      <c r="F747">
        <v>10157625</v>
      </c>
      <c r="G747" t="s">
        <v>2</v>
      </c>
      <c r="H747" t="s">
        <v>105</v>
      </c>
      <c r="I747">
        <v>37927.23046875</v>
      </c>
      <c r="J747" s="1">
        <v>45945</v>
      </c>
      <c r="K747">
        <v>17</v>
      </c>
      <c r="L747" t="s">
        <v>86</v>
      </c>
      <c r="M747" t="s">
        <v>86</v>
      </c>
      <c r="N747" t="s">
        <v>5</v>
      </c>
      <c r="O747">
        <v>202510</v>
      </c>
      <c r="P747">
        <v>70003.5</v>
      </c>
      <c r="Q747" t="s">
        <v>105</v>
      </c>
      <c r="R747" t="s">
        <v>106</v>
      </c>
      <c r="S747" t="s">
        <v>88</v>
      </c>
      <c r="T747" t="s">
        <v>89</v>
      </c>
      <c r="U747" t="s">
        <v>41</v>
      </c>
      <c r="V747">
        <v>2</v>
      </c>
      <c r="W747" t="s">
        <v>647</v>
      </c>
      <c r="X747" t="s">
        <v>12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 t="s">
        <v>12</v>
      </c>
      <c r="AG747" t="s">
        <v>12</v>
      </c>
      <c r="AH747" t="s">
        <v>12</v>
      </c>
      <c r="AI747" t="s">
        <v>12</v>
      </c>
      <c r="AJ747" t="s">
        <v>12</v>
      </c>
      <c r="AK747">
        <v>300000</v>
      </c>
      <c r="AL747">
        <v>0.28000000000000003</v>
      </c>
      <c r="AM747">
        <v>0.26</v>
      </c>
      <c r="AN747" t="s">
        <v>12</v>
      </c>
      <c r="AO747" t="s">
        <v>12</v>
      </c>
    </row>
    <row r="748" spans="1:41" x14ac:dyDescent="0.35">
      <c r="A748">
        <v>10848406</v>
      </c>
      <c r="B748">
        <v>202510</v>
      </c>
      <c r="C748">
        <v>20514364584</v>
      </c>
      <c r="D748" t="s">
        <v>1014</v>
      </c>
      <c r="E748" t="s">
        <v>1</v>
      </c>
      <c r="F748">
        <v>10160410</v>
      </c>
      <c r="G748" t="s">
        <v>2</v>
      </c>
      <c r="H748" t="s">
        <v>204</v>
      </c>
      <c r="I748">
        <v>17708.99609375</v>
      </c>
      <c r="J748" s="1">
        <v>45623</v>
      </c>
      <c r="K748">
        <v>16.5</v>
      </c>
      <c r="L748" t="s">
        <v>4</v>
      </c>
      <c r="M748" t="s">
        <v>4</v>
      </c>
      <c r="N748" t="s">
        <v>5</v>
      </c>
      <c r="O748">
        <v>202411</v>
      </c>
      <c r="P748">
        <v>146318.01</v>
      </c>
      <c r="Q748" t="s">
        <v>204</v>
      </c>
      <c r="R748" t="s">
        <v>291</v>
      </c>
      <c r="S748" t="s">
        <v>127</v>
      </c>
      <c r="T748" t="s">
        <v>147</v>
      </c>
      <c r="U748" t="s">
        <v>5</v>
      </c>
      <c r="V748">
        <v>1</v>
      </c>
      <c r="W748" t="s">
        <v>10</v>
      </c>
      <c r="X748" t="s">
        <v>12</v>
      </c>
      <c r="Y748">
        <v>1</v>
      </c>
      <c r="Z748">
        <v>1</v>
      </c>
      <c r="AA748">
        <v>0</v>
      </c>
      <c r="AB748">
        <v>0</v>
      </c>
      <c r="AC748">
        <v>1</v>
      </c>
      <c r="AD748">
        <v>1</v>
      </c>
      <c r="AE748">
        <v>0</v>
      </c>
      <c r="AF748" t="s">
        <v>12</v>
      </c>
      <c r="AG748" t="s">
        <v>12</v>
      </c>
      <c r="AH748" t="s">
        <v>12</v>
      </c>
      <c r="AI748" t="s">
        <v>12</v>
      </c>
      <c r="AJ748" t="s">
        <v>12</v>
      </c>
      <c r="AK748">
        <v>164800</v>
      </c>
      <c r="AL748">
        <v>0.21</v>
      </c>
      <c r="AM748">
        <v>0.19</v>
      </c>
      <c r="AN748" t="s">
        <v>12</v>
      </c>
      <c r="AO748" t="s">
        <v>12</v>
      </c>
    </row>
    <row r="749" spans="1:41" x14ac:dyDescent="0.35">
      <c r="A749">
        <v>19391178</v>
      </c>
      <c r="B749">
        <v>202505</v>
      </c>
      <c r="C749">
        <v>20608154851</v>
      </c>
      <c r="D749" t="s">
        <v>1015</v>
      </c>
      <c r="E749" t="s">
        <v>1</v>
      </c>
      <c r="F749">
        <v>10250978</v>
      </c>
      <c r="G749" t="s">
        <v>65</v>
      </c>
      <c r="H749" t="s">
        <v>49</v>
      </c>
      <c r="I749">
        <v>220257.890625</v>
      </c>
      <c r="J749" s="1">
        <v>45399</v>
      </c>
      <c r="K749">
        <v>13.5</v>
      </c>
      <c r="L749" t="s">
        <v>4</v>
      </c>
      <c r="M749" t="s">
        <v>4</v>
      </c>
      <c r="N749" t="s">
        <v>47</v>
      </c>
      <c r="O749">
        <v>202404</v>
      </c>
      <c r="P749">
        <v>300015</v>
      </c>
      <c r="Q749" t="s">
        <v>257</v>
      </c>
      <c r="R749" t="s">
        <v>258</v>
      </c>
      <c r="S749" t="s">
        <v>49</v>
      </c>
      <c r="T749" t="s">
        <v>50</v>
      </c>
      <c r="U749" t="s">
        <v>41</v>
      </c>
      <c r="V749">
        <v>1</v>
      </c>
      <c r="W749" t="s">
        <v>10</v>
      </c>
      <c r="X749" t="s">
        <v>12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12</v>
      </c>
      <c r="AG749" t="s">
        <v>12</v>
      </c>
      <c r="AH749" t="s">
        <v>12</v>
      </c>
      <c r="AI749" t="s">
        <v>12</v>
      </c>
      <c r="AJ749" t="s">
        <v>12</v>
      </c>
      <c r="AK749">
        <v>250000</v>
      </c>
      <c r="AL749">
        <v>0.22</v>
      </c>
      <c r="AM749">
        <v>0.20280000000000001</v>
      </c>
      <c r="AN749" t="s">
        <v>12</v>
      </c>
      <c r="AO749" t="s">
        <v>12</v>
      </c>
    </row>
    <row r="750" spans="1:41" x14ac:dyDescent="0.35">
      <c r="A750">
        <v>16626502</v>
      </c>
      <c r="B750">
        <v>202602</v>
      </c>
      <c r="C750">
        <v>20521174294</v>
      </c>
      <c r="D750" t="s">
        <v>635</v>
      </c>
      <c r="E750" t="s">
        <v>1</v>
      </c>
      <c r="F750">
        <v>10176166</v>
      </c>
      <c r="G750" t="s">
        <v>2</v>
      </c>
      <c r="H750" t="s">
        <v>74</v>
      </c>
      <c r="I750">
        <v>106355.140625</v>
      </c>
      <c r="J750" s="1">
        <v>45973</v>
      </c>
      <c r="K750">
        <v>20.98</v>
      </c>
      <c r="L750" t="s">
        <v>4</v>
      </c>
      <c r="M750" t="s">
        <v>4</v>
      </c>
      <c r="N750" t="s">
        <v>5</v>
      </c>
      <c r="O750">
        <v>202511</v>
      </c>
      <c r="P750">
        <v>113005.65</v>
      </c>
      <c r="Q750" t="s">
        <v>74</v>
      </c>
      <c r="R750" t="s">
        <v>76</v>
      </c>
      <c r="S750" t="s">
        <v>31</v>
      </c>
      <c r="T750" t="s">
        <v>32</v>
      </c>
      <c r="U750" t="s">
        <v>138</v>
      </c>
      <c r="V750">
        <v>1</v>
      </c>
      <c r="W750" t="s">
        <v>10</v>
      </c>
      <c r="X750" t="s">
        <v>11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12</v>
      </c>
      <c r="AG750" t="s">
        <v>12</v>
      </c>
      <c r="AH750" t="s">
        <v>12</v>
      </c>
      <c r="AI750" t="s">
        <v>12</v>
      </c>
      <c r="AJ750" t="s">
        <v>12</v>
      </c>
      <c r="AK750">
        <v>0</v>
      </c>
      <c r="AL750">
        <v>0</v>
      </c>
      <c r="AM750">
        <v>0</v>
      </c>
      <c r="AN750" t="s">
        <v>12</v>
      </c>
      <c r="AO750" t="s">
        <v>12</v>
      </c>
    </row>
    <row r="751" spans="1:41" x14ac:dyDescent="0.35">
      <c r="A751">
        <v>19858504</v>
      </c>
      <c r="B751">
        <v>202602</v>
      </c>
      <c r="C751">
        <v>20610122460</v>
      </c>
      <c r="D751" t="s">
        <v>551</v>
      </c>
      <c r="E751" t="s">
        <v>1</v>
      </c>
      <c r="F751">
        <v>10273775</v>
      </c>
      <c r="G751" t="s">
        <v>78</v>
      </c>
      <c r="H751" t="s">
        <v>31</v>
      </c>
      <c r="I751">
        <v>18092.576171875</v>
      </c>
      <c r="J751" s="1">
        <v>46001</v>
      </c>
      <c r="K751">
        <v>24.120000999999998</v>
      </c>
      <c r="L751" t="s">
        <v>4</v>
      </c>
      <c r="M751" t="s">
        <v>4</v>
      </c>
      <c r="N751" t="s">
        <v>41</v>
      </c>
      <c r="O751">
        <v>202512</v>
      </c>
      <c r="P751">
        <v>20001</v>
      </c>
      <c r="Q751" t="s">
        <v>79</v>
      </c>
      <c r="R751" t="s">
        <v>80</v>
      </c>
      <c r="S751" t="s">
        <v>31</v>
      </c>
      <c r="T751" t="s">
        <v>32</v>
      </c>
      <c r="U751" t="s">
        <v>63</v>
      </c>
      <c r="V751">
        <v>1</v>
      </c>
      <c r="W751" t="s">
        <v>10</v>
      </c>
      <c r="X751" t="s">
        <v>51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 t="s">
        <v>12</v>
      </c>
      <c r="AG751" t="s">
        <v>12</v>
      </c>
      <c r="AH751" t="s">
        <v>12</v>
      </c>
      <c r="AI751" t="s">
        <v>12</v>
      </c>
      <c r="AJ751" t="s">
        <v>12</v>
      </c>
      <c r="AK751">
        <v>50000</v>
      </c>
      <c r="AL751">
        <v>0.21</v>
      </c>
      <c r="AM751">
        <v>0.19</v>
      </c>
      <c r="AN751" t="s">
        <v>12</v>
      </c>
      <c r="AO751" t="s">
        <v>12</v>
      </c>
    </row>
    <row r="752" spans="1:41" x14ac:dyDescent="0.35">
      <c r="A752">
        <v>16674081</v>
      </c>
      <c r="B752">
        <v>202510</v>
      </c>
      <c r="C752">
        <v>20550258782</v>
      </c>
      <c r="D752" t="s">
        <v>1016</v>
      </c>
      <c r="E752" t="s">
        <v>1</v>
      </c>
      <c r="F752">
        <v>10246218</v>
      </c>
      <c r="G752" t="s">
        <v>2</v>
      </c>
      <c r="H752" t="s">
        <v>69</v>
      </c>
      <c r="I752">
        <v>185063.609375</v>
      </c>
      <c r="J752" s="1">
        <v>45716</v>
      </c>
      <c r="K752">
        <v>15.5</v>
      </c>
      <c r="L752" t="s">
        <v>4</v>
      </c>
      <c r="M752" t="s">
        <v>4</v>
      </c>
      <c r="N752" t="s">
        <v>5</v>
      </c>
      <c r="O752">
        <v>202502</v>
      </c>
      <c r="P752">
        <v>250012.5</v>
      </c>
      <c r="Q752" t="s">
        <v>69</v>
      </c>
      <c r="R752" t="s">
        <v>71</v>
      </c>
      <c r="S752" t="s">
        <v>7</v>
      </c>
      <c r="T752" t="s">
        <v>8</v>
      </c>
      <c r="U752" t="s">
        <v>5</v>
      </c>
      <c r="V752">
        <v>1</v>
      </c>
      <c r="W752" t="s">
        <v>10</v>
      </c>
      <c r="X752" t="s">
        <v>12</v>
      </c>
      <c r="Y752">
        <v>1</v>
      </c>
      <c r="Z752">
        <v>1</v>
      </c>
      <c r="AA752">
        <v>0</v>
      </c>
      <c r="AB752">
        <v>0</v>
      </c>
      <c r="AC752">
        <v>1</v>
      </c>
      <c r="AD752">
        <v>1</v>
      </c>
      <c r="AE752">
        <v>0</v>
      </c>
      <c r="AF752" t="s">
        <v>12</v>
      </c>
      <c r="AG752" t="s">
        <v>12</v>
      </c>
      <c r="AH752" t="s">
        <v>12</v>
      </c>
      <c r="AI752" t="s">
        <v>12</v>
      </c>
      <c r="AJ752" t="s">
        <v>12</v>
      </c>
      <c r="AK752">
        <v>55200</v>
      </c>
      <c r="AL752">
        <v>0.21</v>
      </c>
      <c r="AM752">
        <v>0.19</v>
      </c>
      <c r="AN752" t="s">
        <v>12</v>
      </c>
      <c r="AO752" t="s">
        <v>12</v>
      </c>
    </row>
    <row r="753" spans="1:41" x14ac:dyDescent="0.35">
      <c r="A753">
        <v>16565735</v>
      </c>
      <c r="B753">
        <v>202509</v>
      </c>
      <c r="C753">
        <v>20605686827</v>
      </c>
      <c r="D753" t="s">
        <v>1017</v>
      </c>
      <c r="E753" t="s">
        <v>1</v>
      </c>
      <c r="F753">
        <v>10250584</v>
      </c>
      <c r="G753" t="s">
        <v>53</v>
      </c>
      <c r="H753" t="s">
        <v>1018</v>
      </c>
      <c r="I753">
        <v>41864.09375</v>
      </c>
      <c r="J753" s="1">
        <v>45391</v>
      </c>
      <c r="K753">
        <v>14.5</v>
      </c>
      <c r="L753" t="s">
        <v>37</v>
      </c>
      <c r="M753" t="s">
        <v>37</v>
      </c>
      <c r="N753" t="s">
        <v>47</v>
      </c>
      <c r="O753">
        <v>202404</v>
      </c>
      <c r="P753">
        <v>72723.600000000006</v>
      </c>
      <c r="Q753" t="s">
        <v>12</v>
      </c>
      <c r="R753" t="s">
        <v>12</v>
      </c>
      <c r="S753" t="s">
        <v>12</v>
      </c>
      <c r="T753" t="s">
        <v>12</v>
      </c>
      <c r="U753" t="s">
        <v>41</v>
      </c>
      <c r="V753">
        <v>2</v>
      </c>
      <c r="W753" t="s">
        <v>10</v>
      </c>
      <c r="X753" t="s">
        <v>51</v>
      </c>
      <c r="Y753">
        <v>1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12</v>
      </c>
      <c r="AG753" t="s">
        <v>12</v>
      </c>
      <c r="AH753" t="s">
        <v>12</v>
      </c>
      <c r="AI753" t="s">
        <v>12</v>
      </c>
      <c r="AJ753" t="s">
        <v>12</v>
      </c>
      <c r="AK753">
        <v>130000</v>
      </c>
      <c r="AL753">
        <v>0.31</v>
      </c>
      <c r="AM753">
        <v>0.28999999999999998</v>
      </c>
      <c r="AN753" t="s">
        <v>12</v>
      </c>
      <c r="AO753" t="s">
        <v>12</v>
      </c>
    </row>
    <row r="754" spans="1:41" x14ac:dyDescent="0.35">
      <c r="A754">
        <v>21506572</v>
      </c>
      <c r="B754">
        <v>202504</v>
      </c>
      <c r="C754">
        <v>20600301030</v>
      </c>
      <c r="D754" t="s">
        <v>1019</v>
      </c>
      <c r="E754" t="s">
        <v>1</v>
      </c>
      <c r="F754">
        <v>10265938</v>
      </c>
      <c r="G754" t="s">
        <v>100</v>
      </c>
      <c r="H754" t="s">
        <v>159</v>
      </c>
      <c r="I754">
        <v>59947.2265625</v>
      </c>
      <c r="J754" s="1">
        <v>45719</v>
      </c>
      <c r="K754">
        <v>21</v>
      </c>
      <c r="L754" t="s">
        <v>37</v>
      </c>
      <c r="M754" t="s">
        <v>37</v>
      </c>
      <c r="N754" t="s">
        <v>102</v>
      </c>
      <c r="O754">
        <v>202503</v>
      </c>
      <c r="P754">
        <v>63003.15</v>
      </c>
      <c r="Q754" t="s">
        <v>12</v>
      </c>
      <c r="R754" t="s">
        <v>12</v>
      </c>
      <c r="S754" t="s">
        <v>12</v>
      </c>
      <c r="T754" t="s">
        <v>12</v>
      </c>
      <c r="U754" t="s">
        <v>12</v>
      </c>
      <c r="V754" t="s">
        <v>12</v>
      </c>
      <c r="W754" t="s">
        <v>12</v>
      </c>
      <c r="X754" t="s">
        <v>12</v>
      </c>
      <c r="Y754" t="s">
        <v>12</v>
      </c>
      <c r="Z754" t="s">
        <v>12</v>
      </c>
      <c r="AA754" t="s">
        <v>12</v>
      </c>
      <c r="AB754" t="s">
        <v>12</v>
      </c>
      <c r="AC754" t="s">
        <v>12</v>
      </c>
      <c r="AD754" t="s">
        <v>12</v>
      </c>
      <c r="AE754" t="s">
        <v>12</v>
      </c>
      <c r="AF754" t="s">
        <v>12</v>
      </c>
      <c r="AG754" t="s">
        <v>12</v>
      </c>
      <c r="AH754" t="s">
        <v>12</v>
      </c>
      <c r="AI754" t="s">
        <v>12</v>
      </c>
      <c r="AJ754" t="s">
        <v>12</v>
      </c>
      <c r="AK754" t="s">
        <v>12</v>
      </c>
      <c r="AL754" t="s">
        <v>12</v>
      </c>
      <c r="AM754" t="s">
        <v>12</v>
      </c>
      <c r="AN754" t="s">
        <v>12</v>
      </c>
      <c r="AO754" t="s">
        <v>12</v>
      </c>
    </row>
    <row r="755" spans="1:41" x14ac:dyDescent="0.35">
      <c r="A755">
        <v>15396994</v>
      </c>
      <c r="B755">
        <v>202506</v>
      </c>
      <c r="C755">
        <v>10296805349</v>
      </c>
      <c r="D755" t="s">
        <v>1020</v>
      </c>
      <c r="E755">
        <v>29680534</v>
      </c>
      <c r="F755">
        <v>10175107</v>
      </c>
      <c r="G755" t="s">
        <v>2</v>
      </c>
      <c r="H755" t="s">
        <v>166</v>
      </c>
      <c r="I755">
        <v>78890.609375</v>
      </c>
      <c r="J755" s="1">
        <v>45897</v>
      </c>
      <c r="K755">
        <v>17</v>
      </c>
      <c r="L755" t="s">
        <v>86</v>
      </c>
      <c r="M755" t="s">
        <v>86</v>
      </c>
      <c r="N755" t="s">
        <v>5</v>
      </c>
      <c r="O755">
        <v>202508</v>
      </c>
      <c r="P755">
        <v>150007.5</v>
      </c>
      <c r="Q755" t="s">
        <v>166</v>
      </c>
      <c r="R755" t="s">
        <v>167</v>
      </c>
      <c r="S755" t="s">
        <v>111</v>
      </c>
      <c r="T755" t="s">
        <v>112</v>
      </c>
      <c r="U755" t="s">
        <v>41</v>
      </c>
      <c r="V755">
        <v>2</v>
      </c>
      <c r="W755" t="s">
        <v>90</v>
      </c>
      <c r="X755" t="s">
        <v>12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 t="s">
        <v>12</v>
      </c>
      <c r="AG755" t="s">
        <v>12</v>
      </c>
      <c r="AH755" t="s">
        <v>12</v>
      </c>
      <c r="AI755" t="s">
        <v>12</v>
      </c>
      <c r="AJ755" t="s">
        <v>12</v>
      </c>
      <c r="AK755">
        <v>300000</v>
      </c>
      <c r="AL755">
        <v>0.22</v>
      </c>
      <c r="AM755">
        <v>0.1973</v>
      </c>
      <c r="AN755" t="s">
        <v>12</v>
      </c>
      <c r="AO755" t="s">
        <v>12</v>
      </c>
    </row>
    <row r="756" spans="1:41" x14ac:dyDescent="0.35">
      <c r="A756">
        <v>15067243</v>
      </c>
      <c r="B756">
        <v>202508</v>
      </c>
      <c r="C756">
        <v>20539632427</v>
      </c>
      <c r="D756" t="s">
        <v>1021</v>
      </c>
      <c r="E756" t="s">
        <v>1</v>
      </c>
      <c r="F756">
        <v>10220654</v>
      </c>
      <c r="G756" t="s">
        <v>2</v>
      </c>
      <c r="H756" t="s">
        <v>145</v>
      </c>
      <c r="I756">
        <v>113592.3828125</v>
      </c>
      <c r="J756" s="1">
        <v>45672</v>
      </c>
      <c r="K756">
        <v>16</v>
      </c>
      <c r="L756" t="s">
        <v>4</v>
      </c>
      <c r="M756" t="s">
        <v>4</v>
      </c>
      <c r="N756" t="s">
        <v>5</v>
      </c>
      <c r="O756">
        <v>202501</v>
      </c>
      <c r="P756">
        <v>145007.25</v>
      </c>
      <c r="Q756" t="s">
        <v>145</v>
      </c>
      <c r="R756" t="s">
        <v>146</v>
      </c>
      <c r="S756" t="s">
        <v>127</v>
      </c>
      <c r="T756" t="s">
        <v>147</v>
      </c>
      <c r="U756" t="s">
        <v>20</v>
      </c>
      <c r="V756">
        <v>1</v>
      </c>
      <c r="W756" t="s">
        <v>10</v>
      </c>
      <c r="X756" t="s">
        <v>12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 t="s">
        <v>12</v>
      </c>
      <c r="AG756" t="s">
        <v>12</v>
      </c>
      <c r="AH756" t="s">
        <v>12</v>
      </c>
      <c r="AI756" t="s">
        <v>12</v>
      </c>
      <c r="AJ756" t="s">
        <v>12</v>
      </c>
      <c r="AK756">
        <v>1</v>
      </c>
      <c r="AL756">
        <v>0.1973</v>
      </c>
      <c r="AM756">
        <v>0</v>
      </c>
      <c r="AN756" t="s">
        <v>12</v>
      </c>
      <c r="AO756" t="s">
        <v>12</v>
      </c>
    </row>
    <row r="757" spans="1:41" x14ac:dyDescent="0.35">
      <c r="A757">
        <v>9757042</v>
      </c>
      <c r="B757">
        <v>202508</v>
      </c>
      <c r="C757">
        <v>10083195628</v>
      </c>
      <c r="D757" t="s">
        <v>1022</v>
      </c>
      <c r="E757">
        <v>8319562</v>
      </c>
      <c r="F757">
        <v>10270201</v>
      </c>
      <c r="G757" t="s">
        <v>78</v>
      </c>
      <c r="H757" t="s">
        <v>129</v>
      </c>
      <c r="I757">
        <v>50002.50390625</v>
      </c>
      <c r="J757" s="1">
        <v>45874</v>
      </c>
      <c r="K757">
        <v>23.33</v>
      </c>
      <c r="L757" t="s">
        <v>4</v>
      </c>
      <c r="M757" t="s">
        <v>4</v>
      </c>
      <c r="N757" t="s">
        <v>41</v>
      </c>
      <c r="O757">
        <v>202508</v>
      </c>
      <c r="P757">
        <v>50002.5</v>
      </c>
      <c r="Q757" t="s">
        <v>129</v>
      </c>
      <c r="R757" t="s">
        <v>130</v>
      </c>
      <c r="S757" t="s">
        <v>49</v>
      </c>
      <c r="T757" t="s">
        <v>50</v>
      </c>
      <c r="U757" t="s">
        <v>41</v>
      </c>
      <c r="V757">
        <v>1</v>
      </c>
      <c r="W757" t="s">
        <v>647</v>
      </c>
      <c r="X757" t="s">
        <v>12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50002.5</v>
      </c>
      <c r="AF757">
        <v>23.33</v>
      </c>
      <c r="AG757" s="1">
        <v>45874</v>
      </c>
      <c r="AH757" t="s">
        <v>41</v>
      </c>
      <c r="AI757" t="s">
        <v>4</v>
      </c>
      <c r="AJ757" t="s">
        <v>33</v>
      </c>
      <c r="AK757">
        <v>50000</v>
      </c>
      <c r="AL757">
        <v>0.25</v>
      </c>
      <c r="AM757">
        <v>0.23330000000000001</v>
      </c>
      <c r="AN757" t="s">
        <v>12</v>
      </c>
      <c r="AO757" t="s">
        <v>12</v>
      </c>
    </row>
    <row r="758" spans="1:41" x14ac:dyDescent="0.35">
      <c r="A758">
        <v>17242374</v>
      </c>
      <c r="B758">
        <v>202510</v>
      </c>
      <c r="C758">
        <v>20606671360</v>
      </c>
      <c r="D758" t="s">
        <v>1023</v>
      </c>
      <c r="E758" t="s">
        <v>1</v>
      </c>
      <c r="F758">
        <v>10266160</v>
      </c>
      <c r="G758" t="s">
        <v>28</v>
      </c>
      <c r="H758" t="s">
        <v>217</v>
      </c>
      <c r="I758">
        <v>105939.2890625</v>
      </c>
      <c r="J758" s="1">
        <v>45729</v>
      </c>
      <c r="K758">
        <v>19</v>
      </c>
      <c r="L758" t="s">
        <v>4</v>
      </c>
      <c r="M758" t="s">
        <v>75</v>
      </c>
      <c r="N758" t="s">
        <v>26</v>
      </c>
      <c r="O758">
        <v>202503</v>
      </c>
      <c r="P758">
        <v>150007.5</v>
      </c>
      <c r="Q758" t="s">
        <v>217</v>
      </c>
      <c r="R758" t="s">
        <v>218</v>
      </c>
      <c r="S758" t="s">
        <v>18</v>
      </c>
      <c r="T758" t="s">
        <v>122</v>
      </c>
      <c r="U758" t="s">
        <v>41</v>
      </c>
      <c r="V758">
        <v>1</v>
      </c>
      <c r="W758" t="s">
        <v>10</v>
      </c>
      <c r="X758" t="s">
        <v>12</v>
      </c>
      <c r="Y758">
        <v>1</v>
      </c>
      <c r="Z758">
        <v>1</v>
      </c>
      <c r="AA758">
        <v>0</v>
      </c>
      <c r="AB758">
        <v>0</v>
      </c>
      <c r="AC758">
        <v>1</v>
      </c>
      <c r="AD758">
        <v>1</v>
      </c>
      <c r="AE758">
        <v>0</v>
      </c>
      <c r="AF758" t="s">
        <v>12</v>
      </c>
      <c r="AG758" t="s">
        <v>12</v>
      </c>
      <c r="AH758" t="s">
        <v>12</v>
      </c>
      <c r="AI758" t="s">
        <v>12</v>
      </c>
      <c r="AJ758" t="s">
        <v>12</v>
      </c>
      <c r="AK758">
        <v>130000</v>
      </c>
      <c r="AL758">
        <v>0.27</v>
      </c>
      <c r="AM758">
        <v>0.25</v>
      </c>
      <c r="AN758" t="s">
        <v>12</v>
      </c>
      <c r="AO758" t="s">
        <v>12</v>
      </c>
    </row>
    <row r="759" spans="1:41" x14ac:dyDescent="0.35">
      <c r="A759">
        <v>21537033</v>
      </c>
      <c r="B759">
        <v>202507</v>
      </c>
      <c r="C759">
        <v>20601195781</v>
      </c>
      <c r="D759" t="s">
        <v>1024</v>
      </c>
      <c r="E759" t="s">
        <v>1</v>
      </c>
      <c r="F759">
        <v>10266309</v>
      </c>
      <c r="G759" t="s">
        <v>268</v>
      </c>
      <c r="H759" t="s">
        <v>159</v>
      </c>
      <c r="I759">
        <v>39989.921875</v>
      </c>
      <c r="J759" s="1">
        <v>45735</v>
      </c>
      <c r="K759">
        <v>19</v>
      </c>
      <c r="L759" t="s">
        <v>37</v>
      </c>
      <c r="M759" t="s">
        <v>37</v>
      </c>
      <c r="N759" t="s">
        <v>98</v>
      </c>
      <c r="O759">
        <v>202503</v>
      </c>
      <c r="P759">
        <v>50002.5</v>
      </c>
      <c r="Q759" t="s">
        <v>12</v>
      </c>
      <c r="R759" t="s">
        <v>12</v>
      </c>
      <c r="S759" t="s">
        <v>12</v>
      </c>
      <c r="T759" t="s">
        <v>12</v>
      </c>
      <c r="U759" t="s">
        <v>12</v>
      </c>
      <c r="V759" t="s">
        <v>12</v>
      </c>
      <c r="W759" t="s">
        <v>12</v>
      </c>
      <c r="X759" t="s">
        <v>12</v>
      </c>
      <c r="Y759" t="s">
        <v>12</v>
      </c>
      <c r="Z759" t="s">
        <v>12</v>
      </c>
      <c r="AA759" t="s">
        <v>12</v>
      </c>
      <c r="AB759" t="s">
        <v>12</v>
      </c>
      <c r="AC759" t="s">
        <v>12</v>
      </c>
      <c r="AD759" t="s">
        <v>12</v>
      </c>
      <c r="AE759" t="s">
        <v>12</v>
      </c>
      <c r="AF759" t="s">
        <v>12</v>
      </c>
      <c r="AG759" t="s">
        <v>12</v>
      </c>
      <c r="AH759" t="s">
        <v>12</v>
      </c>
      <c r="AI759" t="s">
        <v>12</v>
      </c>
      <c r="AJ759" t="s">
        <v>12</v>
      </c>
      <c r="AK759" t="s">
        <v>12</v>
      </c>
      <c r="AL759" t="s">
        <v>12</v>
      </c>
      <c r="AM759" t="s">
        <v>12</v>
      </c>
      <c r="AN759" t="s">
        <v>12</v>
      </c>
      <c r="AO759" t="s">
        <v>12</v>
      </c>
    </row>
    <row r="760" spans="1:41" x14ac:dyDescent="0.35">
      <c r="A760">
        <v>12878736</v>
      </c>
      <c r="B760">
        <v>202505</v>
      </c>
      <c r="C760">
        <v>20548737274</v>
      </c>
      <c r="D760" t="s">
        <v>1025</v>
      </c>
      <c r="E760" t="s">
        <v>1</v>
      </c>
      <c r="F760">
        <v>10226475</v>
      </c>
      <c r="G760" t="s">
        <v>35</v>
      </c>
      <c r="H760" t="s">
        <v>43</v>
      </c>
      <c r="I760">
        <v>13192.765625</v>
      </c>
      <c r="J760" s="1">
        <v>44732</v>
      </c>
      <c r="K760">
        <v>20.2</v>
      </c>
      <c r="L760" t="s">
        <v>37</v>
      </c>
      <c r="M760" t="s">
        <v>37</v>
      </c>
      <c r="N760" t="s">
        <v>12</v>
      </c>
      <c r="O760">
        <v>202206</v>
      </c>
      <c r="P760">
        <v>39101.949999999997</v>
      </c>
      <c r="Q760" t="s">
        <v>12</v>
      </c>
      <c r="R760" t="s">
        <v>12</v>
      </c>
      <c r="S760" t="s">
        <v>12</v>
      </c>
      <c r="T760" t="s">
        <v>12</v>
      </c>
      <c r="U760" t="s">
        <v>12</v>
      </c>
      <c r="V760" t="s">
        <v>12</v>
      </c>
      <c r="W760" t="s">
        <v>12</v>
      </c>
      <c r="X760" t="s">
        <v>12</v>
      </c>
      <c r="Y760" t="s">
        <v>12</v>
      </c>
      <c r="Z760" t="s">
        <v>12</v>
      </c>
      <c r="AA760" t="s">
        <v>12</v>
      </c>
      <c r="AB760" t="s">
        <v>12</v>
      </c>
      <c r="AC760" t="s">
        <v>12</v>
      </c>
      <c r="AD760" t="s">
        <v>12</v>
      </c>
      <c r="AE760" t="s">
        <v>12</v>
      </c>
      <c r="AF760" t="s">
        <v>12</v>
      </c>
      <c r="AG760" t="s">
        <v>12</v>
      </c>
      <c r="AH760" t="s">
        <v>12</v>
      </c>
      <c r="AI760" t="s">
        <v>12</v>
      </c>
      <c r="AJ760" t="s">
        <v>12</v>
      </c>
      <c r="AK760" t="s">
        <v>12</v>
      </c>
      <c r="AL760" t="s">
        <v>12</v>
      </c>
      <c r="AM760" t="s">
        <v>12</v>
      </c>
      <c r="AN760" t="s">
        <v>12</v>
      </c>
      <c r="AO760" t="s">
        <v>12</v>
      </c>
    </row>
    <row r="761" spans="1:41" x14ac:dyDescent="0.35">
      <c r="A761">
        <v>20064309</v>
      </c>
      <c r="B761">
        <v>202506</v>
      </c>
      <c r="C761">
        <v>20609556634</v>
      </c>
      <c r="D761" t="s">
        <v>1026</v>
      </c>
      <c r="E761" t="s">
        <v>1</v>
      </c>
      <c r="F761">
        <v>10257288</v>
      </c>
      <c r="G761" t="s">
        <v>53</v>
      </c>
      <c r="H761" t="s">
        <v>159</v>
      </c>
      <c r="I761">
        <v>42672.84765625</v>
      </c>
      <c r="J761" s="1">
        <v>45489</v>
      </c>
      <c r="K761">
        <v>15.7</v>
      </c>
      <c r="L761" t="s">
        <v>4</v>
      </c>
      <c r="M761" t="s">
        <v>4</v>
      </c>
      <c r="N761" t="s">
        <v>47</v>
      </c>
      <c r="O761">
        <v>202407</v>
      </c>
      <c r="P761">
        <v>52362.6</v>
      </c>
      <c r="Q761" t="s">
        <v>12</v>
      </c>
      <c r="R761" t="s">
        <v>12</v>
      </c>
      <c r="S761" t="s">
        <v>12</v>
      </c>
      <c r="T761" t="s">
        <v>12</v>
      </c>
      <c r="U761" t="s">
        <v>12</v>
      </c>
      <c r="V761" t="s">
        <v>12</v>
      </c>
      <c r="W761" t="s">
        <v>12</v>
      </c>
      <c r="X761" t="s">
        <v>12</v>
      </c>
      <c r="Y761" t="s">
        <v>12</v>
      </c>
      <c r="Z761" t="s">
        <v>12</v>
      </c>
      <c r="AA761" t="s">
        <v>12</v>
      </c>
      <c r="AB761" t="s">
        <v>12</v>
      </c>
      <c r="AC761" t="s">
        <v>12</v>
      </c>
      <c r="AD761" t="s">
        <v>12</v>
      </c>
      <c r="AE761" t="s">
        <v>12</v>
      </c>
      <c r="AF761" t="s">
        <v>12</v>
      </c>
      <c r="AG761" t="s">
        <v>12</v>
      </c>
      <c r="AH761" t="s">
        <v>12</v>
      </c>
      <c r="AI761" t="s">
        <v>12</v>
      </c>
      <c r="AJ761" t="s">
        <v>12</v>
      </c>
      <c r="AK761" t="s">
        <v>12</v>
      </c>
      <c r="AL761" t="s">
        <v>12</v>
      </c>
      <c r="AM761" t="s">
        <v>12</v>
      </c>
      <c r="AN761" t="s">
        <v>12</v>
      </c>
      <c r="AO761" t="s">
        <v>12</v>
      </c>
    </row>
    <row r="762" spans="1:41" x14ac:dyDescent="0.35">
      <c r="A762">
        <v>16063611</v>
      </c>
      <c r="B762">
        <v>202502</v>
      </c>
      <c r="C762">
        <v>20601444373</v>
      </c>
      <c r="D762" t="s">
        <v>1027</v>
      </c>
      <c r="E762" t="s">
        <v>1</v>
      </c>
      <c r="F762">
        <v>10164859</v>
      </c>
      <c r="G762" t="s">
        <v>2</v>
      </c>
      <c r="H762" t="s">
        <v>564</v>
      </c>
      <c r="I762">
        <v>71139.03125</v>
      </c>
      <c r="J762" s="1">
        <v>45967</v>
      </c>
      <c r="K762">
        <v>17.5</v>
      </c>
      <c r="L762" t="s">
        <v>4</v>
      </c>
      <c r="M762" t="s">
        <v>4</v>
      </c>
      <c r="N762" t="s">
        <v>5</v>
      </c>
      <c r="O762">
        <v>202511</v>
      </c>
      <c r="P762">
        <v>153007.65</v>
      </c>
      <c r="Q762" t="s">
        <v>12</v>
      </c>
      <c r="R762" t="s">
        <v>12</v>
      </c>
      <c r="S762" t="s">
        <v>12</v>
      </c>
      <c r="T762" t="s">
        <v>12</v>
      </c>
      <c r="U762" t="s">
        <v>12</v>
      </c>
      <c r="V762" t="s">
        <v>12</v>
      </c>
      <c r="W762" t="s">
        <v>12</v>
      </c>
      <c r="X762" t="s">
        <v>12</v>
      </c>
      <c r="Y762" t="s">
        <v>12</v>
      </c>
      <c r="Z762" t="s">
        <v>12</v>
      </c>
      <c r="AA762" t="s">
        <v>12</v>
      </c>
      <c r="AB762" t="s">
        <v>12</v>
      </c>
      <c r="AC762" t="s">
        <v>12</v>
      </c>
      <c r="AD762" t="s">
        <v>12</v>
      </c>
      <c r="AE762" t="s">
        <v>12</v>
      </c>
      <c r="AF762" t="s">
        <v>12</v>
      </c>
      <c r="AG762" t="s">
        <v>12</v>
      </c>
      <c r="AH762" t="s">
        <v>12</v>
      </c>
      <c r="AI762" t="s">
        <v>12</v>
      </c>
      <c r="AJ762" t="s">
        <v>12</v>
      </c>
      <c r="AK762" t="s">
        <v>12</v>
      </c>
      <c r="AL762" t="s">
        <v>12</v>
      </c>
      <c r="AM762" t="s">
        <v>12</v>
      </c>
      <c r="AN762" t="s">
        <v>12</v>
      </c>
      <c r="AO762" t="s">
        <v>12</v>
      </c>
    </row>
    <row r="763" spans="1:41" x14ac:dyDescent="0.35">
      <c r="A763">
        <v>21582572</v>
      </c>
      <c r="B763">
        <v>202511</v>
      </c>
      <c r="C763">
        <v>10418880452</v>
      </c>
      <c r="D763" t="s">
        <v>1028</v>
      </c>
      <c r="E763">
        <v>41888045</v>
      </c>
      <c r="F763">
        <v>10267019</v>
      </c>
      <c r="G763" t="s">
        <v>100</v>
      </c>
      <c r="H763" t="s">
        <v>273</v>
      </c>
      <c r="I763">
        <v>111203.09375</v>
      </c>
      <c r="J763" s="1">
        <v>45758</v>
      </c>
      <c r="K763">
        <v>17.559999999999999</v>
      </c>
      <c r="L763" t="s">
        <v>37</v>
      </c>
      <c r="M763" t="s">
        <v>37</v>
      </c>
      <c r="N763" t="s">
        <v>102</v>
      </c>
      <c r="O763">
        <v>202504</v>
      </c>
      <c r="P763">
        <v>131806.54999999999</v>
      </c>
      <c r="Q763" t="s">
        <v>12</v>
      </c>
      <c r="R763" t="s">
        <v>12</v>
      </c>
      <c r="S763" t="s">
        <v>12</v>
      </c>
      <c r="T763" t="s">
        <v>12</v>
      </c>
      <c r="U763" t="s">
        <v>12</v>
      </c>
      <c r="V763" t="s">
        <v>12</v>
      </c>
      <c r="W763" t="s">
        <v>12</v>
      </c>
      <c r="X763" t="s">
        <v>12</v>
      </c>
      <c r="Y763" t="s">
        <v>12</v>
      </c>
      <c r="Z763" t="s">
        <v>12</v>
      </c>
      <c r="AA763" t="s">
        <v>12</v>
      </c>
      <c r="AB763" t="s">
        <v>12</v>
      </c>
      <c r="AC763" t="s">
        <v>12</v>
      </c>
      <c r="AD763" t="s">
        <v>12</v>
      </c>
      <c r="AE763" t="s">
        <v>12</v>
      </c>
      <c r="AF763" t="s">
        <v>12</v>
      </c>
      <c r="AG763" t="s">
        <v>12</v>
      </c>
      <c r="AH763" t="s">
        <v>12</v>
      </c>
      <c r="AI763" t="s">
        <v>12</v>
      </c>
      <c r="AJ763" t="s">
        <v>12</v>
      </c>
      <c r="AK763" t="s">
        <v>12</v>
      </c>
      <c r="AL763" t="s">
        <v>12</v>
      </c>
      <c r="AM763" t="s">
        <v>12</v>
      </c>
      <c r="AN763" t="s">
        <v>12</v>
      </c>
      <c r="AO763" t="s">
        <v>12</v>
      </c>
    </row>
    <row r="764" spans="1:41" x14ac:dyDescent="0.35">
      <c r="A764">
        <v>11485354</v>
      </c>
      <c r="B764">
        <v>202510</v>
      </c>
      <c r="C764">
        <v>10075314944</v>
      </c>
      <c r="D764" t="s">
        <v>1029</v>
      </c>
      <c r="E764">
        <v>7531494</v>
      </c>
      <c r="F764">
        <v>10265433</v>
      </c>
      <c r="G764" t="s">
        <v>24</v>
      </c>
      <c r="H764" t="s">
        <v>227</v>
      </c>
      <c r="I764">
        <v>49390.1875</v>
      </c>
      <c r="J764" s="1">
        <v>45706</v>
      </c>
      <c r="K764">
        <v>18.5</v>
      </c>
      <c r="L764" t="s">
        <v>37</v>
      </c>
      <c r="M764" t="s">
        <v>37</v>
      </c>
      <c r="N764" t="s">
        <v>98</v>
      </c>
      <c r="O764">
        <v>202502</v>
      </c>
      <c r="P764">
        <v>70003.5</v>
      </c>
      <c r="Q764" t="s">
        <v>227</v>
      </c>
      <c r="R764" t="s">
        <v>228</v>
      </c>
      <c r="S764" t="s">
        <v>127</v>
      </c>
      <c r="T764" t="s">
        <v>147</v>
      </c>
      <c r="U764" t="s">
        <v>41</v>
      </c>
      <c r="V764">
        <v>1</v>
      </c>
      <c r="W764" t="s">
        <v>90</v>
      </c>
      <c r="X764" t="s">
        <v>12</v>
      </c>
      <c r="Y764">
        <v>1</v>
      </c>
      <c r="Z764">
        <v>1</v>
      </c>
      <c r="AA764">
        <v>0</v>
      </c>
      <c r="AB764">
        <v>0</v>
      </c>
      <c r="AC764">
        <v>1</v>
      </c>
      <c r="AD764">
        <v>1</v>
      </c>
      <c r="AE764">
        <v>0</v>
      </c>
      <c r="AF764" t="s">
        <v>12</v>
      </c>
      <c r="AG764" t="s">
        <v>12</v>
      </c>
      <c r="AH764" t="s">
        <v>12</v>
      </c>
      <c r="AI764" t="s">
        <v>12</v>
      </c>
      <c r="AJ764" t="s">
        <v>12</v>
      </c>
      <c r="AK764">
        <v>73100</v>
      </c>
      <c r="AL764">
        <v>0.21</v>
      </c>
      <c r="AM764">
        <v>0.19</v>
      </c>
      <c r="AN764" t="s">
        <v>12</v>
      </c>
      <c r="AO764" t="s">
        <v>12</v>
      </c>
    </row>
    <row r="765" spans="1:41" x14ac:dyDescent="0.35">
      <c r="A765">
        <v>16040020</v>
      </c>
      <c r="B765">
        <v>202506</v>
      </c>
      <c r="C765">
        <v>20566102278</v>
      </c>
      <c r="D765" t="s">
        <v>1030</v>
      </c>
      <c r="E765" t="s">
        <v>1</v>
      </c>
      <c r="F765">
        <v>10262929</v>
      </c>
      <c r="G765" t="s">
        <v>293</v>
      </c>
      <c r="H765" t="s">
        <v>127</v>
      </c>
      <c r="I765">
        <v>456096.53125</v>
      </c>
      <c r="J765" s="1">
        <v>45617</v>
      </c>
      <c r="K765">
        <v>12.9</v>
      </c>
      <c r="L765" t="s">
        <v>4</v>
      </c>
      <c r="M765" t="s">
        <v>4</v>
      </c>
      <c r="N765" t="s">
        <v>12</v>
      </c>
      <c r="O765">
        <v>202411</v>
      </c>
      <c r="P765">
        <v>500025</v>
      </c>
      <c r="Q765" t="s">
        <v>145</v>
      </c>
      <c r="R765" t="s">
        <v>146</v>
      </c>
      <c r="S765" t="s">
        <v>127</v>
      </c>
      <c r="T765" t="s">
        <v>147</v>
      </c>
      <c r="U765" t="s">
        <v>5</v>
      </c>
      <c r="V765">
        <v>1</v>
      </c>
      <c r="W765" t="s">
        <v>10</v>
      </c>
      <c r="X765" t="s">
        <v>12</v>
      </c>
      <c r="Y765">
        <v>1</v>
      </c>
      <c r="Z765">
        <v>1</v>
      </c>
      <c r="AA765">
        <v>0</v>
      </c>
      <c r="AB765">
        <v>0</v>
      </c>
      <c r="AC765">
        <v>1</v>
      </c>
      <c r="AD765">
        <v>1</v>
      </c>
      <c r="AE765">
        <v>0</v>
      </c>
      <c r="AF765" t="s">
        <v>12</v>
      </c>
      <c r="AG765" t="s">
        <v>12</v>
      </c>
      <c r="AH765" t="s">
        <v>12</v>
      </c>
      <c r="AI765" t="s">
        <v>12</v>
      </c>
      <c r="AJ765" t="s">
        <v>12</v>
      </c>
      <c r="AK765">
        <v>150000</v>
      </c>
      <c r="AL765">
        <v>0.2</v>
      </c>
      <c r="AM765">
        <v>0.18</v>
      </c>
      <c r="AN765" t="s">
        <v>12</v>
      </c>
      <c r="AO765" t="s">
        <v>12</v>
      </c>
    </row>
    <row r="766" spans="1:41" x14ac:dyDescent="0.35">
      <c r="A766">
        <v>21525961</v>
      </c>
      <c r="B766">
        <v>202503</v>
      </c>
      <c r="C766">
        <v>20609421615</v>
      </c>
      <c r="D766" t="s">
        <v>1031</v>
      </c>
      <c r="E766" t="s">
        <v>1</v>
      </c>
      <c r="F766">
        <v>10266227</v>
      </c>
      <c r="G766" t="s">
        <v>268</v>
      </c>
      <c r="H766" t="s">
        <v>159</v>
      </c>
      <c r="I766">
        <v>20001.017578125</v>
      </c>
      <c r="J766" s="1">
        <v>45733</v>
      </c>
      <c r="K766">
        <v>20</v>
      </c>
      <c r="L766" t="s">
        <v>37</v>
      </c>
      <c r="M766" t="s">
        <v>37</v>
      </c>
      <c r="N766" t="s">
        <v>98</v>
      </c>
      <c r="O766">
        <v>202503</v>
      </c>
      <c r="P766">
        <v>20001</v>
      </c>
      <c r="Q766" t="s">
        <v>1032</v>
      </c>
      <c r="R766" t="s">
        <v>1033</v>
      </c>
      <c r="S766" t="s">
        <v>1034</v>
      </c>
      <c r="T766" t="s">
        <v>1035</v>
      </c>
      <c r="U766" t="s">
        <v>98</v>
      </c>
      <c r="V766">
        <v>3</v>
      </c>
      <c r="W766" t="s">
        <v>90</v>
      </c>
      <c r="X766" t="s">
        <v>12</v>
      </c>
      <c r="Y766">
        <v>1</v>
      </c>
      <c r="Z766">
        <v>1</v>
      </c>
      <c r="AA766">
        <v>1</v>
      </c>
      <c r="AB766">
        <v>1</v>
      </c>
      <c r="AC766">
        <v>1</v>
      </c>
      <c r="AD766" t="s">
        <v>12</v>
      </c>
      <c r="AE766">
        <v>20001</v>
      </c>
      <c r="AF766">
        <v>20</v>
      </c>
      <c r="AG766" s="1">
        <v>45733</v>
      </c>
      <c r="AH766" t="s">
        <v>98</v>
      </c>
      <c r="AI766" t="s">
        <v>37</v>
      </c>
      <c r="AJ766" t="s">
        <v>33</v>
      </c>
      <c r="AK766">
        <v>50000</v>
      </c>
      <c r="AL766">
        <v>0.25</v>
      </c>
      <c r="AM766">
        <v>0.23</v>
      </c>
      <c r="AN766" t="s">
        <v>197</v>
      </c>
      <c r="AO766" t="s">
        <v>33</v>
      </c>
    </row>
    <row r="767" spans="1:41" x14ac:dyDescent="0.35">
      <c r="A767">
        <v>22104683</v>
      </c>
      <c r="B767">
        <v>202602</v>
      </c>
      <c r="C767">
        <v>20611705906</v>
      </c>
      <c r="D767" t="s">
        <v>1036</v>
      </c>
      <c r="E767" t="s">
        <v>1</v>
      </c>
      <c r="F767">
        <v>10275256</v>
      </c>
      <c r="G767" t="s">
        <v>24</v>
      </c>
      <c r="H767" t="s">
        <v>159</v>
      </c>
      <c r="I767">
        <v>79999.9453125</v>
      </c>
      <c r="J767" s="1">
        <v>46052</v>
      </c>
      <c r="K767">
        <v>17</v>
      </c>
      <c r="L767" t="s">
        <v>37</v>
      </c>
      <c r="M767" t="s">
        <v>37</v>
      </c>
      <c r="N767" t="s">
        <v>1037</v>
      </c>
      <c r="O767">
        <v>202601</v>
      </c>
      <c r="P767">
        <v>79999.95</v>
      </c>
      <c r="Q767" t="s">
        <v>1038</v>
      </c>
      <c r="R767" t="s">
        <v>1039</v>
      </c>
      <c r="S767" t="s">
        <v>585</v>
      </c>
      <c r="T767" t="s">
        <v>586</v>
      </c>
      <c r="U767" t="s">
        <v>1037</v>
      </c>
      <c r="V767">
        <v>3</v>
      </c>
      <c r="W767" t="s">
        <v>10</v>
      </c>
      <c r="X767" t="s">
        <v>11</v>
      </c>
      <c r="Y767">
        <v>1</v>
      </c>
      <c r="Z767">
        <v>1</v>
      </c>
      <c r="AA767">
        <v>0</v>
      </c>
      <c r="AB767">
        <v>1</v>
      </c>
      <c r="AC767">
        <v>1</v>
      </c>
      <c r="AD767" t="s">
        <v>12</v>
      </c>
      <c r="AE767">
        <v>0</v>
      </c>
      <c r="AF767" t="s">
        <v>12</v>
      </c>
      <c r="AG767" t="s">
        <v>12</v>
      </c>
      <c r="AH767" t="s">
        <v>12</v>
      </c>
      <c r="AI767" t="s">
        <v>12</v>
      </c>
      <c r="AJ767" t="s">
        <v>12</v>
      </c>
      <c r="AK767">
        <v>300000</v>
      </c>
      <c r="AL767">
        <v>0.22</v>
      </c>
      <c r="AM767">
        <v>0.2</v>
      </c>
      <c r="AN767" t="s">
        <v>197</v>
      </c>
      <c r="AO767" t="s">
        <v>1040</v>
      </c>
    </row>
    <row r="768" spans="1:41" x14ac:dyDescent="0.35">
      <c r="A768">
        <v>17842834</v>
      </c>
      <c r="B768">
        <v>202502</v>
      </c>
      <c r="C768">
        <v>20454938730</v>
      </c>
      <c r="D768" t="s">
        <v>1041</v>
      </c>
      <c r="E768" t="s">
        <v>1</v>
      </c>
      <c r="F768">
        <v>10252756</v>
      </c>
      <c r="G768" t="s">
        <v>65</v>
      </c>
      <c r="H768" t="s">
        <v>57</v>
      </c>
      <c r="I768">
        <v>266725.5</v>
      </c>
      <c r="J768" s="1">
        <v>45422</v>
      </c>
      <c r="K768">
        <v>13.7</v>
      </c>
      <c r="L768" t="s">
        <v>4</v>
      </c>
      <c r="M768" t="s">
        <v>4</v>
      </c>
      <c r="N768" t="s">
        <v>47</v>
      </c>
      <c r="O768">
        <v>202405</v>
      </c>
      <c r="P768">
        <v>300015</v>
      </c>
      <c r="Q768" t="s">
        <v>57</v>
      </c>
      <c r="R768" t="s">
        <v>58</v>
      </c>
      <c r="S768" t="s">
        <v>39</v>
      </c>
      <c r="T768" t="s">
        <v>40</v>
      </c>
      <c r="U768" t="s">
        <v>20</v>
      </c>
      <c r="V768">
        <v>1</v>
      </c>
      <c r="W768" t="s">
        <v>10</v>
      </c>
      <c r="X768" t="s">
        <v>12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 t="s">
        <v>12</v>
      </c>
      <c r="AG768" t="s">
        <v>12</v>
      </c>
      <c r="AH768" t="s">
        <v>12</v>
      </c>
      <c r="AI768" t="s">
        <v>12</v>
      </c>
      <c r="AJ768" t="s">
        <v>12</v>
      </c>
      <c r="AK768">
        <v>982672469</v>
      </c>
      <c r="AL768">
        <v>0</v>
      </c>
      <c r="AM768">
        <v>0</v>
      </c>
      <c r="AN768" t="s">
        <v>12</v>
      </c>
      <c r="AO768" t="s">
        <v>12</v>
      </c>
    </row>
    <row r="769" spans="1:41" x14ac:dyDescent="0.35">
      <c r="A769">
        <v>21542153</v>
      </c>
      <c r="B769">
        <v>202506</v>
      </c>
      <c r="C769">
        <v>20603493991</v>
      </c>
      <c r="D769" t="s">
        <v>1042</v>
      </c>
      <c r="E769" t="s">
        <v>1</v>
      </c>
      <c r="F769">
        <v>10266544</v>
      </c>
      <c r="G769" t="s">
        <v>24</v>
      </c>
      <c r="H769" t="s">
        <v>159</v>
      </c>
      <c r="I769">
        <v>60424.71484375</v>
      </c>
      <c r="J769" s="1">
        <v>45742</v>
      </c>
      <c r="K769">
        <v>20</v>
      </c>
      <c r="L769" t="s">
        <v>37</v>
      </c>
      <c r="M769" t="s">
        <v>37</v>
      </c>
      <c r="N769" t="s">
        <v>98</v>
      </c>
      <c r="O769">
        <v>202503</v>
      </c>
      <c r="P769">
        <v>66676.3</v>
      </c>
      <c r="Q769" t="s">
        <v>12</v>
      </c>
      <c r="R769" t="s">
        <v>12</v>
      </c>
      <c r="S769" t="s">
        <v>12</v>
      </c>
      <c r="T769" t="s">
        <v>12</v>
      </c>
      <c r="U769" t="s">
        <v>12</v>
      </c>
      <c r="V769" t="s">
        <v>12</v>
      </c>
      <c r="W769" t="s">
        <v>12</v>
      </c>
      <c r="X769" t="s">
        <v>12</v>
      </c>
      <c r="Y769" t="s">
        <v>12</v>
      </c>
      <c r="Z769" t="s">
        <v>12</v>
      </c>
      <c r="AA769" t="s">
        <v>12</v>
      </c>
      <c r="AB769" t="s">
        <v>12</v>
      </c>
      <c r="AC769" t="s">
        <v>12</v>
      </c>
      <c r="AD769" t="s">
        <v>12</v>
      </c>
      <c r="AE769" t="s">
        <v>12</v>
      </c>
      <c r="AF769" t="s">
        <v>12</v>
      </c>
      <c r="AG769" t="s">
        <v>12</v>
      </c>
      <c r="AH769" t="s">
        <v>12</v>
      </c>
      <c r="AI769" t="s">
        <v>12</v>
      </c>
      <c r="AJ769" t="s">
        <v>12</v>
      </c>
      <c r="AK769" t="s">
        <v>12</v>
      </c>
      <c r="AL769" t="s">
        <v>12</v>
      </c>
      <c r="AM769" t="s">
        <v>12</v>
      </c>
      <c r="AN769" t="s">
        <v>12</v>
      </c>
      <c r="AO769" t="s">
        <v>12</v>
      </c>
    </row>
    <row r="770" spans="1:41" x14ac:dyDescent="0.35">
      <c r="A770">
        <v>11777258</v>
      </c>
      <c r="B770">
        <v>202602</v>
      </c>
      <c r="C770">
        <v>20515632124</v>
      </c>
      <c r="D770" t="s">
        <v>1043</v>
      </c>
      <c r="E770" t="s">
        <v>1</v>
      </c>
      <c r="F770">
        <v>10249187</v>
      </c>
      <c r="G770" t="s">
        <v>92</v>
      </c>
      <c r="H770" t="s">
        <v>246</v>
      </c>
      <c r="I770">
        <v>28587.048828125</v>
      </c>
      <c r="J770" s="1">
        <v>45363</v>
      </c>
      <c r="K770">
        <v>17.799999</v>
      </c>
      <c r="L770" t="s">
        <v>4</v>
      </c>
      <c r="M770" t="s">
        <v>4</v>
      </c>
      <c r="N770" t="s">
        <v>41</v>
      </c>
      <c r="O770">
        <v>202403</v>
      </c>
      <c r="P770">
        <v>150007.5</v>
      </c>
      <c r="Q770" t="s">
        <v>246</v>
      </c>
      <c r="R770" t="s">
        <v>247</v>
      </c>
      <c r="S770" t="s">
        <v>18</v>
      </c>
      <c r="T770" t="s">
        <v>19</v>
      </c>
      <c r="U770" t="s">
        <v>20</v>
      </c>
      <c r="V770">
        <v>1</v>
      </c>
      <c r="W770" t="s">
        <v>10</v>
      </c>
      <c r="X770" t="s">
        <v>22</v>
      </c>
      <c r="Y770">
        <v>1</v>
      </c>
      <c r="Z770">
        <v>1</v>
      </c>
      <c r="AA770">
        <v>0</v>
      </c>
      <c r="AB770">
        <v>0</v>
      </c>
      <c r="AC770">
        <v>1</v>
      </c>
      <c r="AD770">
        <v>1</v>
      </c>
      <c r="AE770">
        <v>0</v>
      </c>
      <c r="AF770" t="s">
        <v>12</v>
      </c>
      <c r="AG770" t="s">
        <v>12</v>
      </c>
      <c r="AH770" t="s">
        <v>12</v>
      </c>
      <c r="AI770" t="s">
        <v>12</v>
      </c>
      <c r="AJ770" t="s">
        <v>12</v>
      </c>
      <c r="AK770">
        <v>1</v>
      </c>
      <c r="AL770">
        <v>1</v>
      </c>
      <c r="AM770" t="s">
        <v>12</v>
      </c>
      <c r="AN770" t="s">
        <v>12</v>
      </c>
      <c r="AO770" t="s">
        <v>12</v>
      </c>
    </row>
    <row r="771" spans="1:41" x14ac:dyDescent="0.35">
      <c r="A771">
        <v>16265381</v>
      </c>
      <c r="B771">
        <v>202602</v>
      </c>
      <c r="C771">
        <v>10454354040</v>
      </c>
      <c r="D771" t="s">
        <v>1044</v>
      </c>
      <c r="E771">
        <v>45435404</v>
      </c>
      <c r="F771">
        <v>10249052</v>
      </c>
      <c r="G771" t="s">
        <v>65</v>
      </c>
      <c r="H771" t="s">
        <v>1045</v>
      </c>
      <c r="I771">
        <v>20536.021484375</v>
      </c>
      <c r="J771" s="1">
        <v>45359</v>
      </c>
      <c r="K771">
        <v>14.6</v>
      </c>
      <c r="L771" t="s">
        <v>37</v>
      </c>
      <c r="M771" t="s">
        <v>37</v>
      </c>
      <c r="N771" t="s">
        <v>47</v>
      </c>
      <c r="O771">
        <v>202403</v>
      </c>
      <c r="P771">
        <v>64003.199999999997</v>
      </c>
      <c r="Q771" t="s">
        <v>12</v>
      </c>
      <c r="R771" t="s">
        <v>12</v>
      </c>
      <c r="S771" t="s">
        <v>12</v>
      </c>
      <c r="T771" t="s">
        <v>12</v>
      </c>
      <c r="U771" t="s">
        <v>196</v>
      </c>
      <c r="V771">
        <v>3</v>
      </c>
      <c r="W771" t="s">
        <v>647</v>
      </c>
      <c r="X771" t="s">
        <v>59</v>
      </c>
      <c r="Y771">
        <v>1</v>
      </c>
      <c r="Z771">
        <v>1</v>
      </c>
      <c r="AA771">
        <v>0</v>
      </c>
      <c r="AB771">
        <v>0</v>
      </c>
      <c r="AC771">
        <v>1</v>
      </c>
      <c r="AD771" t="s">
        <v>12</v>
      </c>
      <c r="AE771">
        <v>0</v>
      </c>
      <c r="AF771" t="s">
        <v>12</v>
      </c>
      <c r="AG771" t="s">
        <v>12</v>
      </c>
      <c r="AH771" t="s">
        <v>12</v>
      </c>
      <c r="AI771" t="s">
        <v>12</v>
      </c>
      <c r="AJ771" t="s">
        <v>12</v>
      </c>
      <c r="AK771" t="s">
        <v>12</v>
      </c>
      <c r="AL771" t="s">
        <v>12</v>
      </c>
      <c r="AM771" t="s">
        <v>12</v>
      </c>
      <c r="AN771" t="s">
        <v>269</v>
      </c>
      <c r="AO771" t="s">
        <v>270</v>
      </c>
    </row>
    <row r="772" spans="1:41" x14ac:dyDescent="0.35">
      <c r="A772">
        <v>16265381</v>
      </c>
      <c r="B772">
        <v>202602</v>
      </c>
      <c r="C772">
        <v>10454354040</v>
      </c>
      <c r="D772" t="s">
        <v>1044</v>
      </c>
      <c r="E772">
        <v>45435404</v>
      </c>
      <c r="F772">
        <v>10249052</v>
      </c>
      <c r="G772" t="s">
        <v>65</v>
      </c>
      <c r="H772" t="s">
        <v>1045</v>
      </c>
      <c r="I772">
        <v>20536.021484375</v>
      </c>
      <c r="J772" s="1">
        <v>45359</v>
      </c>
      <c r="K772">
        <v>14.6</v>
      </c>
      <c r="L772" t="s">
        <v>37</v>
      </c>
      <c r="M772" t="s">
        <v>37</v>
      </c>
      <c r="N772" t="s">
        <v>47</v>
      </c>
      <c r="O772">
        <v>202403</v>
      </c>
      <c r="P772">
        <v>64003.199999999997</v>
      </c>
      <c r="Q772" t="s">
        <v>513</v>
      </c>
      <c r="R772" t="s">
        <v>514</v>
      </c>
      <c r="S772" t="s">
        <v>111</v>
      </c>
      <c r="T772" t="s">
        <v>112</v>
      </c>
      <c r="U772" t="s">
        <v>41</v>
      </c>
      <c r="V772">
        <v>2</v>
      </c>
      <c r="W772" t="s">
        <v>647</v>
      </c>
      <c r="X772" t="s">
        <v>59</v>
      </c>
      <c r="Y772">
        <v>1</v>
      </c>
      <c r="Z772">
        <v>1</v>
      </c>
      <c r="AA772">
        <v>0</v>
      </c>
      <c r="AB772">
        <v>1</v>
      </c>
      <c r="AC772">
        <v>1</v>
      </c>
      <c r="AD772">
        <v>0</v>
      </c>
      <c r="AE772">
        <v>0</v>
      </c>
      <c r="AF772" t="s">
        <v>12</v>
      </c>
      <c r="AG772" t="s">
        <v>12</v>
      </c>
      <c r="AH772" t="s">
        <v>12</v>
      </c>
      <c r="AI772" t="s">
        <v>12</v>
      </c>
      <c r="AJ772" t="s">
        <v>12</v>
      </c>
      <c r="AK772">
        <v>250000</v>
      </c>
      <c r="AL772">
        <v>0.25090000000000001</v>
      </c>
      <c r="AM772">
        <v>0.23089999999999999</v>
      </c>
      <c r="AN772" t="s">
        <v>12</v>
      </c>
      <c r="AO772" t="s">
        <v>12</v>
      </c>
    </row>
    <row r="773" spans="1:41" x14ac:dyDescent="0.35">
      <c r="A773">
        <v>20262477</v>
      </c>
      <c r="B773">
        <v>202505</v>
      </c>
      <c r="C773">
        <v>10437999169</v>
      </c>
      <c r="D773" t="s">
        <v>1046</v>
      </c>
      <c r="E773">
        <v>43799916</v>
      </c>
      <c r="F773">
        <v>10252405</v>
      </c>
      <c r="G773" t="s">
        <v>65</v>
      </c>
      <c r="H773" t="s">
        <v>603</v>
      </c>
      <c r="I773">
        <v>69864.3203125</v>
      </c>
      <c r="J773" s="1">
        <v>45418</v>
      </c>
      <c r="K773">
        <v>15.5</v>
      </c>
      <c r="L773" t="s">
        <v>37</v>
      </c>
      <c r="M773" t="s">
        <v>37</v>
      </c>
      <c r="N773" t="s">
        <v>47</v>
      </c>
      <c r="O773">
        <v>202405</v>
      </c>
      <c r="P773">
        <v>90004.5</v>
      </c>
      <c r="Q773" t="s">
        <v>603</v>
      </c>
      <c r="R773" t="s">
        <v>642</v>
      </c>
      <c r="S773" t="s">
        <v>18</v>
      </c>
      <c r="T773" t="s">
        <v>122</v>
      </c>
      <c r="U773" t="s">
        <v>41</v>
      </c>
      <c r="V773">
        <v>1</v>
      </c>
      <c r="W773" t="s">
        <v>10</v>
      </c>
      <c r="X773" t="s">
        <v>12</v>
      </c>
      <c r="Y773">
        <v>1</v>
      </c>
      <c r="Z773">
        <v>1</v>
      </c>
      <c r="AA773">
        <v>0</v>
      </c>
      <c r="AB773">
        <v>0</v>
      </c>
      <c r="AC773">
        <v>1</v>
      </c>
      <c r="AD773">
        <v>0</v>
      </c>
      <c r="AE773">
        <v>0</v>
      </c>
      <c r="AF773" t="s">
        <v>12</v>
      </c>
      <c r="AG773" t="s">
        <v>12</v>
      </c>
      <c r="AH773" t="s">
        <v>12</v>
      </c>
      <c r="AI773" t="s">
        <v>12</v>
      </c>
      <c r="AJ773" t="s">
        <v>12</v>
      </c>
      <c r="AK773">
        <v>200000</v>
      </c>
      <c r="AL773">
        <v>0.26</v>
      </c>
      <c r="AM773">
        <v>0.23780000000000001</v>
      </c>
      <c r="AN773" t="s">
        <v>12</v>
      </c>
      <c r="AO773" t="s">
        <v>12</v>
      </c>
    </row>
    <row r="774" spans="1:41" x14ac:dyDescent="0.35">
      <c r="A774">
        <v>21045784</v>
      </c>
      <c r="B774">
        <v>202504</v>
      </c>
      <c r="C774">
        <v>20454137214</v>
      </c>
      <c r="D774" t="s">
        <v>1047</v>
      </c>
      <c r="E774" t="s">
        <v>1</v>
      </c>
      <c r="F774">
        <v>10264755</v>
      </c>
      <c r="G774" t="s">
        <v>92</v>
      </c>
      <c r="H774" t="s">
        <v>294</v>
      </c>
      <c r="I774">
        <v>89003.46875</v>
      </c>
      <c r="J774" s="1">
        <v>45680</v>
      </c>
      <c r="K774">
        <v>16</v>
      </c>
      <c r="L774" t="s">
        <v>4</v>
      </c>
      <c r="M774" t="s">
        <v>4</v>
      </c>
      <c r="N774" t="s">
        <v>41</v>
      </c>
      <c r="O774">
        <v>202501</v>
      </c>
      <c r="P774">
        <v>100005</v>
      </c>
      <c r="Q774" t="s">
        <v>294</v>
      </c>
      <c r="R774" t="s">
        <v>295</v>
      </c>
      <c r="S774" t="s">
        <v>7</v>
      </c>
      <c r="T774" t="s">
        <v>8</v>
      </c>
      <c r="U774" t="s">
        <v>20</v>
      </c>
      <c r="V774">
        <v>1</v>
      </c>
      <c r="W774" t="s">
        <v>10</v>
      </c>
      <c r="X774" t="s">
        <v>12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12</v>
      </c>
      <c r="AG774" t="s">
        <v>12</v>
      </c>
      <c r="AH774" t="s">
        <v>12</v>
      </c>
      <c r="AI774" t="s">
        <v>12</v>
      </c>
      <c r="AJ774" t="s">
        <v>12</v>
      </c>
      <c r="AK774">
        <v>0</v>
      </c>
      <c r="AL774">
        <v>0</v>
      </c>
      <c r="AM774">
        <v>0</v>
      </c>
      <c r="AN774" t="s">
        <v>12</v>
      </c>
      <c r="AO774" t="s">
        <v>12</v>
      </c>
    </row>
    <row r="775" spans="1:41" x14ac:dyDescent="0.35">
      <c r="A775">
        <v>16114194</v>
      </c>
      <c r="B775">
        <v>202504</v>
      </c>
      <c r="C775">
        <v>10423136770</v>
      </c>
      <c r="D775" t="s">
        <v>1048</v>
      </c>
      <c r="E775">
        <v>42313677</v>
      </c>
      <c r="F775">
        <v>10263298</v>
      </c>
      <c r="G775" t="s">
        <v>45</v>
      </c>
      <c r="H775" t="s">
        <v>183</v>
      </c>
      <c r="I775">
        <v>60003.01171875</v>
      </c>
      <c r="J775" s="1">
        <v>45624</v>
      </c>
      <c r="K775">
        <v>15.5</v>
      </c>
      <c r="L775" t="s">
        <v>37</v>
      </c>
      <c r="M775" t="s">
        <v>37</v>
      </c>
      <c r="N775" t="s">
        <v>47</v>
      </c>
      <c r="O775">
        <v>202411</v>
      </c>
      <c r="P775">
        <v>60003</v>
      </c>
      <c r="Q775" t="s">
        <v>12</v>
      </c>
      <c r="R775" t="s">
        <v>12</v>
      </c>
      <c r="S775" t="s">
        <v>12</v>
      </c>
      <c r="T775" t="s">
        <v>12</v>
      </c>
      <c r="U775" t="s">
        <v>12</v>
      </c>
      <c r="V775" t="s">
        <v>12</v>
      </c>
      <c r="W775" t="s">
        <v>12</v>
      </c>
      <c r="X775" t="s">
        <v>12</v>
      </c>
      <c r="Y775" t="s">
        <v>12</v>
      </c>
      <c r="Z775" t="s">
        <v>12</v>
      </c>
      <c r="AA775" t="s">
        <v>12</v>
      </c>
      <c r="AB775" t="s">
        <v>12</v>
      </c>
      <c r="AC775" t="s">
        <v>12</v>
      </c>
      <c r="AD775" t="s">
        <v>12</v>
      </c>
      <c r="AE775" t="s">
        <v>12</v>
      </c>
      <c r="AF775" t="s">
        <v>12</v>
      </c>
      <c r="AG775" t="s">
        <v>12</v>
      </c>
      <c r="AH775" t="s">
        <v>12</v>
      </c>
      <c r="AI775" t="s">
        <v>12</v>
      </c>
      <c r="AJ775" t="s">
        <v>12</v>
      </c>
      <c r="AK775" t="s">
        <v>12</v>
      </c>
      <c r="AL775" t="s">
        <v>12</v>
      </c>
      <c r="AM775" t="s">
        <v>12</v>
      </c>
      <c r="AN775" t="s">
        <v>12</v>
      </c>
      <c r="AO775" t="s">
        <v>12</v>
      </c>
    </row>
    <row r="776" spans="1:41" x14ac:dyDescent="0.35">
      <c r="A776">
        <v>10649254</v>
      </c>
      <c r="B776">
        <v>202504</v>
      </c>
      <c r="C776">
        <v>10104833123</v>
      </c>
      <c r="D776" t="s">
        <v>1049</v>
      </c>
      <c r="E776">
        <v>10483312</v>
      </c>
      <c r="F776">
        <v>10262313</v>
      </c>
      <c r="G776" t="s">
        <v>92</v>
      </c>
      <c r="H776" t="s">
        <v>111</v>
      </c>
      <c r="I776">
        <v>41160.95703125</v>
      </c>
      <c r="J776" s="1">
        <v>45596</v>
      </c>
      <c r="K776">
        <v>20</v>
      </c>
      <c r="L776" t="s">
        <v>4</v>
      </c>
      <c r="M776" t="s">
        <v>4</v>
      </c>
      <c r="N776" t="s">
        <v>41</v>
      </c>
      <c r="O776">
        <v>202410</v>
      </c>
      <c r="P776">
        <v>50002.5</v>
      </c>
      <c r="Q776" t="s">
        <v>105</v>
      </c>
      <c r="R776" t="s">
        <v>12</v>
      </c>
      <c r="S776" t="s">
        <v>12</v>
      </c>
      <c r="T776" t="s">
        <v>12</v>
      </c>
      <c r="U776" t="s">
        <v>20</v>
      </c>
      <c r="V776">
        <v>2</v>
      </c>
      <c r="W776" t="s">
        <v>10</v>
      </c>
      <c r="X776" t="s">
        <v>12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12</v>
      </c>
      <c r="AG776" t="s">
        <v>12</v>
      </c>
      <c r="AH776" t="s">
        <v>12</v>
      </c>
      <c r="AI776" t="s">
        <v>12</v>
      </c>
      <c r="AJ776" t="s">
        <v>12</v>
      </c>
      <c r="AK776">
        <v>0</v>
      </c>
      <c r="AL776">
        <v>0</v>
      </c>
      <c r="AM776">
        <v>0</v>
      </c>
      <c r="AN776" t="s">
        <v>12</v>
      </c>
      <c r="AO776" t="s">
        <v>12</v>
      </c>
    </row>
    <row r="777" spans="1:41" x14ac:dyDescent="0.35">
      <c r="A777">
        <v>19700143</v>
      </c>
      <c r="B777">
        <v>202602</v>
      </c>
      <c r="C777">
        <v>10459501598</v>
      </c>
      <c r="D777" t="s">
        <v>1050</v>
      </c>
      <c r="E777">
        <v>45950159</v>
      </c>
      <c r="F777">
        <v>10267942</v>
      </c>
      <c r="G777" t="s">
        <v>68</v>
      </c>
      <c r="H777" t="s">
        <v>46</v>
      </c>
      <c r="I777">
        <v>96774.7421875</v>
      </c>
      <c r="J777" s="1">
        <v>45797</v>
      </c>
      <c r="K777">
        <v>20</v>
      </c>
      <c r="L777" t="s">
        <v>4</v>
      </c>
      <c r="M777" t="s">
        <v>4</v>
      </c>
      <c r="N777" t="s">
        <v>70</v>
      </c>
      <c r="O777">
        <v>202505</v>
      </c>
      <c r="P777">
        <v>120756</v>
      </c>
      <c r="Q777" t="s">
        <v>46</v>
      </c>
      <c r="R777" t="s">
        <v>48</v>
      </c>
      <c r="S777" t="s">
        <v>49</v>
      </c>
      <c r="T777" t="s">
        <v>50</v>
      </c>
      <c r="U777" t="s">
        <v>63</v>
      </c>
      <c r="V777">
        <v>1</v>
      </c>
      <c r="W777" t="s">
        <v>10</v>
      </c>
      <c r="X777" t="s">
        <v>51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 t="s">
        <v>12</v>
      </c>
      <c r="AG777" t="s">
        <v>12</v>
      </c>
      <c r="AH777" t="s">
        <v>12</v>
      </c>
      <c r="AI777" t="s">
        <v>12</v>
      </c>
      <c r="AJ777" t="s">
        <v>12</v>
      </c>
      <c r="AK777">
        <v>50000</v>
      </c>
      <c r="AL777">
        <v>0.22589999999999999</v>
      </c>
      <c r="AM777">
        <v>0.2059</v>
      </c>
      <c r="AN777" t="s">
        <v>12</v>
      </c>
      <c r="AO777" t="s">
        <v>12</v>
      </c>
    </row>
    <row r="778" spans="1:41" x14ac:dyDescent="0.35">
      <c r="A778">
        <v>21291163</v>
      </c>
      <c r="B778">
        <v>202502</v>
      </c>
      <c r="C778">
        <v>10277194541</v>
      </c>
      <c r="D778" t="s">
        <v>1051</v>
      </c>
      <c r="E778">
        <v>27719454</v>
      </c>
      <c r="F778">
        <v>10264323</v>
      </c>
      <c r="G778" t="s">
        <v>14</v>
      </c>
      <c r="H778" t="s">
        <v>183</v>
      </c>
      <c r="I778">
        <v>38586.0703125</v>
      </c>
      <c r="J778" s="1">
        <v>45653</v>
      </c>
      <c r="K778">
        <v>18.2</v>
      </c>
      <c r="L778" t="s">
        <v>37</v>
      </c>
      <c r="M778" t="s">
        <v>37</v>
      </c>
      <c r="N778" t="s">
        <v>16</v>
      </c>
      <c r="O778">
        <v>202412</v>
      </c>
      <c r="P778">
        <v>39801.949999999997</v>
      </c>
      <c r="Q778" t="s">
        <v>12</v>
      </c>
      <c r="R778" t="s">
        <v>12</v>
      </c>
      <c r="S778" t="s">
        <v>12</v>
      </c>
      <c r="T778" t="s">
        <v>12</v>
      </c>
      <c r="U778" t="s">
        <v>12</v>
      </c>
      <c r="V778" t="s">
        <v>12</v>
      </c>
      <c r="W778" t="s">
        <v>12</v>
      </c>
      <c r="X778" t="s">
        <v>12</v>
      </c>
      <c r="Y778" t="s">
        <v>12</v>
      </c>
      <c r="Z778" t="s">
        <v>12</v>
      </c>
      <c r="AA778" t="s">
        <v>12</v>
      </c>
      <c r="AB778" t="s">
        <v>12</v>
      </c>
      <c r="AC778" t="s">
        <v>12</v>
      </c>
      <c r="AD778" t="s">
        <v>12</v>
      </c>
      <c r="AE778" t="s">
        <v>12</v>
      </c>
      <c r="AF778" t="s">
        <v>12</v>
      </c>
      <c r="AG778" t="s">
        <v>12</v>
      </c>
      <c r="AH778" t="s">
        <v>12</v>
      </c>
      <c r="AI778" t="s">
        <v>12</v>
      </c>
      <c r="AJ778" t="s">
        <v>12</v>
      </c>
      <c r="AK778" t="s">
        <v>12</v>
      </c>
      <c r="AL778" t="s">
        <v>12</v>
      </c>
      <c r="AM778" t="s">
        <v>12</v>
      </c>
      <c r="AN778" t="s">
        <v>12</v>
      </c>
      <c r="AO778" t="s">
        <v>12</v>
      </c>
    </row>
    <row r="779" spans="1:41" x14ac:dyDescent="0.35">
      <c r="A779">
        <v>19616316</v>
      </c>
      <c r="B779">
        <v>202507</v>
      </c>
      <c r="C779">
        <v>20608950738</v>
      </c>
      <c r="D779" t="s">
        <v>1052</v>
      </c>
      <c r="E779" t="s">
        <v>1</v>
      </c>
      <c r="F779">
        <v>10269082</v>
      </c>
      <c r="G779" t="s">
        <v>28</v>
      </c>
      <c r="H779" t="s">
        <v>417</v>
      </c>
      <c r="I779">
        <v>60002.984375</v>
      </c>
      <c r="J779" s="1">
        <v>45834</v>
      </c>
      <c r="K779">
        <v>21</v>
      </c>
      <c r="L779" t="s">
        <v>4</v>
      </c>
      <c r="M779" t="s">
        <v>4</v>
      </c>
      <c r="N779" t="s">
        <v>26</v>
      </c>
      <c r="O779">
        <v>202506</v>
      </c>
      <c r="P779">
        <v>60003</v>
      </c>
      <c r="Q779" t="s">
        <v>12</v>
      </c>
      <c r="R779" t="s">
        <v>12</v>
      </c>
      <c r="S779" t="s">
        <v>12</v>
      </c>
      <c r="T779" t="s">
        <v>12</v>
      </c>
      <c r="U779" t="s">
        <v>12</v>
      </c>
      <c r="V779" t="s">
        <v>12</v>
      </c>
      <c r="W779" t="s">
        <v>12</v>
      </c>
      <c r="X779" t="s">
        <v>12</v>
      </c>
      <c r="Y779" t="s">
        <v>12</v>
      </c>
      <c r="Z779" t="s">
        <v>12</v>
      </c>
      <c r="AA779" t="s">
        <v>12</v>
      </c>
      <c r="AB779" t="s">
        <v>12</v>
      </c>
      <c r="AC779" t="s">
        <v>12</v>
      </c>
      <c r="AD779" t="s">
        <v>12</v>
      </c>
      <c r="AE779" t="s">
        <v>12</v>
      </c>
      <c r="AF779" t="s">
        <v>12</v>
      </c>
      <c r="AG779" t="s">
        <v>12</v>
      </c>
      <c r="AH779" t="s">
        <v>12</v>
      </c>
      <c r="AI779" t="s">
        <v>12</v>
      </c>
      <c r="AJ779" t="s">
        <v>12</v>
      </c>
      <c r="AK779" t="s">
        <v>12</v>
      </c>
      <c r="AL779" t="s">
        <v>12</v>
      </c>
      <c r="AM779" t="s">
        <v>12</v>
      </c>
      <c r="AN779" t="s">
        <v>12</v>
      </c>
      <c r="AO779" t="s">
        <v>12</v>
      </c>
    </row>
    <row r="780" spans="1:41" x14ac:dyDescent="0.35">
      <c r="A780">
        <v>8703594</v>
      </c>
      <c r="B780">
        <v>202602</v>
      </c>
      <c r="C780">
        <v>20124794413</v>
      </c>
      <c r="D780" t="s">
        <v>834</v>
      </c>
      <c r="E780" t="s">
        <v>1</v>
      </c>
      <c r="F780">
        <v>10262359</v>
      </c>
      <c r="G780" t="s">
        <v>45</v>
      </c>
      <c r="H780" t="s">
        <v>210</v>
      </c>
      <c r="I780">
        <v>7326.0869140625</v>
      </c>
      <c r="J780" s="1">
        <v>45601</v>
      </c>
      <c r="K780">
        <v>14.9</v>
      </c>
      <c r="L780" t="s">
        <v>37</v>
      </c>
      <c r="M780" t="s">
        <v>37</v>
      </c>
      <c r="N780" t="s">
        <v>47</v>
      </c>
      <c r="O780">
        <v>202411</v>
      </c>
      <c r="P780">
        <v>90004.5</v>
      </c>
      <c r="Q780" t="s">
        <v>210</v>
      </c>
      <c r="R780" t="s">
        <v>211</v>
      </c>
      <c r="S780" t="s">
        <v>39</v>
      </c>
      <c r="T780" t="s">
        <v>40</v>
      </c>
      <c r="U780" t="s">
        <v>63</v>
      </c>
      <c r="V780">
        <v>1</v>
      </c>
      <c r="W780" t="s">
        <v>10</v>
      </c>
      <c r="X780" t="s">
        <v>22</v>
      </c>
      <c r="Y780">
        <v>1</v>
      </c>
      <c r="Z780">
        <v>1</v>
      </c>
      <c r="AA780">
        <v>0</v>
      </c>
      <c r="AB780">
        <v>0</v>
      </c>
      <c r="AC780">
        <v>1</v>
      </c>
      <c r="AD780">
        <v>1</v>
      </c>
      <c r="AE780">
        <v>0</v>
      </c>
      <c r="AF780" t="s">
        <v>12</v>
      </c>
      <c r="AG780" t="s">
        <v>12</v>
      </c>
      <c r="AH780" t="s">
        <v>12</v>
      </c>
      <c r="AI780" t="s">
        <v>12</v>
      </c>
      <c r="AJ780" t="s">
        <v>12</v>
      </c>
      <c r="AK780">
        <v>81500</v>
      </c>
      <c r="AL780">
        <v>0.21</v>
      </c>
      <c r="AM780">
        <v>0.19</v>
      </c>
      <c r="AN780" t="s">
        <v>12</v>
      </c>
      <c r="AO780" t="s">
        <v>12</v>
      </c>
    </row>
    <row r="781" spans="1:41" x14ac:dyDescent="0.35">
      <c r="A781">
        <v>20439459</v>
      </c>
      <c r="B781">
        <v>202601</v>
      </c>
      <c r="C781">
        <v>20600116321</v>
      </c>
      <c r="D781" t="s">
        <v>1053</v>
      </c>
      <c r="E781" t="s">
        <v>1</v>
      </c>
      <c r="F781">
        <v>10257684</v>
      </c>
      <c r="G781" t="s">
        <v>53</v>
      </c>
      <c r="H781" t="s">
        <v>317</v>
      </c>
      <c r="I781">
        <v>30365.470703125</v>
      </c>
      <c r="J781" s="1">
        <v>45497</v>
      </c>
      <c r="K781">
        <v>17.700001</v>
      </c>
      <c r="L781" t="s">
        <v>4</v>
      </c>
      <c r="M781" t="s">
        <v>4</v>
      </c>
      <c r="N781" t="s">
        <v>47</v>
      </c>
      <c r="O781">
        <v>202407</v>
      </c>
      <c r="P781">
        <v>68503.399999999994</v>
      </c>
      <c r="Q781" t="s">
        <v>317</v>
      </c>
      <c r="R781" t="s">
        <v>318</v>
      </c>
      <c r="S781" t="s">
        <v>88</v>
      </c>
      <c r="T781" t="s">
        <v>89</v>
      </c>
      <c r="U781" t="s">
        <v>41</v>
      </c>
      <c r="V781">
        <v>2</v>
      </c>
      <c r="W781" t="s">
        <v>21</v>
      </c>
      <c r="X781" t="s">
        <v>59</v>
      </c>
      <c r="Y781">
        <v>1</v>
      </c>
      <c r="Z781">
        <v>1</v>
      </c>
      <c r="AA781">
        <v>0</v>
      </c>
      <c r="AB781">
        <v>1</v>
      </c>
      <c r="AC781">
        <v>1</v>
      </c>
      <c r="AD781">
        <v>1</v>
      </c>
      <c r="AE781">
        <v>0</v>
      </c>
      <c r="AF781" t="s">
        <v>12</v>
      </c>
      <c r="AG781" t="s">
        <v>12</v>
      </c>
      <c r="AH781" t="s">
        <v>12</v>
      </c>
      <c r="AI781" t="s">
        <v>12</v>
      </c>
      <c r="AJ781" t="s">
        <v>12</v>
      </c>
      <c r="AK781">
        <v>250000</v>
      </c>
      <c r="AL781">
        <v>0.21</v>
      </c>
      <c r="AM781">
        <v>0.19</v>
      </c>
      <c r="AN781" t="s">
        <v>12</v>
      </c>
      <c r="AO781" t="s">
        <v>12</v>
      </c>
    </row>
    <row r="782" spans="1:41" x14ac:dyDescent="0.35">
      <c r="A782">
        <v>15016022</v>
      </c>
      <c r="B782">
        <v>202504</v>
      </c>
      <c r="C782">
        <v>20601791332</v>
      </c>
      <c r="D782" t="s">
        <v>1054</v>
      </c>
      <c r="E782" t="s">
        <v>1</v>
      </c>
      <c r="F782">
        <v>10257986</v>
      </c>
      <c r="G782" t="s">
        <v>45</v>
      </c>
      <c r="H782" t="s">
        <v>49</v>
      </c>
      <c r="I782">
        <v>80174.6796875</v>
      </c>
      <c r="J782" s="1">
        <v>45498</v>
      </c>
      <c r="K782">
        <v>16.5</v>
      </c>
      <c r="L782" t="s">
        <v>37</v>
      </c>
      <c r="M782" t="s">
        <v>37</v>
      </c>
      <c r="N782" t="s">
        <v>47</v>
      </c>
      <c r="O782">
        <v>202407</v>
      </c>
      <c r="P782">
        <v>90004.5</v>
      </c>
      <c r="Q782" t="s">
        <v>12</v>
      </c>
      <c r="R782" t="s">
        <v>12</v>
      </c>
      <c r="S782" t="s">
        <v>12</v>
      </c>
      <c r="T782" t="s">
        <v>12</v>
      </c>
      <c r="U782" t="s">
        <v>12</v>
      </c>
      <c r="V782" t="s">
        <v>12</v>
      </c>
      <c r="W782" t="s">
        <v>12</v>
      </c>
      <c r="X782" t="s">
        <v>12</v>
      </c>
      <c r="Y782" t="s">
        <v>12</v>
      </c>
      <c r="Z782" t="s">
        <v>12</v>
      </c>
      <c r="AA782" t="s">
        <v>12</v>
      </c>
      <c r="AB782" t="s">
        <v>12</v>
      </c>
      <c r="AC782" t="s">
        <v>12</v>
      </c>
      <c r="AD782" t="s">
        <v>12</v>
      </c>
      <c r="AE782" t="s">
        <v>12</v>
      </c>
      <c r="AF782" t="s">
        <v>12</v>
      </c>
      <c r="AG782" t="s">
        <v>12</v>
      </c>
      <c r="AH782" t="s">
        <v>12</v>
      </c>
      <c r="AI782" t="s">
        <v>12</v>
      </c>
      <c r="AJ782" t="s">
        <v>12</v>
      </c>
      <c r="AK782" t="s">
        <v>12</v>
      </c>
      <c r="AL782" t="s">
        <v>12</v>
      </c>
      <c r="AM782" t="s">
        <v>12</v>
      </c>
      <c r="AN782" t="s">
        <v>12</v>
      </c>
      <c r="AO782" t="s">
        <v>12</v>
      </c>
    </row>
    <row r="783" spans="1:41" x14ac:dyDescent="0.35">
      <c r="A783">
        <v>21807011</v>
      </c>
      <c r="B783">
        <v>202601</v>
      </c>
      <c r="C783">
        <v>20603077807</v>
      </c>
      <c r="D783" t="s">
        <v>1055</v>
      </c>
      <c r="E783" t="s">
        <v>1</v>
      </c>
      <c r="F783">
        <v>10270525</v>
      </c>
      <c r="G783" t="s">
        <v>14</v>
      </c>
      <c r="H783" t="s">
        <v>257</v>
      </c>
      <c r="I783">
        <v>98984.0234375</v>
      </c>
      <c r="J783" s="1">
        <v>45889</v>
      </c>
      <c r="K783">
        <v>23</v>
      </c>
      <c r="L783" t="s">
        <v>37</v>
      </c>
      <c r="M783" t="s">
        <v>75</v>
      </c>
      <c r="N783" t="s">
        <v>16</v>
      </c>
      <c r="O783">
        <v>202508</v>
      </c>
      <c r="P783">
        <v>120006</v>
      </c>
      <c r="Q783" t="s">
        <v>257</v>
      </c>
      <c r="R783" t="s">
        <v>258</v>
      </c>
      <c r="S783" t="s">
        <v>49</v>
      </c>
      <c r="T783" t="s">
        <v>50</v>
      </c>
      <c r="U783" t="s">
        <v>63</v>
      </c>
      <c r="V783">
        <v>1</v>
      </c>
      <c r="W783" t="s">
        <v>21</v>
      </c>
      <c r="X783" t="s">
        <v>22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12</v>
      </c>
      <c r="AG783" t="s">
        <v>12</v>
      </c>
      <c r="AH783" t="s">
        <v>12</v>
      </c>
      <c r="AI783" t="s">
        <v>12</v>
      </c>
      <c r="AJ783" t="s">
        <v>12</v>
      </c>
      <c r="AK783">
        <v>130000</v>
      </c>
      <c r="AL783">
        <v>0.26169999999999999</v>
      </c>
      <c r="AM783">
        <v>0.2417</v>
      </c>
      <c r="AN783" t="s">
        <v>12</v>
      </c>
      <c r="AO783" t="s">
        <v>12</v>
      </c>
    </row>
    <row r="784" spans="1:41" x14ac:dyDescent="0.35">
      <c r="A784">
        <v>19630726</v>
      </c>
      <c r="B784">
        <v>202601</v>
      </c>
      <c r="C784">
        <v>20364240954</v>
      </c>
      <c r="D784" t="s">
        <v>1056</v>
      </c>
      <c r="E784" t="s">
        <v>1</v>
      </c>
      <c r="F784">
        <v>10268099</v>
      </c>
      <c r="G784" t="s">
        <v>28</v>
      </c>
      <c r="H784" t="s">
        <v>500</v>
      </c>
      <c r="I784">
        <v>112629.6171875</v>
      </c>
      <c r="J784" s="1">
        <v>45800</v>
      </c>
      <c r="K784">
        <v>20</v>
      </c>
      <c r="L784" t="s">
        <v>4</v>
      </c>
      <c r="M784" t="s">
        <v>75</v>
      </c>
      <c r="N784" t="s">
        <v>26</v>
      </c>
      <c r="O784">
        <v>202505</v>
      </c>
      <c r="P784">
        <v>150007.5</v>
      </c>
      <c r="Q784" t="s">
        <v>500</v>
      </c>
      <c r="R784" t="s">
        <v>501</v>
      </c>
      <c r="S784" t="s">
        <v>31</v>
      </c>
      <c r="T784" t="s">
        <v>32</v>
      </c>
      <c r="U784" t="s">
        <v>70</v>
      </c>
      <c r="V784">
        <v>1</v>
      </c>
      <c r="W784" t="s">
        <v>21</v>
      </c>
      <c r="X784" t="s">
        <v>51</v>
      </c>
      <c r="Y784">
        <v>1</v>
      </c>
      <c r="Z784">
        <v>1</v>
      </c>
      <c r="AA784">
        <v>0</v>
      </c>
      <c r="AB784">
        <v>0</v>
      </c>
      <c r="AC784">
        <v>1</v>
      </c>
      <c r="AD784">
        <v>1</v>
      </c>
      <c r="AE784">
        <v>0</v>
      </c>
      <c r="AF784" t="s">
        <v>12</v>
      </c>
      <c r="AG784" t="s">
        <v>12</v>
      </c>
      <c r="AH784" t="s">
        <v>12</v>
      </c>
      <c r="AI784" t="s">
        <v>12</v>
      </c>
      <c r="AJ784" t="s">
        <v>12</v>
      </c>
      <c r="AK784">
        <v>86000</v>
      </c>
      <c r="AL784">
        <v>0.19670000000000001</v>
      </c>
      <c r="AM784">
        <v>0.1767</v>
      </c>
      <c r="AN784" t="s">
        <v>12</v>
      </c>
      <c r="AO784" t="s">
        <v>12</v>
      </c>
    </row>
    <row r="785" spans="1:41" x14ac:dyDescent="0.35">
      <c r="A785">
        <v>20283061</v>
      </c>
      <c r="B785">
        <v>202509</v>
      </c>
      <c r="C785">
        <v>20611606614</v>
      </c>
      <c r="D785" t="s">
        <v>1057</v>
      </c>
      <c r="E785" t="s">
        <v>1</v>
      </c>
      <c r="F785">
        <v>10262645</v>
      </c>
      <c r="G785" t="s">
        <v>35</v>
      </c>
      <c r="H785" t="s">
        <v>412</v>
      </c>
      <c r="I785">
        <v>34051.8046875</v>
      </c>
      <c r="J785" s="1">
        <v>45611</v>
      </c>
      <c r="K785">
        <v>21.5</v>
      </c>
      <c r="L785" t="s">
        <v>37</v>
      </c>
      <c r="M785" t="s">
        <v>37</v>
      </c>
      <c r="N785" t="s">
        <v>12</v>
      </c>
      <c r="O785">
        <v>202411</v>
      </c>
      <c r="P785">
        <v>54002.7</v>
      </c>
      <c r="Q785" t="s">
        <v>412</v>
      </c>
      <c r="R785" t="s">
        <v>413</v>
      </c>
      <c r="S785" t="s">
        <v>88</v>
      </c>
      <c r="T785" t="s">
        <v>89</v>
      </c>
      <c r="U785" t="s">
        <v>20</v>
      </c>
      <c r="V785">
        <v>2</v>
      </c>
      <c r="W785" t="s">
        <v>10</v>
      </c>
      <c r="X785" t="s">
        <v>51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 t="s">
        <v>12</v>
      </c>
      <c r="AG785" t="s">
        <v>12</v>
      </c>
      <c r="AH785" t="s">
        <v>12</v>
      </c>
      <c r="AI785" t="s">
        <v>12</v>
      </c>
      <c r="AJ785" t="s">
        <v>12</v>
      </c>
      <c r="AK785">
        <v>1</v>
      </c>
      <c r="AL785">
        <v>1</v>
      </c>
      <c r="AM785" t="s">
        <v>12</v>
      </c>
      <c r="AN785" t="s">
        <v>12</v>
      </c>
      <c r="AO785" t="s">
        <v>12</v>
      </c>
    </row>
    <row r="786" spans="1:41" x14ac:dyDescent="0.35">
      <c r="A786">
        <v>19460045</v>
      </c>
      <c r="B786">
        <v>202506</v>
      </c>
      <c r="C786">
        <v>20603141769</v>
      </c>
      <c r="D786" t="s">
        <v>1058</v>
      </c>
      <c r="E786" t="s">
        <v>1</v>
      </c>
      <c r="F786">
        <v>10268429</v>
      </c>
      <c r="G786" t="s">
        <v>14</v>
      </c>
      <c r="H786" t="s">
        <v>159</v>
      </c>
      <c r="I786">
        <v>120006.0078125</v>
      </c>
      <c r="J786" s="1">
        <v>45812</v>
      </c>
      <c r="K786">
        <v>18</v>
      </c>
      <c r="L786" t="s">
        <v>37</v>
      </c>
      <c r="M786" t="s">
        <v>37</v>
      </c>
      <c r="N786" t="s">
        <v>16</v>
      </c>
      <c r="O786">
        <v>202506</v>
      </c>
      <c r="P786">
        <v>120006</v>
      </c>
      <c r="Q786" t="s">
        <v>1059</v>
      </c>
      <c r="R786" t="s">
        <v>1060</v>
      </c>
      <c r="S786" t="s">
        <v>558</v>
      </c>
      <c r="T786" t="s">
        <v>559</v>
      </c>
      <c r="U786" t="s">
        <v>16</v>
      </c>
      <c r="V786">
        <v>3</v>
      </c>
      <c r="W786" t="s">
        <v>10</v>
      </c>
      <c r="X786" t="s">
        <v>12</v>
      </c>
      <c r="Y786">
        <v>1</v>
      </c>
      <c r="Z786">
        <v>1</v>
      </c>
      <c r="AA786">
        <v>1</v>
      </c>
      <c r="AB786">
        <v>1</v>
      </c>
      <c r="AC786">
        <v>1</v>
      </c>
      <c r="AD786" t="s">
        <v>12</v>
      </c>
      <c r="AE786">
        <v>120006</v>
      </c>
      <c r="AF786">
        <v>18</v>
      </c>
      <c r="AG786" s="1">
        <v>45812</v>
      </c>
      <c r="AH786" t="s">
        <v>16</v>
      </c>
      <c r="AI786" t="s">
        <v>37</v>
      </c>
      <c r="AJ786" t="s">
        <v>33</v>
      </c>
      <c r="AK786">
        <v>170000</v>
      </c>
      <c r="AL786">
        <v>0.2</v>
      </c>
      <c r="AM786">
        <v>0.18</v>
      </c>
      <c r="AN786" t="s">
        <v>197</v>
      </c>
      <c r="AO786" t="s">
        <v>33</v>
      </c>
    </row>
    <row r="787" spans="1:41" x14ac:dyDescent="0.35">
      <c r="A787">
        <v>11204698</v>
      </c>
      <c r="B787">
        <v>202602</v>
      </c>
      <c r="C787">
        <v>20518144872</v>
      </c>
      <c r="D787" t="s">
        <v>219</v>
      </c>
      <c r="E787" t="s">
        <v>1</v>
      </c>
      <c r="F787">
        <v>10267589</v>
      </c>
      <c r="G787" t="s">
        <v>293</v>
      </c>
      <c r="H787" t="s">
        <v>220</v>
      </c>
      <c r="I787">
        <v>964178.5</v>
      </c>
      <c r="J787" s="1">
        <v>45777</v>
      </c>
      <c r="K787">
        <v>12</v>
      </c>
      <c r="L787" t="s">
        <v>4</v>
      </c>
      <c r="M787" t="s">
        <v>4</v>
      </c>
      <c r="N787" t="s">
        <v>20</v>
      </c>
      <c r="O787">
        <v>202504</v>
      </c>
      <c r="P787">
        <v>1024051.2</v>
      </c>
      <c r="Q787" t="s">
        <v>220</v>
      </c>
      <c r="R787" t="s">
        <v>221</v>
      </c>
      <c r="S787" t="s">
        <v>127</v>
      </c>
      <c r="T787" t="s">
        <v>147</v>
      </c>
      <c r="U787" t="s">
        <v>20</v>
      </c>
      <c r="V787">
        <v>1</v>
      </c>
      <c r="W787" t="s">
        <v>10</v>
      </c>
      <c r="X787" t="s">
        <v>11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 t="s">
        <v>12</v>
      </c>
      <c r="AG787" t="s">
        <v>12</v>
      </c>
      <c r="AH787" t="s">
        <v>12</v>
      </c>
      <c r="AI787" t="s">
        <v>12</v>
      </c>
      <c r="AJ787" t="s">
        <v>12</v>
      </c>
      <c r="AK787">
        <v>1</v>
      </c>
      <c r="AL787">
        <v>1</v>
      </c>
      <c r="AM787" t="s">
        <v>12</v>
      </c>
      <c r="AN787" t="s">
        <v>12</v>
      </c>
      <c r="AO787" t="s">
        <v>12</v>
      </c>
    </row>
    <row r="788" spans="1:41" x14ac:dyDescent="0.35">
      <c r="A788">
        <v>9276620</v>
      </c>
      <c r="B788">
        <v>202512</v>
      </c>
      <c r="C788">
        <v>20501981380</v>
      </c>
      <c r="D788" t="s">
        <v>1061</v>
      </c>
      <c r="E788" t="s">
        <v>1</v>
      </c>
      <c r="F788">
        <v>10163598</v>
      </c>
      <c r="G788" t="s">
        <v>2</v>
      </c>
      <c r="H788" t="s">
        <v>317</v>
      </c>
      <c r="I788">
        <v>82912.78125</v>
      </c>
      <c r="J788" s="1">
        <v>45845</v>
      </c>
      <c r="K788">
        <v>14.5</v>
      </c>
      <c r="L788" t="s">
        <v>86</v>
      </c>
      <c r="M788" t="s">
        <v>86</v>
      </c>
      <c r="N788" t="s">
        <v>5</v>
      </c>
      <c r="O788">
        <v>202507</v>
      </c>
      <c r="P788">
        <v>96304.8</v>
      </c>
      <c r="Q788" t="s">
        <v>317</v>
      </c>
      <c r="R788" t="s">
        <v>318</v>
      </c>
      <c r="S788" t="s">
        <v>88</v>
      </c>
      <c r="T788" t="s">
        <v>89</v>
      </c>
      <c r="U788" t="s">
        <v>41</v>
      </c>
      <c r="V788">
        <v>2</v>
      </c>
      <c r="W788" t="s">
        <v>10</v>
      </c>
      <c r="X788" t="s">
        <v>11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 t="s">
        <v>12</v>
      </c>
      <c r="AG788" t="s">
        <v>12</v>
      </c>
      <c r="AH788" t="s">
        <v>12</v>
      </c>
      <c r="AI788" t="s">
        <v>12</v>
      </c>
      <c r="AJ788" t="s">
        <v>12</v>
      </c>
      <c r="AK788">
        <v>400000</v>
      </c>
      <c r="AL788">
        <v>0.21</v>
      </c>
      <c r="AM788">
        <v>0.19</v>
      </c>
      <c r="AN788" t="s">
        <v>12</v>
      </c>
      <c r="AO788" t="s">
        <v>12</v>
      </c>
    </row>
    <row r="789" spans="1:41" x14ac:dyDescent="0.35">
      <c r="A789">
        <v>21588637</v>
      </c>
      <c r="B789">
        <v>202508</v>
      </c>
      <c r="C789">
        <v>20608046535</v>
      </c>
      <c r="D789" t="s">
        <v>1062</v>
      </c>
      <c r="E789" t="s">
        <v>1</v>
      </c>
      <c r="F789">
        <v>10267163</v>
      </c>
      <c r="G789" t="s">
        <v>73</v>
      </c>
      <c r="H789" t="s">
        <v>57</v>
      </c>
      <c r="I789">
        <v>40060.24609375</v>
      </c>
      <c r="J789" s="1">
        <v>45763</v>
      </c>
      <c r="K789">
        <v>20</v>
      </c>
      <c r="L789" t="s">
        <v>4</v>
      </c>
      <c r="M789" t="s">
        <v>75</v>
      </c>
      <c r="N789" t="s">
        <v>20</v>
      </c>
      <c r="O789">
        <v>202504</v>
      </c>
      <c r="P789">
        <v>50002.5</v>
      </c>
      <c r="Q789" t="s">
        <v>57</v>
      </c>
      <c r="R789" t="s">
        <v>58</v>
      </c>
      <c r="S789" t="s">
        <v>39</v>
      </c>
      <c r="T789" t="s">
        <v>40</v>
      </c>
      <c r="U789" t="s">
        <v>20</v>
      </c>
      <c r="V789">
        <v>1</v>
      </c>
      <c r="W789" t="s">
        <v>10</v>
      </c>
      <c r="X789" t="s">
        <v>12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 t="s">
        <v>12</v>
      </c>
      <c r="AG789" t="s">
        <v>12</v>
      </c>
      <c r="AH789" t="s">
        <v>12</v>
      </c>
      <c r="AI789" t="s">
        <v>12</v>
      </c>
      <c r="AJ789" t="s">
        <v>12</v>
      </c>
      <c r="AK789">
        <v>1</v>
      </c>
      <c r="AL789">
        <v>0.26929999999999998</v>
      </c>
      <c r="AM789" t="s">
        <v>12</v>
      </c>
      <c r="AN789" t="s">
        <v>12</v>
      </c>
      <c r="AO789" t="s">
        <v>12</v>
      </c>
    </row>
    <row r="790" spans="1:41" x14ac:dyDescent="0.35">
      <c r="A790">
        <v>17359170</v>
      </c>
      <c r="B790">
        <v>202510</v>
      </c>
      <c r="C790">
        <v>20607056146</v>
      </c>
      <c r="D790" t="s">
        <v>1063</v>
      </c>
      <c r="E790" t="s">
        <v>1</v>
      </c>
      <c r="F790">
        <v>10260405</v>
      </c>
      <c r="G790" t="s">
        <v>53</v>
      </c>
      <c r="H790" t="s">
        <v>61</v>
      </c>
      <c r="I790">
        <v>66778.59375</v>
      </c>
      <c r="J790" s="1">
        <v>45552</v>
      </c>
      <c r="K790">
        <v>17.700001</v>
      </c>
      <c r="L790" t="s">
        <v>4</v>
      </c>
      <c r="M790" t="s">
        <v>4</v>
      </c>
      <c r="N790" t="s">
        <v>47</v>
      </c>
      <c r="O790">
        <v>202409</v>
      </c>
      <c r="P790">
        <v>90004.5</v>
      </c>
      <c r="Q790" t="s">
        <v>61</v>
      </c>
      <c r="R790" t="s">
        <v>62</v>
      </c>
      <c r="S790" t="s">
        <v>39</v>
      </c>
      <c r="T790" t="s">
        <v>40</v>
      </c>
      <c r="U790" t="s">
        <v>41</v>
      </c>
      <c r="V790">
        <v>1</v>
      </c>
      <c r="W790" t="s">
        <v>10</v>
      </c>
      <c r="X790" t="s">
        <v>12</v>
      </c>
      <c r="Y790">
        <v>1</v>
      </c>
      <c r="Z790">
        <v>1</v>
      </c>
      <c r="AA790">
        <v>0</v>
      </c>
      <c r="AB790">
        <v>0</v>
      </c>
      <c r="AC790">
        <v>1</v>
      </c>
      <c r="AD790">
        <v>1</v>
      </c>
      <c r="AE790">
        <v>0</v>
      </c>
      <c r="AF790" t="s">
        <v>12</v>
      </c>
      <c r="AG790" t="s">
        <v>12</v>
      </c>
      <c r="AH790" t="s">
        <v>12</v>
      </c>
      <c r="AI790" t="s">
        <v>12</v>
      </c>
      <c r="AJ790" t="s">
        <v>12</v>
      </c>
      <c r="AK790">
        <v>250000</v>
      </c>
      <c r="AL790">
        <v>0.19</v>
      </c>
      <c r="AM790">
        <v>0.17</v>
      </c>
      <c r="AN790" t="s">
        <v>12</v>
      </c>
      <c r="AO790" t="s">
        <v>12</v>
      </c>
    </row>
    <row r="791" spans="1:41" x14ac:dyDescent="0.35">
      <c r="A791">
        <v>21772375</v>
      </c>
      <c r="B791">
        <v>202509</v>
      </c>
      <c r="C791">
        <v>20608811169</v>
      </c>
      <c r="D791" t="s">
        <v>1064</v>
      </c>
      <c r="E791" t="s">
        <v>1</v>
      </c>
      <c r="F791">
        <v>10270149</v>
      </c>
      <c r="G791" t="s">
        <v>100</v>
      </c>
      <c r="H791" t="s">
        <v>159</v>
      </c>
      <c r="I791">
        <v>165515.046875</v>
      </c>
      <c r="J791" s="1">
        <v>45869</v>
      </c>
      <c r="K791">
        <v>15</v>
      </c>
      <c r="L791" t="s">
        <v>37</v>
      </c>
      <c r="M791" t="s">
        <v>37</v>
      </c>
      <c r="N791" t="s">
        <v>102</v>
      </c>
      <c r="O791">
        <v>202507</v>
      </c>
      <c r="P791">
        <v>174079.6</v>
      </c>
      <c r="Q791" t="s">
        <v>12</v>
      </c>
      <c r="R791" t="s">
        <v>12</v>
      </c>
      <c r="S791" t="s">
        <v>12</v>
      </c>
      <c r="T791" t="s">
        <v>12</v>
      </c>
      <c r="U791" t="s">
        <v>12</v>
      </c>
      <c r="V791" t="s">
        <v>12</v>
      </c>
      <c r="W791" t="s">
        <v>12</v>
      </c>
      <c r="X791" t="s">
        <v>12</v>
      </c>
      <c r="Y791" t="s">
        <v>12</v>
      </c>
      <c r="Z791" t="s">
        <v>12</v>
      </c>
      <c r="AA791" t="s">
        <v>12</v>
      </c>
      <c r="AB791" t="s">
        <v>12</v>
      </c>
      <c r="AC791" t="s">
        <v>12</v>
      </c>
      <c r="AD791" t="s">
        <v>12</v>
      </c>
      <c r="AE791" t="s">
        <v>12</v>
      </c>
      <c r="AF791" t="s">
        <v>12</v>
      </c>
      <c r="AG791" t="s">
        <v>12</v>
      </c>
      <c r="AH791" t="s">
        <v>12</v>
      </c>
      <c r="AI791" t="s">
        <v>12</v>
      </c>
      <c r="AJ791" t="s">
        <v>12</v>
      </c>
      <c r="AK791" t="s">
        <v>12</v>
      </c>
      <c r="AL791" t="s">
        <v>12</v>
      </c>
      <c r="AM791" t="s">
        <v>12</v>
      </c>
      <c r="AN791" t="s">
        <v>12</v>
      </c>
      <c r="AO791" t="s">
        <v>12</v>
      </c>
    </row>
    <row r="792" spans="1:41" x14ac:dyDescent="0.35">
      <c r="A792">
        <v>13357663</v>
      </c>
      <c r="B792">
        <v>202512</v>
      </c>
      <c r="C792">
        <v>20507679499</v>
      </c>
      <c r="D792" t="s">
        <v>1065</v>
      </c>
      <c r="E792" t="s">
        <v>1</v>
      </c>
      <c r="F792">
        <v>10264199</v>
      </c>
      <c r="G792" t="s">
        <v>24</v>
      </c>
      <c r="H792" t="s">
        <v>166</v>
      </c>
      <c r="I792">
        <v>10877.859375</v>
      </c>
      <c r="J792" s="1">
        <v>45650</v>
      </c>
      <c r="K792">
        <v>19.200001</v>
      </c>
      <c r="L792" t="s">
        <v>37</v>
      </c>
      <c r="M792" t="s">
        <v>37</v>
      </c>
      <c r="N792" t="s">
        <v>12</v>
      </c>
      <c r="O792">
        <v>202412</v>
      </c>
      <c r="P792">
        <v>120006</v>
      </c>
      <c r="Q792" t="s">
        <v>166</v>
      </c>
      <c r="R792" t="s">
        <v>167</v>
      </c>
      <c r="S792" t="s">
        <v>111</v>
      </c>
      <c r="T792" t="s">
        <v>112</v>
      </c>
      <c r="U792" t="s">
        <v>41</v>
      </c>
      <c r="V792">
        <v>2</v>
      </c>
      <c r="W792" t="s">
        <v>10</v>
      </c>
      <c r="X792" t="s">
        <v>22</v>
      </c>
      <c r="Y792">
        <v>1</v>
      </c>
      <c r="Z792">
        <v>1</v>
      </c>
      <c r="AA792">
        <v>0</v>
      </c>
      <c r="AB792">
        <v>0</v>
      </c>
      <c r="AC792">
        <v>1</v>
      </c>
      <c r="AD792">
        <v>1</v>
      </c>
      <c r="AE792">
        <v>0</v>
      </c>
      <c r="AF792" t="s">
        <v>12</v>
      </c>
      <c r="AG792" t="s">
        <v>12</v>
      </c>
      <c r="AH792" t="s">
        <v>12</v>
      </c>
      <c r="AI792" t="s">
        <v>12</v>
      </c>
      <c r="AJ792" t="s">
        <v>12</v>
      </c>
      <c r="AK792">
        <v>250000</v>
      </c>
      <c r="AL792">
        <v>0.21</v>
      </c>
      <c r="AM792">
        <v>0.19</v>
      </c>
      <c r="AN792" t="s">
        <v>12</v>
      </c>
      <c r="AO792" t="s">
        <v>12</v>
      </c>
    </row>
    <row r="793" spans="1:41" x14ac:dyDescent="0.35">
      <c r="A793">
        <v>20702055</v>
      </c>
      <c r="B793">
        <v>202601</v>
      </c>
      <c r="C793">
        <v>20514602949</v>
      </c>
      <c r="D793" t="s">
        <v>1066</v>
      </c>
      <c r="E793" t="s">
        <v>1</v>
      </c>
      <c r="F793">
        <v>10259704</v>
      </c>
      <c r="G793" t="s">
        <v>53</v>
      </c>
      <c r="H793" t="s">
        <v>159</v>
      </c>
      <c r="I793">
        <v>41688.69140625</v>
      </c>
      <c r="J793" s="1">
        <v>45531</v>
      </c>
      <c r="K793">
        <v>15</v>
      </c>
      <c r="L793" t="s">
        <v>4</v>
      </c>
      <c r="M793" t="s">
        <v>4</v>
      </c>
      <c r="N793" t="s">
        <v>47</v>
      </c>
      <c r="O793">
        <v>202408</v>
      </c>
      <c r="P793">
        <v>67503.350000000006</v>
      </c>
      <c r="Q793" t="s">
        <v>12</v>
      </c>
      <c r="R793" t="s">
        <v>12</v>
      </c>
      <c r="S793" t="s">
        <v>12</v>
      </c>
      <c r="T793" t="s">
        <v>12</v>
      </c>
      <c r="U793" t="s">
        <v>12</v>
      </c>
      <c r="V793" t="s">
        <v>12</v>
      </c>
      <c r="W793" t="s">
        <v>12</v>
      </c>
      <c r="X793" t="s">
        <v>12</v>
      </c>
      <c r="Y793" t="s">
        <v>12</v>
      </c>
      <c r="Z793" t="s">
        <v>12</v>
      </c>
      <c r="AA793" t="s">
        <v>12</v>
      </c>
      <c r="AB793" t="s">
        <v>12</v>
      </c>
      <c r="AC793" t="s">
        <v>12</v>
      </c>
      <c r="AD793" t="s">
        <v>12</v>
      </c>
      <c r="AE793" t="s">
        <v>12</v>
      </c>
      <c r="AF793" t="s">
        <v>12</v>
      </c>
      <c r="AG793" t="s">
        <v>12</v>
      </c>
      <c r="AH793" t="s">
        <v>12</v>
      </c>
      <c r="AI793" t="s">
        <v>12</v>
      </c>
      <c r="AJ793" t="s">
        <v>12</v>
      </c>
      <c r="AK793" t="s">
        <v>12</v>
      </c>
      <c r="AL793" t="s">
        <v>12</v>
      </c>
      <c r="AM793" t="s">
        <v>12</v>
      </c>
      <c r="AN793" t="s">
        <v>12</v>
      </c>
      <c r="AO793" t="s">
        <v>12</v>
      </c>
    </row>
    <row r="794" spans="1:41" x14ac:dyDescent="0.35">
      <c r="A794">
        <v>17720772</v>
      </c>
      <c r="B794">
        <v>202510</v>
      </c>
      <c r="C794">
        <v>10468881808</v>
      </c>
      <c r="D794" t="s">
        <v>713</v>
      </c>
      <c r="E794">
        <v>46888180</v>
      </c>
      <c r="F794">
        <v>10259552</v>
      </c>
      <c r="G794" t="s">
        <v>65</v>
      </c>
      <c r="H794" t="s">
        <v>204</v>
      </c>
      <c r="I794">
        <v>1199.90283203125</v>
      </c>
      <c r="J794" s="1">
        <v>45530</v>
      </c>
      <c r="K794">
        <v>14.5</v>
      </c>
      <c r="L794" t="s">
        <v>37</v>
      </c>
      <c r="M794" t="s">
        <v>37</v>
      </c>
      <c r="N794" t="s">
        <v>47</v>
      </c>
      <c r="O794">
        <v>202408</v>
      </c>
      <c r="P794">
        <v>30001.5</v>
      </c>
      <c r="Q794" t="s">
        <v>12</v>
      </c>
      <c r="R794" t="s">
        <v>12</v>
      </c>
      <c r="S794" t="s">
        <v>12</v>
      </c>
      <c r="T794" t="s">
        <v>12</v>
      </c>
      <c r="U794" t="s">
        <v>12</v>
      </c>
      <c r="V794" t="s">
        <v>12</v>
      </c>
      <c r="W794" t="s">
        <v>12</v>
      </c>
      <c r="X794" t="s">
        <v>12</v>
      </c>
      <c r="Y794" t="s">
        <v>12</v>
      </c>
      <c r="Z794" t="s">
        <v>12</v>
      </c>
      <c r="AA794" t="s">
        <v>12</v>
      </c>
      <c r="AB794" t="s">
        <v>12</v>
      </c>
      <c r="AC794" t="s">
        <v>12</v>
      </c>
      <c r="AD794" t="s">
        <v>12</v>
      </c>
      <c r="AE794" t="s">
        <v>12</v>
      </c>
      <c r="AF794" t="s">
        <v>12</v>
      </c>
      <c r="AG794" t="s">
        <v>12</v>
      </c>
      <c r="AH794" t="s">
        <v>12</v>
      </c>
      <c r="AI794" t="s">
        <v>12</v>
      </c>
      <c r="AJ794" t="s">
        <v>12</v>
      </c>
      <c r="AK794" t="s">
        <v>12</v>
      </c>
      <c r="AL794" t="s">
        <v>12</v>
      </c>
      <c r="AM794" t="s">
        <v>12</v>
      </c>
      <c r="AN794" t="s">
        <v>12</v>
      </c>
      <c r="AO794" t="s">
        <v>12</v>
      </c>
    </row>
    <row r="795" spans="1:41" x14ac:dyDescent="0.35">
      <c r="A795">
        <v>17642176</v>
      </c>
      <c r="B795">
        <v>202601</v>
      </c>
      <c r="C795">
        <v>20607274810</v>
      </c>
      <c r="D795" t="s">
        <v>1067</v>
      </c>
      <c r="E795" t="s">
        <v>1</v>
      </c>
      <c r="F795">
        <v>10254154</v>
      </c>
      <c r="G795" t="s">
        <v>65</v>
      </c>
      <c r="H795" t="s">
        <v>39</v>
      </c>
      <c r="I795">
        <v>44611.1328125</v>
      </c>
      <c r="J795" s="1">
        <v>45442</v>
      </c>
      <c r="K795">
        <v>16</v>
      </c>
      <c r="L795" t="s">
        <v>4</v>
      </c>
      <c r="M795" t="s">
        <v>4</v>
      </c>
      <c r="N795" t="s">
        <v>47</v>
      </c>
      <c r="O795">
        <v>202405</v>
      </c>
      <c r="P795">
        <v>90004.5</v>
      </c>
      <c r="Q795" t="s">
        <v>12</v>
      </c>
      <c r="R795" t="s">
        <v>12</v>
      </c>
      <c r="S795" t="s">
        <v>12</v>
      </c>
      <c r="T795" t="s">
        <v>12</v>
      </c>
      <c r="U795" t="s">
        <v>12</v>
      </c>
      <c r="V795" t="s">
        <v>12</v>
      </c>
      <c r="W795" t="s">
        <v>12</v>
      </c>
      <c r="X795" t="s">
        <v>12</v>
      </c>
      <c r="Y795" t="s">
        <v>12</v>
      </c>
      <c r="Z795" t="s">
        <v>12</v>
      </c>
      <c r="AA795" t="s">
        <v>12</v>
      </c>
      <c r="AB795" t="s">
        <v>12</v>
      </c>
      <c r="AC795" t="s">
        <v>12</v>
      </c>
      <c r="AD795" t="s">
        <v>12</v>
      </c>
      <c r="AE795" t="s">
        <v>12</v>
      </c>
      <c r="AF795" t="s">
        <v>12</v>
      </c>
      <c r="AG795" t="s">
        <v>12</v>
      </c>
      <c r="AH795" t="s">
        <v>12</v>
      </c>
      <c r="AI795" t="s">
        <v>12</v>
      </c>
      <c r="AJ795" t="s">
        <v>12</v>
      </c>
      <c r="AK795" t="s">
        <v>12</v>
      </c>
      <c r="AL795" t="s">
        <v>12</v>
      </c>
      <c r="AM795" t="s">
        <v>12</v>
      </c>
      <c r="AN795" t="s">
        <v>12</v>
      </c>
      <c r="AO795" t="s">
        <v>12</v>
      </c>
    </row>
    <row r="796" spans="1:41" x14ac:dyDescent="0.35">
      <c r="A796">
        <v>21130109</v>
      </c>
      <c r="B796">
        <v>202512</v>
      </c>
      <c r="C796">
        <v>20600934083</v>
      </c>
      <c r="D796" t="s">
        <v>1068</v>
      </c>
      <c r="E796" t="s">
        <v>1</v>
      </c>
      <c r="F796">
        <v>10259822</v>
      </c>
      <c r="G796" t="s">
        <v>65</v>
      </c>
      <c r="H796" t="s">
        <v>273</v>
      </c>
      <c r="I796">
        <v>55471.98046875</v>
      </c>
      <c r="J796" s="1">
        <v>45532</v>
      </c>
      <c r="K796">
        <v>14.5</v>
      </c>
      <c r="L796" t="s">
        <v>37</v>
      </c>
      <c r="M796" t="s">
        <v>37</v>
      </c>
      <c r="N796" t="s">
        <v>47</v>
      </c>
      <c r="O796">
        <v>202408</v>
      </c>
      <c r="P796">
        <v>90004.5</v>
      </c>
      <c r="Q796" t="s">
        <v>273</v>
      </c>
      <c r="R796" t="s">
        <v>274</v>
      </c>
      <c r="S796" t="s">
        <v>39</v>
      </c>
      <c r="T796" t="s">
        <v>40</v>
      </c>
      <c r="U796" t="s">
        <v>41</v>
      </c>
      <c r="V796">
        <v>1</v>
      </c>
      <c r="W796" t="s">
        <v>10</v>
      </c>
      <c r="X796" t="s">
        <v>22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12</v>
      </c>
      <c r="AG796" t="s">
        <v>12</v>
      </c>
      <c r="AH796" t="s">
        <v>12</v>
      </c>
      <c r="AI796" t="s">
        <v>12</v>
      </c>
      <c r="AJ796" t="s">
        <v>12</v>
      </c>
      <c r="AK796">
        <v>130000</v>
      </c>
      <c r="AL796">
        <v>0.26119999999999999</v>
      </c>
      <c r="AM796">
        <v>0.2412</v>
      </c>
      <c r="AN796" t="s">
        <v>12</v>
      </c>
      <c r="AO796" t="s">
        <v>12</v>
      </c>
    </row>
    <row r="797" spans="1:41" x14ac:dyDescent="0.35">
      <c r="A797">
        <v>21507212</v>
      </c>
      <c r="B797">
        <v>202508</v>
      </c>
      <c r="C797">
        <v>20601814898</v>
      </c>
      <c r="D797" t="s">
        <v>1069</v>
      </c>
      <c r="E797" t="s">
        <v>1</v>
      </c>
      <c r="F797">
        <v>10265960</v>
      </c>
      <c r="G797" t="s">
        <v>14</v>
      </c>
      <c r="H797" t="s">
        <v>124</v>
      </c>
      <c r="I797">
        <v>23008.71484375</v>
      </c>
      <c r="J797" s="1">
        <v>45719</v>
      </c>
      <c r="K797">
        <v>16.5</v>
      </c>
      <c r="L797" t="s">
        <v>37</v>
      </c>
      <c r="M797" t="s">
        <v>75</v>
      </c>
      <c r="N797" t="s">
        <v>16</v>
      </c>
      <c r="O797">
        <v>202503</v>
      </c>
      <c r="P797">
        <v>44302.2</v>
      </c>
      <c r="Q797" t="s">
        <v>124</v>
      </c>
      <c r="R797" t="s">
        <v>125</v>
      </c>
      <c r="S797" t="s">
        <v>88</v>
      </c>
      <c r="T797" t="s">
        <v>89</v>
      </c>
      <c r="U797" t="s">
        <v>41</v>
      </c>
      <c r="V797">
        <v>2</v>
      </c>
      <c r="W797" t="s">
        <v>10</v>
      </c>
      <c r="X797" t="s">
        <v>12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 t="s">
        <v>12</v>
      </c>
      <c r="AG797" t="s">
        <v>12</v>
      </c>
      <c r="AH797" t="s">
        <v>12</v>
      </c>
      <c r="AI797" t="s">
        <v>12</v>
      </c>
      <c r="AJ797" t="s">
        <v>12</v>
      </c>
      <c r="AK797">
        <v>250000</v>
      </c>
      <c r="AL797">
        <v>0.21</v>
      </c>
      <c r="AM797">
        <v>0.19</v>
      </c>
      <c r="AN797" t="s">
        <v>12</v>
      </c>
      <c r="AO797" t="s">
        <v>12</v>
      </c>
    </row>
    <row r="798" spans="1:41" x14ac:dyDescent="0.35">
      <c r="A798">
        <v>20757797</v>
      </c>
      <c r="B798">
        <v>202602</v>
      </c>
      <c r="C798">
        <v>20603322283</v>
      </c>
      <c r="D798" t="s">
        <v>1070</v>
      </c>
      <c r="E798" t="s">
        <v>1</v>
      </c>
      <c r="F798">
        <v>10250463</v>
      </c>
      <c r="G798" t="s">
        <v>65</v>
      </c>
      <c r="H798" t="s">
        <v>127</v>
      </c>
      <c r="I798">
        <v>32766.439453125</v>
      </c>
      <c r="J798" s="1">
        <v>45390</v>
      </c>
      <c r="K798">
        <v>14.3</v>
      </c>
      <c r="L798" t="s">
        <v>37</v>
      </c>
      <c r="M798" t="s">
        <v>37</v>
      </c>
      <c r="N798" t="s">
        <v>47</v>
      </c>
      <c r="O798">
        <v>202404</v>
      </c>
      <c r="P798">
        <v>90004.5</v>
      </c>
      <c r="Q798" t="s">
        <v>12</v>
      </c>
      <c r="R798" t="s">
        <v>12</v>
      </c>
      <c r="S798" t="s">
        <v>12</v>
      </c>
      <c r="T798" t="s">
        <v>12</v>
      </c>
      <c r="U798" t="s">
        <v>12</v>
      </c>
      <c r="V798" t="s">
        <v>12</v>
      </c>
      <c r="W798" t="s">
        <v>12</v>
      </c>
      <c r="X798" t="s">
        <v>12</v>
      </c>
      <c r="Y798" t="s">
        <v>12</v>
      </c>
      <c r="Z798" t="s">
        <v>12</v>
      </c>
      <c r="AA798" t="s">
        <v>12</v>
      </c>
      <c r="AB798" t="s">
        <v>12</v>
      </c>
      <c r="AC798" t="s">
        <v>12</v>
      </c>
      <c r="AD798" t="s">
        <v>12</v>
      </c>
      <c r="AE798" t="s">
        <v>12</v>
      </c>
      <c r="AF798" t="s">
        <v>12</v>
      </c>
      <c r="AG798" t="s">
        <v>12</v>
      </c>
      <c r="AH798" t="s">
        <v>12</v>
      </c>
      <c r="AI798" t="s">
        <v>12</v>
      </c>
      <c r="AJ798" t="s">
        <v>12</v>
      </c>
      <c r="AK798" t="s">
        <v>12</v>
      </c>
      <c r="AL798" t="s">
        <v>12</v>
      </c>
      <c r="AM798" t="s">
        <v>12</v>
      </c>
      <c r="AN798" t="s">
        <v>12</v>
      </c>
      <c r="AO798" t="s">
        <v>12</v>
      </c>
    </row>
    <row r="799" spans="1:41" x14ac:dyDescent="0.35">
      <c r="A799">
        <v>15368104</v>
      </c>
      <c r="B799">
        <v>202509</v>
      </c>
      <c r="C799">
        <v>20520929909</v>
      </c>
      <c r="D799" t="s">
        <v>616</v>
      </c>
      <c r="E799" t="s">
        <v>1</v>
      </c>
      <c r="F799">
        <v>10149258</v>
      </c>
      <c r="G799" t="s">
        <v>2</v>
      </c>
      <c r="H799" t="s">
        <v>617</v>
      </c>
      <c r="I799">
        <v>17536.02734375</v>
      </c>
      <c r="J799" t="s">
        <v>12</v>
      </c>
      <c r="K799" t="s">
        <v>12</v>
      </c>
      <c r="L799" t="s">
        <v>12</v>
      </c>
      <c r="M799" t="s">
        <v>12</v>
      </c>
      <c r="N799" t="s">
        <v>12</v>
      </c>
      <c r="O799" t="s">
        <v>12</v>
      </c>
      <c r="P799" t="s">
        <v>12</v>
      </c>
      <c r="Q799" t="s">
        <v>12</v>
      </c>
      <c r="R799" t="s">
        <v>12</v>
      </c>
      <c r="S799" t="s">
        <v>12</v>
      </c>
      <c r="T799" t="s">
        <v>12</v>
      </c>
      <c r="U799" t="s">
        <v>12</v>
      </c>
      <c r="V799" t="s">
        <v>12</v>
      </c>
      <c r="W799" t="s">
        <v>12</v>
      </c>
      <c r="X799" t="s">
        <v>12</v>
      </c>
      <c r="Y799" t="s">
        <v>12</v>
      </c>
      <c r="Z799" t="s">
        <v>12</v>
      </c>
      <c r="AA799" t="s">
        <v>12</v>
      </c>
      <c r="AB799" t="s">
        <v>12</v>
      </c>
      <c r="AC799" t="s">
        <v>12</v>
      </c>
      <c r="AD799" t="s">
        <v>12</v>
      </c>
      <c r="AE799" t="s">
        <v>12</v>
      </c>
      <c r="AF799" t="s">
        <v>12</v>
      </c>
      <c r="AG799" t="s">
        <v>12</v>
      </c>
      <c r="AH799" t="s">
        <v>12</v>
      </c>
      <c r="AI799" t="s">
        <v>12</v>
      </c>
      <c r="AJ799" t="s">
        <v>12</v>
      </c>
      <c r="AK799" t="s">
        <v>12</v>
      </c>
      <c r="AL799" t="s">
        <v>12</v>
      </c>
      <c r="AM799" t="s">
        <v>12</v>
      </c>
      <c r="AN799" t="s">
        <v>12</v>
      </c>
      <c r="AO799" t="s">
        <v>12</v>
      </c>
    </row>
    <row r="800" spans="1:41" x14ac:dyDescent="0.35">
      <c r="A800">
        <v>19926340</v>
      </c>
      <c r="B800">
        <v>202602</v>
      </c>
      <c r="C800">
        <v>20608928431</v>
      </c>
      <c r="D800" t="s">
        <v>1071</v>
      </c>
      <c r="E800" t="s">
        <v>1</v>
      </c>
      <c r="F800">
        <v>10274805</v>
      </c>
      <c r="G800" t="s">
        <v>696</v>
      </c>
      <c r="H800" t="s">
        <v>265</v>
      </c>
      <c r="I800">
        <v>337264.28125</v>
      </c>
      <c r="J800" t="s">
        <v>12</v>
      </c>
      <c r="K800" t="s">
        <v>12</v>
      </c>
      <c r="L800" t="s">
        <v>12</v>
      </c>
      <c r="M800" t="s">
        <v>12</v>
      </c>
      <c r="N800" t="s">
        <v>12</v>
      </c>
      <c r="O800" t="s">
        <v>12</v>
      </c>
      <c r="P800" t="s">
        <v>12</v>
      </c>
      <c r="Q800" t="s">
        <v>265</v>
      </c>
      <c r="R800" t="s">
        <v>266</v>
      </c>
      <c r="S800" t="s">
        <v>18</v>
      </c>
      <c r="T800" t="s">
        <v>19</v>
      </c>
      <c r="U800" t="s">
        <v>20</v>
      </c>
      <c r="V800">
        <v>1</v>
      </c>
      <c r="W800" t="s">
        <v>10</v>
      </c>
      <c r="X800" t="s">
        <v>22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 t="s">
        <v>12</v>
      </c>
      <c r="AG800" t="s">
        <v>12</v>
      </c>
      <c r="AH800" t="s">
        <v>12</v>
      </c>
      <c r="AI800" t="s">
        <v>12</v>
      </c>
      <c r="AJ800" t="s">
        <v>12</v>
      </c>
      <c r="AK800">
        <v>1</v>
      </c>
      <c r="AL800">
        <v>1</v>
      </c>
      <c r="AM800" t="s">
        <v>12</v>
      </c>
      <c r="AN800" t="s">
        <v>12</v>
      </c>
      <c r="AO800" t="s">
        <v>12</v>
      </c>
    </row>
    <row r="801" spans="1:41" x14ac:dyDescent="0.35">
      <c r="A801">
        <v>19705193</v>
      </c>
      <c r="B801">
        <v>202601</v>
      </c>
      <c r="C801">
        <v>20604291373</v>
      </c>
      <c r="D801" t="s">
        <v>1072</v>
      </c>
      <c r="E801" t="s">
        <v>1</v>
      </c>
      <c r="F801">
        <v>10273455</v>
      </c>
      <c r="G801" t="s">
        <v>14</v>
      </c>
      <c r="H801" t="s">
        <v>39</v>
      </c>
      <c r="I801">
        <v>105267.984375</v>
      </c>
      <c r="J801" s="1">
        <v>45986</v>
      </c>
      <c r="K801">
        <v>15</v>
      </c>
      <c r="L801" t="s">
        <v>37</v>
      </c>
      <c r="M801" t="s">
        <v>75</v>
      </c>
      <c r="N801" t="s">
        <v>98</v>
      </c>
      <c r="O801">
        <v>202511</v>
      </c>
      <c r="P801">
        <v>108905.4</v>
      </c>
      <c r="Q801" t="s">
        <v>12</v>
      </c>
      <c r="R801" t="s">
        <v>12</v>
      </c>
      <c r="S801" t="s">
        <v>12</v>
      </c>
      <c r="T801" t="s">
        <v>12</v>
      </c>
      <c r="U801" t="s">
        <v>12</v>
      </c>
      <c r="V801" t="s">
        <v>12</v>
      </c>
      <c r="W801" t="s">
        <v>12</v>
      </c>
      <c r="X801" t="s">
        <v>12</v>
      </c>
      <c r="Y801" t="s">
        <v>12</v>
      </c>
      <c r="Z801" t="s">
        <v>12</v>
      </c>
      <c r="AA801" t="s">
        <v>12</v>
      </c>
      <c r="AB801" t="s">
        <v>12</v>
      </c>
      <c r="AC801" t="s">
        <v>12</v>
      </c>
      <c r="AD801" t="s">
        <v>12</v>
      </c>
      <c r="AE801" t="s">
        <v>12</v>
      </c>
      <c r="AF801" t="s">
        <v>12</v>
      </c>
      <c r="AG801" t="s">
        <v>12</v>
      </c>
      <c r="AH801" t="s">
        <v>12</v>
      </c>
      <c r="AI801" t="s">
        <v>12</v>
      </c>
      <c r="AJ801" t="s">
        <v>12</v>
      </c>
      <c r="AK801" t="s">
        <v>12</v>
      </c>
      <c r="AL801" t="s">
        <v>12</v>
      </c>
      <c r="AM801" t="s">
        <v>12</v>
      </c>
      <c r="AN801" t="s">
        <v>12</v>
      </c>
      <c r="AO801" t="s">
        <v>12</v>
      </c>
    </row>
    <row r="802" spans="1:41" x14ac:dyDescent="0.35">
      <c r="A802">
        <v>21499889</v>
      </c>
      <c r="B802">
        <v>202504</v>
      </c>
      <c r="C802">
        <v>20609255529</v>
      </c>
      <c r="D802" t="s">
        <v>1073</v>
      </c>
      <c r="E802" t="s">
        <v>1</v>
      </c>
      <c r="F802">
        <v>10265676</v>
      </c>
      <c r="G802" t="s">
        <v>100</v>
      </c>
      <c r="H802" t="s">
        <v>159</v>
      </c>
      <c r="I802">
        <v>148098.5</v>
      </c>
      <c r="J802" s="1">
        <v>45713</v>
      </c>
      <c r="K802">
        <v>14</v>
      </c>
      <c r="L802" t="s">
        <v>37</v>
      </c>
      <c r="M802" t="s">
        <v>37</v>
      </c>
      <c r="N802" t="s">
        <v>102</v>
      </c>
      <c r="O802">
        <v>202502</v>
      </c>
      <c r="P802">
        <v>153187.65</v>
      </c>
      <c r="Q802" t="s">
        <v>12</v>
      </c>
      <c r="R802" t="s">
        <v>12</v>
      </c>
      <c r="S802" t="s">
        <v>12</v>
      </c>
      <c r="T802" t="s">
        <v>12</v>
      </c>
      <c r="U802" t="s">
        <v>12</v>
      </c>
      <c r="V802" t="s">
        <v>12</v>
      </c>
      <c r="W802" t="s">
        <v>12</v>
      </c>
      <c r="X802" t="s">
        <v>12</v>
      </c>
      <c r="Y802" t="s">
        <v>12</v>
      </c>
      <c r="Z802" t="s">
        <v>12</v>
      </c>
      <c r="AA802" t="s">
        <v>12</v>
      </c>
      <c r="AB802" t="s">
        <v>12</v>
      </c>
      <c r="AC802" t="s">
        <v>12</v>
      </c>
      <c r="AD802" t="s">
        <v>12</v>
      </c>
      <c r="AE802" t="s">
        <v>12</v>
      </c>
      <c r="AF802" t="s">
        <v>12</v>
      </c>
      <c r="AG802" t="s">
        <v>12</v>
      </c>
      <c r="AH802" t="s">
        <v>12</v>
      </c>
      <c r="AI802" t="s">
        <v>12</v>
      </c>
      <c r="AJ802" t="s">
        <v>12</v>
      </c>
      <c r="AK802" t="s">
        <v>12</v>
      </c>
      <c r="AL802" t="s">
        <v>12</v>
      </c>
      <c r="AM802" t="s">
        <v>12</v>
      </c>
      <c r="AN802" t="s">
        <v>12</v>
      </c>
      <c r="AO802" t="s">
        <v>12</v>
      </c>
    </row>
    <row r="803" spans="1:41" x14ac:dyDescent="0.35">
      <c r="A803">
        <v>20355233</v>
      </c>
      <c r="B803">
        <v>202601</v>
      </c>
      <c r="C803">
        <v>20608572741</v>
      </c>
      <c r="D803" t="s">
        <v>1074</v>
      </c>
      <c r="E803" t="s">
        <v>1</v>
      </c>
      <c r="F803">
        <v>10263630</v>
      </c>
      <c r="G803" t="s">
        <v>53</v>
      </c>
      <c r="H803" t="s">
        <v>417</v>
      </c>
      <c r="I803">
        <v>37218.86328125</v>
      </c>
      <c r="J803" s="1">
        <v>45637</v>
      </c>
      <c r="K803">
        <v>18.899999999999999</v>
      </c>
      <c r="L803" t="s">
        <v>4</v>
      </c>
      <c r="M803" t="s">
        <v>4</v>
      </c>
      <c r="N803" t="s">
        <v>47</v>
      </c>
      <c r="O803">
        <v>202412</v>
      </c>
      <c r="P803">
        <v>50002.5</v>
      </c>
      <c r="Q803" t="s">
        <v>417</v>
      </c>
      <c r="R803" t="s">
        <v>418</v>
      </c>
      <c r="S803" t="s">
        <v>31</v>
      </c>
      <c r="T803" t="s">
        <v>32</v>
      </c>
      <c r="U803" t="s">
        <v>63</v>
      </c>
      <c r="V803">
        <v>1</v>
      </c>
      <c r="W803" t="s">
        <v>21</v>
      </c>
      <c r="X803" t="s">
        <v>51</v>
      </c>
      <c r="Y803">
        <v>1</v>
      </c>
      <c r="Z803">
        <v>1</v>
      </c>
      <c r="AA803">
        <v>0</v>
      </c>
      <c r="AB803">
        <v>0</v>
      </c>
      <c r="AC803">
        <v>1</v>
      </c>
      <c r="AD803">
        <v>1</v>
      </c>
      <c r="AE803">
        <v>0</v>
      </c>
      <c r="AF803" t="s">
        <v>12</v>
      </c>
      <c r="AG803" t="s">
        <v>12</v>
      </c>
      <c r="AH803" t="s">
        <v>12</v>
      </c>
      <c r="AI803" t="s">
        <v>12</v>
      </c>
      <c r="AJ803" t="s">
        <v>12</v>
      </c>
      <c r="AK803">
        <v>50000</v>
      </c>
      <c r="AL803">
        <v>0.32669999999999999</v>
      </c>
      <c r="AM803">
        <v>0.30669999999999997</v>
      </c>
      <c r="AN803" t="s">
        <v>12</v>
      </c>
      <c r="AO803" t="s">
        <v>12</v>
      </c>
    </row>
    <row r="804" spans="1:41" x14ac:dyDescent="0.35">
      <c r="A804">
        <v>22068167</v>
      </c>
      <c r="B804">
        <v>202601</v>
      </c>
      <c r="C804">
        <v>20601487005</v>
      </c>
      <c r="D804" t="s">
        <v>1075</v>
      </c>
      <c r="E804" t="s">
        <v>1</v>
      </c>
      <c r="F804">
        <v>10274533</v>
      </c>
      <c r="G804" t="s">
        <v>24</v>
      </c>
      <c r="H804" t="s">
        <v>159</v>
      </c>
      <c r="I804">
        <v>49999.4375</v>
      </c>
      <c r="J804" s="1">
        <v>46036</v>
      </c>
      <c r="K804">
        <v>20</v>
      </c>
      <c r="L804" t="s">
        <v>37</v>
      </c>
      <c r="M804" t="s">
        <v>37</v>
      </c>
      <c r="N804" t="s">
        <v>1037</v>
      </c>
      <c r="O804">
        <v>202601</v>
      </c>
      <c r="P804">
        <v>49999.45</v>
      </c>
      <c r="Q804" t="s">
        <v>1076</v>
      </c>
      <c r="R804" t="s">
        <v>1077</v>
      </c>
      <c r="S804" t="s">
        <v>585</v>
      </c>
      <c r="T804" t="s">
        <v>586</v>
      </c>
      <c r="U804" t="s">
        <v>1037</v>
      </c>
      <c r="V804">
        <v>3</v>
      </c>
      <c r="W804" t="s">
        <v>10</v>
      </c>
      <c r="X804" t="s">
        <v>51</v>
      </c>
      <c r="Y804">
        <v>1</v>
      </c>
      <c r="Z804">
        <v>1</v>
      </c>
      <c r="AA804">
        <v>1</v>
      </c>
      <c r="AB804">
        <v>1</v>
      </c>
      <c r="AC804">
        <v>1</v>
      </c>
      <c r="AD804" t="s">
        <v>12</v>
      </c>
      <c r="AE804">
        <v>49999.45</v>
      </c>
      <c r="AF804">
        <v>20</v>
      </c>
      <c r="AG804" s="1">
        <v>46036</v>
      </c>
      <c r="AH804" t="s">
        <v>1037</v>
      </c>
      <c r="AI804" t="s">
        <v>37</v>
      </c>
      <c r="AJ804" t="s">
        <v>1078</v>
      </c>
      <c r="AK804">
        <v>300000</v>
      </c>
      <c r="AL804">
        <v>0.22</v>
      </c>
      <c r="AM804">
        <v>0.2</v>
      </c>
      <c r="AN804" t="s">
        <v>197</v>
      </c>
      <c r="AO804" t="s">
        <v>33</v>
      </c>
    </row>
    <row r="805" spans="1:41" x14ac:dyDescent="0.35">
      <c r="A805">
        <v>20983650</v>
      </c>
      <c r="B805">
        <v>202601</v>
      </c>
      <c r="C805">
        <v>20547754400</v>
      </c>
      <c r="D805" t="s">
        <v>1079</v>
      </c>
      <c r="E805" t="s">
        <v>1</v>
      </c>
      <c r="F805">
        <v>10256841</v>
      </c>
      <c r="G805" t="s">
        <v>45</v>
      </c>
      <c r="H805" t="s">
        <v>217</v>
      </c>
      <c r="I805">
        <v>44531.62109375</v>
      </c>
      <c r="J805" s="1">
        <v>45471</v>
      </c>
      <c r="K805">
        <v>15.5</v>
      </c>
      <c r="L805" t="s">
        <v>37</v>
      </c>
      <c r="M805" t="s">
        <v>37</v>
      </c>
      <c r="N805" t="s">
        <v>47</v>
      </c>
      <c r="O805">
        <v>202406</v>
      </c>
      <c r="P805">
        <v>90004.5</v>
      </c>
      <c r="Q805" t="s">
        <v>217</v>
      </c>
      <c r="R805" t="s">
        <v>218</v>
      </c>
      <c r="S805" t="s">
        <v>18</v>
      </c>
      <c r="T805" t="s">
        <v>19</v>
      </c>
      <c r="U805" t="s">
        <v>20</v>
      </c>
      <c r="V805">
        <v>1</v>
      </c>
      <c r="W805" t="s">
        <v>21</v>
      </c>
      <c r="X805" t="s">
        <v>51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12</v>
      </c>
      <c r="AG805" t="s">
        <v>12</v>
      </c>
      <c r="AH805" t="s">
        <v>12</v>
      </c>
      <c r="AI805" t="s">
        <v>12</v>
      </c>
      <c r="AJ805" t="s">
        <v>12</v>
      </c>
      <c r="AK805">
        <v>1</v>
      </c>
      <c r="AL805">
        <v>1</v>
      </c>
      <c r="AM805">
        <v>0.24</v>
      </c>
      <c r="AN805" t="s">
        <v>12</v>
      </c>
      <c r="AO805" t="s">
        <v>12</v>
      </c>
    </row>
    <row r="806" spans="1:41" x14ac:dyDescent="0.35">
      <c r="A806">
        <v>14688097</v>
      </c>
      <c r="B806">
        <v>202602</v>
      </c>
      <c r="C806">
        <v>10075146235</v>
      </c>
      <c r="D806" t="s">
        <v>1080</v>
      </c>
      <c r="E806">
        <v>7514623</v>
      </c>
      <c r="F806">
        <v>10155987</v>
      </c>
      <c r="G806" t="s">
        <v>2</v>
      </c>
      <c r="H806" t="s">
        <v>127</v>
      </c>
      <c r="I806">
        <v>83427.9140625</v>
      </c>
      <c r="J806" s="1">
        <v>45614</v>
      </c>
      <c r="K806">
        <v>18.899999999999999</v>
      </c>
      <c r="L806" t="s">
        <v>4</v>
      </c>
      <c r="M806" t="s">
        <v>4</v>
      </c>
      <c r="N806" t="s">
        <v>5</v>
      </c>
      <c r="O806">
        <v>202411</v>
      </c>
      <c r="P806">
        <v>180009</v>
      </c>
      <c r="Q806" t="s">
        <v>220</v>
      </c>
      <c r="R806" t="s">
        <v>221</v>
      </c>
      <c r="S806" t="s">
        <v>127</v>
      </c>
      <c r="T806" t="s">
        <v>147</v>
      </c>
      <c r="U806" t="s">
        <v>5</v>
      </c>
      <c r="V806">
        <v>1</v>
      </c>
      <c r="W806" t="s">
        <v>10</v>
      </c>
      <c r="X806" t="s">
        <v>59</v>
      </c>
      <c r="Y806">
        <v>1</v>
      </c>
      <c r="Z806">
        <v>1</v>
      </c>
      <c r="AA806">
        <v>0</v>
      </c>
      <c r="AB806">
        <v>0</v>
      </c>
      <c r="AC806">
        <v>1</v>
      </c>
      <c r="AD806">
        <v>1</v>
      </c>
      <c r="AE806">
        <v>0</v>
      </c>
      <c r="AF806" t="s">
        <v>12</v>
      </c>
      <c r="AG806" t="s">
        <v>12</v>
      </c>
      <c r="AH806" t="s">
        <v>12</v>
      </c>
      <c r="AI806" t="s">
        <v>12</v>
      </c>
      <c r="AJ806" t="s">
        <v>12</v>
      </c>
      <c r="AK806">
        <v>96600</v>
      </c>
      <c r="AL806">
        <v>0.21</v>
      </c>
      <c r="AM806">
        <v>0.19</v>
      </c>
      <c r="AN806" t="s">
        <v>12</v>
      </c>
      <c r="AO806" t="s">
        <v>12</v>
      </c>
    </row>
    <row r="807" spans="1:41" x14ac:dyDescent="0.35">
      <c r="A807">
        <v>16158521</v>
      </c>
      <c r="B807">
        <v>202508</v>
      </c>
      <c r="C807">
        <v>20603008627</v>
      </c>
      <c r="D807" t="s">
        <v>1081</v>
      </c>
      <c r="E807" t="s">
        <v>1</v>
      </c>
      <c r="F807">
        <v>10256018</v>
      </c>
      <c r="G807" t="s">
        <v>65</v>
      </c>
      <c r="H807" t="s">
        <v>140</v>
      </c>
      <c r="I807">
        <v>62861.984375</v>
      </c>
      <c r="J807" s="1">
        <v>45467</v>
      </c>
      <c r="K807">
        <v>15.5</v>
      </c>
      <c r="L807" t="s">
        <v>37</v>
      </c>
      <c r="M807" t="s">
        <v>37</v>
      </c>
      <c r="N807" t="s">
        <v>47</v>
      </c>
      <c r="O807">
        <v>202406</v>
      </c>
      <c r="P807">
        <v>90004.5</v>
      </c>
      <c r="Q807" t="s">
        <v>140</v>
      </c>
      <c r="R807" t="s">
        <v>141</v>
      </c>
      <c r="S807" t="s">
        <v>111</v>
      </c>
      <c r="T807" t="s">
        <v>112</v>
      </c>
      <c r="U807" t="s">
        <v>20</v>
      </c>
      <c r="V807">
        <v>2</v>
      </c>
      <c r="W807" t="s">
        <v>10</v>
      </c>
      <c r="X807" t="s">
        <v>12</v>
      </c>
      <c r="Y807">
        <v>1</v>
      </c>
      <c r="Z807">
        <v>1</v>
      </c>
      <c r="AA807">
        <v>0</v>
      </c>
      <c r="AB807">
        <v>1</v>
      </c>
      <c r="AC807">
        <v>1</v>
      </c>
      <c r="AD807">
        <v>1</v>
      </c>
      <c r="AE807">
        <v>0</v>
      </c>
      <c r="AF807" t="s">
        <v>12</v>
      </c>
      <c r="AG807" t="s">
        <v>12</v>
      </c>
      <c r="AH807" t="s">
        <v>12</v>
      </c>
      <c r="AI807" t="s">
        <v>12</v>
      </c>
      <c r="AJ807" t="s">
        <v>12</v>
      </c>
      <c r="AK807">
        <v>1</v>
      </c>
      <c r="AL807">
        <v>0.18729999999999999</v>
      </c>
      <c r="AM807" t="s">
        <v>12</v>
      </c>
      <c r="AN807" t="s">
        <v>12</v>
      </c>
      <c r="AO807" t="s">
        <v>12</v>
      </c>
    </row>
    <row r="808" spans="1:41" x14ac:dyDescent="0.35">
      <c r="A808">
        <v>16111234</v>
      </c>
      <c r="B808">
        <v>202503</v>
      </c>
      <c r="C808">
        <v>20601961416</v>
      </c>
      <c r="D808" t="s">
        <v>1082</v>
      </c>
      <c r="E808" t="s">
        <v>1</v>
      </c>
      <c r="F808">
        <v>10168215</v>
      </c>
      <c r="G808" t="s">
        <v>2</v>
      </c>
      <c r="H808" t="s">
        <v>1083</v>
      </c>
      <c r="I808">
        <v>99626.6875</v>
      </c>
      <c r="J808" s="1">
        <v>45747</v>
      </c>
      <c r="K808">
        <v>15</v>
      </c>
      <c r="L808" t="s">
        <v>4</v>
      </c>
      <c r="M808" t="s">
        <v>4</v>
      </c>
      <c r="N808" t="s">
        <v>5</v>
      </c>
      <c r="O808">
        <v>202503</v>
      </c>
      <c r="P808">
        <v>120006</v>
      </c>
      <c r="Q808" t="s">
        <v>227</v>
      </c>
      <c r="R808" t="s">
        <v>228</v>
      </c>
      <c r="S808" t="s">
        <v>127</v>
      </c>
      <c r="T808" t="s">
        <v>147</v>
      </c>
      <c r="U808" t="s">
        <v>5</v>
      </c>
      <c r="V808">
        <v>1</v>
      </c>
      <c r="W808" t="s">
        <v>10</v>
      </c>
      <c r="X808" t="s">
        <v>12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0</v>
      </c>
      <c r="AE808">
        <v>120006</v>
      </c>
      <c r="AF808">
        <v>15</v>
      </c>
      <c r="AG808" s="1">
        <v>45747</v>
      </c>
      <c r="AH808" t="s">
        <v>5</v>
      </c>
      <c r="AI808" t="s">
        <v>4</v>
      </c>
      <c r="AJ808" t="s">
        <v>33</v>
      </c>
      <c r="AK808">
        <v>120000</v>
      </c>
      <c r="AL808">
        <v>0.21</v>
      </c>
      <c r="AM808">
        <v>0.18679999999999999</v>
      </c>
      <c r="AN808" t="s">
        <v>12</v>
      </c>
      <c r="AO808" t="s">
        <v>12</v>
      </c>
    </row>
    <row r="809" spans="1:41" x14ac:dyDescent="0.35">
      <c r="A809">
        <v>17224889</v>
      </c>
      <c r="B809">
        <v>202601</v>
      </c>
      <c r="C809">
        <v>20603397887</v>
      </c>
      <c r="D809" t="s">
        <v>1084</v>
      </c>
      <c r="E809" t="s">
        <v>1</v>
      </c>
      <c r="F809">
        <v>10272523</v>
      </c>
      <c r="G809" t="s">
        <v>24</v>
      </c>
      <c r="H809" t="s">
        <v>129</v>
      </c>
      <c r="I809">
        <v>271075.625</v>
      </c>
      <c r="J809" s="1">
        <v>45954</v>
      </c>
      <c r="K809">
        <v>17</v>
      </c>
      <c r="L809" t="s">
        <v>4</v>
      </c>
      <c r="M809" t="s">
        <v>4</v>
      </c>
      <c r="N809" t="s">
        <v>26</v>
      </c>
      <c r="O809">
        <v>202510</v>
      </c>
      <c r="P809">
        <v>300015</v>
      </c>
      <c r="Q809" t="s">
        <v>129</v>
      </c>
      <c r="R809" t="s">
        <v>130</v>
      </c>
      <c r="S809" t="s">
        <v>49</v>
      </c>
      <c r="T809" t="s">
        <v>50</v>
      </c>
      <c r="U809" t="s">
        <v>20</v>
      </c>
      <c r="V809">
        <v>1</v>
      </c>
      <c r="W809" t="s">
        <v>10</v>
      </c>
      <c r="X809" t="s">
        <v>22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 t="s">
        <v>12</v>
      </c>
      <c r="AG809" t="s">
        <v>12</v>
      </c>
      <c r="AH809" t="s">
        <v>12</v>
      </c>
      <c r="AI809" t="s">
        <v>12</v>
      </c>
      <c r="AJ809" t="s">
        <v>12</v>
      </c>
      <c r="AK809">
        <v>1</v>
      </c>
      <c r="AL809">
        <v>1</v>
      </c>
      <c r="AM809">
        <v>0.24</v>
      </c>
      <c r="AN809" t="s">
        <v>12</v>
      </c>
      <c r="AO809" t="s">
        <v>12</v>
      </c>
    </row>
    <row r="810" spans="1:41" x14ac:dyDescent="0.35">
      <c r="A810">
        <v>20692659</v>
      </c>
      <c r="B810">
        <v>202510</v>
      </c>
      <c r="C810">
        <v>20605174401</v>
      </c>
      <c r="D810" t="s">
        <v>1085</v>
      </c>
      <c r="E810" t="s">
        <v>1</v>
      </c>
      <c r="F810">
        <v>10248700</v>
      </c>
      <c r="G810" t="s">
        <v>45</v>
      </c>
      <c r="H810" t="s">
        <v>260</v>
      </c>
      <c r="I810">
        <v>3845.49169921875</v>
      </c>
      <c r="J810" s="1">
        <v>45350</v>
      </c>
      <c r="K810">
        <v>15.9</v>
      </c>
      <c r="L810" t="s">
        <v>37</v>
      </c>
      <c r="M810" t="s">
        <v>37</v>
      </c>
      <c r="N810" t="s">
        <v>47</v>
      </c>
      <c r="O810">
        <v>202402</v>
      </c>
      <c r="P810">
        <v>90004.5</v>
      </c>
      <c r="Q810" t="s">
        <v>12</v>
      </c>
      <c r="R810" t="s">
        <v>12</v>
      </c>
      <c r="S810" t="s">
        <v>12</v>
      </c>
      <c r="T810" t="s">
        <v>12</v>
      </c>
      <c r="U810" t="s">
        <v>12</v>
      </c>
      <c r="V810" t="s">
        <v>12</v>
      </c>
      <c r="W810" t="s">
        <v>12</v>
      </c>
      <c r="X810" t="s">
        <v>12</v>
      </c>
      <c r="Y810" t="s">
        <v>12</v>
      </c>
      <c r="Z810" t="s">
        <v>12</v>
      </c>
      <c r="AA810" t="s">
        <v>12</v>
      </c>
      <c r="AB810" t="s">
        <v>12</v>
      </c>
      <c r="AC810" t="s">
        <v>12</v>
      </c>
      <c r="AD810" t="s">
        <v>12</v>
      </c>
      <c r="AE810" t="s">
        <v>12</v>
      </c>
      <c r="AF810" t="s">
        <v>12</v>
      </c>
      <c r="AG810" t="s">
        <v>12</v>
      </c>
      <c r="AH810" t="s">
        <v>12</v>
      </c>
      <c r="AI810" t="s">
        <v>12</v>
      </c>
      <c r="AJ810" t="s">
        <v>12</v>
      </c>
      <c r="AK810" t="s">
        <v>12</v>
      </c>
      <c r="AL810" t="s">
        <v>12</v>
      </c>
      <c r="AM810" t="s">
        <v>12</v>
      </c>
      <c r="AN810" t="s">
        <v>12</v>
      </c>
      <c r="AO810" t="s">
        <v>12</v>
      </c>
    </row>
    <row r="811" spans="1:41" x14ac:dyDescent="0.35">
      <c r="A811">
        <v>9832049</v>
      </c>
      <c r="B811">
        <v>202602</v>
      </c>
      <c r="C811">
        <v>10182048386</v>
      </c>
      <c r="D811" t="s">
        <v>1086</v>
      </c>
      <c r="E811">
        <v>18204838</v>
      </c>
      <c r="F811">
        <v>10248269</v>
      </c>
      <c r="G811" t="s">
        <v>45</v>
      </c>
      <c r="H811" t="s">
        <v>124</v>
      </c>
      <c r="I811">
        <v>65959.6015625</v>
      </c>
      <c r="J811" s="1">
        <v>45345</v>
      </c>
      <c r="K811">
        <v>14.5</v>
      </c>
      <c r="L811" t="s">
        <v>4</v>
      </c>
      <c r="M811" t="s">
        <v>4</v>
      </c>
      <c r="N811" t="s">
        <v>47</v>
      </c>
      <c r="O811">
        <v>202402</v>
      </c>
      <c r="P811">
        <v>90004.5</v>
      </c>
      <c r="Q811" t="s">
        <v>124</v>
      </c>
      <c r="R811" t="s">
        <v>125</v>
      </c>
      <c r="S811" t="s">
        <v>88</v>
      </c>
      <c r="T811" t="s">
        <v>89</v>
      </c>
      <c r="U811" t="s">
        <v>63</v>
      </c>
      <c r="V811">
        <v>2</v>
      </c>
      <c r="W811" t="s">
        <v>90</v>
      </c>
      <c r="X811" t="s">
        <v>59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12</v>
      </c>
      <c r="AG811" t="s">
        <v>12</v>
      </c>
      <c r="AH811" t="s">
        <v>12</v>
      </c>
      <c r="AI811" t="s">
        <v>12</v>
      </c>
      <c r="AJ811" t="s">
        <v>12</v>
      </c>
      <c r="AK811">
        <v>250000</v>
      </c>
      <c r="AL811">
        <v>0.2339</v>
      </c>
      <c r="AM811">
        <v>0.21390000000000001</v>
      </c>
      <c r="AN811" t="s">
        <v>12</v>
      </c>
      <c r="AO811" t="s">
        <v>12</v>
      </c>
    </row>
    <row r="812" spans="1:41" x14ac:dyDescent="0.35">
      <c r="A812">
        <v>20692659</v>
      </c>
      <c r="B812">
        <v>202510</v>
      </c>
      <c r="C812">
        <v>20605174401</v>
      </c>
      <c r="D812" t="s">
        <v>1085</v>
      </c>
      <c r="E812" t="s">
        <v>1</v>
      </c>
      <c r="F812">
        <v>10271199</v>
      </c>
      <c r="G812" t="s">
        <v>92</v>
      </c>
      <c r="H812" t="s">
        <v>260</v>
      </c>
      <c r="I812">
        <v>142599.109375</v>
      </c>
      <c r="J812" s="1">
        <v>45910</v>
      </c>
      <c r="K812">
        <v>18</v>
      </c>
      <c r="L812" t="s">
        <v>4</v>
      </c>
      <c r="M812" t="s">
        <v>4</v>
      </c>
      <c r="N812" t="s">
        <v>41</v>
      </c>
      <c r="O812">
        <v>202509</v>
      </c>
      <c r="P812">
        <v>150007.5</v>
      </c>
      <c r="Q812" t="s">
        <v>12</v>
      </c>
      <c r="R812" t="s">
        <v>12</v>
      </c>
      <c r="S812" t="s">
        <v>12</v>
      </c>
      <c r="T812" t="s">
        <v>12</v>
      </c>
      <c r="U812" t="s">
        <v>12</v>
      </c>
      <c r="V812" t="s">
        <v>12</v>
      </c>
      <c r="W812" t="s">
        <v>12</v>
      </c>
      <c r="X812" t="s">
        <v>12</v>
      </c>
      <c r="Y812" t="s">
        <v>12</v>
      </c>
      <c r="Z812" t="s">
        <v>12</v>
      </c>
      <c r="AA812" t="s">
        <v>12</v>
      </c>
      <c r="AB812" t="s">
        <v>12</v>
      </c>
      <c r="AC812" t="s">
        <v>12</v>
      </c>
      <c r="AD812" t="s">
        <v>12</v>
      </c>
      <c r="AE812" t="s">
        <v>12</v>
      </c>
      <c r="AF812" t="s">
        <v>12</v>
      </c>
      <c r="AG812" t="s">
        <v>12</v>
      </c>
      <c r="AH812" t="s">
        <v>12</v>
      </c>
      <c r="AI812" t="s">
        <v>12</v>
      </c>
      <c r="AJ812" t="s">
        <v>12</v>
      </c>
      <c r="AK812" t="s">
        <v>12</v>
      </c>
      <c r="AL812" t="s">
        <v>12</v>
      </c>
      <c r="AM812" t="s">
        <v>12</v>
      </c>
      <c r="AN812" t="s">
        <v>12</v>
      </c>
      <c r="AO812" t="s">
        <v>12</v>
      </c>
    </row>
    <row r="813" spans="1:41" x14ac:dyDescent="0.35">
      <c r="A813">
        <v>19137807</v>
      </c>
      <c r="B813">
        <v>202602</v>
      </c>
      <c r="C813">
        <v>20550178169</v>
      </c>
      <c r="D813" t="s">
        <v>1087</v>
      </c>
      <c r="E813" t="s">
        <v>1</v>
      </c>
      <c r="F813">
        <v>10269755</v>
      </c>
      <c r="G813" t="s">
        <v>92</v>
      </c>
      <c r="H813" t="s">
        <v>54</v>
      </c>
      <c r="I813">
        <v>148519.84375</v>
      </c>
      <c r="J813" s="1">
        <v>45856</v>
      </c>
      <c r="K813">
        <v>18</v>
      </c>
      <c r="L813" t="s">
        <v>4</v>
      </c>
      <c r="M813" t="s">
        <v>4</v>
      </c>
      <c r="N813" t="s">
        <v>41</v>
      </c>
      <c r="O813">
        <v>202507</v>
      </c>
      <c r="P813">
        <v>200010</v>
      </c>
      <c r="Q813" t="s">
        <v>54</v>
      </c>
      <c r="R813" t="s">
        <v>55</v>
      </c>
      <c r="S813" t="s">
        <v>31</v>
      </c>
      <c r="T813" t="s">
        <v>32</v>
      </c>
      <c r="U813" t="s">
        <v>41</v>
      </c>
      <c r="V813">
        <v>1</v>
      </c>
      <c r="W813" t="s">
        <v>10</v>
      </c>
      <c r="X813" t="s">
        <v>22</v>
      </c>
      <c r="Y813">
        <v>1</v>
      </c>
      <c r="Z813">
        <v>1</v>
      </c>
      <c r="AA813">
        <v>0</v>
      </c>
      <c r="AB813">
        <v>1</v>
      </c>
      <c r="AC813">
        <v>1</v>
      </c>
      <c r="AD813">
        <v>1</v>
      </c>
      <c r="AE813">
        <v>0</v>
      </c>
      <c r="AF813" t="s">
        <v>12</v>
      </c>
      <c r="AG813" t="s">
        <v>12</v>
      </c>
      <c r="AH813" t="s">
        <v>12</v>
      </c>
      <c r="AI813" t="s">
        <v>12</v>
      </c>
      <c r="AJ813" t="s">
        <v>12</v>
      </c>
      <c r="AK813">
        <v>500000</v>
      </c>
      <c r="AL813">
        <v>0.21</v>
      </c>
      <c r="AM813">
        <v>0.19</v>
      </c>
      <c r="AN813" t="s">
        <v>12</v>
      </c>
      <c r="AO813" t="s">
        <v>12</v>
      </c>
    </row>
    <row r="814" spans="1:41" x14ac:dyDescent="0.35">
      <c r="A814">
        <v>11463752</v>
      </c>
      <c r="B814">
        <v>202602</v>
      </c>
      <c r="C814">
        <v>10432017147</v>
      </c>
      <c r="D814" t="s">
        <v>1088</v>
      </c>
      <c r="E814">
        <v>43201714</v>
      </c>
      <c r="F814">
        <v>10269897</v>
      </c>
      <c r="G814" t="s">
        <v>24</v>
      </c>
      <c r="H814" t="s">
        <v>39</v>
      </c>
      <c r="I814">
        <v>70492.4765625</v>
      </c>
      <c r="J814" s="1">
        <v>45862</v>
      </c>
      <c r="K814">
        <v>22</v>
      </c>
      <c r="L814" t="s">
        <v>37</v>
      </c>
      <c r="M814" t="s">
        <v>75</v>
      </c>
      <c r="N814" t="s">
        <v>98</v>
      </c>
      <c r="O814">
        <v>202507</v>
      </c>
      <c r="P814">
        <v>100005</v>
      </c>
      <c r="Q814" t="s">
        <v>12</v>
      </c>
      <c r="R814" t="s">
        <v>12</v>
      </c>
      <c r="S814" t="s">
        <v>12</v>
      </c>
      <c r="T814" t="s">
        <v>12</v>
      </c>
      <c r="U814" t="s">
        <v>12</v>
      </c>
      <c r="V814" t="s">
        <v>12</v>
      </c>
      <c r="W814" t="s">
        <v>12</v>
      </c>
      <c r="X814" t="s">
        <v>12</v>
      </c>
      <c r="Y814" t="s">
        <v>12</v>
      </c>
      <c r="Z814" t="s">
        <v>12</v>
      </c>
      <c r="AA814" t="s">
        <v>12</v>
      </c>
      <c r="AB814" t="s">
        <v>12</v>
      </c>
      <c r="AC814" t="s">
        <v>12</v>
      </c>
      <c r="AD814" t="s">
        <v>12</v>
      </c>
      <c r="AE814" t="s">
        <v>12</v>
      </c>
      <c r="AF814" t="s">
        <v>12</v>
      </c>
      <c r="AG814" t="s">
        <v>12</v>
      </c>
      <c r="AH814" t="s">
        <v>12</v>
      </c>
      <c r="AI814" t="s">
        <v>12</v>
      </c>
      <c r="AJ814" t="s">
        <v>12</v>
      </c>
      <c r="AK814" t="s">
        <v>12</v>
      </c>
      <c r="AL814" t="s">
        <v>12</v>
      </c>
      <c r="AM814" t="s">
        <v>12</v>
      </c>
      <c r="AN814" t="s">
        <v>12</v>
      </c>
      <c r="AO814" t="s">
        <v>12</v>
      </c>
    </row>
    <row r="815" spans="1:41" x14ac:dyDescent="0.35">
      <c r="A815">
        <v>12668425</v>
      </c>
      <c r="B815">
        <v>202509</v>
      </c>
      <c r="C815">
        <v>20545727430</v>
      </c>
      <c r="D815" t="s">
        <v>1089</v>
      </c>
      <c r="E815" t="s">
        <v>1</v>
      </c>
      <c r="F815">
        <v>10253420</v>
      </c>
      <c r="G815" t="s">
        <v>45</v>
      </c>
      <c r="H815" t="s">
        <v>145</v>
      </c>
      <c r="I815">
        <v>256434.5625</v>
      </c>
      <c r="J815" s="1">
        <v>45435</v>
      </c>
      <c r="K815">
        <v>13.2</v>
      </c>
      <c r="L815" t="s">
        <v>4</v>
      </c>
      <c r="M815" t="s">
        <v>4</v>
      </c>
      <c r="N815" t="s">
        <v>47</v>
      </c>
      <c r="O815">
        <v>202405</v>
      </c>
      <c r="P815">
        <v>300015</v>
      </c>
      <c r="Q815" t="s">
        <v>145</v>
      </c>
      <c r="R815" t="s">
        <v>146</v>
      </c>
      <c r="S815" t="s">
        <v>127</v>
      </c>
      <c r="T815" t="s">
        <v>147</v>
      </c>
      <c r="U815" t="s">
        <v>41</v>
      </c>
      <c r="V815">
        <v>1</v>
      </c>
      <c r="W815" t="s">
        <v>10</v>
      </c>
      <c r="X815" t="s">
        <v>11</v>
      </c>
      <c r="Y815">
        <v>1</v>
      </c>
      <c r="Z815">
        <v>1</v>
      </c>
      <c r="AA815">
        <v>0</v>
      </c>
      <c r="AB815">
        <v>0</v>
      </c>
      <c r="AC815">
        <v>1</v>
      </c>
      <c r="AD815">
        <v>1</v>
      </c>
      <c r="AE815">
        <v>0</v>
      </c>
      <c r="AF815" t="s">
        <v>12</v>
      </c>
      <c r="AG815" t="s">
        <v>12</v>
      </c>
      <c r="AH815" t="s">
        <v>12</v>
      </c>
      <c r="AI815" t="s">
        <v>12</v>
      </c>
      <c r="AJ815" t="s">
        <v>12</v>
      </c>
      <c r="AK815">
        <v>400000</v>
      </c>
      <c r="AL815">
        <v>0.21049999999999999</v>
      </c>
      <c r="AM815">
        <v>0.19</v>
      </c>
      <c r="AN815" t="s">
        <v>12</v>
      </c>
      <c r="AO815" t="s">
        <v>12</v>
      </c>
    </row>
    <row r="816" spans="1:41" x14ac:dyDescent="0.35">
      <c r="A816">
        <v>21826021</v>
      </c>
      <c r="B816">
        <v>202512</v>
      </c>
      <c r="C816">
        <v>20434822891</v>
      </c>
      <c r="D816" t="s">
        <v>1090</v>
      </c>
      <c r="E816" t="s">
        <v>1</v>
      </c>
      <c r="F816">
        <v>10270993</v>
      </c>
      <c r="G816" t="s">
        <v>100</v>
      </c>
      <c r="H816" t="s">
        <v>412</v>
      </c>
      <c r="I816">
        <v>141088.640625</v>
      </c>
      <c r="J816" s="1">
        <v>45898</v>
      </c>
      <c r="K816">
        <v>15</v>
      </c>
      <c r="L816" t="s">
        <v>37</v>
      </c>
      <c r="M816" t="s">
        <v>37</v>
      </c>
      <c r="N816" t="s">
        <v>102</v>
      </c>
      <c r="O816">
        <v>202508</v>
      </c>
      <c r="P816">
        <v>151232.54999999999</v>
      </c>
      <c r="Q816" t="s">
        <v>412</v>
      </c>
      <c r="R816" t="s">
        <v>413</v>
      </c>
      <c r="S816" t="s">
        <v>88</v>
      </c>
      <c r="T816" t="s">
        <v>89</v>
      </c>
      <c r="U816" t="s">
        <v>20</v>
      </c>
      <c r="V816">
        <v>2</v>
      </c>
      <c r="W816" t="s">
        <v>10</v>
      </c>
      <c r="X816" t="s">
        <v>22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 t="s">
        <v>12</v>
      </c>
      <c r="AG816" t="s">
        <v>12</v>
      </c>
      <c r="AH816" t="s">
        <v>12</v>
      </c>
      <c r="AI816" t="s">
        <v>12</v>
      </c>
      <c r="AJ816" t="s">
        <v>12</v>
      </c>
      <c r="AK816">
        <v>1</v>
      </c>
      <c r="AL816">
        <v>1</v>
      </c>
      <c r="AM816" t="s">
        <v>12</v>
      </c>
      <c r="AN816" t="s">
        <v>12</v>
      </c>
      <c r="AO816" t="s">
        <v>12</v>
      </c>
    </row>
    <row r="817" spans="1:41" x14ac:dyDescent="0.35">
      <c r="A817">
        <v>21514609</v>
      </c>
      <c r="B817">
        <v>202509</v>
      </c>
      <c r="C817">
        <v>20454047657</v>
      </c>
      <c r="D817" t="s">
        <v>1091</v>
      </c>
      <c r="E817" t="s">
        <v>1</v>
      </c>
      <c r="F817">
        <v>10268037</v>
      </c>
      <c r="G817" t="s">
        <v>24</v>
      </c>
      <c r="H817" t="s">
        <v>39</v>
      </c>
      <c r="I817">
        <v>119765.0703125</v>
      </c>
      <c r="J817" s="1">
        <v>45799</v>
      </c>
      <c r="K817">
        <v>17</v>
      </c>
      <c r="L817" t="s">
        <v>37</v>
      </c>
      <c r="M817" t="s">
        <v>75</v>
      </c>
      <c r="N817" t="s">
        <v>98</v>
      </c>
      <c r="O817">
        <v>202505</v>
      </c>
      <c r="P817">
        <v>150007.5</v>
      </c>
      <c r="Q817" t="s">
        <v>12</v>
      </c>
      <c r="R817" t="s">
        <v>12</v>
      </c>
      <c r="S817" t="s">
        <v>12</v>
      </c>
      <c r="T817" t="s">
        <v>12</v>
      </c>
      <c r="U817" t="s">
        <v>12</v>
      </c>
      <c r="V817" t="s">
        <v>12</v>
      </c>
      <c r="W817" t="s">
        <v>12</v>
      </c>
      <c r="X817" t="s">
        <v>12</v>
      </c>
      <c r="Y817" t="s">
        <v>12</v>
      </c>
      <c r="Z817" t="s">
        <v>12</v>
      </c>
      <c r="AA817" t="s">
        <v>12</v>
      </c>
      <c r="AB817" t="s">
        <v>12</v>
      </c>
      <c r="AC817" t="s">
        <v>12</v>
      </c>
      <c r="AD817" t="s">
        <v>12</v>
      </c>
      <c r="AE817" t="s">
        <v>12</v>
      </c>
      <c r="AF817" t="s">
        <v>12</v>
      </c>
      <c r="AG817" t="s">
        <v>12</v>
      </c>
      <c r="AH817" t="s">
        <v>12</v>
      </c>
      <c r="AI817" t="s">
        <v>12</v>
      </c>
      <c r="AJ817" t="s">
        <v>12</v>
      </c>
      <c r="AK817" t="s">
        <v>12</v>
      </c>
      <c r="AL817" t="s">
        <v>12</v>
      </c>
      <c r="AM817" t="s">
        <v>12</v>
      </c>
      <c r="AN817" t="s">
        <v>12</v>
      </c>
      <c r="AO817" t="s">
        <v>12</v>
      </c>
    </row>
    <row r="818" spans="1:41" x14ac:dyDescent="0.35">
      <c r="A818">
        <v>21685921</v>
      </c>
      <c r="B818">
        <v>202507</v>
      </c>
      <c r="C818">
        <v>20606262656</v>
      </c>
      <c r="D818" t="s">
        <v>1092</v>
      </c>
      <c r="E818" t="s">
        <v>1</v>
      </c>
      <c r="F818">
        <v>10268607</v>
      </c>
      <c r="G818" t="s">
        <v>100</v>
      </c>
      <c r="H818" t="s">
        <v>166</v>
      </c>
      <c r="I818">
        <v>289086.65625</v>
      </c>
      <c r="J818" s="1">
        <v>45819</v>
      </c>
      <c r="K818">
        <v>15</v>
      </c>
      <c r="L818" t="s">
        <v>37</v>
      </c>
      <c r="M818" t="s">
        <v>37</v>
      </c>
      <c r="N818" t="s">
        <v>102</v>
      </c>
      <c r="O818">
        <v>202506</v>
      </c>
      <c r="P818">
        <v>300015</v>
      </c>
      <c r="Q818" t="s">
        <v>166</v>
      </c>
      <c r="R818" t="s">
        <v>167</v>
      </c>
      <c r="S818" t="s">
        <v>111</v>
      </c>
      <c r="T818" t="s">
        <v>112</v>
      </c>
      <c r="U818" t="s">
        <v>20</v>
      </c>
      <c r="V818">
        <v>2</v>
      </c>
      <c r="W818" t="s">
        <v>10</v>
      </c>
      <c r="X818" t="s">
        <v>12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 t="s">
        <v>12</v>
      </c>
      <c r="AG818" t="s">
        <v>12</v>
      </c>
      <c r="AH818" t="s">
        <v>12</v>
      </c>
      <c r="AI818" t="s">
        <v>12</v>
      </c>
      <c r="AJ818" t="s">
        <v>12</v>
      </c>
      <c r="AK818">
        <v>1</v>
      </c>
      <c r="AL818">
        <v>0.1638</v>
      </c>
      <c r="AM818" t="s">
        <v>12</v>
      </c>
      <c r="AN818" t="s">
        <v>12</v>
      </c>
      <c r="AO818" t="s">
        <v>12</v>
      </c>
    </row>
    <row r="819" spans="1:41" x14ac:dyDescent="0.35">
      <c r="A819">
        <v>15127699</v>
      </c>
      <c r="B819">
        <v>202503</v>
      </c>
      <c r="C819">
        <v>20504460429</v>
      </c>
      <c r="D819" t="s">
        <v>1093</v>
      </c>
      <c r="E819" t="s">
        <v>1</v>
      </c>
      <c r="F819">
        <v>10265620</v>
      </c>
      <c r="G819" t="s">
        <v>92</v>
      </c>
      <c r="H819" t="s">
        <v>244</v>
      </c>
      <c r="I819">
        <v>110005.484375</v>
      </c>
      <c r="J819" s="1">
        <v>45712</v>
      </c>
      <c r="K819">
        <v>18</v>
      </c>
      <c r="L819" t="s">
        <v>4</v>
      </c>
      <c r="M819" t="s">
        <v>4</v>
      </c>
      <c r="N819" t="s">
        <v>41</v>
      </c>
      <c r="O819">
        <v>202502</v>
      </c>
      <c r="P819">
        <v>110005.5</v>
      </c>
      <c r="Q819" t="s">
        <v>1094</v>
      </c>
      <c r="R819" t="s">
        <v>1095</v>
      </c>
      <c r="S819" t="s">
        <v>7</v>
      </c>
      <c r="T819" t="s">
        <v>8</v>
      </c>
      <c r="U819" t="s">
        <v>20</v>
      </c>
      <c r="V819">
        <v>1</v>
      </c>
      <c r="W819" t="s">
        <v>10</v>
      </c>
      <c r="X819" t="s">
        <v>12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12</v>
      </c>
      <c r="AG819" t="s">
        <v>12</v>
      </c>
      <c r="AH819" t="s">
        <v>12</v>
      </c>
      <c r="AI819" t="s">
        <v>12</v>
      </c>
      <c r="AJ819" t="s">
        <v>12</v>
      </c>
      <c r="AK819">
        <v>989255689</v>
      </c>
      <c r="AL819">
        <v>0</v>
      </c>
      <c r="AM819">
        <v>0</v>
      </c>
      <c r="AN819" t="s">
        <v>12</v>
      </c>
      <c r="AO819" t="s">
        <v>12</v>
      </c>
    </row>
    <row r="820" spans="1:41" x14ac:dyDescent="0.35">
      <c r="A820">
        <v>21580406</v>
      </c>
      <c r="B820">
        <v>202508</v>
      </c>
      <c r="C820">
        <v>20608127080</v>
      </c>
      <c r="D820" t="s">
        <v>1096</v>
      </c>
      <c r="E820" t="s">
        <v>1</v>
      </c>
      <c r="F820">
        <v>10266991</v>
      </c>
      <c r="G820" t="s">
        <v>268</v>
      </c>
      <c r="H820" t="s">
        <v>159</v>
      </c>
      <c r="I820">
        <v>40389.70703125</v>
      </c>
      <c r="J820" s="1">
        <v>45757</v>
      </c>
      <c r="K820">
        <v>26</v>
      </c>
      <c r="L820" t="s">
        <v>37</v>
      </c>
      <c r="M820" t="s">
        <v>37</v>
      </c>
      <c r="N820" t="s">
        <v>98</v>
      </c>
      <c r="O820">
        <v>202504</v>
      </c>
      <c r="P820">
        <v>50002.5</v>
      </c>
      <c r="Q820" t="s">
        <v>12</v>
      </c>
      <c r="R820" t="s">
        <v>12</v>
      </c>
      <c r="S820" t="s">
        <v>12</v>
      </c>
      <c r="T820" t="s">
        <v>12</v>
      </c>
      <c r="U820" t="s">
        <v>12</v>
      </c>
      <c r="V820" t="s">
        <v>12</v>
      </c>
      <c r="W820" t="s">
        <v>12</v>
      </c>
      <c r="X820" t="s">
        <v>12</v>
      </c>
      <c r="Y820" t="s">
        <v>12</v>
      </c>
      <c r="Z820" t="s">
        <v>12</v>
      </c>
      <c r="AA820" t="s">
        <v>12</v>
      </c>
      <c r="AB820" t="s">
        <v>12</v>
      </c>
      <c r="AC820" t="s">
        <v>12</v>
      </c>
      <c r="AD820" t="s">
        <v>12</v>
      </c>
      <c r="AE820" t="s">
        <v>12</v>
      </c>
      <c r="AF820" t="s">
        <v>12</v>
      </c>
      <c r="AG820" t="s">
        <v>12</v>
      </c>
      <c r="AH820" t="s">
        <v>12</v>
      </c>
      <c r="AI820" t="s">
        <v>12</v>
      </c>
      <c r="AJ820" t="s">
        <v>12</v>
      </c>
      <c r="AK820" t="s">
        <v>12</v>
      </c>
      <c r="AL820" t="s">
        <v>12</v>
      </c>
      <c r="AM820" t="s">
        <v>12</v>
      </c>
      <c r="AN820" t="s">
        <v>12</v>
      </c>
      <c r="AO820" t="s">
        <v>12</v>
      </c>
    </row>
    <row r="821" spans="1:41" x14ac:dyDescent="0.35">
      <c r="A821">
        <v>20725586</v>
      </c>
      <c r="B821">
        <v>202509</v>
      </c>
      <c r="C821">
        <v>20602752942</v>
      </c>
      <c r="D821" t="s">
        <v>1097</v>
      </c>
      <c r="E821" t="s">
        <v>1</v>
      </c>
      <c r="F821">
        <v>10249324</v>
      </c>
      <c r="G821" t="s">
        <v>65</v>
      </c>
      <c r="H821" t="s">
        <v>111</v>
      </c>
      <c r="I821">
        <v>26735.37890625</v>
      </c>
      <c r="J821" s="1">
        <v>45365</v>
      </c>
      <c r="K821">
        <v>14.6</v>
      </c>
      <c r="L821" t="s">
        <v>37</v>
      </c>
      <c r="M821" t="s">
        <v>37</v>
      </c>
      <c r="N821" t="s">
        <v>47</v>
      </c>
      <c r="O821">
        <v>202403</v>
      </c>
      <c r="P821">
        <v>50002.5</v>
      </c>
      <c r="Q821" t="s">
        <v>170</v>
      </c>
      <c r="R821" t="s">
        <v>678</v>
      </c>
      <c r="S821" t="s">
        <v>111</v>
      </c>
      <c r="T821" t="s">
        <v>112</v>
      </c>
      <c r="U821" t="s">
        <v>41</v>
      </c>
      <c r="V821">
        <v>2</v>
      </c>
      <c r="W821" t="s">
        <v>10</v>
      </c>
      <c r="X821" t="s">
        <v>51</v>
      </c>
      <c r="Y821">
        <v>1</v>
      </c>
      <c r="Z821">
        <v>1</v>
      </c>
      <c r="AA821">
        <v>0</v>
      </c>
      <c r="AB821">
        <v>1</v>
      </c>
      <c r="AC821">
        <v>1</v>
      </c>
      <c r="AD821">
        <v>1</v>
      </c>
      <c r="AE821">
        <v>0</v>
      </c>
      <c r="AF821" t="s">
        <v>12</v>
      </c>
      <c r="AG821" t="s">
        <v>12</v>
      </c>
      <c r="AH821" t="s">
        <v>12</v>
      </c>
      <c r="AI821" t="s">
        <v>12</v>
      </c>
      <c r="AJ821" t="s">
        <v>12</v>
      </c>
      <c r="AK821">
        <v>250000</v>
      </c>
      <c r="AL821">
        <v>0.23</v>
      </c>
      <c r="AM821">
        <v>0.21</v>
      </c>
      <c r="AN821" t="s">
        <v>12</v>
      </c>
      <c r="AO821" t="s">
        <v>12</v>
      </c>
    </row>
    <row r="822" spans="1:41" x14ac:dyDescent="0.35">
      <c r="A822">
        <v>21433267</v>
      </c>
      <c r="B822">
        <v>202602</v>
      </c>
      <c r="C822">
        <v>20600604008</v>
      </c>
      <c r="D822" t="s">
        <v>1098</v>
      </c>
      <c r="E822" t="s">
        <v>1</v>
      </c>
      <c r="F822">
        <v>10271609</v>
      </c>
      <c r="G822" t="s">
        <v>100</v>
      </c>
      <c r="H822" t="s">
        <v>39</v>
      </c>
      <c r="I822">
        <v>89783.15625</v>
      </c>
      <c r="J822" s="1">
        <v>45923</v>
      </c>
      <c r="K822">
        <v>19</v>
      </c>
      <c r="L822" t="s">
        <v>37</v>
      </c>
      <c r="M822" t="s">
        <v>37</v>
      </c>
      <c r="N822" t="s">
        <v>102</v>
      </c>
      <c r="O822">
        <v>202509</v>
      </c>
      <c r="P822">
        <v>109094.45</v>
      </c>
      <c r="Q822" t="s">
        <v>12</v>
      </c>
      <c r="R822" t="s">
        <v>12</v>
      </c>
      <c r="S822" t="s">
        <v>12</v>
      </c>
      <c r="T822" t="s">
        <v>12</v>
      </c>
      <c r="U822" t="s">
        <v>12</v>
      </c>
      <c r="V822" t="s">
        <v>12</v>
      </c>
      <c r="W822" t="s">
        <v>12</v>
      </c>
      <c r="X822" t="s">
        <v>12</v>
      </c>
      <c r="Y822" t="s">
        <v>12</v>
      </c>
      <c r="Z822" t="s">
        <v>12</v>
      </c>
      <c r="AA822" t="s">
        <v>12</v>
      </c>
      <c r="AB822" t="s">
        <v>12</v>
      </c>
      <c r="AC822" t="s">
        <v>12</v>
      </c>
      <c r="AD822" t="s">
        <v>12</v>
      </c>
      <c r="AE822" t="s">
        <v>12</v>
      </c>
      <c r="AF822" t="s">
        <v>12</v>
      </c>
      <c r="AG822" t="s">
        <v>12</v>
      </c>
      <c r="AH822" t="s">
        <v>12</v>
      </c>
      <c r="AI822" t="s">
        <v>12</v>
      </c>
      <c r="AJ822" t="s">
        <v>12</v>
      </c>
      <c r="AK822" t="s">
        <v>12</v>
      </c>
      <c r="AL822" t="s">
        <v>12</v>
      </c>
      <c r="AM822" t="s">
        <v>12</v>
      </c>
      <c r="AN822" t="s">
        <v>12</v>
      </c>
      <c r="AO822" t="s">
        <v>12</v>
      </c>
    </row>
    <row r="823" spans="1:41" x14ac:dyDescent="0.35">
      <c r="A823">
        <v>21122359</v>
      </c>
      <c r="B823">
        <v>202512</v>
      </c>
      <c r="C823">
        <v>20606854791</v>
      </c>
      <c r="D823" t="s">
        <v>1099</v>
      </c>
      <c r="E823" t="s">
        <v>1</v>
      </c>
      <c r="F823">
        <v>10270311</v>
      </c>
      <c r="G823" t="s">
        <v>73</v>
      </c>
      <c r="H823" t="s">
        <v>317</v>
      </c>
      <c r="I823">
        <v>90892.515625</v>
      </c>
      <c r="J823" s="1">
        <v>45881</v>
      </c>
      <c r="K823">
        <v>22</v>
      </c>
      <c r="L823" t="s">
        <v>86</v>
      </c>
      <c r="M823" t="s">
        <v>86</v>
      </c>
      <c r="N823" t="s">
        <v>20</v>
      </c>
      <c r="O823">
        <v>202508</v>
      </c>
      <c r="P823">
        <v>150007.5</v>
      </c>
      <c r="Q823" t="s">
        <v>317</v>
      </c>
      <c r="R823" t="s">
        <v>318</v>
      </c>
      <c r="S823" t="s">
        <v>88</v>
      </c>
      <c r="T823" t="s">
        <v>89</v>
      </c>
      <c r="U823" t="s">
        <v>20</v>
      </c>
      <c r="V823">
        <v>2</v>
      </c>
      <c r="W823" t="s">
        <v>10</v>
      </c>
      <c r="X823" t="s">
        <v>51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 t="s">
        <v>12</v>
      </c>
      <c r="AG823" t="s">
        <v>12</v>
      </c>
      <c r="AH823" t="s">
        <v>12</v>
      </c>
      <c r="AI823" t="s">
        <v>12</v>
      </c>
      <c r="AJ823" t="s">
        <v>12</v>
      </c>
      <c r="AK823">
        <v>1</v>
      </c>
      <c r="AL823">
        <v>1</v>
      </c>
      <c r="AM823" t="s">
        <v>12</v>
      </c>
      <c r="AN823" t="s">
        <v>12</v>
      </c>
      <c r="AO823" t="s">
        <v>12</v>
      </c>
    </row>
    <row r="824" spans="1:41" x14ac:dyDescent="0.35">
      <c r="A824">
        <v>16511078</v>
      </c>
      <c r="B824">
        <v>202511</v>
      </c>
      <c r="C824">
        <v>20604802050</v>
      </c>
      <c r="D824" t="s">
        <v>1100</v>
      </c>
      <c r="E824" t="s">
        <v>1</v>
      </c>
      <c r="F824">
        <v>10271082</v>
      </c>
      <c r="G824" t="s">
        <v>100</v>
      </c>
      <c r="H824" t="s">
        <v>422</v>
      </c>
      <c r="I824">
        <v>286127.28125</v>
      </c>
      <c r="J824" s="1">
        <v>45905</v>
      </c>
      <c r="K824">
        <v>13</v>
      </c>
      <c r="L824" t="s">
        <v>86</v>
      </c>
      <c r="M824" t="s">
        <v>86</v>
      </c>
      <c r="N824" t="s">
        <v>102</v>
      </c>
      <c r="O824">
        <v>202509</v>
      </c>
      <c r="P824">
        <v>300015</v>
      </c>
      <c r="Q824" t="s">
        <v>422</v>
      </c>
      <c r="R824" t="s">
        <v>424</v>
      </c>
      <c r="S824" t="s">
        <v>88</v>
      </c>
      <c r="T824" t="s">
        <v>89</v>
      </c>
      <c r="U824" t="s">
        <v>20</v>
      </c>
      <c r="V824">
        <v>2</v>
      </c>
      <c r="W824" t="s">
        <v>10</v>
      </c>
      <c r="X824" t="s">
        <v>22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12</v>
      </c>
      <c r="AG824" t="s">
        <v>12</v>
      </c>
      <c r="AH824" t="s">
        <v>12</v>
      </c>
      <c r="AI824" t="s">
        <v>12</v>
      </c>
      <c r="AJ824" t="s">
        <v>12</v>
      </c>
      <c r="AK824">
        <v>1</v>
      </c>
      <c r="AL824">
        <v>1</v>
      </c>
      <c r="AM824" t="s">
        <v>12</v>
      </c>
      <c r="AN824" t="s">
        <v>12</v>
      </c>
      <c r="AO824" t="s">
        <v>12</v>
      </c>
    </row>
    <row r="825" spans="1:41" x14ac:dyDescent="0.35">
      <c r="A825">
        <v>20505346</v>
      </c>
      <c r="B825">
        <v>202511</v>
      </c>
      <c r="C825">
        <v>20611899603</v>
      </c>
      <c r="D825" t="s">
        <v>1101</v>
      </c>
      <c r="E825" t="s">
        <v>1</v>
      </c>
      <c r="F825">
        <v>10267791</v>
      </c>
      <c r="G825" t="s">
        <v>100</v>
      </c>
      <c r="H825" t="s">
        <v>644</v>
      </c>
      <c r="I825">
        <v>132696.21875</v>
      </c>
      <c r="J825" s="1">
        <v>45791</v>
      </c>
      <c r="K825">
        <v>20.96</v>
      </c>
      <c r="L825" t="s">
        <v>37</v>
      </c>
      <c r="M825" t="s">
        <v>37</v>
      </c>
      <c r="N825" t="s">
        <v>102</v>
      </c>
      <c r="O825">
        <v>202505</v>
      </c>
      <c r="P825">
        <v>169008.45</v>
      </c>
      <c r="Q825" t="s">
        <v>644</v>
      </c>
      <c r="R825" t="s">
        <v>775</v>
      </c>
      <c r="S825" t="s">
        <v>111</v>
      </c>
      <c r="T825" t="s">
        <v>112</v>
      </c>
      <c r="U825" t="s">
        <v>20</v>
      </c>
      <c r="V825">
        <v>2</v>
      </c>
      <c r="W825" t="s">
        <v>10</v>
      </c>
      <c r="X825" t="s">
        <v>22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 t="s">
        <v>12</v>
      </c>
      <c r="AG825" t="s">
        <v>12</v>
      </c>
      <c r="AH825" t="s">
        <v>12</v>
      </c>
      <c r="AI825" t="s">
        <v>12</v>
      </c>
      <c r="AJ825" t="s">
        <v>12</v>
      </c>
      <c r="AK825">
        <v>1</v>
      </c>
      <c r="AL825">
        <v>1</v>
      </c>
      <c r="AM825" t="s">
        <v>12</v>
      </c>
      <c r="AN825" t="s">
        <v>12</v>
      </c>
      <c r="AO825" t="s">
        <v>12</v>
      </c>
    </row>
    <row r="826" spans="1:41" x14ac:dyDescent="0.35">
      <c r="A826">
        <v>15756434</v>
      </c>
      <c r="B826">
        <v>202510</v>
      </c>
      <c r="C826">
        <v>20603491450</v>
      </c>
      <c r="D826" t="s">
        <v>1102</v>
      </c>
      <c r="E826" t="s">
        <v>1</v>
      </c>
      <c r="F826">
        <v>10264010</v>
      </c>
      <c r="G826" t="s">
        <v>65</v>
      </c>
      <c r="H826" t="s">
        <v>732</v>
      </c>
      <c r="I826">
        <v>59692.10546875</v>
      </c>
      <c r="J826" s="1">
        <v>45646</v>
      </c>
      <c r="K826">
        <v>15.2</v>
      </c>
      <c r="L826" t="s">
        <v>37</v>
      </c>
      <c r="M826" t="s">
        <v>37</v>
      </c>
      <c r="N826" t="s">
        <v>47</v>
      </c>
      <c r="O826">
        <v>202412</v>
      </c>
      <c r="P826">
        <v>70003.5</v>
      </c>
      <c r="Q826" t="s">
        <v>732</v>
      </c>
      <c r="R826" t="s">
        <v>814</v>
      </c>
      <c r="S826" t="s">
        <v>39</v>
      </c>
      <c r="T826" t="s">
        <v>40</v>
      </c>
      <c r="U826" t="s">
        <v>20</v>
      </c>
      <c r="V826">
        <v>1</v>
      </c>
      <c r="W826" t="s">
        <v>10</v>
      </c>
      <c r="X826" t="s">
        <v>12</v>
      </c>
      <c r="Y826">
        <v>1</v>
      </c>
      <c r="Z826">
        <v>1</v>
      </c>
      <c r="AA826">
        <v>0</v>
      </c>
      <c r="AB826">
        <v>1</v>
      </c>
      <c r="AC826">
        <v>1</v>
      </c>
      <c r="AD826">
        <v>1</v>
      </c>
      <c r="AE826">
        <v>0</v>
      </c>
      <c r="AF826" t="s">
        <v>12</v>
      </c>
      <c r="AG826" t="s">
        <v>12</v>
      </c>
      <c r="AH826" t="s">
        <v>12</v>
      </c>
      <c r="AI826" t="s">
        <v>12</v>
      </c>
      <c r="AJ826" t="s">
        <v>12</v>
      </c>
      <c r="AK826">
        <v>1</v>
      </c>
      <c r="AL826">
        <v>1</v>
      </c>
      <c r="AM826" t="s">
        <v>12</v>
      </c>
      <c r="AN826" t="s">
        <v>12</v>
      </c>
      <c r="AO826" t="s">
        <v>12</v>
      </c>
    </row>
    <row r="827" spans="1:41" x14ac:dyDescent="0.35">
      <c r="A827">
        <v>16640714</v>
      </c>
      <c r="B827">
        <v>202512</v>
      </c>
      <c r="C827">
        <v>20601509131</v>
      </c>
      <c r="D827" t="s">
        <v>1103</v>
      </c>
      <c r="E827" t="s">
        <v>1</v>
      </c>
      <c r="F827">
        <v>10255959</v>
      </c>
      <c r="G827" t="s">
        <v>45</v>
      </c>
      <c r="H827" t="s">
        <v>79</v>
      </c>
      <c r="I827">
        <v>14731.6884765625</v>
      </c>
      <c r="J827" s="1">
        <v>45464</v>
      </c>
      <c r="K827">
        <v>16</v>
      </c>
      <c r="L827" t="s">
        <v>4</v>
      </c>
      <c r="M827" t="s">
        <v>4</v>
      </c>
      <c r="N827" t="s">
        <v>47</v>
      </c>
      <c r="O827">
        <v>202406</v>
      </c>
      <c r="P827">
        <v>90004.5</v>
      </c>
      <c r="Q827" t="s">
        <v>284</v>
      </c>
      <c r="R827" t="s">
        <v>285</v>
      </c>
      <c r="S827" t="s">
        <v>31</v>
      </c>
      <c r="T827" t="s">
        <v>32</v>
      </c>
      <c r="U827" t="s">
        <v>9</v>
      </c>
      <c r="V827">
        <v>1</v>
      </c>
      <c r="W827" t="s">
        <v>10</v>
      </c>
      <c r="X827" t="s">
        <v>51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 t="s">
        <v>12</v>
      </c>
      <c r="AG827" t="s">
        <v>12</v>
      </c>
      <c r="AH827" t="s">
        <v>12</v>
      </c>
      <c r="AI827" t="s">
        <v>12</v>
      </c>
      <c r="AJ827" t="s">
        <v>12</v>
      </c>
      <c r="AK827">
        <v>0</v>
      </c>
      <c r="AL827">
        <v>0</v>
      </c>
      <c r="AM827">
        <v>0</v>
      </c>
      <c r="AN827" t="s">
        <v>12</v>
      </c>
      <c r="AO827" t="s">
        <v>12</v>
      </c>
    </row>
    <row r="828" spans="1:41" x14ac:dyDescent="0.35">
      <c r="A828">
        <v>11716530</v>
      </c>
      <c r="B828">
        <v>202509</v>
      </c>
      <c r="C828">
        <v>20508622326</v>
      </c>
      <c r="D828" t="s">
        <v>1104</v>
      </c>
      <c r="E828" t="s">
        <v>1</v>
      </c>
      <c r="F828">
        <v>10267732</v>
      </c>
      <c r="G828" t="s">
        <v>14</v>
      </c>
      <c r="H828" t="s">
        <v>111</v>
      </c>
      <c r="I828">
        <v>100841.1875</v>
      </c>
      <c r="J828" s="1">
        <v>45790</v>
      </c>
      <c r="K828">
        <v>16</v>
      </c>
      <c r="L828" t="s">
        <v>86</v>
      </c>
      <c r="M828" t="s">
        <v>75</v>
      </c>
      <c r="N828" t="s">
        <v>16</v>
      </c>
      <c r="O828">
        <v>202505</v>
      </c>
      <c r="P828">
        <v>170008.5</v>
      </c>
      <c r="Q828" t="s">
        <v>12</v>
      </c>
      <c r="R828" t="s">
        <v>12</v>
      </c>
      <c r="S828" t="s">
        <v>12</v>
      </c>
      <c r="T828" t="s">
        <v>12</v>
      </c>
      <c r="U828" t="s">
        <v>12</v>
      </c>
      <c r="V828" t="s">
        <v>12</v>
      </c>
      <c r="W828" t="s">
        <v>12</v>
      </c>
      <c r="X828" t="s">
        <v>12</v>
      </c>
      <c r="Y828" t="s">
        <v>12</v>
      </c>
      <c r="Z828" t="s">
        <v>12</v>
      </c>
      <c r="AA828" t="s">
        <v>12</v>
      </c>
      <c r="AB828" t="s">
        <v>12</v>
      </c>
      <c r="AC828" t="s">
        <v>12</v>
      </c>
      <c r="AD828" t="s">
        <v>12</v>
      </c>
      <c r="AE828" t="s">
        <v>12</v>
      </c>
      <c r="AF828" t="s">
        <v>12</v>
      </c>
      <c r="AG828" t="s">
        <v>12</v>
      </c>
      <c r="AH828" t="s">
        <v>12</v>
      </c>
      <c r="AI828" t="s">
        <v>12</v>
      </c>
      <c r="AJ828" t="s">
        <v>12</v>
      </c>
      <c r="AK828" t="s">
        <v>12</v>
      </c>
      <c r="AL828" t="s">
        <v>12</v>
      </c>
      <c r="AM828" t="s">
        <v>12</v>
      </c>
      <c r="AN828" t="s">
        <v>12</v>
      </c>
      <c r="AO828" t="s">
        <v>12</v>
      </c>
    </row>
    <row r="829" spans="1:41" x14ac:dyDescent="0.35">
      <c r="A829">
        <v>20381203</v>
      </c>
      <c r="B829">
        <v>202503</v>
      </c>
      <c r="C829">
        <v>20604217271</v>
      </c>
      <c r="D829" t="s">
        <v>1105</v>
      </c>
      <c r="E829" t="s">
        <v>1</v>
      </c>
      <c r="F829">
        <v>10265053</v>
      </c>
      <c r="G829" t="s">
        <v>92</v>
      </c>
      <c r="H829" t="s">
        <v>159</v>
      </c>
      <c r="I829">
        <v>192785.015625</v>
      </c>
      <c r="J829" s="1">
        <v>45688</v>
      </c>
      <c r="K829">
        <v>16</v>
      </c>
      <c r="L829" t="s">
        <v>4</v>
      </c>
      <c r="M829" t="s">
        <v>4</v>
      </c>
      <c r="N829" t="s">
        <v>41</v>
      </c>
      <c r="O829">
        <v>202501</v>
      </c>
      <c r="P829">
        <v>200010</v>
      </c>
      <c r="Q829" t="s">
        <v>12</v>
      </c>
      <c r="R829" t="s">
        <v>12</v>
      </c>
      <c r="S829" t="s">
        <v>12</v>
      </c>
      <c r="T829" t="s">
        <v>12</v>
      </c>
      <c r="U829" t="s">
        <v>12</v>
      </c>
      <c r="V829" t="s">
        <v>12</v>
      </c>
      <c r="W829" t="s">
        <v>12</v>
      </c>
      <c r="X829" t="s">
        <v>12</v>
      </c>
      <c r="Y829" t="s">
        <v>12</v>
      </c>
      <c r="Z829" t="s">
        <v>12</v>
      </c>
      <c r="AA829" t="s">
        <v>12</v>
      </c>
      <c r="AB829" t="s">
        <v>12</v>
      </c>
      <c r="AC829" t="s">
        <v>12</v>
      </c>
      <c r="AD829" t="s">
        <v>12</v>
      </c>
      <c r="AE829" t="s">
        <v>12</v>
      </c>
      <c r="AF829" t="s">
        <v>12</v>
      </c>
      <c r="AG829" t="s">
        <v>12</v>
      </c>
      <c r="AH829" t="s">
        <v>12</v>
      </c>
      <c r="AI829" t="s">
        <v>12</v>
      </c>
      <c r="AJ829" t="s">
        <v>12</v>
      </c>
      <c r="AK829" t="s">
        <v>12</v>
      </c>
      <c r="AL829" t="s">
        <v>12</v>
      </c>
      <c r="AM829" t="s">
        <v>12</v>
      </c>
      <c r="AN829" t="s">
        <v>12</v>
      </c>
      <c r="AO829" t="s">
        <v>12</v>
      </c>
    </row>
    <row r="830" spans="1:41" x14ac:dyDescent="0.35">
      <c r="A830">
        <v>15504453</v>
      </c>
      <c r="B830">
        <v>202510</v>
      </c>
      <c r="C830">
        <v>20538648729</v>
      </c>
      <c r="D830" t="s">
        <v>1106</v>
      </c>
      <c r="E830" t="s">
        <v>1</v>
      </c>
      <c r="F830">
        <v>10174426</v>
      </c>
      <c r="G830" t="s">
        <v>2</v>
      </c>
      <c r="H830" t="s">
        <v>417</v>
      </c>
      <c r="I830">
        <v>88755.078125</v>
      </c>
      <c r="J830" s="1">
        <v>46045</v>
      </c>
      <c r="K830">
        <v>15</v>
      </c>
      <c r="L830" t="s">
        <v>4</v>
      </c>
      <c r="M830" t="s">
        <v>4</v>
      </c>
      <c r="N830" t="s">
        <v>5</v>
      </c>
      <c r="O830">
        <v>202601</v>
      </c>
      <c r="P830">
        <v>150007.5</v>
      </c>
      <c r="Q830" t="s">
        <v>79</v>
      </c>
      <c r="R830" t="s">
        <v>80</v>
      </c>
      <c r="S830" t="s">
        <v>31</v>
      </c>
      <c r="T830" t="s">
        <v>32</v>
      </c>
      <c r="U830" t="s">
        <v>5</v>
      </c>
      <c r="V830">
        <v>1</v>
      </c>
      <c r="W830" t="s">
        <v>10</v>
      </c>
      <c r="X830" t="s">
        <v>12</v>
      </c>
      <c r="Y830">
        <v>1</v>
      </c>
      <c r="Z830">
        <v>1</v>
      </c>
      <c r="AA830">
        <v>0</v>
      </c>
      <c r="AB830">
        <v>0</v>
      </c>
      <c r="AC830">
        <v>0</v>
      </c>
      <c r="AD830">
        <v>1</v>
      </c>
      <c r="AE830">
        <v>0</v>
      </c>
      <c r="AF830" t="s">
        <v>12</v>
      </c>
      <c r="AG830" t="s">
        <v>12</v>
      </c>
      <c r="AH830" t="s">
        <v>12</v>
      </c>
      <c r="AI830" t="s">
        <v>12</v>
      </c>
      <c r="AJ830" t="s">
        <v>12</v>
      </c>
      <c r="AK830">
        <v>53000</v>
      </c>
      <c r="AL830">
        <v>0.21</v>
      </c>
      <c r="AM830">
        <v>0.19</v>
      </c>
      <c r="AN830" t="s">
        <v>12</v>
      </c>
      <c r="AO830" t="s">
        <v>12</v>
      </c>
    </row>
    <row r="831" spans="1:41" x14ac:dyDescent="0.35">
      <c r="A831">
        <v>21202655</v>
      </c>
      <c r="B831">
        <v>202512</v>
      </c>
      <c r="C831">
        <v>10099073557</v>
      </c>
      <c r="D831" t="s">
        <v>1107</v>
      </c>
      <c r="E831">
        <v>9907355</v>
      </c>
      <c r="F831">
        <v>10261072</v>
      </c>
      <c r="G831" t="s">
        <v>65</v>
      </c>
      <c r="H831" t="s">
        <v>183</v>
      </c>
      <c r="I831">
        <v>13948.6474609375</v>
      </c>
      <c r="J831" s="1">
        <v>45562</v>
      </c>
      <c r="K831">
        <v>14.8</v>
      </c>
      <c r="L831" t="s">
        <v>37</v>
      </c>
      <c r="M831" t="s">
        <v>37</v>
      </c>
      <c r="N831" t="s">
        <v>47</v>
      </c>
      <c r="O831">
        <v>202409</v>
      </c>
      <c r="P831">
        <v>20001</v>
      </c>
      <c r="Q831" t="s">
        <v>12</v>
      </c>
      <c r="R831" t="s">
        <v>12</v>
      </c>
      <c r="S831" t="s">
        <v>12</v>
      </c>
      <c r="T831" t="s">
        <v>12</v>
      </c>
      <c r="U831" t="s">
        <v>12</v>
      </c>
      <c r="V831" t="s">
        <v>12</v>
      </c>
      <c r="W831" t="s">
        <v>12</v>
      </c>
      <c r="X831" t="s">
        <v>12</v>
      </c>
      <c r="Y831" t="s">
        <v>12</v>
      </c>
      <c r="Z831" t="s">
        <v>12</v>
      </c>
      <c r="AA831" t="s">
        <v>12</v>
      </c>
      <c r="AB831" t="s">
        <v>12</v>
      </c>
      <c r="AC831" t="s">
        <v>12</v>
      </c>
      <c r="AD831" t="s">
        <v>12</v>
      </c>
      <c r="AE831" t="s">
        <v>12</v>
      </c>
      <c r="AF831" t="s">
        <v>12</v>
      </c>
      <c r="AG831" t="s">
        <v>12</v>
      </c>
      <c r="AH831" t="s">
        <v>12</v>
      </c>
      <c r="AI831" t="s">
        <v>12</v>
      </c>
      <c r="AJ831" t="s">
        <v>12</v>
      </c>
      <c r="AK831" t="s">
        <v>12</v>
      </c>
      <c r="AL831" t="s">
        <v>12</v>
      </c>
      <c r="AM831" t="s">
        <v>12</v>
      </c>
      <c r="AN831" t="s">
        <v>12</v>
      </c>
      <c r="AO831" t="s">
        <v>12</v>
      </c>
    </row>
    <row r="832" spans="1:41" x14ac:dyDescent="0.35">
      <c r="A832">
        <v>16786711</v>
      </c>
      <c r="B832">
        <v>202505</v>
      </c>
      <c r="C832">
        <v>10457432068</v>
      </c>
      <c r="D832" t="s">
        <v>1108</v>
      </c>
      <c r="E832">
        <v>45743206</v>
      </c>
      <c r="F832">
        <v>10257990</v>
      </c>
      <c r="G832" t="s">
        <v>65</v>
      </c>
      <c r="H832" t="s">
        <v>931</v>
      </c>
      <c r="I832">
        <v>38373.921875</v>
      </c>
      <c r="J832" s="1">
        <v>45498</v>
      </c>
      <c r="K832">
        <v>15.5</v>
      </c>
      <c r="L832" t="s">
        <v>37</v>
      </c>
      <c r="M832" t="s">
        <v>37</v>
      </c>
      <c r="N832" t="s">
        <v>47</v>
      </c>
      <c r="O832">
        <v>202407</v>
      </c>
      <c r="P832">
        <v>45002.25</v>
      </c>
      <c r="Q832" t="s">
        <v>931</v>
      </c>
      <c r="R832" t="s">
        <v>932</v>
      </c>
      <c r="S832" t="s">
        <v>111</v>
      </c>
      <c r="T832" t="s">
        <v>112</v>
      </c>
      <c r="U832" t="s">
        <v>20</v>
      </c>
      <c r="V832">
        <v>2</v>
      </c>
      <c r="W832" t="s">
        <v>10</v>
      </c>
      <c r="X832" t="s">
        <v>12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12</v>
      </c>
      <c r="AG832" t="s">
        <v>12</v>
      </c>
      <c r="AH832" t="s">
        <v>12</v>
      </c>
      <c r="AI832" t="s">
        <v>12</v>
      </c>
      <c r="AJ832" t="s">
        <v>12</v>
      </c>
      <c r="AK832">
        <v>0</v>
      </c>
      <c r="AL832">
        <v>0</v>
      </c>
      <c r="AM832">
        <v>0.2858</v>
      </c>
      <c r="AN832" t="s">
        <v>12</v>
      </c>
      <c r="AO832" t="s">
        <v>12</v>
      </c>
    </row>
    <row r="833" spans="1:41" x14ac:dyDescent="0.35">
      <c r="A833">
        <v>21017567</v>
      </c>
      <c r="B833">
        <v>202508</v>
      </c>
      <c r="C833">
        <v>20604579407</v>
      </c>
      <c r="D833" t="s">
        <v>1109</v>
      </c>
      <c r="E833" t="s">
        <v>1</v>
      </c>
      <c r="F833">
        <v>10257550</v>
      </c>
      <c r="G833" t="s">
        <v>45</v>
      </c>
      <c r="H833" t="s">
        <v>273</v>
      </c>
      <c r="I833">
        <v>3521.12915039063</v>
      </c>
      <c r="J833" s="1">
        <v>45491</v>
      </c>
      <c r="K833">
        <v>15.5</v>
      </c>
      <c r="L833" t="s">
        <v>37</v>
      </c>
      <c r="M833" t="s">
        <v>37</v>
      </c>
      <c r="N833" t="s">
        <v>47</v>
      </c>
      <c r="O833">
        <v>202407</v>
      </c>
      <c r="P833">
        <v>90004.5</v>
      </c>
      <c r="Q833" t="s">
        <v>273</v>
      </c>
      <c r="R833" t="s">
        <v>274</v>
      </c>
      <c r="S833" t="s">
        <v>39</v>
      </c>
      <c r="T833" t="s">
        <v>40</v>
      </c>
      <c r="U833" t="s">
        <v>41</v>
      </c>
      <c r="V833">
        <v>1</v>
      </c>
      <c r="W833" t="s">
        <v>10</v>
      </c>
      <c r="X833" t="s">
        <v>12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190009.5</v>
      </c>
      <c r="AF833">
        <v>17</v>
      </c>
      <c r="AG833" s="1">
        <v>45891</v>
      </c>
      <c r="AH833" t="s">
        <v>41</v>
      </c>
      <c r="AI833" t="s">
        <v>4</v>
      </c>
      <c r="AJ833" t="s">
        <v>33</v>
      </c>
      <c r="AK833">
        <v>400000</v>
      </c>
      <c r="AL833">
        <v>0.23</v>
      </c>
      <c r="AM833">
        <v>0.21</v>
      </c>
      <c r="AN833" t="s">
        <v>12</v>
      </c>
      <c r="AO833" t="s">
        <v>12</v>
      </c>
    </row>
    <row r="834" spans="1:41" x14ac:dyDescent="0.35">
      <c r="A834">
        <v>20823489</v>
      </c>
      <c r="B834">
        <v>202508</v>
      </c>
      <c r="C834">
        <v>20478159758</v>
      </c>
      <c r="D834" t="s">
        <v>1110</v>
      </c>
      <c r="E834" t="s">
        <v>1</v>
      </c>
      <c r="F834">
        <v>10252843</v>
      </c>
      <c r="G834" t="s">
        <v>65</v>
      </c>
      <c r="H834" t="s">
        <v>220</v>
      </c>
      <c r="I834">
        <v>145174.453125</v>
      </c>
      <c r="J834" s="1">
        <v>45425</v>
      </c>
      <c r="K834">
        <v>13.5</v>
      </c>
      <c r="L834" t="s">
        <v>37</v>
      </c>
      <c r="M834" t="s">
        <v>37</v>
      </c>
      <c r="N834" t="s">
        <v>47</v>
      </c>
      <c r="O834">
        <v>202405</v>
      </c>
      <c r="P834">
        <v>221791.05</v>
      </c>
      <c r="Q834" t="s">
        <v>220</v>
      </c>
      <c r="R834" t="s">
        <v>221</v>
      </c>
      <c r="S834" t="s">
        <v>127</v>
      </c>
      <c r="T834" t="s">
        <v>147</v>
      </c>
      <c r="U834" t="s">
        <v>41</v>
      </c>
      <c r="V834">
        <v>1</v>
      </c>
      <c r="W834" t="s">
        <v>10</v>
      </c>
      <c r="X834" t="s">
        <v>12</v>
      </c>
      <c r="Y834">
        <v>1</v>
      </c>
      <c r="Z834">
        <v>1</v>
      </c>
      <c r="AA834">
        <v>0</v>
      </c>
      <c r="AB834">
        <v>0</v>
      </c>
      <c r="AC834">
        <v>1</v>
      </c>
      <c r="AD834">
        <v>1</v>
      </c>
      <c r="AE834">
        <v>0</v>
      </c>
      <c r="AF834" t="s">
        <v>12</v>
      </c>
      <c r="AG834" t="s">
        <v>12</v>
      </c>
      <c r="AH834" t="s">
        <v>12</v>
      </c>
      <c r="AI834" t="s">
        <v>12</v>
      </c>
      <c r="AJ834" t="s">
        <v>12</v>
      </c>
      <c r="AK834">
        <v>400000</v>
      </c>
      <c r="AL834">
        <v>0.21</v>
      </c>
      <c r="AM834">
        <v>0.19</v>
      </c>
      <c r="AN834" t="s">
        <v>12</v>
      </c>
      <c r="AO834" t="s">
        <v>12</v>
      </c>
    </row>
    <row r="835" spans="1:41" x14ac:dyDescent="0.35">
      <c r="A835">
        <v>20730883</v>
      </c>
      <c r="B835">
        <v>202602</v>
      </c>
      <c r="C835">
        <v>20536173286</v>
      </c>
      <c r="D835" t="s">
        <v>1111</v>
      </c>
      <c r="E835" t="s">
        <v>1</v>
      </c>
      <c r="F835">
        <v>10267527</v>
      </c>
      <c r="G835" t="s">
        <v>68</v>
      </c>
      <c r="H835" t="s">
        <v>7</v>
      </c>
      <c r="I835">
        <v>261500.90625</v>
      </c>
      <c r="J835" s="1">
        <v>45777</v>
      </c>
      <c r="K835">
        <v>16.5</v>
      </c>
      <c r="L835" t="s">
        <v>4</v>
      </c>
      <c r="M835" t="s">
        <v>4</v>
      </c>
      <c r="N835" t="s">
        <v>20</v>
      </c>
      <c r="O835">
        <v>202504</v>
      </c>
      <c r="P835">
        <v>261331.9</v>
      </c>
      <c r="Q835" t="s">
        <v>244</v>
      </c>
      <c r="R835" t="s">
        <v>297</v>
      </c>
      <c r="S835" t="s">
        <v>7</v>
      </c>
      <c r="T835" t="s">
        <v>8</v>
      </c>
      <c r="U835" t="s">
        <v>41</v>
      </c>
      <c r="V835">
        <v>1</v>
      </c>
      <c r="W835" t="s">
        <v>10</v>
      </c>
      <c r="X835" t="s">
        <v>22</v>
      </c>
      <c r="Y835">
        <v>1</v>
      </c>
      <c r="Z835">
        <v>1</v>
      </c>
      <c r="AA835">
        <v>0</v>
      </c>
      <c r="AB835">
        <v>1</v>
      </c>
      <c r="AC835">
        <v>1</v>
      </c>
      <c r="AD835">
        <v>1</v>
      </c>
      <c r="AE835">
        <v>0</v>
      </c>
      <c r="AF835" t="s">
        <v>12</v>
      </c>
      <c r="AG835" t="s">
        <v>12</v>
      </c>
      <c r="AH835" t="s">
        <v>12</v>
      </c>
      <c r="AI835" t="s">
        <v>12</v>
      </c>
      <c r="AJ835" t="s">
        <v>12</v>
      </c>
      <c r="AK835">
        <v>138300</v>
      </c>
      <c r="AL835">
        <v>0.21</v>
      </c>
      <c r="AM835">
        <v>0.19</v>
      </c>
      <c r="AN835" t="s">
        <v>12</v>
      </c>
      <c r="AO835" t="s">
        <v>12</v>
      </c>
    </row>
    <row r="836" spans="1:41" x14ac:dyDescent="0.35">
      <c r="A836">
        <v>17898131</v>
      </c>
      <c r="B836">
        <v>202509</v>
      </c>
      <c r="C836">
        <v>10768726308</v>
      </c>
      <c r="D836" t="s">
        <v>1112</v>
      </c>
      <c r="E836">
        <v>76872630</v>
      </c>
      <c r="F836">
        <v>10266273</v>
      </c>
      <c r="G836" t="s">
        <v>100</v>
      </c>
      <c r="H836" t="s">
        <v>101</v>
      </c>
      <c r="I836">
        <v>59046.76953125</v>
      </c>
      <c r="J836" s="1">
        <v>45734</v>
      </c>
      <c r="K836">
        <v>15.1</v>
      </c>
      <c r="L836" t="s">
        <v>37</v>
      </c>
      <c r="M836" t="s">
        <v>37</v>
      </c>
      <c r="N836" t="s">
        <v>102</v>
      </c>
      <c r="O836">
        <v>202503</v>
      </c>
      <c r="P836">
        <v>113855.65</v>
      </c>
      <c r="Q836" t="s">
        <v>101</v>
      </c>
      <c r="R836" t="s">
        <v>103</v>
      </c>
      <c r="S836" t="s">
        <v>88</v>
      </c>
      <c r="T836" t="s">
        <v>89</v>
      </c>
      <c r="U836" t="s">
        <v>41</v>
      </c>
      <c r="V836">
        <v>2</v>
      </c>
      <c r="W836" t="s">
        <v>10</v>
      </c>
      <c r="X836" t="s">
        <v>59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12</v>
      </c>
      <c r="AG836" t="s">
        <v>12</v>
      </c>
      <c r="AH836" t="s">
        <v>12</v>
      </c>
      <c r="AI836" t="s">
        <v>12</v>
      </c>
      <c r="AJ836" t="s">
        <v>12</v>
      </c>
      <c r="AK836">
        <v>200000</v>
      </c>
      <c r="AL836">
        <v>0.24</v>
      </c>
      <c r="AM836">
        <v>0.22</v>
      </c>
      <c r="AN836" t="s">
        <v>12</v>
      </c>
      <c r="AO836" t="s">
        <v>12</v>
      </c>
    </row>
    <row r="837" spans="1:41" x14ac:dyDescent="0.35">
      <c r="A837">
        <v>21541632</v>
      </c>
      <c r="B837">
        <v>202510</v>
      </c>
      <c r="C837">
        <v>20603518633</v>
      </c>
      <c r="D837" t="s">
        <v>1113</v>
      </c>
      <c r="E837" t="s">
        <v>1</v>
      </c>
      <c r="F837">
        <v>10266394</v>
      </c>
      <c r="G837" t="s">
        <v>268</v>
      </c>
      <c r="H837" t="s">
        <v>159</v>
      </c>
      <c r="I837">
        <v>32126.05078125</v>
      </c>
      <c r="J837" s="1">
        <v>45736</v>
      </c>
      <c r="K837">
        <v>19</v>
      </c>
      <c r="L837" t="s">
        <v>37</v>
      </c>
      <c r="M837" t="s">
        <v>37</v>
      </c>
      <c r="N837" t="s">
        <v>98</v>
      </c>
      <c r="O837">
        <v>202503</v>
      </c>
      <c r="P837">
        <v>50002.5</v>
      </c>
      <c r="Q837" t="s">
        <v>12</v>
      </c>
      <c r="R837" t="s">
        <v>12</v>
      </c>
      <c r="S837" t="s">
        <v>12</v>
      </c>
      <c r="T837" t="s">
        <v>12</v>
      </c>
      <c r="U837" t="s">
        <v>12</v>
      </c>
      <c r="V837" t="s">
        <v>12</v>
      </c>
      <c r="W837" t="s">
        <v>12</v>
      </c>
      <c r="X837" t="s">
        <v>12</v>
      </c>
      <c r="Y837" t="s">
        <v>12</v>
      </c>
      <c r="Z837" t="s">
        <v>12</v>
      </c>
      <c r="AA837" t="s">
        <v>12</v>
      </c>
      <c r="AB837" t="s">
        <v>12</v>
      </c>
      <c r="AC837" t="s">
        <v>12</v>
      </c>
      <c r="AD837" t="s">
        <v>12</v>
      </c>
      <c r="AE837" t="s">
        <v>12</v>
      </c>
      <c r="AF837" t="s">
        <v>12</v>
      </c>
      <c r="AG837" t="s">
        <v>12</v>
      </c>
      <c r="AH837" t="s">
        <v>12</v>
      </c>
      <c r="AI837" t="s">
        <v>12</v>
      </c>
      <c r="AJ837" t="s">
        <v>12</v>
      </c>
      <c r="AK837" t="s">
        <v>12</v>
      </c>
      <c r="AL837" t="s">
        <v>12</v>
      </c>
      <c r="AM837" t="s">
        <v>12</v>
      </c>
      <c r="AN837" t="s">
        <v>12</v>
      </c>
      <c r="AO837" t="s">
        <v>12</v>
      </c>
    </row>
    <row r="838" spans="1:41" x14ac:dyDescent="0.35">
      <c r="A838">
        <v>20750632</v>
      </c>
      <c r="B838">
        <v>202601</v>
      </c>
      <c r="C838">
        <v>20602058264</v>
      </c>
      <c r="D838" t="s">
        <v>599</v>
      </c>
      <c r="E838" t="s">
        <v>1</v>
      </c>
      <c r="F838">
        <v>10250179</v>
      </c>
      <c r="G838" t="s">
        <v>45</v>
      </c>
      <c r="H838" t="s">
        <v>244</v>
      </c>
      <c r="I838">
        <v>3943.87158203125</v>
      </c>
      <c r="J838" s="1">
        <v>45378</v>
      </c>
      <c r="K838">
        <v>16</v>
      </c>
      <c r="L838" t="s">
        <v>37</v>
      </c>
      <c r="M838" t="s">
        <v>37</v>
      </c>
      <c r="N838" t="s">
        <v>47</v>
      </c>
      <c r="O838">
        <v>202403</v>
      </c>
      <c r="P838">
        <v>90004.5</v>
      </c>
      <c r="Q838" t="s">
        <v>244</v>
      </c>
      <c r="R838" t="s">
        <v>297</v>
      </c>
      <c r="S838" t="s">
        <v>7</v>
      </c>
      <c r="T838" t="s">
        <v>8</v>
      </c>
      <c r="U838" t="s">
        <v>63</v>
      </c>
      <c r="V838">
        <v>1</v>
      </c>
      <c r="W838" t="s">
        <v>21</v>
      </c>
      <c r="X838" t="s">
        <v>22</v>
      </c>
      <c r="Y838">
        <v>1</v>
      </c>
      <c r="Z838">
        <v>1</v>
      </c>
      <c r="AA838">
        <v>0</v>
      </c>
      <c r="AB838">
        <v>0</v>
      </c>
      <c r="AC838">
        <v>1</v>
      </c>
      <c r="AD838">
        <v>1</v>
      </c>
      <c r="AE838">
        <v>0</v>
      </c>
      <c r="AF838" t="s">
        <v>12</v>
      </c>
      <c r="AG838" t="s">
        <v>12</v>
      </c>
      <c r="AH838" t="s">
        <v>12</v>
      </c>
      <c r="AI838" t="s">
        <v>12</v>
      </c>
      <c r="AJ838" t="s">
        <v>12</v>
      </c>
      <c r="AK838">
        <v>250000</v>
      </c>
      <c r="AL838">
        <v>0.21</v>
      </c>
      <c r="AM838">
        <v>0.19</v>
      </c>
      <c r="AN838" t="s">
        <v>12</v>
      </c>
      <c r="AO838" t="s">
        <v>12</v>
      </c>
    </row>
    <row r="839" spans="1:41" x14ac:dyDescent="0.35">
      <c r="A839">
        <v>12668425</v>
      </c>
      <c r="B839">
        <v>202509</v>
      </c>
      <c r="C839">
        <v>20545727430</v>
      </c>
      <c r="D839" t="s">
        <v>1089</v>
      </c>
      <c r="E839" t="s">
        <v>1</v>
      </c>
      <c r="F839">
        <v>10247534</v>
      </c>
      <c r="G839" t="s">
        <v>92</v>
      </c>
      <c r="H839" t="s">
        <v>145</v>
      </c>
      <c r="I839">
        <v>59670.98828125</v>
      </c>
      <c r="J839" s="1">
        <v>45316</v>
      </c>
      <c r="K839">
        <v>18.5</v>
      </c>
      <c r="L839" t="s">
        <v>4</v>
      </c>
      <c r="M839" t="s">
        <v>4</v>
      </c>
      <c r="N839" t="s">
        <v>41</v>
      </c>
      <c r="O839">
        <v>202401</v>
      </c>
      <c r="P839">
        <v>133640.99</v>
      </c>
      <c r="Q839" t="s">
        <v>145</v>
      </c>
      <c r="R839" t="s">
        <v>146</v>
      </c>
      <c r="S839" t="s">
        <v>127</v>
      </c>
      <c r="T839" t="s">
        <v>147</v>
      </c>
      <c r="U839" t="s">
        <v>41</v>
      </c>
      <c r="V839">
        <v>1</v>
      </c>
      <c r="W839" t="s">
        <v>10</v>
      </c>
      <c r="X839" t="s">
        <v>11</v>
      </c>
      <c r="Y839">
        <v>1</v>
      </c>
      <c r="Z839">
        <v>1</v>
      </c>
      <c r="AA839">
        <v>0</v>
      </c>
      <c r="AB839">
        <v>0</v>
      </c>
      <c r="AC839">
        <v>1</v>
      </c>
      <c r="AD839">
        <v>1</v>
      </c>
      <c r="AE839">
        <v>0</v>
      </c>
      <c r="AF839" t="s">
        <v>12</v>
      </c>
      <c r="AG839" t="s">
        <v>12</v>
      </c>
      <c r="AH839" t="s">
        <v>12</v>
      </c>
      <c r="AI839" t="s">
        <v>12</v>
      </c>
      <c r="AJ839" t="s">
        <v>12</v>
      </c>
      <c r="AK839">
        <v>400000</v>
      </c>
      <c r="AL839">
        <v>0.21049999999999999</v>
      </c>
      <c r="AM839">
        <v>0.19</v>
      </c>
      <c r="AN839" t="s">
        <v>12</v>
      </c>
      <c r="AO839" t="s">
        <v>12</v>
      </c>
    </row>
    <row r="840" spans="1:41" x14ac:dyDescent="0.35">
      <c r="A840">
        <v>9544779</v>
      </c>
      <c r="B840">
        <v>202512</v>
      </c>
      <c r="C840">
        <v>10098864151</v>
      </c>
      <c r="D840" t="s">
        <v>1114</v>
      </c>
      <c r="E840">
        <v>9886415</v>
      </c>
      <c r="F840">
        <v>10266195</v>
      </c>
      <c r="G840" t="s">
        <v>14</v>
      </c>
      <c r="H840" t="s">
        <v>1115</v>
      </c>
      <c r="I840">
        <v>22148.953125</v>
      </c>
      <c r="J840" s="1">
        <v>45730</v>
      </c>
      <c r="K840">
        <v>18</v>
      </c>
      <c r="L840" t="s">
        <v>37</v>
      </c>
      <c r="M840" t="s">
        <v>37</v>
      </c>
      <c r="N840" t="s">
        <v>16</v>
      </c>
      <c r="O840">
        <v>202503</v>
      </c>
      <c r="P840">
        <v>33301.65</v>
      </c>
      <c r="Q840" t="s">
        <v>265</v>
      </c>
      <c r="R840" t="s">
        <v>266</v>
      </c>
      <c r="S840" t="s">
        <v>478</v>
      </c>
      <c r="T840" t="s">
        <v>479</v>
      </c>
      <c r="U840" t="s">
        <v>41</v>
      </c>
      <c r="V840">
        <v>1</v>
      </c>
      <c r="W840" t="s">
        <v>90</v>
      </c>
      <c r="X840" t="s">
        <v>59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12</v>
      </c>
      <c r="AG840" t="s">
        <v>12</v>
      </c>
      <c r="AH840" t="s">
        <v>12</v>
      </c>
      <c r="AI840" t="s">
        <v>12</v>
      </c>
      <c r="AJ840" t="s">
        <v>12</v>
      </c>
      <c r="AK840">
        <v>300000</v>
      </c>
      <c r="AL840">
        <v>0.2102</v>
      </c>
      <c r="AM840">
        <v>0.19020000000000001</v>
      </c>
      <c r="AN840" t="s">
        <v>12</v>
      </c>
      <c r="AO840" t="s">
        <v>12</v>
      </c>
    </row>
    <row r="841" spans="1:41" x14ac:dyDescent="0.35">
      <c r="A841">
        <v>21532331</v>
      </c>
      <c r="B841">
        <v>202508</v>
      </c>
      <c r="C841">
        <v>20600017871</v>
      </c>
      <c r="D841" t="s">
        <v>1116</v>
      </c>
      <c r="E841" t="s">
        <v>1</v>
      </c>
      <c r="F841">
        <v>10266615</v>
      </c>
      <c r="G841" t="s">
        <v>24</v>
      </c>
      <c r="H841" t="s">
        <v>166</v>
      </c>
      <c r="I841">
        <v>82141.2421875</v>
      </c>
      <c r="J841" s="1">
        <v>45743</v>
      </c>
      <c r="K841">
        <v>20</v>
      </c>
      <c r="L841" t="s">
        <v>37</v>
      </c>
      <c r="M841" t="s">
        <v>37</v>
      </c>
      <c r="N841" t="s">
        <v>98</v>
      </c>
      <c r="O841">
        <v>202503</v>
      </c>
      <c r="P841">
        <v>102005.1</v>
      </c>
      <c r="Q841" t="s">
        <v>166</v>
      </c>
      <c r="R841" t="s">
        <v>167</v>
      </c>
      <c r="S841" t="s">
        <v>111</v>
      </c>
      <c r="T841" t="s">
        <v>112</v>
      </c>
      <c r="U841" t="s">
        <v>20</v>
      </c>
      <c r="V841">
        <v>2</v>
      </c>
      <c r="W841" t="s">
        <v>10</v>
      </c>
      <c r="X841" t="s">
        <v>12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 t="s">
        <v>12</v>
      </c>
      <c r="AG841" t="s">
        <v>12</v>
      </c>
      <c r="AH841" t="s">
        <v>12</v>
      </c>
      <c r="AI841" t="s">
        <v>12</v>
      </c>
      <c r="AJ841" t="s">
        <v>12</v>
      </c>
      <c r="AK841">
        <v>1</v>
      </c>
      <c r="AL841">
        <v>0.2823</v>
      </c>
      <c r="AM841">
        <v>0</v>
      </c>
      <c r="AN841" t="s">
        <v>12</v>
      </c>
      <c r="AO841" t="s">
        <v>12</v>
      </c>
    </row>
    <row r="842" spans="1:41" x14ac:dyDescent="0.35">
      <c r="A842">
        <v>21663943</v>
      </c>
      <c r="B842">
        <v>202507</v>
      </c>
      <c r="C842">
        <v>20606351161</v>
      </c>
      <c r="D842" t="s">
        <v>1117</v>
      </c>
      <c r="E842" t="s">
        <v>1</v>
      </c>
      <c r="F842">
        <v>10268303</v>
      </c>
      <c r="G842" t="s">
        <v>268</v>
      </c>
      <c r="H842" t="s">
        <v>159</v>
      </c>
      <c r="I842">
        <v>39824.80078125</v>
      </c>
      <c r="J842" s="1">
        <v>45806</v>
      </c>
      <c r="K842">
        <v>22.6</v>
      </c>
      <c r="L842" t="s">
        <v>37</v>
      </c>
      <c r="M842" t="s">
        <v>37</v>
      </c>
      <c r="N842" t="s">
        <v>98</v>
      </c>
      <c r="O842">
        <v>202505</v>
      </c>
      <c r="P842">
        <v>41002.050000000003</v>
      </c>
      <c r="Q842" t="s">
        <v>12</v>
      </c>
      <c r="R842" t="s">
        <v>12</v>
      </c>
      <c r="S842" t="s">
        <v>12</v>
      </c>
      <c r="T842" t="s">
        <v>12</v>
      </c>
      <c r="U842" t="s">
        <v>12</v>
      </c>
      <c r="V842" t="s">
        <v>12</v>
      </c>
      <c r="W842" t="s">
        <v>12</v>
      </c>
      <c r="X842" t="s">
        <v>12</v>
      </c>
      <c r="Y842" t="s">
        <v>12</v>
      </c>
      <c r="Z842" t="s">
        <v>12</v>
      </c>
      <c r="AA842" t="s">
        <v>12</v>
      </c>
      <c r="AB842" t="s">
        <v>12</v>
      </c>
      <c r="AC842" t="s">
        <v>12</v>
      </c>
      <c r="AD842" t="s">
        <v>12</v>
      </c>
      <c r="AE842" t="s">
        <v>12</v>
      </c>
      <c r="AF842" t="s">
        <v>12</v>
      </c>
      <c r="AG842" t="s">
        <v>12</v>
      </c>
      <c r="AH842" t="s">
        <v>12</v>
      </c>
      <c r="AI842" t="s">
        <v>12</v>
      </c>
      <c r="AJ842" t="s">
        <v>12</v>
      </c>
      <c r="AK842" t="s">
        <v>12</v>
      </c>
      <c r="AL842" t="s">
        <v>12</v>
      </c>
      <c r="AM842" t="s">
        <v>12</v>
      </c>
      <c r="AN842" t="s">
        <v>12</v>
      </c>
      <c r="AO842" t="s">
        <v>12</v>
      </c>
    </row>
    <row r="843" spans="1:41" x14ac:dyDescent="0.35">
      <c r="A843">
        <v>21665566</v>
      </c>
      <c r="B843">
        <v>202602</v>
      </c>
      <c r="C843">
        <v>10449191621</v>
      </c>
      <c r="D843" t="s">
        <v>1118</v>
      </c>
      <c r="E843">
        <v>44919162</v>
      </c>
      <c r="F843">
        <v>10268275</v>
      </c>
      <c r="G843" t="s">
        <v>100</v>
      </c>
      <c r="H843" t="s">
        <v>49</v>
      </c>
      <c r="I843">
        <v>133411.515625</v>
      </c>
      <c r="J843" s="1">
        <v>45806</v>
      </c>
      <c r="K843">
        <v>14</v>
      </c>
      <c r="L843" t="s">
        <v>37</v>
      </c>
      <c r="M843" t="s">
        <v>37</v>
      </c>
      <c r="N843" t="s">
        <v>102</v>
      </c>
      <c r="O843">
        <v>202505</v>
      </c>
      <c r="P843">
        <v>163883.15</v>
      </c>
      <c r="Q843" t="s">
        <v>46</v>
      </c>
      <c r="R843" t="s">
        <v>48</v>
      </c>
      <c r="S843" t="s">
        <v>49</v>
      </c>
      <c r="T843" t="s">
        <v>50</v>
      </c>
      <c r="U843" t="s">
        <v>63</v>
      </c>
      <c r="V843">
        <v>1</v>
      </c>
      <c r="W843" t="s">
        <v>90</v>
      </c>
      <c r="X843" t="s">
        <v>59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t="s">
        <v>12</v>
      </c>
      <c r="AG843" t="s">
        <v>12</v>
      </c>
      <c r="AH843" t="s">
        <v>12</v>
      </c>
      <c r="AI843" t="s">
        <v>12</v>
      </c>
      <c r="AJ843" t="s">
        <v>12</v>
      </c>
      <c r="AK843">
        <v>250000</v>
      </c>
      <c r="AL843">
        <v>0.21890000000000001</v>
      </c>
      <c r="AM843">
        <v>0.19889999999999999</v>
      </c>
      <c r="AN843" t="s">
        <v>12</v>
      </c>
      <c r="AO843" t="s">
        <v>12</v>
      </c>
    </row>
    <row r="844" spans="1:41" x14ac:dyDescent="0.35">
      <c r="A844">
        <v>16027884</v>
      </c>
      <c r="B844">
        <v>202601</v>
      </c>
      <c r="C844">
        <v>20601045819</v>
      </c>
      <c r="D844" t="s">
        <v>1119</v>
      </c>
      <c r="E844" t="s">
        <v>1</v>
      </c>
      <c r="F844">
        <v>10268947</v>
      </c>
      <c r="G844" t="s">
        <v>100</v>
      </c>
      <c r="H844" t="s">
        <v>206</v>
      </c>
      <c r="I844">
        <v>257765.21875</v>
      </c>
      <c r="J844" s="1">
        <v>45831</v>
      </c>
      <c r="K844">
        <v>15</v>
      </c>
      <c r="L844" t="s">
        <v>37</v>
      </c>
      <c r="M844" t="s">
        <v>37</v>
      </c>
      <c r="N844" t="s">
        <v>102</v>
      </c>
      <c r="O844">
        <v>202506</v>
      </c>
      <c r="P844">
        <v>298014.90000000002</v>
      </c>
      <c r="Q844" t="s">
        <v>117</v>
      </c>
      <c r="R844" t="s">
        <v>118</v>
      </c>
      <c r="S844" t="s">
        <v>39</v>
      </c>
      <c r="T844" t="s">
        <v>40</v>
      </c>
      <c r="U844" t="s">
        <v>63</v>
      </c>
      <c r="V844">
        <v>1</v>
      </c>
      <c r="W844" t="s">
        <v>21</v>
      </c>
      <c r="X844" t="s">
        <v>22</v>
      </c>
      <c r="Y844">
        <v>1</v>
      </c>
      <c r="Z844">
        <v>1</v>
      </c>
      <c r="AA844">
        <v>0</v>
      </c>
      <c r="AB844">
        <v>0</v>
      </c>
      <c r="AC844">
        <v>1</v>
      </c>
      <c r="AD844">
        <v>1</v>
      </c>
      <c r="AE844">
        <v>0</v>
      </c>
      <c r="AF844" t="s">
        <v>12</v>
      </c>
      <c r="AG844" t="s">
        <v>12</v>
      </c>
      <c r="AH844" t="s">
        <v>12</v>
      </c>
      <c r="AI844" t="s">
        <v>12</v>
      </c>
      <c r="AJ844" t="s">
        <v>12</v>
      </c>
      <c r="AK844">
        <v>130000</v>
      </c>
      <c r="AL844">
        <v>0.26169999999999999</v>
      </c>
      <c r="AM844">
        <v>0.2417</v>
      </c>
      <c r="AN844" t="s">
        <v>12</v>
      </c>
      <c r="AO844" t="s">
        <v>12</v>
      </c>
    </row>
    <row r="845" spans="1:41" x14ac:dyDescent="0.35">
      <c r="A845">
        <v>17531076</v>
      </c>
      <c r="B845">
        <v>202507</v>
      </c>
      <c r="C845">
        <v>20542368757</v>
      </c>
      <c r="D845" t="s">
        <v>1120</v>
      </c>
      <c r="E845" t="s">
        <v>1</v>
      </c>
      <c r="F845">
        <v>10267835</v>
      </c>
      <c r="G845" t="s">
        <v>14</v>
      </c>
      <c r="H845" t="s">
        <v>159</v>
      </c>
      <c r="I845">
        <v>76418.71875</v>
      </c>
      <c r="J845" s="1">
        <v>45792</v>
      </c>
      <c r="K845">
        <v>18</v>
      </c>
      <c r="L845" t="s">
        <v>37</v>
      </c>
      <c r="M845" t="s">
        <v>37</v>
      </c>
      <c r="N845" t="s">
        <v>16</v>
      </c>
      <c r="O845">
        <v>202505</v>
      </c>
      <c r="P845">
        <v>82304.100000000006</v>
      </c>
      <c r="Q845" t="s">
        <v>12</v>
      </c>
      <c r="R845" t="s">
        <v>12</v>
      </c>
      <c r="S845" t="s">
        <v>12</v>
      </c>
      <c r="T845" t="s">
        <v>12</v>
      </c>
      <c r="U845" t="s">
        <v>12</v>
      </c>
      <c r="V845" t="s">
        <v>12</v>
      </c>
      <c r="W845" t="s">
        <v>12</v>
      </c>
      <c r="X845" t="s">
        <v>12</v>
      </c>
      <c r="Y845" t="s">
        <v>12</v>
      </c>
      <c r="Z845" t="s">
        <v>12</v>
      </c>
      <c r="AA845" t="s">
        <v>12</v>
      </c>
      <c r="AB845" t="s">
        <v>12</v>
      </c>
      <c r="AC845" t="s">
        <v>12</v>
      </c>
      <c r="AD845" t="s">
        <v>12</v>
      </c>
      <c r="AE845" t="s">
        <v>12</v>
      </c>
      <c r="AF845" t="s">
        <v>12</v>
      </c>
      <c r="AG845" t="s">
        <v>12</v>
      </c>
      <c r="AH845" t="s">
        <v>12</v>
      </c>
      <c r="AI845" t="s">
        <v>12</v>
      </c>
      <c r="AJ845" t="s">
        <v>12</v>
      </c>
      <c r="AK845" t="s">
        <v>12</v>
      </c>
      <c r="AL845" t="s">
        <v>12</v>
      </c>
      <c r="AM845" t="s">
        <v>12</v>
      </c>
      <c r="AN845" t="s">
        <v>12</v>
      </c>
      <c r="AO845" t="s">
        <v>12</v>
      </c>
    </row>
    <row r="846" spans="1:41" x14ac:dyDescent="0.35">
      <c r="A846">
        <v>11364028</v>
      </c>
      <c r="B846">
        <v>202504</v>
      </c>
      <c r="C846">
        <v>10101330490</v>
      </c>
      <c r="D846" t="s">
        <v>1121</v>
      </c>
      <c r="E846">
        <v>10133049</v>
      </c>
      <c r="F846">
        <v>10265322</v>
      </c>
      <c r="G846" t="s">
        <v>100</v>
      </c>
      <c r="H846" t="s">
        <v>1122</v>
      </c>
      <c r="I846">
        <v>143315.046875</v>
      </c>
      <c r="J846" s="1">
        <v>45701</v>
      </c>
      <c r="K846">
        <v>16</v>
      </c>
      <c r="L846" t="s">
        <v>37</v>
      </c>
      <c r="M846" t="s">
        <v>37</v>
      </c>
      <c r="N846" t="s">
        <v>102</v>
      </c>
      <c r="O846">
        <v>202502</v>
      </c>
      <c r="P846">
        <v>159213.66</v>
      </c>
      <c r="Q846" t="s">
        <v>12</v>
      </c>
      <c r="R846" t="s">
        <v>12</v>
      </c>
      <c r="S846" t="s">
        <v>12</v>
      </c>
      <c r="T846" t="s">
        <v>12</v>
      </c>
      <c r="U846" t="s">
        <v>12</v>
      </c>
      <c r="V846" t="s">
        <v>12</v>
      </c>
      <c r="W846" t="s">
        <v>12</v>
      </c>
      <c r="X846" t="s">
        <v>12</v>
      </c>
      <c r="Y846" t="s">
        <v>12</v>
      </c>
      <c r="Z846" t="s">
        <v>12</v>
      </c>
      <c r="AA846" t="s">
        <v>12</v>
      </c>
      <c r="AB846" t="s">
        <v>12</v>
      </c>
      <c r="AC846" t="s">
        <v>12</v>
      </c>
      <c r="AD846" t="s">
        <v>12</v>
      </c>
      <c r="AE846" t="s">
        <v>12</v>
      </c>
      <c r="AF846" t="s">
        <v>12</v>
      </c>
      <c r="AG846" t="s">
        <v>12</v>
      </c>
      <c r="AH846" t="s">
        <v>12</v>
      </c>
      <c r="AI846" t="s">
        <v>12</v>
      </c>
      <c r="AJ846" t="s">
        <v>12</v>
      </c>
      <c r="AK846" t="s">
        <v>12</v>
      </c>
      <c r="AL846" t="s">
        <v>12</v>
      </c>
      <c r="AM846" t="s">
        <v>12</v>
      </c>
      <c r="AN846" t="s">
        <v>12</v>
      </c>
      <c r="AO846" t="s">
        <v>12</v>
      </c>
    </row>
    <row r="847" spans="1:41" x14ac:dyDescent="0.35">
      <c r="A847">
        <v>21330870</v>
      </c>
      <c r="B847">
        <v>202502</v>
      </c>
      <c r="C847">
        <v>10225160746</v>
      </c>
      <c r="D847" t="s">
        <v>1123</v>
      </c>
      <c r="E847">
        <v>22516074</v>
      </c>
      <c r="F847">
        <v>10264272</v>
      </c>
      <c r="G847" t="s">
        <v>45</v>
      </c>
      <c r="H847" t="s">
        <v>183</v>
      </c>
      <c r="I847">
        <v>30001.48828125</v>
      </c>
      <c r="J847" s="1">
        <v>45653</v>
      </c>
      <c r="K847">
        <v>16.200001</v>
      </c>
      <c r="L847" t="s">
        <v>37</v>
      </c>
      <c r="M847" t="s">
        <v>37</v>
      </c>
      <c r="N847" t="s">
        <v>47</v>
      </c>
      <c r="O847">
        <v>202412</v>
      </c>
      <c r="P847">
        <v>30001.5</v>
      </c>
      <c r="Q847" t="s">
        <v>12</v>
      </c>
      <c r="R847" t="s">
        <v>12</v>
      </c>
      <c r="S847" t="s">
        <v>12</v>
      </c>
      <c r="T847" t="s">
        <v>12</v>
      </c>
      <c r="U847" t="s">
        <v>12</v>
      </c>
      <c r="V847" t="s">
        <v>12</v>
      </c>
      <c r="W847" t="s">
        <v>12</v>
      </c>
      <c r="X847" t="s">
        <v>12</v>
      </c>
      <c r="Y847" t="s">
        <v>12</v>
      </c>
      <c r="Z847" t="s">
        <v>12</v>
      </c>
      <c r="AA847" t="s">
        <v>12</v>
      </c>
      <c r="AB847" t="s">
        <v>12</v>
      </c>
      <c r="AC847" t="s">
        <v>12</v>
      </c>
      <c r="AD847" t="s">
        <v>12</v>
      </c>
      <c r="AE847" t="s">
        <v>12</v>
      </c>
      <c r="AF847" t="s">
        <v>12</v>
      </c>
      <c r="AG847" t="s">
        <v>12</v>
      </c>
      <c r="AH847" t="s">
        <v>12</v>
      </c>
      <c r="AI847" t="s">
        <v>12</v>
      </c>
      <c r="AJ847" t="s">
        <v>12</v>
      </c>
      <c r="AK847" t="s">
        <v>12</v>
      </c>
      <c r="AL847" t="s">
        <v>12</v>
      </c>
      <c r="AM847" t="s">
        <v>12</v>
      </c>
      <c r="AN847" t="s">
        <v>12</v>
      </c>
      <c r="AO847" t="s">
        <v>12</v>
      </c>
    </row>
    <row r="848" spans="1:41" x14ac:dyDescent="0.35">
      <c r="A848">
        <v>18267856</v>
      </c>
      <c r="B848">
        <v>202602</v>
      </c>
      <c r="C848">
        <v>20604187479</v>
      </c>
      <c r="D848" t="s">
        <v>1124</v>
      </c>
      <c r="E848" t="s">
        <v>1</v>
      </c>
      <c r="F848">
        <v>10273512</v>
      </c>
      <c r="G848" t="s">
        <v>14</v>
      </c>
      <c r="H848" t="s">
        <v>227</v>
      </c>
      <c r="I848">
        <v>213137.546875</v>
      </c>
      <c r="J848" s="1">
        <v>45988</v>
      </c>
      <c r="K848">
        <v>14.5</v>
      </c>
      <c r="L848" t="s">
        <v>4</v>
      </c>
      <c r="M848" t="s">
        <v>4</v>
      </c>
      <c r="N848" t="s">
        <v>26</v>
      </c>
      <c r="O848">
        <v>202511</v>
      </c>
      <c r="P848">
        <v>350017.5</v>
      </c>
      <c r="Q848" t="s">
        <v>227</v>
      </c>
      <c r="R848" t="s">
        <v>228</v>
      </c>
      <c r="S848" t="s">
        <v>127</v>
      </c>
      <c r="T848" t="s">
        <v>147</v>
      </c>
      <c r="U848" t="s">
        <v>20</v>
      </c>
      <c r="V848">
        <v>1</v>
      </c>
      <c r="W848" t="s">
        <v>10</v>
      </c>
      <c r="X848" t="s">
        <v>22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 t="s">
        <v>12</v>
      </c>
      <c r="AG848" t="s">
        <v>12</v>
      </c>
      <c r="AH848" t="s">
        <v>12</v>
      </c>
      <c r="AI848" t="s">
        <v>12</v>
      </c>
      <c r="AJ848" t="s">
        <v>12</v>
      </c>
      <c r="AK848">
        <v>1</v>
      </c>
      <c r="AL848">
        <v>1</v>
      </c>
      <c r="AM848" t="s">
        <v>12</v>
      </c>
      <c r="AN848" t="s">
        <v>12</v>
      </c>
      <c r="AO848" t="s">
        <v>12</v>
      </c>
    </row>
    <row r="849" spans="1:41" x14ac:dyDescent="0.35">
      <c r="A849">
        <v>9389121</v>
      </c>
      <c r="B849">
        <v>202510</v>
      </c>
      <c r="C849">
        <v>20519745063</v>
      </c>
      <c r="D849" t="s">
        <v>1125</v>
      </c>
      <c r="E849" t="s">
        <v>1</v>
      </c>
      <c r="F849">
        <v>10269193</v>
      </c>
      <c r="G849" t="s">
        <v>100</v>
      </c>
      <c r="H849" t="s">
        <v>57</v>
      </c>
      <c r="I849">
        <v>279907.40625</v>
      </c>
      <c r="J849" s="1">
        <v>45835</v>
      </c>
      <c r="K849">
        <v>14</v>
      </c>
      <c r="L849" t="s">
        <v>37</v>
      </c>
      <c r="M849" t="s">
        <v>37</v>
      </c>
      <c r="N849" t="s">
        <v>102</v>
      </c>
      <c r="O849">
        <v>202506</v>
      </c>
      <c r="P849">
        <v>300015</v>
      </c>
      <c r="Q849" t="s">
        <v>12</v>
      </c>
      <c r="R849" t="s">
        <v>12</v>
      </c>
      <c r="S849" t="s">
        <v>12</v>
      </c>
      <c r="T849" t="s">
        <v>12</v>
      </c>
      <c r="U849" t="s">
        <v>12</v>
      </c>
      <c r="V849" t="s">
        <v>12</v>
      </c>
      <c r="W849" t="s">
        <v>12</v>
      </c>
      <c r="X849" t="s">
        <v>12</v>
      </c>
      <c r="Y849" t="s">
        <v>12</v>
      </c>
      <c r="Z849" t="s">
        <v>12</v>
      </c>
      <c r="AA849" t="s">
        <v>12</v>
      </c>
      <c r="AB849" t="s">
        <v>12</v>
      </c>
      <c r="AC849" t="s">
        <v>12</v>
      </c>
      <c r="AD849" t="s">
        <v>12</v>
      </c>
      <c r="AE849" t="s">
        <v>12</v>
      </c>
      <c r="AF849" t="s">
        <v>12</v>
      </c>
      <c r="AG849" t="s">
        <v>12</v>
      </c>
      <c r="AH849" t="s">
        <v>12</v>
      </c>
      <c r="AI849" t="s">
        <v>12</v>
      </c>
      <c r="AJ849" t="s">
        <v>12</v>
      </c>
      <c r="AK849" t="s">
        <v>12</v>
      </c>
      <c r="AL849" t="s">
        <v>12</v>
      </c>
      <c r="AM849" t="s">
        <v>12</v>
      </c>
      <c r="AN849" t="s">
        <v>12</v>
      </c>
      <c r="AO849" t="s">
        <v>12</v>
      </c>
    </row>
    <row r="850" spans="1:41" x14ac:dyDescent="0.35">
      <c r="A850">
        <v>18837441</v>
      </c>
      <c r="B850">
        <v>202512</v>
      </c>
      <c r="C850">
        <v>20605958886</v>
      </c>
      <c r="D850" t="s">
        <v>1126</v>
      </c>
      <c r="E850" t="s">
        <v>1</v>
      </c>
      <c r="F850">
        <v>10270871</v>
      </c>
      <c r="G850" t="s">
        <v>268</v>
      </c>
      <c r="H850" t="s">
        <v>244</v>
      </c>
      <c r="I850">
        <v>86153.3359375</v>
      </c>
      <c r="J850" s="1">
        <v>45897</v>
      </c>
      <c r="K850">
        <v>21</v>
      </c>
      <c r="L850" t="s">
        <v>4</v>
      </c>
      <c r="M850" t="s">
        <v>4</v>
      </c>
      <c r="N850" t="s">
        <v>26</v>
      </c>
      <c r="O850">
        <v>202508</v>
      </c>
      <c r="P850">
        <v>96004.800000000003</v>
      </c>
      <c r="Q850" t="s">
        <v>93</v>
      </c>
      <c r="R850" t="s">
        <v>94</v>
      </c>
      <c r="S850" t="s">
        <v>7</v>
      </c>
      <c r="T850" t="s">
        <v>8</v>
      </c>
      <c r="U850" t="s">
        <v>9</v>
      </c>
      <c r="V850">
        <v>1</v>
      </c>
      <c r="W850" t="s">
        <v>10</v>
      </c>
      <c r="X850" t="s">
        <v>51</v>
      </c>
      <c r="Y850">
        <v>1</v>
      </c>
      <c r="Z850">
        <v>1</v>
      </c>
      <c r="AA850">
        <v>0</v>
      </c>
      <c r="AB850">
        <v>1</v>
      </c>
      <c r="AC850">
        <v>1</v>
      </c>
      <c r="AD850">
        <v>1</v>
      </c>
      <c r="AE850">
        <v>0</v>
      </c>
      <c r="AF850" t="s">
        <v>12</v>
      </c>
      <c r="AG850" t="s">
        <v>12</v>
      </c>
      <c r="AH850" t="s">
        <v>12</v>
      </c>
      <c r="AI850" t="s">
        <v>12</v>
      </c>
      <c r="AJ850" t="s">
        <v>12</v>
      </c>
      <c r="AK850">
        <v>0</v>
      </c>
      <c r="AL850">
        <v>0</v>
      </c>
      <c r="AM850">
        <v>0</v>
      </c>
      <c r="AN850" t="s">
        <v>12</v>
      </c>
      <c r="AO850" t="s">
        <v>12</v>
      </c>
    </row>
    <row r="851" spans="1:41" x14ac:dyDescent="0.35">
      <c r="A851">
        <v>11068467</v>
      </c>
      <c r="B851">
        <v>202510</v>
      </c>
      <c r="C851">
        <v>10465988091</v>
      </c>
      <c r="D851" t="s">
        <v>1127</v>
      </c>
      <c r="E851">
        <v>46598809</v>
      </c>
      <c r="F851">
        <v>10271488</v>
      </c>
      <c r="G851" t="s">
        <v>24</v>
      </c>
      <c r="H851" t="s">
        <v>1115</v>
      </c>
      <c r="I851">
        <v>47587.9375</v>
      </c>
      <c r="J851" s="1">
        <v>45918</v>
      </c>
      <c r="K851">
        <v>21</v>
      </c>
      <c r="L851" t="s">
        <v>37</v>
      </c>
      <c r="M851" t="s">
        <v>37</v>
      </c>
      <c r="N851" t="s">
        <v>98</v>
      </c>
      <c r="O851">
        <v>202509</v>
      </c>
      <c r="P851">
        <v>50002.5</v>
      </c>
      <c r="Q851" t="s">
        <v>12</v>
      </c>
      <c r="R851" t="s">
        <v>12</v>
      </c>
      <c r="S851" t="s">
        <v>12</v>
      </c>
      <c r="T851" t="s">
        <v>12</v>
      </c>
      <c r="U851" t="s">
        <v>12</v>
      </c>
      <c r="V851" t="s">
        <v>12</v>
      </c>
      <c r="W851" t="s">
        <v>12</v>
      </c>
      <c r="X851" t="s">
        <v>12</v>
      </c>
      <c r="Y851" t="s">
        <v>12</v>
      </c>
      <c r="Z851" t="s">
        <v>12</v>
      </c>
      <c r="AA851" t="s">
        <v>12</v>
      </c>
      <c r="AB851" t="s">
        <v>12</v>
      </c>
      <c r="AC851" t="s">
        <v>12</v>
      </c>
      <c r="AD851" t="s">
        <v>12</v>
      </c>
      <c r="AE851" t="s">
        <v>12</v>
      </c>
      <c r="AF851" t="s">
        <v>12</v>
      </c>
      <c r="AG851" t="s">
        <v>12</v>
      </c>
      <c r="AH851" t="s">
        <v>12</v>
      </c>
      <c r="AI851" t="s">
        <v>12</v>
      </c>
      <c r="AJ851" t="s">
        <v>12</v>
      </c>
      <c r="AK851" t="s">
        <v>12</v>
      </c>
      <c r="AL851" t="s">
        <v>12</v>
      </c>
      <c r="AM851" t="s">
        <v>12</v>
      </c>
      <c r="AN851" t="s">
        <v>12</v>
      </c>
      <c r="AO851" t="s">
        <v>12</v>
      </c>
    </row>
    <row r="852" spans="1:41" x14ac:dyDescent="0.35">
      <c r="A852">
        <v>16076471</v>
      </c>
      <c r="B852">
        <v>202512</v>
      </c>
      <c r="C852">
        <v>20528209107</v>
      </c>
      <c r="D852" t="s">
        <v>1128</v>
      </c>
      <c r="E852" t="s">
        <v>1</v>
      </c>
      <c r="F852">
        <v>10165219</v>
      </c>
      <c r="G852" t="s">
        <v>2</v>
      </c>
      <c r="H852" t="s">
        <v>190</v>
      </c>
      <c r="I852">
        <v>134683.84375</v>
      </c>
      <c r="J852" s="1">
        <v>45973</v>
      </c>
      <c r="K852">
        <v>19</v>
      </c>
      <c r="L852" t="s">
        <v>4</v>
      </c>
      <c r="M852" t="s">
        <v>4</v>
      </c>
      <c r="N852" t="s">
        <v>5</v>
      </c>
      <c r="O852">
        <v>202511</v>
      </c>
      <c r="P852">
        <v>71003.55</v>
      </c>
      <c r="Q852" t="s">
        <v>190</v>
      </c>
      <c r="R852" t="s">
        <v>191</v>
      </c>
      <c r="S852" t="s">
        <v>49</v>
      </c>
      <c r="T852" t="s">
        <v>50</v>
      </c>
      <c r="U852" t="s">
        <v>20</v>
      </c>
      <c r="V852">
        <v>1</v>
      </c>
      <c r="W852" t="s">
        <v>10</v>
      </c>
      <c r="X852" t="s">
        <v>51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12</v>
      </c>
      <c r="AG852" t="s">
        <v>12</v>
      </c>
      <c r="AH852" t="s">
        <v>12</v>
      </c>
      <c r="AI852" t="s">
        <v>12</v>
      </c>
      <c r="AJ852" t="s">
        <v>12</v>
      </c>
      <c r="AK852">
        <v>1</v>
      </c>
      <c r="AL852">
        <v>1</v>
      </c>
      <c r="AM852" t="s">
        <v>12</v>
      </c>
      <c r="AN852" t="s">
        <v>12</v>
      </c>
      <c r="AO852" t="s">
        <v>12</v>
      </c>
    </row>
    <row r="853" spans="1:41" x14ac:dyDescent="0.35">
      <c r="A853">
        <v>19109785</v>
      </c>
      <c r="B853">
        <v>202508</v>
      </c>
      <c r="C853">
        <v>20609398575</v>
      </c>
      <c r="D853" t="s">
        <v>1129</v>
      </c>
      <c r="E853" t="s">
        <v>1</v>
      </c>
      <c r="F853">
        <v>10244676</v>
      </c>
      <c r="G853" t="s">
        <v>92</v>
      </c>
      <c r="H853" t="s">
        <v>82</v>
      </c>
      <c r="I853">
        <v>17666.904296875</v>
      </c>
      <c r="J853" s="1">
        <v>45211</v>
      </c>
      <c r="K853">
        <v>19.399999999999999</v>
      </c>
      <c r="L853" t="s">
        <v>4</v>
      </c>
      <c r="M853" t="s">
        <v>4</v>
      </c>
      <c r="N853" t="s">
        <v>41</v>
      </c>
      <c r="O853">
        <v>202310</v>
      </c>
      <c r="P853">
        <v>120006</v>
      </c>
      <c r="Q853" t="s">
        <v>82</v>
      </c>
      <c r="R853" t="s">
        <v>83</v>
      </c>
      <c r="S853" t="s">
        <v>49</v>
      </c>
      <c r="T853" t="s">
        <v>50</v>
      </c>
      <c r="U853" t="s">
        <v>20</v>
      </c>
      <c r="V853">
        <v>1</v>
      </c>
      <c r="W853" t="s">
        <v>10</v>
      </c>
      <c r="X853" t="s">
        <v>12</v>
      </c>
      <c r="Y853">
        <v>1</v>
      </c>
      <c r="Z853">
        <v>1</v>
      </c>
      <c r="AA853">
        <v>0</v>
      </c>
      <c r="AB853">
        <v>1</v>
      </c>
      <c r="AC853">
        <v>1</v>
      </c>
      <c r="AD853">
        <v>1</v>
      </c>
      <c r="AE853">
        <v>0</v>
      </c>
      <c r="AF853" t="s">
        <v>12</v>
      </c>
      <c r="AG853" t="s">
        <v>12</v>
      </c>
      <c r="AH853" t="s">
        <v>12</v>
      </c>
      <c r="AI853" t="s">
        <v>12</v>
      </c>
      <c r="AJ853" t="s">
        <v>12</v>
      </c>
      <c r="AK853">
        <v>1</v>
      </c>
      <c r="AL853">
        <v>0.20430000000000001</v>
      </c>
      <c r="AM853" t="s">
        <v>12</v>
      </c>
      <c r="AN853" t="s">
        <v>12</v>
      </c>
      <c r="AO853" t="s">
        <v>12</v>
      </c>
    </row>
    <row r="854" spans="1:41" x14ac:dyDescent="0.35">
      <c r="A854">
        <v>20428464</v>
      </c>
      <c r="B854">
        <v>202601</v>
      </c>
      <c r="C854">
        <v>20600015266</v>
      </c>
      <c r="D854" t="s">
        <v>1130</v>
      </c>
      <c r="E854" t="s">
        <v>1</v>
      </c>
      <c r="F854">
        <v>10264626</v>
      </c>
      <c r="G854" t="s">
        <v>92</v>
      </c>
      <c r="H854" t="s">
        <v>240</v>
      </c>
      <c r="I854">
        <v>52731.453125</v>
      </c>
      <c r="J854" s="1">
        <v>45674</v>
      </c>
      <c r="K854">
        <v>16.329999999999998</v>
      </c>
      <c r="L854" t="s">
        <v>4</v>
      </c>
      <c r="M854" t="s">
        <v>4</v>
      </c>
      <c r="N854" t="s">
        <v>41</v>
      </c>
      <c r="O854">
        <v>202501</v>
      </c>
      <c r="P854">
        <v>98004.9</v>
      </c>
      <c r="Q854" t="s">
        <v>240</v>
      </c>
      <c r="R854" t="s">
        <v>241</v>
      </c>
      <c r="S854" t="s">
        <v>39</v>
      </c>
      <c r="T854" t="s">
        <v>40</v>
      </c>
      <c r="U854" t="s">
        <v>63</v>
      </c>
      <c r="V854">
        <v>1</v>
      </c>
      <c r="W854" t="s">
        <v>21</v>
      </c>
      <c r="X854" t="s">
        <v>22</v>
      </c>
      <c r="Y854">
        <v>1</v>
      </c>
      <c r="Z854">
        <v>1</v>
      </c>
      <c r="AA854">
        <v>0</v>
      </c>
      <c r="AB854">
        <v>0</v>
      </c>
      <c r="AC854">
        <v>1</v>
      </c>
      <c r="AD854">
        <v>1</v>
      </c>
      <c r="AE854">
        <v>0</v>
      </c>
      <c r="AF854" t="s">
        <v>12</v>
      </c>
      <c r="AG854" t="s">
        <v>12</v>
      </c>
      <c r="AH854" t="s">
        <v>12</v>
      </c>
      <c r="AI854" t="s">
        <v>12</v>
      </c>
      <c r="AJ854" t="s">
        <v>12</v>
      </c>
      <c r="AK854">
        <v>250000</v>
      </c>
      <c r="AL854">
        <v>0.21</v>
      </c>
      <c r="AM854">
        <v>0.19</v>
      </c>
      <c r="AN854" t="s">
        <v>12</v>
      </c>
      <c r="AO854" t="s">
        <v>12</v>
      </c>
    </row>
    <row r="855" spans="1:41" x14ac:dyDescent="0.35">
      <c r="A855">
        <v>17133582</v>
      </c>
      <c r="B855">
        <v>202602</v>
      </c>
      <c r="C855">
        <v>20606182300</v>
      </c>
      <c r="D855" t="s">
        <v>1131</v>
      </c>
      <c r="E855" t="s">
        <v>1</v>
      </c>
      <c r="F855">
        <v>10264041</v>
      </c>
      <c r="G855" t="s">
        <v>65</v>
      </c>
      <c r="H855" t="s">
        <v>85</v>
      </c>
      <c r="I855">
        <v>54480.46875</v>
      </c>
      <c r="J855" s="1">
        <v>45646</v>
      </c>
      <c r="K855">
        <v>15.2</v>
      </c>
      <c r="L855" t="s">
        <v>37</v>
      </c>
      <c r="M855" t="s">
        <v>37</v>
      </c>
      <c r="N855" t="s">
        <v>47</v>
      </c>
      <c r="O855">
        <v>202412</v>
      </c>
      <c r="P855">
        <v>78003.899999999994</v>
      </c>
      <c r="Q855" t="s">
        <v>85</v>
      </c>
      <c r="R855" t="s">
        <v>87</v>
      </c>
      <c r="S855" t="s">
        <v>88</v>
      </c>
      <c r="T855" t="s">
        <v>89</v>
      </c>
      <c r="U855" t="s">
        <v>63</v>
      </c>
      <c r="V855">
        <v>2</v>
      </c>
      <c r="W855" t="s">
        <v>10</v>
      </c>
      <c r="X855" t="s">
        <v>22</v>
      </c>
      <c r="Y855">
        <v>1</v>
      </c>
      <c r="Z855">
        <v>1</v>
      </c>
      <c r="AA855">
        <v>0</v>
      </c>
      <c r="AB855">
        <v>0</v>
      </c>
      <c r="AC855">
        <v>1</v>
      </c>
      <c r="AD855">
        <v>1</v>
      </c>
      <c r="AE855">
        <v>0</v>
      </c>
      <c r="AF855" t="s">
        <v>12</v>
      </c>
      <c r="AG855" t="s">
        <v>12</v>
      </c>
      <c r="AH855" t="s">
        <v>12</v>
      </c>
      <c r="AI855" t="s">
        <v>12</v>
      </c>
      <c r="AJ855" t="s">
        <v>12</v>
      </c>
      <c r="AK855">
        <v>50000</v>
      </c>
      <c r="AL855">
        <v>0.26090000000000002</v>
      </c>
      <c r="AM855">
        <v>0.2409</v>
      </c>
      <c r="AN855" t="s">
        <v>12</v>
      </c>
      <c r="AO855" t="s">
        <v>12</v>
      </c>
    </row>
    <row r="856" spans="1:41" x14ac:dyDescent="0.35">
      <c r="A856">
        <v>15921518</v>
      </c>
      <c r="B856">
        <v>202510</v>
      </c>
      <c r="C856">
        <v>20600748735</v>
      </c>
      <c r="D856" t="s">
        <v>203</v>
      </c>
      <c r="E856" t="s">
        <v>1</v>
      </c>
      <c r="F856">
        <v>10268342</v>
      </c>
      <c r="G856" t="s">
        <v>68</v>
      </c>
      <c r="H856" t="s">
        <v>204</v>
      </c>
      <c r="I856">
        <v>282460.375</v>
      </c>
      <c r="J856" s="1">
        <v>45807</v>
      </c>
      <c r="K856">
        <v>14.5</v>
      </c>
      <c r="L856" t="s">
        <v>4</v>
      </c>
      <c r="M856" t="s">
        <v>4</v>
      </c>
      <c r="N856" t="s">
        <v>20</v>
      </c>
      <c r="O856">
        <v>202505</v>
      </c>
      <c r="P856">
        <v>330566.5</v>
      </c>
      <c r="Q856" t="s">
        <v>12</v>
      </c>
      <c r="R856" t="s">
        <v>12</v>
      </c>
      <c r="S856" t="s">
        <v>12</v>
      </c>
      <c r="T856" t="s">
        <v>12</v>
      </c>
      <c r="U856" t="s">
        <v>12</v>
      </c>
      <c r="V856" t="s">
        <v>12</v>
      </c>
      <c r="W856" t="s">
        <v>12</v>
      </c>
      <c r="X856" t="s">
        <v>12</v>
      </c>
      <c r="Y856" t="s">
        <v>12</v>
      </c>
      <c r="Z856" t="s">
        <v>12</v>
      </c>
      <c r="AA856" t="s">
        <v>12</v>
      </c>
      <c r="AB856" t="s">
        <v>12</v>
      </c>
      <c r="AC856" t="s">
        <v>12</v>
      </c>
      <c r="AD856" t="s">
        <v>12</v>
      </c>
      <c r="AE856" t="s">
        <v>12</v>
      </c>
      <c r="AF856" t="s">
        <v>12</v>
      </c>
      <c r="AG856" t="s">
        <v>12</v>
      </c>
      <c r="AH856" t="s">
        <v>12</v>
      </c>
      <c r="AI856" t="s">
        <v>12</v>
      </c>
      <c r="AJ856" t="s">
        <v>12</v>
      </c>
      <c r="AK856" t="s">
        <v>12</v>
      </c>
      <c r="AL856" t="s">
        <v>12</v>
      </c>
      <c r="AM856" t="s">
        <v>12</v>
      </c>
      <c r="AN856" t="s">
        <v>12</v>
      </c>
      <c r="AO856" t="s">
        <v>12</v>
      </c>
    </row>
    <row r="857" spans="1:41" x14ac:dyDescent="0.35">
      <c r="A857">
        <v>14673318</v>
      </c>
      <c r="B857">
        <v>202508</v>
      </c>
      <c r="C857">
        <v>20547236018</v>
      </c>
      <c r="D857" t="s">
        <v>1132</v>
      </c>
      <c r="E857" t="s">
        <v>1</v>
      </c>
      <c r="F857">
        <v>10264129</v>
      </c>
      <c r="G857" t="s">
        <v>65</v>
      </c>
      <c r="H857" t="s">
        <v>166</v>
      </c>
      <c r="I857">
        <v>86818.4296875</v>
      </c>
      <c r="J857" s="1">
        <v>45649</v>
      </c>
      <c r="K857">
        <v>15.7</v>
      </c>
      <c r="L857" t="s">
        <v>37</v>
      </c>
      <c r="M857" t="s">
        <v>37</v>
      </c>
      <c r="N857" t="s">
        <v>47</v>
      </c>
      <c r="O857">
        <v>202412</v>
      </c>
      <c r="P857">
        <v>90004.5</v>
      </c>
      <c r="Q857" t="s">
        <v>109</v>
      </c>
      <c r="R857" t="s">
        <v>110</v>
      </c>
      <c r="S857" t="s">
        <v>111</v>
      </c>
      <c r="T857" t="s">
        <v>112</v>
      </c>
      <c r="U857" t="s">
        <v>20</v>
      </c>
      <c r="V857">
        <v>2</v>
      </c>
      <c r="W857" t="s">
        <v>10</v>
      </c>
      <c r="X857" t="s">
        <v>12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 t="s">
        <v>12</v>
      </c>
      <c r="AG857" t="s">
        <v>12</v>
      </c>
      <c r="AH857" t="s">
        <v>12</v>
      </c>
      <c r="AI857" t="s">
        <v>12</v>
      </c>
      <c r="AJ857" t="s">
        <v>12</v>
      </c>
      <c r="AK857">
        <v>1</v>
      </c>
      <c r="AL857">
        <v>0.1973</v>
      </c>
      <c r="AM857" t="s">
        <v>12</v>
      </c>
      <c r="AN857" t="s">
        <v>12</v>
      </c>
      <c r="AO857" t="s">
        <v>12</v>
      </c>
    </row>
    <row r="858" spans="1:41" x14ac:dyDescent="0.35">
      <c r="A858">
        <v>19747727</v>
      </c>
      <c r="B858">
        <v>202602</v>
      </c>
      <c r="C858">
        <v>20521142767</v>
      </c>
      <c r="D858" t="s">
        <v>1133</v>
      </c>
      <c r="E858" t="s">
        <v>1</v>
      </c>
      <c r="F858">
        <v>10273476</v>
      </c>
      <c r="G858" t="s">
        <v>24</v>
      </c>
      <c r="H858" t="s">
        <v>159</v>
      </c>
      <c r="I858">
        <v>45378.21875</v>
      </c>
      <c r="J858" s="1">
        <v>45987</v>
      </c>
      <c r="K858">
        <v>20.9</v>
      </c>
      <c r="L858" t="s">
        <v>37</v>
      </c>
      <c r="M858" t="s">
        <v>37</v>
      </c>
      <c r="N858" t="s">
        <v>98</v>
      </c>
      <c r="O858">
        <v>202511</v>
      </c>
      <c r="P858">
        <v>50002.5</v>
      </c>
      <c r="Q858" t="s">
        <v>12</v>
      </c>
      <c r="R858" t="s">
        <v>12</v>
      </c>
      <c r="S858" t="s">
        <v>12</v>
      </c>
      <c r="T858" t="s">
        <v>12</v>
      </c>
      <c r="U858" t="s">
        <v>196</v>
      </c>
      <c r="V858">
        <v>3</v>
      </c>
      <c r="W858" t="s">
        <v>10</v>
      </c>
      <c r="X858" t="s">
        <v>51</v>
      </c>
      <c r="Y858">
        <v>1</v>
      </c>
      <c r="Z858">
        <v>1</v>
      </c>
      <c r="AA858">
        <v>0</v>
      </c>
      <c r="AB858">
        <v>0</v>
      </c>
      <c r="AC858">
        <v>1</v>
      </c>
      <c r="AD858" t="s">
        <v>12</v>
      </c>
      <c r="AE858">
        <v>0</v>
      </c>
      <c r="AF858" t="s">
        <v>12</v>
      </c>
      <c r="AG858" t="s">
        <v>12</v>
      </c>
      <c r="AH858" t="s">
        <v>12</v>
      </c>
      <c r="AI858" t="s">
        <v>12</v>
      </c>
      <c r="AJ858" t="s">
        <v>12</v>
      </c>
      <c r="AK858" t="s">
        <v>12</v>
      </c>
      <c r="AL858" t="s">
        <v>12</v>
      </c>
      <c r="AM858" t="s">
        <v>12</v>
      </c>
      <c r="AN858" t="s">
        <v>269</v>
      </c>
      <c r="AO858" t="s">
        <v>270</v>
      </c>
    </row>
    <row r="859" spans="1:41" x14ac:dyDescent="0.35">
      <c r="A859">
        <v>17295515</v>
      </c>
      <c r="B859">
        <v>202512</v>
      </c>
      <c r="C859">
        <v>20606594446</v>
      </c>
      <c r="D859" t="s">
        <v>758</v>
      </c>
      <c r="E859" t="s">
        <v>1</v>
      </c>
      <c r="F859">
        <v>10272690</v>
      </c>
      <c r="G859" t="s">
        <v>78</v>
      </c>
      <c r="H859" t="s">
        <v>101</v>
      </c>
      <c r="I859">
        <v>195742.78125</v>
      </c>
      <c r="J859" s="1">
        <v>45959</v>
      </c>
      <c r="K859">
        <v>17</v>
      </c>
      <c r="L859" t="s">
        <v>86</v>
      </c>
      <c r="M859" t="s">
        <v>86</v>
      </c>
      <c r="N859" t="s">
        <v>41</v>
      </c>
      <c r="O859">
        <v>202510</v>
      </c>
      <c r="P859">
        <v>201510.05</v>
      </c>
      <c r="Q859" t="s">
        <v>101</v>
      </c>
      <c r="R859" t="s">
        <v>103</v>
      </c>
      <c r="S859" t="s">
        <v>88</v>
      </c>
      <c r="T859" t="s">
        <v>89</v>
      </c>
      <c r="U859" t="s">
        <v>20</v>
      </c>
      <c r="V859">
        <v>2</v>
      </c>
      <c r="W859" t="s">
        <v>10</v>
      </c>
      <c r="X859" t="s">
        <v>22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 t="s">
        <v>12</v>
      </c>
      <c r="AG859" t="s">
        <v>12</v>
      </c>
      <c r="AH859" t="s">
        <v>12</v>
      </c>
      <c r="AI859" t="s">
        <v>12</v>
      </c>
      <c r="AJ859" t="s">
        <v>12</v>
      </c>
      <c r="AK859">
        <v>1</v>
      </c>
      <c r="AL859">
        <v>1</v>
      </c>
      <c r="AM859" t="s">
        <v>12</v>
      </c>
      <c r="AN859" t="s">
        <v>12</v>
      </c>
      <c r="AO859" t="s">
        <v>12</v>
      </c>
    </row>
    <row r="860" spans="1:41" x14ac:dyDescent="0.35">
      <c r="A860">
        <v>19985082</v>
      </c>
      <c r="B860">
        <v>202511</v>
      </c>
      <c r="C860">
        <v>20609625709</v>
      </c>
      <c r="D860" t="s">
        <v>1134</v>
      </c>
      <c r="E860" t="s">
        <v>1</v>
      </c>
      <c r="F860">
        <v>10270974</v>
      </c>
      <c r="G860" t="s">
        <v>268</v>
      </c>
      <c r="H860" t="s">
        <v>159</v>
      </c>
      <c r="I860">
        <v>35091.984375</v>
      </c>
      <c r="J860" s="1">
        <v>45898</v>
      </c>
      <c r="K860">
        <v>21</v>
      </c>
      <c r="L860" t="s">
        <v>37</v>
      </c>
      <c r="M860" t="s">
        <v>37</v>
      </c>
      <c r="N860" t="s">
        <v>98</v>
      </c>
      <c r="O860">
        <v>202508</v>
      </c>
      <c r="P860">
        <v>41002.050000000003</v>
      </c>
      <c r="Q860" t="s">
        <v>12</v>
      </c>
      <c r="R860" t="s">
        <v>12</v>
      </c>
      <c r="S860" t="s">
        <v>12</v>
      </c>
      <c r="T860" t="s">
        <v>12</v>
      </c>
      <c r="U860" t="s">
        <v>196</v>
      </c>
      <c r="V860">
        <v>3</v>
      </c>
      <c r="W860" t="s">
        <v>10</v>
      </c>
      <c r="X860" t="s">
        <v>51</v>
      </c>
      <c r="Y860">
        <v>1</v>
      </c>
      <c r="Z860">
        <v>1</v>
      </c>
      <c r="AA860">
        <v>0</v>
      </c>
      <c r="AB860">
        <v>0</v>
      </c>
      <c r="AC860">
        <v>0</v>
      </c>
      <c r="AD860" t="s">
        <v>12</v>
      </c>
      <c r="AE860">
        <v>0</v>
      </c>
      <c r="AF860" t="s">
        <v>12</v>
      </c>
      <c r="AG860" t="s">
        <v>12</v>
      </c>
      <c r="AH860" t="s">
        <v>12</v>
      </c>
      <c r="AI860" t="s">
        <v>12</v>
      </c>
      <c r="AJ860" t="s">
        <v>12</v>
      </c>
      <c r="AK860" t="s">
        <v>12</v>
      </c>
      <c r="AL860" t="s">
        <v>12</v>
      </c>
      <c r="AM860" t="s">
        <v>12</v>
      </c>
      <c r="AN860" t="s">
        <v>269</v>
      </c>
      <c r="AO860" t="s">
        <v>270</v>
      </c>
    </row>
    <row r="861" spans="1:41" x14ac:dyDescent="0.35">
      <c r="A861">
        <v>21663318</v>
      </c>
      <c r="B861">
        <v>202508</v>
      </c>
      <c r="C861">
        <v>20455507708</v>
      </c>
      <c r="D861" t="s">
        <v>1135</v>
      </c>
      <c r="E861" t="s">
        <v>1</v>
      </c>
      <c r="F861">
        <v>10268260</v>
      </c>
      <c r="G861" t="s">
        <v>24</v>
      </c>
      <c r="H861" t="s">
        <v>159</v>
      </c>
      <c r="I861">
        <v>84755.9375</v>
      </c>
      <c r="J861" s="1">
        <v>45806</v>
      </c>
      <c r="K861">
        <v>17</v>
      </c>
      <c r="L861" t="s">
        <v>37</v>
      </c>
      <c r="M861" t="s">
        <v>37</v>
      </c>
      <c r="N861" t="s">
        <v>98</v>
      </c>
      <c r="O861">
        <v>202505</v>
      </c>
      <c r="P861">
        <v>100005</v>
      </c>
      <c r="Q861" t="s">
        <v>12</v>
      </c>
      <c r="R861" t="s">
        <v>12</v>
      </c>
      <c r="S861" t="s">
        <v>12</v>
      </c>
      <c r="T861" t="s">
        <v>12</v>
      </c>
      <c r="U861" t="s">
        <v>12</v>
      </c>
      <c r="V861" t="s">
        <v>12</v>
      </c>
      <c r="W861" t="s">
        <v>12</v>
      </c>
      <c r="X861" t="s">
        <v>12</v>
      </c>
      <c r="Y861" t="s">
        <v>12</v>
      </c>
      <c r="Z861" t="s">
        <v>12</v>
      </c>
      <c r="AA861" t="s">
        <v>12</v>
      </c>
      <c r="AB861" t="s">
        <v>12</v>
      </c>
      <c r="AC861" t="s">
        <v>12</v>
      </c>
      <c r="AD861" t="s">
        <v>12</v>
      </c>
      <c r="AE861" t="s">
        <v>12</v>
      </c>
      <c r="AF861" t="s">
        <v>12</v>
      </c>
      <c r="AG861" t="s">
        <v>12</v>
      </c>
      <c r="AH861" t="s">
        <v>12</v>
      </c>
      <c r="AI861" t="s">
        <v>12</v>
      </c>
      <c r="AJ861" t="s">
        <v>12</v>
      </c>
      <c r="AK861" t="s">
        <v>12</v>
      </c>
      <c r="AL861" t="s">
        <v>12</v>
      </c>
      <c r="AM861" t="s">
        <v>12</v>
      </c>
      <c r="AN861" t="s">
        <v>12</v>
      </c>
      <c r="AO861" t="s">
        <v>12</v>
      </c>
    </row>
    <row r="862" spans="1:41" x14ac:dyDescent="0.35">
      <c r="A862">
        <v>21697289</v>
      </c>
      <c r="B862">
        <v>202602</v>
      </c>
      <c r="C862">
        <v>20608795988</v>
      </c>
      <c r="D862" t="s">
        <v>1136</v>
      </c>
      <c r="E862" t="s">
        <v>1</v>
      </c>
      <c r="F862">
        <v>10268797</v>
      </c>
      <c r="G862" t="s">
        <v>28</v>
      </c>
      <c r="H862" t="s">
        <v>531</v>
      </c>
      <c r="I862">
        <v>117078.765625</v>
      </c>
      <c r="J862" s="1">
        <v>45826</v>
      </c>
      <c r="K862">
        <v>17</v>
      </c>
      <c r="L862" t="s">
        <v>86</v>
      </c>
      <c r="M862" t="s">
        <v>75</v>
      </c>
      <c r="N862" t="s">
        <v>26</v>
      </c>
      <c r="O862">
        <v>202506</v>
      </c>
      <c r="P862">
        <v>200010</v>
      </c>
      <c r="Q862" t="s">
        <v>531</v>
      </c>
      <c r="R862" t="s">
        <v>532</v>
      </c>
      <c r="S862" t="s">
        <v>39</v>
      </c>
      <c r="T862" t="s">
        <v>40</v>
      </c>
      <c r="U862" t="s">
        <v>41</v>
      </c>
      <c r="V862">
        <v>1</v>
      </c>
      <c r="W862" t="s">
        <v>10</v>
      </c>
      <c r="X862" t="s">
        <v>51</v>
      </c>
      <c r="Y862">
        <v>1</v>
      </c>
      <c r="Z862">
        <v>1</v>
      </c>
      <c r="AA862">
        <v>0</v>
      </c>
      <c r="AB862">
        <v>0</v>
      </c>
      <c r="AC862">
        <v>1</v>
      </c>
      <c r="AD862">
        <v>1</v>
      </c>
      <c r="AE862">
        <v>0</v>
      </c>
      <c r="AF862" t="s">
        <v>12</v>
      </c>
      <c r="AG862" t="s">
        <v>12</v>
      </c>
      <c r="AH862" t="s">
        <v>12</v>
      </c>
      <c r="AI862" t="s">
        <v>12</v>
      </c>
      <c r="AJ862" t="s">
        <v>12</v>
      </c>
      <c r="AK862">
        <v>240400</v>
      </c>
      <c r="AL862">
        <v>0.21</v>
      </c>
      <c r="AM862">
        <v>0.19</v>
      </c>
      <c r="AN862" t="s">
        <v>12</v>
      </c>
      <c r="AO862" t="s">
        <v>12</v>
      </c>
    </row>
    <row r="863" spans="1:41" x14ac:dyDescent="0.35">
      <c r="A863">
        <v>21616551</v>
      </c>
      <c r="B863">
        <v>202602</v>
      </c>
      <c r="C863">
        <v>20612030601</v>
      </c>
      <c r="D863" t="s">
        <v>1137</v>
      </c>
      <c r="E863" t="s">
        <v>1</v>
      </c>
      <c r="F863">
        <v>10267603</v>
      </c>
      <c r="G863" t="s">
        <v>73</v>
      </c>
      <c r="H863" t="s">
        <v>257</v>
      </c>
      <c r="I863">
        <v>26776.255859375</v>
      </c>
      <c r="J863" s="1">
        <v>45782</v>
      </c>
      <c r="K863">
        <v>18</v>
      </c>
      <c r="L863" t="s">
        <v>4</v>
      </c>
      <c r="M863" t="s">
        <v>4</v>
      </c>
      <c r="N863" t="s">
        <v>20</v>
      </c>
      <c r="O863">
        <v>202505</v>
      </c>
      <c r="P863">
        <v>150007.5</v>
      </c>
      <c r="Q863" t="s">
        <v>257</v>
      </c>
      <c r="R863" t="s">
        <v>258</v>
      </c>
      <c r="S863" t="s">
        <v>49</v>
      </c>
      <c r="T863" t="s">
        <v>50</v>
      </c>
      <c r="U863" t="s">
        <v>41</v>
      </c>
      <c r="V863">
        <v>1</v>
      </c>
      <c r="W863" t="s">
        <v>10</v>
      </c>
      <c r="X863" t="s">
        <v>22</v>
      </c>
      <c r="Y863">
        <v>1</v>
      </c>
      <c r="Z863">
        <v>1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12</v>
      </c>
      <c r="AG863" t="s">
        <v>12</v>
      </c>
      <c r="AH863" t="s">
        <v>12</v>
      </c>
      <c r="AI863" t="s">
        <v>12</v>
      </c>
      <c r="AJ863" t="s">
        <v>12</v>
      </c>
      <c r="AK863">
        <v>250000</v>
      </c>
      <c r="AL863">
        <v>0.21</v>
      </c>
      <c r="AM863">
        <v>0.19</v>
      </c>
      <c r="AN863" t="s">
        <v>12</v>
      </c>
      <c r="AO863" t="s">
        <v>12</v>
      </c>
    </row>
    <row r="864" spans="1:41" x14ac:dyDescent="0.35">
      <c r="A864">
        <v>12227831</v>
      </c>
      <c r="B864">
        <v>202508</v>
      </c>
      <c r="C864">
        <v>10445410379</v>
      </c>
      <c r="D864" t="s">
        <v>1138</v>
      </c>
      <c r="E864">
        <v>44541037</v>
      </c>
      <c r="F864">
        <v>10259421</v>
      </c>
      <c r="G864" t="s">
        <v>65</v>
      </c>
      <c r="H864" t="s">
        <v>1139</v>
      </c>
      <c r="I864">
        <v>21703.23828125</v>
      </c>
      <c r="J864" s="1">
        <v>45527</v>
      </c>
      <c r="K864">
        <v>14.8</v>
      </c>
      <c r="L864" t="s">
        <v>37</v>
      </c>
      <c r="M864" t="s">
        <v>37</v>
      </c>
      <c r="N864" t="s">
        <v>47</v>
      </c>
      <c r="O864">
        <v>202408</v>
      </c>
      <c r="P864">
        <v>28001.4</v>
      </c>
      <c r="Q864" t="s">
        <v>12</v>
      </c>
      <c r="R864" t="s">
        <v>12</v>
      </c>
      <c r="S864" t="s">
        <v>12</v>
      </c>
      <c r="T864" t="s">
        <v>12</v>
      </c>
      <c r="U864" t="s">
        <v>12</v>
      </c>
      <c r="V864" t="s">
        <v>12</v>
      </c>
      <c r="W864" t="s">
        <v>12</v>
      </c>
      <c r="X864" t="s">
        <v>12</v>
      </c>
      <c r="Y864" t="s">
        <v>12</v>
      </c>
      <c r="Z864" t="s">
        <v>12</v>
      </c>
      <c r="AA864" t="s">
        <v>12</v>
      </c>
      <c r="AB864" t="s">
        <v>12</v>
      </c>
      <c r="AC864" t="s">
        <v>12</v>
      </c>
      <c r="AD864" t="s">
        <v>12</v>
      </c>
      <c r="AE864" t="s">
        <v>12</v>
      </c>
      <c r="AF864" t="s">
        <v>12</v>
      </c>
      <c r="AG864" t="s">
        <v>12</v>
      </c>
      <c r="AH864" t="s">
        <v>12</v>
      </c>
      <c r="AI864" t="s">
        <v>12</v>
      </c>
      <c r="AJ864" t="s">
        <v>12</v>
      </c>
      <c r="AK864" t="s">
        <v>12</v>
      </c>
      <c r="AL864" t="s">
        <v>12</v>
      </c>
      <c r="AM864" t="s">
        <v>12</v>
      </c>
      <c r="AN864" t="s">
        <v>12</v>
      </c>
      <c r="AO864" t="s">
        <v>12</v>
      </c>
    </row>
    <row r="865" spans="1:41" x14ac:dyDescent="0.35">
      <c r="A865">
        <v>14542555</v>
      </c>
      <c r="B865">
        <v>202509</v>
      </c>
      <c r="C865">
        <v>20600918991</v>
      </c>
      <c r="D865" t="s">
        <v>979</v>
      </c>
      <c r="E865" t="s">
        <v>1</v>
      </c>
      <c r="F865">
        <v>10265532</v>
      </c>
      <c r="G865" t="s">
        <v>68</v>
      </c>
      <c r="H865" t="s">
        <v>117</v>
      </c>
      <c r="I865">
        <v>72040.25</v>
      </c>
      <c r="J865" s="1">
        <v>45709</v>
      </c>
      <c r="K865">
        <v>17</v>
      </c>
      <c r="L865" t="s">
        <v>4</v>
      </c>
      <c r="M865" t="s">
        <v>4</v>
      </c>
      <c r="N865" t="s">
        <v>70</v>
      </c>
      <c r="O865">
        <v>202502</v>
      </c>
      <c r="P865">
        <v>115405.75</v>
      </c>
      <c r="Q865" t="s">
        <v>117</v>
      </c>
      <c r="R865" t="s">
        <v>118</v>
      </c>
      <c r="S865" t="s">
        <v>39</v>
      </c>
      <c r="T865" t="s">
        <v>40</v>
      </c>
      <c r="U865" t="s">
        <v>41</v>
      </c>
      <c r="V865">
        <v>1</v>
      </c>
      <c r="W865" t="s">
        <v>10</v>
      </c>
      <c r="X865" t="s">
        <v>11</v>
      </c>
      <c r="Y865">
        <v>1</v>
      </c>
      <c r="Z865">
        <v>1</v>
      </c>
      <c r="AA865">
        <v>0</v>
      </c>
      <c r="AB865">
        <v>0</v>
      </c>
      <c r="AC865">
        <v>1</v>
      </c>
      <c r="AD865">
        <v>1</v>
      </c>
      <c r="AE865">
        <v>0</v>
      </c>
      <c r="AF865" t="s">
        <v>12</v>
      </c>
      <c r="AG865" t="s">
        <v>12</v>
      </c>
      <c r="AH865" t="s">
        <v>12</v>
      </c>
      <c r="AI865" t="s">
        <v>12</v>
      </c>
      <c r="AJ865" t="s">
        <v>12</v>
      </c>
      <c r="AK865">
        <v>400000</v>
      </c>
      <c r="AL865">
        <v>0.18379999999999999</v>
      </c>
      <c r="AM865">
        <v>0.1638</v>
      </c>
      <c r="AN865" t="s">
        <v>12</v>
      </c>
      <c r="AO865" t="s">
        <v>12</v>
      </c>
    </row>
    <row r="866" spans="1:41" x14ac:dyDescent="0.35">
      <c r="A866">
        <v>18404321</v>
      </c>
      <c r="B866">
        <v>202509</v>
      </c>
      <c r="C866">
        <v>10748109396</v>
      </c>
      <c r="D866" t="s">
        <v>1140</v>
      </c>
      <c r="E866">
        <v>74810939</v>
      </c>
      <c r="F866">
        <v>10249352</v>
      </c>
      <c r="G866" t="s">
        <v>65</v>
      </c>
      <c r="H866" t="s">
        <v>183</v>
      </c>
      <c r="I866">
        <v>47930</v>
      </c>
      <c r="J866" s="1">
        <v>45373</v>
      </c>
      <c r="K866">
        <v>13.8</v>
      </c>
      <c r="L866" t="s">
        <v>37</v>
      </c>
      <c r="M866" t="s">
        <v>37</v>
      </c>
      <c r="N866" t="s">
        <v>47</v>
      </c>
      <c r="O866">
        <v>202403</v>
      </c>
      <c r="P866">
        <v>90004.5</v>
      </c>
      <c r="Q866" t="s">
        <v>12</v>
      </c>
      <c r="R866" t="s">
        <v>12</v>
      </c>
      <c r="S866" t="s">
        <v>12</v>
      </c>
      <c r="T866" t="s">
        <v>12</v>
      </c>
      <c r="U866" t="s">
        <v>12</v>
      </c>
      <c r="V866" t="s">
        <v>12</v>
      </c>
      <c r="W866" t="s">
        <v>12</v>
      </c>
      <c r="X866" t="s">
        <v>12</v>
      </c>
      <c r="Y866" t="s">
        <v>12</v>
      </c>
      <c r="Z866" t="s">
        <v>12</v>
      </c>
      <c r="AA866" t="s">
        <v>12</v>
      </c>
      <c r="AB866" t="s">
        <v>12</v>
      </c>
      <c r="AC866" t="s">
        <v>12</v>
      </c>
      <c r="AD866" t="s">
        <v>12</v>
      </c>
      <c r="AE866" t="s">
        <v>12</v>
      </c>
      <c r="AF866" t="s">
        <v>12</v>
      </c>
      <c r="AG866" t="s">
        <v>12</v>
      </c>
      <c r="AH866" t="s">
        <v>12</v>
      </c>
      <c r="AI866" t="s">
        <v>12</v>
      </c>
      <c r="AJ866" t="s">
        <v>12</v>
      </c>
      <c r="AK866" t="s">
        <v>12</v>
      </c>
      <c r="AL866" t="s">
        <v>12</v>
      </c>
      <c r="AM866" t="s">
        <v>12</v>
      </c>
      <c r="AN866" t="s">
        <v>12</v>
      </c>
      <c r="AO866" t="s">
        <v>12</v>
      </c>
    </row>
    <row r="867" spans="1:41" x14ac:dyDescent="0.35">
      <c r="A867">
        <v>9454816</v>
      </c>
      <c r="B867">
        <v>202601</v>
      </c>
      <c r="C867">
        <v>20508894679</v>
      </c>
      <c r="D867" t="s">
        <v>1141</v>
      </c>
      <c r="E867" t="s">
        <v>1</v>
      </c>
      <c r="F867">
        <v>10263040</v>
      </c>
      <c r="G867" t="s">
        <v>73</v>
      </c>
      <c r="H867" t="s">
        <v>18</v>
      </c>
      <c r="I867">
        <v>100869.9296875</v>
      </c>
      <c r="J867" s="1">
        <v>45621</v>
      </c>
      <c r="K867">
        <v>19</v>
      </c>
      <c r="L867" t="s">
        <v>4</v>
      </c>
      <c r="M867" t="s">
        <v>4</v>
      </c>
      <c r="N867" t="s">
        <v>12</v>
      </c>
      <c r="O867">
        <v>202411</v>
      </c>
      <c r="P867">
        <v>200010</v>
      </c>
      <c r="Q867" t="s">
        <v>12</v>
      </c>
      <c r="R867" t="s">
        <v>12</v>
      </c>
      <c r="S867" t="s">
        <v>12</v>
      </c>
      <c r="T867" t="s">
        <v>12</v>
      </c>
      <c r="U867" t="s">
        <v>12</v>
      </c>
      <c r="V867" t="s">
        <v>12</v>
      </c>
      <c r="W867" t="s">
        <v>12</v>
      </c>
      <c r="X867" t="s">
        <v>12</v>
      </c>
      <c r="Y867" t="s">
        <v>12</v>
      </c>
      <c r="Z867" t="s">
        <v>12</v>
      </c>
      <c r="AA867" t="s">
        <v>12</v>
      </c>
      <c r="AB867" t="s">
        <v>12</v>
      </c>
      <c r="AC867" t="s">
        <v>12</v>
      </c>
      <c r="AD867" t="s">
        <v>12</v>
      </c>
      <c r="AE867" t="s">
        <v>12</v>
      </c>
      <c r="AF867" t="s">
        <v>12</v>
      </c>
      <c r="AG867" t="s">
        <v>12</v>
      </c>
      <c r="AH867" t="s">
        <v>12</v>
      </c>
      <c r="AI867" t="s">
        <v>12</v>
      </c>
      <c r="AJ867" t="s">
        <v>12</v>
      </c>
      <c r="AK867" t="s">
        <v>12</v>
      </c>
      <c r="AL867" t="s">
        <v>12</v>
      </c>
      <c r="AM867" t="s">
        <v>12</v>
      </c>
      <c r="AN867" t="s">
        <v>12</v>
      </c>
      <c r="AO867" t="s">
        <v>12</v>
      </c>
    </row>
    <row r="868" spans="1:41" x14ac:dyDescent="0.35">
      <c r="A868">
        <v>10295803</v>
      </c>
      <c r="B868">
        <v>202602</v>
      </c>
      <c r="C868">
        <v>10096581811</v>
      </c>
      <c r="D868" t="s">
        <v>1142</v>
      </c>
      <c r="E868">
        <v>9658181</v>
      </c>
      <c r="F868">
        <v>10274138</v>
      </c>
      <c r="G868" t="s">
        <v>28</v>
      </c>
      <c r="H868" t="s">
        <v>417</v>
      </c>
      <c r="I868">
        <v>38976.30859375</v>
      </c>
      <c r="J868" s="1">
        <v>46013</v>
      </c>
      <c r="K868">
        <v>22.3</v>
      </c>
      <c r="L868" t="s">
        <v>4</v>
      </c>
      <c r="M868" t="s">
        <v>4</v>
      </c>
      <c r="N868" t="s">
        <v>26</v>
      </c>
      <c r="O868">
        <v>202512</v>
      </c>
      <c r="P868">
        <v>40002</v>
      </c>
      <c r="Q868" t="s">
        <v>417</v>
      </c>
      <c r="R868" t="s">
        <v>418</v>
      </c>
      <c r="S868" t="s">
        <v>31</v>
      </c>
      <c r="T868" t="s">
        <v>32</v>
      </c>
      <c r="U868" t="s">
        <v>138</v>
      </c>
      <c r="V868">
        <v>1</v>
      </c>
      <c r="W868" t="s">
        <v>10</v>
      </c>
      <c r="X868" t="s">
        <v>59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 t="s">
        <v>12</v>
      </c>
      <c r="AG868" t="s">
        <v>12</v>
      </c>
      <c r="AH868" t="s">
        <v>12</v>
      </c>
      <c r="AI868" t="s">
        <v>12</v>
      </c>
      <c r="AJ868" t="s">
        <v>12</v>
      </c>
      <c r="AK868">
        <v>0</v>
      </c>
      <c r="AL868">
        <v>0</v>
      </c>
      <c r="AM868">
        <v>0</v>
      </c>
      <c r="AN868" t="s">
        <v>12</v>
      </c>
      <c r="AO868" t="s">
        <v>12</v>
      </c>
    </row>
    <row r="869" spans="1:41" x14ac:dyDescent="0.35">
      <c r="A869">
        <v>19926340</v>
      </c>
      <c r="B869">
        <v>202602</v>
      </c>
      <c r="C869">
        <v>20608928431</v>
      </c>
      <c r="D869" t="s">
        <v>1071</v>
      </c>
      <c r="E869" t="s">
        <v>1</v>
      </c>
      <c r="F869">
        <v>10253650</v>
      </c>
      <c r="G869" t="s">
        <v>65</v>
      </c>
      <c r="H869" t="s">
        <v>265</v>
      </c>
      <c r="I869">
        <v>3923.40576171875</v>
      </c>
      <c r="J869" s="1">
        <v>45436</v>
      </c>
      <c r="K869">
        <v>14.5</v>
      </c>
      <c r="L869" t="s">
        <v>37</v>
      </c>
      <c r="M869" t="s">
        <v>37</v>
      </c>
      <c r="N869" t="s">
        <v>47</v>
      </c>
      <c r="O869">
        <v>202405</v>
      </c>
      <c r="P869">
        <v>90004.5</v>
      </c>
      <c r="Q869" t="s">
        <v>265</v>
      </c>
      <c r="R869" t="s">
        <v>266</v>
      </c>
      <c r="S869" t="s">
        <v>18</v>
      </c>
      <c r="T869" t="s">
        <v>19</v>
      </c>
      <c r="U869" t="s">
        <v>20</v>
      </c>
      <c r="V869">
        <v>1</v>
      </c>
      <c r="W869" t="s">
        <v>10</v>
      </c>
      <c r="X869" t="s">
        <v>22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 t="s">
        <v>12</v>
      </c>
      <c r="AG869" t="s">
        <v>12</v>
      </c>
      <c r="AH869" t="s">
        <v>12</v>
      </c>
      <c r="AI869" t="s">
        <v>12</v>
      </c>
      <c r="AJ869" t="s">
        <v>12</v>
      </c>
      <c r="AK869">
        <v>1</v>
      </c>
      <c r="AL869">
        <v>1</v>
      </c>
      <c r="AM869" t="s">
        <v>12</v>
      </c>
      <c r="AN869" t="s">
        <v>12</v>
      </c>
      <c r="AO869" t="s">
        <v>12</v>
      </c>
    </row>
    <row r="870" spans="1:41" x14ac:dyDescent="0.35">
      <c r="A870">
        <v>15235338</v>
      </c>
      <c r="B870">
        <v>202602</v>
      </c>
      <c r="C870">
        <v>10465591914</v>
      </c>
      <c r="D870" t="s">
        <v>1143</v>
      </c>
      <c r="E870">
        <v>46559191</v>
      </c>
      <c r="F870">
        <v>10253875</v>
      </c>
      <c r="G870" t="s">
        <v>65</v>
      </c>
      <c r="H870" t="s">
        <v>273</v>
      </c>
      <c r="I870">
        <v>36876.88671875</v>
      </c>
      <c r="J870" s="1">
        <v>45440</v>
      </c>
      <c r="K870">
        <v>15.5</v>
      </c>
      <c r="L870" t="s">
        <v>37</v>
      </c>
      <c r="M870" t="s">
        <v>37</v>
      </c>
      <c r="N870" t="s">
        <v>47</v>
      </c>
      <c r="O870">
        <v>202405</v>
      </c>
      <c r="P870">
        <v>90004.5</v>
      </c>
      <c r="Q870" t="s">
        <v>273</v>
      </c>
      <c r="R870" t="s">
        <v>274</v>
      </c>
      <c r="S870" t="s">
        <v>39</v>
      </c>
      <c r="T870" t="s">
        <v>40</v>
      </c>
      <c r="U870" t="s">
        <v>20</v>
      </c>
      <c r="V870">
        <v>1</v>
      </c>
      <c r="W870" t="s">
        <v>10</v>
      </c>
      <c r="X870" t="s">
        <v>59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 t="s">
        <v>12</v>
      </c>
      <c r="AG870" t="s">
        <v>12</v>
      </c>
      <c r="AH870" t="s">
        <v>12</v>
      </c>
      <c r="AI870" t="s">
        <v>12</v>
      </c>
      <c r="AJ870" t="s">
        <v>12</v>
      </c>
      <c r="AK870">
        <v>1</v>
      </c>
      <c r="AL870">
        <v>1</v>
      </c>
      <c r="AM870" t="s">
        <v>12</v>
      </c>
      <c r="AN870" t="s">
        <v>12</v>
      </c>
      <c r="AO870" t="s">
        <v>12</v>
      </c>
    </row>
    <row r="871" spans="1:41" x14ac:dyDescent="0.35">
      <c r="A871">
        <v>21486024</v>
      </c>
      <c r="B871">
        <v>202512</v>
      </c>
      <c r="C871">
        <v>10199437823</v>
      </c>
      <c r="D871" t="s">
        <v>1144</v>
      </c>
      <c r="E871">
        <v>19943782</v>
      </c>
      <c r="F871">
        <v>10265467</v>
      </c>
      <c r="G871" t="s">
        <v>73</v>
      </c>
      <c r="H871" t="s">
        <v>85</v>
      </c>
      <c r="I871">
        <v>99645.625</v>
      </c>
      <c r="J871" s="1">
        <v>45707</v>
      </c>
      <c r="K871">
        <v>16</v>
      </c>
      <c r="L871" t="s">
        <v>4</v>
      </c>
      <c r="M871" t="s">
        <v>75</v>
      </c>
      <c r="N871" t="s">
        <v>20</v>
      </c>
      <c r="O871">
        <v>202502</v>
      </c>
      <c r="P871">
        <v>150007.5</v>
      </c>
      <c r="Q871" t="s">
        <v>85</v>
      </c>
      <c r="R871" t="s">
        <v>87</v>
      </c>
      <c r="S871" t="s">
        <v>88</v>
      </c>
      <c r="T871" t="s">
        <v>89</v>
      </c>
      <c r="U871" t="s">
        <v>41</v>
      </c>
      <c r="V871">
        <v>2</v>
      </c>
      <c r="W871" t="s">
        <v>10</v>
      </c>
      <c r="X871" t="s">
        <v>59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 t="s">
        <v>12</v>
      </c>
      <c r="AG871" t="s">
        <v>12</v>
      </c>
      <c r="AH871" t="s">
        <v>12</v>
      </c>
      <c r="AI871" t="s">
        <v>12</v>
      </c>
      <c r="AJ871" t="s">
        <v>12</v>
      </c>
      <c r="AK871">
        <v>200000</v>
      </c>
      <c r="AL871">
        <v>0.21920000000000001</v>
      </c>
      <c r="AM871">
        <v>0.19919999999999999</v>
      </c>
      <c r="AN871" t="s">
        <v>12</v>
      </c>
      <c r="AO871" t="s">
        <v>12</v>
      </c>
    </row>
    <row r="872" spans="1:41" x14ac:dyDescent="0.35">
      <c r="A872">
        <v>12530055</v>
      </c>
      <c r="B872">
        <v>202507</v>
      </c>
      <c r="C872">
        <v>20538232972</v>
      </c>
      <c r="D872" t="s">
        <v>1145</v>
      </c>
      <c r="E872" t="s">
        <v>1</v>
      </c>
      <c r="F872">
        <v>10155737</v>
      </c>
      <c r="G872" t="s">
        <v>2</v>
      </c>
      <c r="H872" t="s">
        <v>127</v>
      </c>
      <c r="I872">
        <v>26031.828125</v>
      </c>
      <c r="J872" t="s">
        <v>12</v>
      </c>
      <c r="K872" t="s">
        <v>12</v>
      </c>
      <c r="L872" t="s">
        <v>12</v>
      </c>
      <c r="M872" t="s">
        <v>12</v>
      </c>
      <c r="N872" t="s">
        <v>12</v>
      </c>
      <c r="O872" t="s">
        <v>12</v>
      </c>
      <c r="P872" t="s">
        <v>12</v>
      </c>
      <c r="Q872" t="s">
        <v>12</v>
      </c>
      <c r="R872" t="s">
        <v>12</v>
      </c>
      <c r="S872" t="s">
        <v>12</v>
      </c>
      <c r="T872" t="s">
        <v>12</v>
      </c>
      <c r="U872" t="s">
        <v>12</v>
      </c>
      <c r="V872" t="s">
        <v>12</v>
      </c>
      <c r="W872" t="s">
        <v>12</v>
      </c>
      <c r="X872" t="s">
        <v>12</v>
      </c>
      <c r="Y872" t="s">
        <v>12</v>
      </c>
      <c r="Z872" t="s">
        <v>12</v>
      </c>
      <c r="AA872" t="s">
        <v>12</v>
      </c>
      <c r="AB872" t="s">
        <v>12</v>
      </c>
      <c r="AC872" t="s">
        <v>12</v>
      </c>
      <c r="AD872" t="s">
        <v>12</v>
      </c>
      <c r="AE872" t="s">
        <v>12</v>
      </c>
      <c r="AF872" t="s">
        <v>12</v>
      </c>
      <c r="AG872" t="s">
        <v>12</v>
      </c>
      <c r="AH872" t="s">
        <v>12</v>
      </c>
      <c r="AI872" t="s">
        <v>12</v>
      </c>
      <c r="AJ872" t="s">
        <v>12</v>
      </c>
      <c r="AK872" t="s">
        <v>12</v>
      </c>
      <c r="AL872" t="s">
        <v>12</v>
      </c>
      <c r="AM872" t="s">
        <v>12</v>
      </c>
      <c r="AN872" t="s">
        <v>12</v>
      </c>
      <c r="AO872" t="s">
        <v>12</v>
      </c>
    </row>
    <row r="873" spans="1:41" x14ac:dyDescent="0.35">
      <c r="A873">
        <v>14385218</v>
      </c>
      <c r="B873">
        <v>202509</v>
      </c>
      <c r="C873">
        <v>20532522146</v>
      </c>
      <c r="D873" t="s">
        <v>1146</v>
      </c>
      <c r="E873" t="s">
        <v>1</v>
      </c>
      <c r="F873">
        <v>10156708</v>
      </c>
      <c r="G873" t="s">
        <v>2</v>
      </c>
      <c r="H873" t="s">
        <v>57</v>
      </c>
      <c r="I873">
        <v>83272.2265625</v>
      </c>
      <c r="J873" s="1">
        <v>45530</v>
      </c>
      <c r="K873">
        <v>20.5</v>
      </c>
      <c r="L873" t="s">
        <v>4</v>
      </c>
      <c r="M873" t="s">
        <v>4</v>
      </c>
      <c r="N873" t="s">
        <v>5</v>
      </c>
      <c r="O873">
        <v>202408</v>
      </c>
      <c r="P873">
        <v>150007.5</v>
      </c>
      <c r="Q873" t="s">
        <v>57</v>
      </c>
      <c r="R873" t="s">
        <v>58</v>
      </c>
      <c r="S873" t="s">
        <v>39</v>
      </c>
      <c r="T873" t="s">
        <v>40</v>
      </c>
      <c r="U873" t="s">
        <v>20</v>
      </c>
      <c r="V873">
        <v>1</v>
      </c>
      <c r="W873" t="s">
        <v>10</v>
      </c>
      <c r="X873" t="s">
        <v>22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12</v>
      </c>
      <c r="AG873" t="s">
        <v>12</v>
      </c>
      <c r="AH873" t="s">
        <v>12</v>
      </c>
      <c r="AI873" t="s">
        <v>12</v>
      </c>
      <c r="AJ873" t="s">
        <v>12</v>
      </c>
      <c r="AK873">
        <v>1</v>
      </c>
      <c r="AL873">
        <v>1</v>
      </c>
      <c r="AM873" t="s">
        <v>12</v>
      </c>
      <c r="AN873" t="s">
        <v>12</v>
      </c>
      <c r="AO873" t="s">
        <v>12</v>
      </c>
    </row>
    <row r="874" spans="1:41" x14ac:dyDescent="0.35">
      <c r="A874">
        <v>21696548</v>
      </c>
      <c r="B874">
        <v>202512</v>
      </c>
      <c r="C874">
        <v>20603688261</v>
      </c>
      <c r="D874" t="s">
        <v>1147</v>
      </c>
      <c r="E874" t="s">
        <v>1</v>
      </c>
      <c r="F874">
        <v>10268733</v>
      </c>
      <c r="G874" t="s">
        <v>24</v>
      </c>
      <c r="H874" t="s">
        <v>159</v>
      </c>
      <c r="I874">
        <v>22288.115234375</v>
      </c>
      <c r="J874" s="1">
        <v>45825</v>
      </c>
      <c r="K874">
        <v>19.5</v>
      </c>
      <c r="L874" t="s">
        <v>37</v>
      </c>
      <c r="M874" t="s">
        <v>37</v>
      </c>
      <c r="N874" t="s">
        <v>98</v>
      </c>
      <c r="O874">
        <v>202506</v>
      </c>
      <c r="P874">
        <v>32001.599999999999</v>
      </c>
      <c r="Q874" t="s">
        <v>69</v>
      </c>
      <c r="R874" t="s">
        <v>71</v>
      </c>
      <c r="S874" t="s">
        <v>7</v>
      </c>
      <c r="T874" t="s">
        <v>8</v>
      </c>
      <c r="U874" t="s">
        <v>41</v>
      </c>
      <c r="V874">
        <v>1</v>
      </c>
      <c r="W874" t="s">
        <v>10</v>
      </c>
      <c r="X874" t="s">
        <v>51</v>
      </c>
      <c r="Y874">
        <v>1</v>
      </c>
      <c r="Z874">
        <v>1</v>
      </c>
      <c r="AA874">
        <v>0</v>
      </c>
      <c r="AB874">
        <v>0</v>
      </c>
      <c r="AC874">
        <v>1</v>
      </c>
      <c r="AD874">
        <v>0</v>
      </c>
      <c r="AE874">
        <v>0</v>
      </c>
      <c r="AF874" t="s">
        <v>12</v>
      </c>
      <c r="AG874" t="s">
        <v>12</v>
      </c>
      <c r="AH874" t="s">
        <v>12</v>
      </c>
      <c r="AI874" t="s">
        <v>12</v>
      </c>
      <c r="AJ874" t="s">
        <v>12</v>
      </c>
      <c r="AK874">
        <v>143000</v>
      </c>
      <c r="AL874">
        <v>0.21</v>
      </c>
      <c r="AM874">
        <v>0.17</v>
      </c>
      <c r="AN874" t="s">
        <v>12</v>
      </c>
      <c r="AO874" t="s">
        <v>12</v>
      </c>
    </row>
    <row r="875" spans="1:41" x14ac:dyDescent="0.35">
      <c r="A875">
        <v>21480468</v>
      </c>
      <c r="B875">
        <v>202502</v>
      </c>
      <c r="C875">
        <v>20603840527</v>
      </c>
      <c r="D875" t="s">
        <v>1148</v>
      </c>
      <c r="E875" t="s">
        <v>1</v>
      </c>
      <c r="F875">
        <v>10265325</v>
      </c>
      <c r="G875" t="s">
        <v>24</v>
      </c>
      <c r="H875" t="s">
        <v>159</v>
      </c>
      <c r="I875">
        <v>50002.4921875</v>
      </c>
      <c r="J875" s="1">
        <v>45701</v>
      </c>
      <c r="K875">
        <v>23</v>
      </c>
      <c r="L875" t="s">
        <v>37</v>
      </c>
      <c r="M875" t="s">
        <v>37</v>
      </c>
      <c r="N875" t="s">
        <v>98</v>
      </c>
      <c r="O875">
        <v>202502</v>
      </c>
      <c r="P875">
        <v>50002.5</v>
      </c>
      <c r="Q875" t="s">
        <v>249</v>
      </c>
      <c r="R875" t="s">
        <v>672</v>
      </c>
      <c r="S875" t="s">
        <v>585</v>
      </c>
      <c r="T875" t="s">
        <v>586</v>
      </c>
      <c r="U875" t="s">
        <v>98</v>
      </c>
      <c r="V875">
        <v>3</v>
      </c>
      <c r="W875" t="s">
        <v>10</v>
      </c>
      <c r="X875" t="s">
        <v>12</v>
      </c>
      <c r="Y875">
        <v>1</v>
      </c>
      <c r="Z875">
        <v>1</v>
      </c>
      <c r="AA875">
        <v>1</v>
      </c>
      <c r="AB875">
        <v>1</v>
      </c>
      <c r="AC875">
        <v>1</v>
      </c>
      <c r="AD875" t="s">
        <v>12</v>
      </c>
      <c r="AE875">
        <v>50002.5</v>
      </c>
      <c r="AF875">
        <v>23</v>
      </c>
      <c r="AG875" s="1">
        <v>45701</v>
      </c>
      <c r="AH875" t="s">
        <v>98</v>
      </c>
      <c r="AI875" t="s">
        <v>37</v>
      </c>
      <c r="AJ875" t="s">
        <v>33</v>
      </c>
      <c r="AK875">
        <v>102000</v>
      </c>
      <c r="AL875">
        <v>0.27</v>
      </c>
      <c r="AM875">
        <v>0.25</v>
      </c>
      <c r="AN875" t="s">
        <v>12</v>
      </c>
      <c r="AO875" t="s">
        <v>33</v>
      </c>
    </row>
    <row r="876" spans="1:41" x14ac:dyDescent="0.35">
      <c r="A876">
        <v>15322387</v>
      </c>
      <c r="B876">
        <v>202509</v>
      </c>
      <c r="C876">
        <v>10413461761</v>
      </c>
      <c r="D876" t="s">
        <v>1149</v>
      </c>
      <c r="E876">
        <v>41346176</v>
      </c>
      <c r="F876">
        <v>10153853</v>
      </c>
      <c r="G876" t="s">
        <v>2</v>
      </c>
      <c r="H876" t="s">
        <v>244</v>
      </c>
      <c r="I876">
        <v>164046.046875</v>
      </c>
      <c r="J876" s="1">
        <v>45744</v>
      </c>
      <c r="K876">
        <v>15</v>
      </c>
      <c r="L876" t="s">
        <v>4</v>
      </c>
      <c r="M876" t="s">
        <v>4</v>
      </c>
      <c r="N876" t="s">
        <v>5</v>
      </c>
      <c r="O876">
        <v>202503</v>
      </c>
      <c r="P876">
        <v>200010</v>
      </c>
      <c r="Q876" t="s">
        <v>244</v>
      </c>
      <c r="R876" t="s">
        <v>297</v>
      </c>
      <c r="S876" t="s">
        <v>7</v>
      </c>
      <c r="T876" t="s">
        <v>8</v>
      </c>
      <c r="U876" t="s">
        <v>20</v>
      </c>
      <c r="V876">
        <v>1</v>
      </c>
      <c r="W876" t="s">
        <v>10</v>
      </c>
      <c r="X876" t="s">
        <v>59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 t="s">
        <v>12</v>
      </c>
      <c r="AG876" t="s">
        <v>12</v>
      </c>
      <c r="AH876" t="s">
        <v>12</v>
      </c>
      <c r="AI876" t="s">
        <v>12</v>
      </c>
      <c r="AJ876" t="s">
        <v>12</v>
      </c>
      <c r="AK876">
        <v>1</v>
      </c>
      <c r="AL876">
        <v>1</v>
      </c>
      <c r="AM876" t="s">
        <v>12</v>
      </c>
      <c r="AN876" t="s">
        <v>12</v>
      </c>
      <c r="AO876" t="s">
        <v>12</v>
      </c>
    </row>
    <row r="877" spans="1:41" x14ac:dyDescent="0.35">
      <c r="A877">
        <v>13893589</v>
      </c>
      <c r="B877">
        <v>202506</v>
      </c>
      <c r="C877">
        <v>20487519546</v>
      </c>
      <c r="D877" t="s">
        <v>1150</v>
      </c>
      <c r="E877" t="s">
        <v>1</v>
      </c>
      <c r="F877">
        <v>10249195</v>
      </c>
      <c r="G877" t="s">
        <v>65</v>
      </c>
      <c r="H877" t="s">
        <v>257</v>
      </c>
      <c r="I877">
        <v>26525.61328125</v>
      </c>
      <c r="J877" s="1">
        <v>45363</v>
      </c>
      <c r="K877">
        <v>14.2</v>
      </c>
      <c r="L877" t="s">
        <v>37</v>
      </c>
      <c r="M877" t="s">
        <v>37</v>
      </c>
      <c r="N877" t="s">
        <v>47</v>
      </c>
      <c r="O877">
        <v>202403</v>
      </c>
      <c r="P877">
        <v>90004.5</v>
      </c>
      <c r="Q877" t="s">
        <v>257</v>
      </c>
      <c r="R877" t="s">
        <v>258</v>
      </c>
      <c r="S877" t="s">
        <v>49</v>
      </c>
      <c r="T877" t="s">
        <v>50</v>
      </c>
      <c r="U877" t="s">
        <v>20</v>
      </c>
      <c r="V877">
        <v>1</v>
      </c>
      <c r="W877" t="s">
        <v>10</v>
      </c>
      <c r="X877" t="s">
        <v>12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 t="s">
        <v>12</v>
      </c>
      <c r="AG877" t="s">
        <v>12</v>
      </c>
      <c r="AH877" t="s">
        <v>12</v>
      </c>
      <c r="AI877" t="s">
        <v>12</v>
      </c>
      <c r="AJ877" t="s">
        <v>12</v>
      </c>
      <c r="AK877">
        <v>1</v>
      </c>
      <c r="AL877">
        <v>0.20330000000000001</v>
      </c>
      <c r="AM877" t="s">
        <v>12</v>
      </c>
      <c r="AN877" t="s">
        <v>12</v>
      </c>
      <c r="AO877" t="s">
        <v>12</v>
      </c>
    </row>
    <row r="878" spans="1:41" x14ac:dyDescent="0.35">
      <c r="A878">
        <v>13226233</v>
      </c>
      <c r="B878">
        <v>202602</v>
      </c>
      <c r="C878">
        <v>20451696000</v>
      </c>
      <c r="D878" t="s">
        <v>1151</v>
      </c>
      <c r="E878" t="s">
        <v>1</v>
      </c>
      <c r="F878">
        <v>10274545</v>
      </c>
      <c r="G878" t="s">
        <v>92</v>
      </c>
      <c r="H878" t="s">
        <v>3</v>
      </c>
      <c r="I878">
        <v>286757.09375</v>
      </c>
      <c r="J878" s="1">
        <v>46036</v>
      </c>
      <c r="K878">
        <v>16.799999</v>
      </c>
      <c r="L878" t="s">
        <v>4</v>
      </c>
      <c r="M878" t="s">
        <v>4</v>
      </c>
      <c r="N878" t="s">
        <v>41</v>
      </c>
      <c r="O878">
        <v>202601</v>
      </c>
      <c r="P878">
        <v>350017.5</v>
      </c>
      <c r="Q878" t="s">
        <v>3</v>
      </c>
      <c r="R878" t="s">
        <v>6</v>
      </c>
      <c r="S878" t="s">
        <v>7</v>
      </c>
      <c r="T878" t="s">
        <v>8</v>
      </c>
      <c r="U878" t="s">
        <v>41</v>
      </c>
      <c r="V878">
        <v>1</v>
      </c>
      <c r="W878" t="s">
        <v>10</v>
      </c>
      <c r="X878" t="s">
        <v>51</v>
      </c>
      <c r="Y878">
        <v>1</v>
      </c>
      <c r="Z878">
        <v>1</v>
      </c>
      <c r="AA878">
        <v>0</v>
      </c>
      <c r="AB878">
        <v>0</v>
      </c>
      <c r="AC878">
        <v>1</v>
      </c>
      <c r="AD878">
        <v>1</v>
      </c>
      <c r="AE878">
        <v>0</v>
      </c>
      <c r="AF878" t="s">
        <v>12</v>
      </c>
      <c r="AG878" t="s">
        <v>12</v>
      </c>
      <c r="AH878" t="s">
        <v>12</v>
      </c>
      <c r="AI878" t="s">
        <v>12</v>
      </c>
      <c r="AJ878" t="s">
        <v>12</v>
      </c>
      <c r="AK878">
        <v>125000</v>
      </c>
      <c r="AL878">
        <v>0.21</v>
      </c>
      <c r="AM878">
        <v>0.19</v>
      </c>
      <c r="AN878" t="s">
        <v>12</v>
      </c>
      <c r="AO878" t="s">
        <v>12</v>
      </c>
    </row>
    <row r="879" spans="1:41" x14ac:dyDescent="0.35">
      <c r="A879">
        <v>17747734</v>
      </c>
      <c r="B879">
        <v>202505</v>
      </c>
      <c r="C879">
        <v>10430353468</v>
      </c>
      <c r="D879" t="s">
        <v>1152</v>
      </c>
      <c r="E879">
        <v>43035346</v>
      </c>
      <c r="F879">
        <v>10251772</v>
      </c>
      <c r="G879" t="s">
        <v>53</v>
      </c>
      <c r="H879" t="s">
        <v>230</v>
      </c>
      <c r="I879">
        <v>66185.125</v>
      </c>
      <c r="J879" s="1">
        <v>45408</v>
      </c>
      <c r="K879">
        <v>14.2</v>
      </c>
      <c r="L879" t="s">
        <v>4</v>
      </c>
      <c r="M879" t="s">
        <v>4</v>
      </c>
      <c r="N879" t="s">
        <v>47</v>
      </c>
      <c r="O879">
        <v>202404</v>
      </c>
      <c r="P879">
        <v>90004.5</v>
      </c>
      <c r="Q879" t="s">
        <v>12</v>
      </c>
      <c r="R879" t="s">
        <v>12</v>
      </c>
      <c r="S879" t="s">
        <v>12</v>
      </c>
      <c r="T879" t="s">
        <v>12</v>
      </c>
      <c r="U879" t="s">
        <v>12</v>
      </c>
      <c r="V879" t="s">
        <v>12</v>
      </c>
      <c r="W879" t="s">
        <v>12</v>
      </c>
      <c r="X879" t="s">
        <v>12</v>
      </c>
      <c r="Y879" t="s">
        <v>12</v>
      </c>
      <c r="Z879" t="s">
        <v>12</v>
      </c>
      <c r="AA879" t="s">
        <v>12</v>
      </c>
      <c r="AB879" t="s">
        <v>12</v>
      </c>
      <c r="AC879" t="s">
        <v>12</v>
      </c>
      <c r="AD879" t="s">
        <v>12</v>
      </c>
      <c r="AE879" t="s">
        <v>12</v>
      </c>
      <c r="AF879" t="s">
        <v>12</v>
      </c>
      <c r="AG879" t="s">
        <v>12</v>
      </c>
      <c r="AH879" t="s">
        <v>12</v>
      </c>
      <c r="AI879" t="s">
        <v>12</v>
      </c>
      <c r="AJ879" t="s">
        <v>12</v>
      </c>
      <c r="AK879" t="s">
        <v>12</v>
      </c>
      <c r="AL879" t="s">
        <v>12</v>
      </c>
      <c r="AM879" t="s">
        <v>12</v>
      </c>
      <c r="AN879" t="s">
        <v>12</v>
      </c>
      <c r="AO879" t="s">
        <v>12</v>
      </c>
    </row>
    <row r="880" spans="1:41" x14ac:dyDescent="0.35">
      <c r="A880">
        <v>20542289</v>
      </c>
      <c r="B880">
        <v>202506</v>
      </c>
      <c r="C880">
        <v>20603071884</v>
      </c>
      <c r="D880" t="s">
        <v>1153</v>
      </c>
      <c r="E880" t="s">
        <v>1</v>
      </c>
      <c r="F880">
        <v>10246946</v>
      </c>
      <c r="G880" t="s">
        <v>14</v>
      </c>
      <c r="H880" t="s">
        <v>159</v>
      </c>
      <c r="I880">
        <v>21530.330078125</v>
      </c>
      <c r="J880" s="1">
        <v>45288</v>
      </c>
      <c r="K880">
        <v>21.34</v>
      </c>
      <c r="L880" t="s">
        <v>37</v>
      </c>
      <c r="M880" t="s">
        <v>37</v>
      </c>
      <c r="N880" t="s">
        <v>16</v>
      </c>
      <c r="O880">
        <v>202312</v>
      </c>
      <c r="P880">
        <v>30401.5</v>
      </c>
      <c r="Q880" t="s">
        <v>12</v>
      </c>
      <c r="R880" t="s">
        <v>12</v>
      </c>
      <c r="S880" t="s">
        <v>12</v>
      </c>
      <c r="T880" t="s">
        <v>12</v>
      </c>
      <c r="U880" t="s">
        <v>12</v>
      </c>
      <c r="V880" t="s">
        <v>12</v>
      </c>
      <c r="W880" t="s">
        <v>12</v>
      </c>
      <c r="X880" t="s">
        <v>12</v>
      </c>
      <c r="Y880" t="s">
        <v>12</v>
      </c>
      <c r="Z880" t="s">
        <v>12</v>
      </c>
      <c r="AA880" t="s">
        <v>12</v>
      </c>
      <c r="AB880" t="s">
        <v>12</v>
      </c>
      <c r="AC880" t="s">
        <v>12</v>
      </c>
      <c r="AD880" t="s">
        <v>12</v>
      </c>
      <c r="AE880" t="s">
        <v>12</v>
      </c>
      <c r="AF880" t="s">
        <v>12</v>
      </c>
      <c r="AG880" t="s">
        <v>12</v>
      </c>
      <c r="AH880" t="s">
        <v>12</v>
      </c>
      <c r="AI880" t="s">
        <v>12</v>
      </c>
      <c r="AJ880" t="s">
        <v>12</v>
      </c>
      <c r="AK880" t="s">
        <v>12</v>
      </c>
      <c r="AL880" t="s">
        <v>12</v>
      </c>
      <c r="AM880" t="s">
        <v>12</v>
      </c>
      <c r="AN880" t="s">
        <v>12</v>
      </c>
      <c r="AO880" t="s">
        <v>12</v>
      </c>
    </row>
    <row r="881" spans="1:41" x14ac:dyDescent="0.35">
      <c r="A881">
        <v>21085312</v>
      </c>
      <c r="B881">
        <v>202505</v>
      </c>
      <c r="C881">
        <v>20607281824</v>
      </c>
      <c r="D881" t="s">
        <v>142</v>
      </c>
      <c r="E881" t="s">
        <v>1</v>
      </c>
      <c r="F881">
        <v>10259151</v>
      </c>
      <c r="G881" t="s">
        <v>45</v>
      </c>
      <c r="H881" t="s">
        <v>82</v>
      </c>
      <c r="I881">
        <v>3349.33178710938</v>
      </c>
      <c r="J881" s="1">
        <v>45523</v>
      </c>
      <c r="K881">
        <v>15.5</v>
      </c>
      <c r="L881" t="s">
        <v>37</v>
      </c>
      <c r="M881" t="s">
        <v>37</v>
      </c>
      <c r="N881" t="s">
        <v>47</v>
      </c>
      <c r="O881">
        <v>202408</v>
      </c>
      <c r="P881">
        <v>90004.5</v>
      </c>
      <c r="Q881" t="s">
        <v>82</v>
      </c>
      <c r="R881" t="s">
        <v>83</v>
      </c>
      <c r="S881" t="s">
        <v>49</v>
      </c>
      <c r="T881" t="s">
        <v>50</v>
      </c>
      <c r="U881" t="s">
        <v>41</v>
      </c>
      <c r="V881">
        <v>1</v>
      </c>
      <c r="W881" t="s">
        <v>10</v>
      </c>
      <c r="X881" t="s">
        <v>12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0</v>
      </c>
      <c r="AE881">
        <v>390019.5</v>
      </c>
      <c r="AF881">
        <v>16</v>
      </c>
      <c r="AG881" s="1">
        <v>45807</v>
      </c>
      <c r="AH881" t="s">
        <v>41</v>
      </c>
      <c r="AI881" t="s">
        <v>4</v>
      </c>
      <c r="AJ881" t="s">
        <v>33</v>
      </c>
      <c r="AK881">
        <v>400000</v>
      </c>
      <c r="AL881">
        <v>0.2</v>
      </c>
      <c r="AM881">
        <v>0.17780000000000001</v>
      </c>
      <c r="AN881" t="s">
        <v>12</v>
      </c>
      <c r="AO881" t="s">
        <v>12</v>
      </c>
    </row>
    <row r="882" spans="1:41" x14ac:dyDescent="0.35">
      <c r="A882">
        <v>13426205</v>
      </c>
      <c r="B882">
        <v>202502</v>
      </c>
      <c r="C882">
        <v>10444712592</v>
      </c>
      <c r="D882" t="s">
        <v>1154</v>
      </c>
      <c r="E882">
        <v>44471259</v>
      </c>
      <c r="F882">
        <v>10241419</v>
      </c>
      <c r="G882" t="s">
        <v>92</v>
      </c>
      <c r="H882" t="s">
        <v>246</v>
      </c>
      <c r="I882">
        <v>20524.830078125</v>
      </c>
      <c r="J882" s="1">
        <v>45120</v>
      </c>
      <c r="K882">
        <v>20.100000000000001</v>
      </c>
      <c r="L882" t="s">
        <v>4</v>
      </c>
      <c r="M882" t="s">
        <v>4</v>
      </c>
      <c r="N882" t="s">
        <v>41</v>
      </c>
      <c r="O882">
        <v>202307</v>
      </c>
      <c r="P882">
        <v>85004.25</v>
      </c>
      <c r="Q882" t="s">
        <v>246</v>
      </c>
      <c r="R882" t="s">
        <v>247</v>
      </c>
      <c r="S882" t="s">
        <v>18</v>
      </c>
      <c r="T882" t="s">
        <v>122</v>
      </c>
      <c r="U882" t="s">
        <v>333</v>
      </c>
      <c r="V882">
        <v>1</v>
      </c>
      <c r="W882" t="s">
        <v>90</v>
      </c>
      <c r="X882" t="s">
        <v>12</v>
      </c>
      <c r="Y882">
        <v>1</v>
      </c>
      <c r="Z882">
        <v>1</v>
      </c>
      <c r="AA882">
        <v>0</v>
      </c>
      <c r="AB882">
        <v>1</v>
      </c>
      <c r="AC882">
        <v>1</v>
      </c>
      <c r="AD882">
        <v>0</v>
      </c>
      <c r="AE882">
        <v>0</v>
      </c>
      <c r="AF882" t="s">
        <v>12</v>
      </c>
      <c r="AG882" t="s">
        <v>12</v>
      </c>
      <c r="AH882" t="s">
        <v>12</v>
      </c>
      <c r="AI882" t="s">
        <v>12</v>
      </c>
      <c r="AJ882" t="s">
        <v>12</v>
      </c>
      <c r="AK882">
        <v>500000</v>
      </c>
      <c r="AL882">
        <v>0.17299999999999999</v>
      </c>
      <c r="AM882">
        <v>0.153</v>
      </c>
      <c r="AN882" t="s">
        <v>12</v>
      </c>
      <c r="AO882" t="s">
        <v>12</v>
      </c>
    </row>
    <row r="883" spans="1:41" x14ac:dyDescent="0.35">
      <c r="A883">
        <v>12745851</v>
      </c>
      <c r="B883">
        <v>202508</v>
      </c>
      <c r="C883">
        <v>10258072290</v>
      </c>
      <c r="D883" t="s">
        <v>1155</v>
      </c>
      <c r="E883">
        <v>25807229</v>
      </c>
      <c r="F883">
        <v>10248754</v>
      </c>
      <c r="G883" t="s">
        <v>65</v>
      </c>
      <c r="H883" t="s">
        <v>111</v>
      </c>
      <c r="I883">
        <v>2000.25402832031</v>
      </c>
      <c r="J883" s="1">
        <v>45351</v>
      </c>
      <c r="K883">
        <v>13.9</v>
      </c>
      <c r="L883" t="s">
        <v>4</v>
      </c>
      <c r="M883" t="s">
        <v>4</v>
      </c>
      <c r="N883" t="s">
        <v>47</v>
      </c>
      <c r="O883">
        <v>202402</v>
      </c>
      <c r="P883">
        <v>32387.23</v>
      </c>
      <c r="Q883" t="s">
        <v>12</v>
      </c>
      <c r="R883" t="s">
        <v>12</v>
      </c>
      <c r="S883" t="s">
        <v>12</v>
      </c>
      <c r="T883" t="s">
        <v>12</v>
      </c>
      <c r="U883" t="s">
        <v>12</v>
      </c>
      <c r="V883" t="s">
        <v>12</v>
      </c>
      <c r="W883" t="s">
        <v>12</v>
      </c>
      <c r="X883" t="s">
        <v>12</v>
      </c>
      <c r="Y883" t="s">
        <v>12</v>
      </c>
      <c r="Z883" t="s">
        <v>12</v>
      </c>
      <c r="AA883" t="s">
        <v>12</v>
      </c>
      <c r="AB883" t="s">
        <v>12</v>
      </c>
      <c r="AC883" t="s">
        <v>12</v>
      </c>
      <c r="AD883" t="s">
        <v>12</v>
      </c>
      <c r="AE883" t="s">
        <v>12</v>
      </c>
      <c r="AF883" t="s">
        <v>12</v>
      </c>
      <c r="AG883" t="s">
        <v>12</v>
      </c>
      <c r="AH883" t="s">
        <v>12</v>
      </c>
      <c r="AI883" t="s">
        <v>12</v>
      </c>
      <c r="AJ883" t="s">
        <v>12</v>
      </c>
      <c r="AK883" t="s">
        <v>12</v>
      </c>
      <c r="AL883" t="s">
        <v>12</v>
      </c>
      <c r="AM883" t="s">
        <v>12</v>
      </c>
      <c r="AN883" t="s">
        <v>12</v>
      </c>
      <c r="AO883" t="s">
        <v>12</v>
      </c>
    </row>
    <row r="884" spans="1:41" x14ac:dyDescent="0.35">
      <c r="A884">
        <v>12558814</v>
      </c>
      <c r="B884">
        <v>202509</v>
      </c>
      <c r="C884">
        <v>20393257645</v>
      </c>
      <c r="D884" t="s">
        <v>1156</v>
      </c>
      <c r="E884" t="s">
        <v>1</v>
      </c>
      <c r="F884">
        <v>10271146</v>
      </c>
      <c r="G884" t="s">
        <v>14</v>
      </c>
      <c r="H884" t="s">
        <v>317</v>
      </c>
      <c r="I884">
        <v>99304.9453125</v>
      </c>
      <c r="J884" s="1">
        <v>45909</v>
      </c>
      <c r="K884">
        <v>19</v>
      </c>
      <c r="L884" t="s">
        <v>86</v>
      </c>
      <c r="M884" t="s">
        <v>86</v>
      </c>
      <c r="N884" t="s">
        <v>16</v>
      </c>
      <c r="O884">
        <v>202509</v>
      </c>
      <c r="P884">
        <v>99304.95</v>
      </c>
      <c r="Q884" t="s">
        <v>317</v>
      </c>
      <c r="R884" t="s">
        <v>318</v>
      </c>
      <c r="S884" t="s">
        <v>88</v>
      </c>
      <c r="T884" t="s">
        <v>89</v>
      </c>
      <c r="U884" t="s">
        <v>16</v>
      </c>
      <c r="V884">
        <v>2</v>
      </c>
      <c r="W884" t="s">
        <v>10</v>
      </c>
      <c r="X884" t="s">
        <v>59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99304.95</v>
      </c>
      <c r="AF884">
        <v>19</v>
      </c>
      <c r="AG884" s="1">
        <v>45909</v>
      </c>
      <c r="AH884" t="s">
        <v>16</v>
      </c>
      <c r="AI884" t="s">
        <v>86</v>
      </c>
      <c r="AJ884" t="s">
        <v>33</v>
      </c>
      <c r="AK884">
        <v>99300</v>
      </c>
      <c r="AL884">
        <v>0.251</v>
      </c>
      <c r="AM884">
        <v>0.192</v>
      </c>
      <c r="AN884" t="s">
        <v>12</v>
      </c>
      <c r="AO884" t="s">
        <v>12</v>
      </c>
    </row>
    <row r="885" spans="1:41" x14ac:dyDescent="0.35">
      <c r="A885">
        <v>19159013</v>
      </c>
      <c r="B885">
        <v>202506</v>
      </c>
      <c r="C885">
        <v>20609463245</v>
      </c>
      <c r="D885" t="s">
        <v>1157</v>
      </c>
      <c r="E885" t="s">
        <v>1</v>
      </c>
      <c r="F885">
        <v>10267976</v>
      </c>
      <c r="G885" t="s">
        <v>28</v>
      </c>
      <c r="H885" t="s">
        <v>422</v>
      </c>
      <c r="I885">
        <v>137931.5</v>
      </c>
      <c r="J885" s="1">
        <v>45798</v>
      </c>
      <c r="K885">
        <v>20</v>
      </c>
      <c r="L885" t="s">
        <v>4</v>
      </c>
      <c r="M885" t="s">
        <v>4</v>
      </c>
      <c r="N885" t="s">
        <v>26</v>
      </c>
      <c r="O885">
        <v>202505</v>
      </c>
      <c r="P885">
        <v>145007.25</v>
      </c>
      <c r="Q885" t="s">
        <v>12</v>
      </c>
      <c r="R885" t="s">
        <v>12</v>
      </c>
      <c r="S885" t="s">
        <v>12</v>
      </c>
      <c r="T885" t="s">
        <v>12</v>
      </c>
      <c r="U885" t="s">
        <v>12</v>
      </c>
      <c r="V885" t="s">
        <v>12</v>
      </c>
      <c r="W885" t="s">
        <v>12</v>
      </c>
      <c r="X885" t="s">
        <v>12</v>
      </c>
      <c r="Y885" t="s">
        <v>12</v>
      </c>
      <c r="Z885" t="s">
        <v>12</v>
      </c>
      <c r="AA885" t="s">
        <v>12</v>
      </c>
      <c r="AB885" t="s">
        <v>12</v>
      </c>
      <c r="AC885" t="s">
        <v>12</v>
      </c>
      <c r="AD885" t="s">
        <v>12</v>
      </c>
      <c r="AE885" t="s">
        <v>12</v>
      </c>
      <c r="AF885" t="s">
        <v>12</v>
      </c>
      <c r="AG885" t="s">
        <v>12</v>
      </c>
      <c r="AH885" t="s">
        <v>12</v>
      </c>
      <c r="AI885" t="s">
        <v>12</v>
      </c>
      <c r="AJ885" t="s">
        <v>12</v>
      </c>
      <c r="AK885" t="s">
        <v>12</v>
      </c>
      <c r="AL885" t="s">
        <v>12</v>
      </c>
      <c r="AM885" t="s">
        <v>12</v>
      </c>
      <c r="AN885" t="s">
        <v>12</v>
      </c>
      <c r="AO885" t="s">
        <v>12</v>
      </c>
    </row>
    <row r="886" spans="1:41" x14ac:dyDescent="0.35">
      <c r="A886">
        <v>20299283</v>
      </c>
      <c r="B886">
        <v>202510</v>
      </c>
      <c r="C886">
        <v>20611608048</v>
      </c>
      <c r="D886" t="s">
        <v>1158</v>
      </c>
      <c r="E886" t="s">
        <v>1</v>
      </c>
      <c r="F886">
        <v>10269122</v>
      </c>
      <c r="G886" t="s">
        <v>268</v>
      </c>
      <c r="H886" t="s">
        <v>159</v>
      </c>
      <c r="I886">
        <v>25882.638671875</v>
      </c>
      <c r="J886" s="1">
        <v>45834</v>
      </c>
      <c r="K886">
        <v>26</v>
      </c>
      <c r="L886" t="s">
        <v>37</v>
      </c>
      <c r="M886" t="s">
        <v>37</v>
      </c>
      <c r="N886" t="s">
        <v>98</v>
      </c>
      <c r="O886">
        <v>202506</v>
      </c>
      <c r="P886">
        <v>30001.5</v>
      </c>
      <c r="Q886" t="s">
        <v>12</v>
      </c>
      <c r="R886" t="s">
        <v>12</v>
      </c>
      <c r="S886" t="s">
        <v>12</v>
      </c>
      <c r="T886" t="s">
        <v>12</v>
      </c>
      <c r="U886" t="s">
        <v>12</v>
      </c>
      <c r="V886" t="s">
        <v>12</v>
      </c>
      <c r="W886" t="s">
        <v>12</v>
      </c>
      <c r="X886" t="s">
        <v>12</v>
      </c>
      <c r="Y886" t="s">
        <v>12</v>
      </c>
      <c r="Z886" t="s">
        <v>12</v>
      </c>
      <c r="AA886" t="s">
        <v>12</v>
      </c>
      <c r="AB886" t="s">
        <v>12</v>
      </c>
      <c r="AC886" t="s">
        <v>12</v>
      </c>
      <c r="AD886" t="s">
        <v>12</v>
      </c>
      <c r="AE886" t="s">
        <v>12</v>
      </c>
      <c r="AF886" t="s">
        <v>12</v>
      </c>
      <c r="AG886" t="s">
        <v>12</v>
      </c>
      <c r="AH886" t="s">
        <v>12</v>
      </c>
      <c r="AI886" t="s">
        <v>12</v>
      </c>
      <c r="AJ886" t="s">
        <v>12</v>
      </c>
      <c r="AK886" t="s">
        <v>12</v>
      </c>
      <c r="AL886" t="s">
        <v>12</v>
      </c>
      <c r="AM886" t="s">
        <v>12</v>
      </c>
      <c r="AN886" t="s">
        <v>12</v>
      </c>
      <c r="AO886" t="s">
        <v>12</v>
      </c>
    </row>
    <row r="887" spans="1:41" x14ac:dyDescent="0.35">
      <c r="A887">
        <v>16044622</v>
      </c>
      <c r="B887">
        <v>202507</v>
      </c>
      <c r="C887">
        <v>10418595685</v>
      </c>
      <c r="D887" t="s">
        <v>1159</v>
      </c>
      <c r="E887">
        <v>41859568</v>
      </c>
      <c r="F887">
        <v>10266186</v>
      </c>
      <c r="G887" t="s">
        <v>24</v>
      </c>
      <c r="H887" t="s">
        <v>1139</v>
      </c>
      <c r="I887">
        <v>24120.505859375</v>
      </c>
      <c r="J887" s="1">
        <v>45730</v>
      </c>
      <c r="K887">
        <v>22</v>
      </c>
      <c r="L887" t="s">
        <v>37</v>
      </c>
      <c r="M887" t="s">
        <v>37</v>
      </c>
      <c r="N887" t="s">
        <v>98</v>
      </c>
      <c r="O887">
        <v>202503</v>
      </c>
      <c r="P887">
        <v>30001.5</v>
      </c>
      <c r="Q887" t="s">
        <v>12</v>
      </c>
      <c r="R887" t="s">
        <v>12</v>
      </c>
      <c r="S887" t="s">
        <v>12</v>
      </c>
      <c r="T887" t="s">
        <v>12</v>
      </c>
      <c r="U887" t="s">
        <v>12</v>
      </c>
      <c r="V887" t="s">
        <v>12</v>
      </c>
      <c r="W887" t="s">
        <v>12</v>
      </c>
      <c r="X887" t="s">
        <v>12</v>
      </c>
      <c r="Y887" t="s">
        <v>12</v>
      </c>
      <c r="Z887" t="s">
        <v>12</v>
      </c>
      <c r="AA887" t="s">
        <v>12</v>
      </c>
      <c r="AB887" t="s">
        <v>12</v>
      </c>
      <c r="AC887" t="s">
        <v>12</v>
      </c>
      <c r="AD887" t="s">
        <v>12</v>
      </c>
      <c r="AE887" t="s">
        <v>12</v>
      </c>
      <c r="AF887" t="s">
        <v>12</v>
      </c>
      <c r="AG887" t="s">
        <v>12</v>
      </c>
      <c r="AH887" t="s">
        <v>12</v>
      </c>
      <c r="AI887" t="s">
        <v>12</v>
      </c>
      <c r="AJ887" t="s">
        <v>12</v>
      </c>
      <c r="AK887" t="s">
        <v>12</v>
      </c>
      <c r="AL887" t="s">
        <v>12</v>
      </c>
      <c r="AM887" t="s">
        <v>12</v>
      </c>
      <c r="AN887" t="s">
        <v>12</v>
      </c>
      <c r="AO887" t="s">
        <v>12</v>
      </c>
    </row>
    <row r="888" spans="1:41" x14ac:dyDescent="0.35">
      <c r="A888">
        <v>8864291</v>
      </c>
      <c r="B888">
        <v>202509</v>
      </c>
      <c r="C888">
        <v>20467291883</v>
      </c>
      <c r="D888" t="s">
        <v>1160</v>
      </c>
      <c r="E888" t="s">
        <v>1</v>
      </c>
      <c r="F888">
        <v>10155460</v>
      </c>
      <c r="G888" t="s">
        <v>2</v>
      </c>
      <c r="H888" t="s">
        <v>338</v>
      </c>
      <c r="I888">
        <v>8035.99951171875</v>
      </c>
      <c r="J888" s="1">
        <v>44911</v>
      </c>
      <c r="K888">
        <v>18.5</v>
      </c>
      <c r="L888" t="s">
        <v>4</v>
      </c>
      <c r="M888" t="s">
        <v>4</v>
      </c>
      <c r="N888" t="s">
        <v>5</v>
      </c>
      <c r="O888">
        <v>202212</v>
      </c>
      <c r="P888">
        <v>197509.85</v>
      </c>
      <c r="Q888" t="s">
        <v>12</v>
      </c>
      <c r="R888" t="s">
        <v>12</v>
      </c>
      <c r="S888" t="s">
        <v>12</v>
      </c>
      <c r="T888" t="s">
        <v>12</v>
      </c>
      <c r="U888" t="s">
        <v>12</v>
      </c>
      <c r="V888" t="s">
        <v>12</v>
      </c>
      <c r="W888" t="s">
        <v>12</v>
      </c>
      <c r="X888" t="s">
        <v>12</v>
      </c>
      <c r="Y888" t="s">
        <v>12</v>
      </c>
      <c r="Z888" t="s">
        <v>12</v>
      </c>
      <c r="AA888" t="s">
        <v>12</v>
      </c>
      <c r="AB888" t="s">
        <v>12</v>
      </c>
      <c r="AC888" t="s">
        <v>12</v>
      </c>
      <c r="AD888" t="s">
        <v>12</v>
      </c>
      <c r="AE888" t="s">
        <v>12</v>
      </c>
      <c r="AF888" t="s">
        <v>12</v>
      </c>
      <c r="AG888" t="s">
        <v>12</v>
      </c>
      <c r="AH888" t="s">
        <v>12</v>
      </c>
      <c r="AI888" t="s">
        <v>12</v>
      </c>
      <c r="AJ888" t="s">
        <v>12</v>
      </c>
      <c r="AK888" t="s">
        <v>12</v>
      </c>
      <c r="AL888" t="s">
        <v>12</v>
      </c>
      <c r="AM888" t="s">
        <v>12</v>
      </c>
      <c r="AN888" t="s">
        <v>12</v>
      </c>
      <c r="AO888" t="s">
        <v>12</v>
      </c>
    </row>
    <row r="889" spans="1:41" x14ac:dyDescent="0.35">
      <c r="A889">
        <v>19275799</v>
      </c>
      <c r="B889">
        <v>202509</v>
      </c>
      <c r="C889">
        <v>20609894301</v>
      </c>
      <c r="D889" t="s">
        <v>839</v>
      </c>
      <c r="E889" t="s">
        <v>1</v>
      </c>
      <c r="F889">
        <v>10270986</v>
      </c>
      <c r="G889" t="s">
        <v>78</v>
      </c>
      <c r="H889" t="s">
        <v>117</v>
      </c>
      <c r="I889">
        <v>150007.515625</v>
      </c>
      <c r="J889" s="1">
        <v>45898</v>
      </c>
      <c r="K889">
        <v>17</v>
      </c>
      <c r="L889" t="s">
        <v>4</v>
      </c>
      <c r="M889" t="s">
        <v>4</v>
      </c>
      <c r="N889" t="s">
        <v>41</v>
      </c>
      <c r="O889">
        <v>202508</v>
      </c>
      <c r="P889">
        <v>150007.5</v>
      </c>
      <c r="Q889" t="s">
        <v>12</v>
      </c>
      <c r="R889" t="s">
        <v>12</v>
      </c>
      <c r="S889" t="s">
        <v>12</v>
      </c>
      <c r="T889" t="s">
        <v>12</v>
      </c>
      <c r="U889" t="s">
        <v>12</v>
      </c>
      <c r="V889" t="s">
        <v>12</v>
      </c>
      <c r="W889" t="s">
        <v>12</v>
      </c>
      <c r="X889" t="s">
        <v>12</v>
      </c>
      <c r="Y889" t="s">
        <v>12</v>
      </c>
      <c r="Z889" t="s">
        <v>12</v>
      </c>
      <c r="AA889" t="s">
        <v>12</v>
      </c>
      <c r="AB889" t="s">
        <v>12</v>
      </c>
      <c r="AC889" t="s">
        <v>12</v>
      </c>
      <c r="AD889" t="s">
        <v>12</v>
      </c>
      <c r="AE889" t="s">
        <v>12</v>
      </c>
      <c r="AF889" t="s">
        <v>12</v>
      </c>
      <c r="AG889" t="s">
        <v>12</v>
      </c>
      <c r="AH889" t="s">
        <v>12</v>
      </c>
      <c r="AI889" t="s">
        <v>12</v>
      </c>
      <c r="AJ889" t="s">
        <v>12</v>
      </c>
      <c r="AK889" t="s">
        <v>12</v>
      </c>
      <c r="AL889" t="s">
        <v>12</v>
      </c>
      <c r="AM889" t="s">
        <v>12</v>
      </c>
      <c r="AN889" t="s">
        <v>12</v>
      </c>
      <c r="AO889" t="s">
        <v>12</v>
      </c>
    </row>
    <row r="890" spans="1:41" x14ac:dyDescent="0.35">
      <c r="A890">
        <v>18219197</v>
      </c>
      <c r="B890">
        <v>202601</v>
      </c>
      <c r="C890">
        <v>20602370802</v>
      </c>
      <c r="D890" t="s">
        <v>753</v>
      </c>
      <c r="E890" t="s">
        <v>1</v>
      </c>
      <c r="F890">
        <v>10272222</v>
      </c>
      <c r="G890" t="s">
        <v>78</v>
      </c>
      <c r="H890" t="s">
        <v>49</v>
      </c>
      <c r="I890">
        <v>194580.6875</v>
      </c>
      <c r="J890" s="1">
        <v>45944</v>
      </c>
      <c r="K890">
        <v>16</v>
      </c>
      <c r="L890" t="s">
        <v>4</v>
      </c>
      <c r="M890" t="s">
        <v>4</v>
      </c>
      <c r="N890" t="s">
        <v>41</v>
      </c>
      <c r="O890">
        <v>202510</v>
      </c>
      <c r="P890">
        <v>229211.45</v>
      </c>
      <c r="Q890" t="s">
        <v>12</v>
      </c>
      <c r="R890" t="s">
        <v>12</v>
      </c>
      <c r="S890" t="s">
        <v>12</v>
      </c>
      <c r="T890" t="s">
        <v>12</v>
      </c>
      <c r="U890" t="s">
        <v>12</v>
      </c>
      <c r="V890" t="s">
        <v>12</v>
      </c>
      <c r="W890" t="s">
        <v>12</v>
      </c>
      <c r="X890" t="s">
        <v>12</v>
      </c>
      <c r="Y890" t="s">
        <v>12</v>
      </c>
      <c r="Z890" t="s">
        <v>12</v>
      </c>
      <c r="AA890" t="s">
        <v>12</v>
      </c>
      <c r="AB890" t="s">
        <v>12</v>
      </c>
      <c r="AC890" t="s">
        <v>12</v>
      </c>
      <c r="AD890" t="s">
        <v>12</v>
      </c>
      <c r="AE890" t="s">
        <v>12</v>
      </c>
      <c r="AF890" t="s">
        <v>12</v>
      </c>
      <c r="AG890" t="s">
        <v>12</v>
      </c>
      <c r="AH890" t="s">
        <v>12</v>
      </c>
      <c r="AI890" t="s">
        <v>12</v>
      </c>
      <c r="AJ890" t="s">
        <v>12</v>
      </c>
      <c r="AK890" t="s">
        <v>12</v>
      </c>
      <c r="AL890" t="s">
        <v>12</v>
      </c>
      <c r="AM890" t="s">
        <v>12</v>
      </c>
      <c r="AN890" t="s">
        <v>12</v>
      </c>
      <c r="AO890" t="s">
        <v>12</v>
      </c>
    </row>
    <row r="891" spans="1:41" x14ac:dyDescent="0.35">
      <c r="A891">
        <v>9298308</v>
      </c>
      <c r="B891">
        <v>202508</v>
      </c>
      <c r="C891">
        <v>10421221427</v>
      </c>
      <c r="D891" t="s">
        <v>1161</v>
      </c>
      <c r="E891">
        <v>42122142</v>
      </c>
      <c r="F891">
        <v>10269471</v>
      </c>
      <c r="G891" t="s">
        <v>24</v>
      </c>
      <c r="H891" t="s">
        <v>1162</v>
      </c>
      <c r="I891">
        <v>96632.0546875</v>
      </c>
      <c r="J891" s="1">
        <v>45848</v>
      </c>
      <c r="K891">
        <v>23.5</v>
      </c>
      <c r="L891" t="s">
        <v>37</v>
      </c>
      <c r="M891" t="s">
        <v>37</v>
      </c>
      <c r="N891" t="s">
        <v>98</v>
      </c>
      <c r="O891">
        <v>202507</v>
      </c>
      <c r="P891">
        <v>100005</v>
      </c>
      <c r="Q891" t="s">
        <v>12</v>
      </c>
      <c r="R891" t="s">
        <v>12</v>
      </c>
      <c r="S891" t="s">
        <v>12</v>
      </c>
      <c r="T891" t="s">
        <v>12</v>
      </c>
      <c r="U891" t="s">
        <v>12</v>
      </c>
      <c r="V891" t="s">
        <v>12</v>
      </c>
      <c r="W891" t="s">
        <v>12</v>
      </c>
      <c r="X891" t="s">
        <v>12</v>
      </c>
      <c r="Y891" t="s">
        <v>12</v>
      </c>
      <c r="Z891" t="s">
        <v>12</v>
      </c>
      <c r="AA891" t="s">
        <v>12</v>
      </c>
      <c r="AB891" t="s">
        <v>12</v>
      </c>
      <c r="AC891" t="s">
        <v>12</v>
      </c>
      <c r="AD891" t="s">
        <v>12</v>
      </c>
      <c r="AE891" t="s">
        <v>12</v>
      </c>
      <c r="AF891" t="s">
        <v>12</v>
      </c>
      <c r="AG891" t="s">
        <v>12</v>
      </c>
      <c r="AH891" t="s">
        <v>12</v>
      </c>
      <c r="AI891" t="s">
        <v>12</v>
      </c>
      <c r="AJ891" t="s">
        <v>12</v>
      </c>
      <c r="AK891" t="s">
        <v>12</v>
      </c>
      <c r="AL891" t="s">
        <v>12</v>
      </c>
      <c r="AM891" t="s">
        <v>12</v>
      </c>
      <c r="AN891" t="s">
        <v>12</v>
      </c>
      <c r="AO891" t="s">
        <v>12</v>
      </c>
    </row>
    <row r="892" spans="1:41" x14ac:dyDescent="0.35">
      <c r="A892">
        <v>20183973</v>
      </c>
      <c r="B892">
        <v>202506</v>
      </c>
      <c r="C892">
        <v>20607958107</v>
      </c>
      <c r="D892" t="s">
        <v>1163</v>
      </c>
      <c r="E892" t="s">
        <v>1</v>
      </c>
      <c r="F892">
        <v>10266421</v>
      </c>
      <c r="G892" t="s">
        <v>268</v>
      </c>
      <c r="H892" t="s">
        <v>251</v>
      </c>
      <c r="I892">
        <v>42633.63671875</v>
      </c>
      <c r="J892" s="1">
        <v>45737</v>
      </c>
      <c r="K892">
        <v>21</v>
      </c>
      <c r="L892" t="s">
        <v>37</v>
      </c>
      <c r="M892" t="s">
        <v>37</v>
      </c>
      <c r="N892" t="s">
        <v>98</v>
      </c>
      <c r="O892">
        <v>202503</v>
      </c>
      <c r="P892">
        <v>50002.5</v>
      </c>
      <c r="Q892" t="s">
        <v>251</v>
      </c>
      <c r="R892" t="s">
        <v>252</v>
      </c>
      <c r="S892" t="s">
        <v>111</v>
      </c>
      <c r="T892" t="s">
        <v>112</v>
      </c>
      <c r="U892" t="s">
        <v>20</v>
      </c>
      <c r="V892">
        <v>2</v>
      </c>
      <c r="W892" t="s">
        <v>10</v>
      </c>
      <c r="X892" t="s">
        <v>12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12</v>
      </c>
      <c r="AG892" t="s">
        <v>12</v>
      </c>
      <c r="AH892" t="s">
        <v>12</v>
      </c>
      <c r="AI892" t="s">
        <v>12</v>
      </c>
      <c r="AJ892" t="s">
        <v>12</v>
      </c>
      <c r="AK892">
        <v>1</v>
      </c>
      <c r="AL892">
        <v>0.24929999999999999</v>
      </c>
      <c r="AM892" t="s">
        <v>12</v>
      </c>
      <c r="AN892" t="s">
        <v>12</v>
      </c>
      <c r="AO892" t="s">
        <v>12</v>
      </c>
    </row>
    <row r="893" spans="1:41" x14ac:dyDescent="0.35">
      <c r="A893">
        <v>11974759</v>
      </c>
      <c r="B893">
        <v>202509</v>
      </c>
      <c r="C893">
        <v>10220812630</v>
      </c>
      <c r="D893" t="s">
        <v>1164</v>
      </c>
      <c r="E893">
        <v>22081263</v>
      </c>
      <c r="F893">
        <v>10163179</v>
      </c>
      <c r="G893" t="s">
        <v>2</v>
      </c>
      <c r="H893" t="s">
        <v>31</v>
      </c>
      <c r="I893">
        <v>51611.35546875</v>
      </c>
      <c r="J893" s="1">
        <v>45630</v>
      </c>
      <c r="K893">
        <v>18.78</v>
      </c>
      <c r="L893" t="s">
        <v>4</v>
      </c>
      <c r="M893" t="s">
        <v>4</v>
      </c>
      <c r="N893" t="s">
        <v>5</v>
      </c>
      <c r="O893">
        <v>202412</v>
      </c>
      <c r="P893">
        <v>77003.850000000006</v>
      </c>
      <c r="Q893" t="s">
        <v>284</v>
      </c>
      <c r="R893" t="s">
        <v>285</v>
      </c>
      <c r="S893" t="s">
        <v>31</v>
      </c>
      <c r="T893" t="s">
        <v>32</v>
      </c>
      <c r="U893" t="s">
        <v>541</v>
      </c>
      <c r="V893">
        <v>1</v>
      </c>
      <c r="W893" t="s">
        <v>10</v>
      </c>
      <c r="X893" t="s">
        <v>59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 t="s">
        <v>12</v>
      </c>
      <c r="AG893" t="s">
        <v>12</v>
      </c>
      <c r="AH893" t="s">
        <v>12</v>
      </c>
      <c r="AI893" t="s">
        <v>12</v>
      </c>
      <c r="AJ893" t="s">
        <v>12</v>
      </c>
      <c r="AK893">
        <v>77000</v>
      </c>
      <c r="AL893">
        <v>0.28000000000000003</v>
      </c>
      <c r="AM893">
        <v>0.26</v>
      </c>
      <c r="AN893" t="s">
        <v>12</v>
      </c>
      <c r="AO893" t="s">
        <v>12</v>
      </c>
    </row>
    <row r="894" spans="1:41" x14ac:dyDescent="0.35">
      <c r="A894">
        <v>15511916</v>
      </c>
      <c r="B894">
        <v>202509</v>
      </c>
      <c r="C894">
        <v>20601895642</v>
      </c>
      <c r="D894" t="s">
        <v>1165</v>
      </c>
      <c r="E894" t="s">
        <v>1</v>
      </c>
      <c r="F894">
        <v>10270556</v>
      </c>
      <c r="G894" t="s">
        <v>24</v>
      </c>
      <c r="H894" t="s">
        <v>1166</v>
      </c>
      <c r="I894">
        <v>99788.140625</v>
      </c>
      <c r="J894" s="1">
        <v>45889</v>
      </c>
      <c r="K894">
        <v>17</v>
      </c>
      <c r="L894" t="s">
        <v>37</v>
      </c>
      <c r="M894" t="s">
        <v>37</v>
      </c>
      <c r="N894" t="s">
        <v>98</v>
      </c>
      <c r="O894">
        <v>202508</v>
      </c>
      <c r="P894">
        <v>105005.25</v>
      </c>
      <c r="Q894" t="s">
        <v>12</v>
      </c>
      <c r="R894" t="s">
        <v>12</v>
      </c>
      <c r="S894" t="s">
        <v>12</v>
      </c>
      <c r="T894" t="s">
        <v>12</v>
      </c>
      <c r="U894" t="s">
        <v>12</v>
      </c>
      <c r="V894" t="s">
        <v>12</v>
      </c>
      <c r="W894" t="s">
        <v>12</v>
      </c>
      <c r="X894" t="s">
        <v>12</v>
      </c>
      <c r="Y894" t="s">
        <v>12</v>
      </c>
      <c r="Z894" t="s">
        <v>12</v>
      </c>
      <c r="AA894" t="s">
        <v>12</v>
      </c>
      <c r="AB894" t="s">
        <v>12</v>
      </c>
      <c r="AC894" t="s">
        <v>12</v>
      </c>
      <c r="AD894" t="s">
        <v>12</v>
      </c>
      <c r="AE894" t="s">
        <v>12</v>
      </c>
      <c r="AF894" t="s">
        <v>12</v>
      </c>
      <c r="AG894" t="s">
        <v>12</v>
      </c>
      <c r="AH894" t="s">
        <v>12</v>
      </c>
      <c r="AI894" t="s">
        <v>12</v>
      </c>
      <c r="AJ894" t="s">
        <v>12</v>
      </c>
      <c r="AK894" t="s">
        <v>12</v>
      </c>
      <c r="AL894" t="s">
        <v>12</v>
      </c>
      <c r="AM894" t="s">
        <v>12</v>
      </c>
      <c r="AN894" t="s">
        <v>12</v>
      </c>
      <c r="AO894" t="s">
        <v>12</v>
      </c>
    </row>
    <row r="895" spans="1:41" x14ac:dyDescent="0.35">
      <c r="A895">
        <v>21668363</v>
      </c>
      <c r="B895">
        <v>202601</v>
      </c>
      <c r="C895">
        <v>20601135893</v>
      </c>
      <c r="D895" t="s">
        <v>1167</v>
      </c>
      <c r="E895" t="s">
        <v>1</v>
      </c>
      <c r="F895">
        <v>10268397</v>
      </c>
      <c r="G895" t="s">
        <v>73</v>
      </c>
      <c r="H895" t="s">
        <v>417</v>
      </c>
      <c r="I895">
        <v>111005.203125</v>
      </c>
      <c r="J895" s="1">
        <v>45807</v>
      </c>
      <c r="K895">
        <v>16</v>
      </c>
      <c r="L895" t="s">
        <v>4</v>
      </c>
      <c r="M895" t="s">
        <v>75</v>
      </c>
      <c r="N895" t="s">
        <v>20</v>
      </c>
      <c r="O895">
        <v>202505</v>
      </c>
      <c r="P895">
        <v>150007.5</v>
      </c>
      <c r="Q895" t="s">
        <v>417</v>
      </c>
      <c r="R895" t="s">
        <v>418</v>
      </c>
      <c r="S895" t="s">
        <v>31</v>
      </c>
      <c r="T895" t="s">
        <v>32</v>
      </c>
      <c r="U895" t="s">
        <v>63</v>
      </c>
      <c r="V895">
        <v>1</v>
      </c>
      <c r="W895" t="s">
        <v>21</v>
      </c>
      <c r="X895" t="s">
        <v>11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12</v>
      </c>
      <c r="AG895" t="s">
        <v>12</v>
      </c>
      <c r="AH895" t="s">
        <v>12</v>
      </c>
      <c r="AI895" t="s">
        <v>12</v>
      </c>
      <c r="AJ895" t="s">
        <v>12</v>
      </c>
      <c r="AK895">
        <v>500000</v>
      </c>
      <c r="AL895">
        <v>0.21</v>
      </c>
      <c r="AM895">
        <v>0.19</v>
      </c>
      <c r="AN895" t="s">
        <v>12</v>
      </c>
      <c r="AO895" t="s">
        <v>12</v>
      </c>
    </row>
    <row r="896" spans="1:41" x14ac:dyDescent="0.35">
      <c r="A896">
        <v>10592660</v>
      </c>
      <c r="B896">
        <v>202507</v>
      </c>
      <c r="C896">
        <v>20519143098</v>
      </c>
      <c r="D896" t="s">
        <v>1168</v>
      </c>
      <c r="E896" t="s">
        <v>1</v>
      </c>
      <c r="F896">
        <v>10261029</v>
      </c>
      <c r="G896" t="s">
        <v>92</v>
      </c>
      <c r="H896" t="s">
        <v>522</v>
      </c>
      <c r="I896">
        <v>123891.25</v>
      </c>
      <c r="J896" s="1">
        <v>45561</v>
      </c>
      <c r="K896">
        <v>16.100000000000001</v>
      </c>
      <c r="L896" t="s">
        <v>4</v>
      </c>
      <c r="M896" t="s">
        <v>4</v>
      </c>
      <c r="N896" t="s">
        <v>41</v>
      </c>
      <c r="O896">
        <v>202409</v>
      </c>
      <c r="P896">
        <v>200010</v>
      </c>
      <c r="Q896" t="s">
        <v>145</v>
      </c>
      <c r="R896" t="s">
        <v>146</v>
      </c>
      <c r="S896" t="s">
        <v>127</v>
      </c>
      <c r="T896" t="s">
        <v>147</v>
      </c>
      <c r="U896" t="s">
        <v>41</v>
      </c>
      <c r="V896">
        <v>1</v>
      </c>
      <c r="W896" t="s">
        <v>10</v>
      </c>
      <c r="X896" t="s">
        <v>12</v>
      </c>
      <c r="Y896">
        <v>1</v>
      </c>
      <c r="Z896">
        <v>1</v>
      </c>
      <c r="AA896">
        <v>0</v>
      </c>
      <c r="AB896">
        <v>0</v>
      </c>
      <c r="AC896">
        <v>1</v>
      </c>
      <c r="AD896">
        <v>1</v>
      </c>
      <c r="AE896">
        <v>0</v>
      </c>
      <c r="AF896" t="s">
        <v>12</v>
      </c>
      <c r="AG896" t="s">
        <v>12</v>
      </c>
      <c r="AH896" t="s">
        <v>12</v>
      </c>
      <c r="AI896" t="s">
        <v>12</v>
      </c>
      <c r="AJ896" t="s">
        <v>12</v>
      </c>
      <c r="AK896">
        <v>260100</v>
      </c>
      <c r="AL896">
        <v>0.23</v>
      </c>
      <c r="AM896">
        <v>0.21</v>
      </c>
      <c r="AN896" t="s">
        <v>12</v>
      </c>
      <c r="AO896" t="s">
        <v>12</v>
      </c>
    </row>
    <row r="897" spans="1:41" x14ac:dyDescent="0.35">
      <c r="A897">
        <v>10518077</v>
      </c>
      <c r="B897">
        <v>202601</v>
      </c>
      <c r="C897">
        <v>10461327678</v>
      </c>
      <c r="D897" t="s">
        <v>1169</v>
      </c>
      <c r="E897">
        <v>46132767</v>
      </c>
      <c r="F897">
        <v>10251740</v>
      </c>
      <c r="G897" t="s">
        <v>53</v>
      </c>
      <c r="H897" t="s">
        <v>74</v>
      </c>
      <c r="I897">
        <v>33391.44921875</v>
      </c>
      <c r="J897" s="1">
        <v>45408</v>
      </c>
      <c r="K897">
        <v>15</v>
      </c>
      <c r="L897" t="s">
        <v>4</v>
      </c>
      <c r="M897" t="s">
        <v>4</v>
      </c>
      <c r="N897" t="s">
        <v>47</v>
      </c>
      <c r="O897">
        <v>202404</v>
      </c>
      <c r="P897">
        <v>81714.05</v>
      </c>
      <c r="Q897" t="s">
        <v>74</v>
      </c>
      <c r="R897" t="s">
        <v>76</v>
      </c>
      <c r="S897" t="s">
        <v>31</v>
      </c>
      <c r="T897" t="s">
        <v>32</v>
      </c>
      <c r="U897" t="s">
        <v>63</v>
      </c>
      <c r="V897">
        <v>1</v>
      </c>
      <c r="W897" t="s">
        <v>21</v>
      </c>
      <c r="X897" t="s">
        <v>59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 t="s">
        <v>12</v>
      </c>
      <c r="AG897" t="s">
        <v>12</v>
      </c>
      <c r="AH897" t="s">
        <v>12</v>
      </c>
      <c r="AI897" t="s">
        <v>12</v>
      </c>
      <c r="AJ897" t="s">
        <v>12</v>
      </c>
      <c r="AK897">
        <v>200000</v>
      </c>
      <c r="AL897">
        <v>0.22670000000000001</v>
      </c>
      <c r="AM897">
        <v>0.20669999999999999</v>
      </c>
      <c r="AN897" t="s">
        <v>12</v>
      </c>
      <c r="AO897" t="s">
        <v>12</v>
      </c>
    </row>
    <row r="898" spans="1:41" x14ac:dyDescent="0.35">
      <c r="A898">
        <v>14637149</v>
      </c>
      <c r="B898">
        <v>202601</v>
      </c>
      <c r="C898">
        <v>20516435420</v>
      </c>
      <c r="D898" t="s">
        <v>1170</v>
      </c>
      <c r="E898" t="s">
        <v>1</v>
      </c>
      <c r="F898">
        <v>10272630</v>
      </c>
      <c r="G898" t="s">
        <v>14</v>
      </c>
      <c r="H898" t="s">
        <v>127</v>
      </c>
      <c r="I898">
        <v>153223.34375</v>
      </c>
      <c r="J898" s="1">
        <v>45958</v>
      </c>
      <c r="K898">
        <v>16</v>
      </c>
      <c r="L898" t="s">
        <v>37</v>
      </c>
      <c r="M898" t="s">
        <v>37</v>
      </c>
      <c r="N898" t="s">
        <v>16</v>
      </c>
      <c r="O898">
        <v>202510</v>
      </c>
      <c r="P898">
        <v>170008.5</v>
      </c>
      <c r="Q898" t="s">
        <v>145</v>
      </c>
      <c r="R898" t="s">
        <v>146</v>
      </c>
      <c r="S898" t="s">
        <v>127</v>
      </c>
      <c r="T898" t="s">
        <v>147</v>
      </c>
      <c r="U898" t="s">
        <v>168</v>
      </c>
      <c r="V898">
        <v>1</v>
      </c>
      <c r="W898" t="s">
        <v>10</v>
      </c>
      <c r="X898" t="s">
        <v>11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12</v>
      </c>
      <c r="AG898" t="s">
        <v>12</v>
      </c>
      <c r="AH898" t="s">
        <v>12</v>
      </c>
      <c r="AI898" t="s">
        <v>12</v>
      </c>
      <c r="AJ898" t="s">
        <v>12</v>
      </c>
      <c r="AK898">
        <v>0</v>
      </c>
      <c r="AL898">
        <v>0</v>
      </c>
      <c r="AM898">
        <v>0</v>
      </c>
      <c r="AN898" t="s">
        <v>12</v>
      </c>
      <c r="AO898" t="s">
        <v>12</v>
      </c>
    </row>
    <row r="899" spans="1:41" x14ac:dyDescent="0.35">
      <c r="A899">
        <v>18973044</v>
      </c>
      <c r="B899">
        <v>202512</v>
      </c>
      <c r="C899">
        <v>20601721539</v>
      </c>
      <c r="D899" t="s">
        <v>1171</v>
      </c>
      <c r="E899" t="s">
        <v>1</v>
      </c>
      <c r="F899">
        <v>10267679</v>
      </c>
      <c r="G899" t="s">
        <v>144</v>
      </c>
      <c r="H899" t="s">
        <v>220</v>
      </c>
      <c r="I899">
        <v>437551.9375</v>
      </c>
      <c r="J899" s="1">
        <v>45786</v>
      </c>
      <c r="K899">
        <v>13</v>
      </c>
      <c r="L899" t="s">
        <v>4</v>
      </c>
      <c r="M899" t="s">
        <v>4</v>
      </c>
      <c r="N899" t="s">
        <v>20</v>
      </c>
      <c r="O899">
        <v>202505</v>
      </c>
      <c r="P899">
        <v>450022.5</v>
      </c>
      <c r="Q899" t="s">
        <v>220</v>
      </c>
      <c r="R899" t="s">
        <v>221</v>
      </c>
      <c r="S899" t="s">
        <v>127</v>
      </c>
      <c r="T899" t="s">
        <v>147</v>
      </c>
      <c r="U899" t="s">
        <v>20</v>
      </c>
      <c r="V899">
        <v>1</v>
      </c>
      <c r="W899" t="s">
        <v>10</v>
      </c>
      <c r="X899" t="s">
        <v>51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 t="s">
        <v>12</v>
      </c>
      <c r="AG899" t="s">
        <v>12</v>
      </c>
      <c r="AH899" t="s">
        <v>12</v>
      </c>
      <c r="AI899" t="s">
        <v>12</v>
      </c>
      <c r="AJ899" t="s">
        <v>12</v>
      </c>
      <c r="AK899">
        <v>1</v>
      </c>
      <c r="AL899">
        <v>1</v>
      </c>
      <c r="AM899" t="s">
        <v>12</v>
      </c>
      <c r="AN899" t="s">
        <v>12</v>
      </c>
      <c r="AO899" t="s">
        <v>12</v>
      </c>
    </row>
    <row r="900" spans="1:41" x14ac:dyDescent="0.35">
      <c r="A900">
        <v>18679427</v>
      </c>
      <c r="B900">
        <v>202510</v>
      </c>
      <c r="C900">
        <v>20609079097</v>
      </c>
      <c r="D900" t="s">
        <v>1172</v>
      </c>
      <c r="E900" t="s">
        <v>1</v>
      </c>
      <c r="F900">
        <v>10264641</v>
      </c>
      <c r="G900" t="s">
        <v>1173</v>
      </c>
      <c r="H900" t="s">
        <v>93</v>
      </c>
      <c r="I900">
        <v>140913.875</v>
      </c>
      <c r="J900" s="1">
        <v>45677</v>
      </c>
      <c r="K900">
        <v>16</v>
      </c>
      <c r="L900" t="s">
        <v>4</v>
      </c>
      <c r="M900" t="s">
        <v>4</v>
      </c>
      <c r="N900" t="s">
        <v>209</v>
      </c>
      <c r="O900">
        <v>202501</v>
      </c>
      <c r="P900">
        <v>199351.95</v>
      </c>
      <c r="Q900" t="s">
        <v>93</v>
      </c>
      <c r="R900" t="s">
        <v>94</v>
      </c>
      <c r="S900" t="s">
        <v>7</v>
      </c>
      <c r="T900" t="s">
        <v>8</v>
      </c>
      <c r="U900" t="s">
        <v>41</v>
      </c>
      <c r="V900">
        <v>1</v>
      </c>
      <c r="W900" t="s">
        <v>10</v>
      </c>
      <c r="X900" t="s">
        <v>12</v>
      </c>
      <c r="Y900">
        <v>1</v>
      </c>
      <c r="Z900">
        <v>1</v>
      </c>
      <c r="AA900">
        <v>0</v>
      </c>
      <c r="AB900">
        <v>0</v>
      </c>
      <c r="AC900">
        <v>1</v>
      </c>
      <c r="AD900">
        <v>1</v>
      </c>
      <c r="AE900">
        <v>0</v>
      </c>
      <c r="AF900" t="s">
        <v>12</v>
      </c>
      <c r="AG900" t="s">
        <v>12</v>
      </c>
      <c r="AH900" t="s">
        <v>12</v>
      </c>
      <c r="AI900" t="s">
        <v>12</v>
      </c>
      <c r="AJ900" t="s">
        <v>12</v>
      </c>
      <c r="AK900">
        <v>130000</v>
      </c>
      <c r="AL900">
        <v>0.26169999999999999</v>
      </c>
      <c r="AM900">
        <v>0.2417</v>
      </c>
      <c r="AN900" t="s">
        <v>12</v>
      </c>
      <c r="AO900" t="s">
        <v>12</v>
      </c>
    </row>
    <row r="901" spans="1:41" x14ac:dyDescent="0.35">
      <c r="A901">
        <v>11554189</v>
      </c>
      <c r="B901">
        <v>202503</v>
      </c>
      <c r="C901">
        <v>10329163046</v>
      </c>
      <c r="D901" t="s">
        <v>1174</v>
      </c>
      <c r="E901">
        <v>32916304</v>
      </c>
      <c r="F901">
        <v>10255156</v>
      </c>
      <c r="G901" t="s">
        <v>45</v>
      </c>
      <c r="H901" t="s">
        <v>506</v>
      </c>
      <c r="I901">
        <v>13282.2685546875</v>
      </c>
      <c r="J901" s="1">
        <v>45456</v>
      </c>
      <c r="K901">
        <v>15.5</v>
      </c>
      <c r="L901" t="s">
        <v>37</v>
      </c>
      <c r="M901" t="s">
        <v>37</v>
      </c>
      <c r="N901" t="s">
        <v>47</v>
      </c>
      <c r="O901">
        <v>202406</v>
      </c>
      <c r="P901">
        <v>54902.7</v>
      </c>
      <c r="Q901" t="s">
        <v>12</v>
      </c>
      <c r="R901" t="s">
        <v>12</v>
      </c>
      <c r="S901" t="s">
        <v>12</v>
      </c>
      <c r="T901" t="s">
        <v>12</v>
      </c>
      <c r="U901" t="s">
        <v>12</v>
      </c>
      <c r="V901" t="s">
        <v>12</v>
      </c>
      <c r="W901" t="s">
        <v>12</v>
      </c>
      <c r="X901" t="s">
        <v>12</v>
      </c>
      <c r="Y901" t="s">
        <v>12</v>
      </c>
      <c r="Z901" t="s">
        <v>12</v>
      </c>
      <c r="AA901" t="s">
        <v>12</v>
      </c>
      <c r="AB901" t="s">
        <v>12</v>
      </c>
      <c r="AC901" t="s">
        <v>12</v>
      </c>
      <c r="AD901" t="s">
        <v>12</v>
      </c>
      <c r="AE901" t="s">
        <v>12</v>
      </c>
      <c r="AF901" t="s">
        <v>12</v>
      </c>
      <c r="AG901" t="s">
        <v>12</v>
      </c>
      <c r="AH901" t="s">
        <v>12</v>
      </c>
      <c r="AI901" t="s">
        <v>12</v>
      </c>
      <c r="AJ901" t="s">
        <v>12</v>
      </c>
      <c r="AK901" t="s">
        <v>12</v>
      </c>
      <c r="AL901" t="s">
        <v>12</v>
      </c>
      <c r="AM901" t="s">
        <v>12</v>
      </c>
      <c r="AN901" t="s">
        <v>12</v>
      </c>
      <c r="AO901" t="s">
        <v>12</v>
      </c>
    </row>
    <row r="902" spans="1:41" x14ac:dyDescent="0.35">
      <c r="A902">
        <v>15127699</v>
      </c>
      <c r="B902">
        <v>202503</v>
      </c>
      <c r="C902">
        <v>20504460429</v>
      </c>
      <c r="D902" t="s">
        <v>1093</v>
      </c>
      <c r="E902" t="s">
        <v>1</v>
      </c>
      <c r="F902">
        <v>10238056</v>
      </c>
      <c r="G902" t="s">
        <v>92</v>
      </c>
      <c r="H902" t="s">
        <v>244</v>
      </c>
      <c r="I902">
        <v>25926.70703125</v>
      </c>
      <c r="J902" s="1">
        <v>45055</v>
      </c>
      <c r="K902">
        <v>20.799990000000001</v>
      </c>
      <c r="L902" t="s">
        <v>4</v>
      </c>
      <c r="M902" t="s">
        <v>4</v>
      </c>
      <c r="N902" t="s">
        <v>41</v>
      </c>
      <c r="O902">
        <v>202305</v>
      </c>
      <c r="P902">
        <v>129006.45</v>
      </c>
      <c r="Q902" t="s">
        <v>1094</v>
      </c>
      <c r="R902" t="s">
        <v>1095</v>
      </c>
      <c r="S902" t="s">
        <v>7</v>
      </c>
      <c r="T902" t="s">
        <v>8</v>
      </c>
      <c r="U902" t="s">
        <v>20</v>
      </c>
      <c r="V902">
        <v>1</v>
      </c>
      <c r="W902" t="s">
        <v>10</v>
      </c>
      <c r="X902" t="s">
        <v>12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12</v>
      </c>
      <c r="AG902" t="s">
        <v>12</v>
      </c>
      <c r="AH902" t="s">
        <v>12</v>
      </c>
      <c r="AI902" t="s">
        <v>12</v>
      </c>
      <c r="AJ902" t="s">
        <v>12</v>
      </c>
      <c r="AK902">
        <v>989255689</v>
      </c>
      <c r="AL902">
        <v>0</v>
      </c>
      <c r="AM902">
        <v>0</v>
      </c>
      <c r="AN902" t="s">
        <v>12</v>
      </c>
      <c r="AO902" t="s">
        <v>12</v>
      </c>
    </row>
    <row r="903" spans="1:41" x14ac:dyDescent="0.35">
      <c r="A903">
        <v>21202208</v>
      </c>
      <c r="B903">
        <v>202502</v>
      </c>
      <c r="C903">
        <v>20601455880</v>
      </c>
      <c r="D903" t="s">
        <v>1175</v>
      </c>
      <c r="E903" t="s">
        <v>1</v>
      </c>
      <c r="F903">
        <v>10261062</v>
      </c>
      <c r="G903" t="s">
        <v>65</v>
      </c>
      <c r="H903" t="s">
        <v>1176</v>
      </c>
      <c r="I903">
        <v>40002.0078125</v>
      </c>
      <c r="J903" s="1">
        <v>45562</v>
      </c>
      <c r="K903">
        <v>14.5</v>
      </c>
      <c r="L903" t="s">
        <v>37</v>
      </c>
      <c r="M903" t="s">
        <v>37</v>
      </c>
      <c r="N903" t="s">
        <v>47</v>
      </c>
      <c r="O903">
        <v>202409</v>
      </c>
      <c r="P903">
        <v>40002</v>
      </c>
      <c r="Q903" t="s">
        <v>12</v>
      </c>
      <c r="R903" t="s">
        <v>12</v>
      </c>
      <c r="S903" t="s">
        <v>12</v>
      </c>
      <c r="T903" t="s">
        <v>12</v>
      </c>
      <c r="U903" t="s">
        <v>12</v>
      </c>
      <c r="V903" t="s">
        <v>12</v>
      </c>
      <c r="W903" t="s">
        <v>12</v>
      </c>
      <c r="X903" t="s">
        <v>12</v>
      </c>
      <c r="Y903" t="s">
        <v>12</v>
      </c>
      <c r="Z903" t="s">
        <v>12</v>
      </c>
      <c r="AA903" t="s">
        <v>12</v>
      </c>
      <c r="AB903" t="s">
        <v>12</v>
      </c>
      <c r="AC903" t="s">
        <v>12</v>
      </c>
      <c r="AD903" t="s">
        <v>12</v>
      </c>
      <c r="AE903" t="s">
        <v>12</v>
      </c>
      <c r="AF903" t="s">
        <v>12</v>
      </c>
      <c r="AG903" t="s">
        <v>12</v>
      </c>
      <c r="AH903" t="s">
        <v>12</v>
      </c>
      <c r="AI903" t="s">
        <v>12</v>
      </c>
      <c r="AJ903" t="s">
        <v>12</v>
      </c>
      <c r="AK903" t="s">
        <v>12</v>
      </c>
      <c r="AL903" t="s">
        <v>12</v>
      </c>
      <c r="AM903" t="s">
        <v>12</v>
      </c>
      <c r="AN903" t="s">
        <v>12</v>
      </c>
      <c r="AO903" t="s">
        <v>12</v>
      </c>
    </row>
    <row r="904" spans="1:41" x14ac:dyDescent="0.35">
      <c r="A904">
        <v>13011929</v>
      </c>
      <c r="B904">
        <v>202511</v>
      </c>
      <c r="C904">
        <v>10452310622</v>
      </c>
      <c r="D904" t="s">
        <v>1177</v>
      </c>
      <c r="E904">
        <v>45231062</v>
      </c>
      <c r="F904">
        <v>10264019</v>
      </c>
      <c r="G904" t="s">
        <v>45</v>
      </c>
      <c r="H904" t="s">
        <v>981</v>
      </c>
      <c r="I904">
        <v>32582.015625</v>
      </c>
      <c r="J904" s="1">
        <v>45646</v>
      </c>
      <c r="K904">
        <v>17.899999999999999</v>
      </c>
      <c r="L904" t="s">
        <v>37</v>
      </c>
      <c r="M904" t="s">
        <v>37</v>
      </c>
      <c r="N904" t="s">
        <v>47</v>
      </c>
      <c r="O904">
        <v>202412</v>
      </c>
      <c r="P904">
        <v>39801.949999999997</v>
      </c>
      <c r="Q904" t="s">
        <v>12</v>
      </c>
      <c r="R904" t="s">
        <v>12</v>
      </c>
      <c r="S904" t="s">
        <v>12</v>
      </c>
      <c r="T904" t="s">
        <v>12</v>
      </c>
      <c r="U904" t="s">
        <v>12</v>
      </c>
      <c r="V904" t="s">
        <v>12</v>
      </c>
      <c r="W904" t="s">
        <v>12</v>
      </c>
      <c r="X904" t="s">
        <v>12</v>
      </c>
      <c r="Y904" t="s">
        <v>12</v>
      </c>
      <c r="Z904" t="s">
        <v>12</v>
      </c>
      <c r="AA904" t="s">
        <v>12</v>
      </c>
      <c r="AB904" t="s">
        <v>12</v>
      </c>
      <c r="AC904" t="s">
        <v>12</v>
      </c>
      <c r="AD904" t="s">
        <v>12</v>
      </c>
      <c r="AE904" t="s">
        <v>12</v>
      </c>
      <c r="AF904" t="s">
        <v>12</v>
      </c>
      <c r="AG904" t="s">
        <v>12</v>
      </c>
      <c r="AH904" t="s">
        <v>12</v>
      </c>
      <c r="AI904" t="s">
        <v>12</v>
      </c>
      <c r="AJ904" t="s">
        <v>12</v>
      </c>
      <c r="AK904" t="s">
        <v>12</v>
      </c>
      <c r="AL904" t="s">
        <v>12</v>
      </c>
      <c r="AM904" t="s">
        <v>12</v>
      </c>
      <c r="AN904" t="s">
        <v>12</v>
      </c>
      <c r="AO904" t="s">
        <v>12</v>
      </c>
    </row>
    <row r="905" spans="1:41" x14ac:dyDescent="0.35">
      <c r="A905">
        <v>10801808</v>
      </c>
      <c r="B905">
        <v>202509</v>
      </c>
      <c r="C905">
        <v>10419175540</v>
      </c>
      <c r="D905" t="s">
        <v>1178</v>
      </c>
      <c r="E905">
        <v>41917554</v>
      </c>
      <c r="F905">
        <v>10258194</v>
      </c>
      <c r="G905" t="s">
        <v>45</v>
      </c>
      <c r="H905" t="s">
        <v>737</v>
      </c>
      <c r="I905">
        <v>20953.595703125</v>
      </c>
      <c r="J905" s="1">
        <v>45503</v>
      </c>
      <c r="K905">
        <v>15.5</v>
      </c>
      <c r="L905" t="s">
        <v>37</v>
      </c>
      <c r="M905" t="s">
        <v>37</v>
      </c>
      <c r="N905" t="s">
        <v>47</v>
      </c>
      <c r="O905">
        <v>202407</v>
      </c>
      <c r="P905">
        <v>30001.5</v>
      </c>
      <c r="Q905" t="s">
        <v>12</v>
      </c>
      <c r="R905" t="s">
        <v>12</v>
      </c>
      <c r="S905" t="s">
        <v>12</v>
      </c>
      <c r="T905" t="s">
        <v>12</v>
      </c>
      <c r="U905" t="s">
        <v>12</v>
      </c>
      <c r="V905" t="s">
        <v>12</v>
      </c>
      <c r="W905" t="s">
        <v>12</v>
      </c>
      <c r="X905" t="s">
        <v>12</v>
      </c>
      <c r="Y905" t="s">
        <v>12</v>
      </c>
      <c r="Z905" t="s">
        <v>12</v>
      </c>
      <c r="AA905" t="s">
        <v>12</v>
      </c>
      <c r="AB905" t="s">
        <v>12</v>
      </c>
      <c r="AC905" t="s">
        <v>12</v>
      </c>
      <c r="AD905" t="s">
        <v>12</v>
      </c>
      <c r="AE905" t="s">
        <v>12</v>
      </c>
      <c r="AF905" t="s">
        <v>12</v>
      </c>
      <c r="AG905" t="s">
        <v>12</v>
      </c>
      <c r="AH905" t="s">
        <v>12</v>
      </c>
      <c r="AI905" t="s">
        <v>12</v>
      </c>
      <c r="AJ905" t="s">
        <v>12</v>
      </c>
      <c r="AK905" t="s">
        <v>12</v>
      </c>
      <c r="AL905" t="s">
        <v>12</v>
      </c>
      <c r="AM905" t="s">
        <v>12</v>
      </c>
      <c r="AN905" t="s">
        <v>12</v>
      </c>
      <c r="AO905" t="s">
        <v>12</v>
      </c>
    </row>
    <row r="906" spans="1:41" x14ac:dyDescent="0.35">
      <c r="A906">
        <v>21000884</v>
      </c>
      <c r="B906">
        <v>202601</v>
      </c>
      <c r="C906">
        <v>20603063181</v>
      </c>
      <c r="D906" t="s">
        <v>1179</v>
      </c>
      <c r="E906" t="s">
        <v>1</v>
      </c>
      <c r="F906">
        <v>10257067</v>
      </c>
      <c r="G906" t="s">
        <v>24</v>
      </c>
      <c r="H906" t="s">
        <v>82</v>
      </c>
      <c r="I906">
        <v>36251.17578125</v>
      </c>
      <c r="J906" s="1">
        <v>45478</v>
      </c>
      <c r="K906">
        <v>18.5</v>
      </c>
      <c r="L906" t="s">
        <v>37</v>
      </c>
      <c r="M906" t="s">
        <v>37</v>
      </c>
      <c r="N906" t="s">
        <v>12</v>
      </c>
      <c r="O906">
        <v>202407</v>
      </c>
      <c r="P906">
        <v>127920.35</v>
      </c>
      <c r="Q906" t="s">
        <v>82</v>
      </c>
      <c r="R906" t="s">
        <v>83</v>
      </c>
      <c r="S906" t="s">
        <v>49</v>
      </c>
      <c r="T906" t="s">
        <v>50</v>
      </c>
      <c r="U906" t="s">
        <v>20</v>
      </c>
      <c r="V906">
        <v>1</v>
      </c>
      <c r="W906" t="s">
        <v>21</v>
      </c>
      <c r="X906" t="s">
        <v>22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 t="s">
        <v>12</v>
      </c>
      <c r="AG906" t="s">
        <v>12</v>
      </c>
      <c r="AH906" t="s">
        <v>12</v>
      </c>
      <c r="AI906" t="s">
        <v>12</v>
      </c>
      <c r="AJ906" t="s">
        <v>12</v>
      </c>
      <c r="AK906">
        <v>1</v>
      </c>
      <c r="AL906">
        <v>1</v>
      </c>
      <c r="AM906">
        <v>0.24</v>
      </c>
      <c r="AN906" t="s">
        <v>12</v>
      </c>
      <c r="AO906" t="s">
        <v>12</v>
      </c>
    </row>
    <row r="907" spans="1:41" x14ac:dyDescent="0.35">
      <c r="A907">
        <v>20959337</v>
      </c>
      <c r="B907">
        <v>202512</v>
      </c>
      <c r="C907">
        <v>20545433525</v>
      </c>
      <c r="D907" t="s">
        <v>1180</v>
      </c>
      <c r="E907" t="s">
        <v>1</v>
      </c>
      <c r="F907">
        <v>10255850</v>
      </c>
      <c r="G907" t="s">
        <v>45</v>
      </c>
      <c r="H907" t="s">
        <v>79</v>
      </c>
      <c r="I907">
        <v>48146.01953125</v>
      </c>
      <c r="J907" s="1">
        <v>45463</v>
      </c>
      <c r="K907">
        <v>14.8</v>
      </c>
      <c r="L907" t="s">
        <v>37</v>
      </c>
      <c r="M907" t="s">
        <v>37</v>
      </c>
      <c r="N907" t="s">
        <v>47</v>
      </c>
      <c r="O907">
        <v>202406</v>
      </c>
      <c r="P907">
        <v>90004.5</v>
      </c>
      <c r="Q907" t="s">
        <v>54</v>
      </c>
      <c r="R907" t="s">
        <v>55</v>
      </c>
      <c r="S907" t="s">
        <v>31</v>
      </c>
      <c r="T907" t="s">
        <v>32</v>
      </c>
      <c r="U907" t="s">
        <v>41</v>
      </c>
      <c r="V907">
        <v>1</v>
      </c>
      <c r="W907" t="s">
        <v>10</v>
      </c>
      <c r="X907" t="s">
        <v>51</v>
      </c>
      <c r="Y907">
        <v>1</v>
      </c>
      <c r="Z907">
        <v>1</v>
      </c>
      <c r="AA907">
        <v>0</v>
      </c>
      <c r="AB907">
        <v>1</v>
      </c>
      <c r="AC907">
        <v>1</v>
      </c>
      <c r="AD907">
        <v>1</v>
      </c>
      <c r="AE907">
        <v>0</v>
      </c>
      <c r="AF907" t="s">
        <v>12</v>
      </c>
      <c r="AG907" t="s">
        <v>12</v>
      </c>
      <c r="AH907" t="s">
        <v>12</v>
      </c>
      <c r="AI907" t="s">
        <v>12</v>
      </c>
      <c r="AJ907" t="s">
        <v>12</v>
      </c>
      <c r="AK907">
        <v>400000</v>
      </c>
      <c r="AL907">
        <v>0.21</v>
      </c>
      <c r="AM907">
        <v>0.19</v>
      </c>
      <c r="AN907" t="s">
        <v>12</v>
      </c>
      <c r="AO907" t="s">
        <v>12</v>
      </c>
    </row>
    <row r="908" spans="1:41" x14ac:dyDescent="0.35">
      <c r="A908">
        <v>21091929</v>
      </c>
      <c r="B908">
        <v>202602</v>
      </c>
      <c r="C908">
        <v>20602306292</v>
      </c>
      <c r="D908" t="s">
        <v>1181</v>
      </c>
      <c r="E908" t="s">
        <v>1</v>
      </c>
      <c r="F908">
        <v>10270428</v>
      </c>
      <c r="G908" t="s">
        <v>78</v>
      </c>
      <c r="H908" t="s">
        <v>422</v>
      </c>
      <c r="I908">
        <v>93139.6640625</v>
      </c>
      <c r="J908" s="1">
        <v>45884</v>
      </c>
      <c r="K908">
        <v>15</v>
      </c>
      <c r="L908" t="s">
        <v>86</v>
      </c>
      <c r="M908" t="s">
        <v>86</v>
      </c>
      <c r="N908" t="s">
        <v>41</v>
      </c>
      <c r="O908">
        <v>202508</v>
      </c>
      <c r="P908">
        <v>120006</v>
      </c>
      <c r="Q908" t="s">
        <v>422</v>
      </c>
      <c r="R908" t="s">
        <v>424</v>
      </c>
      <c r="S908" t="s">
        <v>88</v>
      </c>
      <c r="T908" t="s">
        <v>89</v>
      </c>
      <c r="U908" t="s">
        <v>63</v>
      </c>
      <c r="V908">
        <v>2</v>
      </c>
      <c r="W908" t="s">
        <v>10</v>
      </c>
      <c r="X908" t="s">
        <v>22</v>
      </c>
      <c r="Y908">
        <v>1</v>
      </c>
      <c r="Z908">
        <v>1</v>
      </c>
      <c r="AA908">
        <v>0</v>
      </c>
      <c r="AB908">
        <v>0</v>
      </c>
      <c r="AC908">
        <v>0</v>
      </c>
      <c r="AD908">
        <v>1</v>
      </c>
      <c r="AE908">
        <v>0</v>
      </c>
      <c r="AF908" t="s">
        <v>12</v>
      </c>
      <c r="AG908" t="s">
        <v>12</v>
      </c>
      <c r="AH908" t="s">
        <v>12</v>
      </c>
      <c r="AI908" t="s">
        <v>12</v>
      </c>
      <c r="AJ908" t="s">
        <v>12</v>
      </c>
      <c r="AK908">
        <v>250000</v>
      </c>
      <c r="AL908">
        <v>0.21</v>
      </c>
      <c r="AM908">
        <v>0.19</v>
      </c>
      <c r="AN908" t="s">
        <v>12</v>
      </c>
      <c r="AO908" t="s">
        <v>12</v>
      </c>
    </row>
    <row r="909" spans="1:41" x14ac:dyDescent="0.35">
      <c r="A909">
        <v>21600584</v>
      </c>
      <c r="B909">
        <v>202506</v>
      </c>
      <c r="C909">
        <v>20609316170</v>
      </c>
      <c r="D909" t="s">
        <v>1182</v>
      </c>
      <c r="E909" t="s">
        <v>1</v>
      </c>
      <c r="F909">
        <v>10267336</v>
      </c>
      <c r="G909" t="s">
        <v>28</v>
      </c>
      <c r="H909" t="s">
        <v>145</v>
      </c>
      <c r="I909">
        <v>135550.109375</v>
      </c>
      <c r="J909" s="1">
        <v>45772</v>
      </c>
      <c r="K909">
        <v>17.5</v>
      </c>
      <c r="L909" t="s">
        <v>4</v>
      </c>
      <c r="M909" t="s">
        <v>4</v>
      </c>
      <c r="N909" t="s">
        <v>26</v>
      </c>
      <c r="O909">
        <v>202504</v>
      </c>
      <c r="P909">
        <v>160008</v>
      </c>
      <c r="Q909" t="s">
        <v>145</v>
      </c>
      <c r="R909" t="s">
        <v>146</v>
      </c>
      <c r="S909" t="s">
        <v>127</v>
      </c>
      <c r="T909" t="s">
        <v>147</v>
      </c>
      <c r="U909" t="s">
        <v>20</v>
      </c>
      <c r="V909">
        <v>1</v>
      </c>
      <c r="W909" t="s">
        <v>10</v>
      </c>
      <c r="X909" t="s">
        <v>12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 t="s">
        <v>12</v>
      </c>
      <c r="AG909" t="s">
        <v>12</v>
      </c>
      <c r="AH909" t="s">
        <v>12</v>
      </c>
      <c r="AI909" t="s">
        <v>12</v>
      </c>
      <c r="AJ909" t="s">
        <v>12</v>
      </c>
      <c r="AK909">
        <v>1</v>
      </c>
      <c r="AL909">
        <v>0.1883</v>
      </c>
      <c r="AM909" t="s">
        <v>12</v>
      </c>
      <c r="AN909" t="s">
        <v>12</v>
      </c>
      <c r="AO909" t="s">
        <v>12</v>
      </c>
    </row>
    <row r="910" spans="1:41" x14ac:dyDescent="0.35">
      <c r="A910">
        <v>16401848</v>
      </c>
      <c r="B910">
        <v>202506</v>
      </c>
      <c r="C910">
        <v>10332400784</v>
      </c>
      <c r="D910" t="s">
        <v>1183</v>
      </c>
      <c r="E910">
        <v>33240078</v>
      </c>
      <c r="F910">
        <v>10265510</v>
      </c>
      <c r="G910" t="s">
        <v>100</v>
      </c>
      <c r="H910" t="s">
        <v>105</v>
      </c>
      <c r="I910">
        <v>196667.84375</v>
      </c>
      <c r="J910" s="1">
        <v>45708</v>
      </c>
      <c r="K910">
        <v>17</v>
      </c>
      <c r="L910" t="s">
        <v>37</v>
      </c>
      <c r="M910" t="s">
        <v>37</v>
      </c>
      <c r="N910" t="s">
        <v>102</v>
      </c>
      <c r="O910">
        <v>202502</v>
      </c>
      <c r="P910">
        <v>246107.7</v>
      </c>
      <c r="Q910" t="s">
        <v>105</v>
      </c>
      <c r="R910" t="s">
        <v>106</v>
      </c>
      <c r="S910" t="s">
        <v>88</v>
      </c>
      <c r="T910" t="s">
        <v>89</v>
      </c>
      <c r="U910" t="s">
        <v>20</v>
      </c>
      <c r="V910">
        <v>2</v>
      </c>
      <c r="W910" t="s">
        <v>90</v>
      </c>
      <c r="X910" t="s">
        <v>12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12</v>
      </c>
      <c r="AG910" t="s">
        <v>12</v>
      </c>
      <c r="AH910" t="s">
        <v>12</v>
      </c>
      <c r="AI910" t="s">
        <v>12</v>
      </c>
      <c r="AJ910" t="s">
        <v>12</v>
      </c>
      <c r="AK910">
        <v>1</v>
      </c>
      <c r="AL910">
        <v>0.1973</v>
      </c>
      <c r="AM910" t="s">
        <v>12</v>
      </c>
      <c r="AN910" t="s">
        <v>12</v>
      </c>
      <c r="AO910" t="s">
        <v>12</v>
      </c>
    </row>
    <row r="911" spans="1:41" x14ac:dyDescent="0.35">
      <c r="A911">
        <v>21458159</v>
      </c>
      <c r="B911">
        <v>202511</v>
      </c>
      <c r="C911">
        <v>20608840134</v>
      </c>
      <c r="D911" t="s">
        <v>1184</v>
      </c>
      <c r="E911" t="s">
        <v>1</v>
      </c>
      <c r="F911">
        <v>10265121</v>
      </c>
      <c r="G911" t="s">
        <v>28</v>
      </c>
      <c r="H911" t="s">
        <v>217</v>
      </c>
      <c r="I911">
        <v>64225.8984375</v>
      </c>
      <c r="J911" s="1">
        <v>45688</v>
      </c>
      <c r="K911">
        <v>20</v>
      </c>
      <c r="L911" t="s">
        <v>4</v>
      </c>
      <c r="M911" t="s">
        <v>75</v>
      </c>
      <c r="N911" t="s">
        <v>26</v>
      </c>
      <c r="O911">
        <v>202501</v>
      </c>
      <c r="P911">
        <v>120006</v>
      </c>
      <c r="Q911" t="s">
        <v>217</v>
      </c>
      <c r="R911" t="s">
        <v>218</v>
      </c>
      <c r="S911" t="s">
        <v>18</v>
      </c>
      <c r="T911" t="s">
        <v>122</v>
      </c>
      <c r="U911" t="s">
        <v>20</v>
      </c>
      <c r="V911">
        <v>1</v>
      </c>
      <c r="W911" t="s">
        <v>10</v>
      </c>
      <c r="X911" t="s">
        <v>51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 t="s">
        <v>12</v>
      </c>
      <c r="AG911" t="s">
        <v>12</v>
      </c>
      <c r="AH911" t="s">
        <v>12</v>
      </c>
      <c r="AI911" t="s">
        <v>12</v>
      </c>
      <c r="AJ911" t="s">
        <v>12</v>
      </c>
      <c r="AK911">
        <v>1</v>
      </c>
      <c r="AL911">
        <v>1</v>
      </c>
      <c r="AM911" t="s">
        <v>12</v>
      </c>
      <c r="AN911" t="s">
        <v>12</v>
      </c>
      <c r="AO911" t="s">
        <v>12</v>
      </c>
    </row>
    <row r="912" spans="1:41" x14ac:dyDescent="0.35">
      <c r="A912">
        <v>21578361</v>
      </c>
      <c r="B912">
        <v>202505</v>
      </c>
      <c r="C912">
        <v>20600228111</v>
      </c>
      <c r="D912" t="s">
        <v>1185</v>
      </c>
      <c r="E912" t="s">
        <v>1</v>
      </c>
      <c r="F912">
        <v>10266947</v>
      </c>
      <c r="G912" t="s">
        <v>14</v>
      </c>
      <c r="H912" t="s">
        <v>159</v>
      </c>
      <c r="I912">
        <v>86646.6796875</v>
      </c>
      <c r="J912" s="1">
        <v>45756</v>
      </c>
      <c r="K912">
        <v>18</v>
      </c>
      <c r="L912" t="s">
        <v>37</v>
      </c>
      <c r="M912" t="s">
        <v>37</v>
      </c>
      <c r="N912" t="s">
        <v>16</v>
      </c>
      <c r="O912">
        <v>202504</v>
      </c>
      <c r="P912">
        <v>93904.65</v>
      </c>
      <c r="Q912" t="s">
        <v>12</v>
      </c>
      <c r="R912" t="s">
        <v>12</v>
      </c>
      <c r="S912" t="s">
        <v>12</v>
      </c>
      <c r="T912" t="s">
        <v>12</v>
      </c>
      <c r="U912" t="s">
        <v>12</v>
      </c>
      <c r="V912" t="s">
        <v>12</v>
      </c>
      <c r="W912" t="s">
        <v>12</v>
      </c>
      <c r="X912" t="s">
        <v>12</v>
      </c>
      <c r="Y912" t="s">
        <v>12</v>
      </c>
      <c r="Z912" t="s">
        <v>12</v>
      </c>
      <c r="AA912" t="s">
        <v>12</v>
      </c>
      <c r="AB912" t="s">
        <v>12</v>
      </c>
      <c r="AC912" t="s">
        <v>12</v>
      </c>
      <c r="AD912" t="s">
        <v>12</v>
      </c>
      <c r="AE912" t="s">
        <v>12</v>
      </c>
      <c r="AF912" t="s">
        <v>12</v>
      </c>
      <c r="AG912" t="s">
        <v>12</v>
      </c>
      <c r="AH912" t="s">
        <v>12</v>
      </c>
      <c r="AI912" t="s">
        <v>12</v>
      </c>
      <c r="AJ912" t="s">
        <v>12</v>
      </c>
      <c r="AK912" t="s">
        <v>12</v>
      </c>
      <c r="AL912" t="s">
        <v>12</v>
      </c>
      <c r="AM912" t="s">
        <v>12</v>
      </c>
      <c r="AN912" t="s">
        <v>12</v>
      </c>
      <c r="AO912" t="s">
        <v>12</v>
      </c>
    </row>
    <row r="913" spans="1:41" x14ac:dyDescent="0.35">
      <c r="A913">
        <v>18931099</v>
      </c>
      <c r="B913">
        <v>202511</v>
      </c>
      <c r="C913">
        <v>20607585947</v>
      </c>
      <c r="D913" t="s">
        <v>1186</v>
      </c>
      <c r="E913" t="s">
        <v>1</v>
      </c>
      <c r="F913">
        <v>10264350</v>
      </c>
      <c r="G913" t="s">
        <v>1173</v>
      </c>
      <c r="H913" t="s">
        <v>7</v>
      </c>
      <c r="I913">
        <v>93885.9375</v>
      </c>
      <c r="J913" s="1">
        <v>45656</v>
      </c>
      <c r="K913">
        <v>17</v>
      </c>
      <c r="L913" t="s">
        <v>4</v>
      </c>
      <c r="M913" t="s">
        <v>4</v>
      </c>
      <c r="N913" t="s">
        <v>209</v>
      </c>
      <c r="O913">
        <v>202412</v>
      </c>
      <c r="P913">
        <v>124590.54</v>
      </c>
      <c r="Q913" t="s">
        <v>149</v>
      </c>
      <c r="R913" t="s">
        <v>150</v>
      </c>
      <c r="S913" t="s">
        <v>7</v>
      </c>
      <c r="T913" t="s">
        <v>8</v>
      </c>
      <c r="U913" t="s">
        <v>41</v>
      </c>
      <c r="V913">
        <v>1</v>
      </c>
      <c r="W913" t="s">
        <v>10</v>
      </c>
      <c r="X913" t="s">
        <v>11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 t="s">
        <v>12</v>
      </c>
      <c r="AG913" t="s">
        <v>12</v>
      </c>
      <c r="AH913" t="s">
        <v>12</v>
      </c>
      <c r="AI913" t="s">
        <v>12</v>
      </c>
      <c r="AJ913" t="s">
        <v>12</v>
      </c>
      <c r="AK913">
        <v>400000</v>
      </c>
      <c r="AL913">
        <v>0.21</v>
      </c>
      <c r="AM913">
        <v>0.19</v>
      </c>
      <c r="AN913" t="s">
        <v>12</v>
      </c>
      <c r="AO913" t="s">
        <v>12</v>
      </c>
    </row>
    <row r="914" spans="1:41" x14ac:dyDescent="0.35">
      <c r="A914">
        <v>21435903</v>
      </c>
      <c r="B914">
        <v>202505</v>
      </c>
      <c r="C914">
        <v>20608002414</v>
      </c>
      <c r="D914" t="s">
        <v>1187</v>
      </c>
      <c r="E914" t="s">
        <v>1</v>
      </c>
      <c r="F914">
        <v>10264668</v>
      </c>
      <c r="G914" t="s">
        <v>28</v>
      </c>
      <c r="H914" t="s">
        <v>129</v>
      </c>
      <c r="I914">
        <v>140670.921875</v>
      </c>
      <c r="J914" s="1">
        <v>45678</v>
      </c>
      <c r="K914">
        <v>19.200001</v>
      </c>
      <c r="L914" t="s">
        <v>4</v>
      </c>
      <c r="M914" t="s">
        <v>4</v>
      </c>
      <c r="N914" t="s">
        <v>26</v>
      </c>
      <c r="O914">
        <v>202501</v>
      </c>
      <c r="P914">
        <v>176008.8</v>
      </c>
      <c r="Q914" t="s">
        <v>129</v>
      </c>
      <c r="R914" t="s">
        <v>130</v>
      </c>
      <c r="S914" t="s">
        <v>49</v>
      </c>
      <c r="T914" t="s">
        <v>50</v>
      </c>
      <c r="U914" t="s">
        <v>20</v>
      </c>
      <c r="V914">
        <v>1</v>
      </c>
      <c r="W914" t="s">
        <v>10</v>
      </c>
      <c r="X914" t="s">
        <v>12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12</v>
      </c>
      <c r="AG914" t="s">
        <v>12</v>
      </c>
      <c r="AH914" t="s">
        <v>12</v>
      </c>
      <c r="AI914" t="s">
        <v>12</v>
      </c>
      <c r="AJ914" t="s">
        <v>12</v>
      </c>
      <c r="AK914">
        <v>0</v>
      </c>
      <c r="AL914">
        <v>0</v>
      </c>
      <c r="AM914">
        <v>0.27079999999999999</v>
      </c>
      <c r="AN914" t="s">
        <v>12</v>
      </c>
      <c r="AO914" t="s">
        <v>12</v>
      </c>
    </row>
    <row r="915" spans="1:41" x14ac:dyDescent="0.35">
      <c r="A915">
        <v>21892997</v>
      </c>
      <c r="B915">
        <v>202602</v>
      </c>
      <c r="C915">
        <v>20601839203</v>
      </c>
      <c r="D915" t="s">
        <v>1188</v>
      </c>
      <c r="E915" t="s">
        <v>1</v>
      </c>
      <c r="F915">
        <v>10272083</v>
      </c>
      <c r="G915" t="s">
        <v>24</v>
      </c>
      <c r="H915" t="s">
        <v>49</v>
      </c>
      <c r="I915">
        <v>171049.3125</v>
      </c>
      <c r="J915" s="1">
        <v>45939</v>
      </c>
      <c r="K915">
        <v>17</v>
      </c>
      <c r="L915" t="s">
        <v>37</v>
      </c>
      <c r="M915" t="s">
        <v>37</v>
      </c>
      <c r="N915" t="s">
        <v>98</v>
      </c>
      <c r="O915">
        <v>202510</v>
      </c>
      <c r="P915">
        <v>200010</v>
      </c>
      <c r="Q915" t="s">
        <v>12</v>
      </c>
      <c r="R915" t="s">
        <v>12</v>
      </c>
      <c r="S915" t="s">
        <v>12</v>
      </c>
      <c r="T915" t="s">
        <v>12</v>
      </c>
      <c r="U915" t="s">
        <v>12</v>
      </c>
      <c r="V915" t="s">
        <v>12</v>
      </c>
      <c r="W915" t="s">
        <v>12</v>
      </c>
      <c r="X915" t="s">
        <v>12</v>
      </c>
      <c r="Y915" t="s">
        <v>12</v>
      </c>
      <c r="Z915" t="s">
        <v>12</v>
      </c>
      <c r="AA915" t="s">
        <v>12</v>
      </c>
      <c r="AB915" t="s">
        <v>12</v>
      </c>
      <c r="AC915" t="s">
        <v>12</v>
      </c>
      <c r="AD915" t="s">
        <v>12</v>
      </c>
      <c r="AE915" t="s">
        <v>12</v>
      </c>
      <c r="AF915" t="s">
        <v>12</v>
      </c>
      <c r="AG915" t="s">
        <v>12</v>
      </c>
      <c r="AH915" t="s">
        <v>12</v>
      </c>
      <c r="AI915" t="s">
        <v>12</v>
      </c>
      <c r="AJ915" t="s">
        <v>12</v>
      </c>
      <c r="AK915" t="s">
        <v>12</v>
      </c>
      <c r="AL915" t="s">
        <v>12</v>
      </c>
      <c r="AM915" t="s">
        <v>12</v>
      </c>
      <c r="AN915" t="s">
        <v>12</v>
      </c>
      <c r="AO915" t="s">
        <v>12</v>
      </c>
    </row>
    <row r="916" spans="1:41" x14ac:dyDescent="0.35">
      <c r="A916">
        <v>12714501</v>
      </c>
      <c r="B916">
        <v>202601</v>
      </c>
      <c r="C916">
        <v>10430366543</v>
      </c>
      <c r="D916" t="s">
        <v>1189</v>
      </c>
      <c r="E916">
        <v>43036654</v>
      </c>
      <c r="F916">
        <v>10269409</v>
      </c>
      <c r="G916" t="s">
        <v>24</v>
      </c>
      <c r="H916" t="s">
        <v>1190</v>
      </c>
      <c r="I916">
        <v>29146.0078125</v>
      </c>
      <c r="J916" s="1">
        <v>45846</v>
      </c>
      <c r="K916">
        <v>25</v>
      </c>
      <c r="L916" t="s">
        <v>37</v>
      </c>
      <c r="M916" t="s">
        <v>37</v>
      </c>
      <c r="N916" t="s">
        <v>98</v>
      </c>
      <c r="O916">
        <v>202507</v>
      </c>
      <c r="P916">
        <v>41350.050000000003</v>
      </c>
      <c r="Q916" t="s">
        <v>12</v>
      </c>
      <c r="R916" t="s">
        <v>12</v>
      </c>
      <c r="S916" t="s">
        <v>12</v>
      </c>
      <c r="T916" t="s">
        <v>12</v>
      </c>
      <c r="U916" t="s">
        <v>12</v>
      </c>
      <c r="V916" t="s">
        <v>12</v>
      </c>
      <c r="W916" t="s">
        <v>12</v>
      </c>
      <c r="X916" t="s">
        <v>12</v>
      </c>
      <c r="Y916" t="s">
        <v>12</v>
      </c>
      <c r="Z916" t="s">
        <v>12</v>
      </c>
      <c r="AA916" t="s">
        <v>12</v>
      </c>
      <c r="AB916" t="s">
        <v>12</v>
      </c>
      <c r="AC916" t="s">
        <v>12</v>
      </c>
      <c r="AD916" t="s">
        <v>12</v>
      </c>
      <c r="AE916" t="s">
        <v>12</v>
      </c>
      <c r="AF916" t="s">
        <v>12</v>
      </c>
      <c r="AG916" t="s">
        <v>12</v>
      </c>
      <c r="AH916" t="s">
        <v>12</v>
      </c>
      <c r="AI916" t="s">
        <v>12</v>
      </c>
      <c r="AJ916" t="s">
        <v>12</v>
      </c>
      <c r="AK916" t="s">
        <v>12</v>
      </c>
      <c r="AL916" t="s">
        <v>12</v>
      </c>
      <c r="AM916" t="s">
        <v>12</v>
      </c>
      <c r="AN916" t="s">
        <v>12</v>
      </c>
      <c r="AO916" t="s">
        <v>12</v>
      </c>
    </row>
    <row r="917" spans="1:41" x14ac:dyDescent="0.35">
      <c r="A917">
        <v>10089568</v>
      </c>
      <c r="B917">
        <v>202504</v>
      </c>
      <c r="C917">
        <v>10098819440</v>
      </c>
      <c r="D917" t="s">
        <v>1191</v>
      </c>
      <c r="E917">
        <v>9881944</v>
      </c>
      <c r="F917">
        <v>10265292</v>
      </c>
      <c r="G917" t="s">
        <v>100</v>
      </c>
      <c r="H917" t="s">
        <v>1192</v>
      </c>
      <c r="I917">
        <v>51428.61328125</v>
      </c>
      <c r="J917" s="1">
        <v>45701</v>
      </c>
      <c r="K917">
        <v>22</v>
      </c>
      <c r="L917" t="s">
        <v>37</v>
      </c>
      <c r="M917" t="s">
        <v>37</v>
      </c>
      <c r="N917" t="s">
        <v>102</v>
      </c>
      <c r="O917">
        <v>202502</v>
      </c>
      <c r="P917">
        <v>55202.75</v>
      </c>
      <c r="Q917" t="s">
        <v>12</v>
      </c>
      <c r="R917" t="s">
        <v>12</v>
      </c>
      <c r="S917" t="s">
        <v>12</v>
      </c>
      <c r="T917" t="s">
        <v>12</v>
      </c>
      <c r="U917" t="s">
        <v>12</v>
      </c>
      <c r="V917" t="s">
        <v>12</v>
      </c>
      <c r="W917" t="s">
        <v>12</v>
      </c>
      <c r="X917" t="s">
        <v>12</v>
      </c>
      <c r="Y917" t="s">
        <v>12</v>
      </c>
      <c r="Z917" t="s">
        <v>12</v>
      </c>
      <c r="AA917" t="s">
        <v>12</v>
      </c>
      <c r="AB917" t="s">
        <v>12</v>
      </c>
      <c r="AC917" t="s">
        <v>12</v>
      </c>
      <c r="AD917" t="s">
        <v>12</v>
      </c>
      <c r="AE917" t="s">
        <v>12</v>
      </c>
      <c r="AF917" t="s">
        <v>12</v>
      </c>
      <c r="AG917" t="s">
        <v>12</v>
      </c>
      <c r="AH917" t="s">
        <v>12</v>
      </c>
      <c r="AI917" t="s">
        <v>12</v>
      </c>
      <c r="AJ917" t="s">
        <v>12</v>
      </c>
      <c r="AK917" t="s">
        <v>12</v>
      </c>
      <c r="AL917" t="s">
        <v>12</v>
      </c>
      <c r="AM917" t="s">
        <v>12</v>
      </c>
      <c r="AN917" t="s">
        <v>12</v>
      </c>
      <c r="AO917" t="s">
        <v>12</v>
      </c>
    </row>
    <row r="918" spans="1:41" x14ac:dyDescent="0.35">
      <c r="A918">
        <v>11304650</v>
      </c>
      <c r="B918">
        <v>202505</v>
      </c>
      <c r="C918">
        <v>10802234878</v>
      </c>
      <c r="D918" t="s">
        <v>1193</v>
      </c>
      <c r="E918">
        <v>80223487</v>
      </c>
      <c r="F918">
        <v>10266044</v>
      </c>
      <c r="G918" t="s">
        <v>268</v>
      </c>
      <c r="H918" t="s">
        <v>1194</v>
      </c>
      <c r="I918">
        <v>27062.9765625</v>
      </c>
      <c r="J918" s="1">
        <v>45726</v>
      </c>
      <c r="K918">
        <v>20</v>
      </c>
      <c r="L918" t="s">
        <v>37</v>
      </c>
      <c r="M918" t="s">
        <v>37</v>
      </c>
      <c r="N918" t="s">
        <v>98</v>
      </c>
      <c r="O918">
        <v>202503</v>
      </c>
      <c r="P918">
        <v>30001.5</v>
      </c>
      <c r="Q918" t="s">
        <v>12</v>
      </c>
      <c r="R918" t="s">
        <v>12</v>
      </c>
      <c r="S918" t="s">
        <v>12</v>
      </c>
      <c r="T918" t="s">
        <v>12</v>
      </c>
      <c r="U918" t="s">
        <v>12</v>
      </c>
      <c r="V918" t="s">
        <v>12</v>
      </c>
      <c r="W918" t="s">
        <v>12</v>
      </c>
      <c r="X918" t="s">
        <v>12</v>
      </c>
      <c r="Y918" t="s">
        <v>12</v>
      </c>
      <c r="Z918" t="s">
        <v>12</v>
      </c>
      <c r="AA918" t="s">
        <v>12</v>
      </c>
      <c r="AB918" t="s">
        <v>12</v>
      </c>
      <c r="AC918" t="s">
        <v>12</v>
      </c>
      <c r="AD918" t="s">
        <v>12</v>
      </c>
      <c r="AE918" t="s">
        <v>12</v>
      </c>
      <c r="AF918" t="s">
        <v>12</v>
      </c>
      <c r="AG918" t="s">
        <v>12</v>
      </c>
      <c r="AH918" t="s">
        <v>12</v>
      </c>
      <c r="AI918" t="s">
        <v>12</v>
      </c>
      <c r="AJ918" t="s">
        <v>12</v>
      </c>
      <c r="AK918" t="s">
        <v>12</v>
      </c>
      <c r="AL918" t="s">
        <v>12</v>
      </c>
      <c r="AM918" t="s">
        <v>12</v>
      </c>
      <c r="AN918" t="s">
        <v>12</v>
      </c>
      <c r="AO918" t="s">
        <v>12</v>
      </c>
    </row>
    <row r="919" spans="1:41" x14ac:dyDescent="0.35">
      <c r="A919">
        <v>19042343</v>
      </c>
      <c r="B919">
        <v>202602</v>
      </c>
      <c r="C919">
        <v>20608889095</v>
      </c>
      <c r="D919" t="s">
        <v>1195</v>
      </c>
      <c r="E919" t="s">
        <v>1</v>
      </c>
      <c r="F919">
        <v>10271691</v>
      </c>
      <c r="G919" t="s">
        <v>268</v>
      </c>
      <c r="H919" t="s">
        <v>159</v>
      </c>
      <c r="I919">
        <v>25478.876953125</v>
      </c>
      <c r="J919" s="1">
        <v>45924</v>
      </c>
      <c r="K919">
        <v>24</v>
      </c>
      <c r="L919" t="s">
        <v>37</v>
      </c>
      <c r="M919" t="s">
        <v>37</v>
      </c>
      <c r="N919" t="s">
        <v>98</v>
      </c>
      <c r="O919">
        <v>202509</v>
      </c>
      <c r="P919">
        <v>31446.55</v>
      </c>
      <c r="Q919" t="s">
        <v>12</v>
      </c>
      <c r="R919" t="s">
        <v>12</v>
      </c>
      <c r="S919" t="s">
        <v>12</v>
      </c>
      <c r="T919" t="s">
        <v>12</v>
      </c>
      <c r="U919" t="s">
        <v>196</v>
      </c>
      <c r="V919">
        <v>3</v>
      </c>
      <c r="W919" t="s">
        <v>10</v>
      </c>
      <c r="X919" t="s">
        <v>51</v>
      </c>
      <c r="Y919">
        <v>1</v>
      </c>
      <c r="Z919">
        <v>1</v>
      </c>
      <c r="AA919">
        <v>0</v>
      </c>
      <c r="AB919">
        <v>0</v>
      </c>
      <c r="AC919">
        <v>0</v>
      </c>
      <c r="AD919" t="s">
        <v>12</v>
      </c>
      <c r="AE919">
        <v>0</v>
      </c>
      <c r="AF919" t="s">
        <v>12</v>
      </c>
      <c r="AG919" t="s">
        <v>12</v>
      </c>
      <c r="AH919" t="s">
        <v>12</v>
      </c>
      <c r="AI919" t="s">
        <v>12</v>
      </c>
      <c r="AJ919" t="s">
        <v>12</v>
      </c>
      <c r="AK919" t="s">
        <v>12</v>
      </c>
      <c r="AL919" t="s">
        <v>12</v>
      </c>
      <c r="AM919" t="s">
        <v>12</v>
      </c>
      <c r="AN919" t="s">
        <v>269</v>
      </c>
      <c r="AO919" t="s">
        <v>270</v>
      </c>
    </row>
    <row r="920" spans="1:41" x14ac:dyDescent="0.35">
      <c r="A920">
        <v>12745851</v>
      </c>
      <c r="B920">
        <v>202508</v>
      </c>
      <c r="C920">
        <v>10258072290</v>
      </c>
      <c r="D920" t="s">
        <v>1155</v>
      </c>
      <c r="E920">
        <v>25807229</v>
      </c>
      <c r="F920">
        <v>10268704</v>
      </c>
      <c r="G920" t="s">
        <v>92</v>
      </c>
      <c r="H920" t="s">
        <v>111</v>
      </c>
      <c r="I920">
        <v>65339.45703125</v>
      </c>
      <c r="J920" s="1">
        <v>45824</v>
      </c>
      <c r="K920">
        <v>25.13</v>
      </c>
      <c r="L920" t="s">
        <v>86</v>
      </c>
      <c r="M920" t="s">
        <v>86</v>
      </c>
      <c r="N920" t="s">
        <v>41</v>
      </c>
      <c r="O920">
        <v>202506</v>
      </c>
      <c r="P920">
        <v>70003.5</v>
      </c>
      <c r="Q920" t="s">
        <v>12</v>
      </c>
      <c r="R920" t="s">
        <v>12</v>
      </c>
      <c r="S920" t="s">
        <v>12</v>
      </c>
      <c r="T920" t="s">
        <v>12</v>
      </c>
      <c r="U920" t="s">
        <v>12</v>
      </c>
      <c r="V920" t="s">
        <v>12</v>
      </c>
      <c r="W920" t="s">
        <v>12</v>
      </c>
      <c r="X920" t="s">
        <v>12</v>
      </c>
      <c r="Y920" t="s">
        <v>12</v>
      </c>
      <c r="Z920" t="s">
        <v>12</v>
      </c>
      <c r="AA920" t="s">
        <v>12</v>
      </c>
      <c r="AB920" t="s">
        <v>12</v>
      </c>
      <c r="AC920" t="s">
        <v>12</v>
      </c>
      <c r="AD920" t="s">
        <v>12</v>
      </c>
      <c r="AE920" t="s">
        <v>12</v>
      </c>
      <c r="AF920" t="s">
        <v>12</v>
      </c>
      <c r="AG920" t="s">
        <v>12</v>
      </c>
      <c r="AH920" t="s">
        <v>12</v>
      </c>
      <c r="AI920" t="s">
        <v>12</v>
      </c>
      <c r="AJ920" t="s">
        <v>12</v>
      </c>
      <c r="AK920" t="s">
        <v>12</v>
      </c>
      <c r="AL920" t="s">
        <v>12</v>
      </c>
      <c r="AM920" t="s">
        <v>12</v>
      </c>
      <c r="AN920" t="s">
        <v>12</v>
      </c>
      <c r="AO920" t="s">
        <v>12</v>
      </c>
    </row>
    <row r="921" spans="1:41" x14ac:dyDescent="0.35">
      <c r="A921">
        <v>12230127</v>
      </c>
      <c r="B921">
        <v>202507</v>
      </c>
      <c r="C921">
        <v>10013277716</v>
      </c>
      <c r="D921" t="s">
        <v>1196</v>
      </c>
      <c r="E921">
        <v>1327771</v>
      </c>
      <c r="F921">
        <v>10267465</v>
      </c>
      <c r="G921" t="s">
        <v>100</v>
      </c>
      <c r="H921" t="s">
        <v>124</v>
      </c>
      <c r="I921">
        <v>196750.09375</v>
      </c>
      <c r="J921" s="1">
        <v>45776</v>
      </c>
      <c r="K921">
        <v>15</v>
      </c>
      <c r="L921" t="s">
        <v>37</v>
      </c>
      <c r="M921" t="s">
        <v>37</v>
      </c>
      <c r="N921" t="s">
        <v>102</v>
      </c>
      <c r="O921">
        <v>202504</v>
      </c>
      <c r="P921">
        <v>211010.55</v>
      </c>
      <c r="Q921" t="s">
        <v>124</v>
      </c>
      <c r="R921" t="s">
        <v>125</v>
      </c>
      <c r="S921" t="s">
        <v>88</v>
      </c>
      <c r="T921" t="s">
        <v>89</v>
      </c>
      <c r="U921" t="s">
        <v>20</v>
      </c>
      <c r="V921">
        <v>2</v>
      </c>
      <c r="W921" t="s">
        <v>90</v>
      </c>
      <c r="X921" t="s">
        <v>12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12</v>
      </c>
      <c r="AG921" t="s">
        <v>12</v>
      </c>
      <c r="AH921" t="s">
        <v>12</v>
      </c>
      <c r="AI921" t="s">
        <v>12</v>
      </c>
      <c r="AJ921" t="s">
        <v>12</v>
      </c>
      <c r="AK921">
        <v>1</v>
      </c>
      <c r="AL921">
        <v>0.2278</v>
      </c>
      <c r="AM921" t="s">
        <v>12</v>
      </c>
      <c r="AN921" t="s">
        <v>12</v>
      </c>
      <c r="AO921" t="s">
        <v>12</v>
      </c>
    </row>
    <row r="922" spans="1:41" x14ac:dyDescent="0.35">
      <c r="A922">
        <v>13758337</v>
      </c>
      <c r="B922">
        <v>202503</v>
      </c>
      <c r="C922">
        <v>20478210966</v>
      </c>
      <c r="D922" t="s">
        <v>1197</v>
      </c>
      <c r="E922" t="s">
        <v>1</v>
      </c>
      <c r="F922">
        <v>10264384</v>
      </c>
      <c r="G922" t="s">
        <v>24</v>
      </c>
      <c r="H922" t="s">
        <v>159</v>
      </c>
      <c r="I922">
        <v>45421.13671875</v>
      </c>
      <c r="J922" s="1">
        <v>45656</v>
      </c>
      <c r="K922">
        <v>24.200001</v>
      </c>
      <c r="L922" t="s">
        <v>37</v>
      </c>
      <c r="M922" t="s">
        <v>37</v>
      </c>
      <c r="N922" t="s">
        <v>12</v>
      </c>
      <c r="O922">
        <v>202412</v>
      </c>
      <c r="P922">
        <v>50002.5</v>
      </c>
      <c r="Q922" t="s">
        <v>12</v>
      </c>
      <c r="R922" t="s">
        <v>12</v>
      </c>
      <c r="S922" t="s">
        <v>12</v>
      </c>
      <c r="T922" t="s">
        <v>12</v>
      </c>
      <c r="U922" t="s">
        <v>12</v>
      </c>
      <c r="V922" t="s">
        <v>12</v>
      </c>
      <c r="W922" t="s">
        <v>12</v>
      </c>
      <c r="X922" t="s">
        <v>12</v>
      </c>
      <c r="Y922" t="s">
        <v>12</v>
      </c>
      <c r="Z922" t="s">
        <v>12</v>
      </c>
      <c r="AA922" t="s">
        <v>12</v>
      </c>
      <c r="AB922" t="s">
        <v>12</v>
      </c>
      <c r="AC922" t="s">
        <v>12</v>
      </c>
      <c r="AD922" t="s">
        <v>12</v>
      </c>
      <c r="AE922" t="s">
        <v>12</v>
      </c>
      <c r="AF922" t="s">
        <v>12</v>
      </c>
      <c r="AG922" t="s">
        <v>12</v>
      </c>
      <c r="AH922" t="s">
        <v>12</v>
      </c>
      <c r="AI922" t="s">
        <v>12</v>
      </c>
      <c r="AJ922" t="s">
        <v>12</v>
      </c>
      <c r="AK922" t="s">
        <v>12</v>
      </c>
      <c r="AL922" t="s">
        <v>12</v>
      </c>
      <c r="AM922" t="s">
        <v>12</v>
      </c>
      <c r="AN922" t="s">
        <v>12</v>
      </c>
      <c r="AO922" t="s">
        <v>12</v>
      </c>
    </row>
    <row r="923" spans="1:41" x14ac:dyDescent="0.35">
      <c r="A923">
        <v>15059975</v>
      </c>
      <c r="B923">
        <v>202511</v>
      </c>
      <c r="C923">
        <v>20518943244</v>
      </c>
      <c r="D923" t="s">
        <v>1198</v>
      </c>
      <c r="E923" t="s">
        <v>1</v>
      </c>
      <c r="F923">
        <v>10140931</v>
      </c>
      <c r="G923" t="s">
        <v>2</v>
      </c>
      <c r="H923" t="s">
        <v>513</v>
      </c>
      <c r="I923">
        <v>75210.125</v>
      </c>
      <c r="J923" s="1">
        <v>45581</v>
      </c>
      <c r="K923">
        <v>18</v>
      </c>
      <c r="L923" t="s">
        <v>4</v>
      </c>
      <c r="M923" t="s">
        <v>4</v>
      </c>
      <c r="N923" t="s">
        <v>5</v>
      </c>
      <c r="O923">
        <v>202410</v>
      </c>
      <c r="P923">
        <v>150007.5</v>
      </c>
      <c r="Q923" t="s">
        <v>513</v>
      </c>
      <c r="R923" t="s">
        <v>514</v>
      </c>
      <c r="S923" t="s">
        <v>111</v>
      </c>
      <c r="T923" t="s">
        <v>112</v>
      </c>
      <c r="U923" t="s">
        <v>5</v>
      </c>
      <c r="V923">
        <v>2</v>
      </c>
      <c r="W923" t="s">
        <v>10</v>
      </c>
      <c r="X923" t="s">
        <v>22</v>
      </c>
      <c r="Y923">
        <v>1</v>
      </c>
      <c r="Z923">
        <v>1</v>
      </c>
      <c r="AA923">
        <v>0</v>
      </c>
      <c r="AB923">
        <v>0</v>
      </c>
      <c r="AC923">
        <v>1</v>
      </c>
      <c r="AD923">
        <v>1</v>
      </c>
      <c r="AE923">
        <v>0</v>
      </c>
      <c r="AF923" t="s">
        <v>12</v>
      </c>
      <c r="AG923" t="s">
        <v>12</v>
      </c>
      <c r="AH923" t="s">
        <v>12</v>
      </c>
      <c r="AI923" t="s">
        <v>12</v>
      </c>
      <c r="AJ923" t="s">
        <v>12</v>
      </c>
      <c r="AK923">
        <v>68500</v>
      </c>
      <c r="AL923">
        <v>0.21</v>
      </c>
      <c r="AM923">
        <v>0.19</v>
      </c>
      <c r="AN923" t="s">
        <v>12</v>
      </c>
      <c r="AO923" t="s">
        <v>12</v>
      </c>
    </row>
    <row r="924" spans="1:41" x14ac:dyDescent="0.35">
      <c r="A924">
        <v>16646669</v>
      </c>
      <c r="B924">
        <v>202512</v>
      </c>
      <c r="C924">
        <v>20600708067</v>
      </c>
      <c r="D924" t="s">
        <v>1199</v>
      </c>
      <c r="E924" t="s">
        <v>1</v>
      </c>
      <c r="F924">
        <v>10272908</v>
      </c>
      <c r="G924" t="s">
        <v>24</v>
      </c>
      <c r="H924" t="s">
        <v>230</v>
      </c>
      <c r="I924">
        <v>237435.0625</v>
      </c>
      <c r="J924" s="1">
        <v>45967</v>
      </c>
      <c r="K924">
        <v>15</v>
      </c>
      <c r="L924" t="s">
        <v>37</v>
      </c>
      <c r="M924" t="s">
        <v>75</v>
      </c>
      <c r="N924" t="s">
        <v>98</v>
      </c>
      <c r="O924">
        <v>202511</v>
      </c>
      <c r="P924">
        <v>250012.5</v>
      </c>
      <c r="Q924" t="s">
        <v>12</v>
      </c>
      <c r="R924" t="s">
        <v>12</v>
      </c>
      <c r="S924" t="s">
        <v>12</v>
      </c>
      <c r="T924" t="s">
        <v>12</v>
      </c>
      <c r="U924" t="s">
        <v>12</v>
      </c>
      <c r="V924" t="s">
        <v>12</v>
      </c>
      <c r="W924" t="s">
        <v>12</v>
      </c>
      <c r="X924" t="s">
        <v>12</v>
      </c>
      <c r="Y924" t="s">
        <v>12</v>
      </c>
      <c r="Z924" t="s">
        <v>12</v>
      </c>
      <c r="AA924" t="s">
        <v>12</v>
      </c>
      <c r="AB924" t="s">
        <v>12</v>
      </c>
      <c r="AC924" t="s">
        <v>12</v>
      </c>
      <c r="AD924" t="s">
        <v>12</v>
      </c>
      <c r="AE924" t="s">
        <v>12</v>
      </c>
      <c r="AF924" t="s">
        <v>12</v>
      </c>
      <c r="AG924" t="s">
        <v>12</v>
      </c>
      <c r="AH924" t="s">
        <v>12</v>
      </c>
      <c r="AI924" t="s">
        <v>12</v>
      </c>
      <c r="AJ924" t="s">
        <v>12</v>
      </c>
      <c r="AK924" t="s">
        <v>12</v>
      </c>
      <c r="AL924" t="s">
        <v>12</v>
      </c>
      <c r="AM924" t="s">
        <v>12</v>
      </c>
      <c r="AN924" t="s">
        <v>12</v>
      </c>
      <c r="AO924" t="s">
        <v>12</v>
      </c>
    </row>
    <row r="925" spans="1:41" x14ac:dyDescent="0.35">
      <c r="A925">
        <v>18942416</v>
      </c>
      <c r="B925">
        <v>202505</v>
      </c>
      <c r="C925">
        <v>20608427377</v>
      </c>
      <c r="D925" t="s">
        <v>1200</v>
      </c>
      <c r="E925" t="s">
        <v>1</v>
      </c>
      <c r="F925">
        <v>10267246</v>
      </c>
      <c r="G925" t="s">
        <v>28</v>
      </c>
      <c r="H925" t="s">
        <v>1201</v>
      </c>
      <c r="I925">
        <v>96004.8046875</v>
      </c>
      <c r="J925" s="1">
        <v>45770</v>
      </c>
      <c r="K925">
        <v>20.5</v>
      </c>
      <c r="L925" t="s">
        <v>4</v>
      </c>
      <c r="M925" t="s">
        <v>4</v>
      </c>
      <c r="N925" t="s">
        <v>26</v>
      </c>
      <c r="O925">
        <v>202504</v>
      </c>
      <c r="P925">
        <v>96004.800000000003</v>
      </c>
      <c r="Q925" t="s">
        <v>603</v>
      </c>
      <c r="R925" t="s">
        <v>642</v>
      </c>
      <c r="S925" t="s">
        <v>18</v>
      </c>
      <c r="T925" t="s">
        <v>122</v>
      </c>
      <c r="U925" t="s">
        <v>20</v>
      </c>
      <c r="V925">
        <v>1</v>
      </c>
      <c r="W925" t="s">
        <v>10</v>
      </c>
      <c r="X925" t="s">
        <v>12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12</v>
      </c>
      <c r="AG925" t="s">
        <v>12</v>
      </c>
      <c r="AH925" t="s">
        <v>12</v>
      </c>
      <c r="AI925" t="s">
        <v>12</v>
      </c>
      <c r="AJ925" t="s">
        <v>12</v>
      </c>
      <c r="AK925">
        <v>0</v>
      </c>
      <c r="AL925">
        <v>0</v>
      </c>
      <c r="AM925">
        <v>0.2208</v>
      </c>
      <c r="AN925" t="s">
        <v>12</v>
      </c>
      <c r="AO925" t="s">
        <v>12</v>
      </c>
    </row>
    <row r="926" spans="1:41" x14ac:dyDescent="0.35">
      <c r="A926">
        <v>10133432</v>
      </c>
      <c r="B926">
        <v>202602</v>
      </c>
      <c r="C926">
        <v>20513659769</v>
      </c>
      <c r="D926" t="s">
        <v>1202</v>
      </c>
      <c r="E926" t="s">
        <v>1</v>
      </c>
      <c r="F926">
        <v>10266093</v>
      </c>
      <c r="G926" t="s">
        <v>24</v>
      </c>
      <c r="H926" t="s">
        <v>1162</v>
      </c>
      <c r="I926">
        <v>30478.8671875</v>
      </c>
      <c r="J926" s="1">
        <v>45728</v>
      </c>
      <c r="K926">
        <v>20.5</v>
      </c>
      <c r="L926" t="s">
        <v>37</v>
      </c>
      <c r="M926" t="s">
        <v>37</v>
      </c>
      <c r="N926" t="s">
        <v>98</v>
      </c>
      <c r="O926">
        <v>202503</v>
      </c>
      <c r="P926">
        <v>72003.600000000006</v>
      </c>
      <c r="Q926" t="s">
        <v>12</v>
      </c>
      <c r="R926" t="s">
        <v>12</v>
      </c>
      <c r="S926" t="s">
        <v>12</v>
      </c>
      <c r="T926" t="s">
        <v>12</v>
      </c>
      <c r="U926" t="s">
        <v>12</v>
      </c>
      <c r="V926" t="s">
        <v>12</v>
      </c>
      <c r="W926" t="s">
        <v>12</v>
      </c>
      <c r="X926" t="s">
        <v>12</v>
      </c>
      <c r="Y926" t="s">
        <v>12</v>
      </c>
      <c r="Z926" t="s">
        <v>12</v>
      </c>
      <c r="AA926" t="s">
        <v>12</v>
      </c>
      <c r="AB926" t="s">
        <v>12</v>
      </c>
      <c r="AC926" t="s">
        <v>12</v>
      </c>
      <c r="AD926" t="s">
        <v>12</v>
      </c>
      <c r="AE926" t="s">
        <v>12</v>
      </c>
      <c r="AF926" t="s">
        <v>12</v>
      </c>
      <c r="AG926" t="s">
        <v>12</v>
      </c>
      <c r="AH926" t="s">
        <v>12</v>
      </c>
      <c r="AI926" t="s">
        <v>12</v>
      </c>
      <c r="AJ926" t="s">
        <v>12</v>
      </c>
      <c r="AK926" t="s">
        <v>12</v>
      </c>
      <c r="AL926" t="s">
        <v>12</v>
      </c>
      <c r="AM926" t="s">
        <v>12</v>
      </c>
      <c r="AN926" t="s">
        <v>12</v>
      </c>
      <c r="AO926" t="s">
        <v>12</v>
      </c>
    </row>
    <row r="927" spans="1:41" x14ac:dyDescent="0.35">
      <c r="A927">
        <v>12904385</v>
      </c>
      <c r="B927">
        <v>202510</v>
      </c>
      <c r="C927">
        <v>10426788603</v>
      </c>
      <c r="D927" t="s">
        <v>1203</v>
      </c>
      <c r="E927">
        <v>42678860</v>
      </c>
      <c r="F927">
        <v>10259292</v>
      </c>
      <c r="G927" t="s">
        <v>65</v>
      </c>
      <c r="H927" t="s">
        <v>1204</v>
      </c>
      <c r="I927">
        <v>34814.64453125</v>
      </c>
      <c r="J927" s="1">
        <v>45525</v>
      </c>
      <c r="K927">
        <v>14.5</v>
      </c>
      <c r="L927" t="s">
        <v>37</v>
      </c>
      <c r="M927" t="s">
        <v>37</v>
      </c>
      <c r="N927" t="s">
        <v>47</v>
      </c>
      <c r="O927">
        <v>202408</v>
      </c>
      <c r="P927">
        <v>50002.5</v>
      </c>
      <c r="Q927" t="s">
        <v>12</v>
      </c>
      <c r="R927" t="s">
        <v>12</v>
      </c>
      <c r="S927" t="s">
        <v>12</v>
      </c>
      <c r="T927" t="s">
        <v>12</v>
      </c>
      <c r="U927" t="s">
        <v>12</v>
      </c>
      <c r="V927" t="s">
        <v>12</v>
      </c>
      <c r="W927" t="s">
        <v>12</v>
      </c>
      <c r="X927" t="s">
        <v>12</v>
      </c>
      <c r="Y927" t="s">
        <v>12</v>
      </c>
      <c r="Z927" t="s">
        <v>12</v>
      </c>
      <c r="AA927" t="s">
        <v>12</v>
      </c>
      <c r="AB927" t="s">
        <v>12</v>
      </c>
      <c r="AC927" t="s">
        <v>12</v>
      </c>
      <c r="AD927" t="s">
        <v>12</v>
      </c>
      <c r="AE927" t="s">
        <v>12</v>
      </c>
      <c r="AF927" t="s">
        <v>12</v>
      </c>
      <c r="AG927" t="s">
        <v>12</v>
      </c>
      <c r="AH927" t="s">
        <v>12</v>
      </c>
      <c r="AI927" t="s">
        <v>12</v>
      </c>
      <c r="AJ927" t="s">
        <v>12</v>
      </c>
      <c r="AK927" t="s">
        <v>12</v>
      </c>
      <c r="AL927" t="s">
        <v>12</v>
      </c>
      <c r="AM927" t="s">
        <v>12</v>
      </c>
      <c r="AN927" t="s">
        <v>12</v>
      </c>
      <c r="AO927" t="s">
        <v>12</v>
      </c>
    </row>
    <row r="928" spans="1:41" x14ac:dyDescent="0.35">
      <c r="A928">
        <v>19056903</v>
      </c>
      <c r="B928">
        <v>202511</v>
      </c>
      <c r="C928">
        <v>20600177118</v>
      </c>
      <c r="D928" t="s">
        <v>1205</v>
      </c>
      <c r="E928" t="s">
        <v>1</v>
      </c>
      <c r="F928">
        <v>10271156</v>
      </c>
      <c r="G928" t="s">
        <v>14</v>
      </c>
      <c r="H928" t="s">
        <v>513</v>
      </c>
      <c r="I928">
        <v>151585.984375</v>
      </c>
      <c r="J928" s="1">
        <v>45909</v>
      </c>
      <c r="K928">
        <v>17</v>
      </c>
      <c r="L928" t="s">
        <v>37</v>
      </c>
      <c r="M928" t="s">
        <v>75</v>
      </c>
      <c r="N928" t="s">
        <v>16</v>
      </c>
      <c r="O928">
        <v>202509</v>
      </c>
      <c r="P928">
        <v>170008.5</v>
      </c>
      <c r="Q928" t="s">
        <v>513</v>
      </c>
      <c r="R928" t="s">
        <v>514</v>
      </c>
      <c r="S928" t="s">
        <v>111</v>
      </c>
      <c r="T928" t="s">
        <v>112</v>
      </c>
      <c r="U928" t="s">
        <v>20</v>
      </c>
      <c r="V928">
        <v>2</v>
      </c>
      <c r="W928" t="s">
        <v>10</v>
      </c>
      <c r="X928" t="s">
        <v>51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 t="s">
        <v>12</v>
      </c>
      <c r="AG928" t="s">
        <v>12</v>
      </c>
      <c r="AH928" t="s">
        <v>12</v>
      </c>
      <c r="AI928" t="s">
        <v>12</v>
      </c>
      <c r="AJ928" t="s">
        <v>12</v>
      </c>
      <c r="AK928">
        <v>1</v>
      </c>
      <c r="AL928">
        <v>1</v>
      </c>
      <c r="AM928" t="s">
        <v>12</v>
      </c>
      <c r="AN928" t="s">
        <v>12</v>
      </c>
      <c r="AO928" t="s">
        <v>12</v>
      </c>
    </row>
    <row r="929" spans="1:41" x14ac:dyDescent="0.35">
      <c r="A929">
        <v>21879617</v>
      </c>
      <c r="B929">
        <v>202601</v>
      </c>
      <c r="C929">
        <v>20600767888</v>
      </c>
      <c r="D929" t="s">
        <v>1206</v>
      </c>
      <c r="E929" t="s">
        <v>1</v>
      </c>
      <c r="F929">
        <v>10271960</v>
      </c>
      <c r="G929" t="s">
        <v>24</v>
      </c>
      <c r="H929" t="s">
        <v>15</v>
      </c>
      <c r="I929">
        <v>89513.7890625</v>
      </c>
      <c r="J929" s="1">
        <v>45930</v>
      </c>
      <c r="K929">
        <v>15</v>
      </c>
      <c r="L929" t="s">
        <v>37</v>
      </c>
      <c r="M929" t="s">
        <v>75</v>
      </c>
      <c r="N929" t="s">
        <v>98</v>
      </c>
      <c r="O929">
        <v>202509</v>
      </c>
      <c r="P929">
        <v>150007.5</v>
      </c>
      <c r="Q929" t="s">
        <v>15</v>
      </c>
      <c r="R929" t="s">
        <v>17</v>
      </c>
      <c r="S929" t="s">
        <v>18</v>
      </c>
      <c r="T929" t="s">
        <v>19</v>
      </c>
      <c r="U929" t="s">
        <v>20</v>
      </c>
      <c r="V929">
        <v>1</v>
      </c>
      <c r="W929" t="s">
        <v>21</v>
      </c>
      <c r="X929" t="s">
        <v>22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12</v>
      </c>
      <c r="AG929" t="s">
        <v>12</v>
      </c>
      <c r="AH929" t="s">
        <v>12</v>
      </c>
      <c r="AI929" t="s">
        <v>12</v>
      </c>
      <c r="AJ929" t="s">
        <v>12</v>
      </c>
      <c r="AK929">
        <v>1</v>
      </c>
      <c r="AL929">
        <v>1</v>
      </c>
      <c r="AM929">
        <v>0.24</v>
      </c>
      <c r="AN929" t="s">
        <v>12</v>
      </c>
      <c r="AO929" t="s">
        <v>12</v>
      </c>
    </row>
    <row r="930" spans="1:41" x14ac:dyDescent="0.35">
      <c r="A930">
        <v>21728392</v>
      </c>
      <c r="B930">
        <v>202602</v>
      </c>
      <c r="C930">
        <v>10701762393</v>
      </c>
      <c r="D930" t="s">
        <v>1207</v>
      </c>
      <c r="E930">
        <v>70176239</v>
      </c>
      <c r="F930">
        <v>10269370</v>
      </c>
      <c r="G930" t="s">
        <v>24</v>
      </c>
      <c r="H930" t="s">
        <v>117</v>
      </c>
      <c r="I930">
        <v>96775.7109375</v>
      </c>
      <c r="J930" s="1">
        <v>45849</v>
      </c>
      <c r="K930">
        <v>20</v>
      </c>
      <c r="L930" t="s">
        <v>37</v>
      </c>
      <c r="M930" t="s">
        <v>37</v>
      </c>
      <c r="N930" t="s">
        <v>98</v>
      </c>
      <c r="O930">
        <v>202507</v>
      </c>
      <c r="P930">
        <v>150007.5</v>
      </c>
      <c r="Q930" t="s">
        <v>12</v>
      </c>
      <c r="R930" t="s">
        <v>12</v>
      </c>
      <c r="S930" t="s">
        <v>12</v>
      </c>
      <c r="T930" t="s">
        <v>12</v>
      </c>
      <c r="U930" t="s">
        <v>12</v>
      </c>
      <c r="V930" t="s">
        <v>12</v>
      </c>
      <c r="W930" t="s">
        <v>12</v>
      </c>
      <c r="X930" t="s">
        <v>12</v>
      </c>
      <c r="Y930" t="s">
        <v>12</v>
      </c>
      <c r="Z930" t="s">
        <v>12</v>
      </c>
      <c r="AA930" t="s">
        <v>12</v>
      </c>
      <c r="AB930" t="s">
        <v>12</v>
      </c>
      <c r="AC930" t="s">
        <v>12</v>
      </c>
      <c r="AD930" t="s">
        <v>12</v>
      </c>
      <c r="AE930" t="s">
        <v>12</v>
      </c>
      <c r="AF930" t="s">
        <v>12</v>
      </c>
      <c r="AG930" t="s">
        <v>12</v>
      </c>
      <c r="AH930" t="s">
        <v>12</v>
      </c>
      <c r="AI930" t="s">
        <v>12</v>
      </c>
      <c r="AJ930" t="s">
        <v>12</v>
      </c>
      <c r="AK930" t="s">
        <v>12</v>
      </c>
      <c r="AL930" t="s">
        <v>12</v>
      </c>
      <c r="AM930" t="s">
        <v>12</v>
      </c>
      <c r="AN930" t="s">
        <v>12</v>
      </c>
      <c r="AO930" t="s">
        <v>12</v>
      </c>
    </row>
    <row r="931" spans="1:41" x14ac:dyDescent="0.35">
      <c r="A931">
        <v>18664235</v>
      </c>
      <c r="B931">
        <v>202506</v>
      </c>
      <c r="C931">
        <v>20601906814</v>
      </c>
      <c r="D931" t="s">
        <v>1208</v>
      </c>
      <c r="E931" t="s">
        <v>1</v>
      </c>
      <c r="F931">
        <v>10240456</v>
      </c>
      <c r="G931" t="s">
        <v>2</v>
      </c>
      <c r="H931" t="s">
        <v>166</v>
      </c>
      <c r="I931">
        <v>69418.953125</v>
      </c>
      <c r="J931" s="1">
        <v>45776</v>
      </c>
      <c r="K931">
        <v>19.68</v>
      </c>
      <c r="L931" t="s">
        <v>86</v>
      </c>
      <c r="M931" t="s">
        <v>86</v>
      </c>
      <c r="N931" t="s">
        <v>5</v>
      </c>
      <c r="O931">
        <v>202504</v>
      </c>
      <c r="P931">
        <v>75003.75</v>
      </c>
      <c r="Q931" t="s">
        <v>166</v>
      </c>
      <c r="R931" t="s">
        <v>167</v>
      </c>
      <c r="S931" t="s">
        <v>111</v>
      </c>
      <c r="T931" t="s">
        <v>112</v>
      </c>
      <c r="U931" t="s">
        <v>20</v>
      </c>
      <c r="V931">
        <v>2</v>
      </c>
      <c r="W931" t="s">
        <v>10</v>
      </c>
      <c r="X931" t="s">
        <v>12</v>
      </c>
      <c r="Y931">
        <v>1</v>
      </c>
      <c r="Z931">
        <v>1</v>
      </c>
      <c r="AA931">
        <v>0</v>
      </c>
      <c r="AB931">
        <v>1</v>
      </c>
      <c r="AC931">
        <v>1</v>
      </c>
      <c r="AD931">
        <v>1</v>
      </c>
      <c r="AE931">
        <v>0</v>
      </c>
      <c r="AF931" t="s">
        <v>12</v>
      </c>
      <c r="AG931" t="s">
        <v>12</v>
      </c>
      <c r="AH931" t="s">
        <v>12</v>
      </c>
      <c r="AI931" t="s">
        <v>12</v>
      </c>
      <c r="AJ931" t="s">
        <v>12</v>
      </c>
      <c r="AK931">
        <v>1</v>
      </c>
      <c r="AL931">
        <v>0.2293</v>
      </c>
      <c r="AM931" t="s">
        <v>12</v>
      </c>
      <c r="AN931" t="s">
        <v>12</v>
      </c>
      <c r="AO931" t="s">
        <v>12</v>
      </c>
    </row>
    <row r="932" spans="1:41" x14ac:dyDescent="0.35">
      <c r="A932">
        <v>10025229</v>
      </c>
      <c r="B932">
        <v>202509</v>
      </c>
      <c r="C932">
        <v>10107398282</v>
      </c>
      <c r="D932" t="s">
        <v>1209</v>
      </c>
      <c r="E932">
        <v>10739828</v>
      </c>
      <c r="F932">
        <v>10265560</v>
      </c>
      <c r="G932" t="s">
        <v>24</v>
      </c>
      <c r="H932" t="s">
        <v>1210</v>
      </c>
      <c r="I932">
        <v>19283.587890625</v>
      </c>
      <c r="J932" s="1">
        <v>45709</v>
      </c>
      <c r="K932">
        <v>18.5</v>
      </c>
      <c r="L932" t="s">
        <v>37</v>
      </c>
      <c r="M932" t="s">
        <v>37</v>
      </c>
      <c r="N932" t="s">
        <v>98</v>
      </c>
      <c r="O932">
        <v>202502</v>
      </c>
      <c r="P932">
        <v>30001.5</v>
      </c>
      <c r="Q932" t="s">
        <v>12</v>
      </c>
      <c r="R932" t="s">
        <v>12</v>
      </c>
      <c r="S932" t="s">
        <v>12</v>
      </c>
      <c r="T932" t="s">
        <v>12</v>
      </c>
      <c r="U932" t="s">
        <v>41</v>
      </c>
      <c r="V932">
        <v>2</v>
      </c>
      <c r="W932" t="s">
        <v>90</v>
      </c>
      <c r="X932" t="s">
        <v>59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12</v>
      </c>
      <c r="AG932" t="s">
        <v>12</v>
      </c>
      <c r="AH932" t="s">
        <v>12</v>
      </c>
      <c r="AI932" t="s">
        <v>12</v>
      </c>
      <c r="AJ932" t="s">
        <v>12</v>
      </c>
      <c r="AK932">
        <v>46500</v>
      </c>
      <c r="AL932">
        <v>0.27</v>
      </c>
      <c r="AM932">
        <v>0.25</v>
      </c>
      <c r="AN932" t="s">
        <v>12</v>
      </c>
      <c r="AO932" t="s">
        <v>12</v>
      </c>
    </row>
    <row r="933" spans="1:41" x14ac:dyDescent="0.35">
      <c r="A933">
        <v>21506362</v>
      </c>
      <c r="B933">
        <v>202507</v>
      </c>
      <c r="C933">
        <v>20600298489</v>
      </c>
      <c r="D933" t="s">
        <v>1211</v>
      </c>
      <c r="E933" t="s">
        <v>1</v>
      </c>
      <c r="F933">
        <v>10265877</v>
      </c>
      <c r="G933" t="s">
        <v>14</v>
      </c>
      <c r="H933" t="s">
        <v>105</v>
      </c>
      <c r="I933">
        <v>54784.1796875</v>
      </c>
      <c r="J933" s="1">
        <v>45716</v>
      </c>
      <c r="K933">
        <v>18.5</v>
      </c>
      <c r="L933" t="s">
        <v>37</v>
      </c>
      <c r="M933" t="s">
        <v>75</v>
      </c>
      <c r="N933" t="s">
        <v>16</v>
      </c>
      <c r="O933">
        <v>202502</v>
      </c>
      <c r="P933">
        <v>90704.5</v>
      </c>
      <c r="Q933" t="s">
        <v>105</v>
      </c>
      <c r="R933" t="s">
        <v>106</v>
      </c>
      <c r="S933" t="s">
        <v>88</v>
      </c>
      <c r="T933" t="s">
        <v>89</v>
      </c>
      <c r="U933" t="s">
        <v>20</v>
      </c>
      <c r="V933">
        <v>2</v>
      </c>
      <c r="W933" t="s">
        <v>10</v>
      </c>
      <c r="X933" t="s">
        <v>12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 t="s">
        <v>12</v>
      </c>
      <c r="AG933" t="s">
        <v>12</v>
      </c>
      <c r="AH933" t="s">
        <v>12</v>
      </c>
      <c r="AI933" t="s">
        <v>12</v>
      </c>
      <c r="AJ933" t="s">
        <v>12</v>
      </c>
      <c r="AK933">
        <v>1</v>
      </c>
      <c r="AL933">
        <v>0.1638</v>
      </c>
      <c r="AM933" t="s">
        <v>12</v>
      </c>
      <c r="AN933" t="s">
        <v>12</v>
      </c>
      <c r="AO933" t="s">
        <v>12</v>
      </c>
    </row>
    <row r="934" spans="1:41" x14ac:dyDescent="0.35">
      <c r="A934">
        <v>20112729</v>
      </c>
      <c r="B934">
        <v>202508</v>
      </c>
      <c r="C934">
        <v>10421249895</v>
      </c>
      <c r="D934" t="s">
        <v>1212</v>
      </c>
      <c r="E934">
        <v>42124989</v>
      </c>
      <c r="F934">
        <v>10266135</v>
      </c>
      <c r="G934" t="s">
        <v>100</v>
      </c>
      <c r="H934" t="s">
        <v>124</v>
      </c>
      <c r="I934">
        <v>60694.00390625</v>
      </c>
      <c r="J934" s="1">
        <v>45729</v>
      </c>
      <c r="K934">
        <v>15</v>
      </c>
      <c r="L934" t="s">
        <v>37</v>
      </c>
      <c r="M934" t="s">
        <v>37</v>
      </c>
      <c r="N934" t="s">
        <v>102</v>
      </c>
      <c r="O934">
        <v>202503</v>
      </c>
      <c r="P934">
        <v>100976</v>
      </c>
      <c r="Q934" t="s">
        <v>124</v>
      </c>
      <c r="R934" t="s">
        <v>125</v>
      </c>
      <c r="S934" t="s">
        <v>88</v>
      </c>
      <c r="T934" t="s">
        <v>89</v>
      </c>
      <c r="U934" t="s">
        <v>41</v>
      </c>
      <c r="V934">
        <v>2</v>
      </c>
      <c r="W934" t="s">
        <v>90</v>
      </c>
      <c r="X934" t="s">
        <v>12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 t="s">
        <v>12</v>
      </c>
      <c r="AG934" t="s">
        <v>12</v>
      </c>
      <c r="AH934" t="s">
        <v>12</v>
      </c>
      <c r="AI934" t="s">
        <v>12</v>
      </c>
      <c r="AJ934" t="s">
        <v>12</v>
      </c>
      <c r="AK934">
        <v>200000</v>
      </c>
      <c r="AL934">
        <v>0.22</v>
      </c>
      <c r="AM934">
        <v>0.20130000000000001</v>
      </c>
      <c r="AN934" t="s">
        <v>12</v>
      </c>
      <c r="AO934" t="s">
        <v>12</v>
      </c>
    </row>
    <row r="935" spans="1:41" x14ac:dyDescent="0.35">
      <c r="A935">
        <v>21448217</v>
      </c>
      <c r="B935">
        <v>202504</v>
      </c>
      <c r="C935">
        <v>20600234693</v>
      </c>
      <c r="D935" t="s">
        <v>1213</v>
      </c>
      <c r="E935" t="s">
        <v>1</v>
      </c>
      <c r="F935">
        <v>10264845</v>
      </c>
      <c r="G935" t="s">
        <v>24</v>
      </c>
      <c r="H935" t="s">
        <v>159</v>
      </c>
      <c r="I935">
        <v>90627.7421875</v>
      </c>
      <c r="J935" s="1">
        <v>45685</v>
      </c>
      <c r="K935">
        <v>20</v>
      </c>
      <c r="L935" t="s">
        <v>37</v>
      </c>
      <c r="M935" t="s">
        <v>37</v>
      </c>
      <c r="N935" t="s">
        <v>98</v>
      </c>
      <c r="O935">
        <v>202501</v>
      </c>
      <c r="P935">
        <v>100005</v>
      </c>
      <c r="Q935" t="s">
        <v>12</v>
      </c>
      <c r="R935" t="s">
        <v>12</v>
      </c>
      <c r="S935" t="s">
        <v>12</v>
      </c>
      <c r="T935" t="s">
        <v>12</v>
      </c>
      <c r="U935" t="s">
        <v>12</v>
      </c>
      <c r="V935" t="s">
        <v>12</v>
      </c>
      <c r="W935" t="s">
        <v>12</v>
      </c>
      <c r="X935" t="s">
        <v>12</v>
      </c>
      <c r="Y935" t="s">
        <v>12</v>
      </c>
      <c r="Z935" t="s">
        <v>12</v>
      </c>
      <c r="AA935" t="s">
        <v>12</v>
      </c>
      <c r="AB935" t="s">
        <v>12</v>
      </c>
      <c r="AC935" t="s">
        <v>12</v>
      </c>
      <c r="AD935" t="s">
        <v>12</v>
      </c>
      <c r="AE935" t="s">
        <v>12</v>
      </c>
      <c r="AF935" t="s">
        <v>12</v>
      </c>
      <c r="AG935" t="s">
        <v>12</v>
      </c>
      <c r="AH935" t="s">
        <v>12</v>
      </c>
      <c r="AI935" t="s">
        <v>12</v>
      </c>
      <c r="AJ935" t="s">
        <v>12</v>
      </c>
      <c r="AK935" t="s">
        <v>12</v>
      </c>
      <c r="AL935" t="s">
        <v>12</v>
      </c>
      <c r="AM935" t="s">
        <v>12</v>
      </c>
      <c r="AN935" t="s">
        <v>12</v>
      </c>
      <c r="AO935" t="s">
        <v>12</v>
      </c>
    </row>
    <row r="936" spans="1:41" x14ac:dyDescent="0.35">
      <c r="A936">
        <v>18199487</v>
      </c>
      <c r="B936">
        <v>202504</v>
      </c>
      <c r="C936">
        <v>20549186409</v>
      </c>
      <c r="D936" t="s">
        <v>1214</v>
      </c>
      <c r="E936" t="s">
        <v>1</v>
      </c>
      <c r="F936">
        <v>10219272</v>
      </c>
      <c r="G936" t="s">
        <v>28</v>
      </c>
      <c r="H936" t="s">
        <v>338</v>
      </c>
      <c r="I936">
        <v>34780.30859375</v>
      </c>
      <c r="J936" t="s">
        <v>12</v>
      </c>
      <c r="K936" t="s">
        <v>12</v>
      </c>
      <c r="L936" t="s">
        <v>12</v>
      </c>
      <c r="M936" t="s">
        <v>12</v>
      </c>
      <c r="N936" t="s">
        <v>12</v>
      </c>
      <c r="O936" t="s">
        <v>12</v>
      </c>
      <c r="P936" t="s">
        <v>12</v>
      </c>
      <c r="Q936" t="s">
        <v>12</v>
      </c>
      <c r="R936" t="s">
        <v>12</v>
      </c>
      <c r="S936" t="s">
        <v>12</v>
      </c>
      <c r="T936" t="s">
        <v>12</v>
      </c>
      <c r="U936" t="s">
        <v>12</v>
      </c>
      <c r="V936" t="s">
        <v>12</v>
      </c>
      <c r="W936" t="s">
        <v>12</v>
      </c>
      <c r="X936" t="s">
        <v>12</v>
      </c>
      <c r="Y936" t="s">
        <v>12</v>
      </c>
      <c r="Z936" t="s">
        <v>12</v>
      </c>
      <c r="AA936" t="s">
        <v>12</v>
      </c>
      <c r="AB936" t="s">
        <v>12</v>
      </c>
      <c r="AC936" t="s">
        <v>12</v>
      </c>
      <c r="AD936" t="s">
        <v>12</v>
      </c>
      <c r="AE936" t="s">
        <v>12</v>
      </c>
      <c r="AF936" t="s">
        <v>12</v>
      </c>
      <c r="AG936" t="s">
        <v>12</v>
      </c>
      <c r="AH936" t="s">
        <v>12</v>
      </c>
      <c r="AI936" t="s">
        <v>12</v>
      </c>
      <c r="AJ936" t="s">
        <v>12</v>
      </c>
      <c r="AK936" t="s">
        <v>12</v>
      </c>
      <c r="AL936" t="s">
        <v>12</v>
      </c>
      <c r="AM936" t="s">
        <v>12</v>
      </c>
      <c r="AN936" t="s">
        <v>12</v>
      </c>
      <c r="AO936" t="s">
        <v>12</v>
      </c>
    </row>
    <row r="937" spans="1:41" x14ac:dyDescent="0.35">
      <c r="A937">
        <v>15344543</v>
      </c>
      <c r="B937">
        <v>202509</v>
      </c>
      <c r="C937">
        <v>20601517559</v>
      </c>
      <c r="D937" t="s">
        <v>1215</v>
      </c>
      <c r="E937" t="s">
        <v>1</v>
      </c>
      <c r="F937">
        <v>10160769</v>
      </c>
      <c r="G937" t="s">
        <v>2</v>
      </c>
      <c r="H937" t="s">
        <v>82</v>
      </c>
      <c r="I937">
        <v>11625.6103515625</v>
      </c>
      <c r="J937" t="s">
        <v>12</v>
      </c>
      <c r="K937" t="s">
        <v>12</v>
      </c>
      <c r="L937" t="s">
        <v>12</v>
      </c>
      <c r="M937" t="s">
        <v>12</v>
      </c>
      <c r="N937" t="s">
        <v>12</v>
      </c>
      <c r="O937" t="s">
        <v>12</v>
      </c>
      <c r="P937" t="s">
        <v>12</v>
      </c>
      <c r="Q937" t="s">
        <v>82</v>
      </c>
      <c r="R937" t="s">
        <v>83</v>
      </c>
      <c r="S937" t="s">
        <v>49</v>
      </c>
      <c r="T937" t="s">
        <v>50</v>
      </c>
      <c r="U937" t="s">
        <v>20</v>
      </c>
      <c r="V937">
        <v>1</v>
      </c>
      <c r="W937" t="s">
        <v>10</v>
      </c>
      <c r="X937" t="s">
        <v>22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 t="s">
        <v>12</v>
      </c>
      <c r="AG937" t="s">
        <v>12</v>
      </c>
      <c r="AH937" t="s">
        <v>12</v>
      </c>
      <c r="AI937" t="s">
        <v>12</v>
      </c>
      <c r="AJ937" t="s">
        <v>12</v>
      </c>
      <c r="AK937">
        <v>1</v>
      </c>
      <c r="AL937">
        <v>1</v>
      </c>
      <c r="AM937" t="s">
        <v>12</v>
      </c>
      <c r="AN937" t="s">
        <v>12</v>
      </c>
      <c r="AO937" t="s">
        <v>12</v>
      </c>
    </row>
    <row r="938" spans="1:41" x14ac:dyDescent="0.35">
      <c r="A938">
        <v>22033177</v>
      </c>
      <c r="B938">
        <v>202602</v>
      </c>
      <c r="C938">
        <v>20609345994</v>
      </c>
      <c r="D938" t="s">
        <v>1216</v>
      </c>
      <c r="E938" t="s">
        <v>1</v>
      </c>
      <c r="F938">
        <v>10274247</v>
      </c>
      <c r="G938" t="s">
        <v>696</v>
      </c>
      <c r="H938" t="s">
        <v>159</v>
      </c>
      <c r="I938">
        <v>59404.234375</v>
      </c>
      <c r="J938" t="s">
        <v>12</v>
      </c>
      <c r="K938" t="s">
        <v>12</v>
      </c>
      <c r="L938" t="s">
        <v>12</v>
      </c>
      <c r="M938" t="s">
        <v>12</v>
      </c>
      <c r="N938" t="s">
        <v>12</v>
      </c>
      <c r="O938" t="s">
        <v>12</v>
      </c>
      <c r="P938" t="s">
        <v>12</v>
      </c>
      <c r="Q938" t="s">
        <v>12</v>
      </c>
      <c r="R938" t="s">
        <v>12</v>
      </c>
      <c r="S938" t="s">
        <v>12</v>
      </c>
      <c r="T938" t="s">
        <v>12</v>
      </c>
      <c r="U938" t="s">
        <v>196</v>
      </c>
      <c r="V938">
        <v>3</v>
      </c>
      <c r="W938" t="s">
        <v>10</v>
      </c>
      <c r="X938" t="s">
        <v>51</v>
      </c>
      <c r="Y938">
        <v>1</v>
      </c>
      <c r="Z938">
        <v>1</v>
      </c>
      <c r="AA938">
        <v>0</v>
      </c>
      <c r="AB938">
        <v>0</v>
      </c>
      <c r="AC938">
        <v>1</v>
      </c>
      <c r="AD938" t="s">
        <v>12</v>
      </c>
      <c r="AE938">
        <v>0</v>
      </c>
      <c r="AF938" t="s">
        <v>12</v>
      </c>
      <c r="AG938" t="s">
        <v>12</v>
      </c>
      <c r="AH938" t="s">
        <v>12</v>
      </c>
      <c r="AI938" t="s">
        <v>12</v>
      </c>
      <c r="AJ938" t="s">
        <v>12</v>
      </c>
      <c r="AK938" t="s">
        <v>12</v>
      </c>
      <c r="AL938" t="s">
        <v>12</v>
      </c>
      <c r="AM938" t="s">
        <v>12</v>
      </c>
      <c r="AN938" t="s">
        <v>269</v>
      </c>
      <c r="AO938" t="s">
        <v>270</v>
      </c>
    </row>
    <row r="939" spans="1:41" x14ac:dyDescent="0.35">
      <c r="A939">
        <v>15371412</v>
      </c>
      <c r="B939">
        <v>202502</v>
      </c>
      <c r="C939">
        <v>20600884141</v>
      </c>
      <c r="D939" t="s">
        <v>1217</v>
      </c>
      <c r="E939" t="s">
        <v>1</v>
      </c>
      <c r="F939">
        <v>10157166</v>
      </c>
      <c r="G939" t="s">
        <v>2</v>
      </c>
      <c r="H939" t="s">
        <v>301</v>
      </c>
      <c r="I939">
        <v>38202.0078125</v>
      </c>
      <c r="J939" t="s">
        <v>12</v>
      </c>
      <c r="K939" t="s">
        <v>12</v>
      </c>
      <c r="L939" t="s">
        <v>12</v>
      </c>
      <c r="M939" t="s">
        <v>12</v>
      </c>
      <c r="N939" t="s">
        <v>12</v>
      </c>
      <c r="O939" t="s">
        <v>12</v>
      </c>
      <c r="P939" t="s">
        <v>12</v>
      </c>
      <c r="Q939" t="s">
        <v>301</v>
      </c>
      <c r="R939" t="s">
        <v>310</v>
      </c>
      <c r="S939" t="s">
        <v>49</v>
      </c>
      <c r="T939" t="s">
        <v>50</v>
      </c>
      <c r="U939" t="s">
        <v>20</v>
      </c>
      <c r="V939">
        <v>1</v>
      </c>
      <c r="W939" t="s">
        <v>10</v>
      </c>
      <c r="X939" t="s">
        <v>12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12</v>
      </c>
      <c r="AG939" t="s">
        <v>12</v>
      </c>
      <c r="AH939" t="s">
        <v>12</v>
      </c>
      <c r="AI939" t="s">
        <v>12</v>
      </c>
      <c r="AJ939" t="s">
        <v>12</v>
      </c>
      <c r="AK939">
        <v>954386760</v>
      </c>
      <c r="AL939">
        <v>0</v>
      </c>
      <c r="AM939">
        <v>0</v>
      </c>
      <c r="AN939" t="s">
        <v>12</v>
      </c>
      <c r="AO939" t="s">
        <v>12</v>
      </c>
    </row>
    <row r="940" spans="1:41" x14ac:dyDescent="0.35">
      <c r="A940">
        <v>14380813</v>
      </c>
      <c r="B940">
        <v>202510</v>
      </c>
      <c r="C940">
        <v>20600657861</v>
      </c>
      <c r="D940" t="s">
        <v>1218</v>
      </c>
      <c r="E940" t="s">
        <v>1</v>
      </c>
      <c r="F940">
        <v>10206451</v>
      </c>
      <c r="G940" t="s">
        <v>199</v>
      </c>
      <c r="H940" t="s">
        <v>54</v>
      </c>
      <c r="I940">
        <v>19776.48828125</v>
      </c>
      <c r="J940" t="s">
        <v>12</v>
      </c>
      <c r="K940" t="s">
        <v>12</v>
      </c>
      <c r="L940" t="s">
        <v>12</v>
      </c>
      <c r="M940" t="s">
        <v>12</v>
      </c>
      <c r="N940" t="s">
        <v>12</v>
      </c>
      <c r="O940" t="s">
        <v>12</v>
      </c>
      <c r="P940" t="s">
        <v>12</v>
      </c>
      <c r="Q940" t="s">
        <v>54</v>
      </c>
      <c r="R940" t="s">
        <v>55</v>
      </c>
      <c r="S940" t="s">
        <v>31</v>
      </c>
      <c r="T940" t="s">
        <v>32</v>
      </c>
      <c r="U940" t="s">
        <v>20</v>
      </c>
      <c r="V940">
        <v>1</v>
      </c>
      <c r="W940" t="s">
        <v>10</v>
      </c>
      <c r="X940" t="s">
        <v>12</v>
      </c>
      <c r="Y940">
        <v>1</v>
      </c>
      <c r="Z940">
        <v>1</v>
      </c>
      <c r="AA940">
        <v>0</v>
      </c>
      <c r="AB940">
        <v>1</v>
      </c>
      <c r="AC940">
        <v>1</v>
      </c>
      <c r="AD940">
        <v>1</v>
      </c>
      <c r="AE940">
        <v>0</v>
      </c>
      <c r="AF940" t="s">
        <v>12</v>
      </c>
      <c r="AG940" t="s">
        <v>12</v>
      </c>
      <c r="AH940" t="s">
        <v>12</v>
      </c>
      <c r="AI940" t="s">
        <v>12</v>
      </c>
      <c r="AJ940" t="s">
        <v>12</v>
      </c>
      <c r="AK940">
        <v>1</v>
      </c>
      <c r="AL940">
        <v>1</v>
      </c>
      <c r="AM940" t="s">
        <v>12</v>
      </c>
      <c r="AN940" t="s">
        <v>12</v>
      </c>
      <c r="AO940" t="s">
        <v>12</v>
      </c>
    </row>
    <row r="941" spans="1:41" x14ac:dyDescent="0.35">
      <c r="A941">
        <v>21658776</v>
      </c>
      <c r="B941">
        <v>202512</v>
      </c>
      <c r="C941">
        <v>20602620051</v>
      </c>
      <c r="D941" t="s">
        <v>1219</v>
      </c>
      <c r="E941" t="s">
        <v>1</v>
      </c>
      <c r="F941">
        <v>10268192</v>
      </c>
      <c r="G941" t="s">
        <v>100</v>
      </c>
      <c r="H941" t="s">
        <v>124</v>
      </c>
      <c r="I941">
        <v>190919.015625</v>
      </c>
      <c r="J941" s="1">
        <v>45804</v>
      </c>
      <c r="K941">
        <v>15</v>
      </c>
      <c r="L941" t="s">
        <v>37</v>
      </c>
      <c r="M941" t="s">
        <v>37</v>
      </c>
      <c r="N941" t="s">
        <v>102</v>
      </c>
      <c r="O941">
        <v>202505</v>
      </c>
      <c r="P941">
        <v>300015</v>
      </c>
      <c r="Q941" t="s">
        <v>124</v>
      </c>
      <c r="R941" t="s">
        <v>125</v>
      </c>
      <c r="S941" t="s">
        <v>88</v>
      </c>
      <c r="T941" t="s">
        <v>89</v>
      </c>
      <c r="U941" t="s">
        <v>41</v>
      </c>
      <c r="V941">
        <v>2</v>
      </c>
      <c r="W941" t="s">
        <v>10</v>
      </c>
      <c r="X941" t="s">
        <v>22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 t="s">
        <v>12</v>
      </c>
      <c r="AG941" t="s">
        <v>12</v>
      </c>
      <c r="AH941" t="s">
        <v>12</v>
      </c>
      <c r="AI941" t="s">
        <v>12</v>
      </c>
      <c r="AJ941" t="s">
        <v>12</v>
      </c>
      <c r="AK941">
        <v>250000</v>
      </c>
      <c r="AL941">
        <v>0.21</v>
      </c>
      <c r="AM941">
        <v>0.19</v>
      </c>
      <c r="AN941" t="s">
        <v>12</v>
      </c>
      <c r="AO941" t="s">
        <v>12</v>
      </c>
    </row>
    <row r="942" spans="1:41" x14ac:dyDescent="0.35">
      <c r="A942">
        <v>20760390</v>
      </c>
      <c r="B942">
        <v>202511</v>
      </c>
      <c r="C942">
        <v>20606742348</v>
      </c>
      <c r="D942" t="s">
        <v>1220</v>
      </c>
      <c r="E942" t="s">
        <v>1</v>
      </c>
      <c r="F942">
        <v>10266860</v>
      </c>
      <c r="G942" t="s">
        <v>24</v>
      </c>
      <c r="H942" t="s">
        <v>257</v>
      </c>
      <c r="I942">
        <v>81860.0234375</v>
      </c>
      <c r="J942" s="1">
        <v>45750</v>
      </c>
      <c r="K942">
        <v>17</v>
      </c>
      <c r="L942" t="s">
        <v>4</v>
      </c>
      <c r="M942" t="s">
        <v>4</v>
      </c>
      <c r="N942" t="s">
        <v>26</v>
      </c>
      <c r="O942">
        <v>202504</v>
      </c>
      <c r="P942">
        <v>128006.39999999999</v>
      </c>
      <c r="Q942" t="s">
        <v>12</v>
      </c>
      <c r="R942" t="s">
        <v>12</v>
      </c>
      <c r="S942" t="s">
        <v>12</v>
      </c>
      <c r="T942" t="s">
        <v>12</v>
      </c>
      <c r="U942" t="s">
        <v>12</v>
      </c>
      <c r="V942" t="s">
        <v>12</v>
      </c>
      <c r="W942" t="s">
        <v>12</v>
      </c>
      <c r="X942" t="s">
        <v>12</v>
      </c>
      <c r="Y942" t="s">
        <v>12</v>
      </c>
      <c r="Z942" t="s">
        <v>12</v>
      </c>
      <c r="AA942" t="s">
        <v>12</v>
      </c>
      <c r="AB942" t="s">
        <v>12</v>
      </c>
      <c r="AC942" t="s">
        <v>12</v>
      </c>
      <c r="AD942" t="s">
        <v>12</v>
      </c>
      <c r="AE942" t="s">
        <v>12</v>
      </c>
      <c r="AF942" t="s">
        <v>12</v>
      </c>
      <c r="AG942" t="s">
        <v>12</v>
      </c>
      <c r="AH942" t="s">
        <v>12</v>
      </c>
      <c r="AI942" t="s">
        <v>12</v>
      </c>
      <c r="AJ942" t="s">
        <v>12</v>
      </c>
      <c r="AK942" t="s">
        <v>12</v>
      </c>
      <c r="AL942" t="s">
        <v>12</v>
      </c>
      <c r="AM942" t="s">
        <v>12</v>
      </c>
      <c r="AN942" t="s">
        <v>12</v>
      </c>
      <c r="AO942" t="s">
        <v>12</v>
      </c>
    </row>
    <row r="943" spans="1:41" x14ac:dyDescent="0.35">
      <c r="A943">
        <v>16322652</v>
      </c>
      <c r="B943">
        <v>202602</v>
      </c>
      <c r="C943">
        <v>10443238579</v>
      </c>
      <c r="D943" t="s">
        <v>1221</v>
      </c>
      <c r="E943">
        <v>44323857</v>
      </c>
      <c r="F943">
        <v>10267866</v>
      </c>
      <c r="G943" t="s">
        <v>92</v>
      </c>
      <c r="H943" t="s">
        <v>273</v>
      </c>
      <c r="I943">
        <v>166210.484375</v>
      </c>
      <c r="J943" s="1">
        <v>45793</v>
      </c>
      <c r="K943">
        <v>17.5</v>
      </c>
      <c r="L943" t="s">
        <v>4</v>
      </c>
      <c r="M943" t="s">
        <v>75</v>
      </c>
      <c r="N943" t="s">
        <v>41</v>
      </c>
      <c r="O943">
        <v>202505</v>
      </c>
      <c r="P943">
        <v>250012.5</v>
      </c>
      <c r="Q943" t="s">
        <v>273</v>
      </c>
      <c r="R943" t="s">
        <v>274</v>
      </c>
      <c r="S943" t="s">
        <v>39</v>
      </c>
      <c r="T943" t="s">
        <v>40</v>
      </c>
      <c r="U943" t="s">
        <v>70</v>
      </c>
      <c r="V943">
        <v>1</v>
      </c>
      <c r="W943" t="s">
        <v>10</v>
      </c>
      <c r="X943" t="s">
        <v>59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 t="s">
        <v>12</v>
      </c>
      <c r="AG943" t="s">
        <v>12</v>
      </c>
      <c r="AH943" t="s">
        <v>12</v>
      </c>
      <c r="AI943" t="s">
        <v>12</v>
      </c>
      <c r="AJ943" t="s">
        <v>12</v>
      </c>
      <c r="AK943">
        <v>61000</v>
      </c>
      <c r="AL943">
        <v>0.19</v>
      </c>
      <c r="AM943">
        <v>0.17</v>
      </c>
      <c r="AN943" t="s">
        <v>12</v>
      </c>
      <c r="AO943" t="s">
        <v>12</v>
      </c>
    </row>
    <row r="944" spans="1:41" x14ac:dyDescent="0.35">
      <c r="A944">
        <v>20461553</v>
      </c>
      <c r="B944">
        <v>202602</v>
      </c>
      <c r="C944">
        <v>20607299944</v>
      </c>
      <c r="D944" t="s">
        <v>1222</v>
      </c>
      <c r="E944" t="s">
        <v>1</v>
      </c>
      <c r="F944">
        <v>10266267</v>
      </c>
      <c r="G944" t="s">
        <v>209</v>
      </c>
      <c r="H944" t="s">
        <v>478</v>
      </c>
      <c r="I944">
        <v>17894.765625</v>
      </c>
      <c r="J944" s="1">
        <v>45734</v>
      </c>
      <c r="K944">
        <v>16.5</v>
      </c>
      <c r="L944" t="s">
        <v>4</v>
      </c>
      <c r="M944" t="s">
        <v>4</v>
      </c>
      <c r="N944" t="s">
        <v>41</v>
      </c>
      <c r="O944">
        <v>202503</v>
      </c>
      <c r="P944">
        <v>200010</v>
      </c>
      <c r="Q944" t="s">
        <v>12</v>
      </c>
      <c r="R944" t="s">
        <v>12</v>
      </c>
      <c r="S944" t="s">
        <v>12</v>
      </c>
      <c r="T944" t="s">
        <v>12</v>
      </c>
      <c r="U944" t="s">
        <v>12</v>
      </c>
      <c r="V944" t="s">
        <v>12</v>
      </c>
      <c r="W944" t="s">
        <v>12</v>
      </c>
      <c r="X944" t="s">
        <v>12</v>
      </c>
      <c r="Y944" t="s">
        <v>12</v>
      </c>
      <c r="Z944" t="s">
        <v>12</v>
      </c>
      <c r="AA944" t="s">
        <v>12</v>
      </c>
      <c r="AB944" t="s">
        <v>12</v>
      </c>
      <c r="AC944" t="s">
        <v>12</v>
      </c>
      <c r="AD944" t="s">
        <v>12</v>
      </c>
      <c r="AE944" t="s">
        <v>12</v>
      </c>
      <c r="AF944" t="s">
        <v>12</v>
      </c>
      <c r="AG944" t="s">
        <v>12</v>
      </c>
      <c r="AH944" t="s">
        <v>12</v>
      </c>
      <c r="AI944" t="s">
        <v>12</v>
      </c>
      <c r="AJ944" t="s">
        <v>12</v>
      </c>
      <c r="AK944" t="s">
        <v>12</v>
      </c>
      <c r="AL944" t="s">
        <v>12</v>
      </c>
      <c r="AM944" t="s">
        <v>12</v>
      </c>
      <c r="AN944" t="s">
        <v>12</v>
      </c>
      <c r="AO944" t="s">
        <v>12</v>
      </c>
    </row>
    <row r="945" spans="1:41" x14ac:dyDescent="0.35">
      <c r="A945">
        <v>21429823</v>
      </c>
      <c r="B945">
        <v>202509</v>
      </c>
      <c r="C945">
        <v>20605549447</v>
      </c>
      <c r="D945" t="s">
        <v>1223</v>
      </c>
      <c r="E945" t="s">
        <v>1</v>
      </c>
      <c r="F945">
        <v>10264638</v>
      </c>
      <c r="G945" t="s">
        <v>24</v>
      </c>
      <c r="H945" t="s">
        <v>109</v>
      </c>
      <c r="I945">
        <v>42416.65625</v>
      </c>
      <c r="J945" s="1">
        <v>45677</v>
      </c>
      <c r="K945">
        <v>20</v>
      </c>
      <c r="L945" t="s">
        <v>37</v>
      </c>
      <c r="M945" t="s">
        <v>37</v>
      </c>
      <c r="N945" t="s">
        <v>98</v>
      </c>
      <c r="O945">
        <v>202501</v>
      </c>
      <c r="P945">
        <v>72003.600000000006</v>
      </c>
      <c r="Q945" t="s">
        <v>109</v>
      </c>
      <c r="R945" t="s">
        <v>110</v>
      </c>
      <c r="S945" t="s">
        <v>111</v>
      </c>
      <c r="T945" t="s">
        <v>112</v>
      </c>
      <c r="U945" t="s">
        <v>20</v>
      </c>
      <c r="V945">
        <v>2</v>
      </c>
      <c r="W945" t="s">
        <v>10</v>
      </c>
      <c r="X945" t="s">
        <v>22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 t="s">
        <v>12</v>
      </c>
      <c r="AG945" t="s">
        <v>12</v>
      </c>
      <c r="AH945" t="s">
        <v>12</v>
      </c>
      <c r="AI945" t="s">
        <v>12</v>
      </c>
      <c r="AJ945" t="s">
        <v>12</v>
      </c>
      <c r="AK945">
        <v>1</v>
      </c>
      <c r="AL945">
        <v>1</v>
      </c>
      <c r="AM945" t="s">
        <v>12</v>
      </c>
      <c r="AN945" t="s">
        <v>12</v>
      </c>
      <c r="AO945" t="s">
        <v>12</v>
      </c>
    </row>
    <row r="946" spans="1:41" x14ac:dyDescent="0.35">
      <c r="A946">
        <v>13469656</v>
      </c>
      <c r="B946">
        <v>202506</v>
      </c>
      <c r="C946">
        <v>20513873841</v>
      </c>
      <c r="D946" t="s">
        <v>1224</v>
      </c>
      <c r="E946" t="s">
        <v>1</v>
      </c>
      <c r="F946">
        <v>10255694</v>
      </c>
      <c r="G946" t="s">
        <v>53</v>
      </c>
      <c r="H946" t="s">
        <v>603</v>
      </c>
      <c r="I946">
        <v>79566.28125</v>
      </c>
      <c r="J946" s="1">
        <v>45463</v>
      </c>
      <c r="K946">
        <v>15.3</v>
      </c>
      <c r="L946" t="s">
        <v>4</v>
      </c>
      <c r="M946" t="s">
        <v>4</v>
      </c>
      <c r="N946" t="s">
        <v>47</v>
      </c>
      <c r="O946">
        <v>202406</v>
      </c>
      <c r="P946">
        <v>102505.1</v>
      </c>
      <c r="Q946" t="s">
        <v>603</v>
      </c>
      <c r="R946" t="s">
        <v>642</v>
      </c>
      <c r="S946" t="s">
        <v>18</v>
      </c>
      <c r="T946" t="s">
        <v>122</v>
      </c>
      <c r="U946" t="s">
        <v>20</v>
      </c>
      <c r="V946">
        <v>1</v>
      </c>
      <c r="W946" t="s">
        <v>10</v>
      </c>
      <c r="X946" t="s">
        <v>12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 t="s">
        <v>12</v>
      </c>
      <c r="AG946" t="s">
        <v>12</v>
      </c>
      <c r="AH946" t="s">
        <v>12</v>
      </c>
      <c r="AI946" t="s">
        <v>12</v>
      </c>
      <c r="AJ946" t="s">
        <v>12</v>
      </c>
      <c r="AK946">
        <v>1</v>
      </c>
      <c r="AL946">
        <v>0.2233</v>
      </c>
      <c r="AM946" t="s">
        <v>12</v>
      </c>
      <c r="AN946" t="s">
        <v>12</v>
      </c>
      <c r="AO946" t="s">
        <v>12</v>
      </c>
    </row>
    <row r="947" spans="1:41" x14ac:dyDescent="0.35">
      <c r="A947">
        <v>14905973</v>
      </c>
      <c r="B947">
        <v>202510</v>
      </c>
      <c r="C947">
        <v>20551769063</v>
      </c>
      <c r="D947" t="s">
        <v>1225</v>
      </c>
      <c r="E947" t="s">
        <v>1</v>
      </c>
      <c r="F947">
        <v>10167666</v>
      </c>
      <c r="G947" t="s">
        <v>2</v>
      </c>
      <c r="H947" t="s">
        <v>265</v>
      </c>
      <c r="I947">
        <v>124367.3671875</v>
      </c>
      <c r="J947" s="1">
        <v>45653</v>
      </c>
      <c r="K947">
        <v>17</v>
      </c>
      <c r="L947" t="s">
        <v>4</v>
      </c>
      <c r="M947" t="s">
        <v>4</v>
      </c>
      <c r="N947" t="s">
        <v>5</v>
      </c>
      <c r="O947">
        <v>202412</v>
      </c>
      <c r="P947">
        <v>200010</v>
      </c>
      <c r="Q947" t="s">
        <v>265</v>
      </c>
      <c r="R947" t="s">
        <v>266</v>
      </c>
      <c r="S947" t="s">
        <v>18</v>
      </c>
      <c r="T947" t="s">
        <v>122</v>
      </c>
      <c r="U947" t="s">
        <v>41</v>
      </c>
      <c r="V947">
        <v>1</v>
      </c>
      <c r="W947" t="s">
        <v>10</v>
      </c>
      <c r="X947" t="s">
        <v>12</v>
      </c>
      <c r="Y947">
        <v>1</v>
      </c>
      <c r="Z947">
        <v>1</v>
      </c>
      <c r="AA947">
        <v>0</v>
      </c>
      <c r="AB947">
        <v>0</v>
      </c>
      <c r="AC947">
        <v>1</v>
      </c>
      <c r="AD947">
        <v>1</v>
      </c>
      <c r="AE947">
        <v>0</v>
      </c>
      <c r="AF947" t="s">
        <v>12</v>
      </c>
      <c r="AG947" t="s">
        <v>12</v>
      </c>
      <c r="AH947" t="s">
        <v>12</v>
      </c>
      <c r="AI947" t="s">
        <v>12</v>
      </c>
      <c r="AJ947" t="s">
        <v>12</v>
      </c>
      <c r="AK947">
        <v>250000</v>
      </c>
      <c r="AL947">
        <v>0.21</v>
      </c>
      <c r="AM947">
        <v>0.19</v>
      </c>
      <c r="AN947" t="s">
        <v>12</v>
      </c>
      <c r="AO947" t="s">
        <v>12</v>
      </c>
    </row>
    <row r="948" spans="1:41" x14ac:dyDescent="0.35">
      <c r="A948">
        <v>19708813</v>
      </c>
      <c r="B948">
        <v>202507</v>
      </c>
      <c r="C948">
        <v>20606096021</v>
      </c>
      <c r="D948" t="s">
        <v>1226</v>
      </c>
      <c r="E948" t="s">
        <v>1</v>
      </c>
      <c r="F948">
        <v>10247167</v>
      </c>
      <c r="G948" t="s">
        <v>92</v>
      </c>
      <c r="H948" t="s">
        <v>74</v>
      </c>
      <c r="I948">
        <v>42704.42578125</v>
      </c>
      <c r="J948" s="1">
        <v>45303</v>
      </c>
      <c r="K948">
        <v>19.5</v>
      </c>
      <c r="L948" t="s">
        <v>4</v>
      </c>
      <c r="M948" t="s">
        <v>4</v>
      </c>
      <c r="N948" t="s">
        <v>41</v>
      </c>
      <c r="O948">
        <v>202401</v>
      </c>
      <c r="P948">
        <v>102115.64</v>
      </c>
      <c r="Q948" t="s">
        <v>12</v>
      </c>
      <c r="R948" t="s">
        <v>12</v>
      </c>
      <c r="S948" t="s">
        <v>12</v>
      </c>
      <c r="T948" t="s">
        <v>12</v>
      </c>
      <c r="U948" t="s">
        <v>12</v>
      </c>
      <c r="V948" t="s">
        <v>12</v>
      </c>
      <c r="W948" t="s">
        <v>12</v>
      </c>
      <c r="X948" t="s">
        <v>12</v>
      </c>
      <c r="Y948" t="s">
        <v>12</v>
      </c>
      <c r="Z948" t="s">
        <v>12</v>
      </c>
      <c r="AA948" t="s">
        <v>12</v>
      </c>
      <c r="AB948" t="s">
        <v>12</v>
      </c>
      <c r="AC948" t="s">
        <v>12</v>
      </c>
      <c r="AD948" t="s">
        <v>12</v>
      </c>
      <c r="AE948" t="s">
        <v>12</v>
      </c>
      <c r="AF948" t="s">
        <v>12</v>
      </c>
      <c r="AG948" t="s">
        <v>12</v>
      </c>
      <c r="AH948" t="s">
        <v>12</v>
      </c>
      <c r="AI948" t="s">
        <v>12</v>
      </c>
      <c r="AJ948" t="s">
        <v>12</v>
      </c>
      <c r="AK948" t="s">
        <v>12</v>
      </c>
      <c r="AL948" t="s">
        <v>12</v>
      </c>
      <c r="AM948" t="s">
        <v>12</v>
      </c>
      <c r="AN948" t="s">
        <v>12</v>
      </c>
      <c r="AO948" t="s">
        <v>12</v>
      </c>
    </row>
    <row r="949" spans="1:41" x14ac:dyDescent="0.35">
      <c r="A949">
        <v>11552972</v>
      </c>
      <c r="B949">
        <v>202509</v>
      </c>
      <c r="C949">
        <v>10100337156</v>
      </c>
      <c r="D949" t="s">
        <v>1227</v>
      </c>
      <c r="E949">
        <v>10033715</v>
      </c>
      <c r="F949">
        <v>10249027</v>
      </c>
      <c r="G949" t="s">
        <v>65</v>
      </c>
      <c r="H949" t="s">
        <v>159</v>
      </c>
      <c r="I949">
        <v>14724.8408203125</v>
      </c>
      <c r="J949" s="1">
        <v>45362</v>
      </c>
      <c r="K949">
        <v>14.6</v>
      </c>
      <c r="L949" t="s">
        <v>37</v>
      </c>
      <c r="M949" t="s">
        <v>37</v>
      </c>
      <c r="N949" t="s">
        <v>47</v>
      </c>
      <c r="O949">
        <v>202403</v>
      </c>
      <c r="P949">
        <v>90004.5</v>
      </c>
      <c r="Q949" t="s">
        <v>417</v>
      </c>
      <c r="R949" t="s">
        <v>418</v>
      </c>
      <c r="S949" t="s">
        <v>31</v>
      </c>
      <c r="T949" t="s">
        <v>32</v>
      </c>
      <c r="U949" t="s">
        <v>41</v>
      </c>
      <c r="V949">
        <v>1</v>
      </c>
      <c r="W949" t="s">
        <v>90</v>
      </c>
      <c r="X949" t="s">
        <v>59</v>
      </c>
      <c r="Y949">
        <v>1</v>
      </c>
      <c r="Z949">
        <v>1</v>
      </c>
      <c r="AA949">
        <v>0</v>
      </c>
      <c r="AB949">
        <v>1</v>
      </c>
      <c r="AC949">
        <v>1</v>
      </c>
      <c r="AD949">
        <v>0</v>
      </c>
      <c r="AE949">
        <v>0</v>
      </c>
      <c r="AF949" t="s">
        <v>12</v>
      </c>
      <c r="AG949" t="s">
        <v>12</v>
      </c>
      <c r="AH949" t="s">
        <v>12</v>
      </c>
      <c r="AI949" t="s">
        <v>12</v>
      </c>
      <c r="AJ949" t="s">
        <v>12</v>
      </c>
      <c r="AK949">
        <v>300000</v>
      </c>
      <c r="AL949">
        <v>0.21</v>
      </c>
      <c r="AM949">
        <v>0.19</v>
      </c>
      <c r="AN949" t="s">
        <v>12</v>
      </c>
      <c r="AO949" t="s">
        <v>12</v>
      </c>
    </row>
    <row r="950" spans="1:41" x14ac:dyDescent="0.35">
      <c r="A950">
        <v>17254186</v>
      </c>
      <c r="B950">
        <v>202507</v>
      </c>
      <c r="C950">
        <v>20563333554</v>
      </c>
      <c r="D950" t="s">
        <v>708</v>
      </c>
      <c r="E950" t="s">
        <v>1</v>
      </c>
      <c r="F950">
        <v>10245194</v>
      </c>
      <c r="G950" t="s">
        <v>92</v>
      </c>
      <c r="H950" t="s">
        <v>603</v>
      </c>
      <c r="I950">
        <v>11775.568359375</v>
      </c>
      <c r="J950" s="1">
        <v>45225</v>
      </c>
      <c r="K950">
        <v>17.5</v>
      </c>
      <c r="L950" t="s">
        <v>4</v>
      </c>
      <c r="M950" t="s">
        <v>4</v>
      </c>
      <c r="N950" t="s">
        <v>41</v>
      </c>
      <c r="O950">
        <v>202310</v>
      </c>
      <c r="P950">
        <v>250012.5</v>
      </c>
      <c r="Q950" t="s">
        <v>603</v>
      </c>
      <c r="R950" t="s">
        <v>642</v>
      </c>
      <c r="S950" t="s">
        <v>18</v>
      </c>
      <c r="T950" t="s">
        <v>122</v>
      </c>
      <c r="U950" t="s">
        <v>70</v>
      </c>
      <c r="V950">
        <v>1</v>
      </c>
      <c r="W950" t="s">
        <v>10</v>
      </c>
      <c r="X950" t="s">
        <v>12</v>
      </c>
      <c r="Y950">
        <v>1</v>
      </c>
      <c r="Z950">
        <v>1</v>
      </c>
      <c r="AA950">
        <v>0</v>
      </c>
      <c r="AB950">
        <v>0</v>
      </c>
      <c r="AC950">
        <v>1</v>
      </c>
      <c r="AD950">
        <v>1</v>
      </c>
      <c r="AE950">
        <v>0</v>
      </c>
      <c r="AF950" t="s">
        <v>12</v>
      </c>
      <c r="AG950" t="s">
        <v>12</v>
      </c>
      <c r="AH950" t="s">
        <v>12</v>
      </c>
      <c r="AI950" t="s">
        <v>12</v>
      </c>
      <c r="AJ950" t="s">
        <v>12</v>
      </c>
      <c r="AK950">
        <v>82000</v>
      </c>
      <c r="AL950">
        <v>0.19</v>
      </c>
      <c r="AM950">
        <v>0.17</v>
      </c>
      <c r="AN950" t="s">
        <v>12</v>
      </c>
      <c r="AO950" t="s">
        <v>12</v>
      </c>
    </row>
    <row r="951" spans="1:41" x14ac:dyDescent="0.35">
      <c r="A951">
        <v>15921518</v>
      </c>
      <c r="B951">
        <v>202510</v>
      </c>
      <c r="C951">
        <v>20600748735</v>
      </c>
      <c r="D951" t="s">
        <v>203</v>
      </c>
      <c r="E951" t="s">
        <v>1</v>
      </c>
      <c r="F951">
        <v>10251777</v>
      </c>
      <c r="G951" t="s">
        <v>65</v>
      </c>
      <c r="H951" t="s">
        <v>204</v>
      </c>
      <c r="I951">
        <v>160015.15625</v>
      </c>
      <c r="J951" s="1">
        <v>45408</v>
      </c>
      <c r="K951">
        <v>14</v>
      </c>
      <c r="L951" t="s">
        <v>4</v>
      </c>
      <c r="M951" t="s">
        <v>4</v>
      </c>
      <c r="N951" t="s">
        <v>47</v>
      </c>
      <c r="O951">
        <v>202404</v>
      </c>
      <c r="P951">
        <v>300015</v>
      </c>
      <c r="Q951" t="s">
        <v>12</v>
      </c>
      <c r="R951" t="s">
        <v>12</v>
      </c>
      <c r="S951" t="s">
        <v>12</v>
      </c>
      <c r="T951" t="s">
        <v>12</v>
      </c>
      <c r="U951" t="s">
        <v>12</v>
      </c>
      <c r="V951" t="s">
        <v>12</v>
      </c>
      <c r="W951" t="s">
        <v>12</v>
      </c>
      <c r="X951" t="s">
        <v>12</v>
      </c>
      <c r="Y951" t="s">
        <v>12</v>
      </c>
      <c r="Z951" t="s">
        <v>12</v>
      </c>
      <c r="AA951" t="s">
        <v>12</v>
      </c>
      <c r="AB951" t="s">
        <v>12</v>
      </c>
      <c r="AC951" t="s">
        <v>12</v>
      </c>
      <c r="AD951" t="s">
        <v>12</v>
      </c>
      <c r="AE951" t="s">
        <v>12</v>
      </c>
      <c r="AF951" t="s">
        <v>12</v>
      </c>
      <c r="AG951" t="s">
        <v>12</v>
      </c>
      <c r="AH951" t="s">
        <v>12</v>
      </c>
      <c r="AI951" t="s">
        <v>12</v>
      </c>
      <c r="AJ951" t="s">
        <v>12</v>
      </c>
      <c r="AK951" t="s">
        <v>12</v>
      </c>
      <c r="AL951" t="s">
        <v>12</v>
      </c>
      <c r="AM951" t="s">
        <v>12</v>
      </c>
      <c r="AN951" t="s">
        <v>12</v>
      </c>
      <c r="AO951" t="s">
        <v>12</v>
      </c>
    </row>
    <row r="952" spans="1:41" x14ac:dyDescent="0.35">
      <c r="A952">
        <v>13840736</v>
      </c>
      <c r="B952">
        <v>202510</v>
      </c>
      <c r="C952">
        <v>20549367373</v>
      </c>
      <c r="D952" t="s">
        <v>1228</v>
      </c>
      <c r="E952" t="s">
        <v>1</v>
      </c>
      <c r="F952">
        <v>10257720</v>
      </c>
      <c r="G952" t="s">
        <v>65</v>
      </c>
      <c r="H952" t="s">
        <v>166</v>
      </c>
      <c r="I952">
        <v>59181.265625</v>
      </c>
      <c r="J952" s="1">
        <v>45497</v>
      </c>
      <c r="K952">
        <v>15</v>
      </c>
      <c r="L952" t="s">
        <v>4</v>
      </c>
      <c r="M952" t="s">
        <v>4</v>
      </c>
      <c r="N952" t="s">
        <v>47</v>
      </c>
      <c r="O952">
        <v>202407</v>
      </c>
      <c r="P952">
        <v>90004.5</v>
      </c>
      <c r="Q952" t="s">
        <v>166</v>
      </c>
      <c r="R952" t="s">
        <v>167</v>
      </c>
      <c r="S952" t="s">
        <v>111</v>
      </c>
      <c r="T952" t="s">
        <v>112</v>
      </c>
      <c r="U952" t="s">
        <v>20</v>
      </c>
      <c r="V952">
        <v>2</v>
      </c>
      <c r="W952" t="s">
        <v>10</v>
      </c>
      <c r="X952" t="s">
        <v>12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 t="s">
        <v>12</v>
      </c>
      <c r="AG952" t="s">
        <v>12</v>
      </c>
      <c r="AH952" t="s">
        <v>12</v>
      </c>
      <c r="AI952" t="s">
        <v>12</v>
      </c>
      <c r="AJ952" t="s">
        <v>12</v>
      </c>
      <c r="AK952">
        <v>1</v>
      </c>
      <c r="AL952">
        <v>1</v>
      </c>
      <c r="AM952" t="s">
        <v>12</v>
      </c>
      <c r="AN952" t="s">
        <v>12</v>
      </c>
      <c r="AO952" t="s">
        <v>12</v>
      </c>
    </row>
    <row r="953" spans="1:41" x14ac:dyDescent="0.35">
      <c r="A953">
        <v>19829316</v>
      </c>
      <c r="B953">
        <v>202503</v>
      </c>
      <c r="C953">
        <v>20602379206</v>
      </c>
      <c r="D953" t="s">
        <v>1229</v>
      </c>
      <c r="E953" t="s">
        <v>1</v>
      </c>
      <c r="F953">
        <v>10249717</v>
      </c>
      <c r="G953" t="s">
        <v>45</v>
      </c>
      <c r="H953" t="s">
        <v>452</v>
      </c>
      <c r="I953">
        <v>73327.1015625</v>
      </c>
      <c r="J953" s="1">
        <v>45372</v>
      </c>
      <c r="K953">
        <v>15</v>
      </c>
      <c r="L953" t="s">
        <v>4</v>
      </c>
      <c r="M953" t="s">
        <v>4</v>
      </c>
      <c r="N953" t="s">
        <v>47</v>
      </c>
      <c r="O953">
        <v>202403</v>
      </c>
      <c r="P953">
        <v>90004.5</v>
      </c>
      <c r="Q953" t="s">
        <v>452</v>
      </c>
      <c r="R953" t="s">
        <v>453</v>
      </c>
      <c r="S953" t="s">
        <v>31</v>
      </c>
      <c r="T953" t="s">
        <v>32</v>
      </c>
      <c r="U953" t="s">
        <v>20</v>
      </c>
      <c r="V953">
        <v>1</v>
      </c>
      <c r="W953" t="s">
        <v>10</v>
      </c>
      <c r="X953" t="s">
        <v>12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12</v>
      </c>
      <c r="AG953" t="s">
        <v>12</v>
      </c>
      <c r="AH953" t="s">
        <v>12</v>
      </c>
      <c r="AI953" t="s">
        <v>12</v>
      </c>
      <c r="AJ953" t="s">
        <v>12</v>
      </c>
      <c r="AK953">
        <v>997456911</v>
      </c>
      <c r="AL953">
        <v>0</v>
      </c>
      <c r="AM953">
        <v>0</v>
      </c>
      <c r="AN953" t="s">
        <v>12</v>
      </c>
      <c r="AO953" t="s">
        <v>12</v>
      </c>
    </row>
    <row r="954" spans="1:41" x14ac:dyDescent="0.35">
      <c r="A954">
        <v>16332814</v>
      </c>
      <c r="B954">
        <v>202511</v>
      </c>
      <c r="C954">
        <v>20558660237</v>
      </c>
      <c r="D954" t="s">
        <v>1230</v>
      </c>
      <c r="E954" t="s">
        <v>1</v>
      </c>
      <c r="F954">
        <v>10253587</v>
      </c>
      <c r="G954" t="s">
        <v>65</v>
      </c>
      <c r="H954" t="s">
        <v>117</v>
      </c>
      <c r="I954">
        <v>3767.1005859375</v>
      </c>
      <c r="J954" s="1">
        <v>45439</v>
      </c>
      <c r="K954">
        <v>16</v>
      </c>
      <c r="L954" t="s">
        <v>4</v>
      </c>
      <c r="M954" t="s">
        <v>4</v>
      </c>
      <c r="N954" t="s">
        <v>47</v>
      </c>
      <c r="O954">
        <v>202405</v>
      </c>
      <c r="P954">
        <v>90004.5</v>
      </c>
      <c r="Q954" t="s">
        <v>117</v>
      </c>
      <c r="R954" t="s">
        <v>118</v>
      </c>
      <c r="S954" t="s">
        <v>39</v>
      </c>
      <c r="T954" t="s">
        <v>40</v>
      </c>
      <c r="U954" t="s">
        <v>41</v>
      </c>
      <c r="V954">
        <v>1</v>
      </c>
      <c r="W954" t="s">
        <v>10</v>
      </c>
      <c r="X954" t="s">
        <v>51</v>
      </c>
      <c r="Y954">
        <v>1</v>
      </c>
      <c r="Z954">
        <v>1</v>
      </c>
      <c r="AA954">
        <v>0</v>
      </c>
      <c r="AB954">
        <v>0</v>
      </c>
      <c r="AC954">
        <v>1</v>
      </c>
      <c r="AD954">
        <v>1</v>
      </c>
      <c r="AE954">
        <v>0</v>
      </c>
      <c r="AF954" t="s">
        <v>12</v>
      </c>
      <c r="AG954" t="s">
        <v>12</v>
      </c>
      <c r="AH954" t="s">
        <v>12</v>
      </c>
      <c r="AI954" t="s">
        <v>12</v>
      </c>
      <c r="AJ954" t="s">
        <v>12</v>
      </c>
      <c r="AK954">
        <v>400000</v>
      </c>
      <c r="AL954">
        <v>0.21</v>
      </c>
      <c r="AM954">
        <v>0.19</v>
      </c>
      <c r="AN954" t="s">
        <v>12</v>
      </c>
      <c r="AO954" t="s">
        <v>12</v>
      </c>
    </row>
    <row r="955" spans="1:41" x14ac:dyDescent="0.35">
      <c r="A955">
        <v>11775002</v>
      </c>
      <c r="B955">
        <v>202510</v>
      </c>
      <c r="C955">
        <v>10247129249</v>
      </c>
      <c r="D955" t="s">
        <v>1231</v>
      </c>
      <c r="E955">
        <v>24712924</v>
      </c>
      <c r="F955">
        <v>10253307</v>
      </c>
      <c r="G955" t="s">
        <v>65</v>
      </c>
      <c r="H955" t="s">
        <v>525</v>
      </c>
      <c r="I955">
        <v>19018.361328125</v>
      </c>
      <c r="J955" s="1">
        <v>45433</v>
      </c>
      <c r="K955">
        <v>14.9</v>
      </c>
      <c r="L955" t="s">
        <v>37</v>
      </c>
      <c r="M955" t="s">
        <v>37</v>
      </c>
      <c r="N955" t="s">
        <v>47</v>
      </c>
      <c r="O955">
        <v>202405</v>
      </c>
      <c r="P955">
        <v>33001.65</v>
      </c>
      <c r="Q955" t="s">
        <v>12</v>
      </c>
      <c r="R955" t="s">
        <v>12</v>
      </c>
      <c r="S955" t="s">
        <v>12</v>
      </c>
      <c r="T955" t="s">
        <v>12</v>
      </c>
      <c r="U955" t="s">
        <v>41</v>
      </c>
      <c r="V955">
        <v>2</v>
      </c>
      <c r="W955" t="s">
        <v>90</v>
      </c>
      <c r="X955" t="s">
        <v>12</v>
      </c>
      <c r="Y955">
        <v>1</v>
      </c>
      <c r="Z955">
        <v>1</v>
      </c>
      <c r="AA955">
        <v>0</v>
      </c>
      <c r="AB955">
        <v>0</v>
      </c>
      <c r="AC955">
        <v>1</v>
      </c>
      <c r="AD955">
        <v>0</v>
      </c>
      <c r="AE955">
        <v>0</v>
      </c>
      <c r="AF955" t="s">
        <v>12</v>
      </c>
      <c r="AG955" t="s">
        <v>12</v>
      </c>
      <c r="AH955" t="s">
        <v>12</v>
      </c>
      <c r="AI955" t="s">
        <v>12</v>
      </c>
      <c r="AJ955" t="s">
        <v>12</v>
      </c>
      <c r="AK955">
        <v>200000</v>
      </c>
      <c r="AL955">
        <v>0.23</v>
      </c>
      <c r="AM955">
        <v>0.21</v>
      </c>
      <c r="AN955" t="s">
        <v>12</v>
      </c>
      <c r="AO955" t="s">
        <v>12</v>
      </c>
    </row>
    <row r="956" spans="1:41" x14ac:dyDescent="0.35">
      <c r="A956">
        <v>16171323</v>
      </c>
      <c r="B956">
        <v>202601</v>
      </c>
      <c r="C956">
        <v>20600930436</v>
      </c>
      <c r="D956" t="s">
        <v>1232</v>
      </c>
      <c r="E956" t="s">
        <v>1</v>
      </c>
      <c r="F956">
        <v>10274952</v>
      </c>
      <c r="G956" t="s">
        <v>14</v>
      </c>
      <c r="H956" t="s">
        <v>39</v>
      </c>
      <c r="I956">
        <v>66603.3046875</v>
      </c>
      <c r="J956" s="1">
        <v>46048</v>
      </c>
      <c r="K956">
        <v>19</v>
      </c>
      <c r="L956" t="s">
        <v>4</v>
      </c>
      <c r="M956" t="s">
        <v>4</v>
      </c>
      <c r="N956" t="s">
        <v>16</v>
      </c>
      <c r="O956">
        <v>202601</v>
      </c>
      <c r="P956">
        <v>66603.3</v>
      </c>
      <c r="Q956" t="s">
        <v>117</v>
      </c>
      <c r="R956" t="s">
        <v>118</v>
      </c>
      <c r="S956" t="s">
        <v>39</v>
      </c>
      <c r="T956" t="s">
        <v>40</v>
      </c>
      <c r="U956" t="s">
        <v>16</v>
      </c>
      <c r="V956">
        <v>1</v>
      </c>
      <c r="W956" t="s">
        <v>10</v>
      </c>
      <c r="X956" t="s">
        <v>59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0</v>
      </c>
      <c r="AE956">
        <v>66603.3</v>
      </c>
      <c r="AF956">
        <v>19</v>
      </c>
      <c r="AG956" s="1">
        <v>46048</v>
      </c>
      <c r="AH956" t="s">
        <v>16</v>
      </c>
      <c r="AI956" t="s">
        <v>4</v>
      </c>
      <c r="AJ956" t="s">
        <v>33</v>
      </c>
      <c r="AK956" t="s">
        <v>12</v>
      </c>
      <c r="AL956" t="s">
        <v>12</v>
      </c>
      <c r="AM956" t="s">
        <v>12</v>
      </c>
      <c r="AN956" t="s">
        <v>12</v>
      </c>
      <c r="AO956" t="s">
        <v>12</v>
      </c>
    </row>
    <row r="957" spans="1:41" x14ac:dyDescent="0.35">
      <c r="A957">
        <v>16492621</v>
      </c>
      <c r="B957">
        <v>202510</v>
      </c>
      <c r="C957">
        <v>20540014010</v>
      </c>
      <c r="D957" t="s">
        <v>1233</v>
      </c>
      <c r="E957" t="s">
        <v>1</v>
      </c>
      <c r="F957">
        <v>10249612</v>
      </c>
      <c r="G957" t="s">
        <v>45</v>
      </c>
      <c r="H957" t="s">
        <v>46</v>
      </c>
      <c r="I957">
        <v>44236.328125</v>
      </c>
      <c r="J957" s="1">
        <v>45370</v>
      </c>
      <c r="K957">
        <v>14</v>
      </c>
      <c r="L957" t="s">
        <v>4</v>
      </c>
      <c r="M957" t="s">
        <v>4</v>
      </c>
      <c r="N957" t="s">
        <v>47</v>
      </c>
      <c r="O957">
        <v>202403</v>
      </c>
      <c r="P957">
        <v>90004.5</v>
      </c>
      <c r="Q957" t="s">
        <v>46</v>
      </c>
      <c r="R957" t="s">
        <v>48</v>
      </c>
      <c r="S957" t="s">
        <v>49</v>
      </c>
      <c r="T957" t="s">
        <v>50</v>
      </c>
      <c r="U957" t="s">
        <v>20</v>
      </c>
      <c r="V957">
        <v>1</v>
      </c>
      <c r="W957" t="s">
        <v>10</v>
      </c>
      <c r="X957" t="s">
        <v>12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 t="s">
        <v>12</v>
      </c>
      <c r="AG957" t="s">
        <v>12</v>
      </c>
      <c r="AH957" t="s">
        <v>12</v>
      </c>
      <c r="AI957" t="s">
        <v>12</v>
      </c>
      <c r="AJ957" t="s">
        <v>12</v>
      </c>
      <c r="AK957">
        <v>1</v>
      </c>
      <c r="AL957">
        <v>1</v>
      </c>
      <c r="AM957" t="s">
        <v>12</v>
      </c>
      <c r="AN957" t="s">
        <v>12</v>
      </c>
      <c r="AO957" t="s">
        <v>12</v>
      </c>
    </row>
    <row r="958" spans="1:41" x14ac:dyDescent="0.35">
      <c r="A958">
        <v>20670937</v>
      </c>
      <c r="B958">
        <v>202503</v>
      </c>
      <c r="C958">
        <v>20382248831</v>
      </c>
      <c r="D958" t="s">
        <v>1234</v>
      </c>
      <c r="E958" t="s">
        <v>1</v>
      </c>
      <c r="F958">
        <v>10248238</v>
      </c>
      <c r="G958" t="s">
        <v>24</v>
      </c>
      <c r="H958" t="s">
        <v>159</v>
      </c>
      <c r="I958">
        <v>17514.84765625</v>
      </c>
      <c r="J958" s="1">
        <v>45342</v>
      </c>
      <c r="K958">
        <v>18.200001</v>
      </c>
      <c r="L958" t="s">
        <v>37</v>
      </c>
      <c r="M958" t="s">
        <v>37</v>
      </c>
      <c r="N958" t="s">
        <v>12</v>
      </c>
      <c r="O958">
        <v>202402</v>
      </c>
      <c r="P958">
        <v>35001.75</v>
      </c>
      <c r="Q958" t="s">
        <v>12</v>
      </c>
      <c r="R958" t="s">
        <v>12</v>
      </c>
      <c r="S958" t="s">
        <v>12</v>
      </c>
      <c r="T958" t="s">
        <v>12</v>
      </c>
      <c r="U958" t="s">
        <v>12</v>
      </c>
      <c r="V958" t="s">
        <v>12</v>
      </c>
      <c r="W958" t="s">
        <v>12</v>
      </c>
      <c r="X958" t="s">
        <v>12</v>
      </c>
      <c r="Y958" t="s">
        <v>12</v>
      </c>
      <c r="Z958" t="s">
        <v>12</v>
      </c>
      <c r="AA958" t="s">
        <v>12</v>
      </c>
      <c r="AB958" t="s">
        <v>12</v>
      </c>
      <c r="AC958" t="s">
        <v>12</v>
      </c>
      <c r="AD958" t="s">
        <v>12</v>
      </c>
      <c r="AE958" t="s">
        <v>12</v>
      </c>
      <c r="AF958" t="s">
        <v>12</v>
      </c>
      <c r="AG958" t="s">
        <v>12</v>
      </c>
      <c r="AH958" t="s">
        <v>12</v>
      </c>
      <c r="AI958" t="s">
        <v>12</v>
      </c>
      <c r="AJ958" t="s">
        <v>12</v>
      </c>
      <c r="AK958" t="s">
        <v>12</v>
      </c>
      <c r="AL958" t="s">
        <v>12</v>
      </c>
      <c r="AM958" t="s">
        <v>12</v>
      </c>
      <c r="AN958" t="s">
        <v>12</v>
      </c>
      <c r="AO958" t="s">
        <v>12</v>
      </c>
    </row>
    <row r="959" spans="1:41" x14ac:dyDescent="0.35">
      <c r="A959">
        <v>17866634</v>
      </c>
      <c r="B959">
        <v>202507</v>
      </c>
      <c r="C959">
        <v>20557233629</v>
      </c>
      <c r="D959" t="s">
        <v>978</v>
      </c>
      <c r="E959" t="s">
        <v>1</v>
      </c>
      <c r="F959">
        <v>10248341</v>
      </c>
      <c r="G959" t="s">
        <v>45</v>
      </c>
      <c r="H959" t="s">
        <v>305</v>
      </c>
      <c r="I959">
        <v>82695.171875</v>
      </c>
      <c r="J959" s="1">
        <v>45344</v>
      </c>
      <c r="K959">
        <v>14.5</v>
      </c>
      <c r="L959" t="s">
        <v>4</v>
      </c>
      <c r="M959" t="s">
        <v>4</v>
      </c>
      <c r="N959" t="s">
        <v>47</v>
      </c>
      <c r="O959">
        <v>202402</v>
      </c>
      <c r="P959">
        <v>55395.65</v>
      </c>
      <c r="Q959" t="s">
        <v>305</v>
      </c>
      <c r="R959" t="s">
        <v>306</v>
      </c>
      <c r="S959" t="s">
        <v>7</v>
      </c>
      <c r="T959" t="s">
        <v>8</v>
      </c>
      <c r="U959" t="s">
        <v>20</v>
      </c>
      <c r="V959">
        <v>1</v>
      </c>
      <c r="W959" t="s">
        <v>10</v>
      </c>
      <c r="X959" t="s">
        <v>12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 t="s">
        <v>12</v>
      </c>
      <c r="AG959" t="s">
        <v>12</v>
      </c>
      <c r="AH959" t="s">
        <v>12</v>
      </c>
      <c r="AI959" t="s">
        <v>12</v>
      </c>
      <c r="AJ959" t="s">
        <v>12</v>
      </c>
      <c r="AK959">
        <v>1</v>
      </c>
      <c r="AL959">
        <v>0.20380000000000001</v>
      </c>
      <c r="AM959" t="s">
        <v>12</v>
      </c>
      <c r="AN959" t="s">
        <v>12</v>
      </c>
      <c r="AO959" t="s">
        <v>12</v>
      </c>
    </row>
    <row r="960" spans="1:41" x14ac:dyDescent="0.35">
      <c r="A960">
        <v>18287357</v>
      </c>
      <c r="B960">
        <v>202506</v>
      </c>
      <c r="C960">
        <v>20605441077</v>
      </c>
      <c r="D960" t="s">
        <v>1235</v>
      </c>
      <c r="E960" t="s">
        <v>1</v>
      </c>
      <c r="F960">
        <v>10248655</v>
      </c>
      <c r="G960" t="s">
        <v>24</v>
      </c>
      <c r="H960" t="s">
        <v>140</v>
      </c>
      <c r="I960">
        <v>13501.041015625</v>
      </c>
      <c r="J960" s="1">
        <v>45350</v>
      </c>
      <c r="K960">
        <v>20.299999</v>
      </c>
      <c r="L960" t="s">
        <v>37</v>
      </c>
      <c r="M960" t="s">
        <v>37</v>
      </c>
      <c r="N960" t="s">
        <v>12</v>
      </c>
      <c r="O960">
        <v>202402</v>
      </c>
      <c r="P960">
        <v>72003.600000000006</v>
      </c>
      <c r="Q960" t="s">
        <v>140</v>
      </c>
      <c r="R960" t="s">
        <v>141</v>
      </c>
      <c r="S960" t="s">
        <v>111</v>
      </c>
      <c r="T960" t="s">
        <v>112</v>
      </c>
      <c r="U960" t="s">
        <v>20</v>
      </c>
      <c r="V960">
        <v>2</v>
      </c>
      <c r="W960" t="s">
        <v>10</v>
      </c>
      <c r="X960" t="s">
        <v>12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 t="s">
        <v>12</v>
      </c>
      <c r="AG960" t="s">
        <v>12</v>
      </c>
      <c r="AH960" t="s">
        <v>12</v>
      </c>
      <c r="AI960" t="s">
        <v>12</v>
      </c>
      <c r="AJ960" t="s">
        <v>12</v>
      </c>
      <c r="AK960">
        <v>1</v>
      </c>
      <c r="AL960">
        <v>0.24829999999999999</v>
      </c>
      <c r="AM960">
        <v>0</v>
      </c>
      <c r="AN960" t="s">
        <v>12</v>
      </c>
      <c r="AO960" t="s">
        <v>12</v>
      </c>
    </row>
    <row r="961" spans="1:41" x14ac:dyDescent="0.35">
      <c r="A961">
        <v>21556680</v>
      </c>
      <c r="B961">
        <v>202512</v>
      </c>
      <c r="C961">
        <v>20600445708</v>
      </c>
      <c r="D961" t="s">
        <v>1236</v>
      </c>
      <c r="E961" t="s">
        <v>1</v>
      </c>
      <c r="F961">
        <v>10266721</v>
      </c>
      <c r="G961" t="s">
        <v>268</v>
      </c>
      <c r="H961" t="s">
        <v>513</v>
      </c>
      <c r="I961">
        <v>16238.0771484375</v>
      </c>
      <c r="J961" s="1">
        <v>45744</v>
      </c>
      <c r="K961">
        <v>21</v>
      </c>
      <c r="L961" t="s">
        <v>37</v>
      </c>
      <c r="M961" t="s">
        <v>37</v>
      </c>
      <c r="N961" t="s">
        <v>98</v>
      </c>
      <c r="O961">
        <v>202503</v>
      </c>
      <c r="P961">
        <v>27301.35</v>
      </c>
      <c r="Q961" t="s">
        <v>513</v>
      </c>
      <c r="R961" t="s">
        <v>514</v>
      </c>
      <c r="S961" t="s">
        <v>111</v>
      </c>
      <c r="T961" t="s">
        <v>112</v>
      </c>
      <c r="U961" t="s">
        <v>9</v>
      </c>
      <c r="V961">
        <v>2</v>
      </c>
      <c r="W961" t="s">
        <v>10</v>
      </c>
      <c r="X961" t="s">
        <v>51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 t="s">
        <v>12</v>
      </c>
      <c r="AG961" t="s">
        <v>12</v>
      </c>
      <c r="AH961" t="s">
        <v>12</v>
      </c>
      <c r="AI961" t="s">
        <v>12</v>
      </c>
      <c r="AJ961" t="s">
        <v>12</v>
      </c>
      <c r="AK961">
        <v>0</v>
      </c>
      <c r="AL961">
        <v>0</v>
      </c>
      <c r="AM961">
        <v>0</v>
      </c>
      <c r="AN961" t="s">
        <v>12</v>
      </c>
      <c r="AO961" t="s">
        <v>12</v>
      </c>
    </row>
    <row r="962" spans="1:41" x14ac:dyDescent="0.35">
      <c r="A962">
        <v>14673318</v>
      </c>
      <c r="B962">
        <v>202508</v>
      </c>
      <c r="C962">
        <v>20547236018</v>
      </c>
      <c r="D962" t="s">
        <v>1132</v>
      </c>
      <c r="E962" t="s">
        <v>1</v>
      </c>
      <c r="F962">
        <v>10267408</v>
      </c>
      <c r="G962" t="s">
        <v>2</v>
      </c>
      <c r="H962" t="s">
        <v>166</v>
      </c>
      <c r="I962">
        <v>78292.328125</v>
      </c>
      <c r="J962" s="1">
        <v>46030</v>
      </c>
      <c r="K962">
        <v>16</v>
      </c>
      <c r="L962" t="s">
        <v>86</v>
      </c>
      <c r="M962" t="s">
        <v>86</v>
      </c>
      <c r="N962" t="s">
        <v>5</v>
      </c>
      <c r="O962">
        <v>202601</v>
      </c>
      <c r="P962">
        <v>54002.7</v>
      </c>
      <c r="Q962" t="s">
        <v>109</v>
      </c>
      <c r="R962" t="s">
        <v>110</v>
      </c>
      <c r="S962" t="s">
        <v>111</v>
      </c>
      <c r="T962" t="s">
        <v>112</v>
      </c>
      <c r="U962" t="s">
        <v>20</v>
      </c>
      <c r="V962">
        <v>2</v>
      </c>
      <c r="W962" t="s">
        <v>10</v>
      </c>
      <c r="X962" t="s">
        <v>12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 t="s">
        <v>12</v>
      </c>
      <c r="AG962" t="s">
        <v>12</v>
      </c>
      <c r="AH962" t="s">
        <v>12</v>
      </c>
      <c r="AI962" t="s">
        <v>12</v>
      </c>
      <c r="AJ962" t="s">
        <v>12</v>
      </c>
      <c r="AK962">
        <v>1</v>
      </c>
      <c r="AL962">
        <v>0.1973</v>
      </c>
      <c r="AM962" t="s">
        <v>12</v>
      </c>
      <c r="AN962" t="s">
        <v>12</v>
      </c>
      <c r="AO962" t="s">
        <v>12</v>
      </c>
    </row>
    <row r="963" spans="1:41" x14ac:dyDescent="0.35">
      <c r="A963">
        <v>22026388</v>
      </c>
      <c r="B963">
        <v>202602</v>
      </c>
      <c r="C963">
        <v>20487502490</v>
      </c>
      <c r="D963" t="s">
        <v>1237</v>
      </c>
      <c r="E963" t="s">
        <v>1</v>
      </c>
      <c r="F963">
        <v>10274081</v>
      </c>
      <c r="G963" t="s">
        <v>100</v>
      </c>
      <c r="H963" t="s">
        <v>159</v>
      </c>
      <c r="I963">
        <v>112520.390625</v>
      </c>
      <c r="J963" s="1">
        <v>46010</v>
      </c>
      <c r="K963">
        <v>14</v>
      </c>
      <c r="L963" t="s">
        <v>37</v>
      </c>
      <c r="M963" t="s">
        <v>37</v>
      </c>
      <c r="N963" t="s">
        <v>102</v>
      </c>
      <c r="O963">
        <v>202512</v>
      </c>
      <c r="P963">
        <v>121006.05</v>
      </c>
      <c r="Q963" t="s">
        <v>12</v>
      </c>
      <c r="R963" t="s">
        <v>12</v>
      </c>
      <c r="S963" t="s">
        <v>12</v>
      </c>
      <c r="T963" t="s">
        <v>12</v>
      </c>
      <c r="U963" t="s">
        <v>196</v>
      </c>
      <c r="V963">
        <v>3</v>
      </c>
      <c r="W963" t="s">
        <v>10</v>
      </c>
      <c r="X963" t="s">
        <v>22</v>
      </c>
      <c r="Y963">
        <v>1</v>
      </c>
      <c r="Z963">
        <v>1</v>
      </c>
      <c r="AA963">
        <v>0</v>
      </c>
      <c r="AB963">
        <v>0</v>
      </c>
      <c r="AC963">
        <v>0</v>
      </c>
      <c r="AD963" t="s">
        <v>12</v>
      </c>
      <c r="AE963">
        <v>0</v>
      </c>
      <c r="AF963" t="s">
        <v>12</v>
      </c>
      <c r="AG963" t="s">
        <v>12</v>
      </c>
      <c r="AH963" t="s">
        <v>12</v>
      </c>
      <c r="AI963" t="s">
        <v>12</v>
      </c>
      <c r="AJ963" t="s">
        <v>12</v>
      </c>
      <c r="AK963" t="s">
        <v>12</v>
      </c>
      <c r="AL963" t="s">
        <v>12</v>
      </c>
      <c r="AM963" t="s">
        <v>12</v>
      </c>
      <c r="AN963" t="s">
        <v>269</v>
      </c>
      <c r="AO963" t="s">
        <v>270</v>
      </c>
    </row>
    <row r="964" spans="1:41" x14ac:dyDescent="0.35">
      <c r="A964">
        <v>18077301</v>
      </c>
      <c r="B964">
        <v>202602</v>
      </c>
      <c r="C964">
        <v>20608221671</v>
      </c>
      <c r="D964" t="s">
        <v>1238</v>
      </c>
      <c r="E964" t="s">
        <v>1</v>
      </c>
      <c r="F964">
        <v>10265525</v>
      </c>
      <c r="G964" t="s">
        <v>100</v>
      </c>
      <c r="H964" t="s">
        <v>478</v>
      </c>
      <c r="I964">
        <v>175596.546875</v>
      </c>
      <c r="J964" s="1">
        <v>45708</v>
      </c>
      <c r="K964">
        <v>14</v>
      </c>
      <c r="L964" t="s">
        <v>37</v>
      </c>
      <c r="M964" t="s">
        <v>37</v>
      </c>
      <c r="N964" t="s">
        <v>102</v>
      </c>
      <c r="O964">
        <v>202502</v>
      </c>
      <c r="P964">
        <v>247102.5</v>
      </c>
      <c r="Q964" t="s">
        <v>12</v>
      </c>
      <c r="R964" t="s">
        <v>12</v>
      </c>
      <c r="S964" t="s">
        <v>12</v>
      </c>
      <c r="T964" t="s">
        <v>12</v>
      </c>
      <c r="U964" t="s">
        <v>12</v>
      </c>
      <c r="V964" t="s">
        <v>12</v>
      </c>
      <c r="W964" t="s">
        <v>12</v>
      </c>
      <c r="X964" t="s">
        <v>12</v>
      </c>
      <c r="Y964" t="s">
        <v>12</v>
      </c>
      <c r="Z964" t="s">
        <v>12</v>
      </c>
      <c r="AA964" t="s">
        <v>12</v>
      </c>
      <c r="AB964" t="s">
        <v>12</v>
      </c>
      <c r="AC964" t="s">
        <v>12</v>
      </c>
      <c r="AD964" t="s">
        <v>12</v>
      </c>
      <c r="AE964" t="s">
        <v>12</v>
      </c>
      <c r="AF964" t="s">
        <v>12</v>
      </c>
      <c r="AG964" t="s">
        <v>12</v>
      </c>
      <c r="AH964" t="s">
        <v>12</v>
      </c>
      <c r="AI964" t="s">
        <v>12</v>
      </c>
      <c r="AJ964" t="s">
        <v>12</v>
      </c>
      <c r="AK964" t="s">
        <v>12</v>
      </c>
      <c r="AL964" t="s">
        <v>12</v>
      </c>
      <c r="AM964" t="s">
        <v>12</v>
      </c>
      <c r="AN964" t="s">
        <v>12</v>
      </c>
      <c r="AO964" t="s">
        <v>12</v>
      </c>
    </row>
    <row r="965" spans="1:41" x14ac:dyDescent="0.35">
      <c r="A965">
        <v>21534429</v>
      </c>
      <c r="B965">
        <v>202503</v>
      </c>
      <c r="C965">
        <v>20608366483</v>
      </c>
      <c r="D965" t="s">
        <v>1239</v>
      </c>
      <c r="E965" t="s">
        <v>1</v>
      </c>
      <c r="F965">
        <v>10266297</v>
      </c>
      <c r="G965" t="s">
        <v>100</v>
      </c>
      <c r="H965" t="s">
        <v>159</v>
      </c>
      <c r="I965">
        <v>87289.34375</v>
      </c>
      <c r="J965" s="1">
        <v>45734</v>
      </c>
      <c r="K965">
        <v>17.5</v>
      </c>
      <c r="L965" t="s">
        <v>37</v>
      </c>
      <c r="M965" t="s">
        <v>37</v>
      </c>
      <c r="N965" t="s">
        <v>102</v>
      </c>
      <c r="O965">
        <v>202503</v>
      </c>
      <c r="P965">
        <v>87289.35</v>
      </c>
      <c r="Q965" t="s">
        <v>1240</v>
      </c>
      <c r="R965" t="s">
        <v>1241</v>
      </c>
      <c r="S965" t="s">
        <v>1034</v>
      </c>
      <c r="T965" t="s">
        <v>1035</v>
      </c>
      <c r="U965" t="s">
        <v>102</v>
      </c>
      <c r="V965">
        <v>3</v>
      </c>
      <c r="W965" t="s">
        <v>10</v>
      </c>
      <c r="X965" t="s">
        <v>12</v>
      </c>
      <c r="Y965">
        <v>1</v>
      </c>
      <c r="Z965">
        <v>1</v>
      </c>
      <c r="AA965">
        <v>1</v>
      </c>
      <c r="AB965">
        <v>1</v>
      </c>
      <c r="AC965">
        <v>1</v>
      </c>
      <c r="AD965" t="s">
        <v>12</v>
      </c>
      <c r="AE965">
        <v>87289.35</v>
      </c>
      <c r="AF965">
        <v>17.5</v>
      </c>
      <c r="AG965" s="1">
        <v>45734</v>
      </c>
      <c r="AH965" t="s">
        <v>102</v>
      </c>
      <c r="AI965" t="s">
        <v>37</v>
      </c>
      <c r="AJ965" t="s">
        <v>560</v>
      </c>
      <c r="AK965">
        <v>91000</v>
      </c>
      <c r="AL965">
        <v>0.20499999999999999</v>
      </c>
      <c r="AM965">
        <v>0.185</v>
      </c>
      <c r="AN965" t="s">
        <v>197</v>
      </c>
      <c r="AO965" t="s">
        <v>561</v>
      </c>
    </row>
    <row r="966" spans="1:41" x14ac:dyDescent="0.35">
      <c r="A966">
        <v>21414642</v>
      </c>
      <c r="B966">
        <v>202507</v>
      </c>
      <c r="C966">
        <v>20604809755</v>
      </c>
      <c r="D966" t="s">
        <v>1242</v>
      </c>
      <c r="E966" t="s">
        <v>1</v>
      </c>
      <c r="F966">
        <v>10264491</v>
      </c>
      <c r="G966" t="s">
        <v>14</v>
      </c>
      <c r="H966" t="s">
        <v>513</v>
      </c>
      <c r="I966">
        <v>36988.03125</v>
      </c>
      <c r="J966" s="1">
        <v>45666</v>
      </c>
      <c r="K966">
        <v>18.200001</v>
      </c>
      <c r="L966" t="s">
        <v>37</v>
      </c>
      <c r="M966" t="s">
        <v>37</v>
      </c>
      <c r="N966" t="s">
        <v>98</v>
      </c>
      <c r="O966">
        <v>202501</v>
      </c>
      <c r="P966">
        <v>59102.95</v>
      </c>
      <c r="Q966" t="s">
        <v>513</v>
      </c>
      <c r="R966" t="s">
        <v>514</v>
      </c>
      <c r="S966" t="s">
        <v>111</v>
      </c>
      <c r="T966" t="s">
        <v>112</v>
      </c>
      <c r="U966" t="s">
        <v>20</v>
      </c>
      <c r="V966">
        <v>2</v>
      </c>
      <c r="W966" t="s">
        <v>10</v>
      </c>
      <c r="X966" t="s">
        <v>12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12</v>
      </c>
      <c r="AG966" t="s">
        <v>12</v>
      </c>
      <c r="AH966" t="s">
        <v>12</v>
      </c>
      <c r="AI966" t="s">
        <v>12</v>
      </c>
      <c r="AJ966" t="s">
        <v>12</v>
      </c>
      <c r="AK966">
        <v>1</v>
      </c>
      <c r="AL966">
        <v>0.20380000000000001</v>
      </c>
      <c r="AM966" t="s">
        <v>12</v>
      </c>
      <c r="AN966" t="s">
        <v>12</v>
      </c>
      <c r="AO966" t="s">
        <v>12</v>
      </c>
    </row>
    <row r="967" spans="1:41" x14ac:dyDescent="0.35">
      <c r="A967">
        <v>19984804</v>
      </c>
      <c r="B967">
        <v>202512</v>
      </c>
      <c r="C967">
        <v>10402243738</v>
      </c>
      <c r="D967" t="s">
        <v>1243</v>
      </c>
      <c r="E967">
        <v>40224373</v>
      </c>
      <c r="F967">
        <v>10267742</v>
      </c>
      <c r="G967" t="s">
        <v>100</v>
      </c>
      <c r="H967" t="s">
        <v>25</v>
      </c>
      <c r="I967">
        <v>59302.60546875</v>
      </c>
      <c r="J967" s="1">
        <v>45790</v>
      </c>
      <c r="K967">
        <v>29.5</v>
      </c>
      <c r="L967" t="s">
        <v>37</v>
      </c>
      <c r="M967" t="s">
        <v>37</v>
      </c>
      <c r="N967" t="s">
        <v>102</v>
      </c>
      <c r="O967">
        <v>202505</v>
      </c>
      <c r="P967">
        <v>77881.850000000006</v>
      </c>
      <c r="Q967" t="s">
        <v>25</v>
      </c>
      <c r="R967" t="s">
        <v>279</v>
      </c>
      <c r="S967" t="s">
        <v>7</v>
      </c>
      <c r="T967" t="s">
        <v>8</v>
      </c>
      <c r="U967" t="s">
        <v>41</v>
      </c>
      <c r="V967">
        <v>1</v>
      </c>
      <c r="W967" t="s">
        <v>10</v>
      </c>
      <c r="X967" t="s">
        <v>59</v>
      </c>
      <c r="Y967">
        <v>1</v>
      </c>
      <c r="Z967">
        <v>1</v>
      </c>
      <c r="AA967">
        <v>0</v>
      </c>
      <c r="AB967">
        <v>0</v>
      </c>
      <c r="AC967">
        <v>1</v>
      </c>
      <c r="AD967">
        <v>1</v>
      </c>
      <c r="AE967">
        <v>0</v>
      </c>
      <c r="AF967" t="s">
        <v>12</v>
      </c>
      <c r="AG967" t="s">
        <v>12</v>
      </c>
      <c r="AH967" t="s">
        <v>12</v>
      </c>
      <c r="AI967" t="s">
        <v>12</v>
      </c>
      <c r="AJ967" t="s">
        <v>12</v>
      </c>
      <c r="AK967">
        <v>200000</v>
      </c>
      <c r="AL967">
        <v>0.2442</v>
      </c>
      <c r="AM967">
        <v>0.22420000000000001</v>
      </c>
      <c r="AN967" t="s">
        <v>12</v>
      </c>
      <c r="AO967" t="s">
        <v>12</v>
      </c>
    </row>
    <row r="968" spans="1:41" x14ac:dyDescent="0.35">
      <c r="A968">
        <v>14953553</v>
      </c>
      <c r="B968">
        <v>202506</v>
      </c>
      <c r="C968">
        <v>20542040191</v>
      </c>
      <c r="D968" t="s">
        <v>1244</v>
      </c>
      <c r="E968" t="s">
        <v>1</v>
      </c>
      <c r="F968">
        <v>10266500</v>
      </c>
      <c r="G968" t="s">
        <v>209</v>
      </c>
      <c r="H968" t="s">
        <v>120</v>
      </c>
      <c r="I968">
        <v>114208</v>
      </c>
      <c r="J968" s="1">
        <v>45741</v>
      </c>
      <c r="K968">
        <v>17</v>
      </c>
      <c r="L968" t="s">
        <v>4</v>
      </c>
      <c r="M968" t="s">
        <v>4</v>
      </c>
      <c r="N968" t="s">
        <v>209</v>
      </c>
      <c r="O968">
        <v>202503</v>
      </c>
      <c r="P968">
        <v>95198.14</v>
      </c>
      <c r="Q968" t="s">
        <v>120</v>
      </c>
      <c r="R968" t="s">
        <v>121</v>
      </c>
      <c r="S968" t="s">
        <v>18</v>
      </c>
      <c r="T968" t="s">
        <v>122</v>
      </c>
      <c r="U968" t="s">
        <v>20</v>
      </c>
      <c r="V968">
        <v>1</v>
      </c>
      <c r="W968" t="s">
        <v>10</v>
      </c>
      <c r="X968" t="s">
        <v>12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12</v>
      </c>
      <c r="AG968" t="s">
        <v>12</v>
      </c>
      <c r="AH968" t="s">
        <v>12</v>
      </c>
      <c r="AI968" t="s">
        <v>12</v>
      </c>
      <c r="AJ968" t="s">
        <v>12</v>
      </c>
      <c r="AK968">
        <v>1</v>
      </c>
      <c r="AL968">
        <v>0.20430000000000001</v>
      </c>
      <c r="AM968" t="s">
        <v>12</v>
      </c>
      <c r="AN968" t="s">
        <v>12</v>
      </c>
      <c r="AO968" t="s">
        <v>12</v>
      </c>
    </row>
    <row r="969" spans="1:41" x14ac:dyDescent="0.35">
      <c r="A969">
        <v>20659735</v>
      </c>
      <c r="B969">
        <v>202508</v>
      </c>
      <c r="C969">
        <v>10772198537</v>
      </c>
      <c r="D969" t="s">
        <v>1245</v>
      </c>
      <c r="E969">
        <v>77219853</v>
      </c>
      <c r="F969">
        <v>10251382</v>
      </c>
      <c r="G969" t="s">
        <v>53</v>
      </c>
      <c r="H969" t="s">
        <v>183</v>
      </c>
      <c r="I969">
        <v>55756.98828125</v>
      </c>
      <c r="J969" s="1">
        <v>45405</v>
      </c>
      <c r="K969">
        <v>16</v>
      </c>
      <c r="L969" t="s">
        <v>4</v>
      </c>
      <c r="M969" t="s">
        <v>4</v>
      </c>
      <c r="N969" t="s">
        <v>47</v>
      </c>
      <c r="O969">
        <v>202404</v>
      </c>
      <c r="P969">
        <v>90004.5</v>
      </c>
      <c r="Q969" t="s">
        <v>36</v>
      </c>
      <c r="R969" t="s">
        <v>38</v>
      </c>
      <c r="S969" t="s">
        <v>39</v>
      </c>
      <c r="T969" t="s">
        <v>40</v>
      </c>
      <c r="U969" t="s">
        <v>41</v>
      </c>
      <c r="V969">
        <v>1</v>
      </c>
      <c r="W969" t="s">
        <v>90</v>
      </c>
      <c r="X969" t="s">
        <v>12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 t="s">
        <v>12</v>
      </c>
      <c r="AG969" t="s">
        <v>12</v>
      </c>
      <c r="AH969" t="s">
        <v>12</v>
      </c>
      <c r="AI969" t="s">
        <v>12</v>
      </c>
      <c r="AJ969" t="s">
        <v>12</v>
      </c>
      <c r="AK969">
        <v>300000</v>
      </c>
      <c r="AL969">
        <v>0.21</v>
      </c>
      <c r="AM969">
        <v>0.19</v>
      </c>
      <c r="AN969" t="s">
        <v>12</v>
      </c>
      <c r="AO969" t="s">
        <v>12</v>
      </c>
    </row>
    <row r="970" spans="1:41" x14ac:dyDescent="0.35">
      <c r="A970">
        <v>20659735</v>
      </c>
      <c r="B970">
        <v>202508</v>
      </c>
      <c r="C970">
        <v>10772198537</v>
      </c>
      <c r="D970" t="s">
        <v>1245</v>
      </c>
      <c r="E970">
        <v>77219853</v>
      </c>
      <c r="F970">
        <v>10251382</v>
      </c>
      <c r="G970" t="s">
        <v>53</v>
      </c>
      <c r="H970" t="s">
        <v>183</v>
      </c>
      <c r="I970">
        <v>55756.98828125</v>
      </c>
      <c r="J970" s="1">
        <v>45405</v>
      </c>
      <c r="K970">
        <v>16</v>
      </c>
      <c r="L970" t="s">
        <v>4</v>
      </c>
      <c r="M970" t="s">
        <v>4</v>
      </c>
      <c r="N970" t="s">
        <v>47</v>
      </c>
      <c r="O970">
        <v>202404</v>
      </c>
      <c r="P970">
        <v>90004.5</v>
      </c>
      <c r="Q970" t="s">
        <v>36</v>
      </c>
      <c r="R970" t="s">
        <v>12</v>
      </c>
      <c r="S970" t="s">
        <v>12</v>
      </c>
      <c r="T970" t="s">
        <v>12</v>
      </c>
      <c r="U970" t="s">
        <v>41</v>
      </c>
      <c r="V970">
        <v>2</v>
      </c>
      <c r="W970" t="s">
        <v>90</v>
      </c>
      <c r="X970" t="s">
        <v>12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12</v>
      </c>
      <c r="AG970" t="s">
        <v>12</v>
      </c>
      <c r="AH970" t="s">
        <v>12</v>
      </c>
      <c r="AI970" t="s">
        <v>12</v>
      </c>
      <c r="AJ970" t="s">
        <v>12</v>
      </c>
      <c r="AK970">
        <v>300000</v>
      </c>
      <c r="AL970">
        <v>0.21</v>
      </c>
      <c r="AM970">
        <v>0.19</v>
      </c>
      <c r="AN970" t="s">
        <v>12</v>
      </c>
      <c r="AO970" t="s">
        <v>12</v>
      </c>
    </row>
    <row r="971" spans="1:41" x14ac:dyDescent="0.35">
      <c r="A971">
        <v>16643095</v>
      </c>
      <c r="B971">
        <v>202502</v>
      </c>
      <c r="C971">
        <v>10471955910</v>
      </c>
      <c r="D971" t="s">
        <v>1246</v>
      </c>
      <c r="E971">
        <v>47195591</v>
      </c>
      <c r="F971">
        <v>10240178</v>
      </c>
      <c r="G971" t="s">
        <v>24</v>
      </c>
      <c r="H971" t="s">
        <v>183</v>
      </c>
      <c r="I971">
        <v>11186.94140625</v>
      </c>
      <c r="J971" s="1">
        <v>45096</v>
      </c>
      <c r="K971">
        <v>24.1</v>
      </c>
      <c r="L971" t="s">
        <v>37</v>
      </c>
      <c r="M971" t="s">
        <v>37</v>
      </c>
      <c r="N971" t="s">
        <v>12</v>
      </c>
      <c r="O971">
        <v>202306</v>
      </c>
      <c r="P971">
        <v>56002.8</v>
      </c>
      <c r="Q971" t="s">
        <v>12</v>
      </c>
      <c r="R971" t="s">
        <v>12</v>
      </c>
      <c r="S971" t="s">
        <v>12</v>
      </c>
      <c r="T971" t="s">
        <v>12</v>
      </c>
      <c r="U971" t="s">
        <v>12</v>
      </c>
      <c r="V971" t="s">
        <v>12</v>
      </c>
      <c r="W971" t="s">
        <v>12</v>
      </c>
      <c r="X971" t="s">
        <v>12</v>
      </c>
      <c r="Y971" t="s">
        <v>12</v>
      </c>
      <c r="Z971" t="s">
        <v>12</v>
      </c>
      <c r="AA971" t="s">
        <v>12</v>
      </c>
      <c r="AB971" t="s">
        <v>12</v>
      </c>
      <c r="AC971" t="s">
        <v>12</v>
      </c>
      <c r="AD971" t="s">
        <v>12</v>
      </c>
      <c r="AE971" t="s">
        <v>12</v>
      </c>
      <c r="AF971" t="s">
        <v>12</v>
      </c>
      <c r="AG971" t="s">
        <v>12</v>
      </c>
      <c r="AH971" t="s">
        <v>12</v>
      </c>
      <c r="AI971" t="s">
        <v>12</v>
      </c>
      <c r="AJ971" t="s">
        <v>12</v>
      </c>
      <c r="AK971" t="s">
        <v>12</v>
      </c>
      <c r="AL971" t="s">
        <v>12</v>
      </c>
      <c r="AM971" t="s">
        <v>12</v>
      </c>
      <c r="AN971" t="s">
        <v>12</v>
      </c>
      <c r="AO971" t="s">
        <v>12</v>
      </c>
    </row>
    <row r="972" spans="1:41" x14ac:dyDescent="0.35">
      <c r="A972">
        <v>15502743</v>
      </c>
      <c r="B972">
        <v>202510</v>
      </c>
      <c r="C972">
        <v>10464873274</v>
      </c>
      <c r="D972" t="s">
        <v>1247</v>
      </c>
      <c r="E972">
        <v>46487327</v>
      </c>
      <c r="F972">
        <v>10268387</v>
      </c>
      <c r="G972" t="s">
        <v>24</v>
      </c>
      <c r="H972" t="s">
        <v>85</v>
      </c>
      <c r="I972">
        <v>52547.53515625</v>
      </c>
      <c r="J972" s="1">
        <v>45807</v>
      </c>
      <c r="K972">
        <v>17</v>
      </c>
      <c r="L972" t="s">
        <v>37</v>
      </c>
      <c r="M972" t="s">
        <v>37</v>
      </c>
      <c r="N972" t="s">
        <v>98</v>
      </c>
      <c r="O972">
        <v>202505</v>
      </c>
      <c r="P972">
        <v>70003.5</v>
      </c>
      <c r="Q972" t="s">
        <v>85</v>
      </c>
      <c r="R972" t="s">
        <v>87</v>
      </c>
      <c r="S972" t="s">
        <v>88</v>
      </c>
      <c r="T972" t="s">
        <v>89</v>
      </c>
      <c r="U972" t="s">
        <v>41</v>
      </c>
      <c r="V972">
        <v>2</v>
      </c>
      <c r="W972" t="s">
        <v>10</v>
      </c>
      <c r="X972" t="s">
        <v>12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 t="s">
        <v>12</v>
      </c>
      <c r="AG972" t="s">
        <v>12</v>
      </c>
      <c r="AH972" t="s">
        <v>12</v>
      </c>
      <c r="AI972" t="s">
        <v>12</v>
      </c>
      <c r="AJ972" t="s">
        <v>12</v>
      </c>
      <c r="AK972">
        <v>300000</v>
      </c>
      <c r="AL972">
        <v>0.2447</v>
      </c>
      <c r="AM972">
        <v>0.22470000000000001</v>
      </c>
      <c r="AN972" t="s">
        <v>12</v>
      </c>
      <c r="AO972" t="s">
        <v>12</v>
      </c>
    </row>
    <row r="973" spans="1:41" x14ac:dyDescent="0.35">
      <c r="A973">
        <v>13966512</v>
      </c>
      <c r="B973">
        <v>202507</v>
      </c>
      <c r="C973">
        <v>10267029127</v>
      </c>
      <c r="D973" t="s">
        <v>1248</v>
      </c>
      <c r="E973">
        <v>26702912</v>
      </c>
      <c r="F973">
        <v>10265115</v>
      </c>
      <c r="G973" t="s">
        <v>100</v>
      </c>
      <c r="H973" t="s">
        <v>1249</v>
      </c>
      <c r="I973">
        <v>34705.58203125</v>
      </c>
      <c r="J973" s="1">
        <v>45688</v>
      </c>
      <c r="K973">
        <v>15</v>
      </c>
      <c r="L973" t="s">
        <v>37</v>
      </c>
      <c r="M973" t="s">
        <v>37</v>
      </c>
      <c r="N973" t="s">
        <v>102</v>
      </c>
      <c r="O973">
        <v>202501</v>
      </c>
      <c r="P973">
        <v>42573.33</v>
      </c>
      <c r="Q973" t="s">
        <v>12</v>
      </c>
      <c r="R973" t="s">
        <v>12</v>
      </c>
      <c r="S973" t="s">
        <v>12</v>
      </c>
      <c r="T973" t="s">
        <v>12</v>
      </c>
      <c r="U973" t="s">
        <v>12</v>
      </c>
      <c r="V973" t="s">
        <v>12</v>
      </c>
      <c r="W973" t="s">
        <v>12</v>
      </c>
      <c r="X973" t="s">
        <v>12</v>
      </c>
      <c r="Y973" t="s">
        <v>12</v>
      </c>
      <c r="Z973" t="s">
        <v>12</v>
      </c>
      <c r="AA973" t="s">
        <v>12</v>
      </c>
      <c r="AB973" t="s">
        <v>12</v>
      </c>
      <c r="AC973" t="s">
        <v>12</v>
      </c>
      <c r="AD973" t="s">
        <v>12</v>
      </c>
      <c r="AE973" t="s">
        <v>12</v>
      </c>
      <c r="AF973" t="s">
        <v>12</v>
      </c>
      <c r="AG973" t="s">
        <v>12</v>
      </c>
      <c r="AH973" t="s">
        <v>12</v>
      </c>
      <c r="AI973" t="s">
        <v>12</v>
      </c>
      <c r="AJ973" t="s">
        <v>12</v>
      </c>
      <c r="AK973" t="s">
        <v>12</v>
      </c>
      <c r="AL973" t="s">
        <v>12</v>
      </c>
      <c r="AM973" t="s">
        <v>12</v>
      </c>
      <c r="AN973" t="s">
        <v>12</v>
      </c>
      <c r="AO973" t="s">
        <v>12</v>
      </c>
    </row>
    <row r="974" spans="1:41" x14ac:dyDescent="0.35">
      <c r="A974">
        <v>21611007</v>
      </c>
      <c r="B974">
        <v>202510</v>
      </c>
      <c r="C974">
        <v>20610203851</v>
      </c>
      <c r="D974" t="s">
        <v>1250</v>
      </c>
      <c r="E974" t="s">
        <v>1</v>
      </c>
      <c r="F974">
        <v>10267462</v>
      </c>
      <c r="G974" t="s">
        <v>268</v>
      </c>
      <c r="H974" t="s">
        <v>85</v>
      </c>
      <c r="I974">
        <v>14676.9970703125</v>
      </c>
      <c r="J974" s="1">
        <v>45776</v>
      </c>
      <c r="K974">
        <v>26</v>
      </c>
      <c r="L974" t="s">
        <v>37</v>
      </c>
      <c r="M974" t="s">
        <v>37</v>
      </c>
      <c r="N974" t="s">
        <v>98</v>
      </c>
      <c r="O974">
        <v>202504</v>
      </c>
      <c r="P974">
        <v>50002.5</v>
      </c>
      <c r="Q974" t="s">
        <v>85</v>
      </c>
      <c r="R974" t="s">
        <v>87</v>
      </c>
      <c r="S974" t="s">
        <v>88</v>
      </c>
      <c r="T974" t="s">
        <v>89</v>
      </c>
      <c r="U974" t="s">
        <v>20</v>
      </c>
      <c r="V974">
        <v>2</v>
      </c>
      <c r="W974" t="s">
        <v>10</v>
      </c>
      <c r="X974" t="s">
        <v>12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 t="s">
        <v>12</v>
      </c>
      <c r="AG974" t="s">
        <v>12</v>
      </c>
      <c r="AH974" t="s">
        <v>12</v>
      </c>
      <c r="AI974" t="s">
        <v>12</v>
      </c>
      <c r="AJ974" t="s">
        <v>12</v>
      </c>
      <c r="AK974">
        <v>1</v>
      </c>
      <c r="AL974">
        <v>1</v>
      </c>
      <c r="AM974" t="s">
        <v>12</v>
      </c>
      <c r="AN974" t="s">
        <v>12</v>
      </c>
      <c r="AO974" t="s">
        <v>12</v>
      </c>
    </row>
    <row r="975" spans="1:41" x14ac:dyDescent="0.35">
      <c r="A975">
        <v>20369684</v>
      </c>
      <c r="B975">
        <v>202509</v>
      </c>
      <c r="C975">
        <v>20611288701</v>
      </c>
      <c r="D975" t="s">
        <v>1251</v>
      </c>
      <c r="E975" t="s">
        <v>1</v>
      </c>
      <c r="F975">
        <v>10268055</v>
      </c>
      <c r="G975" t="s">
        <v>268</v>
      </c>
      <c r="H975" t="s">
        <v>159</v>
      </c>
      <c r="I975">
        <v>59899.10546875</v>
      </c>
      <c r="J975" s="1">
        <v>45799</v>
      </c>
      <c r="K975">
        <v>19.100000000000001</v>
      </c>
      <c r="L975" t="s">
        <v>37</v>
      </c>
      <c r="M975" t="s">
        <v>37</v>
      </c>
      <c r="N975" t="s">
        <v>98</v>
      </c>
      <c r="O975">
        <v>202505</v>
      </c>
      <c r="P975">
        <v>70003.5</v>
      </c>
      <c r="Q975" t="s">
        <v>12</v>
      </c>
      <c r="R975" t="s">
        <v>12</v>
      </c>
      <c r="S975" t="s">
        <v>12</v>
      </c>
      <c r="T975" t="s">
        <v>12</v>
      </c>
      <c r="U975" t="s">
        <v>12</v>
      </c>
      <c r="V975" t="s">
        <v>12</v>
      </c>
      <c r="W975" t="s">
        <v>12</v>
      </c>
      <c r="X975" t="s">
        <v>12</v>
      </c>
      <c r="Y975" t="s">
        <v>12</v>
      </c>
      <c r="Z975" t="s">
        <v>12</v>
      </c>
      <c r="AA975" t="s">
        <v>12</v>
      </c>
      <c r="AB975" t="s">
        <v>12</v>
      </c>
      <c r="AC975" t="s">
        <v>12</v>
      </c>
      <c r="AD975" t="s">
        <v>12</v>
      </c>
      <c r="AE975" t="s">
        <v>12</v>
      </c>
      <c r="AF975" t="s">
        <v>12</v>
      </c>
      <c r="AG975" t="s">
        <v>12</v>
      </c>
      <c r="AH975" t="s">
        <v>12</v>
      </c>
      <c r="AI975" t="s">
        <v>12</v>
      </c>
      <c r="AJ975" t="s">
        <v>12</v>
      </c>
      <c r="AK975" t="s">
        <v>12</v>
      </c>
      <c r="AL975" t="s">
        <v>12</v>
      </c>
      <c r="AM975" t="s">
        <v>12</v>
      </c>
      <c r="AN975" t="s">
        <v>12</v>
      </c>
      <c r="AO975" t="s">
        <v>12</v>
      </c>
    </row>
    <row r="976" spans="1:41" x14ac:dyDescent="0.35">
      <c r="A976">
        <v>21525382</v>
      </c>
      <c r="B976">
        <v>202504</v>
      </c>
      <c r="C976">
        <v>20600233018</v>
      </c>
      <c r="D976" t="s">
        <v>1252</v>
      </c>
      <c r="E976" t="s">
        <v>1</v>
      </c>
      <c r="F976">
        <v>10266189</v>
      </c>
      <c r="G976" t="s">
        <v>100</v>
      </c>
      <c r="H976" t="s">
        <v>159</v>
      </c>
      <c r="I976">
        <v>116497.390625</v>
      </c>
      <c r="J976" s="1">
        <v>45730</v>
      </c>
      <c r="K976">
        <v>14</v>
      </c>
      <c r="L976" t="s">
        <v>37</v>
      </c>
      <c r="M976" t="s">
        <v>37</v>
      </c>
      <c r="N976" t="s">
        <v>102</v>
      </c>
      <c r="O976">
        <v>202503</v>
      </c>
      <c r="P976">
        <v>122711.1</v>
      </c>
      <c r="Q976" t="s">
        <v>12</v>
      </c>
      <c r="R976" t="s">
        <v>12</v>
      </c>
      <c r="S976" t="s">
        <v>12</v>
      </c>
      <c r="T976" t="s">
        <v>12</v>
      </c>
      <c r="U976" t="s">
        <v>12</v>
      </c>
      <c r="V976" t="s">
        <v>12</v>
      </c>
      <c r="W976" t="s">
        <v>12</v>
      </c>
      <c r="X976" t="s">
        <v>12</v>
      </c>
      <c r="Y976" t="s">
        <v>12</v>
      </c>
      <c r="Z976" t="s">
        <v>12</v>
      </c>
      <c r="AA976" t="s">
        <v>12</v>
      </c>
      <c r="AB976" t="s">
        <v>12</v>
      </c>
      <c r="AC976" t="s">
        <v>12</v>
      </c>
      <c r="AD976" t="s">
        <v>12</v>
      </c>
      <c r="AE976" t="s">
        <v>12</v>
      </c>
      <c r="AF976" t="s">
        <v>12</v>
      </c>
      <c r="AG976" t="s">
        <v>12</v>
      </c>
      <c r="AH976" t="s">
        <v>12</v>
      </c>
      <c r="AI976" t="s">
        <v>12</v>
      </c>
      <c r="AJ976" t="s">
        <v>12</v>
      </c>
      <c r="AK976" t="s">
        <v>12</v>
      </c>
      <c r="AL976" t="s">
        <v>12</v>
      </c>
      <c r="AM976" t="s">
        <v>12</v>
      </c>
      <c r="AN976" t="s">
        <v>12</v>
      </c>
      <c r="AO976" t="s">
        <v>12</v>
      </c>
    </row>
    <row r="977" spans="1:41" x14ac:dyDescent="0.35">
      <c r="A977">
        <v>16463892</v>
      </c>
      <c r="B977">
        <v>202507</v>
      </c>
      <c r="C977">
        <v>20454155387</v>
      </c>
      <c r="D977" t="s">
        <v>1253</v>
      </c>
      <c r="E977" t="s">
        <v>1</v>
      </c>
      <c r="F977">
        <v>10172714</v>
      </c>
      <c r="G977" t="s">
        <v>2</v>
      </c>
      <c r="H977" t="s">
        <v>513</v>
      </c>
      <c r="I977">
        <v>47249.0390625</v>
      </c>
      <c r="J977" s="1">
        <v>46071</v>
      </c>
      <c r="K977">
        <v>17.5</v>
      </c>
      <c r="L977" t="s">
        <v>4</v>
      </c>
      <c r="M977" t="s">
        <v>4</v>
      </c>
      <c r="N977" t="s">
        <v>5</v>
      </c>
      <c r="O977">
        <v>202602</v>
      </c>
      <c r="P977">
        <v>89004.45</v>
      </c>
      <c r="Q977" t="s">
        <v>513</v>
      </c>
      <c r="R977" t="s">
        <v>514</v>
      </c>
      <c r="S977" t="s">
        <v>111</v>
      </c>
      <c r="T977" t="s">
        <v>112</v>
      </c>
      <c r="U977" t="s">
        <v>541</v>
      </c>
      <c r="V977">
        <v>2</v>
      </c>
      <c r="W977" t="s">
        <v>10</v>
      </c>
      <c r="X977" t="s">
        <v>12</v>
      </c>
      <c r="Y977">
        <v>1</v>
      </c>
      <c r="Z977">
        <v>1</v>
      </c>
      <c r="AA977">
        <v>0</v>
      </c>
      <c r="AB977">
        <v>1</v>
      </c>
      <c r="AC977">
        <v>1</v>
      </c>
      <c r="AD977">
        <v>1</v>
      </c>
      <c r="AE977">
        <v>0</v>
      </c>
      <c r="AF977" t="s">
        <v>12</v>
      </c>
      <c r="AG977" t="s">
        <v>12</v>
      </c>
      <c r="AH977" t="s">
        <v>12</v>
      </c>
      <c r="AI977" t="s">
        <v>12</v>
      </c>
      <c r="AJ977" t="s">
        <v>12</v>
      </c>
      <c r="AK977">
        <v>89000</v>
      </c>
      <c r="AL977">
        <v>0.23</v>
      </c>
      <c r="AM977">
        <v>0.21379999999999999</v>
      </c>
      <c r="AN977" t="s">
        <v>12</v>
      </c>
      <c r="AO977" t="s">
        <v>12</v>
      </c>
    </row>
    <row r="978" spans="1:41" x14ac:dyDescent="0.35">
      <c r="A978">
        <v>22021421</v>
      </c>
      <c r="B978">
        <v>202602</v>
      </c>
      <c r="C978">
        <v>20513707089</v>
      </c>
      <c r="D978" t="s">
        <v>1254</v>
      </c>
      <c r="E978" t="s">
        <v>1</v>
      </c>
      <c r="F978">
        <v>10274039</v>
      </c>
      <c r="G978" t="s">
        <v>14</v>
      </c>
      <c r="H978" t="s">
        <v>7</v>
      </c>
      <c r="I978">
        <v>119737.3671875</v>
      </c>
      <c r="J978" s="1">
        <v>46009</v>
      </c>
      <c r="K978">
        <v>19</v>
      </c>
      <c r="L978" t="s">
        <v>4</v>
      </c>
      <c r="M978" t="s">
        <v>4</v>
      </c>
      <c r="N978" t="s">
        <v>16</v>
      </c>
      <c r="O978">
        <v>202512</v>
      </c>
      <c r="P978">
        <v>128806.39999999999</v>
      </c>
      <c r="Q978" t="s">
        <v>12</v>
      </c>
      <c r="R978" t="s">
        <v>12</v>
      </c>
      <c r="S978" t="s">
        <v>12</v>
      </c>
      <c r="T978" t="s">
        <v>12</v>
      </c>
      <c r="U978" t="s">
        <v>12</v>
      </c>
      <c r="V978" t="s">
        <v>12</v>
      </c>
      <c r="W978" t="s">
        <v>12</v>
      </c>
      <c r="X978" t="s">
        <v>12</v>
      </c>
      <c r="Y978" t="s">
        <v>12</v>
      </c>
      <c r="Z978" t="s">
        <v>12</v>
      </c>
      <c r="AA978" t="s">
        <v>12</v>
      </c>
      <c r="AB978" t="s">
        <v>12</v>
      </c>
      <c r="AC978" t="s">
        <v>12</v>
      </c>
      <c r="AD978" t="s">
        <v>12</v>
      </c>
      <c r="AE978" t="s">
        <v>12</v>
      </c>
      <c r="AF978" t="s">
        <v>12</v>
      </c>
      <c r="AG978" t="s">
        <v>12</v>
      </c>
      <c r="AH978" t="s">
        <v>12</v>
      </c>
      <c r="AI978" t="s">
        <v>12</v>
      </c>
      <c r="AJ978" t="s">
        <v>12</v>
      </c>
      <c r="AK978" t="s">
        <v>12</v>
      </c>
      <c r="AL978" t="s">
        <v>12</v>
      </c>
      <c r="AM978" t="s">
        <v>12</v>
      </c>
      <c r="AN978" t="s">
        <v>12</v>
      </c>
      <c r="AO978" t="s">
        <v>12</v>
      </c>
    </row>
    <row r="979" spans="1:41" x14ac:dyDescent="0.35">
      <c r="A979">
        <v>21456574</v>
      </c>
      <c r="B979">
        <v>202505</v>
      </c>
      <c r="C979">
        <v>20602329063</v>
      </c>
      <c r="D979" t="s">
        <v>1255</v>
      </c>
      <c r="E979" t="s">
        <v>1</v>
      </c>
      <c r="F979">
        <v>10265683</v>
      </c>
      <c r="G979" t="s">
        <v>24</v>
      </c>
      <c r="H979" t="s">
        <v>85</v>
      </c>
      <c r="I979">
        <v>90398.5390625</v>
      </c>
      <c r="J979" s="1">
        <v>45713</v>
      </c>
      <c r="K979">
        <v>20</v>
      </c>
      <c r="L979" t="s">
        <v>4</v>
      </c>
      <c r="M979" t="s">
        <v>4</v>
      </c>
      <c r="N979" t="s">
        <v>26</v>
      </c>
      <c r="O979">
        <v>202502</v>
      </c>
      <c r="P979">
        <v>100005</v>
      </c>
      <c r="Q979" t="s">
        <v>85</v>
      </c>
      <c r="R979" t="s">
        <v>461</v>
      </c>
      <c r="S979" t="s">
        <v>88</v>
      </c>
      <c r="T979" t="s">
        <v>89</v>
      </c>
      <c r="U979" t="s">
        <v>20</v>
      </c>
      <c r="V979">
        <v>2</v>
      </c>
      <c r="W979" t="s">
        <v>10</v>
      </c>
      <c r="X979" t="s">
        <v>12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12</v>
      </c>
      <c r="AG979" t="s">
        <v>12</v>
      </c>
      <c r="AH979" t="s">
        <v>12</v>
      </c>
      <c r="AI979" t="s">
        <v>12</v>
      </c>
      <c r="AJ979" t="s">
        <v>12</v>
      </c>
      <c r="AK979">
        <v>0</v>
      </c>
      <c r="AL979">
        <v>0</v>
      </c>
      <c r="AM979">
        <v>0</v>
      </c>
      <c r="AN979" t="s">
        <v>12</v>
      </c>
      <c r="AO979" t="s">
        <v>12</v>
      </c>
    </row>
    <row r="980" spans="1:41" x14ac:dyDescent="0.35">
      <c r="A980">
        <v>21514368</v>
      </c>
      <c r="B980">
        <v>202503</v>
      </c>
      <c r="C980">
        <v>20514431362</v>
      </c>
      <c r="D980" t="s">
        <v>304</v>
      </c>
      <c r="E980" t="s">
        <v>1</v>
      </c>
      <c r="F980">
        <v>10265991</v>
      </c>
      <c r="G980" t="s">
        <v>14</v>
      </c>
      <c r="H980" t="s">
        <v>159</v>
      </c>
      <c r="I980">
        <v>150007.484375</v>
      </c>
      <c r="J980" s="1">
        <v>45722</v>
      </c>
      <c r="K980">
        <v>17</v>
      </c>
      <c r="L980" t="s">
        <v>37</v>
      </c>
      <c r="M980" t="s">
        <v>37</v>
      </c>
      <c r="N980" t="s">
        <v>16</v>
      </c>
      <c r="O980">
        <v>202503</v>
      </c>
      <c r="P980">
        <v>150007.5</v>
      </c>
      <c r="Q980" t="s">
        <v>1256</v>
      </c>
      <c r="R980" t="s">
        <v>1257</v>
      </c>
      <c r="S980" t="s">
        <v>558</v>
      </c>
      <c r="T980" t="s">
        <v>559</v>
      </c>
      <c r="U980" t="s">
        <v>16</v>
      </c>
      <c r="V980">
        <v>3</v>
      </c>
      <c r="W980" t="s">
        <v>10</v>
      </c>
      <c r="X980" t="s">
        <v>12</v>
      </c>
      <c r="Y980">
        <v>1</v>
      </c>
      <c r="Z980">
        <v>1</v>
      </c>
      <c r="AA980">
        <v>1</v>
      </c>
      <c r="AB980">
        <v>1</v>
      </c>
      <c r="AC980">
        <v>1</v>
      </c>
      <c r="AD980" t="s">
        <v>12</v>
      </c>
      <c r="AE980">
        <v>150007.5</v>
      </c>
      <c r="AF980">
        <v>17</v>
      </c>
      <c r="AG980" s="1">
        <v>45722</v>
      </c>
      <c r="AH980" t="s">
        <v>16</v>
      </c>
      <c r="AI980" t="s">
        <v>37</v>
      </c>
      <c r="AJ980" t="s">
        <v>33</v>
      </c>
      <c r="AK980">
        <v>150000</v>
      </c>
      <c r="AL980">
        <v>0.20499999999999999</v>
      </c>
      <c r="AM980">
        <v>0.185</v>
      </c>
      <c r="AN980" t="s">
        <v>197</v>
      </c>
      <c r="AO980" t="s">
        <v>33</v>
      </c>
    </row>
    <row r="981" spans="1:41" x14ac:dyDescent="0.35">
      <c r="A981">
        <v>21393751</v>
      </c>
      <c r="B981">
        <v>202509</v>
      </c>
      <c r="C981">
        <v>20555725851</v>
      </c>
      <c r="D981" t="s">
        <v>1258</v>
      </c>
      <c r="E981" t="s">
        <v>1</v>
      </c>
      <c r="F981">
        <v>10264446</v>
      </c>
      <c r="G981" t="s">
        <v>24</v>
      </c>
      <c r="H981" t="s">
        <v>513</v>
      </c>
      <c r="I981">
        <v>105463.609375</v>
      </c>
      <c r="J981" s="1">
        <v>45663</v>
      </c>
      <c r="K981">
        <v>18.200001</v>
      </c>
      <c r="L981" t="s">
        <v>37</v>
      </c>
      <c r="M981" t="s">
        <v>37</v>
      </c>
      <c r="N981" t="s">
        <v>98</v>
      </c>
      <c r="O981">
        <v>202501</v>
      </c>
      <c r="P981">
        <v>150007.5</v>
      </c>
      <c r="Q981" t="s">
        <v>513</v>
      </c>
      <c r="R981" t="s">
        <v>514</v>
      </c>
      <c r="S981" t="s">
        <v>111</v>
      </c>
      <c r="T981" t="s">
        <v>112</v>
      </c>
      <c r="U981" t="s">
        <v>41</v>
      </c>
      <c r="V981">
        <v>2</v>
      </c>
      <c r="W981" t="s">
        <v>10</v>
      </c>
      <c r="X981" t="s">
        <v>11</v>
      </c>
      <c r="Y981">
        <v>1</v>
      </c>
      <c r="Z981">
        <v>1</v>
      </c>
      <c r="AA981">
        <v>0</v>
      </c>
      <c r="AB981">
        <v>0</v>
      </c>
      <c r="AC981">
        <v>1</v>
      </c>
      <c r="AD981">
        <v>1</v>
      </c>
      <c r="AE981">
        <v>0</v>
      </c>
      <c r="AF981" t="s">
        <v>12</v>
      </c>
      <c r="AG981" t="s">
        <v>12</v>
      </c>
      <c r="AH981" t="s">
        <v>12</v>
      </c>
      <c r="AI981" t="s">
        <v>12</v>
      </c>
      <c r="AJ981" t="s">
        <v>12</v>
      </c>
      <c r="AK981">
        <v>400000</v>
      </c>
      <c r="AL981">
        <v>0.18</v>
      </c>
      <c r="AM981">
        <v>0.16</v>
      </c>
      <c r="AN981" t="s">
        <v>12</v>
      </c>
      <c r="AO981" t="s">
        <v>12</v>
      </c>
    </row>
    <row r="982" spans="1:41" x14ac:dyDescent="0.35">
      <c r="A982">
        <v>12148660</v>
      </c>
      <c r="B982">
        <v>202505</v>
      </c>
      <c r="C982">
        <v>10091353364</v>
      </c>
      <c r="D982" t="s">
        <v>1259</v>
      </c>
      <c r="E982">
        <v>9135336</v>
      </c>
      <c r="F982">
        <v>10254373</v>
      </c>
      <c r="G982" t="s">
        <v>45</v>
      </c>
      <c r="H982" t="s">
        <v>1260</v>
      </c>
      <c r="I982">
        <v>52074.546875</v>
      </c>
      <c r="J982" s="1">
        <v>45442</v>
      </c>
      <c r="K982">
        <v>14.7</v>
      </c>
      <c r="L982" t="s">
        <v>37</v>
      </c>
      <c r="M982" t="s">
        <v>37</v>
      </c>
      <c r="N982" t="s">
        <v>47</v>
      </c>
      <c r="O982">
        <v>202405</v>
      </c>
      <c r="P982">
        <v>64003.199999999997</v>
      </c>
      <c r="Q982" t="s">
        <v>201</v>
      </c>
      <c r="R982" t="s">
        <v>202</v>
      </c>
      <c r="S982" t="s">
        <v>111</v>
      </c>
      <c r="T982" t="s">
        <v>112</v>
      </c>
      <c r="U982" t="s">
        <v>41</v>
      </c>
      <c r="V982">
        <v>2</v>
      </c>
      <c r="W982" t="s">
        <v>90</v>
      </c>
      <c r="X982" t="s">
        <v>12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 t="s">
        <v>12</v>
      </c>
      <c r="AG982" t="s">
        <v>12</v>
      </c>
      <c r="AH982" t="s">
        <v>12</v>
      </c>
      <c r="AI982" t="s">
        <v>12</v>
      </c>
      <c r="AJ982" t="s">
        <v>12</v>
      </c>
      <c r="AK982">
        <v>200000</v>
      </c>
      <c r="AL982">
        <v>0.23</v>
      </c>
      <c r="AM982">
        <v>0.20780000000000001</v>
      </c>
      <c r="AN982" t="s">
        <v>12</v>
      </c>
      <c r="AO982" t="s">
        <v>12</v>
      </c>
    </row>
    <row r="983" spans="1:41" x14ac:dyDescent="0.35">
      <c r="A983">
        <v>10210705</v>
      </c>
      <c r="B983">
        <v>202601</v>
      </c>
      <c r="C983">
        <v>10180579961</v>
      </c>
      <c r="D983" t="s">
        <v>1261</v>
      </c>
      <c r="E983">
        <v>18057996</v>
      </c>
      <c r="F983">
        <v>10251534</v>
      </c>
      <c r="G983" t="s">
        <v>53</v>
      </c>
      <c r="H983" t="s">
        <v>544</v>
      </c>
      <c r="I983">
        <v>29677.6015625</v>
      </c>
      <c r="J983" s="1">
        <v>45406</v>
      </c>
      <c r="K983">
        <v>15</v>
      </c>
      <c r="L983" t="s">
        <v>37</v>
      </c>
      <c r="M983" t="s">
        <v>37</v>
      </c>
      <c r="N983" t="s">
        <v>47</v>
      </c>
      <c r="O983">
        <v>202404</v>
      </c>
      <c r="P983">
        <v>72623.600000000006</v>
      </c>
      <c r="Q983" t="s">
        <v>12</v>
      </c>
      <c r="R983" t="s">
        <v>12</v>
      </c>
      <c r="S983" t="s">
        <v>12</v>
      </c>
      <c r="T983" t="s">
        <v>12</v>
      </c>
      <c r="U983" t="s">
        <v>12</v>
      </c>
      <c r="V983" t="s">
        <v>12</v>
      </c>
      <c r="W983" t="s">
        <v>12</v>
      </c>
      <c r="X983" t="s">
        <v>12</v>
      </c>
      <c r="Y983" t="s">
        <v>12</v>
      </c>
      <c r="Z983" t="s">
        <v>12</v>
      </c>
      <c r="AA983" t="s">
        <v>12</v>
      </c>
      <c r="AB983" t="s">
        <v>12</v>
      </c>
      <c r="AC983" t="s">
        <v>12</v>
      </c>
      <c r="AD983" t="s">
        <v>12</v>
      </c>
      <c r="AE983" t="s">
        <v>12</v>
      </c>
      <c r="AF983" t="s">
        <v>12</v>
      </c>
      <c r="AG983" t="s">
        <v>12</v>
      </c>
      <c r="AH983" t="s">
        <v>12</v>
      </c>
      <c r="AI983" t="s">
        <v>12</v>
      </c>
      <c r="AJ983" t="s">
        <v>12</v>
      </c>
      <c r="AK983" t="s">
        <v>12</v>
      </c>
      <c r="AL983" t="s">
        <v>12</v>
      </c>
      <c r="AM983" t="s">
        <v>12</v>
      </c>
      <c r="AN983" t="s">
        <v>12</v>
      </c>
      <c r="AO983" t="s">
        <v>12</v>
      </c>
    </row>
    <row r="984" spans="1:41" x14ac:dyDescent="0.35">
      <c r="A984">
        <v>21134769</v>
      </c>
      <c r="B984">
        <v>202602</v>
      </c>
      <c r="C984">
        <v>20559822281</v>
      </c>
      <c r="D984" t="s">
        <v>991</v>
      </c>
      <c r="E984" t="s">
        <v>1</v>
      </c>
      <c r="F984">
        <v>10273677</v>
      </c>
      <c r="G984" t="s">
        <v>92</v>
      </c>
      <c r="H984" t="s">
        <v>159</v>
      </c>
      <c r="I984">
        <v>46843.75</v>
      </c>
      <c r="J984" s="1">
        <v>45992</v>
      </c>
      <c r="K984">
        <v>19</v>
      </c>
      <c r="L984" t="s">
        <v>4</v>
      </c>
      <c r="M984" t="s">
        <v>4</v>
      </c>
      <c r="N984" t="s">
        <v>41</v>
      </c>
      <c r="O984">
        <v>202512</v>
      </c>
      <c r="P984">
        <v>50002.5</v>
      </c>
      <c r="Q984" t="s">
        <v>12</v>
      </c>
      <c r="R984" t="s">
        <v>12</v>
      </c>
      <c r="S984" t="s">
        <v>12</v>
      </c>
      <c r="T984" t="s">
        <v>12</v>
      </c>
      <c r="U984" t="s">
        <v>12</v>
      </c>
      <c r="V984" t="s">
        <v>12</v>
      </c>
      <c r="W984" t="s">
        <v>12</v>
      </c>
      <c r="X984" t="s">
        <v>12</v>
      </c>
      <c r="Y984" t="s">
        <v>12</v>
      </c>
      <c r="Z984" t="s">
        <v>12</v>
      </c>
      <c r="AA984" t="s">
        <v>12</v>
      </c>
      <c r="AB984" t="s">
        <v>12</v>
      </c>
      <c r="AC984" t="s">
        <v>12</v>
      </c>
      <c r="AD984" t="s">
        <v>12</v>
      </c>
      <c r="AE984" t="s">
        <v>12</v>
      </c>
      <c r="AF984" t="s">
        <v>12</v>
      </c>
      <c r="AG984" t="s">
        <v>12</v>
      </c>
      <c r="AH984" t="s">
        <v>12</v>
      </c>
      <c r="AI984" t="s">
        <v>12</v>
      </c>
      <c r="AJ984" t="s">
        <v>12</v>
      </c>
      <c r="AK984" t="s">
        <v>12</v>
      </c>
      <c r="AL984" t="s">
        <v>12</v>
      </c>
      <c r="AM984" t="s">
        <v>12</v>
      </c>
      <c r="AN984" t="s">
        <v>12</v>
      </c>
      <c r="AO984" t="s">
        <v>12</v>
      </c>
    </row>
    <row r="985" spans="1:41" x14ac:dyDescent="0.35">
      <c r="A985">
        <v>21932269</v>
      </c>
      <c r="B985">
        <v>202512</v>
      </c>
      <c r="C985">
        <v>20600345479</v>
      </c>
      <c r="D985" t="s">
        <v>1262</v>
      </c>
      <c r="E985" t="s">
        <v>1</v>
      </c>
      <c r="F985">
        <v>10272723</v>
      </c>
      <c r="G985" t="s">
        <v>24</v>
      </c>
      <c r="H985" t="s">
        <v>159</v>
      </c>
      <c r="I985">
        <v>95397.8828125</v>
      </c>
      <c r="J985" s="1">
        <v>45960</v>
      </c>
      <c r="K985">
        <v>16</v>
      </c>
      <c r="L985" t="s">
        <v>37</v>
      </c>
      <c r="M985" t="s">
        <v>37</v>
      </c>
      <c r="N985" t="s">
        <v>98</v>
      </c>
      <c r="O985">
        <v>202510</v>
      </c>
      <c r="P985">
        <v>100005</v>
      </c>
      <c r="Q985" t="s">
        <v>12</v>
      </c>
      <c r="R985" t="s">
        <v>12</v>
      </c>
      <c r="S985" t="s">
        <v>12</v>
      </c>
      <c r="T985" t="s">
        <v>12</v>
      </c>
      <c r="U985" t="s">
        <v>12</v>
      </c>
      <c r="V985" t="s">
        <v>12</v>
      </c>
      <c r="W985" t="s">
        <v>12</v>
      </c>
      <c r="X985" t="s">
        <v>12</v>
      </c>
      <c r="Y985" t="s">
        <v>12</v>
      </c>
      <c r="Z985" t="s">
        <v>12</v>
      </c>
      <c r="AA985" t="s">
        <v>12</v>
      </c>
      <c r="AB985" t="s">
        <v>12</v>
      </c>
      <c r="AC985" t="s">
        <v>12</v>
      </c>
      <c r="AD985" t="s">
        <v>12</v>
      </c>
      <c r="AE985" t="s">
        <v>12</v>
      </c>
      <c r="AF985" t="s">
        <v>12</v>
      </c>
      <c r="AG985" t="s">
        <v>12</v>
      </c>
      <c r="AH985" t="s">
        <v>12</v>
      </c>
      <c r="AI985" t="s">
        <v>12</v>
      </c>
      <c r="AJ985" t="s">
        <v>12</v>
      </c>
      <c r="AK985" t="s">
        <v>12</v>
      </c>
      <c r="AL985" t="s">
        <v>12</v>
      </c>
      <c r="AM985" t="s">
        <v>12</v>
      </c>
      <c r="AN985" t="s">
        <v>12</v>
      </c>
      <c r="AO985" t="s">
        <v>12</v>
      </c>
    </row>
    <row r="986" spans="1:41" x14ac:dyDescent="0.35">
      <c r="A986">
        <v>16663629</v>
      </c>
      <c r="B986">
        <v>202602</v>
      </c>
      <c r="C986">
        <v>20545288843</v>
      </c>
      <c r="D986" t="s">
        <v>1263</v>
      </c>
      <c r="E986" t="s">
        <v>1</v>
      </c>
      <c r="F986">
        <v>10262513</v>
      </c>
      <c r="G986" t="s">
        <v>53</v>
      </c>
      <c r="H986" t="s">
        <v>31</v>
      </c>
      <c r="I986">
        <v>59436.4765625</v>
      </c>
      <c r="J986" s="1">
        <v>45608</v>
      </c>
      <c r="K986">
        <v>16</v>
      </c>
      <c r="L986" t="s">
        <v>4</v>
      </c>
      <c r="M986" t="s">
        <v>4</v>
      </c>
      <c r="N986" t="s">
        <v>47</v>
      </c>
      <c r="O986">
        <v>202411</v>
      </c>
      <c r="P986">
        <v>90004.5</v>
      </c>
      <c r="Q986" t="s">
        <v>79</v>
      </c>
      <c r="R986" t="s">
        <v>80</v>
      </c>
      <c r="S986" t="s">
        <v>31</v>
      </c>
      <c r="T986" t="s">
        <v>32</v>
      </c>
      <c r="U986" t="s">
        <v>70</v>
      </c>
      <c r="V986">
        <v>1</v>
      </c>
      <c r="W986" t="s">
        <v>10</v>
      </c>
      <c r="X986" t="s">
        <v>51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 t="s">
        <v>12</v>
      </c>
      <c r="AG986" t="s">
        <v>12</v>
      </c>
      <c r="AH986" t="s">
        <v>12</v>
      </c>
      <c r="AI986" t="s">
        <v>12</v>
      </c>
      <c r="AJ986" t="s">
        <v>12</v>
      </c>
      <c r="AK986">
        <v>124000</v>
      </c>
      <c r="AL986">
        <v>0.19</v>
      </c>
      <c r="AM986">
        <v>0.17</v>
      </c>
      <c r="AN986" t="s">
        <v>12</v>
      </c>
      <c r="AO986" t="s">
        <v>12</v>
      </c>
    </row>
    <row r="987" spans="1:41" x14ac:dyDescent="0.35">
      <c r="A987">
        <v>15215762</v>
      </c>
      <c r="B987">
        <v>202512</v>
      </c>
      <c r="C987">
        <v>20515479261</v>
      </c>
      <c r="D987" t="s">
        <v>887</v>
      </c>
      <c r="E987" t="s">
        <v>1</v>
      </c>
      <c r="F987">
        <v>10272819</v>
      </c>
      <c r="G987" t="s">
        <v>92</v>
      </c>
      <c r="H987" t="s">
        <v>105</v>
      </c>
      <c r="I987">
        <v>55393.05078125</v>
      </c>
      <c r="J987" s="1">
        <v>45961</v>
      </c>
      <c r="K987">
        <v>18</v>
      </c>
      <c r="L987" t="s">
        <v>86</v>
      </c>
      <c r="M987" t="s">
        <v>86</v>
      </c>
      <c r="N987" t="s">
        <v>41</v>
      </c>
      <c r="O987">
        <v>202510</v>
      </c>
      <c r="P987">
        <v>60003</v>
      </c>
      <c r="Q987" t="s">
        <v>105</v>
      </c>
      <c r="R987" t="s">
        <v>106</v>
      </c>
      <c r="S987" t="s">
        <v>88</v>
      </c>
      <c r="T987" t="s">
        <v>89</v>
      </c>
      <c r="U987" t="s">
        <v>9</v>
      </c>
      <c r="V987">
        <v>2</v>
      </c>
      <c r="W987" t="s">
        <v>10</v>
      </c>
      <c r="X987" t="s">
        <v>22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 t="s">
        <v>12</v>
      </c>
      <c r="AG987" t="s">
        <v>12</v>
      </c>
      <c r="AH987" t="s">
        <v>12</v>
      </c>
      <c r="AI987" t="s">
        <v>12</v>
      </c>
      <c r="AJ987" t="s">
        <v>12</v>
      </c>
      <c r="AK987">
        <v>0</v>
      </c>
      <c r="AL987">
        <v>0</v>
      </c>
      <c r="AM987">
        <v>0</v>
      </c>
      <c r="AN987" t="s">
        <v>12</v>
      </c>
      <c r="AO987" t="s">
        <v>12</v>
      </c>
    </row>
    <row r="988" spans="1:41" x14ac:dyDescent="0.35">
      <c r="A988">
        <v>18902481</v>
      </c>
      <c r="B988">
        <v>202511</v>
      </c>
      <c r="C988">
        <v>20552831765</v>
      </c>
      <c r="D988" t="s">
        <v>359</v>
      </c>
      <c r="E988" t="s">
        <v>1</v>
      </c>
      <c r="F988">
        <v>10271616</v>
      </c>
      <c r="G988" t="s">
        <v>92</v>
      </c>
      <c r="H988" t="s">
        <v>120</v>
      </c>
      <c r="I988">
        <v>93166.3125</v>
      </c>
      <c r="J988" s="1">
        <v>45923</v>
      </c>
      <c r="K988">
        <v>20</v>
      </c>
      <c r="L988" t="s">
        <v>4</v>
      </c>
      <c r="M988" t="s">
        <v>4</v>
      </c>
      <c r="N988" t="s">
        <v>41</v>
      </c>
      <c r="O988">
        <v>202509</v>
      </c>
      <c r="P988">
        <v>100005</v>
      </c>
      <c r="Q988" t="s">
        <v>120</v>
      </c>
      <c r="R988" t="s">
        <v>121</v>
      </c>
      <c r="S988" t="s">
        <v>18</v>
      </c>
      <c r="T988" t="s">
        <v>122</v>
      </c>
      <c r="U988" t="s">
        <v>20</v>
      </c>
      <c r="V988">
        <v>1</v>
      </c>
      <c r="W988" t="s">
        <v>10</v>
      </c>
      <c r="X988" t="s">
        <v>51</v>
      </c>
      <c r="Y988">
        <v>1</v>
      </c>
      <c r="Z988">
        <v>1</v>
      </c>
      <c r="AA988">
        <v>0</v>
      </c>
      <c r="AB988">
        <v>1</v>
      </c>
      <c r="AC988">
        <v>1</v>
      </c>
      <c r="AD988">
        <v>1</v>
      </c>
      <c r="AE988">
        <v>0</v>
      </c>
      <c r="AF988" t="s">
        <v>12</v>
      </c>
      <c r="AG988" t="s">
        <v>12</v>
      </c>
      <c r="AH988" t="s">
        <v>12</v>
      </c>
      <c r="AI988" t="s">
        <v>12</v>
      </c>
      <c r="AJ988" t="s">
        <v>12</v>
      </c>
      <c r="AK988">
        <v>1</v>
      </c>
      <c r="AL988">
        <v>1</v>
      </c>
      <c r="AM988" t="s">
        <v>12</v>
      </c>
      <c r="AN988" t="s">
        <v>12</v>
      </c>
      <c r="AO988" t="s">
        <v>12</v>
      </c>
    </row>
    <row r="989" spans="1:41" x14ac:dyDescent="0.35">
      <c r="A989">
        <v>14406764</v>
      </c>
      <c r="B989">
        <v>202512</v>
      </c>
      <c r="C989">
        <v>20600925611</v>
      </c>
      <c r="D989" t="s">
        <v>1264</v>
      </c>
      <c r="E989" t="s">
        <v>1</v>
      </c>
      <c r="F989">
        <v>10269960</v>
      </c>
      <c r="G989" t="s">
        <v>28</v>
      </c>
      <c r="H989" t="s">
        <v>54</v>
      </c>
      <c r="I989">
        <v>301651</v>
      </c>
      <c r="J989" s="1">
        <v>45863</v>
      </c>
      <c r="K989">
        <v>15</v>
      </c>
      <c r="L989" t="s">
        <v>4</v>
      </c>
      <c r="M989" t="s">
        <v>4</v>
      </c>
      <c r="N989" t="s">
        <v>26</v>
      </c>
      <c r="O989">
        <v>202507</v>
      </c>
      <c r="P989">
        <v>350017.5</v>
      </c>
      <c r="Q989" t="s">
        <v>54</v>
      </c>
      <c r="R989" t="s">
        <v>55</v>
      </c>
      <c r="S989" t="s">
        <v>31</v>
      </c>
      <c r="T989" t="s">
        <v>32</v>
      </c>
      <c r="U989" t="s">
        <v>20</v>
      </c>
      <c r="V989">
        <v>1</v>
      </c>
      <c r="W989" t="s">
        <v>10</v>
      </c>
      <c r="X989" t="s">
        <v>51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 t="s">
        <v>12</v>
      </c>
      <c r="AG989" t="s">
        <v>12</v>
      </c>
      <c r="AH989" t="s">
        <v>12</v>
      </c>
      <c r="AI989" t="s">
        <v>12</v>
      </c>
      <c r="AJ989" t="s">
        <v>12</v>
      </c>
      <c r="AK989">
        <v>1</v>
      </c>
      <c r="AL989">
        <v>1</v>
      </c>
      <c r="AM989" t="s">
        <v>12</v>
      </c>
      <c r="AN989" t="s">
        <v>12</v>
      </c>
      <c r="AO989" t="s">
        <v>12</v>
      </c>
    </row>
    <row r="990" spans="1:41" x14ac:dyDescent="0.35">
      <c r="A990">
        <v>21468107</v>
      </c>
      <c r="B990">
        <v>202512</v>
      </c>
      <c r="C990">
        <v>10430839875</v>
      </c>
      <c r="D990" t="s">
        <v>1265</v>
      </c>
      <c r="E990">
        <v>43083987</v>
      </c>
      <c r="F990">
        <v>10265157</v>
      </c>
      <c r="G990" t="s">
        <v>14</v>
      </c>
      <c r="H990" t="s">
        <v>153</v>
      </c>
      <c r="I990">
        <v>28663.251953125</v>
      </c>
      <c r="J990" s="1">
        <v>45694</v>
      </c>
      <c r="K990">
        <v>18.5</v>
      </c>
      <c r="L990" t="s">
        <v>37</v>
      </c>
      <c r="M990" t="s">
        <v>37</v>
      </c>
      <c r="N990" t="s">
        <v>16</v>
      </c>
      <c r="O990">
        <v>202502</v>
      </c>
      <c r="P990">
        <v>60003</v>
      </c>
      <c r="Q990" t="s">
        <v>153</v>
      </c>
      <c r="R990" t="s">
        <v>154</v>
      </c>
      <c r="S990" t="s">
        <v>88</v>
      </c>
      <c r="T990" t="s">
        <v>89</v>
      </c>
      <c r="U990" t="s">
        <v>70</v>
      </c>
      <c r="V990">
        <v>2</v>
      </c>
      <c r="W990" t="s">
        <v>10</v>
      </c>
      <c r="X990" t="s">
        <v>59</v>
      </c>
      <c r="Y990">
        <v>1</v>
      </c>
      <c r="Z990">
        <v>1</v>
      </c>
      <c r="AA990">
        <v>0</v>
      </c>
      <c r="AB990">
        <v>0</v>
      </c>
      <c r="AC990">
        <v>1</v>
      </c>
      <c r="AD990">
        <v>1</v>
      </c>
      <c r="AE990">
        <v>0</v>
      </c>
      <c r="AF990" t="s">
        <v>12</v>
      </c>
      <c r="AG990" t="s">
        <v>12</v>
      </c>
      <c r="AH990" t="s">
        <v>12</v>
      </c>
      <c r="AI990" t="s">
        <v>12</v>
      </c>
      <c r="AJ990" t="s">
        <v>12</v>
      </c>
      <c r="AK990">
        <v>45000</v>
      </c>
      <c r="AL990">
        <v>0.21920000000000001</v>
      </c>
      <c r="AM990">
        <v>0.19919999999999999</v>
      </c>
      <c r="AN990" t="s">
        <v>12</v>
      </c>
      <c r="AO990" t="s">
        <v>12</v>
      </c>
    </row>
    <row r="991" spans="1:41" x14ac:dyDescent="0.35">
      <c r="A991">
        <v>11189411</v>
      </c>
      <c r="B991">
        <v>202510</v>
      </c>
      <c r="C991">
        <v>10215258926</v>
      </c>
      <c r="D991" t="s">
        <v>881</v>
      </c>
      <c r="E991">
        <v>21525892</v>
      </c>
      <c r="F991">
        <v>10269213</v>
      </c>
      <c r="G991" t="s">
        <v>209</v>
      </c>
      <c r="H991" t="s">
        <v>124</v>
      </c>
      <c r="I991">
        <v>96961.859375</v>
      </c>
      <c r="J991" s="1">
        <v>45838</v>
      </c>
      <c r="K991">
        <v>25.99</v>
      </c>
      <c r="L991" t="s">
        <v>86</v>
      </c>
      <c r="M991" t="s">
        <v>86</v>
      </c>
      <c r="N991" t="s">
        <v>209</v>
      </c>
      <c r="O991">
        <v>202506</v>
      </c>
      <c r="P991">
        <v>120006</v>
      </c>
      <c r="Q991" t="s">
        <v>124</v>
      </c>
      <c r="R991" t="s">
        <v>125</v>
      </c>
      <c r="S991" t="s">
        <v>88</v>
      </c>
      <c r="T991" t="s">
        <v>89</v>
      </c>
      <c r="U991" t="s">
        <v>20</v>
      </c>
      <c r="V991">
        <v>2</v>
      </c>
      <c r="W991" t="s">
        <v>10</v>
      </c>
      <c r="X991" t="s">
        <v>12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 t="s">
        <v>12</v>
      </c>
      <c r="AG991" t="s">
        <v>12</v>
      </c>
      <c r="AH991" t="s">
        <v>12</v>
      </c>
      <c r="AI991" t="s">
        <v>12</v>
      </c>
      <c r="AJ991" t="s">
        <v>12</v>
      </c>
      <c r="AK991">
        <v>1</v>
      </c>
      <c r="AL991">
        <v>1</v>
      </c>
      <c r="AM991" t="s">
        <v>12</v>
      </c>
      <c r="AN991" t="s">
        <v>12</v>
      </c>
      <c r="AO991" t="s">
        <v>12</v>
      </c>
    </row>
    <row r="992" spans="1:41" x14ac:dyDescent="0.35">
      <c r="A992">
        <v>21597287</v>
      </c>
      <c r="B992">
        <v>202510</v>
      </c>
      <c r="C992">
        <v>20541247832</v>
      </c>
      <c r="D992" t="s">
        <v>1266</v>
      </c>
      <c r="E992" t="s">
        <v>1</v>
      </c>
      <c r="F992">
        <v>10267221</v>
      </c>
      <c r="G992" t="s">
        <v>100</v>
      </c>
      <c r="H992" t="s">
        <v>46</v>
      </c>
      <c r="I992">
        <v>74878.8671875</v>
      </c>
      <c r="J992" s="1">
        <v>45769</v>
      </c>
      <c r="K992">
        <v>14</v>
      </c>
      <c r="L992" t="s">
        <v>37</v>
      </c>
      <c r="M992" t="s">
        <v>37</v>
      </c>
      <c r="N992" t="s">
        <v>102</v>
      </c>
      <c r="O992">
        <v>202504</v>
      </c>
      <c r="P992">
        <v>215910.75</v>
      </c>
      <c r="Q992" t="s">
        <v>46</v>
      </c>
      <c r="R992" t="s">
        <v>48</v>
      </c>
      <c r="S992" t="s">
        <v>49</v>
      </c>
      <c r="T992" t="s">
        <v>50</v>
      </c>
      <c r="U992" t="s">
        <v>41</v>
      </c>
      <c r="V992">
        <v>1</v>
      </c>
      <c r="W992" t="s">
        <v>10</v>
      </c>
      <c r="X992" t="s">
        <v>12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 t="s">
        <v>12</v>
      </c>
      <c r="AG992" t="s">
        <v>12</v>
      </c>
      <c r="AH992" t="s">
        <v>12</v>
      </c>
      <c r="AI992" t="s">
        <v>12</v>
      </c>
      <c r="AJ992" t="s">
        <v>12</v>
      </c>
      <c r="AK992">
        <v>130000</v>
      </c>
      <c r="AL992">
        <v>0.26169999999999999</v>
      </c>
      <c r="AM992">
        <v>0.2417</v>
      </c>
      <c r="AN992" t="s">
        <v>12</v>
      </c>
      <c r="AO992" t="s">
        <v>12</v>
      </c>
    </row>
    <row r="993" spans="1:41" x14ac:dyDescent="0.35">
      <c r="A993">
        <v>9757042</v>
      </c>
      <c r="B993">
        <v>202508</v>
      </c>
      <c r="C993">
        <v>10083195628</v>
      </c>
      <c r="D993" t="s">
        <v>1022</v>
      </c>
      <c r="E993">
        <v>8319562</v>
      </c>
      <c r="F993">
        <v>10265783</v>
      </c>
      <c r="G993" t="s">
        <v>92</v>
      </c>
      <c r="H993" t="s">
        <v>129</v>
      </c>
      <c r="I993">
        <v>53194.25390625</v>
      </c>
      <c r="J993" s="1">
        <v>45715</v>
      </c>
      <c r="K993">
        <v>26.58</v>
      </c>
      <c r="L993" t="s">
        <v>4</v>
      </c>
      <c r="M993" t="s">
        <v>4</v>
      </c>
      <c r="N993" t="s">
        <v>41</v>
      </c>
      <c r="O993">
        <v>202502</v>
      </c>
      <c r="P993">
        <v>70003.5</v>
      </c>
      <c r="Q993" t="s">
        <v>129</v>
      </c>
      <c r="R993" t="s">
        <v>130</v>
      </c>
      <c r="S993" t="s">
        <v>49</v>
      </c>
      <c r="T993" t="s">
        <v>50</v>
      </c>
      <c r="U993" t="s">
        <v>41</v>
      </c>
      <c r="V993">
        <v>1</v>
      </c>
      <c r="W993" t="s">
        <v>647</v>
      </c>
      <c r="X993" t="s">
        <v>12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50002.5</v>
      </c>
      <c r="AF993">
        <v>23.33</v>
      </c>
      <c r="AG993" s="1">
        <v>45874</v>
      </c>
      <c r="AH993" t="s">
        <v>41</v>
      </c>
      <c r="AI993" t="s">
        <v>4</v>
      </c>
      <c r="AJ993" t="s">
        <v>33</v>
      </c>
      <c r="AK993">
        <v>50000</v>
      </c>
      <c r="AL993">
        <v>0.25</v>
      </c>
      <c r="AM993">
        <v>0.23330000000000001</v>
      </c>
      <c r="AN993" t="s">
        <v>12</v>
      </c>
      <c r="AO993" t="s">
        <v>12</v>
      </c>
    </row>
    <row r="994" spans="1:41" x14ac:dyDescent="0.35">
      <c r="A994">
        <v>21529353</v>
      </c>
      <c r="B994">
        <v>202512</v>
      </c>
      <c r="C994">
        <v>20568032382</v>
      </c>
      <c r="D994" t="s">
        <v>1267</v>
      </c>
      <c r="E994" t="s">
        <v>1</v>
      </c>
      <c r="F994">
        <v>10266198</v>
      </c>
      <c r="G994" t="s">
        <v>100</v>
      </c>
      <c r="H994" t="s">
        <v>114</v>
      </c>
      <c r="I994">
        <v>16806.22265625</v>
      </c>
      <c r="J994" s="1">
        <v>45730</v>
      </c>
      <c r="K994">
        <v>14</v>
      </c>
      <c r="L994" t="s">
        <v>37</v>
      </c>
      <c r="M994" t="s">
        <v>37</v>
      </c>
      <c r="N994" t="s">
        <v>102</v>
      </c>
      <c r="O994">
        <v>202503</v>
      </c>
      <c r="P994">
        <v>64003.199999999997</v>
      </c>
      <c r="Q994" t="s">
        <v>114</v>
      </c>
      <c r="R994" t="s">
        <v>115</v>
      </c>
      <c r="S994" t="s">
        <v>111</v>
      </c>
      <c r="T994" t="s">
        <v>112</v>
      </c>
      <c r="U994" t="s">
        <v>41</v>
      </c>
      <c r="V994">
        <v>2</v>
      </c>
      <c r="W994" t="s">
        <v>10</v>
      </c>
      <c r="X994" t="s">
        <v>51</v>
      </c>
      <c r="Y994">
        <v>1</v>
      </c>
      <c r="Z994">
        <v>1</v>
      </c>
      <c r="AA994">
        <v>0</v>
      </c>
      <c r="AB994">
        <v>1</v>
      </c>
      <c r="AC994">
        <v>1</v>
      </c>
      <c r="AD994">
        <v>1</v>
      </c>
      <c r="AE994">
        <v>0</v>
      </c>
      <c r="AF994" t="s">
        <v>12</v>
      </c>
      <c r="AG994" t="s">
        <v>12</v>
      </c>
      <c r="AH994" t="s">
        <v>12</v>
      </c>
      <c r="AI994" t="s">
        <v>12</v>
      </c>
      <c r="AJ994" t="s">
        <v>12</v>
      </c>
      <c r="AK994">
        <v>250000</v>
      </c>
      <c r="AL994">
        <v>0.21</v>
      </c>
      <c r="AM994">
        <v>0.19</v>
      </c>
      <c r="AN994" t="s">
        <v>12</v>
      </c>
      <c r="AO994" t="s">
        <v>12</v>
      </c>
    </row>
    <row r="995" spans="1:41" x14ac:dyDescent="0.35">
      <c r="A995">
        <v>18848334</v>
      </c>
      <c r="B995">
        <v>202510</v>
      </c>
      <c r="C995">
        <v>20603865198</v>
      </c>
      <c r="D995" t="s">
        <v>1268</v>
      </c>
      <c r="E995" t="s">
        <v>1</v>
      </c>
      <c r="F995">
        <v>10269132</v>
      </c>
      <c r="G995" t="s">
        <v>24</v>
      </c>
      <c r="H995" t="s">
        <v>124</v>
      </c>
      <c r="I995">
        <v>85419.125</v>
      </c>
      <c r="J995" s="1">
        <v>45835</v>
      </c>
      <c r="K995">
        <v>18</v>
      </c>
      <c r="L995" t="s">
        <v>37</v>
      </c>
      <c r="M995" t="s">
        <v>75</v>
      </c>
      <c r="N995" t="s">
        <v>98</v>
      </c>
      <c r="O995">
        <v>202506</v>
      </c>
      <c r="P995">
        <v>100005</v>
      </c>
      <c r="Q995" t="s">
        <v>124</v>
      </c>
      <c r="R995" t="s">
        <v>125</v>
      </c>
      <c r="S995" t="s">
        <v>88</v>
      </c>
      <c r="T995" t="s">
        <v>89</v>
      </c>
      <c r="U995" t="s">
        <v>41</v>
      </c>
      <c r="V995">
        <v>2</v>
      </c>
      <c r="W995" t="s">
        <v>10</v>
      </c>
      <c r="X995" t="s">
        <v>12</v>
      </c>
      <c r="Y995">
        <v>1</v>
      </c>
      <c r="Z995">
        <v>1</v>
      </c>
      <c r="AA995">
        <v>0</v>
      </c>
      <c r="AB995">
        <v>1</v>
      </c>
      <c r="AC995">
        <v>1</v>
      </c>
      <c r="AD995">
        <v>1</v>
      </c>
      <c r="AE995">
        <v>0</v>
      </c>
      <c r="AF995" t="s">
        <v>12</v>
      </c>
      <c r="AG995" t="s">
        <v>12</v>
      </c>
      <c r="AH995" t="s">
        <v>12</v>
      </c>
      <c r="AI995" t="s">
        <v>12</v>
      </c>
      <c r="AJ995" t="s">
        <v>12</v>
      </c>
      <c r="AK995">
        <v>100000</v>
      </c>
      <c r="AL995">
        <v>0.26169999999999999</v>
      </c>
      <c r="AM995">
        <v>0.2417</v>
      </c>
      <c r="AN995" t="s">
        <v>12</v>
      </c>
      <c r="AO995" t="s">
        <v>12</v>
      </c>
    </row>
    <row r="996" spans="1:41" x14ac:dyDescent="0.35">
      <c r="A996">
        <v>19167097</v>
      </c>
      <c r="B996">
        <v>202509</v>
      </c>
      <c r="C996">
        <v>10703657708</v>
      </c>
      <c r="D996" t="s">
        <v>1269</v>
      </c>
      <c r="E996">
        <v>70365770</v>
      </c>
      <c r="F996">
        <v>10267686</v>
      </c>
      <c r="G996" t="s">
        <v>24</v>
      </c>
      <c r="H996" t="s">
        <v>1270</v>
      </c>
      <c r="I996">
        <v>56107.9921875</v>
      </c>
      <c r="J996" s="1">
        <v>45786</v>
      </c>
      <c r="K996">
        <v>19.600000000000001</v>
      </c>
      <c r="L996" t="s">
        <v>37</v>
      </c>
      <c r="M996" t="s">
        <v>37</v>
      </c>
      <c r="N996" t="s">
        <v>98</v>
      </c>
      <c r="O996">
        <v>202505</v>
      </c>
      <c r="P996">
        <v>70003.5</v>
      </c>
      <c r="Q996" t="s">
        <v>12</v>
      </c>
      <c r="R996" t="s">
        <v>12</v>
      </c>
      <c r="S996" t="s">
        <v>12</v>
      </c>
      <c r="T996" t="s">
        <v>12</v>
      </c>
      <c r="U996" t="s">
        <v>12</v>
      </c>
      <c r="V996" t="s">
        <v>12</v>
      </c>
      <c r="W996" t="s">
        <v>12</v>
      </c>
      <c r="X996" t="s">
        <v>12</v>
      </c>
      <c r="Y996" t="s">
        <v>12</v>
      </c>
      <c r="Z996" t="s">
        <v>12</v>
      </c>
      <c r="AA996" t="s">
        <v>12</v>
      </c>
      <c r="AB996" t="s">
        <v>12</v>
      </c>
      <c r="AC996" t="s">
        <v>12</v>
      </c>
      <c r="AD996" t="s">
        <v>12</v>
      </c>
      <c r="AE996" t="s">
        <v>12</v>
      </c>
      <c r="AF996" t="s">
        <v>12</v>
      </c>
      <c r="AG996" t="s">
        <v>12</v>
      </c>
      <c r="AH996" t="s">
        <v>12</v>
      </c>
      <c r="AI996" t="s">
        <v>12</v>
      </c>
      <c r="AJ996" t="s">
        <v>12</v>
      </c>
      <c r="AK996" t="s">
        <v>12</v>
      </c>
      <c r="AL996" t="s">
        <v>12</v>
      </c>
      <c r="AM996" t="s">
        <v>12</v>
      </c>
      <c r="AN996" t="s">
        <v>12</v>
      </c>
      <c r="AO996" t="s">
        <v>12</v>
      </c>
    </row>
    <row r="997" spans="1:41" x14ac:dyDescent="0.35">
      <c r="A997">
        <v>18161901</v>
      </c>
      <c r="B997">
        <v>202505</v>
      </c>
      <c r="C997">
        <v>10761269581</v>
      </c>
      <c r="D997" t="s">
        <v>1271</v>
      </c>
      <c r="E997">
        <v>76126958</v>
      </c>
      <c r="F997">
        <v>10264466</v>
      </c>
      <c r="G997" t="s">
        <v>24</v>
      </c>
      <c r="H997" t="s">
        <v>183</v>
      </c>
      <c r="I997">
        <v>33596.703125</v>
      </c>
      <c r="J997" s="1">
        <v>45665</v>
      </c>
      <c r="K997">
        <v>19.200001</v>
      </c>
      <c r="L997" t="s">
        <v>37</v>
      </c>
      <c r="M997" t="s">
        <v>37</v>
      </c>
      <c r="N997" t="s">
        <v>98</v>
      </c>
      <c r="O997">
        <v>202501</v>
      </c>
      <c r="P997">
        <v>42002.1</v>
      </c>
      <c r="Q997" t="s">
        <v>12</v>
      </c>
      <c r="R997" t="s">
        <v>12</v>
      </c>
      <c r="S997" t="s">
        <v>12</v>
      </c>
      <c r="T997" t="s">
        <v>12</v>
      </c>
      <c r="U997" t="s">
        <v>12</v>
      </c>
      <c r="V997" t="s">
        <v>12</v>
      </c>
      <c r="W997" t="s">
        <v>12</v>
      </c>
      <c r="X997" t="s">
        <v>12</v>
      </c>
      <c r="Y997" t="s">
        <v>12</v>
      </c>
      <c r="Z997" t="s">
        <v>12</v>
      </c>
      <c r="AA997" t="s">
        <v>12</v>
      </c>
      <c r="AB997" t="s">
        <v>12</v>
      </c>
      <c r="AC997" t="s">
        <v>12</v>
      </c>
      <c r="AD997" t="s">
        <v>12</v>
      </c>
      <c r="AE997" t="s">
        <v>12</v>
      </c>
      <c r="AF997" t="s">
        <v>12</v>
      </c>
      <c r="AG997" t="s">
        <v>12</v>
      </c>
      <c r="AH997" t="s">
        <v>12</v>
      </c>
      <c r="AI997" t="s">
        <v>12</v>
      </c>
      <c r="AJ997" t="s">
        <v>12</v>
      </c>
      <c r="AK997" t="s">
        <v>12</v>
      </c>
      <c r="AL997" t="s">
        <v>12</v>
      </c>
      <c r="AM997" t="s">
        <v>12</v>
      </c>
      <c r="AN997" t="s">
        <v>12</v>
      </c>
      <c r="AO997" t="s">
        <v>12</v>
      </c>
    </row>
    <row r="998" spans="1:41" x14ac:dyDescent="0.35">
      <c r="A998">
        <v>21411127</v>
      </c>
      <c r="B998">
        <v>202508</v>
      </c>
      <c r="C998">
        <v>20565459563</v>
      </c>
      <c r="D998" t="s">
        <v>1272</v>
      </c>
      <c r="E998" t="s">
        <v>1</v>
      </c>
      <c r="F998">
        <v>10264474</v>
      </c>
      <c r="G998" t="s">
        <v>24</v>
      </c>
      <c r="H998" t="s">
        <v>105</v>
      </c>
      <c r="I998">
        <v>50503.1328125</v>
      </c>
      <c r="J998" s="1">
        <v>45665</v>
      </c>
      <c r="K998">
        <v>24.200001</v>
      </c>
      <c r="L998" t="s">
        <v>37</v>
      </c>
      <c r="M998" t="s">
        <v>37</v>
      </c>
      <c r="N998" t="s">
        <v>98</v>
      </c>
      <c r="O998">
        <v>202501</v>
      </c>
      <c r="P998">
        <v>72003.600000000006</v>
      </c>
      <c r="Q998" t="s">
        <v>105</v>
      </c>
      <c r="R998" t="s">
        <v>106</v>
      </c>
      <c r="S998" t="s">
        <v>88</v>
      </c>
      <c r="T998" t="s">
        <v>89</v>
      </c>
      <c r="U998" t="s">
        <v>20</v>
      </c>
      <c r="V998">
        <v>2</v>
      </c>
      <c r="W998" t="s">
        <v>10</v>
      </c>
      <c r="X998" t="s">
        <v>12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12</v>
      </c>
      <c r="AG998" t="s">
        <v>12</v>
      </c>
      <c r="AH998" t="s">
        <v>12</v>
      </c>
      <c r="AI998" t="s">
        <v>12</v>
      </c>
      <c r="AJ998" t="s">
        <v>12</v>
      </c>
      <c r="AK998">
        <v>1</v>
      </c>
      <c r="AL998">
        <v>0.24329999999999999</v>
      </c>
      <c r="AM998" t="s">
        <v>12</v>
      </c>
      <c r="AN998" t="s">
        <v>12</v>
      </c>
      <c r="AO998" t="s">
        <v>12</v>
      </c>
    </row>
    <row r="999" spans="1:41" x14ac:dyDescent="0.35">
      <c r="A999">
        <v>13439247</v>
      </c>
      <c r="B999">
        <v>202510</v>
      </c>
      <c r="C999">
        <v>20524748178</v>
      </c>
      <c r="D999" t="s">
        <v>1273</v>
      </c>
      <c r="E999" t="s">
        <v>1</v>
      </c>
      <c r="F999">
        <v>10155241</v>
      </c>
      <c r="G999" t="s">
        <v>2</v>
      </c>
      <c r="H999" t="s">
        <v>3</v>
      </c>
      <c r="I999">
        <v>118591.3203125</v>
      </c>
      <c r="J999" s="1">
        <v>45686</v>
      </c>
      <c r="K999">
        <v>15</v>
      </c>
      <c r="L999" t="s">
        <v>4</v>
      </c>
      <c r="M999" t="s">
        <v>4</v>
      </c>
      <c r="N999" t="s">
        <v>5</v>
      </c>
      <c r="O999">
        <v>202501</v>
      </c>
      <c r="P999">
        <v>180009</v>
      </c>
      <c r="Q999" t="s">
        <v>3</v>
      </c>
      <c r="R999" t="s">
        <v>6</v>
      </c>
      <c r="S999" t="s">
        <v>7</v>
      </c>
      <c r="T999" t="s">
        <v>8</v>
      </c>
      <c r="U999" t="s">
        <v>41</v>
      </c>
      <c r="V999">
        <v>1</v>
      </c>
      <c r="W999" t="s">
        <v>10</v>
      </c>
      <c r="X999" t="s">
        <v>12</v>
      </c>
      <c r="Y999">
        <v>1</v>
      </c>
      <c r="Z999">
        <v>1</v>
      </c>
      <c r="AA999">
        <v>0</v>
      </c>
      <c r="AB999">
        <v>0</v>
      </c>
      <c r="AC999">
        <v>0</v>
      </c>
      <c r="AD999">
        <v>1</v>
      </c>
      <c r="AE999">
        <v>0</v>
      </c>
      <c r="AF999" t="s">
        <v>12</v>
      </c>
      <c r="AG999" t="s">
        <v>12</v>
      </c>
      <c r="AH999" t="s">
        <v>12</v>
      </c>
      <c r="AI999" t="s">
        <v>12</v>
      </c>
      <c r="AJ999" t="s">
        <v>12</v>
      </c>
      <c r="AK999">
        <v>400000</v>
      </c>
      <c r="AL999">
        <v>0.21</v>
      </c>
      <c r="AM999">
        <v>0.19</v>
      </c>
      <c r="AN999" t="s">
        <v>12</v>
      </c>
      <c r="AO999" t="s">
        <v>12</v>
      </c>
    </row>
    <row r="1000" spans="1:41" x14ac:dyDescent="0.35">
      <c r="A1000">
        <v>19015903</v>
      </c>
      <c r="B1000">
        <v>202508</v>
      </c>
      <c r="C1000">
        <v>10449217531</v>
      </c>
      <c r="D1000" t="s">
        <v>1274</v>
      </c>
      <c r="E1000">
        <v>44921753</v>
      </c>
      <c r="F1000">
        <v>10270768</v>
      </c>
      <c r="G1000" t="s">
        <v>14</v>
      </c>
      <c r="H1000" t="s">
        <v>159</v>
      </c>
      <c r="I1000">
        <v>60002.984375</v>
      </c>
      <c r="J1000" s="1">
        <v>45896</v>
      </c>
      <c r="K1000">
        <v>18</v>
      </c>
      <c r="L1000" t="s">
        <v>37</v>
      </c>
      <c r="M1000" t="s">
        <v>37</v>
      </c>
      <c r="N1000" t="s">
        <v>16</v>
      </c>
      <c r="O1000">
        <v>202508</v>
      </c>
      <c r="P1000">
        <v>60003</v>
      </c>
      <c r="Q1000" t="s">
        <v>1256</v>
      </c>
      <c r="R1000" t="s">
        <v>1257</v>
      </c>
      <c r="S1000" t="s">
        <v>558</v>
      </c>
      <c r="T1000" t="s">
        <v>559</v>
      </c>
      <c r="U1000" t="s">
        <v>16</v>
      </c>
      <c r="V1000">
        <v>3</v>
      </c>
      <c r="W1000" t="s">
        <v>90</v>
      </c>
      <c r="X1000" t="s">
        <v>12</v>
      </c>
      <c r="Y1000">
        <v>1</v>
      </c>
      <c r="Z1000">
        <v>1</v>
      </c>
      <c r="AA1000">
        <v>1</v>
      </c>
      <c r="AB1000">
        <v>1</v>
      </c>
      <c r="AC1000">
        <v>1</v>
      </c>
      <c r="AD1000" t="s">
        <v>12</v>
      </c>
      <c r="AE1000">
        <v>60003</v>
      </c>
      <c r="AF1000">
        <v>18</v>
      </c>
      <c r="AG1000" s="1">
        <v>45896</v>
      </c>
      <c r="AH1000" t="s">
        <v>16</v>
      </c>
      <c r="AI1000" t="s">
        <v>37</v>
      </c>
      <c r="AJ1000" t="s">
        <v>33</v>
      </c>
      <c r="AK1000">
        <v>60000</v>
      </c>
      <c r="AL1000">
        <v>0.23699999999999999</v>
      </c>
      <c r="AM1000">
        <v>0.217</v>
      </c>
      <c r="AN1000" t="s">
        <v>197</v>
      </c>
      <c r="AO1000" t="s">
        <v>33</v>
      </c>
    </row>
    <row r="1001" spans="1:41" x14ac:dyDescent="0.35">
      <c r="A1001">
        <v>21825490</v>
      </c>
      <c r="B1001">
        <v>202509</v>
      </c>
      <c r="C1001">
        <v>10720013415</v>
      </c>
      <c r="D1001" t="s">
        <v>1275</v>
      </c>
      <c r="E1001">
        <v>72001341</v>
      </c>
      <c r="F1001">
        <v>10271702</v>
      </c>
      <c r="G1001" t="s">
        <v>24</v>
      </c>
      <c r="H1001" t="s">
        <v>183</v>
      </c>
      <c r="I1001">
        <v>20001.009765625</v>
      </c>
      <c r="J1001" s="1">
        <v>45924</v>
      </c>
      <c r="K1001">
        <v>19</v>
      </c>
      <c r="L1001" t="s">
        <v>37</v>
      </c>
      <c r="M1001" t="s">
        <v>37</v>
      </c>
      <c r="N1001" t="s">
        <v>98</v>
      </c>
      <c r="O1001">
        <v>202509</v>
      </c>
      <c r="P1001">
        <v>20001</v>
      </c>
      <c r="Q1001" t="s">
        <v>1276</v>
      </c>
      <c r="R1001" t="s">
        <v>1277</v>
      </c>
      <c r="S1001" t="s">
        <v>585</v>
      </c>
      <c r="T1001" t="s">
        <v>586</v>
      </c>
      <c r="U1001" t="s">
        <v>98</v>
      </c>
      <c r="V1001">
        <v>3</v>
      </c>
      <c r="W1001" t="s">
        <v>647</v>
      </c>
      <c r="X1001" t="s">
        <v>59</v>
      </c>
      <c r="Y1001">
        <v>1</v>
      </c>
      <c r="Z1001">
        <v>1</v>
      </c>
      <c r="AA1001">
        <v>1</v>
      </c>
      <c r="AB1001">
        <v>1</v>
      </c>
      <c r="AC1001">
        <v>1</v>
      </c>
      <c r="AD1001" t="s">
        <v>12</v>
      </c>
      <c r="AE1001">
        <v>20001</v>
      </c>
      <c r="AF1001">
        <v>19</v>
      </c>
      <c r="AG1001" s="1">
        <v>45924</v>
      </c>
      <c r="AH1001" t="s">
        <v>98</v>
      </c>
      <c r="AI1001" t="s">
        <v>37</v>
      </c>
      <c r="AJ1001" t="s">
        <v>33</v>
      </c>
      <c r="AK1001">
        <v>150000</v>
      </c>
      <c r="AL1001">
        <v>0.27900000000000003</v>
      </c>
      <c r="AM1001">
        <v>0.25900000000000001</v>
      </c>
      <c r="AN1001" t="s">
        <v>197</v>
      </c>
      <c r="AO1001" t="s">
        <v>33</v>
      </c>
    </row>
    <row r="1002" spans="1:41" x14ac:dyDescent="0.35">
      <c r="A1002">
        <v>14636381</v>
      </c>
      <c r="B1002">
        <v>202507</v>
      </c>
      <c r="C1002">
        <v>20543690776</v>
      </c>
      <c r="D1002" t="s">
        <v>1278</v>
      </c>
      <c r="E1002" t="s">
        <v>1</v>
      </c>
      <c r="F1002">
        <v>10264894</v>
      </c>
      <c r="G1002" t="s">
        <v>2</v>
      </c>
      <c r="H1002" t="s">
        <v>61</v>
      </c>
      <c r="I1002">
        <v>112691.8828125</v>
      </c>
      <c r="J1002" s="1">
        <v>45685</v>
      </c>
      <c r="K1002">
        <v>20.329999999999998</v>
      </c>
      <c r="L1002" t="s">
        <v>4</v>
      </c>
      <c r="M1002" t="s">
        <v>4</v>
      </c>
      <c r="N1002" t="s">
        <v>41</v>
      </c>
      <c r="O1002">
        <v>202501</v>
      </c>
      <c r="P1002">
        <v>150007.5</v>
      </c>
      <c r="Q1002" t="s">
        <v>12</v>
      </c>
      <c r="R1002" t="s">
        <v>12</v>
      </c>
      <c r="S1002" t="s">
        <v>12</v>
      </c>
      <c r="T1002" t="s">
        <v>12</v>
      </c>
      <c r="U1002" t="s">
        <v>12</v>
      </c>
      <c r="V1002" t="s">
        <v>12</v>
      </c>
      <c r="W1002" t="s">
        <v>12</v>
      </c>
      <c r="X1002" t="s">
        <v>12</v>
      </c>
      <c r="Y1002" t="s">
        <v>12</v>
      </c>
      <c r="Z1002" t="s">
        <v>12</v>
      </c>
      <c r="AA1002" t="s">
        <v>12</v>
      </c>
      <c r="AB1002" t="s">
        <v>12</v>
      </c>
      <c r="AC1002" t="s">
        <v>12</v>
      </c>
      <c r="AD1002" t="s">
        <v>12</v>
      </c>
      <c r="AE1002" t="s">
        <v>12</v>
      </c>
      <c r="AF1002" t="s">
        <v>12</v>
      </c>
      <c r="AG1002" t="s">
        <v>12</v>
      </c>
      <c r="AH1002" t="s">
        <v>12</v>
      </c>
      <c r="AI1002" t="s">
        <v>12</v>
      </c>
      <c r="AJ1002" t="s">
        <v>12</v>
      </c>
      <c r="AK1002" t="s">
        <v>12</v>
      </c>
      <c r="AL1002" t="s">
        <v>12</v>
      </c>
      <c r="AM1002" t="s">
        <v>12</v>
      </c>
      <c r="AN1002" t="s">
        <v>12</v>
      </c>
      <c r="AO1002" t="s">
        <v>12</v>
      </c>
    </row>
    <row r="1003" spans="1:41" x14ac:dyDescent="0.35">
      <c r="A1003">
        <v>13757749</v>
      </c>
      <c r="B1003">
        <v>202512</v>
      </c>
      <c r="C1003">
        <v>10714405549</v>
      </c>
      <c r="D1003" t="s">
        <v>1279</v>
      </c>
      <c r="E1003">
        <v>71440554</v>
      </c>
      <c r="F1003">
        <v>10261885</v>
      </c>
      <c r="G1003" t="s">
        <v>45</v>
      </c>
      <c r="H1003" t="s">
        <v>105</v>
      </c>
      <c r="I1003">
        <v>62888.1328125</v>
      </c>
      <c r="J1003" s="1">
        <v>45587</v>
      </c>
      <c r="K1003">
        <v>15.5</v>
      </c>
      <c r="L1003" t="s">
        <v>4</v>
      </c>
      <c r="M1003" t="s">
        <v>4</v>
      </c>
      <c r="N1003" t="s">
        <v>47</v>
      </c>
      <c r="O1003">
        <v>202410</v>
      </c>
      <c r="P1003">
        <v>90004.5</v>
      </c>
      <c r="Q1003" t="s">
        <v>105</v>
      </c>
      <c r="R1003" t="s">
        <v>106</v>
      </c>
      <c r="S1003" t="s">
        <v>88</v>
      </c>
      <c r="T1003" t="s">
        <v>89</v>
      </c>
      <c r="U1003" t="s">
        <v>41</v>
      </c>
      <c r="V1003">
        <v>2</v>
      </c>
      <c r="W1003" t="s">
        <v>90</v>
      </c>
      <c r="X1003" t="s">
        <v>59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 t="s">
        <v>12</v>
      </c>
      <c r="AG1003" t="s">
        <v>12</v>
      </c>
      <c r="AH1003" t="s">
        <v>12</v>
      </c>
      <c r="AI1003" t="s">
        <v>12</v>
      </c>
      <c r="AJ1003" t="s">
        <v>12</v>
      </c>
      <c r="AK1003">
        <v>300000</v>
      </c>
      <c r="AL1003">
        <v>0.21</v>
      </c>
      <c r="AM1003">
        <v>0.19</v>
      </c>
      <c r="AN1003" t="s">
        <v>12</v>
      </c>
      <c r="AO1003" t="s">
        <v>12</v>
      </c>
    </row>
    <row r="1004" spans="1:41" x14ac:dyDescent="0.35">
      <c r="A1004">
        <v>11678750</v>
      </c>
      <c r="B1004">
        <v>202511</v>
      </c>
      <c r="C1004">
        <v>10437954718</v>
      </c>
      <c r="D1004" t="s">
        <v>1280</v>
      </c>
      <c r="E1004">
        <v>43795471</v>
      </c>
      <c r="F1004">
        <v>10259284</v>
      </c>
      <c r="G1004" t="s">
        <v>65</v>
      </c>
      <c r="H1004" t="s">
        <v>265</v>
      </c>
      <c r="I1004">
        <v>59269.40234375</v>
      </c>
      <c r="J1004" s="1">
        <v>45525</v>
      </c>
      <c r="K1004">
        <v>15.5</v>
      </c>
      <c r="L1004" t="s">
        <v>37</v>
      </c>
      <c r="M1004" t="s">
        <v>37</v>
      </c>
      <c r="N1004" t="s">
        <v>47</v>
      </c>
      <c r="O1004">
        <v>202408</v>
      </c>
      <c r="P1004">
        <v>90004.5</v>
      </c>
      <c r="Q1004" t="s">
        <v>265</v>
      </c>
      <c r="R1004" t="s">
        <v>266</v>
      </c>
      <c r="S1004" t="s">
        <v>18</v>
      </c>
      <c r="T1004" t="s">
        <v>122</v>
      </c>
      <c r="U1004" t="s">
        <v>20</v>
      </c>
      <c r="V1004">
        <v>1</v>
      </c>
      <c r="W1004" t="s">
        <v>90</v>
      </c>
      <c r="X1004" t="s">
        <v>59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 t="s">
        <v>12</v>
      </c>
      <c r="AG1004" t="s">
        <v>12</v>
      </c>
      <c r="AH1004" t="s">
        <v>12</v>
      </c>
      <c r="AI1004" t="s">
        <v>12</v>
      </c>
      <c r="AJ1004" t="s">
        <v>12</v>
      </c>
      <c r="AK1004">
        <v>1</v>
      </c>
      <c r="AL1004">
        <v>1</v>
      </c>
      <c r="AM1004" t="s">
        <v>12</v>
      </c>
      <c r="AN1004" t="s">
        <v>12</v>
      </c>
      <c r="AO1004" t="s">
        <v>12</v>
      </c>
    </row>
    <row r="1005" spans="1:41" x14ac:dyDescent="0.35">
      <c r="A1005">
        <v>20999987</v>
      </c>
      <c r="B1005">
        <v>202512</v>
      </c>
      <c r="C1005">
        <v>10770149156</v>
      </c>
      <c r="D1005" t="s">
        <v>1281</v>
      </c>
      <c r="E1005">
        <v>77014915</v>
      </c>
      <c r="F1005">
        <v>10259553</v>
      </c>
      <c r="G1005" t="s">
        <v>45</v>
      </c>
      <c r="H1005" t="s">
        <v>36</v>
      </c>
      <c r="I1005">
        <v>59295.171875</v>
      </c>
      <c r="J1005" s="1">
        <v>45530</v>
      </c>
      <c r="K1005">
        <v>15.5</v>
      </c>
      <c r="L1005" t="s">
        <v>37</v>
      </c>
      <c r="M1005" t="s">
        <v>37</v>
      </c>
      <c r="N1005" t="s">
        <v>47</v>
      </c>
      <c r="O1005">
        <v>202408</v>
      </c>
      <c r="P1005">
        <v>90004.5</v>
      </c>
      <c r="Q1005" t="s">
        <v>531</v>
      </c>
      <c r="R1005" t="s">
        <v>532</v>
      </c>
      <c r="S1005" t="s">
        <v>39</v>
      </c>
      <c r="T1005" t="s">
        <v>40</v>
      </c>
      <c r="U1005" t="s">
        <v>9</v>
      </c>
      <c r="V1005">
        <v>1</v>
      </c>
      <c r="W1005" t="s">
        <v>10</v>
      </c>
      <c r="X1005" t="s">
        <v>59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 t="s">
        <v>12</v>
      </c>
      <c r="AG1005" t="s">
        <v>12</v>
      </c>
      <c r="AH1005" t="s">
        <v>12</v>
      </c>
      <c r="AI1005" t="s">
        <v>12</v>
      </c>
      <c r="AJ1005" t="s">
        <v>12</v>
      </c>
      <c r="AK1005">
        <v>0</v>
      </c>
      <c r="AL1005">
        <v>0</v>
      </c>
      <c r="AM1005">
        <v>0</v>
      </c>
      <c r="AN1005" t="s">
        <v>12</v>
      </c>
      <c r="AO1005" t="s">
        <v>12</v>
      </c>
    </row>
    <row r="1006" spans="1:41" x14ac:dyDescent="0.35">
      <c r="A1006">
        <v>16663629</v>
      </c>
      <c r="B1006">
        <v>202602</v>
      </c>
      <c r="C1006">
        <v>20545288843</v>
      </c>
      <c r="D1006" t="s">
        <v>1263</v>
      </c>
      <c r="E1006" t="s">
        <v>1</v>
      </c>
      <c r="F1006">
        <v>10176897</v>
      </c>
      <c r="G1006" t="s">
        <v>2</v>
      </c>
      <c r="H1006" t="s">
        <v>31</v>
      </c>
      <c r="I1006">
        <v>2464.197265625</v>
      </c>
      <c r="J1006" s="1">
        <v>45404</v>
      </c>
      <c r="K1006">
        <v>14</v>
      </c>
      <c r="L1006" t="s">
        <v>4</v>
      </c>
      <c r="M1006" t="s">
        <v>4</v>
      </c>
      <c r="N1006" t="s">
        <v>5</v>
      </c>
      <c r="O1006">
        <v>202404</v>
      </c>
      <c r="P1006">
        <v>168008.4</v>
      </c>
      <c r="Q1006" t="s">
        <v>79</v>
      </c>
      <c r="R1006" t="s">
        <v>80</v>
      </c>
      <c r="S1006" t="s">
        <v>31</v>
      </c>
      <c r="T1006" t="s">
        <v>32</v>
      </c>
      <c r="U1006" t="s">
        <v>70</v>
      </c>
      <c r="V1006">
        <v>1</v>
      </c>
      <c r="W1006" t="s">
        <v>10</v>
      </c>
      <c r="X1006" t="s">
        <v>51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 t="s">
        <v>12</v>
      </c>
      <c r="AG1006" t="s">
        <v>12</v>
      </c>
      <c r="AH1006" t="s">
        <v>12</v>
      </c>
      <c r="AI1006" t="s">
        <v>12</v>
      </c>
      <c r="AJ1006" t="s">
        <v>12</v>
      </c>
      <c r="AK1006">
        <v>124000</v>
      </c>
      <c r="AL1006">
        <v>0.19</v>
      </c>
      <c r="AM1006">
        <v>0.17</v>
      </c>
      <c r="AN1006" t="s">
        <v>12</v>
      </c>
      <c r="AO1006" t="s">
        <v>12</v>
      </c>
    </row>
    <row r="1007" spans="1:41" x14ac:dyDescent="0.35">
      <c r="A1007">
        <v>16660847</v>
      </c>
      <c r="B1007">
        <v>202511</v>
      </c>
      <c r="C1007">
        <v>10770630687</v>
      </c>
      <c r="D1007" t="s">
        <v>1282</v>
      </c>
      <c r="E1007">
        <v>77063068</v>
      </c>
      <c r="F1007">
        <v>10269951</v>
      </c>
      <c r="G1007" t="s">
        <v>24</v>
      </c>
      <c r="H1007" t="s">
        <v>159</v>
      </c>
      <c r="I1007">
        <v>42949.3828125</v>
      </c>
      <c r="J1007" s="1">
        <v>45863</v>
      </c>
      <c r="K1007">
        <v>22</v>
      </c>
      <c r="L1007" t="s">
        <v>37</v>
      </c>
      <c r="M1007" t="s">
        <v>37</v>
      </c>
      <c r="N1007" t="s">
        <v>98</v>
      </c>
      <c r="O1007">
        <v>202507</v>
      </c>
      <c r="P1007">
        <v>50002.5</v>
      </c>
      <c r="Q1007" t="s">
        <v>12</v>
      </c>
      <c r="R1007" t="s">
        <v>12</v>
      </c>
      <c r="S1007" t="s">
        <v>12</v>
      </c>
      <c r="T1007" t="s">
        <v>12</v>
      </c>
      <c r="U1007" t="s">
        <v>12</v>
      </c>
      <c r="V1007" t="s">
        <v>12</v>
      </c>
      <c r="W1007" t="s">
        <v>12</v>
      </c>
      <c r="X1007" t="s">
        <v>12</v>
      </c>
      <c r="Y1007" t="s">
        <v>12</v>
      </c>
      <c r="Z1007" t="s">
        <v>12</v>
      </c>
      <c r="AA1007" t="s">
        <v>12</v>
      </c>
      <c r="AB1007" t="s">
        <v>12</v>
      </c>
      <c r="AC1007" t="s">
        <v>12</v>
      </c>
      <c r="AD1007" t="s">
        <v>12</v>
      </c>
      <c r="AE1007" t="s">
        <v>12</v>
      </c>
      <c r="AF1007" t="s">
        <v>12</v>
      </c>
      <c r="AG1007" t="s">
        <v>12</v>
      </c>
      <c r="AH1007" t="s">
        <v>12</v>
      </c>
      <c r="AI1007" t="s">
        <v>12</v>
      </c>
      <c r="AJ1007" t="s">
        <v>12</v>
      </c>
      <c r="AK1007" t="s">
        <v>12</v>
      </c>
      <c r="AL1007" t="s">
        <v>12</v>
      </c>
      <c r="AM1007" t="s">
        <v>12</v>
      </c>
      <c r="AN1007" t="s">
        <v>12</v>
      </c>
      <c r="AO1007" t="s">
        <v>12</v>
      </c>
    </row>
    <row r="1008" spans="1:41" x14ac:dyDescent="0.35">
      <c r="A1008">
        <v>10266489</v>
      </c>
      <c r="B1008">
        <v>202502</v>
      </c>
      <c r="C1008">
        <v>10432005904</v>
      </c>
      <c r="D1008" t="s">
        <v>1283</v>
      </c>
      <c r="E1008">
        <v>43200590</v>
      </c>
      <c r="F1008">
        <v>10258731</v>
      </c>
      <c r="G1008" t="s">
        <v>45</v>
      </c>
      <c r="H1008" t="s">
        <v>190</v>
      </c>
      <c r="I1008">
        <v>22601.0859375</v>
      </c>
      <c r="J1008" s="1">
        <v>45513</v>
      </c>
      <c r="K1008">
        <v>15.5</v>
      </c>
      <c r="L1008" t="s">
        <v>37</v>
      </c>
      <c r="M1008" t="s">
        <v>37</v>
      </c>
      <c r="N1008" t="s">
        <v>47</v>
      </c>
      <c r="O1008">
        <v>202408</v>
      </c>
      <c r="P1008">
        <v>22601.1</v>
      </c>
      <c r="Q1008" t="s">
        <v>190</v>
      </c>
      <c r="R1008" t="s">
        <v>191</v>
      </c>
      <c r="S1008" t="s">
        <v>49</v>
      </c>
      <c r="T1008" t="s">
        <v>50</v>
      </c>
      <c r="U1008" t="s">
        <v>20</v>
      </c>
      <c r="V1008">
        <v>1</v>
      </c>
      <c r="W1008" t="s">
        <v>90</v>
      </c>
      <c r="X1008" t="s">
        <v>12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s">
        <v>12</v>
      </c>
      <c r="AG1008" t="s">
        <v>12</v>
      </c>
      <c r="AH1008" t="s">
        <v>12</v>
      </c>
      <c r="AI1008" t="s">
        <v>12</v>
      </c>
      <c r="AJ1008" t="s">
        <v>12</v>
      </c>
      <c r="AK1008">
        <v>947478948</v>
      </c>
      <c r="AL1008">
        <v>0</v>
      </c>
      <c r="AM1008">
        <v>0</v>
      </c>
      <c r="AN1008" t="s">
        <v>12</v>
      </c>
      <c r="AO1008" t="s">
        <v>12</v>
      </c>
    </row>
    <row r="1009" spans="1:41" x14ac:dyDescent="0.35">
      <c r="A1009">
        <v>21601264</v>
      </c>
      <c r="B1009">
        <v>202508</v>
      </c>
      <c r="C1009">
        <v>20601066816</v>
      </c>
      <c r="D1009" t="s">
        <v>1284</v>
      </c>
      <c r="E1009" t="s">
        <v>1</v>
      </c>
      <c r="F1009">
        <v>10267271</v>
      </c>
      <c r="G1009" t="s">
        <v>100</v>
      </c>
      <c r="H1009" t="s">
        <v>513</v>
      </c>
      <c r="I1009">
        <v>115442.5625</v>
      </c>
      <c r="J1009" s="1">
        <v>45770</v>
      </c>
      <c r="K1009">
        <v>16</v>
      </c>
      <c r="L1009" t="s">
        <v>37</v>
      </c>
      <c r="M1009" t="s">
        <v>37</v>
      </c>
      <c r="N1009" t="s">
        <v>102</v>
      </c>
      <c r="O1009">
        <v>202504</v>
      </c>
      <c r="P1009">
        <v>157707.85</v>
      </c>
      <c r="Q1009" t="s">
        <v>513</v>
      </c>
      <c r="R1009" t="s">
        <v>514</v>
      </c>
      <c r="S1009" t="s">
        <v>111</v>
      </c>
      <c r="T1009" t="s">
        <v>112</v>
      </c>
      <c r="U1009" t="s">
        <v>20</v>
      </c>
      <c r="V1009">
        <v>2</v>
      </c>
      <c r="W1009" t="s">
        <v>10</v>
      </c>
      <c r="X1009" t="s">
        <v>12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 t="s">
        <v>12</v>
      </c>
      <c r="AG1009" t="s">
        <v>12</v>
      </c>
      <c r="AH1009" t="s">
        <v>12</v>
      </c>
      <c r="AI1009" t="s">
        <v>12</v>
      </c>
      <c r="AJ1009" t="s">
        <v>12</v>
      </c>
      <c r="AK1009">
        <v>1</v>
      </c>
      <c r="AL1009">
        <v>0.14230000000000001</v>
      </c>
      <c r="AM1009">
        <v>0</v>
      </c>
      <c r="AN1009" t="s">
        <v>12</v>
      </c>
      <c r="AO1009" t="s">
        <v>12</v>
      </c>
    </row>
    <row r="1010" spans="1:41" x14ac:dyDescent="0.35">
      <c r="A1010">
        <v>21520270</v>
      </c>
      <c r="B1010">
        <v>202509</v>
      </c>
      <c r="C1010">
        <v>20610023283</v>
      </c>
      <c r="D1010" t="s">
        <v>1285</v>
      </c>
      <c r="E1010" t="s">
        <v>1</v>
      </c>
      <c r="F1010">
        <v>10266074</v>
      </c>
      <c r="G1010" t="s">
        <v>268</v>
      </c>
      <c r="H1010" t="s">
        <v>159</v>
      </c>
      <c r="I1010">
        <v>14023.345703125</v>
      </c>
      <c r="J1010" s="1">
        <v>45727</v>
      </c>
      <c r="K1010">
        <v>23</v>
      </c>
      <c r="L1010" t="s">
        <v>37</v>
      </c>
      <c r="M1010" t="s">
        <v>37</v>
      </c>
      <c r="N1010" t="s">
        <v>98</v>
      </c>
      <c r="O1010">
        <v>202503</v>
      </c>
      <c r="P1010">
        <v>20001</v>
      </c>
      <c r="Q1010" t="s">
        <v>12</v>
      </c>
      <c r="R1010" t="s">
        <v>12</v>
      </c>
      <c r="S1010" t="s">
        <v>12</v>
      </c>
      <c r="T1010" t="s">
        <v>12</v>
      </c>
      <c r="U1010" t="s">
        <v>12</v>
      </c>
      <c r="V1010" t="s">
        <v>12</v>
      </c>
      <c r="W1010" t="s">
        <v>12</v>
      </c>
      <c r="X1010" t="s">
        <v>12</v>
      </c>
      <c r="Y1010" t="s">
        <v>12</v>
      </c>
      <c r="Z1010" t="s">
        <v>12</v>
      </c>
      <c r="AA1010" t="s">
        <v>12</v>
      </c>
      <c r="AB1010" t="s">
        <v>12</v>
      </c>
      <c r="AC1010" t="s">
        <v>12</v>
      </c>
      <c r="AD1010" t="s">
        <v>12</v>
      </c>
      <c r="AE1010" t="s">
        <v>12</v>
      </c>
      <c r="AF1010" t="s">
        <v>12</v>
      </c>
      <c r="AG1010" t="s">
        <v>12</v>
      </c>
      <c r="AH1010" t="s">
        <v>12</v>
      </c>
      <c r="AI1010" t="s">
        <v>12</v>
      </c>
      <c r="AJ1010" t="s">
        <v>12</v>
      </c>
      <c r="AK1010" t="s">
        <v>12</v>
      </c>
      <c r="AL1010" t="s">
        <v>12</v>
      </c>
      <c r="AM1010" t="s">
        <v>12</v>
      </c>
      <c r="AN1010" t="s">
        <v>12</v>
      </c>
      <c r="AO1010" t="s">
        <v>12</v>
      </c>
    </row>
    <row r="1011" spans="1:41" x14ac:dyDescent="0.35">
      <c r="A1011">
        <v>21542988</v>
      </c>
      <c r="B1011">
        <v>202506</v>
      </c>
      <c r="C1011">
        <v>20602475141</v>
      </c>
      <c r="D1011" t="s">
        <v>1286</v>
      </c>
      <c r="E1011" t="s">
        <v>1</v>
      </c>
      <c r="F1011">
        <v>10266533</v>
      </c>
      <c r="G1011" t="s">
        <v>100</v>
      </c>
      <c r="H1011" t="s">
        <v>1287</v>
      </c>
      <c r="I1011">
        <v>110458.8515625</v>
      </c>
      <c r="J1011" s="1">
        <v>45741</v>
      </c>
      <c r="K1011">
        <v>15</v>
      </c>
      <c r="L1011" t="s">
        <v>37</v>
      </c>
      <c r="M1011" t="s">
        <v>37</v>
      </c>
      <c r="N1011" t="s">
        <v>102</v>
      </c>
      <c r="O1011">
        <v>202503</v>
      </c>
      <c r="P1011">
        <v>165987.75</v>
      </c>
      <c r="Q1011" t="s">
        <v>1287</v>
      </c>
      <c r="R1011" t="s">
        <v>1288</v>
      </c>
      <c r="S1011" t="s">
        <v>111</v>
      </c>
      <c r="T1011" t="s">
        <v>112</v>
      </c>
      <c r="U1011" t="s">
        <v>20</v>
      </c>
      <c r="V1011">
        <v>2</v>
      </c>
      <c r="W1011" t="s">
        <v>10</v>
      </c>
      <c r="X1011" t="s">
        <v>12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 t="s">
        <v>12</v>
      </c>
      <c r="AG1011" t="s">
        <v>12</v>
      </c>
      <c r="AH1011" t="s">
        <v>12</v>
      </c>
      <c r="AI1011" t="s">
        <v>12</v>
      </c>
      <c r="AJ1011" t="s">
        <v>12</v>
      </c>
      <c r="AK1011">
        <v>1</v>
      </c>
      <c r="AL1011">
        <v>0.1633</v>
      </c>
      <c r="AM1011" t="s">
        <v>12</v>
      </c>
      <c r="AN1011" t="s">
        <v>12</v>
      </c>
      <c r="AO1011" t="s">
        <v>12</v>
      </c>
    </row>
    <row r="1012" spans="1:41" x14ac:dyDescent="0.35">
      <c r="A1012">
        <v>18332488</v>
      </c>
      <c r="B1012">
        <v>202601</v>
      </c>
      <c r="C1012">
        <v>20601713706</v>
      </c>
      <c r="D1012" t="s">
        <v>1289</v>
      </c>
      <c r="E1012" t="s">
        <v>1</v>
      </c>
      <c r="F1012">
        <v>10264950</v>
      </c>
      <c r="G1012" t="s">
        <v>2</v>
      </c>
      <c r="H1012" t="s">
        <v>74</v>
      </c>
      <c r="I1012">
        <v>22240.654296875</v>
      </c>
      <c r="J1012" s="1">
        <v>45686</v>
      </c>
      <c r="K1012">
        <v>15</v>
      </c>
      <c r="L1012" t="s">
        <v>4</v>
      </c>
      <c r="M1012" t="s">
        <v>4</v>
      </c>
      <c r="N1012" t="s">
        <v>5</v>
      </c>
      <c r="O1012">
        <v>202501</v>
      </c>
      <c r="P1012">
        <v>250012.5</v>
      </c>
      <c r="Q1012" t="s">
        <v>74</v>
      </c>
      <c r="R1012" t="s">
        <v>76</v>
      </c>
      <c r="S1012" t="s">
        <v>31</v>
      </c>
      <c r="T1012" t="s">
        <v>32</v>
      </c>
      <c r="U1012" t="s">
        <v>20</v>
      </c>
      <c r="V1012">
        <v>1</v>
      </c>
      <c r="W1012" t="s">
        <v>21</v>
      </c>
      <c r="X1012" t="s">
        <v>22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 t="s">
        <v>12</v>
      </c>
      <c r="AG1012" t="s">
        <v>12</v>
      </c>
      <c r="AH1012" t="s">
        <v>12</v>
      </c>
      <c r="AI1012" t="s">
        <v>12</v>
      </c>
      <c r="AJ1012" t="s">
        <v>12</v>
      </c>
      <c r="AK1012">
        <v>1</v>
      </c>
      <c r="AL1012">
        <v>1</v>
      </c>
      <c r="AM1012">
        <v>0.24</v>
      </c>
      <c r="AN1012" t="s">
        <v>12</v>
      </c>
      <c r="AO1012" t="s">
        <v>12</v>
      </c>
    </row>
    <row r="1013" spans="1:41" x14ac:dyDescent="0.35">
      <c r="A1013">
        <v>16264007</v>
      </c>
      <c r="B1013">
        <v>202511</v>
      </c>
      <c r="C1013">
        <v>10201188674</v>
      </c>
      <c r="D1013" t="s">
        <v>1290</v>
      </c>
      <c r="E1013">
        <v>20118867</v>
      </c>
      <c r="F1013">
        <v>10265350</v>
      </c>
      <c r="G1013" t="s">
        <v>14</v>
      </c>
      <c r="H1013" t="s">
        <v>412</v>
      </c>
      <c r="I1013">
        <v>25697.81640625</v>
      </c>
      <c r="J1013" s="1">
        <v>45702</v>
      </c>
      <c r="K1013">
        <v>18</v>
      </c>
      <c r="L1013" t="s">
        <v>37</v>
      </c>
      <c r="M1013" t="s">
        <v>37</v>
      </c>
      <c r="N1013" t="s">
        <v>16</v>
      </c>
      <c r="O1013">
        <v>202502</v>
      </c>
      <c r="P1013">
        <v>38601.9</v>
      </c>
      <c r="Q1013" t="s">
        <v>412</v>
      </c>
      <c r="R1013" t="s">
        <v>413</v>
      </c>
      <c r="S1013" t="s">
        <v>88</v>
      </c>
      <c r="T1013" t="s">
        <v>89</v>
      </c>
      <c r="U1013" t="s">
        <v>20</v>
      </c>
      <c r="V1013">
        <v>2</v>
      </c>
      <c r="W1013" t="s">
        <v>10</v>
      </c>
      <c r="X1013" t="s">
        <v>59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 t="s">
        <v>12</v>
      </c>
      <c r="AG1013" t="s">
        <v>12</v>
      </c>
      <c r="AH1013" t="s">
        <v>12</v>
      </c>
      <c r="AI1013" t="s">
        <v>12</v>
      </c>
      <c r="AJ1013" t="s">
        <v>12</v>
      </c>
      <c r="AK1013">
        <v>1</v>
      </c>
      <c r="AL1013">
        <v>1</v>
      </c>
      <c r="AM1013" t="s">
        <v>12</v>
      </c>
      <c r="AN1013" t="s">
        <v>12</v>
      </c>
      <c r="AO1013" t="s">
        <v>12</v>
      </c>
    </row>
    <row r="1014" spans="1:41" x14ac:dyDescent="0.35">
      <c r="A1014">
        <v>15349703</v>
      </c>
      <c r="B1014">
        <v>202508</v>
      </c>
      <c r="C1014">
        <v>10424330863</v>
      </c>
      <c r="D1014" t="s">
        <v>1291</v>
      </c>
      <c r="E1014">
        <v>42433086</v>
      </c>
      <c r="F1014">
        <v>10148589</v>
      </c>
      <c r="G1014" t="s">
        <v>2</v>
      </c>
      <c r="H1014" t="s">
        <v>57</v>
      </c>
      <c r="I1014">
        <v>83116.96875</v>
      </c>
      <c r="J1014" s="1">
        <v>45667</v>
      </c>
      <c r="K1014">
        <v>16.7</v>
      </c>
      <c r="L1014" t="s">
        <v>4</v>
      </c>
      <c r="M1014" t="s">
        <v>4</v>
      </c>
      <c r="N1014" t="s">
        <v>5</v>
      </c>
      <c r="O1014">
        <v>202501</v>
      </c>
      <c r="P1014">
        <v>74157.7</v>
      </c>
      <c r="Q1014" t="s">
        <v>117</v>
      </c>
      <c r="R1014" t="s">
        <v>118</v>
      </c>
      <c r="S1014" t="s">
        <v>39</v>
      </c>
      <c r="T1014" t="s">
        <v>40</v>
      </c>
      <c r="U1014" t="s">
        <v>41</v>
      </c>
      <c r="V1014">
        <v>1</v>
      </c>
      <c r="W1014" t="s">
        <v>90</v>
      </c>
      <c r="X1014" t="s">
        <v>12</v>
      </c>
      <c r="Y1014">
        <v>1</v>
      </c>
      <c r="Z1014">
        <v>1</v>
      </c>
      <c r="AA1014">
        <v>0</v>
      </c>
      <c r="AB1014">
        <v>0</v>
      </c>
      <c r="AC1014">
        <v>1</v>
      </c>
      <c r="AD1014">
        <v>1</v>
      </c>
      <c r="AE1014">
        <v>0</v>
      </c>
      <c r="AF1014" t="s">
        <v>12</v>
      </c>
      <c r="AG1014" t="s">
        <v>12</v>
      </c>
      <c r="AH1014" t="s">
        <v>12</v>
      </c>
      <c r="AI1014" t="s">
        <v>12</v>
      </c>
      <c r="AJ1014" t="s">
        <v>12</v>
      </c>
      <c r="AK1014">
        <v>300000</v>
      </c>
      <c r="AL1014">
        <v>0.21</v>
      </c>
      <c r="AM1014">
        <v>0.19</v>
      </c>
      <c r="AN1014" t="s">
        <v>12</v>
      </c>
      <c r="AO1014" t="s">
        <v>12</v>
      </c>
    </row>
    <row r="1015" spans="1:41" x14ac:dyDescent="0.35">
      <c r="A1015">
        <v>21711249</v>
      </c>
      <c r="B1015">
        <v>202507</v>
      </c>
      <c r="C1015">
        <v>20557931661</v>
      </c>
      <c r="D1015" t="s">
        <v>1292</v>
      </c>
      <c r="E1015" t="s">
        <v>1</v>
      </c>
      <c r="F1015">
        <v>10269040</v>
      </c>
      <c r="G1015" t="s">
        <v>24</v>
      </c>
      <c r="H1015" t="s">
        <v>159</v>
      </c>
      <c r="I1015">
        <v>80004.015625</v>
      </c>
      <c r="J1015" s="1">
        <v>45833</v>
      </c>
      <c r="K1015">
        <v>18</v>
      </c>
      <c r="L1015" t="s">
        <v>37</v>
      </c>
      <c r="M1015" t="s">
        <v>37</v>
      </c>
      <c r="N1015" t="s">
        <v>98</v>
      </c>
      <c r="O1015">
        <v>202506</v>
      </c>
      <c r="P1015">
        <v>80004</v>
      </c>
      <c r="Q1015" t="s">
        <v>12</v>
      </c>
      <c r="R1015" t="s">
        <v>12</v>
      </c>
      <c r="S1015" t="s">
        <v>12</v>
      </c>
      <c r="T1015" t="s">
        <v>12</v>
      </c>
      <c r="U1015" t="s">
        <v>12</v>
      </c>
      <c r="V1015" t="s">
        <v>12</v>
      </c>
      <c r="W1015" t="s">
        <v>12</v>
      </c>
      <c r="X1015" t="s">
        <v>12</v>
      </c>
      <c r="Y1015" t="s">
        <v>12</v>
      </c>
      <c r="Z1015" t="s">
        <v>12</v>
      </c>
      <c r="AA1015" t="s">
        <v>12</v>
      </c>
      <c r="AB1015" t="s">
        <v>12</v>
      </c>
      <c r="AC1015" t="s">
        <v>12</v>
      </c>
      <c r="AD1015" t="s">
        <v>12</v>
      </c>
      <c r="AE1015" t="s">
        <v>12</v>
      </c>
      <c r="AF1015" t="s">
        <v>12</v>
      </c>
      <c r="AG1015" t="s">
        <v>12</v>
      </c>
      <c r="AH1015" t="s">
        <v>12</v>
      </c>
      <c r="AI1015" t="s">
        <v>12</v>
      </c>
      <c r="AJ1015" t="s">
        <v>12</v>
      </c>
      <c r="AK1015" t="s">
        <v>12</v>
      </c>
      <c r="AL1015" t="s">
        <v>12</v>
      </c>
      <c r="AM1015" t="s">
        <v>12</v>
      </c>
      <c r="AN1015" t="s">
        <v>12</v>
      </c>
      <c r="AO1015" t="s">
        <v>12</v>
      </c>
    </row>
    <row r="1016" spans="1:41" x14ac:dyDescent="0.35">
      <c r="A1016">
        <v>18517381</v>
      </c>
      <c r="B1016">
        <v>202509</v>
      </c>
      <c r="C1016">
        <v>20607146331</v>
      </c>
      <c r="D1016" t="s">
        <v>1293</v>
      </c>
      <c r="E1016" t="s">
        <v>1</v>
      </c>
      <c r="F1016">
        <v>10269239</v>
      </c>
      <c r="G1016" t="s">
        <v>92</v>
      </c>
      <c r="H1016" t="s">
        <v>135</v>
      </c>
      <c r="I1016">
        <v>307173.65625</v>
      </c>
      <c r="J1016" s="1">
        <v>45838</v>
      </c>
      <c r="K1016">
        <v>17</v>
      </c>
      <c r="L1016" t="s">
        <v>4</v>
      </c>
      <c r="M1016" t="s">
        <v>4</v>
      </c>
      <c r="N1016" t="s">
        <v>41</v>
      </c>
      <c r="O1016">
        <v>202506</v>
      </c>
      <c r="P1016">
        <v>321347.46000000002</v>
      </c>
      <c r="Q1016" t="s">
        <v>135</v>
      </c>
      <c r="R1016" t="s">
        <v>136</v>
      </c>
      <c r="S1016" t="s">
        <v>18</v>
      </c>
      <c r="T1016" t="s">
        <v>122</v>
      </c>
      <c r="U1016" t="s">
        <v>41</v>
      </c>
      <c r="V1016">
        <v>1</v>
      </c>
      <c r="W1016" t="s">
        <v>10</v>
      </c>
      <c r="X1016" t="s">
        <v>22</v>
      </c>
      <c r="Y1016">
        <v>1</v>
      </c>
      <c r="Z1016">
        <v>1</v>
      </c>
      <c r="AA1016">
        <v>0</v>
      </c>
      <c r="AB1016">
        <v>0</v>
      </c>
      <c r="AC1016">
        <v>1</v>
      </c>
      <c r="AD1016">
        <v>1</v>
      </c>
      <c r="AE1016">
        <v>0</v>
      </c>
      <c r="AF1016" t="s">
        <v>12</v>
      </c>
      <c r="AG1016" t="s">
        <v>12</v>
      </c>
      <c r="AH1016" t="s">
        <v>12</v>
      </c>
      <c r="AI1016" t="s">
        <v>12</v>
      </c>
      <c r="AJ1016" t="s">
        <v>12</v>
      </c>
      <c r="AK1016">
        <v>81000</v>
      </c>
      <c r="AL1016">
        <v>0.21</v>
      </c>
      <c r="AM1016">
        <v>0.19</v>
      </c>
      <c r="AN1016" t="s">
        <v>12</v>
      </c>
      <c r="AO1016" t="s">
        <v>12</v>
      </c>
    </row>
    <row r="1017" spans="1:41" x14ac:dyDescent="0.35">
      <c r="A1017">
        <v>20191114</v>
      </c>
      <c r="B1017">
        <v>202510</v>
      </c>
      <c r="C1017">
        <v>20522585026</v>
      </c>
      <c r="D1017" t="s">
        <v>1294</v>
      </c>
      <c r="E1017" t="s">
        <v>1</v>
      </c>
      <c r="F1017">
        <v>10267153</v>
      </c>
      <c r="G1017" t="s">
        <v>268</v>
      </c>
      <c r="H1017" t="s">
        <v>159</v>
      </c>
      <c r="I1017">
        <v>34855.6171875</v>
      </c>
      <c r="J1017" s="1">
        <v>45763</v>
      </c>
      <c r="K1017">
        <v>20</v>
      </c>
      <c r="L1017" t="s">
        <v>37</v>
      </c>
      <c r="M1017" t="s">
        <v>37</v>
      </c>
      <c r="N1017" t="s">
        <v>98</v>
      </c>
      <c r="O1017">
        <v>202504</v>
      </c>
      <c r="P1017">
        <v>50002.5</v>
      </c>
      <c r="Q1017" t="s">
        <v>12</v>
      </c>
      <c r="R1017" t="s">
        <v>12</v>
      </c>
      <c r="S1017" t="s">
        <v>12</v>
      </c>
      <c r="T1017" t="s">
        <v>12</v>
      </c>
      <c r="U1017" t="s">
        <v>12</v>
      </c>
      <c r="V1017" t="s">
        <v>12</v>
      </c>
      <c r="W1017" t="s">
        <v>12</v>
      </c>
      <c r="X1017" t="s">
        <v>12</v>
      </c>
      <c r="Y1017" t="s">
        <v>12</v>
      </c>
      <c r="Z1017" t="s">
        <v>12</v>
      </c>
      <c r="AA1017" t="s">
        <v>12</v>
      </c>
      <c r="AB1017" t="s">
        <v>12</v>
      </c>
      <c r="AC1017" t="s">
        <v>12</v>
      </c>
      <c r="AD1017" t="s">
        <v>12</v>
      </c>
      <c r="AE1017" t="s">
        <v>12</v>
      </c>
      <c r="AF1017" t="s">
        <v>12</v>
      </c>
      <c r="AG1017" t="s">
        <v>12</v>
      </c>
      <c r="AH1017" t="s">
        <v>12</v>
      </c>
      <c r="AI1017" t="s">
        <v>12</v>
      </c>
      <c r="AJ1017" t="s">
        <v>12</v>
      </c>
      <c r="AK1017" t="s">
        <v>12</v>
      </c>
      <c r="AL1017" t="s">
        <v>12</v>
      </c>
      <c r="AM1017" t="s">
        <v>12</v>
      </c>
      <c r="AN1017" t="s">
        <v>12</v>
      </c>
      <c r="AO1017" t="s">
        <v>12</v>
      </c>
    </row>
    <row r="1018" spans="1:41" x14ac:dyDescent="0.35">
      <c r="A1018">
        <v>20878932</v>
      </c>
      <c r="B1018">
        <v>202507</v>
      </c>
      <c r="C1018">
        <v>20546147054</v>
      </c>
      <c r="D1018" t="s">
        <v>628</v>
      </c>
      <c r="E1018" t="s">
        <v>1</v>
      </c>
      <c r="F1018">
        <v>10266304</v>
      </c>
      <c r="G1018" t="s">
        <v>92</v>
      </c>
      <c r="H1018" t="s">
        <v>7</v>
      </c>
      <c r="I1018">
        <v>142990.828125</v>
      </c>
      <c r="J1018" s="1">
        <v>45735</v>
      </c>
      <c r="K1018">
        <v>18</v>
      </c>
      <c r="L1018" t="s">
        <v>4</v>
      </c>
      <c r="M1018" t="s">
        <v>4</v>
      </c>
      <c r="N1018" t="s">
        <v>41</v>
      </c>
      <c r="O1018">
        <v>202503</v>
      </c>
      <c r="P1018">
        <v>166008.29999999999</v>
      </c>
      <c r="Q1018" t="s">
        <v>12</v>
      </c>
      <c r="R1018" t="s">
        <v>12</v>
      </c>
      <c r="S1018" t="s">
        <v>12</v>
      </c>
      <c r="T1018" t="s">
        <v>12</v>
      </c>
      <c r="U1018" t="s">
        <v>12</v>
      </c>
      <c r="V1018" t="s">
        <v>12</v>
      </c>
      <c r="W1018" t="s">
        <v>12</v>
      </c>
      <c r="X1018" t="s">
        <v>12</v>
      </c>
      <c r="Y1018" t="s">
        <v>12</v>
      </c>
      <c r="Z1018" t="s">
        <v>12</v>
      </c>
      <c r="AA1018" t="s">
        <v>12</v>
      </c>
      <c r="AB1018" t="s">
        <v>12</v>
      </c>
      <c r="AC1018" t="s">
        <v>12</v>
      </c>
      <c r="AD1018" t="s">
        <v>12</v>
      </c>
      <c r="AE1018" t="s">
        <v>12</v>
      </c>
      <c r="AF1018" t="s">
        <v>12</v>
      </c>
      <c r="AG1018" t="s">
        <v>12</v>
      </c>
      <c r="AH1018" t="s">
        <v>12</v>
      </c>
      <c r="AI1018" t="s">
        <v>12</v>
      </c>
      <c r="AJ1018" t="s">
        <v>12</v>
      </c>
      <c r="AK1018" t="s">
        <v>12</v>
      </c>
      <c r="AL1018" t="s">
        <v>12</v>
      </c>
      <c r="AM1018" t="s">
        <v>12</v>
      </c>
      <c r="AN1018" t="s">
        <v>12</v>
      </c>
      <c r="AO1018" t="s">
        <v>12</v>
      </c>
    </row>
    <row r="1019" spans="1:41" x14ac:dyDescent="0.35">
      <c r="A1019">
        <v>12698026</v>
      </c>
      <c r="B1019">
        <v>202511</v>
      </c>
      <c r="C1019">
        <v>10457536114</v>
      </c>
      <c r="D1019" t="s">
        <v>1295</v>
      </c>
      <c r="E1019">
        <v>45753611</v>
      </c>
      <c r="F1019">
        <v>10266591</v>
      </c>
      <c r="G1019" t="s">
        <v>92</v>
      </c>
      <c r="H1019" t="s">
        <v>124</v>
      </c>
      <c r="I1019">
        <v>52722.24609375</v>
      </c>
      <c r="J1019" s="1">
        <v>45742</v>
      </c>
      <c r="K1019">
        <v>21.200001</v>
      </c>
      <c r="L1019" t="s">
        <v>4</v>
      </c>
      <c r="M1019" t="s">
        <v>4</v>
      </c>
      <c r="N1019" t="s">
        <v>41</v>
      </c>
      <c r="O1019">
        <v>202503</v>
      </c>
      <c r="P1019">
        <v>66156.73</v>
      </c>
      <c r="Q1019" t="s">
        <v>124</v>
      </c>
      <c r="R1019" t="s">
        <v>125</v>
      </c>
      <c r="S1019" t="s">
        <v>88</v>
      </c>
      <c r="T1019" t="s">
        <v>89</v>
      </c>
      <c r="U1019" t="s">
        <v>41</v>
      </c>
      <c r="V1019">
        <v>2</v>
      </c>
      <c r="W1019" t="s">
        <v>10</v>
      </c>
      <c r="X1019" t="s">
        <v>59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 t="s">
        <v>12</v>
      </c>
      <c r="AG1019" t="s">
        <v>12</v>
      </c>
      <c r="AH1019" t="s">
        <v>12</v>
      </c>
      <c r="AI1019" t="s">
        <v>12</v>
      </c>
      <c r="AJ1019" t="s">
        <v>12</v>
      </c>
      <c r="AK1019">
        <v>200000</v>
      </c>
      <c r="AL1019">
        <v>0.23200000000000001</v>
      </c>
      <c r="AM1019">
        <v>0.21199999999999999</v>
      </c>
      <c r="AN1019" t="s">
        <v>12</v>
      </c>
      <c r="AO1019" t="s">
        <v>12</v>
      </c>
    </row>
    <row r="1020" spans="1:41" x14ac:dyDescent="0.35">
      <c r="A1020">
        <v>20574883</v>
      </c>
      <c r="B1020">
        <v>202507</v>
      </c>
      <c r="C1020">
        <v>20600501373</v>
      </c>
      <c r="D1020" t="s">
        <v>1296</v>
      </c>
      <c r="E1020" t="s">
        <v>1</v>
      </c>
      <c r="F1020">
        <v>10262303</v>
      </c>
      <c r="G1020" t="s">
        <v>92</v>
      </c>
      <c r="H1020" t="s">
        <v>417</v>
      </c>
      <c r="I1020">
        <v>140419.78125</v>
      </c>
      <c r="J1020" s="1">
        <v>45596</v>
      </c>
      <c r="K1020">
        <v>16.799999</v>
      </c>
      <c r="L1020" t="s">
        <v>4</v>
      </c>
      <c r="M1020" t="s">
        <v>4</v>
      </c>
      <c r="N1020" t="s">
        <v>41</v>
      </c>
      <c r="O1020">
        <v>202410</v>
      </c>
      <c r="P1020">
        <v>200010</v>
      </c>
      <c r="Q1020" t="s">
        <v>417</v>
      </c>
      <c r="R1020" t="s">
        <v>418</v>
      </c>
      <c r="S1020" t="s">
        <v>31</v>
      </c>
      <c r="T1020" t="s">
        <v>32</v>
      </c>
      <c r="U1020" t="s">
        <v>41</v>
      </c>
      <c r="V1020">
        <v>1</v>
      </c>
      <c r="W1020" t="s">
        <v>10</v>
      </c>
      <c r="X1020" t="s">
        <v>12</v>
      </c>
      <c r="Y1020">
        <v>1</v>
      </c>
      <c r="Z1020">
        <v>1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 t="s">
        <v>12</v>
      </c>
      <c r="AG1020" t="s">
        <v>12</v>
      </c>
      <c r="AH1020" t="s">
        <v>12</v>
      </c>
      <c r="AI1020" t="s">
        <v>12</v>
      </c>
      <c r="AJ1020" t="s">
        <v>12</v>
      </c>
      <c r="AK1020">
        <v>10200</v>
      </c>
      <c r="AL1020">
        <v>0.23</v>
      </c>
      <c r="AM1020">
        <v>0.21</v>
      </c>
      <c r="AN1020" t="s">
        <v>12</v>
      </c>
      <c r="AO1020" t="s">
        <v>12</v>
      </c>
    </row>
    <row r="1021" spans="1:41" x14ac:dyDescent="0.35">
      <c r="A1021">
        <v>21086481</v>
      </c>
      <c r="B1021">
        <v>202503</v>
      </c>
      <c r="C1021">
        <v>20602363687</v>
      </c>
      <c r="D1021" t="s">
        <v>1297</v>
      </c>
      <c r="E1021" t="s">
        <v>1</v>
      </c>
      <c r="F1021">
        <v>10258901</v>
      </c>
      <c r="G1021" t="s">
        <v>65</v>
      </c>
      <c r="H1021" t="s">
        <v>210</v>
      </c>
      <c r="I1021">
        <v>65772.8125</v>
      </c>
      <c r="J1021" s="1">
        <v>45518</v>
      </c>
      <c r="K1021">
        <v>15.5</v>
      </c>
      <c r="L1021" t="s">
        <v>37</v>
      </c>
      <c r="M1021" t="s">
        <v>37</v>
      </c>
      <c r="N1021" t="s">
        <v>47</v>
      </c>
      <c r="O1021">
        <v>202408</v>
      </c>
      <c r="P1021">
        <v>68303.399999999994</v>
      </c>
      <c r="Q1021" t="s">
        <v>210</v>
      </c>
      <c r="R1021" t="s">
        <v>211</v>
      </c>
      <c r="S1021" t="s">
        <v>39</v>
      </c>
      <c r="T1021" t="s">
        <v>40</v>
      </c>
      <c r="U1021" t="s">
        <v>20</v>
      </c>
      <c r="V1021">
        <v>1</v>
      </c>
      <c r="W1021" t="s">
        <v>10</v>
      </c>
      <c r="X1021" t="s">
        <v>12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s">
        <v>12</v>
      </c>
      <c r="AG1021" t="s">
        <v>12</v>
      </c>
      <c r="AH1021" t="s">
        <v>12</v>
      </c>
      <c r="AI1021" t="s">
        <v>12</v>
      </c>
      <c r="AJ1021" t="s">
        <v>12</v>
      </c>
      <c r="AK1021">
        <v>953522280</v>
      </c>
      <c r="AL1021">
        <v>0</v>
      </c>
      <c r="AM1021">
        <v>0</v>
      </c>
      <c r="AN1021" t="s">
        <v>12</v>
      </c>
      <c r="AO1021" t="s">
        <v>12</v>
      </c>
    </row>
    <row r="1022" spans="1:41" x14ac:dyDescent="0.35">
      <c r="A1022">
        <v>21752859</v>
      </c>
      <c r="B1022">
        <v>202511</v>
      </c>
      <c r="C1022">
        <v>20600738047</v>
      </c>
      <c r="D1022" t="s">
        <v>1298</v>
      </c>
      <c r="E1022" t="s">
        <v>1</v>
      </c>
      <c r="F1022">
        <v>10269764</v>
      </c>
      <c r="G1022" t="s">
        <v>14</v>
      </c>
      <c r="H1022" t="s">
        <v>85</v>
      </c>
      <c r="I1022">
        <v>116973.828125</v>
      </c>
      <c r="J1022" s="1">
        <v>45856</v>
      </c>
      <c r="K1022">
        <v>21</v>
      </c>
      <c r="L1022" t="s">
        <v>37</v>
      </c>
      <c r="M1022" t="s">
        <v>75</v>
      </c>
      <c r="N1022" t="s">
        <v>16</v>
      </c>
      <c r="O1022">
        <v>202507</v>
      </c>
      <c r="P1022">
        <v>170008.5</v>
      </c>
      <c r="Q1022" t="s">
        <v>85</v>
      </c>
      <c r="R1022" t="s">
        <v>87</v>
      </c>
      <c r="S1022" t="s">
        <v>88</v>
      </c>
      <c r="T1022" t="s">
        <v>89</v>
      </c>
      <c r="U1022" t="s">
        <v>9</v>
      </c>
      <c r="V1022">
        <v>2</v>
      </c>
      <c r="W1022" t="s">
        <v>10</v>
      </c>
      <c r="X1022" t="s">
        <v>22</v>
      </c>
      <c r="Y1022">
        <v>1</v>
      </c>
      <c r="Z1022">
        <v>1</v>
      </c>
      <c r="AA1022">
        <v>0</v>
      </c>
      <c r="AB1022">
        <v>0</v>
      </c>
      <c r="AC1022">
        <v>1</v>
      </c>
      <c r="AD1022">
        <v>1</v>
      </c>
      <c r="AE1022">
        <v>0</v>
      </c>
      <c r="AF1022" t="s">
        <v>12</v>
      </c>
      <c r="AG1022" t="s">
        <v>12</v>
      </c>
      <c r="AH1022" t="s">
        <v>12</v>
      </c>
      <c r="AI1022" t="s">
        <v>12</v>
      </c>
      <c r="AJ1022" t="s">
        <v>12</v>
      </c>
      <c r="AK1022">
        <v>0</v>
      </c>
      <c r="AL1022">
        <v>0</v>
      </c>
      <c r="AM1022">
        <v>0</v>
      </c>
      <c r="AN1022" t="s">
        <v>12</v>
      </c>
      <c r="AO1022" t="s">
        <v>12</v>
      </c>
    </row>
    <row r="1023" spans="1:41" x14ac:dyDescent="0.35">
      <c r="A1023">
        <v>21044139</v>
      </c>
      <c r="B1023">
        <v>202510</v>
      </c>
      <c r="C1023">
        <v>10195653661</v>
      </c>
      <c r="D1023" t="s">
        <v>1299</v>
      </c>
      <c r="E1023">
        <v>19565366</v>
      </c>
      <c r="F1023">
        <v>10268331</v>
      </c>
      <c r="G1023" t="s">
        <v>100</v>
      </c>
      <c r="H1023" t="s">
        <v>85</v>
      </c>
      <c r="I1023">
        <v>85714.4375</v>
      </c>
      <c r="J1023" s="1">
        <v>45807</v>
      </c>
      <c r="K1023">
        <v>17</v>
      </c>
      <c r="L1023" t="s">
        <v>37</v>
      </c>
      <c r="M1023" t="s">
        <v>37</v>
      </c>
      <c r="N1023" t="s">
        <v>102</v>
      </c>
      <c r="O1023">
        <v>202505</v>
      </c>
      <c r="P1023">
        <v>100055</v>
      </c>
      <c r="Q1023" t="s">
        <v>85</v>
      </c>
      <c r="R1023" t="s">
        <v>87</v>
      </c>
      <c r="S1023" t="s">
        <v>88</v>
      </c>
      <c r="T1023" t="s">
        <v>89</v>
      </c>
      <c r="U1023" t="s">
        <v>41</v>
      </c>
      <c r="V1023">
        <v>2</v>
      </c>
      <c r="W1023" t="s">
        <v>10</v>
      </c>
      <c r="X1023" t="s">
        <v>12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 t="s">
        <v>12</v>
      </c>
      <c r="AG1023" t="s">
        <v>12</v>
      </c>
      <c r="AH1023" t="s">
        <v>12</v>
      </c>
      <c r="AI1023" t="s">
        <v>12</v>
      </c>
      <c r="AJ1023" t="s">
        <v>12</v>
      </c>
      <c r="AK1023">
        <v>100000</v>
      </c>
      <c r="AL1023">
        <v>0.30270000000000002</v>
      </c>
      <c r="AM1023">
        <v>0.28270000000000001</v>
      </c>
      <c r="AN1023" t="s">
        <v>12</v>
      </c>
      <c r="AO1023" t="s">
        <v>12</v>
      </c>
    </row>
    <row r="1024" spans="1:41" x14ac:dyDescent="0.35">
      <c r="A1024">
        <v>21690791</v>
      </c>
      <c r="B1024">
        <v>202512</v>
      </c>
      <c r="C1024">
        <v>20537533294</v>
      </c>
      <c r="D1024" t="s">
        <v>1300</v>
      </c>
      <c r="E1024" t="s">
        <v>1</v>
      </c>
      <c r="F1024">
        <v>10268657</v>
      </c>
      <c r="G1024" t="s">
        <v>24</v>
      </c>
      <c r="H1024" t="s">
        <v>166</v>
      </c>
      <c r="I1024">
        <v>20881.1015625</v>
      </c>
      <c r="J1024" s="1">
        <v>45821</v>
      </c>
      <c r="K1024">
        <v>20</v>
      </c>
      <c r="L1024" t="s">
        <v>37</v>
      </c>
      <c r="M1024" t="s">
        <v>75</v>
      </c>
      <c r="N1024" t="s">
        <v>98</v>
      </c>
      <c r="O1024">
        <v>202506</v>
      </c>
      <c r="P1024">
        <v>92926.6</v>
      </c>
      <c r="Q1024" t="s">
        <v>166</v>
      </c>
      <c r="R1024" t="s">
        <v>167</v>
      </c>
      <c r="S1024" t="s">
        <v>111</v>
      </c>
      <c r="T1024" t="s">
        <v>112</v>
      </c>
      <c r="U1024" t="s">
        <v>9</v>
      </c>
      <c r="V1024">
        <v>2</v>
      </c>
      <c r="W1024" t="s">
        <v>10</v>
      </c>
      <c r="X1024" t="s">
        <v>11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 t="s">
        <v>12</v>
      </c>
      <c r="AG1024" t="s">
        <v>12</v>
      </c>
      <c r="AH1024" t="s">
        <v>12</v>
      </c>
      <c r="AI1024" t="s">
        <v>12</v>
      </c>
      <c r="AJ1024" t="s">
        <v>12</v>
      </c>
      <c r="AK1024">
        <v>0</v>
      </c>
      <c r="AL1024">
        <v>0</v>
      </c>
      <c r="AM1024">
        <v>0</v>
      </c>
      <c r="AN1024" t="s">
        <v>12</v>
      </c>
      <c r="AO1024" t="s">
        <v>12</v>
      </c>
    </row>
    <row r="1025" spans="1:41" x14ac:dyDescent="0.35">
      <c r="A1025">
        <v>21712747</v>
      </c>
      <c r="B1025">
        <v>202508</v>
      </c>
      <c r="C1025">
        <v>20601266912</v>
      </c>
      <c r="D1025" t="s">
        <v>1301</v>
      </c>
      <c r="E1025" t="s">
        <v>1</v>
      </c>
      <c r="F1025">
        <v>10269108</v>
      </c>
      <c r="G1025" t="s">
        <v>14</v>
      </c>
      <c r="H1025" t="s">
        <v>159</v>
      </c>
      <c r="I1025">
        <v>111476.6875</v>
      </c>
      <c r="J1025" s="1">
        <v>45834</v>
      </c>
      <c r="K1025">
        <v>18</v>
      </c>
      <c r="L1025" t="s">
        <v>37</v>
      </c>
      <c r="M1025" t="s">
        <v>37</v>
      </c>
      <c r="N1025" t="s">
        <v>16</v>
      </c>
      <c r="O1025">
        <v>202506</v>
      </c>
      <c r="P1025">
        <v>120006</v>
      </c>
      <c r="Q1025" t="s">
        <v>12</v>
      </c>
      <c r="R1025" t="s">
        <v>12</v>
      </c>
      <c r="S1025" t="s">
        <v>12</v>
      </c>
      <c r="T1025" t="s">
        <v>12</v>
      </c>
      <c r="U1025" t="s">
        <v>12</v>
      </c>
      <c r="V1025" t="s">
        <v>12</v>
      </c>
      <c r="W1025" t="s">
        <v>12</v>
      </c>
      <c r="X1025" t="s">
        <v>12</v>
      </c>
      <c r="Y1025" t="s">
        <v>12</v>
      </c>
      <c r="Z1025" t="s">
        <v>12</v>
      </c>
      <c r="AA1025" t="s">
        <v>12</v>
      </c>
      <c r="AB1025" t="s">
        <v>12</v>
      </c>
      <c r="AC1025" t="s">
        <v>12</v>
      </c>
      <c r="AD1025" t="s">
        <v>12</v>
      </c>
      <c r="AE1025" t="s">
        <v>12</v>
      </c>
      <c r="AF1025" t="s">
        <v>12</v>
      </c>
      <c r="AG1025" t="s">
        <v>12</v>
      </c>
      <c r="AH1025" t="s">
        <v>12</v>
      </c>
      <c r="AI1025" t="s">
        <v>12</v>
      </c>
      <c r="AJ1025" t="s">
        <v>12</v>
      </c>
      <c r="AK1025" t="s">
        <v>12</v>
      </c>
      <c r="AL1025" t="s">
        <v>12</v>
      </c>
      <c r="AM1025" t="s">
        <v>12</v>
      </c>
      <c r="AN1025" t="s">
        <v>12</v>
      </c>
      <c r="AO1025" t="s">
        <v>12</v>
      </c>
    </row>
    <row r="1026" spans="1:41" x14ac:dyDescent="0.35">
      <c r="A1026">
        <v>17416289</v>
      </c>
      <c r="B1026">
        <v>202511</v>
      </c>
      <c r="C1026">
        <v>10296095741</v>
      </c>
      <c r="D1026" t="s">
        <v>1302</v>
      </c>
      <c r="E1026">
        <v>29609574</v>
      </c>
      <c r="F1026">
        <v>10266862</v>
      </c>
      <c r="G1026" t="s">
        <v>100</v>
      </c>
      <c r="H1026" t="s">
        <v>210</v>
      </c>
      <c r="I1026">
        <v>107281.9609375</v>
      </c>
      <c r="J1026" s="1">
        <v>45750</v>
      </c>
      <c r="K1026">
        <v>20</v>
      </c>
      <c r="L1026" t="s">
        <v>37</v>
      </c>
      <c r="M1026" t="s">
        <v>37</v>
      </c>
      <c r="N1026" t="s">
        <v>102</v>
      </c>
      <c r="O1026">
        <v>202504</v>
      </c>
      <c r="P1026">
        <v>156407.79999999999</v>
      </c>
      <c r="Q1026" t="s">
        <v>210</v>
      </c>
      <c r="R1026" t="s">
        <v>211</v>
      </c>
      <c r="S1026" t="s">
        <v>39</v>
      </c>
      <c r="T1026" t="s">
        <v>40</v>
      </c>
      <c r="U1026" t="s">
        <v>41</v>
      </c>
      <c r="V1026">
        <v>1</v>
      </c>
      <c r="W1026" t="s">
        <v>10</v>
      </c>
      <c r="X1026" t="s">
        <v>59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 t="s">
        <v>12</v>
      </c>
      <c r="AG1026" t="s">
        <v>12</v>
      </c>
      <c r="AH1026" t="s">
        <v>12</v>
      </c>
      <c r="AI1026" t="s">
        <v>12</v>
      </c>
      <c r="AJ1026" t="s">
        <v>12</v>
      </c>
      <c r="AK1026">
        <v>200000</v>
      </c>
      <c r="AL1026">
        <v>0.2288</v>
      </c>
      <c r="AM1026">
        <v>0.20880000000000001</v>
      </c>
      <c r="AN1026" t="s">
        <v>12</v>
      </c>
      <c r="AO1026" t="s">
        <v>12</v>
      </c>
    </row>
    <row r="1027" spans="1:41" x14ac:dyDescent="0.35">
      <c r="A1027">
        <v>13604147</v>
      </c>
      <c r="B1027">
        <v>202502</v>
      </c>
      <c r="C1027">
        <v>10447487671</v>
      </c>
      <c r="D1027" t="s">
        <v>1303</v>
      </c>
      <c r="E1027">
        <v>44748767</v>
      </c>
      <c r="F1027">
        <v>10260770</v>
      </c>
      <c r="G1027" t="s">
        <v>65</v>
      </c>
      <c r="H1027" t="s">
        <v>1304</v>
      </c>
      <c r="I1027">
        <v>15581.765625</v>
      </c>
      <c r="J1027" s="1">
        <v>45560</v>
      </c>
      <c r="K1027">
        <v>14.8</v>
      </c>
      <c r="L1027" t="s">
        <v>37</v>
      </c>
      <c r="M1027" t="s">
        <v>37</v>
      </c>
      <c r="N1027" t="s">
        <v>47</v>
      </c>
      <c r="O1027">
        <v>202409</v>
      </c>
      <c r="P1027">
        <v>15581.75</v>
      </c>
      <c r="Q1027" t="s">
        <v>12</v>
      </c>
      <c r="R1027" t="s">
        <v>12</v>
      </c>
      <c r="S1027" t="s">
        <v>12</v>
      </c>
      <c r="T1027" t="s">
        <v>12</v>
      </c>
      <c r="U1027" t="s">
        <v>12</v>
      </c>
      <c r="V1027" t="s">
        <v>12</v>
      </c>
      <c r="W1027" t="s">
        <v>12</v>
      </c>
      <c r="X1027" t="s">
        <v>12</v>
      </c>
      <c r="Y1027" t="s">
        <v>12</v>
      </c>
      <c r="Z1027" t="s">
        <v>12</v>
      </c>
      <c r="AA1027" t="s">
        <v>12</v>
      </c>
      <c r="AB1027" t="s">
        <v>12</v>
      </c>
      <c r="AC1027" t="s">
        <v>12</v>
      </c>
      <c r="AD1027" t="s">
        <v>12</v>
      </c>
      <c r="AE1027" t="s">
        <v>12</v>
      </c>
      <c r="AF1027" t="s">
        <v>12</v>
      </c>
      <c r="AG1027" t="s">
        <v>12</v>
      </c>
      <c r="AH1027" t="s">
        <v>12</v>
      </c>
      <c r="AI1027" t="s">
        <v>12</v>
      </c>
      <c r="AJ1027" t="s">
        <v>12</v>
      </c>
      <c r="AK1027" t="s">
        <v>12</v>
      </c>
      <c r="AL1027" t="s">
        <v>12</v>
      </c>
      <c r="AM1027" t="s">
        <v>12</v>
      </c>
      <c r="AN1027" t="s">
        <v>12</v>
      </c>
      <c r="AO1027" t="s">
        <v>12</v>
      </c>
    </row>
    <row r="1028" spans="1:41" x14ac:dyDescent="0.35">
      <c r="A1028">
        <v>21047685</v>
      </c>
      <c r="B1028">
        <v>202512</v>
      </c>
      <c r="C1028">
        <v>20608669486</v>
      </c>
      <c r="D1028" t="s">
        <v>1305</v>
      </c>
      <c r="E1028" t="s">
        <v>1</v>
      </c>
      <c r="F1028">
        <v>10258151</v>
      </c>
      <c r="G1028" t="s">
        <v>45</v>
      </c>
      <c r="H1028" t="s">
        <v>46</v>
      </c>
      <c r="I1028">
        <v>54803.984375</v>
      </c>
      <c r="J1028" s="1">
        <v>45503</v>
      </c>
      <c r="K1028">
        <v>15.5</v>
      </c>
      <c r="L1028" t="s">
        <v>37</v>
      </c>
      <c r="M1028" t="s">
        <v>37</v>
      </c>
      <c r="N1028" t="s">
        <v>47</v>
      </c>
      <c r="O1028">
        <v>202407</v>
      </c>
      <c r="P1028">
        <v>90004.5</v>
      </c>
      <c r="Q1028" t="s">
        <v>46</v>
      </c>
      <c r="R1028" t="s">
        <v>48</v>
      </c>
      <c r="S1028" t="s">
        <v>49</v>
      </c>
      <c r="T1028" t="s">
        <v>50</v>
      </c>
      <c r="U1028" t="s">
        <v>70</v>
      </c>
      <c r="V1028">
        <v>1</v>
      </c>
      <c r="W1028" t="s">
        <v>10</v>
      </c>
      <c r="X1028" t="s">
        <v>51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 t="s">
        <v>12</v>
      </c>
      <c r="AG1028" t="s">
        <v>12</v>
      </c>
      <c r="AH1028" t="s">
        <v>12</v>
      </c>
      <c r="AI1028" t="s">
        <v>12</v>
      </c>
      <c r="AJ1028" t="s">
        <v>12</v>
      </c>
      <c r="AK1028">
        <v>40000</v>
      </c>
      <c r="AL1028">
        <v>0.19</v>
      </c>
      <c r="AM1028">
        <v>0.17</v>
      </c>
      <c r="AN1028" t="s">
        <v>12</v>
      </c>
      <c r="AO1028" t="s">
        <v>12</v>
      </c>
    </row>
    <row r="1029" spans="1:41" x14ac:dyDescent="0.35">
      <c r="A1029">
        <v>20724791</v>
      </c>
      <c r="B1029">
        <v>202512</v>
      </c>
      <c r="C1029">
        <v>20604851735</v>
      </c>
      <c r="D1029" t="s">
        <v>1306</v>
      </c>
      <c r="E1029" t="s">
        <v>1</v>
      </c>
      <c r="F1029">
        <v>10258250</v>
      </c>
      <c r="G1029" t="s">
        <v>65</v>
      </c>
      <c r="H1029" t="s">
        <v>422</v>
      </c>
      <c r="I1029">
        <v>18097.681640625</v>
      </c>
      <c r="J1029" s="1">
        <v>45503</v>
      </c>
      <c r="K1029">
        <v>14.5</v>
      </c>
      <c r="L1029" t="s">
        <v>37</v>
      </c>
      <c r="M1029" t="s">
        <v>37</v>
      </c>
      <c r="N1029" t="s">
        <v>47</v>
      </c>
      <c r="O1029">
        <v>202407</v>
      </c>
      <c r="P1029">
        <v>30001.5</v>
      </c>
      <c r="Q1029" t="s">
        <v>422</v>
      </c>
      <c r="R1029" t="s">
        <v>424</v>
      </c>
      <c r="S1029" t="s">
        <v>88</v>
      </c>
      <c r="T1029" t="s">
        <v>89</v>
      </c>
      <c r="U1029" t="s">
        <v>9</v>
      </c>
      <c r="V1029">
        <v>2</v>
      </c>
      <c r="W1029" t="s">
        <v>10</v>
      </c>
      <c r="X1029" t="s">
        <v>22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 t="s">
        <v>12</v>
      </c>
      <c r="AG1029" t="s">
        <v>12</v>
      </c>
      <c r="AH1029" t="s">
        <v>12</v>
      </c>
      <c r="AI1029" t="s">
        <v>12</v>
      </c>
      <c r="AJ1029" t="s">
        <v>12</v>
      </c>
      <c r="AK1029">
        <v>0</v>
      </c>
      <c r="AL1029">
        <v>0</v>
      </c>
      <c r="AM1029">
        <v>0</v>
      </c>
      <c r="AN1029" t="s">
        <v>12</v>
      </c>
      <c r="AO1029" t="s">
        <v>12</v>
      </c>
    </row>
    <row r="1030" spans="1:41" x14ac:dyDescent="0.35">
      <c r="A1030">
        <v>17591537</v>
      </c>
      <c r="B1030">
        <v>202505</v>
      </c>
      <c r="C1030">
        <v>20606698632</v>
      </c>
      <c r="D1030" t="s">
        <v>1307</v>
      </c>
      <c r="E1030" t="s">
        <v>1</v>
      </c>
      <c r="F1030">
        <v>10239584</v>
      </c>
      <c r="G1030" t="s">
        <v>92</v>
      </c>
      <c r="H1030" t="s">
        <v>522</v>
      </c>
      <c r="I1030">
        <v>12378.0400390625</v>
      </c>
      <c r="J1030" s="1">
        <v>45086</v>
      </c>
      <c r="K1030">
        <v>20.100000000000001</v>
      </c>
      <c r="L1030" t="s">
        <v>4</v>
      </c>
      <c r="M1030" t="s">
        <v>4</v>
      </c>
      <c r="N1030" t="s">
        <v>41</v>
      </c>
      <c r="O1030">
        <v>202306</v>
      </c>
      <c r="P1030">
        <v>250012.5</v>
      </c>
      <c r="Q1030" t="s">
        <v>522</v>
      </c>
      <c r="R1030" t="s">
        <v>523</v>
      </c>
      <c r="S1030" t="s">
        <v>127</v>
      </c>
      <c r="T1030" t="s">
        <v>147</v>
      </c>
      <c r="U1030" t="s">
        <v>41</v>
      </c>
      <c r="V1030">
        <v>1</v>
      </c>
      <c r="W1030" t="s">
        <v>10</v>
      </c>
      <c r="X1030" t="s">
        <v>12</v>
      </c>
      <c r="Y1030">
        <v>1</v>
      </c>
      <c r="Z1030">
        <v>1</v>
      </c>
      <c r="AA1030">
        <v>0</v>
      </c>
      <c r="AB1030">
        <v>1</v>
      </c>
      <c r="AC1030">
        <v>1</v>
      </c>
      <c r="AD1030">
        <v>0</v>
      </c>
      <c r="AE1030">
        <v>0</v>
      </c>
      <c r="AF1030" t="s">
        <v>12</v>
      </c>
      <c r="AG1030" t="s">
        <v>12</v>
      </c>
      <c r="AH1030" t="s">
        <v>12</v>
      </c>
      <c r="AI1030" t="s">
        <v>12</v>
      </c>
      <c r="AJ1030" t="s">
        <v>12</v>
      </c>
      <c r="AK1030">
        <v>400000</v>
      </c>
      <c r="AL1030">
        <v>0.2</v>
      </c>
      <c r="AM1030">
        <v>0.17780000000000001</v>
      </c>
      <c r="AN1030" t="s">
        <v>12</v>
      </c>
      <c r="AO1030" t="s">
        <v>12</v>
      </c>
    </row>
    <row r="1031" spans="1:41" x14ac:dyDescent="0.35">
      <c r="A1031">
        <v>18938516</v>
      </c>
      <c r="B1031">
        <v>202602</v>
      </c>
      <c r="C1031">
        <v>20609450691</v>
      </c>
      <c r="D1031" t="s">
        <v>237</v>
      </c>
      <c r="E1031" t="s">
        <v>1</v>
      </c>
      <c r="F1031">
        <v>10255525</v>
      </c>
      <c r="G1031" t="s">
        <v>53</v>
      </c>
      <c r="H1031" t="s">
        <v>227</v>
      </c>
      <c r="I1031">
        <v>2722.83374023438</v>
      </c>
      <c r="J1031" s="1">
        <v>45462</v>
      </c>
      <c r="K1031">
        <v>16.700001</v>
      </c>
      <c r="L1031" t="s">
        <v>37</v>
      </c>
      <c r="M1031" t="s">
        <v>37</v>
      </c>
      <c r="N1031" t="s">
        <v>47</v>
      </c>
      <c r="O1031">
        <v>202406</v>
      </c>
      <c r="P1031">
        <v>62823.1</v>
      </c>
      <c r="Q1031" t="s">
        <v>227</v>
      </c>
      <c r="R1031" t="s">
        <v>228</v>
      </c>
      <c r="S1031" t="s">
        <v>127</v>
      </c>
      <c r="T1031" t="s">
        <v>147</v>
      </c>
      <c r="U1031" t="s">
        <v>20</v>
      </c>
      <c r="V1031">
        <v>1</v>
      </c>
      <c r="W1031" t="s">
        <v>10</v>
      </c>
      <c r="X1031" t="s">
        <v>22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 t="s">
        <v>12</v>
      </c>
      <c r="AG1031" t="s">
        <v>12</v>
      </c>
      <c r="AH1031" t="s">
        <v>12</v>
      </c>
      <c r="AI1031" t="s">
        <v>12</v>
      </c>
      <c r="AJ1031" t="s">
        <v>12</v>
      </c>
      <c r="AK1031">
        <v>1</v>
      </c>
      <c r="AL1031">
        <v>1</v>
      </c>
      <c r="AM1031" t="s">
        <v>12</v>
      </c>
      <c r="AN1031" t="s">
        <v>12</v>
      </c>
      <c r="AO1031" t="s">
        <v>12</v>
      </c>
    </row>
    <row r="1032" spans="1:41" x14ac:dyDescent="0.35">
      <c r="A1032">
        <v>21204249</v>
      </c>
      <c r="B1032">
        <v>202502</v>
      </c>
      <c r="C1032">
        <v>20600834879</v>
      </c>
      <c r="D1032" t="s">
        <v>1308</v>
      </c>
      <c r="E1032" t="s">
        <v>1</v>
      </c>
      <c r="F1032">
        <v>10261127</v>
      </c>
      <c r="G1032" t="s">
        <v>45</v>
      </c>
      <c r="H1032" t="s">
        <v>1176</v>
      </c>
      <c r="I1032">
        <v>39947.26171875</v>
      </c>
      <c r="J1032" s="1">
        <v>45562</v>
      </c>
      <c r="K1032">
        <v>14.5</v>
      </c>
      <c r="L1032" t="s">
        <v>37</v>
      </c>
      <c r="M1032" t="s">
        <v>37</v>
      </c>
      <c r="N1032" t="s">
        <v>47</v>
      </c>
      <c r="O1032">
        <v>202409</v>
      </c>
      <c r="P1032">
        <v>70003.5</v>
      </c>
      <c r="Q1032" t="s">
        <v>12</v>
      </c>
      <c r="R1032" t="s">
        <v>12</v>
      </c>
      <c r="S1032" t="s">
        <v>12</v>
      </c>
      <c r="T1032" t="s">
        <v>12</v>
      </c>
      <c r="U1032" t="s">
        <v>12</v>
      </c>
      <c r="V1032" t="s">
        <v>12</v>
      </c>
      <c r="W1032" t="s">
        <v>12</v>
      </c>
      <c r="X1032" t="s">
        <v>12</v>
      </c>
      <c r="Y1032" t="s">
        <v>12</v>
      </c>
      <c r="Z1032" t="s">
        <v>12</v>
      </c>
      <c r="AA1032" t="s">
        <v>12</v>
      </c>
      <c r="AB1032" t="s">
        <v>12</v>
      </c>
      <c r="AC1032" t="s">
        <v>12</v>
      </c>
      <c r="AD1032" t="s">
        <v>12</v>
      </c>
      <c r="AE1032" t="s">
        <v>12</v>
      </c>
      <c r="AF1032" t="s">
        <v>12</v>
      </c>
      <c r="AG1032" t="s">
        <v>12</v>
      </c>
      <c r="AH1032" t="s">
        <v>12</v>
      </c>
      <c r="AI1032" t="s">
        <v>12</v>
      </c>
      <c r="AJ1032" t="s">
        <v>12</v>
      </c>
      <c r="AK1032" t="s">
        <v>12</v>
      </c>
      <c r="AL1032" t="s">
        <v>12</v>
      </c>
      <c r="AM1032" t="s">
        <v>12</v>
      </c>
      <c r="AN1032" t="s">
        <v>12</v>
      </c>
      <c r="AO1032" t="s">
        <v>12</v>
      </c>
    </row>
    <row r="1033" spans="1:41" x14ac:dyDescent="0.35">
      <c r="A1033">
        <v>21127315</v>
      </c>
      <c r="B1033">
        <v>202512</v>
      </c>
      <c r="C1033">
        <v>10453467223</v>
      </c>
      <c r="D1033" t="s">
        <v>1309</v>
      </c>
      <c r="E1033">
        <v>45346722</v>
      </c>
      <c r="F1033">
        <v>10260162</v>
      </c>
      <c r="G1033" t="s">
        <v>45</v>
      </c>
      <c r="H1033" t="s">
        <v>428</v>
      </c>
      <c r="I1033">
        <v>19730.75390625</v>
      </c>
      <c r="J1033" s="1">
        <v>45546</v>
      </c>
      <c r="K1033">
        <v>14.8</v>
      </c>
      <c r="L1033" t="s">
        <v>37</v>
      </c>
      <c r="M1033" t="s">
        <v>37</v>
      </c>
      <c r="N1033" t="s">
        <v>47</v>
      </c>
      <c r="O1033">
        <v>202409</v>
      </c>
      <c r="P1033">
        <v>30001.5</v>
      </c>
      <c r="Q1033" t="s">
        <v>12</v>
      </c>
      <c r="R1033" t="s">
        <v>12</v>
      </c>
      <c r="S1033" t="s">
        <v>12</v>
      </c>
      <c r="T1033" t="s">
        <v>12</v>
      </c>
      <c r="U1033" t="s">
        <v>12</v>
      </c>
      <c r="V1033" t="s">
        <v>12</v>
      </c>
      <c r="W1033" t="s">
        <v>12</v>
      </c>
      <c r="X1033" t="s">
        <v>12</v>
      </c>
      <c r="Y1033" t="s">
        <v>12</v>
      </c>
      <c r="Z1033" t="s">
        <v>12</v>
      </c>
      <c r="AA1033" t="s">
        <v>12</v>
      </c>
      <c r="AB1033" t="s">
        <v>12</v>
      </c>
      <c r="AC1033" t="s">
        <v>12</v>
      </c>
      <c r="AD1033" t="s">
        <v>12</v>
      </c>
      <c r="AE1033" t="s">
        <v>12</v>
      </c>
      <c r="AF1033" t="s">
        <v>12</v>
      </c>
      <c r="AG1033" t="s">
        <v>12</v>
      </c>
      <c r="AH1033" t="s">
        <v>12</v>
      </c>
      <c r="AI1033" t="s">
        <v>12</v>
      </c>
      <c r="AJ1033" t="s">
        <v>12</v>
      </c>
      <c r="AK1033" t="s">
        <v>12</v>
      </c>
      <c r="AL1033" t="s">
        <v>12</v>
      </c>
      <c r="AM1033" t="s">
        <v>12</v>
      </c>
      <c r="AN1033" t="s">
        <v>12</v>
      </c>
      <c r="AO1033" t="s">
        <v>12</v>
      </c>
    </row>
    <row r="1034" spans="1:41" x14ac:dyDescent="0.35">
      <c r="A1034">
        <v>16699864</v>
      </c>
      <c r="B1034">
        <v>202503</v>
      </c>
      <c r="C1034">
        <v>20605945083</v>
      </c>
      <c r="D1034" t="s">
        <v>1310</v>
      </c>
      <c r="E1034" t="s">
        <v>1</v>
      </c>
      <c r="F1034">
        <v>10261615</v>
      </c>
      <c r="G1034" t="s">
        <v>65</v>
      </c>
      <c r="H1034" t="s">
        <v>159</v>
      </c>
      <c r="I1034">
        <v>90004.5</v>
      </c>
      <c r="J1034" s="1">
        <v>45581</v>
      </c>
      <c r="K1034">
        <v>15.2</v>
      </c>
      <c r="L1034" t="s">
        <v>37</v>
      </c>
      <c r="M1034" t="s">
        <v>37</v>
      </c>
      <c r="N1034" t="s">
        <v>47</v>
      </c>
      <c r="O1034">
        <v>202410</v>
      </c>
      <c r="P1034">
        <v>90004.5</v>
      </c>
      <c r="Q1034" t="s">
        <v>12</v>
      </c>
      <c r="R1034" t="s">
        <v>12</v>
      </c>
      <c r="S1034" t="s">
        <v>12</v>
      </c>
      <c r="T1034" t="s">
        <v>12</v>
      </c>
      <c r="U1034" t="s">
        <v>12</v>
      </c>
      <c r="V1034" t="s">
        <v>12</v>
      </c>
      <c r="W1034" t="s">
        <v>12</v>
      </c>
      <c r="X1034" t="s">
        <v>12</v>
      </c>
      <c r="Y1034" t="s">
        <v>12</v>
      </c>
      <c r="Z1034" t="s">
        <v>12</v>
      </c>
      <c r="AA1034" t="s">
        <v>12</v>
      </c>
      <c r="AB1034" t="s">
        <v>12</v>
      </c>
      <c r="AC1034" t="s">
        <v>12</v>
      </c>
      <c r="AD1034" t="s">
        <v>12</v>
      </c>
      <c r="AE1034" t="s">
        <v>12</v>
      </c>
      <c r="AF1034" t="s">
        <v>12</v>
      </c>
      <c r="AG1034" t="s">
        <v>12</v>
      </c>
      <c r="AH1034" t="s">
        <v>12</v>
      </c>
      <c r="AI1034" t="s">
        <v>12</v>
      </c>
      <c r="AJ1034" t="s">
        <v>12</v>
      </c>
      <c r="AK1034" t="s">
        <v>12</v>
      </c>
      <c r="AL1034" t="s">
        <v>12</v>
      </c>
      <c r="AM1034" t="s">
        <v>12</v>
      </c>
      <c r="AN1034" t="s">
        <v>12</v>
      </c>
      <c r="AO1034" t="s">
        <v>12</v>
      </c>
    </row>
    <row r="1035" spans="1:41" x14ac:dyDescent="0.35">
      <c r="A1035">
        <v>16659407</v>
      </c>
      <c r="B1035">
        <v>202510</v>
      </c>
      <c r="C1035">
        <v>10736282521</v>
      </c>
      <c r="D1035" t="s">
        <v>1311</v>
      </c>
      <c r="E1035">
        <v>73628252</v>
      </c>
      <c r="F1035">
        <v>10260632</v>
      </c>
      <c r="G1035" t="s">
        <v>65</v>
      </c>
      <c r="H1035" t="s">
        <v>159</v>
      </c>
      <c r="I1035">
        <v>66447.0703125</v>
      </c>
      <c r="J1035" s="1">
        <v>45554</v>
      </c>
      <c r="K1035">
        <v>15.4</v>
      </c>
      <c r="L1035" t="s">
        <v>4</v>
      </c>
      <c r="M1035" t="s">
        <v>4</v>
      </c>
      <c r="N1035" t="s">
        <v>47</v>
      </c>
      <c r="O1035">
        <v>202409</v>
      </c>
      <c r="P1035">
        <v>90004.5</v>
      </c>
      <c r="Q1035" t="s">
        <v>531</v>
      </c>
      <c r="R1035" t="s">
        <v>532</v>
      </c>
      <c r="S1035" t="s">
        <v>39</v>
      </c>
      <c r="T1035" t="s">
        <v>40</v>
      </c>
      <c r="U1035" t="s">
        <v>41</v>
      </c>
      <c r="V1035">
        <v>1</v>
      </c>
      <c r="W1035" t="s">
        <v>10</v>
      </c>
      <c r="X1035" t="s">
        <v>12</v>
      </c>
      <c r="Y1035">
        <v>1</v>
      </c>
      <c r="Z1035">
        <v>1</v>
      </c>
      <c r="AA1035">
        <v>0</v>
      </c>
      <c r="AB1035">
        <v>1</v>
      </c>
      <c r="AC1035">
        <v>1</v>
      </c>
      <c r="AD1035">
        <v>0</v>
      </c>
      <c r="AE1035">
        <v>0</v>
      </c>
      <c r="AF1035" t="s">
        <v>12</v>
      </c>
      <c r="AG1035" t="s">
        <v>12</v>
      </c>
      <c r="AH1035" t="s">
        <v>12</v>
      </c>
      <c r="AI1035" t="s">
        <v>12</v>
      </c>
      <c r="AJ1035" t="s">
        <v>12</v>
      </c>
      <c r="AK1035">
        <v>200000</v>
      </c>
      <c r="AL1035">
        <v>0.23469999999999999</v>
      </c>
      <c r="AM1035">
        <v>0.2147</v>
      </c>
      <c r="AN1035" t="s">
        <v>12</v>
      </c>
      <c r="AO1035" t="s">
        <v>12</v>
      </c>
    </row>
    <row r="1036" spans="1:41" x14ac:dyDescent="0.35">
      <c r="A1036">
        <v>20819145</v>
      </c>
      <c r="B1036">
        <v>202509</v>
      </c>
      <c r="C1036">
        <v>20602023037</v>
      </c>
      <c r="D1036" t="s">
        <v>1312</v>
      </c>
      <c r="E1036" t="s">
        <v>1</v>
      </c>
      <c r="F1036">
        <v>10252121</v>
      </c>
      <c r="G1036" t="s">
        <v>45</v>
      </c>
      <c r="H1036" t="s">
        <v>82</v>
      </c>
      <c r="I1036">
        <v>28892.123046875</v>
      </c>
      <c r="J1036" s="1">
        <v>45412</v>
      </c>
      <c r="K1036">
        <v>15.5</v>
      </c>
      <c r="L1036" t="s">
        <v>37</v>
      </c>
      <c r="M1036" t="s">
        <v>37</v>
      </c>
      <c r="N1036" t="s">
        <v>47</v>
      </c>
      <c r="O1036">
        <v>202404</v>
      </c>
      <c r="P1036">
        <v>50002.5</v>
      </c>
      <c r="Q1036" t="s">
        <v>82</v>
      </c>
      <c r="R1036" t="s">
        <v>83</v>
      </c>
      <c r="S1036" t="s">
        <v>49</v>
      </c>
      <c r="T1036" t="s">
        <v>50</v>
      </c>
      <c r="U1036" t="s">
        <v>20</v>
      </c>
      <c r="V1036">
        <v>1</v>
      </c>
      <c r="W1036" t="s">
        <v>10</v>
      </c>
      <c r="X1036" t="s">
        <v>51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 t="s">
        <v>12</v>
      </c>
      <c r="AG1036" t="s">
        <v>12</v>
      </c>
      <c r="AH1036" t="s">
        <v>12</v>
      </c>
      <c r="AI1036" t="s">
        <v>12</v>
      </c>
      <c r="AJ1036" t="s">
        <v>12</v>
      </c>
      <c r="AK1036">
        <v>1</v>
      </c>
      <c r="AL1036">
        <v>1</v>
      </c>
      <c r="AM1036" t="s">
        <v>12</v>
      </c>
      <c r="AN1036" t="s">
        <v>12</v>
      </c>
      <c r="AO1036" t="s">
        <v>12</v>
      </c>
    </row>
    <row r="1037" spans="1:41" x14ac:dyDescent="0.35">
      <c r="A1037">
        <v>21550437</v>
      </c>
      <c r="B1037">
        <v>202509</v>
      </c>
      <c r="C1037">
        <v>20600474937</v>
      </c>
      <c r="D1037" t="s">
        <v>1313</v>
      </c>
      <c r="E1037" t="s">
        <v>1</v>
      </c>
      <c r="F1037">
        <v>10266603</v>
      </c>
      <c r="G1037" t="s">
        <v>28</v>
      </c>
      <c r="H1037" t="s">
        <v>500</v>
      </c>
      <c r="I1037">
        <v>31257.205078125</v>
      </c>
      <c r="J1037" s="1">
        <v>45743</v>
      </c>
      <c r="K1037">
        <v>18.5</v>
      </c>
      <c r="L1037" t="s">
        <v>4</v>
      </c>
      <c r="M1037" t="s">
        <v>75</v>
      </c>
      <c r="N1037" t="s">
        <v>26</v>
      </c>
      <c r="O1037">
        <v>202503</v>
      </c>
      <c r="P1037">
        <v>100005</v>
      </c>
      <c r="Q1037" t="s">
        <v>500</v>
      </c>
      <c r="R1037" t="s">
        <v>501</v>
      </c>
      <c r="S1037" t="s">
        <v>31</v>
      </c>
      <c r="T1037" t="s">
        <v>32</v>
      </c>
      <c r="U1037" t="s">
        <v>41</v>
      </c>
      <c r="V1037">
        <v>1</v>
      </c>
      <c r="W1037" t="s">
        <v>10</v>
      </c>
      <c r="X1037" t="s">
        <v>51</v>
      </c>
      <c r="Y1037">
        <v>1</v>
      </c>
      <c r="Z1037">
        <v>1</v>
      </c>
      <c r="AA1037">
        <v>0</v>
      </c>
      <c r="AB1037">
        <v>0</v>
      </c>
      <c r="AC1037">
        <v>1</v>
      </c>
      <c r="AD1037">
        <v>1</v>
      </c>
      <c r="AE1037">
        <v>0</v>
      </c>
      <c r="AF1037" t="s">
        <v>12</v>
      </c>
      <c r="AG1037" t="s">
        <v>12</v>
      </c>
      <c r="AH1037" t="s">
        <v>12</v>
      </c>
      <c r="AI1037" t="s">
        <v>12</v>
      </c>
      <c r="AJ1037" t="s">
        <v>12</v>
      </c>
      <c r="AK1037">
        <v>200000</v>
      </c>
      <c r="AL1037">
        <v>0.25219999999999998</v>
      </c>
      <c r="AM1037">
        <v>0.23219999999999999</v>
      </c>
      <c r="AN1037" t="s">
        <v>12</v>
      </c>
      <c r="AO1037" t="s">
        <v>12</v>
      </c>
    </row>
    <row r="1038" spans="1:41" x14ac:dyDescent="0.35">
      <c r="A1038">
        <v>13621268</v>
      </c>
      <c r="B1038">
        <v>202503</v>
      </c>
      <c r="C1038">
        <v>20491854058</v>
      </c>
      <c r="D1038" t="s">
        <v>919</v>
      </c>
      <c r="E1038" t="s">
        <v>1</v>
      </c>
      <c r="F1038">
        <v>10235334</v>
      </c>
      <c r="G1038" t="s">
        <v>2</v>
      </c>
      <c r="H1038" t="s">
        <v>246</v>
      </c>
      <c r="I1038">
        <v>178661.71875</v>
      </c>
      <c r="J1038" s="1">
        <v>45604</v>
      </c>
      <c r="K1038">
        <v>18.5</v>
      </c>
      <c r="L1038" t="s">
        <v>4</v>
      </c>
      <c r="M1038" t="s">
        <v>4</v>
      </c>
      <c r="N1038" t="s">
        <v>5</v>
      </c>
      <c r="O1038">
        <v>202411</v>
      </c>
      <c r="P1038">
        <v>193354.26</v>
      </c>
      <c r="Q1038" t="s">
        <v>246</v>
      </c>
      <c r="R1038" t="s">
        <v>247</v>
      </c>
      <c r="S1038" t="s">
        <v>18</v>
      </c>
      <c r="T1038" t="s">
        <v>122</v>
      </c>
      <c r="U1038" t="s">
        <v>20</v>
      </c>
      <c r="V1038">
        <v>1</v>
      </c>
      <c r="W1038" t="s">
        <v>10</v>
      </c>
      <c r="X1038" t="s">
        <v>12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12</v>
      </c>
      <c r="AG1038" t="s">
        <v>12</v>
      </c>
      <c r="AH1038" t="s">
        <v>12</v>
      </c>
      <c r="AI1038" t="s">
        <v>12</v>
      </c>
      <c r="AJ1038" t="s">
        <v>12</v>
      </c>
      <c r="AK1038">
        <v>982495171</v>
      </c>
      <c r="AL1038">
        <v>0</v>
      </c>
      <c r="AM1038">
        <v>0</v>
      </c>
      <c r="AN1038" t="s">
        <v>12</v>
      </c>
      <c r="AO1038" t="s">
        <v>12</v>
      </c>
    </row>
    <row r="1039" spans="1:41" x14ac:dyDescent="0.35">
      <c r="A1039">
        <v>14435930</v>
      </c>
      <c r="B1039">
        <v>202509</v>
      </c>
      <c r="C1039">
        <v>10806535996</v>
      </c>
      <c r="D1039" t="s">
        <v>1314</v>
      </c>
      <c r="E1039">
        <v>80653599</v>
      </c>
      <c r="F1039">
        <v>10212736</v>
      </c>
      <c r="G1039" t="s">
        <v>696</v>
      </c>
      <c r="H1039" t="s">
        <v>120</v>
      </c>
      <c r="I1039">
        <v>20830.583984375</v>
      </c>
      <c r="J1039" t="s">
        <v>12</v>
      </c>
      <c r="K1039" t="s">
        <v>12</v>
      </c>
      <c r="L1039" t="s">
        <v>12</v>
      </c>
      <c r="M1039" t="s">
        <v>12</v>
      </c>
      <c r="N1039" t="s">
        <v>12</v>
      </c>
      <c r="O1039" t="s">
        <v>12</v>
      </c>
      <c r="P1039" t="s">
        <v>12</v>
      </c>
      <c r="Q1039" t="s">
        <v>120</v>
      </c>
      <c r="R1039" t="s">
        <v>121</v>
      </c>
      <c r="S1039" t="s">
        <v>18</v>
      </c>
      <c r="T1039" t="s">
        <v>122</v>
      </c>
      <c r="U1039" t="s">
        <v>41</v>
      </c>
      <c r="V1039">
        <v>1</v>
      </c>
      <c r="W1039" t="s">
        <v>10</v>
      </c>
      <c r="X1039" t="s">
        <v>59</v>
      </c>
      <c r="Y1039">
        <v>1</v>
      </c>
      <c r="Z1039">
        <v>1</v>
      </c>
      <c r="AA1039">
        <v>0</v>
      </c>
      <c r="AB1039">
        <v>1</v>
      </c>
      <c r="AC1039">
        <v>1</v>
      </c>
      <c r="AD1039">
        <v>1</v>
      </c>
      <c r="AE1039">
        <v>0</v>
      </c>
      <c r="AF1039" t="s">
        <v>12</v>
      </c>
      <c r="AG1039" t="s">
        <v>12</v>
      </c>
      <c r="AH1039" t="s">
        <v>12</v>
      </c>
      <c r="AI1039" t="s">
        <v>12</v>
      </c>
      <c r="AJ1039" t="s">
        <v>12</v>
      </c>
      <c r="AK1039">
        <v>200000</v>
      </c>
      <c r="AL1039">
        <v>0.23119999999999999</v>
      </c>
      <c r="AM1039">
        <v>0.2112</v>
      </c>
      <c r="AN1039" t="s">
        <v>12</v>
      </c>
      <c r="AO1039" t="s">
        <v>12</v>
      </c>
    </row>
    <row r="1040" spans="1:41" x14ac:dyDescent="0.35">
      <c r="A1040">
        <v>14331676</v>
      </c>
      <c r="B1040">
        <v>202511</v>
      </c>
      <c r="C1040">
        <v>20533032771</v>
      </c>
      <c r="D1040" t="s">
        <v>1315</v>
      </c>
      <c r="E1040" t="s">
        <v>1</v>
      </c>
      <c r="F1040">
        <v>10154144</v>
      </c>
      <c r="G1040" t="s">
        <v>2</v>
      </c>
      <c r="H1040" t="s">
        <v>210</v>
      </c>
      <c r="I1040">
        <v>78259.8984375</v>
      </c>
      <c r="J1040" s="1">
        <v>45761</v>
      </c>
      <c r="K1040">
        <v>17</v>
      </c>
      <c r="L1040" t="s">
        <v>4</v>
      </c>
      <c r="M1040" t="s">
        <v>4</v>
      </c>
      <c r="N1040" t="s">
        <v>5</v>
      </c>
      <c r="O1040">
        <v>202504</v>
      </c>
      <c r="P1040">
        <v>105005.25</v>
      </c>
      <c r="Q1040" t="s">
        <v>210</v>
      </c>
      <c r="R1040" t="s">
        <v>211</v>
      </c>
      <c r="S1040" t="s">
        <v>39</v>
      </c>
      <c r="T1040" t="s">
        <v>40</v>
      </c>
      <c r="U1040" t="s">
        <v>5</v>
      </c>
      <c r="V1040">
        <v>1</v>
      </c>
      <c r="W1040" t="s">
        <v>10</v>
      </c>
      <c r="X1040" t="s">
        <v>51</v>
      </c>
      <c r="Y1040">
        <v>1</v>
      </c>
      <c r="Z1040">
        <v>1</v>
      </c>
      <c r="AA1040">
        <v>0</v>
      </c>
      <c r="AB1040">
        <v>0</v>
      </c>
      <c r="AC1040">
        <v>1</v>
      </c>
      <c r="AD1040">
        <v>1</v>
      </c>
      <c r="AE1040">
        <v>0</v>
      </c>
      <c r="AF1040" t="s">
        <v>12</v>
      </c>
      <c r="AG1040" t="s">
        <v>12</v>
      </c>
      <c r="AH1040" t="s">
        <v>12</v>
      </c>
      <c r="AI1040" t="s">
        <v>12</v>
      </c>
      <c r="AJ1040" t="s">
        <v>12</v>
      </c>
      <c r="AK1040">
        <v>22700</v>
      </c>
      <c r="AL1040">
        <v>0.21</v>
      </c>
      <c r="AM1040">
        <v>0.19</v>
      </c>
      <c r="AN1040" t="s">
        <v>12</v>
      </c>
      <c r="AO1040" t="s">
        <v>12</v>
      </c>
    </row>
    <row r="1041" spans="1:41" x14ac:dyDescent="0.35">
      <c r="A1041">
        <v>16561203</v>
      </c>
      <c r="B1041">
        <v>202602</v>
      </c>
      <c r="C1041">
        <v>20605638768</v>
      </c>
      <c r="D1041" t="s">
        <v>795</v>
      </c>
      <c r="E1041" t="s">
        <v>1</v>
      </c>
      <c r="F1041">
        <v>10274313</v>
      </c>
      <c r="G1041" t="s">
        <v>92</v>
      </c>
      <c r="H1041" t="s">
        <v>25</v>
      </c>
      <c r="I1041">
        <v>116009.4609375</v>
      </c>
      <c r="J1041" s="1">
        <v>46021</v>
      </c>
      <c r="K1041">
        <v>19</v>
      </c>
      <c r="L1041" t="s">
        <v>4</v>
      </c>
      <c r="M1041" t="s">
        <v>4</v>
      </c>
      <c r="N1041" t="s">
        <v>41</v>
      </c>
      <c r="O1041">
        <v>202512</v>
      </c>
      <c r="P1041">
        <v>120006</v>
      </c>
      <c r="Q1041" t="s">
        <v>25</v>
      </c>
      <c r="R1041" t="s">
        <v>279</v>
      </c>
      <c r="S1041" t="s">
        <v>7</v>
      </c>
      <c r="T1041" t="s">
        <v>8</v>
      </c>
      <c r="U1041" t="s">
        <v>95</v>
      </c>
      <c r="V1041">
        <v>1</v>
      </c>
      <c r="W1041" t="s">
        <v>10</v>
      </c>
      <c r="X1041" t="s">
        <v>22</v>
      </c>
      <c r="Y1041">
        <v>1</v>
      </c>
      <c r="Z1041">
        <v>1</v>
      </c>
      <c r="AA1041">
        <v>0</v>
      </c>
      <c r="AB1041">
        <v>0</v>
      </c>
      <c r="AC1041">
        <v>1</v>
      </c>
      <c r="AD1041">
        <v>1</v>
      </c>
      <c r="AE1041">
        <v>0</v>
      </c>
      <c r="AF1041" t="s">
        <v>12</v>
      </c>
      <c r="AG1041" t="s">
        <v>12</v>
      </c>
      <c r="AH1041" t="s">
        <v>12</v>
      </c>
      <c r="AI1041" t="s">
        <v>12</v>
      </c>
      <c r="AJ1041" t="s">
        <v>12</v>
      </c>
      <c r="AK1041">
        <v>250000</v>
      </c>
      <c r="AL1041">
        <v>0.26090000000000002</v>
      </c>
      <c r="AM1041">
        <v>0.2409</v>
      </c>
      <c r="AN1041" t="s">
        <v>12</v>
      </c>
      <c r="AO1041" t="s">
        <v>12</v>
      </c>
    </row>
    <row r="1042" spans="1:41" x14ac:dyDescent="0.35">
      <c r="A1042">
        <v>21723824</v>
      </c>
      <c r="B1042">
        <v>202601</v>
      </c>
      <c r="C1042">
        <v>20606909561</v>
      </c>
      <c r="D1042" t="s">
        <v>1316</v>
      </c>
      <c r="E1042" t="s">
        <v>1</v>
      </c>
      <c r="F1042">
        <v>10269377</v>
      </c>
      <c r="G1042" t="s">
        <v>73</v>
      </c>
      <c r="H1042" t="s">
        <v>61</v>
      </c>
      <c r="I1042">
        <v>117002.1328125</v>
      </c>
      <c r="J1042" s="1">
        <v>45845</v>
      </c>
      <c r="K1042">
        <v>17.5</v>
      </c>
      <c r="L1042" t="s">
        <v>4</v>
      </c>
      <c r="M1042" t="s">
        <v>75</v>
      </c>
      <c r="N1042" t="s">
        <v>20</v>
      </c>
      <c r="O1042">
        <v>202507</v>
      </c>
      <c r="P1042">
        <v>150007.5</v>
      </c>
      <c r="Q1042" t="s">
        <v>61</v>
      </c>
      <c r="R1042" t="s">
        <v>62</v>
      </c>
      <c r="S1042" t="s">
        <v>39</v>
      </c>
      <c r="T1042" t="s">
        <v>40</v>
      </c>
      <c r="U1042" t="s">
        <v>20</v>
      </c>
      <c r="V1042">
        <v>1</v>
      </c>
      <c r="W1042" t="s">
        <v>21</v>
      </c>
      <c r="X1042" t="s">
        <v>22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 t="s">
        <v>12</v>
      </c>
      <c r="AG1042" t="s">
        <v>12</v>
      </c>
      <c r="AH1042" t="s">
        <v>12</v>
      </c>
      <c r="AI1042" t="s">
        <v>12</v>
      </c>
      <c r="AJ1042" t="s">
        <v>12</v>
      </c>
      <c r="AK1042">
        <v>1</v>
      </c>
      <c r="AL1042">
        <v>1</v>
      </c>
      <c r="AM1042">
        <v>0.24</v>
      </c>
      <c r="AN1042" t="s">
        <v>12</v>
      </c>
      <c r="AO1042" t="s">
        <v>12</v>
      </c>
    </row>
    <row r="1043" spans="1:41" x14ac:dyDescent="0.35">
      <c r="A1043">
        <v>19289307</v>
      </c>
      <c r="B1043">
        <v>202507</v>
      </c>
      <c r="C1043">
        <v>20603621019</v>
      </c>
      <c r="D1043" t="s">
        <v>1317</v>
      </c>
      <c r="E1043" t="s">
        <v>1</v>
      </c>
      <c r="F1043">
        <v>10265661</v>
      </c>
      <c r="G1043" t="s">
        <v>24</v>
      </c>
      <c r="H1043" t="s">
        <v>1318</v>
      </c>
      <c r="I1043">
        <v>145968</v>
      </c>
      <c r="J1043" s="1">
        <v>45713</v>
      </c>
      <c r="K1043">
        <v>18</v>
      </c>
      <c r="L1043" t="s">
        <v>37</v>
      </c>
      <c r="M1043" t="s">
        <v>37</v>
      </c>
      <c r="N1043" t="s">
        <v>98</v>
      </c>
      <c r="O1043">
        <v>202502</v>
      </c>
      <c r="P1043">
        <v>170008.5</v>
      </c>
      <c r="Q1043" t="s">
        <v>12</v>
      </c>
      <c r="R1043" t="s">
        <v>12</v>
      </c>
      <c r="S1043" t="s">
        <v>12</v>
      </c>
      <c r="T1043" t="s">
        <v>12</v>
      </c>
      <c r="U1043" t="s">
        <v>12</v>
      </c>
      <c r="V1043" t="s">
        <v>12</v>
      </c>
      <c r="W1043" t="s">
        <v>12</v>
      </c>
      <c r="X1043" t="s">
        <v>12</v>
      </c>
      <c r="Y1043" t="s">
        <v>12</v>
      </c>
      <c r="Z1043" t="s">
        <v>12</v>
      </c>
      <c r="AA1043" t="s">
        <v>12</v>
      </c>
      <c r="AB1043" t="s">
        <v>12</v>
      </c>
      <c r="AC1043" t="s">
        <v>12</v>
      </c>
      <c r="AD1043" t="s">
        <v>12</v>
      </c>
      <c r="AE1043" t="s">
        <v>12</v>
      </c>
      <c r="AF1043" t="s">
        <v>12</v>
      </c>
      <c r="AG1043" t="s">
        <v>12</v>
      </c>
      <c r="AH1043" t="s">
        <v>12</v>
      </c>
      <c r="AI1043" t="s">
        <v>12</v>
      </c>
      <c r="AJ1043" t="s">
        <v>12</v>
      </c>
      <c r="AK1043" t="s">
        <v>12</v>
      </c>
      <c r="AL1043" t="s">
        <v>12</v>
      </c>
      <c r="AM1043" t="s">
        <v>12</v>
      </c>
      <c r="AN1043" t="s">
        <v>12</v>
      </c>
      <c r="AO1043" t="s">
        <v>12</v>
      </c>
    </row>
    <row r="1044" spans="1:41" x14ac:dyDescent="0.35">
      <c r="A1044">
        <v>21457967</v>
      </c>
      <c r="B1044">
        <v>202511</v>
      </c>
      <c r="C1044">
        <v>20566467101</v>
      </c>
      <c r="D1044" t="s">
        <v>1319</v>
      </c>
      <c r="E1044" t="s">
        <v>1</v>
      </c>
      <c r="F1044">
        <v>10265062</v>
      </c>
      <c r="G1044" t="s">
        <v>24</v>
      </c>
      <c r="H1044" t="s">
        <v>105</v>
      </c>
      <c r="I1044">
        <v>34172.0390625</v>
      </c>
      <c r="J1044" s="1">
        <v>45688</v>
      </c>
      <c r="K1044">
        <v>18</v>
      </c>
      <c r="L1044" t="s">
        <v>37</v>
      </c>
      <c r="M1044" t="s">
        <v>37</v>
      </c>
      <c r="N1044" t="s">
        <v>98</v>
      </c>
      <c r="O1044">
        <v>202501</v>
      </c>
      <c r="P1044">
        <v>64003.199999999997</v>
      </c>
      <c r="Q1044" t="s">
        <v>105</v>
      </c>
      <c r="R1044" t="s">
        <v>106</v>
      </c>
      <c r="S1044" t="s">
        <v>88</v>
      </c>
      <c r="T1044" t="s">
        <v>89</v>
      </c>
      <c r="U1044" t="s">
        <v>20</v>
      </c>
      <c r="V1044">
        <v>2</v>
      </c>
      <c r="W1044" t="s">
        <v>10</v>
      </c>
      <c r="X1044" t="s">
        <v>51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 t="s">
        <v>12</v>
      </c>
      <c r="AG1044" t="s">
        <v>12</v>
      </c>
      <c r="AH1044" t="s">
        <v>12</v>
      </c>
      <c r="AI1044" t="s">
        <v>12</v>
      </c>
      <c r="AJ1044" t="s">
        <v>12</v>
      </c>
      <c r="AK1044">
        <v>1</v>
      </c>
      <c r="AL1044">
        <v>1</v>
      </c>
      <c r="AM1044" t="s">
        <v>12</v>
      </c>
      <c r="AN1044" t="s">
        <v>12</v>
      </c>
      <c r="AO1044" t="s">
        <v>12</v>
      </c>
    </row>
    <row r="1045" spans="1:41" x14ac:dyDescent="0.35">
      <c r="A1045">
        <v>10649254</v>
      </c>
      <c r="B1045">
        <v>202504</v>
      </c>
      <c r="C1045">
        <v>10104833123</v>
      </c>
      <c r="D1045" t="s">
        <v>1049</v>
      </c>
      <c r="E1045">
        <v>10483312</v>
      </c>
      <c r="F1045">
        <v>10251403</v>
      </c>
      <c r="G1045" t="s">
        <v>65</v>
      </c>
      <c r="H1045" t="s">
        <v>111</v>
      </c>
      <c r="I1045">
        <v>69896.1875</v>
      </c>
      <c r="J1045" s="1">
        <v>45405</v>
      </c>
      <c r="K1045">
        <v>15.5</v>
      </c>
      <c r="L1045" t="s">
        <v>37</v>
      </c>
      <c r="M1045" t="s">
        <v>37</v>
      </c>
      <c r="N1045" t="s">
        <v>47</v>
      </c>
      <c r="O1045">
        <v>202404</v>
      </c>
      <c r="P1045">
        <v>90004.5</v>
      </c>
      <c r="Q1045" t="s">
        <v>105</v>
      </c>
      <c r="R1045" t="s">
        <v>12</v>
      </c>
      <c r="S1045" t="s">
        <v>12</v>
      </c>
      <c r="T1045" t="s">
        <v>12</v>
      </c>
      <c r="U1045" t="s">
        <v>20</v>
      </c>
      <c r="V1045">
        <v>2</v>
      </c>
      <c r="W1045" t="s">
        <v>10</v>
      </c>
      <c r="X1045" t="s">
        <v>12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 t="s">
        <v>12</v>
      </c>
      <c r="AG1045" t="s">
        <v>12</v>
      </c>
      <c r="AH1045" t="s">
        <v>12</v>
      </c>
      <c r="AI1045" t="s">
        <v>12</v>
      </c>
      <c r="AJ1045" t="s">
        <v>12</v>
      </c>
      <c r="AK1045">
        <v>0</v>
      </c>
      <c r="AL1045">
        <v>0</v>
      </c>
      <c r="AM1045">
        <v>0</v>
      </c>
      <c r="AN1045" t="s">
        <v>12</v>
      </c>
      <c r="AO1045" t="s">
        <v>12</v>
      </c>
    </row>
    <row r="1046" spans="1:41" x14ac:dyDescent="0.35">
      <c r="A1046">
        <v>20401816</v>
      </c>
      <c r="B1046">
        <v>202602</v>
      </c>
      <c r="C1046">
        <v>20608493337</v>
      </c>
      <c r="D1046" t="s">
        <v>455</v>
      </c>
      <c r="E1046" t="s">
        <v>1</v>
      </c>
      <c r="F1046">
        <v>10274129</v>
      </c>
      <c r="G1046" t="s">
        <v>24</v>
      </c>
      <c r="H1046" t="s">
        <v>204</v>
      </c>
      <c r="I1046">
        <v>70611.140625</v>
      </c>
      <c r="J1046" s="1">
        <v>46013</v>
      </c>
      <c r="K1046">
        <v>16.5</v>
      </c>
      <c r="L1046" t="s">
        <v>86</v>
      </c>
      <c r="M1046" t="s">
        <v>86</v>
      </c>
      <c r="N1046" t="s">
        <v>98</v>
      </c>
      <c r="O1046">
        <v>202512</v>
      </c>
      <c r="P1046">
        <v>100005</v>
      </c>
      <c r="Q1046" t="s">
        <v>204</v>
      </c>
      <c r="R1046" t="s">
        <v>291</v>
      </c>
      <c r="S1046" t="s">
        <v>127</v>
      </c>
      <c r="T1046" t="s">
        <v>147</v>
      </c>
      <c r="U1046" t="s">
        <v>20</v>
      </c>
      <c r="V1046">
        <v>1</v>
      </c>
      <c r="W1046" t="s">
        <v>10</v>
      </c>
      <c r="X1046" t="s">
        <v>22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 t="s">
        <v>12</v>
      </c>
      <c r="AG1046" t="s">
        <v>12</v>
      </c>
      <c r="AH1046" t="s">
        <v>12</v>
      </c>
      <c r="AI1046" t="s">
        <v>12</v>
      </c>
      <c r="AJ1046" t="s">
        <v>12</v>
      </c>
      <c r="AK1046">
        <v>1</v>
      </c>
      <c r="AL1046">
        <v>1</v>
      </c>
      <c r="AM1046" t="s">
        <v>12</v>
      </c>
      <c r="AN1046" t="s">
        <v>12</v>
      </c>
      <c r="AO1046" t="s">
        <v>12</v>
      </c>
    </row>
    <row r="1047" spans="1:41" x14ac:dyDescent="0.35">
      <c r="A1047">
        <v>21911155</v>
      </c>
      <c r="B1047">
        <v>202602</v>
      </c>
      <c r="C1047">
        <v>20552826842</v>
      </c>
      <c r="D1047" t="s">
        <v>1320</v>
      </c>
      <c r="E1047" t="s">
        <v>1</v>
      </c>
      <c r="F1047">
        <v>10272356</v>
      </c>
      <c r="G1047" t="s">
        <v>24</v>
      </c>
      <c r="H1047" t="s">
        <v>159</v>
      </c>
      <c r="I1047">
        <v>40014.78125</v>
      </c>
      <c r="J1047" s="1">
        <v>45950</v>
      </c>
      <c r="K1047">
        <v>19</v>
      </c>
      <c r="L1047" t="s">
        <v>37</v>
      </c>
      <c r="M1047" t="s">
        <v>37</v>
      </c>
      <c r="N1047" t="s">
        <v>98</v>
      </c>
      <c r="O1047">
        <v>202510</v>
      </c>
      <c r="P1047">
        <v>50002.5</v>
      </c>
      <c r="Q1047" t="s">
        <v>12</v>
      </c>
      <c r="R1047" t="s">
        <v>12</v>
      </c>
      <c r="S1047" t="s">
        <v>12</v>
      </c>
      <c r="T1047" t="s">
        <v>12</v>
      </c>
      <c r="U1047" t="s">
        <v>196</v>
      </c>
      <c r="V1047">
        <v>3</v>
      </c>
      <c r="W1047" t="s">
        <v>10</v>
      </c>
      <c r="X1047" t="s">
        <v>51</v>
      </c>
      <c r="Y1047">
        <v>1</v>
      </c>
      <c r="Z1047">
        <v>1</v>
      </c>
      <c r="AA1047">
        <v>0</v>
      </c>
      <c r="AB1047">
        <v>0</v>
      </c>
      <c r="AC1047">
        <v>0</v>
      </c>
      <c r="AD1047" t="s">
        <v>12</v>
      </c>
      <c r="AE1047">
        <v>0</v>
      </c>
      <c r="AF1047" t="s">
        <v>12</v>
      </c>
      <c r="AG1047" t="s">
        <v>12</v>
      </c>
      <c r="AH1047" t="s">
        <v>12</v>
      </c>
      <c r="AI1047" t="s">
        <v>12</v>
      </c>
      <c r="AJ1047" t="s">
        <v>12</v>
      </c>
      <c r="AK1047" t="s">
        <v>12</v>
      </c>
      <c r="AL1047" t="s">
        <v>12</v>
      </c>
      <c r="AM1047" t="s">
        <v>12</v>
      </c>
      <c r="AN1047" t="s">
        <v>269</v>
      </c>
      <c r="AO1047" t="s">
        <v>270</v>
      </c>
    </row>
    <row r="1048" spans="1:41" x14ac:dyDescent="0.35">
      <c r="A1048">
        <v>20439339</v>
      </c>
      <c r="B1048">
        <v>202512</v>
      </c>
      <c r="C1048">
        <v>20609931150</v>
      </c>
      <c r="D1048" t="s">
        <v>1321</v>
      </c>
      <c r="E1048" t="s">
        <v>1</v>
      </c>
      <c r="F1048">
        <v>10273256</v>
      </c>
      <c r="G1048" t="s">
        <v>78</v>
      </c>
      <c r="H1048" t="s">
        <v>220</v>
      </c>
      <c r="I1048">
        <v>65703.234375</v>
      </c>
      <c r="J1048" s="1">
        <v>45980</v>
      </c>
      <c r="K1048">
        <v>21.200001</v>
      </c>
      <c r="L1048" t="s">
        <v>4</v>
      </c>
      <c r="M1048" t="s">
        <v>4</v>
      </c>
      <c r="N1048" t="s">
        <v>41</v>
      </c>
      <c r="O1048">
        <v>202511</v>
      </c>
      <c r="P1048">
        <v>65703.25</v>
      </c>
      <c r="Q1048" t="s">
        <v>220</v>
      </c>
      <c r="R1048" t="s">
        <v>221</v>
      </c>
      <c r="S1048" t="s">
        <v>127</v>
      </c>
      <c r="T1048" t="s">
        <v>147</v>
      </c>
      <c r="U1048" t="s">
        <v>20</v>
      </c>
      <c r="V1048">
        <v>1</v>
      </c>
      <c r="W1048" t="s">
        <v>10</v>
      </c>
      <c r="X1048" t="s">
        <v>51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 t="s">
        <v>12</v>
      </c>
      <c r="AG1048" t="s">
        <v>12</v>
      </c>
      <c r="AH1048" t="s">
        <v>12</v>
      </c>
      <c r="AI1048" t="s">
        <v>12</v>
      </c>
      <c r="AJ1048" t="s">
        <v>12</v>
      </c>
      <c r="AK1048">
        <v>1</v>
      </c>
      <c r="AL1048">
        <v>1</v>
      </c>
      <c r="AM1048" t="s">
        <v>12</v>
      </c>
      <c r="AN1048" t="s">
        <v>12</v>
      </c>
      <c r="AO1048" t="s">
        <v>12</v>
      </c>
    </row>
    <row r="1049" spans="1:41" x14ac:dyDescent="0.35">
      <c r="A1049">
        <v>20344246</v>
      </c>
      <c r="B1049">
        <v>202506</v>
      </c>
      <c r="C1049">
        <v>20565337531</v>
      </c>
      <c r="D1049" t="s">
        <v>1322</v>
      </c>
      <c r="E1049" t="s">
        <v>1</v>
      </c>
      <c r="F1049">
        <v>10244868</v>
      </c>
      <c r="G1049" t="s">
        <v>28</v>
      </c>
      <c r="H1049" t="s">
        <v>260</v>
      </c>
      <c r="I1049">
        <v>102210.6796875</v>
      </c>
      <c r="J1049" s="1">
        <v>45216</v>
      </c>
      <c r="K1049">
        <v>20.5</v>
      </c>
      <c r="L1049" t="s">
        <v>4</v>
      </c>
      <c r="M1049" t="s">
        <v>4</v>
      </c>
      <c r="N1049" t="s">
        <v>26</v>
      </c>
      <c r="O1049">
        <v>202310</v>
      </c>
      <c r="P1049">
        <v>220011</v>
      </c>
      <c r="Q1049" t="s">
        <v>260</v>
      </c>
      <c r="R1049" t="s">
        <v>261</v>
      </c>
      <c r="S1049" t="s">
        <v>18</v>
      </c>
      <c r="T1049" t="s">
        <v>122</v>
      </c>
      <c r="U1049" t="s">
        <v>20</v>
      </c>
      <c r="V1049">
        <v>1</v>
      </c>
      <c r="W1049" t="s">
        <v>10</v>
      </c>
      <c r="X1049" t="s">
        <v>12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 t="s">
        <v>12</v>
      </c>
      <c r="AG1049" t="s">
        <v>12</v>
      </c>
      <c r="AH1049" t="s">
        <v>12</v>
      </c>
      <c r="AI1049" t="s">
        <v>12</v>
      </c>
      <c r="AJ1049" t="s">
        <v>12</v>
      </c>
      <c r="AK1049">
        <v>1</v>
      </c>
      <c r="AL1049">
        <v>0.20330000000000001</v>
      </c>
      <c r="AM1049">
        <v>0</v>
      </c>
      <c r="AN1049" t="s">
        <v>12</v>
      </c>
      <c r="AO1049" t="s">
        <v>12</v>
      </c>
    </row>
    <row r="1050" spans="1:41" x14ac:dyDescent="0.35">
      <c r="A1050">
        <v>8896409</v>
      </c>
      <c r="B1050">
        <v>202509</v>
      </c>
      <c r="C1050">
        <v>20503597510</v>
      </c>
      <c r="D1050" t="s">
        <v>1323</v>
      </c>
      <c r="E1050" t="s">
        <v>1</v>
      </c>
      <c r="F1050">
        <v>10256408</v>
      </c>
      <c r="G1050" t="s">
        <v>65</v>
      </c>
      <c r="H1050" t="s">
        <v>120</v>
      </c>
      <c r="I1050">
        <v>50420.5546875</v>
      </c>
      <c r="J1050" s="1">
        <v>45468</v>
      </c>
      <c r="K1050">
        <v>14.6</v>
      </c>
      <c r="L1050" t="s">
        <v>4</v>
      </c>
      <c r="M1050" t="s">
        <v>4</v>
      </c>
      <c r="N1050" t="s">
        <v>47</v>
      </c>
      <c r="O1050">
        <v>202406</v>
      </c>
      <c r="P1050">
        <v>90004.5</v>
      </c>
      <c r="Q1050" t="s">
        <v>120</v>
      </c>
      <c r="R1050" t="s">
        <v>121</v>
      </c>
      <c r="S1050" t="s">
        <v>18</v>
      </c>
      <c r="T1050" t="s">
        <v>122</v>
      </c>
      <c r="U1050" t="s">
        <v>41</v>
      </c>
      <c r="V1050">
        <v>1</v>
      </c>
      <c r="W1050" t="s">
        <v>10</v>
      </c>
      <c r="X1050" t="s">
        <v>11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 t="s">
        <v>12</v>
      </c>
      <c r="AG1050" t="s">
        <v>12</v>
      </c>
      <c r="AH1050" t="s">
        <v>12</v>
      </c>
      <c r="AI1050" t="s">
        <v>12</v>
      </c>
      <c r="AJ1050" t="s">
        <v>12</v>
      </c>
      <c r="AK1050">
        <v>400000</v>
      </c>
      <c r="AL1050">
        <v>0.18</v>
      </c>
      <c r="AM1050">
        <v>0.16</v>
      </c>
      <c r="AN1050" t="s">
        <v>12</v>
      </c>
      <c r="AO1050" t="s">
        <v>12</v>
      </c>
    </row>
    <row r="1051" spans="1:41" x14ac:dyDescent="0.35">
      <c r="A1051">
        <v>20554281</v>
      </c>
      <c r="B1051">
        <v>202506</v>
      </c>
      <c r="C1051">
        <v>20610373039</v>
      </c>
      <c r="D1051" t="s">
        <v>1324</v>
      </c>
      <c r="E1051" t="s">
        <v>1</v>
      </c>
      <c r="F1051">
        <v>10251044</v>
      </c>
      <c r="G1051" t="s">
        <v>53</v>
      </c>
      <c r="H1051" t="s">
        <v>159</v>
      </c>
      <c r="I1051">
        <v>37771.14453125</v>
      </c>
      <c r="J1051" s="1">
        <v>45399</v>
      </c>
      <c r="K1051">
        <v>16</v>
      </c>
      <c r="L1051" t="s">
        <v>37</v>
      </c>
      <c r="M1051" t="s">
        <v>37</v>
      </c>
      <c r="N1051" t="s">
        <v>47</v>
      </c>
      <c r="O1051">
        <v>202404</v>
      </c>
      <c r="P1051">
        <v>54002.7</v>
      </c>
      <c r="Q1051" t="s">
        <v>12</v>
      </c>
      <c r="R1051" t="s">
        <v>12</v>
      </c>
      <c r="S1051" t="s">
        <v>12</v>
      </c>
      <c r="T1051" t="s">
        <v>12</v>
      </c>
      <c r="U1051" t="s">
        <v>12</v>
      </c>
      <c r="V1051" t="s">
        <v>12</v>
      </c>
      <c r="W1051" t="s">
        <v>12</v>
      </c>
      <c r="X1051" t="s">
        <v>12</v>
      </c>
      <c r="Y1051" t="s">
        <v>12</v>
      </c>
      <c r="Z1051" t="s">
        <v>12</v>
      </c>
      <c r="AA1051" t="s">
        <v>12</v>
      </c>
      <c r="AB1051" t="s">
        <v>12</v>
      </c>
      <c r="AC1051" t="s">
        <v>12</v>
      </c>
      <c r="AD1051" t="s">
        <v>12</v>
      </c>
      <c r="AE1051" t="s">
        <v>12</v>
      </c>
      <c r="AF1051" t="s">
        <v>12</v>
      </c>
      <c r="AG1051" t="s">
        <v>12</v>
      </c>
      <c r="AH1051" t="s">
        <v>12</v>
      </c>
      <c r="AI1051" t="s">
        <v>12</v>
      </c>
      <c r="AJ1051" t="s">
        <v>12</v>
      </c>
      <c r="AK1051" t="s">
        <v>12</v>
      </c>
      <c r="AL1051" t="s">
        <v>12</v>
      </c>
      <c r="AM1051" t="s">
        <v>12</v>
      </c>
      <c r="AN1051" t="s">
        <v>12</v>
      </c>
      <c r="AO1051" t="s">
        <v>12</v>
      </c>
    </row>
    <row r="1052" spans="1:41" x14ac:dyDescent="0.35">
      <c r="A1052">
        <v>19236420</v>
      </c>
      <c r="B1052">
        <v>202509</v>
      </c>
      <c r="C1052">
        <v>20601210585</v>
      </c>
      <c r="D1052" t="s">
        <v>1325</v>
      </c>
      <c r="E1052" t="s">
        <v>1</v>
      </c>
      <c r="F1052">
        <v>10252325</v>
      </c>
      <c r="G1052" t="s">
        <v>65</v>
      </c>
      <c r="H1052" t="s">
        <v>46</v>
      </c>
      <c r="I1052">
        <v>184545.25</v>
      </c>
      <c r="J1052" s="1">
        <v>45412</v>
      </c>
      <c r="K1052">
        <v>13.7</v>
      </c>
      <c r="L1052" t="s">
        <v>4</v>
      </c>
      <c r="M1052" t="s">
        <v>4</v>
      </c>
      <c r="N1052" t="s">
        <v>47</v>
      </c>
      <c r="O1052">
        <v>202404</v>
      </c>
      <c r="P1052">
        <v>300015</v>
      </c>
      <c r="Q1052" t="s">
        <v>46</v>
      </c>
      <c r="R1052" t="s">
        <v>48</v>
      </c>
      <c r="S1052" t="s">
        <v>49</v>
      </c>
      <c r="T1052" t="s">
        <v>50</v>
      </c>
      <c r="U1052" t="s">
        <v>41</v>
      </c>
      <c r="V1052">
        <v>1</v>
      </c>
      <c r="W1052" t="s">
        <v>10</v>
      </c>
      <c r="X1052" t="s">
        <v>22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 t="s">
        <v>12</v>
      </c>
      <c r="AG1052" t="s">
        <v>12</v>
      </c>
      <c r="AH1052" t="s">
        <v>12</v>
      </c>
      <c r="AI1052" t="s">
        <v>12</v>
      </c>
      <c r="AJ1052" t="s">
        <v>12</v>
      </c>
      <c r="AK1052">
        <v>250000</v>
      </c>
      <c r="AL1052">
        <v>0.19</v>
      </c>
      <c r="AM1052">
        <v>0.17</v>
      </c>
      <c r="AN1052" t="s">
        <v>12</v>
      </c>
      <c r="AO1052" t="s">
        <v>12</v>
      </c>
    </row>
    <row r="1053" spans="1:41" x14ac:dyDescent="0.35">
      <c r="A1053">
        <v>16218915</v>
      </c>
      <c r="B1053">
        <v>202602</v>
      </c>
      <c r="C1053">
        <v>20601968551</v>
      </c>
      <c r="D1053" t="s">
        <v>1326</v>
      </c>
      <c r="E1053" t="s">
        <v>1</v>
      </c>
      <c r="F1053">
        <v>10252613</v>
      </c>
      <c r="G1053" t="s">
        <v>45</v>
      </c>
      <c r="H1053" t="s">
        <v>54</v>
      </c>
      <c r="I1053">
        <v>13012.9326171875</v>
      </c>
      <c r="J1053" s="1">
        <v>45420</v>
      </c>
      <c r="K1053">
        <v>12.7</v>
      </c>
      <c r="L1053" t="s">
        <v>4</v>
      </c>
      <c r="M1053" t="s">
        <v>4</v>
      </c>
      <c r="N1053" t="s">
        <v>47</v>
      </c>
      <c r="O1053">
        <v>202405</v>
      </c>
      <c r="P1053">
        <v>300015</v>
      </c>
      <c r="Q1053" t="s">
        <v>54</v>
      </c>
      <c r="R1053" t="s">
        <v>55</v>
      </c>
      <c r="S1053" t="s">
        <v>31</v>
      </c>
      <c r="T1053" t="s">
        <v>32</v>
      </c>
      <c r="U1053" t="s">
        <v>138</v>
      </c>
      <c r="V1053">
        <v>1</v>
      </c>
      <c r="W1053" t="s">
        <v>10</v>
      </c>
      <c r="X1053" t="s">
        <v>11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 t="s">
        <v>12</v>
      </c>
      <c r="AG1053" t="s">
        <v>12</v>
      </c>
      <c r="AH1053" t="s">
        <v>12</v>
      </c>
      <c r="AI1053" t="s">
        <v>12</v>
      </c>
      <c r="AJ1053" t="s">
        <v>12</v>
      </c>
      <c r="AK1053">
        <v>0</v>
      </c>
      <c r="AL1053">
        <v>0</v>
      </c>
      <c r="AM1053">
        <v>0</v>
      </c>
      <c r="AN1053" t="s">
        <v>12</v>
      </c>
      <c r="AO1053" t="s">
        <v>12</v>
      </c>
    </row>
    <row r="1054" spans="1:41" x14ac:dyDescent="0.35">
      <c r="A1054">
        <v>16475801</v>
      </c>
      <c r="B1054">
        <v>202505</v>
      </c>
      <c r="C1054">
        <v>20486761891</v>
      </c>
      <c r="D1054" t="s">
        <v>1327</v>
      </c>
      <c r="E1054" t="s">
        <v>1</v>
      </c>
      <c r="F1054">
        <v>10172898</v>
      </c>
      <c r="G1054" t="s">
        <v>2</v>
      </c>
      <c r="H1054" t="s">
        <v>105</v>
      </c>
      <c r="I1054">
        <v>161261.375</v>
      </c>
      <c r="J1054" s="1">
        <v>45715</v>
      </c>
      <c r="K1054">
        <v>16</v>
      </c>
      <c r="L1054" t="s">
        <v>4</v>
      </c>
      <c r="M1054" t="s">
        <v>4</v>
      </c>
      <c r="N1054" t="s">
        <v>5</v>
      </c>
      <c r="O1054">
        <v>202502</v>
      </c>
      <c r="P1054">
        <v>180009</v>
      </c>
      <c r="Q1054" t="s">
        <v>105</v>
      </c>
      <c r="R1054" t="s">
        <v>164</v>
      </c>
      <c r="S1054" t="s">
        <v>88</v>
      </c>
      <c r="T1054" t="s">
        <v>89</v>
      </c>
      <c r="U1054" t="s">
        <v>20</v>
      </c>
      <c r="V1054">
        <v>2</v>
      </c>
      <c r="W1054" t="s">
        <v>10</v>
      </c>
      <c r="X1054" t="s">
        <v>12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12</v>
      </c>
      <c r="AG1054" t="s">
        <v>12</v>
      </c>
      <c r="AH1054" t="s">
        <v>12</v>
      </c>
      <c r="AI1054" t="s">
        <v>12</v>
      </c>
      <c r="AJ1054" t="s">
        <v>12</v>
      </c>
      <c r="AK1054">
        <v>0</v>
      </c>
      <c r="AL1054">
        <v>0</v>
      </c>
      <c r="AM1054">
        <v>0</v>
      </c>
      <c r="AN1054" t="s">
        <v>12</v>
      </c>
      <c r="AO1054" t="s">
        <v>12</v>
      </c>
    </row>
    <row r="1055" spans="1:41" x14ac:dyDescent="0.35">
      <c r="A1055">
        <v>18666663</v>
      </c>
      <c r="B1055">
        <v>202503</v>
      </c>
      <c r="C1055">
        <v>20600870654</v>
      </c>
      <c r="D1055" t="s">
        <v>1328</v>
      </c>
      <c r="E1055" t="s">
        <v>1</v>
      </c>
      <c r="F1055">
        <v>10240366</v>
      </c>
      <c r="G1055" t="s">
        <v>92</v>
      </c>
      <c r="H1055" t="s">
        <v>145</v>
      </c>
      <c r="I1055">
        <v>45351.26171875</v>
      </c>
      <c r="J1055" s="1">
        <v>45099</v>
      </c>
      <c r="K1055">
        <v>23.6</v>
      </c>
      <c r="L1055" t="s">
        <v>4</v>
      </c>
      <c r="M1055" t="s">
        <v>4</v>
      </c>
      <c r="N1055" t="s">
        <v>41</v>
      </c>
      <c r="O1055">
        <v>202306</v>
      </c>
      <c r="P1055">
        <v>150007.5</v>
      </c>
      <c r="Q1055" t="s">
        <v>145</v>
      </c>
      <c r="R1055" t="s">
        <v>146</v>
      </c>
      <c r="S1055" t="s">
        <v>127</v>
      </c>
      <c r="T1055" t="s">
        <v>147</v>
      </c>
      <c r="U1055" t="s">
        <v>20</v>
      </c>
      <c r="V1055">
        <v>1</v>
      </c>
      <c r="W1055" t="s">
        <v>10</v>
      </c>
      <c r="X1055" t="s">
        <v>12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12</v>
      </c>
      <c r="AG1055" t="s">
        <v>12</v>
      </c>
      <c r="AH1055" t="s">
        <v>12</v>
      </c>
      <c r="AI1055" t="s">
        <v>12</v>
      </c>
      <c r="AJ1055" t="s">
        <v>12</v>
      </c>
      <c r="AK1055">
        <v>991472174</v>
      </c>
      <c r="AL1055">
        <v>0</v>
      </c>
      <c r="AM1055">
        <v>0</v>
      </c>
      <c r="AN1055" t="s">
        <v>12</v>
      </c>
      <c r="AO1055" t="s">
        <v>12</v>
      </c>
    </row>
    <row r="1056" spans="1:41" x14ac:dyDescent="0.35">
      <c r="A1056">
        <v>19217895</v>
      </c>
      <c r="B1056">
        <v>202601</v>
      </c>
      <c r="C1056">
        <v>20506409650</v>
      </c>
      <c r="D1056" t="s">
        <v>1329</v>
      </c>
      <c r="E1056" t="s">
        <v>1</v>
      </c>
      <c r="F1056">
        <v>10270661</v>
      </c>
      <c r="G1056" t="s">
        <v>24</v>
      </c>
      <c r="H1056" t="s">
        <v>127</v>
      </c>
      <c r="I1056">
        <v>25557.826171875</v>
      </c>
      <c r="J1056" s="1">
        <v>45894</v>
      </c>
      <c r="K1056">
        <v>19.5</v>
      </c>
      <c r="L1056" t="s">
        <v>37</v>
      </c>
      <c r="M1056" t="s">
        <v>37</v>
      </c>
      <c r="N1056" t="s">
        <v>98</v>
      </c>
      <c r="O1056">
        <v>202508</v>
      </c>
      <c r="P1056">
        <v>100005</v>
      </c>
      <c r="Q1056" t="s">
        <v>12</v>
      </c>
      <c r="R1056" t="s">
        <v>12</v>
      </c>
      <c r="S1056" t="s">
        <v>12</v>
      </c>
      <c r="T1056" t="s">
        <v>12</v>
      </c>
      <c r="U1056" t="s">
        <v>12</v>
      </c>
      <c r="V1056" t="s">
        <v>12</v>
      </c>
      <c r="W1056" t="s">
        <v>12</v>
      </c>
      <c r="X1056" t="s">
        <v>12</v>
      </c>
      <c r="Y1056" t="s">
        <v>12</v>
      </c>
      <c r="Z1056" t="s">
        <v>12</v>
      </c>
      <c r="AA1056" t="s">
        <v>12</v>
      </c>
      <c r="AB1056" t="s">
        <v>12</v>
      </c>
      <c r="AC1056" t="s">
        <v>12</v>
      </c>
      <c r="AD1056" t="s">
        <v>12</v>
      </c>
      <c r="AE1056" t="s">
        <v>12</v>
      </c>
      <c r="AF1056" t="s">
        <v>12</v>
      </c>
      <c r="AG1056" t="s">
        <v>12</v>
      </c>
      <c r="AH1056" t="s">
        <v>12</v>
      </c>
      <c r="AI1056" t="s">
        <v>12</v>
      </c>
      <c r="AJ1056" t="s">
        <v>12</v>
      </c>
      <c r="AK1056" t="s">
        <v>12</v>
      </c>
      <c r="AL1056" t="s">
        <v>12</v>
      </c>
      <c r="AM1056" t="s">
        <v>12</v>
      </c>
      <c r="AN1056" t="s">
        <v>12</v>
      </c>
      <c r="AO1056" t="s">
        <v>12</v>
      </c>
    </row>
    <row r="1057" spans="1:41" x14ac:dyDescent="0.35">
      <c r="A1057">
        <v>13541169</v>
      </c>
      <c r="B1057">
        <v>202504</v>
      </c>
      <c r="C1057">
        <v>10416049691</v>
      </c>
      <c r="D1057" t="s">
        <v>1330</v>
      </c>
      <c r="E1057">
        <v>41604969</v>
      </c>
      <c r="F1057">
        <v>10252614</v>
      </c>
      <c r="G1057" t="s">
        <v>65</v>
      </c>
      <c r="H1057" t="s">
        <v>120</v>
      </c>
      <c r="I1057">
        <v>73387.1015625</v>
      </c>
      <c r="J1057" s="1">
        <v>45420</v>
      </c>
      <c r="K1057">
        <v>16</v>
      </c>
      <c r="L1057" t="s">
        <v>4</v>
      </c>
      <c r="M1057" t="s">
        <v>4</v>
      </c>
      <c r="N1057" t="s">
        <v>47</v>
      </c>
      <c r="O1057">
        <v>202405</v>
      </c>
      <c r="P1057">
        <v>90004.5</v>
      </c>
      <c r="Q1057" t="s">
        <v>120</v>
      </c>
      <c r="R1057" t="s">
        <v>121</v>
      </c>
      <c r="S1057" t="s">
        <v>18</v>
      </c>
      <c r="T1057" t="s">
        <v>122</v>
      </c>
      <c r="U1057" t="s">
        <v>41</v>
      </c>
      <c r="V1057">
        <v>1</v>
      </c>
      <c r="W1057" t="s">
        <v>10</v>
      </c>
      <c r="X1057" t="s">
        <v>12</v>
      </c>
      <c r="Y1057">
        <v>1</v>
      </c>
      <c r="Z1057">
        <v>1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 t="s">
        <v>12</v>
      </c>
      <c r="AG1057" t="s">
        <v>12</v>
      </c>
      <c r="AH1057" t="s">
        <v>12</v>
      </c>
      <c r="AI1057" t="s">
        <v>12</v>
      </c>
      <c r="AJ1057" t="s">
        <v>12</v>
      </c>
      <c r="AK1057">
        <v>94400</v>
      </c>
      <c r="AL1057">
        <v>0.22</v>
      </c>
      <c r="AM1057">
        <v>0.20200000000000001</v>
      </c>
      <c r="AN1057" t="s">
        <v>12</v>
      </c>
      <c r="AO1057" t="s">
        <v>12</v>
      </c>
    </row>
    <row r="1058" spans="1:41" x14ac:dyDescent="0.35">
      <c r="A1058">
        <v>19884076</v>
      </c>
      <c r="B1058">
        <v>202504</v>
      </c>
      <c r="C1058">
        <v>10700364301</v>
      </c>
      <c r="D1058" t="s">
        <v>1331</v>
      </c>
      <c r="E1058">
        <v>70036430</v>
      </c>
      <c r="F1058">
        <v>10265505</v>
      </c>
      <c r="G1058" t="s">
        <v>100</v>
      </c>
      <c r="H1058" t="s">
        <v>692</v>
      </c>
      <c r="I1058">
        <v>123928.390625</v>
      </c>
      <c r="J1058" s="1">
        <v>45708</v>
      </c>
      <c r="K1058">
        <v>16</v>
      </c>
      <c r="L1058" t="s">
        <v>37</v>
      </c>
      <c r="M1058" t="s">
        <v>37</v>
      </c>
      <c r="N1058" t="s">
        <v>102</v>
      </c>
      <c r="O1058">
        <v>202502</v>
      </c>
      <c r="P1058">
        <v>129641.35</v>
      </c>
      <c r="Q1058" t="s">
        <v>12</v>
      </c>
      <c r="R1058" t="s">
        <v>12</v>
      </c>
      <c r="S1058" t="s">
        <v>12</v>
      </c>
      <c r="T1058" t="s">
        <v>12</v>
      </c>
      <c r="U1058" t="s">
        <v>12</v>
      </c>
      <c r="V1058" t="s">
        <v>12</v>
      </c>
      <c r="W1058" t="s">
        <v>12</v>
      </c>
      <c r="X1058" t="s">
        <v>12</v>
      </c>
      <c r="Y1058" t="s">
        <v>12</v>
      </c>
      <c r="Z1058" t="s">
        <v>12</v>
      </c>
      <c r="AA1058" t="s">
        <v>12</v>
      </c>
      <c r="AB1058" t="s">
        <v>12</v>
      </c>
      <c r="AC1058" t="s">
        <v>12</v>
      </c>
      <c r="AD1058" t="s">
        <v>12</v>
      </c>
      <c r="AE1058" t="s">
        <v>12</v>
      </c>
      <c r="AF1058" t="s">
        <v>12</v>
      </c>
      <c r="AG1058" t="s">
        <v>12</v>
      </c>
      <c r="AH1058" t="s">
        <v>12</v>
      </c>
      <c r="AI1058" t="s">
        <v>12</v>
      </c>
      <c r="AJ1058" t="s">
        <v>12</v>
      </c>
      <c r="AK1058" t="s">
        <v>12</v>
      </c>
      <c r="AL1058" t="s">
        <v>12</v>
      </c>
      <c r="AM1058" t="s">
        <v>12</v>
      </c>
      <c r="AN1058" t="s">
        <v>12</v>
      </c>
      <c r="AO1058" t="s">
        <v>12</v>
      </c>
    </row>
    <row r="1059" spans="1:41" x14ac:dyDescent="0.35">
      <c r="A1059">
        <v>15949615</v>
      </c>
      <c r="B1059">
        <v>202512</v>
      </c>
      <c r="C1059">
        <v>20555123885</v>
      </c>
      <c r="D1059" t="s">
        <v>226</v>
      </c>
      <c r="E1059" t="s">
        <v>1</v>
      </c>
      <c r="F1059">
        <v>10265180</v>
      </c>
      <c r="G1059" t="s">
        <v>92</v>
      </c>
      <c r="H1059" t="s">
        <v>145</v>
      </c>
      <c r="I1059">
        <v>93283.265625</v>
      </c>
      <c r="J1059" s="1">
        <v>45695</v>
      </c>
      <c r="K1059">
        <v>16.280000999999999</v>
      </c>
      <c r="L1059" t="s">
        <v>4</v>
      </c>
      <c r="M1059" t="s">
        <v>4</v>
      </c>
      <c r="N1059" t="s">
        <v>41</v>
      </c>
      <c r="O1059">
        <v>202502</v>
      </c>
      <c r="P1059">
        <v>150007.5</v>
      </c>
      <c r="Q1059" t="s">
        <v>227</v>
      </c>
      <c r="R1059" t="s">
        <v>228</v>
      </c>
      <c r="S1059" t="s">
        <v>127</v>
      </c>
      <c r="T1059" t="s">
        <v>147</v>
      </c>
      <c r="U1059" t="s">
        <v>41</v>
      </c>
      <c r="V1059">
        <v>1</v>
      </c>
      <c r="W1059" t="s">
        <v>10</v>
      </c>
      <c r="X1059" t="s">
        <v>11</v>
      </c>
      <c r="Y1059">
        <v>1</v>
      </c>
      <c r="Z1059">
        <v>1</v>
      </c>
      <c r="AA1059">
        <v>0</v>
      </c>
      <c r="AB1059">
        <v>0</v>
      </c>
      <c r="AC1059">
        <v>1</v>
      </c>
      <c r="AD1059">
        <v>1</v>
      </c>
      <c r="AE1059">
        <v>0</v>
      </c>
      <c r="AF1059" t="s">
        <v>12</v>
      </c>
      <c r="AG1059" t="s">
        <v>12</v>
      </c>
      <c r="AH1059" t="s">
        <v>12</v>
      </c>
      <c r="AI1059" t="s">
        <v>12</v>
      </c>
      <c r="AJ1059" t="s">
        <v>12</v>
      </c>
      <c r="AK1059">
        <v>296300</v>
      </c>
      <c r="AL1059">
        <v>0.21</v>
      </c>
      <c r="AM1059">
        <v>0.19</v>
      </c>
      <c r="AN1059" t="s">
        <v>12</v>
      </c>
      <c r="AO1059" t="s">
        <v>12</v>
      </c>
    </row>
    <row r="1060" spans="1:41" x14ac:dyDescent="0.35">
      <c r="A1060">
        <v>15979123</v>
      </c>
      <c r="B1060">
        <v>202507</v>
      </c>
      <c r="C1060">
        <v>20602821154</v>
      </c>
      <c r="D1060" t="s">
        <v>1332</v>
      </c>
      <c r="E1060" t="s">
        <v>1</v>
      </c>
      <c r="F1060">
        <v>10262883</v>
      </c>
      <c r="G1060" t="s">
        <v>45</v>
      </c>
      <c r="H1060" t="s">
        <v>159</v>
      </c>
      <c r="I1060">
        <v>16871.666015625</v>
      </c>
      <c r="J1060" s="1">
        <v>45617</v>
      </c>
      <c r="K1060">
        <v>14.8</v>
      </c>
      <c r="L1060" t="s">
        <v>37</v>
      </c>
      <c r="M1060" t="s">
        <v>37</v>
      </c>
      <c r="N1060" t="s">
        <v>47</v>
      </c>
      <c r="O1060">
        <v>202411</v>
      </c>
      <c r="P1060">
        <v>18200.900000000001</v>
      </c>
      <c r="Q1060" t="s">
        <v>12</v>
      </c>
      <c r="R1060" t="s">
        <v>12</v>
      </c>
      <c r="S1060" t="s">
        <v>12</v>
      </c>
      <c r="T1060" t="s">
        <v>12</v>
      </c>
      <c r="U1060" t="s">
        <v>12</v>
      </c>
      <c r="V1060" t="s">
        <v>12</v>
      </c>
      <c r="W1060" t="s">
        <v>12</v>
      </c>
      <c r="X1060" t="s">
        <v>12</v>
      </c>
      <c r="Y1060" t="s">
        <v>12</v>
      </c>
      <c r="Z1060" t="s">
        <v>12</v>
      </c>
      <c r="AA1060" t="s">
        <v>12</v>
      </c>
      <c r="AB1060" t="s">
        <v>12</v>
      </c>
      <c r="AC1060" t="s">
        <v>12</v>
      </c>
      <c r="AD1060" t="s">
        <v>12</v>
      </c>
      <c r="AE1060" t="s">
        <v>12</v>
      </c>
      <c r="AF1060" t="s">
        <v>12</v>
      </c>
      <c r="AG1060" t="s">
        <v>12</v>
      </c>
      <c r="AH1060" t="s">
        <v>12</v>
      </c>
      <c r="AI1060" t="s">
        <v>12</v>
      </c>
      <c r="AJ1060" t="s">
        <v>12</v>
      </c>
      <c r="AK1060" t="s">
        <v>12</v>
      </c>
      <c r="AL1060" t="s">
        <v>12</v>
      </c>
      <c r="AM1060" t="s">
        <v>12</v>
      </c>
      <c r="AN1060" t="s">
        <v>12</v>
      </c>
      <c r="AO1060" t="s">
        <v>12</v>
      </c>
    </row>
    <row r="1061" spans="1:41" x14ac:dyDescent="0.35">
      <c r="A1061">
        <v>16353364</v>
      </c>
      <c r="B1061">
        <v>202601</v>
      </c>
      <c r="C1061">
        <v>10086906401</v>
      </c>
      <c r="D1061" t="s">
        <v>1333</v>
      </c>
      <c r="E1061">
        <v>8690640</v>
      </c>
      <c r="F1061">
        <v>10268175</v>
      </c>
      <c r="G1061" t="s">
        <v>24</v>
      </c>
      <c r="H1061" t="s">
        <v>159</v>
      </c>
      <c r="I1061">
        <v>13122.7783203125</v>
      </c>
      <c r="J1061" s="1">
        <v>45804</v>
      </c>
      <c r="K1061">
        <v>25</v>
      </c>
      <c r="L1061" t="s">
        <v>37</v>
      </c>
      <c r="M1061" t="s">
        <v>37</v>
      </c>
      <c r="N1061" t="s">
        <v>98</v>
      </c>
      <c r="O1061">
        <v>202505</v>
      </c>
      <c r="P1061">
        <v>20001</v>
      </c>
      <c r="Q1061" t="s">
        <v>140</v>
      </c>
      <c r="R1061" t="s">
        <v>141</v>
      </c>
      <c r="S1061" t="s">
        <v>111</v>
      </c>
      <c r="T1061" t="s">
        <v>112</v>
      </c>
      <c r="U1061" t="s">
        <v>63</v>
      </c>
      <c r="V1061">
        <v>2</v>
      </c>
      <c r="W1061" t="s">
        <v>21</v>
      </c>
      <c r="X1061" t="s">
        <v>59</v>
      </c>
      <c r="Y1061">
        <v>1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 t="s">
        <v>12</v>
      </c>
      <c r="AG1061" t="s">
        <v>12</v>
      </c>
      <c r="AH1061" t="s">
        <v>12</v>
      </c>
      <c r="AI1061" t="s">
        <v>12</v>
      </c>
      <c r="AJ1061" t="s">
        <v>12</v>
      </c>
      <c r="AK1061">
        <v>50000</v>
      </c>
      <c r="AL1061">
        <v>0.25869999999999999</v>
      </c>
      <c r="AM1061">
        <v>0.2387</v>
      </c>
      <c r="AN1061" t="s">
        <v>12</v>
      </c>
      <c r="AO1061" t="s">
        <v>12</v>
      </c>
    </row>
    <row r="1062" spans="1:41" x14ac:dyDescent="0.35">
      <c r="A1062">
        <v>20467032</v>
      </c>
      <c r="B1062">
        <v>202507</v>
      </c>
      <c r="C1062">
        <v>20600626982</v>
      </c>
      <c r="D1062" t="s">
        <v>1334</v>
      </c>
      <c r="E1062" t="s">
        <v>1</v>
      </c>
      <c r="F1062">
        <v>10267799</v>
      </c>
      <c r="G1062" t="s">
        <v>73</v>
      </c>
      <c r="H1062" t="s">
        <v>111</v>
      </c>
      <c r="I1062">
        <v>93131.671875</v>
      </c>
      <c r="J1062" s="1">
        <v>45791</v>
      </c>
      <c r="K1062">
        <v>22</v>
      </c>
      <c r="L1062" t="s">
        <v>86</v>
      </c>
      <c r="M1062" t="s">
        <v>75</v>
      </c>
      <c r="N1062" t="s">
        <v>20</v>
      </c>
      <c r="O1062">
        <v>202505</v>
      </c>
      <c r="P1062">
        <v>100005</v>
      </c>
      <c r="Q1062" t="s">
        <v>12</v>
      </c>
      <c r="R1062" t="s">
        <v>12</v>
      </c>
      <c r="S1062" t="s">
        <v>12</v>
      </c>
      <c r="T1062" t="s">
        <v>12</v>
      </c>
      <c r="U1062" t="s">
        <v>12</v>
      </c>
      <c r="V1062" t="s">
        <v>12</v>
      </c>
      <c r="W1062" t="s">
        <v>12</v>
      </c>
      <c r="X1062" t="s">
        <v>12</v>
      </c>
      <c r="Y1062" t="s">
        <v>12</v>
      </c>
      <c r="Z1062" t="s">
        <v>12</v>
      </c>
      <c r="AA1062" t="s">
        <v>12</v>
      </c>
      <c r="AB1062" t="s">
        <v>12</v>
      </c>
      <c r="AC1062" t="s">
        <v>12</v>
      </c>
      <c r="AD1062" t="s">
        <v>12</v>
      </c>
      <c r="AE1062" t="s">
        <v>12</v>
      </c>
      <c r="AF1062" t="s">
        <v>12</v>
      </c>
      <c r="AG1062" t="s">
        <v>12</v>
      </c>
      <c r="AH1062" t="s">
        <v>12</v>
      </c>
      <c r="AI1062" t="s">
        <v>12</v>
      </c>
      <c r="AJ1062" t="s">
        <v>12</v>
      </c>
      <c r="AK1062" t="s">
        <v>12</v>
      </c>
      <c r="AL1062" t="s">
        <v>12</v>
      </c>
      <c r="AM1062" t="s">
        <v>12</v>
      </c>
      <c r="AN1062" t="s">
        <v>12</v>
      </c>
      <c r="AO1062" t="s">
        <v>12</v>
      </c>
    </row>
    <row r="1063" spans="1:41" x14ac:dyDescent="0.35">
      <c r="A1063">
        <v>13033784</v>
      </c>
      <c r="B1063">
        <v>202510</v>
      </c>
      <c r="C1063">
        <v>20450696308</v>
      </c>
      <c r="D1063" t="s">
        <v>1335</v>
      </c>
      <c r="E1063" t="s">
        <v>1</v>
      </c>
      <c r="F1063">
        <v>10165109</v>
      </c>
      <c r="G1063" t="s">
        <v>2</v>
      </c>
      <c r="H1063" t="s">
        <v>273</v>
      </c>
      <c r="I1063">
        <v>60804.9453125</v>
      </c>
      <c r="J1063" s="1">
        <v>45644</v>
      </c>
      <c r="K1063">
        <v>17.38</v>
      </c>
      <c r="L1063" t="s">
        <v>4</v>
      </c>
      <c r="M1063" t="s">
        <v>4</v>
      </c>
      <c r="N1063" t="s">
        <v>5</v>
      </c>
      <c r="O1063">
        <v>202412</v>
      </c>
      <c r="P1063">
        <v>150007.5</v>
      </c>
      <c r="Q1063" t="s">
        <v>273</v>
      </c>
      <c r="R1063" t="s">
        <v>274</v>
      </c>
      <c r="S1063" t="s">
        <v>39</v>
      </c>
      <c r="T1063" t="s">
        <v>40</v>
      </c>
      <c r="U1063" t="s">
        <v>41</v>
      </c>
      <c r="V1063">
        <v>1</v>
      </c>
      <c r="W1063" t="s">
        <v>10</v>
      </c>
      <c r="X1063" t="s">
        <v>12</v>
      </c>
      <c r="Y1063">
        <v>1</v>
      </c>
      <c r="Z1063">
        <v>1</v>
      </c>
      <c r="AA1063">
        <v>0</v>
      </c>
      <c r="AB1063">
        <v>0</v>
      </c>
      <c r="AC1063">
        <v>1</v>
      </c>
      <c r="AD1063">
        <v>1</v>
      </c>
      <c r="AE1063">
        <v>0</v>
      </c>
      <c r="AF1063" t="s">
        <v>12</v>
      </c>
      <c r="AG1063" t="s">
        <v>12</v>
      </c>
      <c r="AH1063" t="s">
        <v>12</v>
      </c>
      <c r="AI1063" t="s">
        <v>12</v>
      </c>
      <c r="AJ1063" t="s">
        <v>12</v>
      </c>
      <c r="AK1063">
        <v>250000</v>
      </c>
      <c r="AL1063">
        <v>0.22</v>
      </c>
      <c r="AM1063">
        <v>0.2</v>
      </c>
      <c r="AN1063" t="s">
        <v>12</v>
      </c>
      <c r="AO1063" t="s">
        <v>12</v>
      </c>
    </row>
    <row r="1064" spans="1:41" x14ac:dyDescent="0.35">
      <c r="A1064">
        <v>261909</v>
      </c>
      <c r="B1064">
        <v>202506</v>
      </c>
      <c r="C1064">
        <v>10157256691</v>
      </c>
      <c r="D1064" t="s">
        <v>1336</v>
      </c>
      <c r="E1064">
        <v>15725669</v>
      </c>
      <c r="F1064">
        <v>10149186</v>
      </c>
      <c r="G1064" t="s">
        <v>2</v>
      </c>
      <c r="H1064" t="s">
        <v>234</v>
      </c>
      <c r="I1064">
        <v>100005.0078125</v>
      </c>
      <c r="J1064" s="1">
        <v>45806</v>
      </c>
      <c r="K1064">
        <v>16</v>
      </c>
      <c r="L1064" t="s">
        <v>4</v>
      </c>
      <c r="M1064" t="s">
        <v>4</v>
      </c>
      <c r="N1064" t="s">
        <v>5</v>
      </c>
      <c r="O1064">
        <v>202505</v>
      </c>
      <c r="P1064">
        <v>100005</v>
      </c>
      <c r="Q1064" t="s">
        <v>234</v>
      </c>
      <c r="R1064" t="s">
        <v>235</v>
      </c>
      <c r="S1064" t="s">
        <v>49</v>
      </c>
      <c r="T1064" t="s">
        <v>50</v>
      </c>
      <c r="U1064" t="s">
        <v>5</v>
      </c>
      <c r="V1064">
        <v>1</v>
      </c>
      <c r="W1064" t="s">
        <v>647</v>
      </c>
      <c r="X1064" t="s">
        <v>12</v>
      </c>
      <c r="Y1064">
        <v>1</v>
      </c>
      <c r="Z1064">
        <v>1</v>
      </c>
      <c r="AA1064">
        <v>0</v>
      </c>
      <c r="AB1064">
        <v>0</v>
      </c>
      <c r="AC1064">
        <v>1</v>
      </c>
      <c r="AD1064">
        <v>1</v>
      </c>
      <c r="AE1064">
        <v>0</v>
      </c>
      <c r="AF1064" t="s">
        <v>12</v>
      </c>
      <c r="AG1064" t="s">
        <v>12</v>
      </c>
      <c r="AH1064" t="s">
        <v>12</v>
      </c>
      <c r="AI1064" t="s">
        <v>12</v>
      </c>
      <c r="AJ1064" t="s">
        <v>12</v>
      </c>
      <c r="AK1064">
        <v>100000</v>
      </c>
      <c r="AL1064">
        <v>0.21</v>
      </c>
      <c r="AM1064">
        <v>0.18779999999999999</v>
      </c>
      <c r="AN1064" t="s">
        <v>12</v>
      </c>
      <c r="AO1064" t="s">
        <v>12</v>
      </c>
    </row>
    <row r="1065" spans="1:41" x14ac:dyDescent="0.35">
      <c r="A1065">
        <v>21835781</v>
      </c>
      <c r="B1065">
        <v>202602</v>
      </c>
      <c r="C1065">
        <v>20612484644</v>
      </c>
      <c r="D1065" t="s">
        <v>1337</v>
      </c>
      <c r="E1065" t="s">
        <v>1</v>
      </c>
      <c r="F1065">
        <v>10271076</v>
      </c>
      <c r="G1065" t="s">
        <v>268</v>
      </c>
      <c r="H1065" t="s">
        <v>127</v>
      </c>
      <c r="I1065">
        <v>25100.767578125</v>
      </c>
      <c r="J1065" s="1">
        <v>45905</v>
      </c>
      <c r="K1065">
        <v>26.1</v>
      </c>
      <c r="L1065" t="s">
        <v>37</v>
      </c>
      <c r="M1065" t="s">
        <v>37</v>
      </c>
      <c r="N1065" t="s">
        <v>98</v>
      </c>
      <c r="O1065">
        <v>202509</v>
      </c>
      <c r="P1065">
        <v>41002.050000000003</v>
      </c>
      <c r="Q1065" t="s">
        <v>12</v>
      </c>
      <c r="R1065" t="s">
        <v>12</v>
      </c>
      <c r="S1065" t="s">
        <v>12</v>
      </c>
      <c r="T1065" t="s">
        <v>12</v>
      </c>
      <c r="U1065" t="s">
        <v>12</v>
      </c>
      <c r="V1065" t="s">
        <v>12</v>
      </c>
      <c r="W1065" t="s">
        <v>12</v>
      </c>
      <c r="X1065" t="s">
        <v>12</v>
      </c>
      <c r="Y1065" t="s">
        <v>12</v>
      </c>
      <c r="Z1065" t="s">
        <v>12</v>
      </c>
      <c r="AA1065" t="s">
        <v>12</v>
      </c>
      <c r="AB1065" t="s">
        <v>12</v>
      </c>
      <c r="AC1065" t="s">
        <v>12</v>
      </c>
      <c r="AD1065" t="s">
        <v>12</v>
      </c>
      <c r="AE1065" t="s">
        <v>12</v>
      </c>
      <c r="AF1065" t="s">
        <v>12</v>
      </c>
      <c r="AG1065" t="s">
        <v>12</v>
      </c>
      <c r="AH1065" t="s">
        <v>12</v>
      </c>
      <c r="AI1065" t="s">
        <v>12</v>
      </c>
      <c r="AJ1065" t="s">
        <v>12</v>
      </c>
      <c r="AK1065" t="s">
        <v>12</v>
      </c>
      <c r="AL1065" t="s">
        <v>12</v>
      </c>
      <c r="AM1065" t="s">
        <v>12</v>
      </c>
      <c r="AN1065" t="s">
        <v>12</v>
      </c>
      <c r="AO1065" t="s">
        <v>12</v>
      </c>
    </row>
    <row r="1066" spans="1:41" x14ac:dyDescent="0.35">
      <c r="A1066">
        <v>14636381</v>
      </c>
      <c r="B1066">
        <v>202507</v>
      </c>
      <c r="C1066">
        <v>20543690776</v>
      </c>
      <c r="D1066" t="s">
        <v>1278</v>
      </c>
      <c r="E1066" t="s">
        <v>1</v>
      </c>
      <c r="F1066">
        <v>10268826</v>
      </c>
      <c r="G1066" t="s">
        <v>92</v>
      </c>
      <c r="H1066" t="s">
        <v>61</v>
      </c>
      <c r="I1066">
        <v>192906.609375</v>
      </c>
      <c r="J1066" s="1">
        <v>45827</v>
      </c>
      <c r="K1066">
        <v>18</v>
      </c>
      <c r="L1066" t="s">
        <v>4</v>
      </c>
      <c r="M1066" t="s">
        <v>4</v>
      </c>
      <c r="N1066" t="s">
        <v>41</v>
      </c>
      <c r="O1066">
        <v>202506</v>
      </c>
      <c r="P1066">
        <v>200010</v>
      </c>
      <c r="Q1066" t="s">
        <v>12</v>
      </c>
      <c r="R1066" t="s">
        <v>12</v>
      </c>
      <c r="S1066" t="s">
        <v>12</v>
      </c>
      <c r="T1066" t="s">
        <v>12</v>
      </c>
      <c r="U1066" t="s">
        <v>12</v>
      </c>
      <c r="V1066" t="s">
        <v>12</v>
      </c>
      <c r="W1066" t="s">
        <v>12</v>
      </c>
      <c r="X1066" t="s">
        <v>12</v>
      </c>
      <c r="Y1066" t="s">
        <v>12</v>
      </c>
      <c r="Z1066" t="s">
        <v>12</v>
      </c>
      <c r="AA1066" t="s">
        <v>12</v>
      </c>
      <c r="AB1066" t="s">
        <v>12</v>
      </c>
      <c r="AC1066" t="s">
        <v>12</v>
      </c>
      <c r="AD1066" t="s">
        <v>12</v>
      </c>
      <c r="AE1066" t="s">
        <v>12</v>
      </c>
      <c r="AF1066" t="s">
        <v>12</v>
      </c>
      <c r="AG1066" t="s">
        <v>12</v>
      </c>
      <c r="AH1066" t="s">
        <v>12</v>
      </c>
      <c r="AI1066" t="s">
        <v>12</v>
      </c>
      <c r="AJ1066" t="s">
        <v>12</v>
      </c>
      <c r="AK1066" t="s">
        <v>12</v>
      </c>
      <c r="AL1066" t="s">
        <v>12</v>
      </c>
      <c r="AM1066" t="s">
        <v>12</v>
      </c>
      <c r="AN1066" t="s">
        <v>12</v>
      </c>
      <c r="AO1066" t="s">
        <v>12</v>
      </c>
    </row>
    <row r="1067" spans="1:41" x14ac:dyDescent="0.35">
      <c r="A1067">
        <v>13204161</v>
      </c>
      <c r="B1067">
        <v>202601</v>
      </c>
      <c r="C1067">
        <v>20454609329</v>
      </c>
      <c r="D1067" t="s">
        <v>1338</v>
      </c>
      <c r="E1067" t="s">
        <v>1</v>
      </c>
      <c r="F1067">
        <v>10268538</v>
      </c>
      <c r="G1067" t="s">
        <v>14</v>
      </c>
      <c r="H1067" t="s">
        <v>206</v>
      </c>
      <c r="I1067">
        <v>64727.0546875</v>
      </c>
      <c r="J1067" s="1">
        <v>45818</v>
      </c>
      <c r="K1067">
        <v>17</v>
      </c>
      <c r="L1067" t="s">
        <v>37</v>
      </c>
      <c r="M1067" t="s">
        <v>75</v>
      </c>
      <c r="N1067" t="s">
        <v>16</v>
      </c>
      <c r="O1067">
        <v>202506</v>
      </c>
      <c r="P1067">
        <v>170008.5</v>
      </c>
      <c r="Q1067" t="s">
        <v>57</v>
      </c>
      <c r="R1067" t="s">
        <v>58</v>
      </c>
      <c r="S1067" t="s">
        <v>39</v>
      </c>
      <c r="T1067" t="s">
        <v>40</v>
      </c>
      <c r="U1067" t="s">
        <v>63</v>
      </c>
      <c r="V1067">
        <v>1</v>
      </c>
      <c r="W1067" t="s">
        <v>21</v>
      </c>
      <c r="X1067" t="s">
        <v>11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 t="s">
        <v>12</v>
      </c>
      <c r="AG1067" t="s">
        <v>12</v>
      </c>
      <c r="AH1067" t="s">
        <v>12</v>
      </c>
      <c r="AI1067" t="s">
        <v>12</v>
      </c>
      <c r="AJ1067" t="s">
        <v>12</v>
      </c>
      <c r="AK1067">
        <v>500000</v>
      </c>
      <c r="AL1067">
        <v>0.21</v>
      </c>
      <c r="AM1067">
        <v>0.19</v>
      </c>
      <c r="AN1067" t="s">
        <v>12</v>
      </c>
      <c r="AO1067" t="s">
        <v>12</v>
      </c>
    </row>
    <row r="1068" spans="1:41" x14ac:dyDescent="0.35">
      <c r="A1068">
        <v>12901812</v>
      </c>
      <c r="B1068">
        <v>202601</v>
      </c>
      <c r="C1068">
        <v>20544119363</v>
      </c>
      <c r="D1068" t="s">
        <v>1339</v>
      </c>
      <c r="E1068" t="s">
        <v>1</v>
      </c>
      <c r="F1068">
        <v>10249247</v>
      </c>
      <c r="G1068" t="s">
        <v>45</v>
      </c>
      <c r="H1068" t="s">
        <v>606</v>
      </c>
      <c r="I1068">
        <v>74999.390625</v>
      </c>
      <c r="J1068" s="1">
        <v>45364</v>
      </c>
      <c r="K1068">
        <v>13.9</v>
      </c>
      <c r="L1068" t="s">
        <v>4</v>
      </c>
      <c r="M1068" t="s">
        <v>4</v>
      </c>
      <c r="N1068" t="s">
        <v>47</v>
      </c>
      <c r="O1068">
        <v>202403</v>
      </c>
      <c r="P1068">
        <v>90004.5</v>
      </c>
      <c r="Q1068" t="s">
        <v>204</v>
      </c>
      <c r="R1068" t="s">
        <v>291</v>
      </c>
      <c r="S1068" t="s">
        <v>127</v>
      </c>
      <c r="T1068" t="s">
        <v>147</v>
      </c>
      <c r="U1068" t="s">
        <v>63</v>
      </c>
      <c r="V1068">
        <v>1</v>
      </c>
      <c r="W1068" t="s">
        <v>21</v>
      </c>
      <c r="X1068" t="s">
        <v>22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 t="s">
        <v>12</v>
      </c>
      <c r="AG1068" t="s">
        <v>12</v>
      </c>
      <c r="AH1068" t="s">
        <v>12</v>
      </c>
      <c r="AI1068" t="s">
        <v>12</v>
      </c>
      <c r="AJ1068" t="s">
        <v>12</v>
      </c>
      <c r="AK1068">
        <v>56100</v>
      </c>
      <c r="AL1068">
        <v>0.21</v>
      </c>
      <c r="AM1068">
        <v>0.19</v>
      </c>
      <c r="AN1068" t="s">
        <v>12</v>
      </c>
      <c r="AO1068" t="s">
        <v>12</v>
      </c>
    </row>
    <row r="1069" spans="1:41" x14ac:dyDescent="0.35">
      <c r="A1069">
        <v>14184114</v>
      </c>
      <c r="B1069">
        <v>202506</v>
      </c>
      <c r="C1069">
        <v>20561133639</v>
      </c>
      <c r="D1069" t="s">
        <v>1340</v>
      </c>
      <c r="E1069" t="s">
        <v>1</v>
      </c>
      <c r="F1069">
        <v>10242559</v>
      </c>
      <c r="G1069" t="s">
        <v>14</v>
      </c>
      <c r="H1069" t="s">
        <v>257</v>
      </c>
      <c r="I1069">
        <v>11854.826171875</v>
      </c>
      <c r="J1069" s="1">
        <v>45149</v>
      </c>
      <c r="K1069">
        <v>20.9</v>
      </c>
      <c r="L1069" t="s">
        <v>37</v>
      </c>
      <c r="M1069" t="s">
        <v>37</v>
      </c>
      <c r="N1069" t="s">
        <v>12</v>
      </c>
      <c r="O1069">
        <v>202308</v>
      </c>
      <c r="P1069">
        <v>120006</v>
      </c>
      <c r="Q1069" t="s">
        <v>257</v>
      </c>
      <c r="R1069" t="s">
        <v>258</v>
      </c>
      <c r="S1069" t="s">
        <v>49</v>
      </c>
      <c r="T1069" t="s">
        <v>50</v>
      </c>
      <c r="U1069" t="s">
        <v>41</v>
      </c>
      <c r="V1069">
        <v>1</v>
      </c>
      <c r="W1069" t="s">
        <v>10</v>
      </c>
      <c r="X1069" t="s">
        <v>12</v>
      </c>
      <c r="Y1069">
        <v>1</v>
      </c>
      <c r="Z1069">
        <v>1</v>
      </c>
      <c r="AA1069">
        <v>0</v>
      </c>
      <c r="AB1069">
        <v>0</v>
      </c>
      <c r="AC1069">
        <v>1</v>
      </c>
      <c r="AD1069">
        <v>1</v>
      </c>
      <c r="AE1069">
        <v>0</v>
      </c>
      <c r="AF1069" t="s">
        <v>12</v>
      </c>
      <c r="AG1069" t="s">
        <v>12</v>
      </c>
      <c r="AH1069" t="s">
        <v>12</v>
      </c>
      <c r="AI1069" t="s">
        <v>12</v>
      </c>
      <c r="AJ1069" t="s">
        <v>12</v>
      </c>
      <c r="AK1069">
        <v>400000</v>
      </c>
      <c r="AL1069">
        <v>0.2</v>
      </c>
      <c r="AM1069">
        <v>0.18</v>
      </c>
      <c r="AN1069" t="s">
        <v>12</v>
      </c>
      <c r="AO1069" t="s">
        <v>12</v>
      </c>
    </row>
    <row r="1070" spans="1:41" x14ac:dyDescent="0.35">
      <c r="A1070">
        <v>18564082</v>
      </c>
      <c r="B1070">
        <v>202502</v>
      </c>
      <c r="C1070">
        <v>20605931554</v>
      </c>
      <c r="D1070" t="s">
        <v>1341</v>
      </c>
      <c r="E1070" t="s">
        <v>1</v>
      </c>
      <c r="F1070">
        <v>10240266</v>
      </c>
      <c r="G1070" t="s">
        <v>92</v>
      </c>
      <c r="H1070" t="s">
        <v>82</v>
      </c>
      <c r="I1070">
        <v>23345.751953125</v>
      </c>
      <c r="J1070" s="1">
        <v>45097</v>
      </c>
      <c r="K1070">
        <v>22</v>
      </c>
      <c r="L1070" t="s">
        <v>4</v>
      </c>
      <c r="M1070" t="s">
        <v>4</v>
      </c>
      <c r="N1070" t="s">
        <v>41</v>
      </c>
      <c r="O1070">
        <v>202306</v>
      </c>
      <c r="P1070">
        <v>119005.95</v>
      </c>
      <c r="Q1070" t="s">
        <v>82</v>
      </c>
      <c r="R1070" t="s">
        <v>83</v>
      </c>
      <c r="S1070" t="s">
        <v>49</v>
      </c>
      <c r="T1070" t="s">
        <v>50</v>
      </c>
      <c r="U1070" t="s">
        <v>333</v>
      </c>
      <c r="V1070">
        <v>1</v>
      </c>
      <c r="W1070" t="s">
        <v>10</v>
      </c>
      <c r="X1070" t="s">
        <v>12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12</v>
      </c>
      <c r="AG1070" t="s">
        <v>12</v>
      </c>
      <c r="AH1070" t="s">
        <v>12</v>
      </c>
      <c r="AI1070" t="s">
        <v>12</v>
      </c>
      <c r="AJ1070" t="s">
        <v>12</v>
      </c>
      <c r="AK1070">
        <v>550000</v>
      </c>
      <c r="AL1070">
        <v>0.17299999999999999</v>
      </c>
      <c r="AM1070">
        <v>0.153</v>
      </c>
      <c r="AN1070" t="s">
        <v>12</v>
      </c>
      <c r="AO1070" t="s">
        <v>12</v>
      </c>
    </row>
    <row r="1071" spans="1:41" x14ac:dyDescent="0.35">
      <c r="A1071">
        <v>21750997</v>
      </c>
      <c r="B1071">
        <v>202602</v>
      </c>
      <c r="C1071">
        <v>20600853130</v>
      </c>
      <c r="D1071" t="s">
        <v>1342</v>
      </c>
      <c r="E1071" t="s">
        <v>1</v>
      </c>
      <c r="F1071">
        <v>10269730</v>
      </c>
      <c r="G1071" t="s">
        <v>100</v>
      </c>
      <c r="H1071" t="s">
        <v>478</v>
      </c>
      <c r="I1071">
        <v>158753.578125</v>
      </c>
      <c r="J1071" s="1">
        <v>45856</v>
      </c>
      <c r="K1071">
        <v>14</v>
      </c>
      <c r="L1071" t="s">
        <v>37</v>
      </c>
      <c r="M1071" t="s">
        <v>37</v>
      </c>
      <c r="N1071" t="s">
        <v>102</v>
      </c>
      <c r="O1071">
        <v>202507</v>
      </c>
      <c r="P1071">
        <v>237390.4</v>
      </c>
      <c r="Q1071" t="s">
        <v>246</v>
      </c>
      <c r="R1071" t="s">
        <v>247</v>
      </c>
      <c r="S1071" t="s">
        <v>18</v>
      </c>
      <c r="T1071" t="s">
        <v>19</v>
      </c>
      <c r="U1071" t="s">
        <v>70</v>
      </c>
      <c r="V1071">
        <v>1</v>
      </c>
      <c r="W1071" t="s">
        <v>10</v>
      </c>
      <c r="X1071" t="s">
        <v>22</v>
      </c>
      <c r="Y1071">
        <v>1</v>
      </c>
      <c r="Z1071">
        <v>1</v>
      </c>
      <c r="AA1071">
        <v>0</v>
      </c>
      <c r="AB1071">
        <v>0</v>
      </c>
      <c r="AC1071">
        <v>1</v>
      </c>
      <c r="AD1071">
        <v>1</v>
      </c>
      <c r="AE1071">
        <v>0</v>
      </c>
      <c r="AF1071" t="s">
        <v>12</v>
      </c>
      <c r="AG1071" t="s">
        <v>12</v>
      </c>
      <c r="AH1071" t="s">
        <v>12</v>
      </c>
      <c r="AI1071" t="s">
        <v>12</v>
      </c>
      <c r="AJ1071" t="s">
        <v>12</v>
      </c>
      <c r="AK1071">
        <v>19000</v>
      </c>
      <c r="AL1071">
        <v>0.19</v>
      </c>
      <c r="AM1071">
        <v>0.17</v>
      </c>
      <c r="AN1071" t="s">
        <v>12</v>
      </c>
      <c r="AO1071" t="s">
        <v>12</v>
      </c>
    </row>
    <row r="1072" spans="1:41" x14ac:dyDescent="0.35">
      <c r="A1072">
        <v>20915480</v>
      </c>
      <c r="B1072">
        <v>202509</v>
      </c>
      <c r="C1072">
        <v>20602561179</v>
      </c>
      <c r="D1072" t="s">
        <v>1343</v>
      </c>
      <c r="E1072" t="s">
        <v>1</v>
      </c>
      <c r="F1072">
        <v>10268110</v>
      </c>
      <c r="G1072" t="s">
        <v>24</v>
      </c>
      <c r="H1072" t="s">
        <v>159</v>
      </c>
      <c r="I1072">
        <v>53821.01953125</v>
      </c>
      <c r="J1072" s="1">
        <v>45800</v>
      </c>
      <c r="K1072">
        <v>18</v>
      </c>
      <c r="L1072" t="s">
        <v>37</v>
      </c>
      <c r="M1072" t="s">
        <v>37</v>
      </c>
      <c r="N1072" t="s">
        <v>98</v>
      </c>
      <c r="O1072">
        <v>202505</v>
      </c>
      <c r="P1072">
        <v>60003</v>
      </c>
      <c r="Q1072" t="s">
        <v>12</v>
      </c>
      <c r="R1072" t="s">
        <v>12</v>
      </c>
      <c r="S1072" t="s">
        <v>12</v>
      </c>
      <c r="T1072" t="s">
        <v>12</v>
      </c>
      <c r="U1072" t="s">
        <v>12</v>
      </c>
      <c r="V1072" t="s">
        <v>12</v>
      </c>
      <c r="W1072" t="s">
        <v>12</v>
      </c>
      <c r="X1072" t="s">
        <v>12</v>
      </c>
      <c r="Y1072" t="s">
        <v>12</v>
      </c>
      <c r="Z1072" t="s">
        <v>12</v>
      </c>
      <c r="AA1072" t="s">
        <v>12</v>
      </c>
      <c r="AB1072" t="s">
        <v>12</v>
      </c>
      <c r="AC1072" t="s">
        <v>12</v>
      </c>
      <c r="AD1072" t="s">
        <v>12</v>
      </c>
      <c r="AE1072" t="s">
        <v>12</v>
      </c>
      <c r="AF1072" t="s">
        <v>12</v>
      </c>
      <c r="AG1072" t="s">
        <v>12</v>
      </c>
      <c r="AH1072" t="s">
        <v>12</v>
      </c>
      <c r="AI1072" t="s">
        <v>12</v>
      </c>
      <c r="AJ1072" t="s">
        <v>12</v>
      </c>
      <c r="AK1072" t="s">
        <v>12</v>
      </c>
      <c r="AL1072" t="s">
        <v>12</v>
      </c>
      <c r="AM1072" t="s">
        <v>12</v>
      </c>
      <c r="AN1072" t="s">
        <v>12</v>
      </c>
      <c r="AO1072" t="s">
        <v>12</v>
      </c>
    </row>
    <row r="1073" spans="1:41" x14ac:dyDescent="0.35">
      <c r="A1073">
        <v>17983675</v>
      </c>
      <c r="B1073">
        <v>202601</v>
      </c>
      <c r="C1073">
        <v>20554976990</v>
      </c>
      <c r="D1073" t="s">
        <v>874</v>
      </c>
      <c r="E1073" t="s">
        <v>1</v>
      </c>
      <c r="F1073">
        <v>10265804</v>
      </c>
      <c r="G1073" t="s">
        <v>73</v>
      </c>
      <c r="H1073" t="s">
        <v>127</v>
      </c>
      <c r="I1073">
        <v>156897.5</v>
      </c>
      <c r="J1073" s="1">
        <v>45715</v>
      </c>
      <c r="K1073">
        <v>17</v>
      </c>
      <c r="L1073" t="s">
        <v>4</v>
      </c>
      <c r="M1073" t="s">
        <v>4</v>
      </c>
      <c r="N1073" t="s">
        <v>20</v>
      </c>
      <c r="O1073">
        <v>202502</v>
      </c>
      <c r="P1073">
        <v>250012.5</v>
      </c>
      <c r="Q1073" t="s">
        <v>220</v>
      </c>
      <c r="R1073" t="s">
        <v>221</v>
      </c>
      <c r="S1073" t="s">
        <v>127</v>
      </c>
      <c r="T1073" t="s">
        <v>147</v>
      </c>
      <c r="U1073" t="s">
        <v>41</v>
      </c>
      <c r="V1073">
        <v>1</v>
      </c>
      <c r="W1073" t="s">
        <v>21</v>
      </c>
      <c r="X1073" t="s">
        <v>22</v>
      </c>
      <c r="Y1073">
        <v>1</v>
      </c>
      <c r="Z1073">
        <v>1</v>
      </c>
      <c r="AA1073">
        <v>0</v>
      </c>
      <c r="AB1073">
        <v>1</v>
      </c>
      <c r="AC1073">
        <v>1</v>
      </c>
      <c r="AD1073">
        <v>0</v>
      </c>
      <c r="AE1073">
        <v>0</v>
      </c>
      <c r="AF1073" t="s">
        <v>12</v>
      </c>
      <c r="AG1073" t="s">
        <v>12</v>
      </c>
      <c r="AH1073" t="s">
        <v>12</v>
      </c>
      <c r="AI1073" t="s">
        <v>12</v>
      </c>
      <c r="AJ1073" t="s">
        <v>12</v>
      </c>
      <c r="AK1073">
        <v>67100</v>
      </c>
      <c r="AL1073">
        <v>0.21</v>
      </c>
      <c r="AM1073">
        <v>0.19</v>
      </c>
      <c r="AN1073" t="s">
        <v>12</v>
      </c>
      <c r="AO1073" t="s">
        <v>12</v>
      </c>
    </row>
    <row r="1074" spans="1:41" x14ac:dyDescent="0.35">
      <c r="A1074">
        <v>18484528</v>
      </c>
      <c r="B1074">
        <v>202506</v>
      </c>
      <c r="C1074">
        <v>20607762423</v>
      </c>
      <c r="D1074" t="s">
        <v>1344</v>
      </c>
      <c r="E1074" t="s">
        <v>1</v>
      </c>
      <c r="F1074">
        <v>10267068</v>
      </c>
      <c r="G1074" t="s">
        <v>268</v>
      </c>
      <c r="H1074" t="s">
        <v>159</v>
      </c>
      <c r="I1074">
        <v>45136.83984375</v>
      </c>
      <c r="J1074" s="1">
        <v>45761</v>
      </c>
      <c r="K1074">
        <v>21</v>
      </c>
      <c r="L1074" t="s">
        <v>37</v>
      </c>
      <c r="M1074" t="s">
        <v>37</v>
      </c>
      <c r="N1074" t="s">
        <v>98</v>
      </c>
      <c r="O1074">
        <v>202504</v>
      </c>
      <c r="P1074">
        <v>50002.5</v>
      </c>
      <c r="Q1074" t="s">
        <v>12</v>
      </c>
      <c r="R1074" t="s">
        <v>12</v>
      </c>
      <c r="S1074" t="s">
        <v>12</v>
      </c>
      <c r="T1074" t="s">
        <v>12</v>
      </c>
      <c r="U1074" t="s">
        <v>12</v>
      </c>
      <c r="V1074" t="s">
        <v>12</v>
      </c>
      <c r="W1074" t="s">
        <v>12</v>
      </c>
      <c r="X1074" t="s">
        <v>12</v>
      </c>
      <c r="Y1074" t="s">
        <v>12</v>
      </c>
      <c r="Z1074" t="s">
        <v>12</v>
      </c>
      <c r="AA1074" t="s">
        <v>12</v>
      </c>
      <c r="AB1074" t="s">
        <v>12</v>
      </c>
      <c r="AC1074" t="s">
        <v>12</v>
      </c>
      <c r="AD1074" t="s">
        <v>12</v>
      </c>
      <c r="AE1074" t="s">
        <v>12</v>
      </c>
      <c r="AF1074" t="s">
        <v>12</v>
      </c>
      <c r="AG1074" t="s">
        <v>12</v>
      </c>
      <c r="AH1074" t="s">
        <v>12</v>
      </c>
      <c r="AI1074" t="s">
        <v>12</v>
      </c>
      <c r="AJ1074" t="s">
        <v>12</v>
      </c>
      <c r="AK1074" t="s">
        <v>12</v>
      </c>
      <c r="AL1074" t="s">
        <v>12</v>
      </c>
      <c r="AM1074" t="s">
        <v>12</v>
      </c>
      <c r="AN1074" t="s">
        <v>12</v>
      </c>
      <c r="AO1074" t="s">
        <v>12</v>
      </c>
    </row>
    <row r="1075" spans="1:41" x14ac:dyDescent="0.35">
      <c r="A1075">
        <v>21468103</v>
      </c>
      <c r="B1075">
        <v>202509</v>
      </c>
      <c r="C1075">
        <v>20601360374</v>
      </c>
      <c r="D1075" t="s">
        <v>1345</v>
      </c>
      <c r="E1075" t="s">
        <v>1</v>
      </c>
      <c r="F1075">
        <v>10265169</v>
      </c>
      <c r="G1075" t="s">
        <v>14</v>
      </c>
      <c r="H1075" t="s">
        <v>422</v>
      </c>
      <c r="I1075">
        <v>37165.0546875</v>
      </c>
      <c r="J1075" s="1">
        <v>45695</v>
      </c>
      <c r="K1075">
        <v>18.5</v>
      </c>
      <c r="L1075" t="s">
        <v>37</v>
      </c>
      <c r="M1075" t="s">
        <v>37</v>
      </c>
      <c r="N1075" t="s">
        <v>16</v>
      </c>
      <c r="O1075">
        <v>202502</v>
      </c>
      <c r="P1075">
        <v>50002.5</v>
      </c>
      <c r="Q1075" t="s">
        <v>422</v>
      </c>
      <c r="R1075" t="s">
        <v>424</v>
      </c>
      <c r="S1075" t="s">
        <v>88</v>
      </c>
      <c r="T1075" t="s">
        <v>89</v>
      </c>
      <c r="U1075" t="s">
        <v>1346</v>
      </c>
      <c r="V1075">
        <v>2</v>
      </c>
      <c r="W1075" t="s">
        <v>10</v>
      </c>
      <c r="X1075" t="s">
        <v>22</v>
      </c>
      <c r="Y1075">
        <v>1</v>
      </c>
      <c r="Z1075">
        <v>1</v>
      </c>
      <c r="AA1075">
        <v>0</v>
      </c>
      <c r="AB1075">
        <v>0</v>
      </c>
      <c r="AC1075">
        <v>1</v>
      </c>
      <c r="AD1075">
        <v>1</v>
      </c>
      <c r="AE1075">
        <v>0</v>
      </c>
      <c r="AF1075" t="s">
        <v>12</v>
      </c>
      <c r="AG1075" t="s">
        <v>12</v>
      </c>
      <c r="AH1075" t="s">
        <v>12</v>
      </c>
      <c r="AI1075" t="s">
        <v>12</v>
      </c>
      <c r="AJ1075" t="s">
        <v>12</v>
      </c>
      <c r="AK1075">
        <v>70000</v>
      </c>
      <c r="AL1075">
        <v>0.24</v>
      </c>
      <c r="AM1075">
        <v>0.22</v>
      </c>
      <c r="AN1075" t="s">
        <v>12</v>
      </c>
      <c r="AO1075" t="s">
        <v>12</v>
      </c>
    </row>
    <row r="1076" spans="1:41" x14ac:dyDescent="0.35">
      <c r="A1076">
        <v>10148470</v>
      </c>
      <c r="B1076">
        <v>202509</v>
      </c>
      <c r="C1076">
        <v>10180869315</v>
      </c>
      <c r="D1076" t="s">
        <v>1347</v>
      </c>
      <c r="E1076">
        <v>18086931</v>
      </c>
      <c r="F1076">
        <v>10259713</v>
      </c>
      <c r="G1076" t="s">
        <v>65</v>
      </c>
      <c r="H1076" t="s">
        <v>1348</v>
      </c>
      <c r="I1076">
        <v>14717.2763671875</v>
      </c>
      <c r="J1076" s="1">
        <v>45531</v>
      </c>
      <c r="K1076">
        <v>14.5</v>
      </c>
      <c r="L1076" t="s">
        <v>37</v>
      </c>
      <c r="M1076" t="s">
        <v>37</v>
      </c>
      <c r="N1076" t="s">
        <v>47</v>
      </c>
      <c r="O1076">
        <v>202408</v>
      </c>
      <c r="P1076">
        <v>20001</v>
      </c>
      <c r="Q1076" t="s">
        <v>12</v>
      </c>
      <c r="R1076" t="s">
        <v>12</v>
      </c>
      <c r="S1076" t="s">
        <v>12</v>
      </c>
      <c r="T1076" t="s">
        <v>12</v>
      </c>
      <c r="U1076" t="s">
        <v>12</v>
      </c>
      <c r="V1076" t="s">
        <v>12</v>
      </c>
      <c r="W1076" t="s">
        <v>12</v>
      </c>
      <c r="X1076" t="s">
        <v>12</v>
      </c>
      <c r="Y1076" t="s">
        <v>12</v>
      </c>
      <c r="Z1076" t="s">
        <v>12</v>
      </c>
      <c r="AA1076" t="s">
        <v>12</v>
      </c>
      <c r="AB1076" t="s">
        <v>12</v>
      </c>
      <c r="AC1076" t="s">
        <v>12</v>
      </c>
      <c r="AD1076" t="s">
        <v>12</v>
      </c>
      <c r="AE1076" t="s">
        <v>12</v>
      </c>
      <c r="AF1076" t="s">
        <v>12</v>
      </c>
      <c r="AG1076" t="s">
        <v>12</v>
      </c>
      <c r="AH1076" t="s">
        <v>12</v>
      </c>
      <c r="AI1076" t="s">
        <v>12</v>
      </c>
      <c r="AJ1076" t="s">
        <v>12</v>
      </c>
      <c r="AK1076" t="s">
        <v>12</v>
      </c>
      <c r="AL1076" t="s">
        <v>12</v>
      </c>
      <c r="AM1076" t="s">
        <v>12</v>
      </c>
      <c r="AN1076" t="s">
        <v>12</v>
      </c>
      <c r="AO1076" t="s">
        <v>12</v>
      </c>
    </row>
    <row r="1077" spans="1:41" x14ac:dyDescent="0.35">
      <c r="A1077">
        <v>18585787</v>
      </c>
      <c r="B1077">
        <v>202508</v>
      </c>
      <c r="C1077">
        <v>20608979124</v>
      </c>
      <c r="D1077" t="s">
        <v>1349</v>
      </c>
      <c r="E1077" t="s">
        <v>1</v>
      </c>
      <c r="F1077">
        <v>10253949</v>
      </c>
      <c r="G1077" t="s">
        <v>65</v>
      </c>
      <c r="H1077" t="s">
        <v>201</v>
      </c>
      <c r="I1077">
        <v>44175.90625</v>
      </c>
      <c r="J1077" s="1">
        <v>45440</v>
      </c>
      <c r="K1077">
        <v>15.5</v>
      </c>
      <c r="L1077" t="s">
        <v>37</v>
      </c>
      <c r="M1077" t="s">
        <v>37</v>
      </c>
      <c r="N1077" t="s">
        <v>47</v>
      </c>
      <c r="O1077">
        <v>202405</v>
      </c>
      <c r="P1077">
        <v>90004.5</v>
      </c>
      <c r="Q1077" t="s">
        <v>170</v>
      </c>
      <c r="R1077" t="s">
        <v>12</v>
      </c>
      <c r="S1077" t="s">
        <v>12</v>
      </c>
      <c r="T1077" t="s">
        <v>12</v>
      </c>
      <c r="U1077" t="s">
        <v>41</v>
      </c>
      <c r="V1077">
        <v>2</v>
      </c>
      <c r="W1077" t="s">
        <v>10</v>
      </c>
      <c r="X1077" t="s">
        <v>12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 t="s">
        <v>12</v>
      </c>
      <c r="AG1077" t="s">
        <v>12</v>
      </c>
      <c r="AH1077" t="s">
        <v>12</v>
      </c>
      <c r="AI1077" t="s">
        <v>12</v>
      </c>
      <c r="AJ1077" t="s">
        <v>12</v>
      </c>
      <c r="AK1077">
        <v>250000</v>
      </c>
      <c r="AL1077">
        <v>0.22</v>
      </c>
      <c r="AM1077">
        <v>0.20430000000000001</v>
      </c>
      <c r="AN1077" t="s">
        <v>12</v>
      </c>
      <c r="AO1077" t="s">
        <v>12</v>
      </c>
    </row>
    <row r="1078" spans="1:41" x14ac:dyDescent="0.35">
      <c r="A1078">
        <v>20851405</v>
      </c>
      <c r="B1078">
        <v>202511</v>
      </c>
      <c r="C1078">
        <v>20606008253</v>
      </c>
      <c r="D1078" t="s">
        <v>1350</v>
      </c>
      <c r="E1078" t="s">
        <v>1</v>
      </c>
      <c r="F1078">
        <v>10252928</v>
      </c>
      <c r="G1078" t="s">
        <v>65</v>
      </c>
      <c r="H1078" t="s">
        <v>101</v>
      </c>
      <c r="I1078">
        <v>18615.39453125</v>
      </c>
      <c r="J1078" s="1">
        <v>45427</v>
      </c>
      <c r="K1078">
        <v>15.5</v>
      </c>
      <c r="L1078" t="s">
        <v>37</v>
      </c>
      <c r="M1078" t="s">
        <v>37</v>
      </c>
      <c r="N1078" t="s">
        <v>47</v>
      </c>
      <c r="O1078">
        <v>202405</v>
      </c>
      <c r="P1078">
        <v>34701.699999999997</v>
      </c>
      <c r="Q1078" t="s">
        <v>101</v>
      </c>
      <c r="R1078" t="s">
        <v>103</v>
      </c>
      <c r="S1078" t="s">
        <v>88</v>
      </c>
      <c r="T1078" t="s">
        <v>89</v>
      </c>
      <c r="U1078" t="s">
        <v>41</v>
      </c>
      <c r="V1078">
        <v>2</v>
      </c>
      <c r="W1078" t="s">
        <v>10</v>
      </c>
      <c r="X1078" t="s">
        <v>59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 t="s">
        <v>12</v>
      </c>
      <c r="AG1078" t="s">
        <v>12</v>
      </c>
      <c r="AH1078" t="s">
        <v>12</v>
      </c>
      <c r="AI1078" t="s">
        <v>12</v>
      </c>
      <c r="AJ1078" t="s">
        <v>12</v>
      </c>
      <c r="AK1078">
        <v>250000</v>
      </c>
      <c r="AL1078">
        <v>0.24079999999999999</v>
      </c>
      <c r="AM1078">
        <v>0.2208</v>
      </c>
      <c r="AN1078" t="s">
        <v>12</v>
      </c>
      <c r="AO1078" t="s">
        <v>12</v>
      </c>
    </row>
    <row r="1079" spans="1:41" x14ac:dyDescent="0.35">
      <c r="A1079">
        <v>21899428</v>
      </c>
      <c r="B1079">
        <v>202602</v>
      </c>
      <c r="C1079">
        <v>20605671048</v>
      </c>
      <c r="D1079" t="s">
        <v>1351</v>
      </c>
      <c r="E1079" t="s">
        <v>1</v>
      </c>
      <c r="F1079">
        <v>10272177</v>
      </c>
      <c r="G1079" t="s">
        <v>100</v>
      </c>
      <c r="H1079" t="s">
        <v>49</v>
      </c>
      <c r="I1079">
        <v>139956.078125</v>
      </c>
      <c r="J1079" s="1">
        <v>45943</v>
      </c>
      <c r="K1079">
        <v>15</v>
      </c>
      <c r="L1079" t="s">
        <v>86</v>
      </c>
      <c r="M1079" t="s">
        <v>86</v>
      </c>
      <c r="N1079" t="s">
        <v>102</v>
      </c>
      <c r="O1079">
        <v>202510</v>
      </c>
      <c r="P1079">
        <v>205078.45</v>
      </c>
      <c r="Q1079" t="s">
        <v>12</v>
      </c>
      <c r="R1079" t="s">
        <v>12</v>
      </c>
      <c r="S1079" t="s">
        <v>12</v>
      </c>
      <c r="T1079" t="s">
        <v>12</v>
      </c>
      <c r="U1079" t="s">
        <v>12</v>
      </c>
      <c r="V1079" t="s">
        <v>12</v>
      </c>
      <c r="W1079" t="s">
        <v>12</v>
      </c>
      <c r="X1079" t="s">
        <v>12</v>
      </c>
      <c r="Y1079" t="s">
        <v>12</v>
      </c>
      <c r="Z1079" t="s">
        <v>12</v>
      </c>
      <c r="AA1079" t="s">
        <v>12</v>
      </c>
      <c r="AB1079" t="s">
        <v>12</v>
      </c>
      <c r="AC1079" t="s">
        <v>12</v>
      </c>
      <c r="AD1079" t="s">
        <v>12</v>
      </c>
      <c r="AE1079" t="s">
        <v>12</v>
      </c>
      <c r="AF1079" t="s">
        <v>12</v>
      </c>
      <c r="AG1079" t="s">
        <v>12</v>
      </c>
      <c r="AH1079" t="s">
        <v>12</v>
      </c>
      <c r="AI1079" t="s">
        <v>12</v>
      </c>
      <c r="AJ1079" t="s">
        <v>12</v>
      </c>
      <c r="AK1079" t="s">
        <v>12</v>
      </c>
      <c r="AL1079" t="s">
        <v>12</v>
      </c>
      <c r="AM1079" t="s">
        <v>12</v>
      </c>
      <c r="AN1079" t="s">
        <v>12</v>
      </c>
      <c r="AO1079" t="s">
        <v>12</v>
      </c>
    </row>
    <row r="1080" spans="1:41" x14ac:dyDescent="0.35">
      <c r="A1080">
        <v>14430626</v>
      </c>
      <c r="B1080">
        <v>202507</v>
      </c>
      <c r="C1080">
        <v>20563725801</v>
      </c>
      <c r="D1080" t="s">
        <v>1352</v>
      </c>
      <c r="E1080" t="s">
        <v>1</v>
      </c>
      <c r="F1080">
        <v>10177193</v>
      </c>
      <c r="G1080" t="s">
        <v>2</v>
      </c>
      <c r="H1080" t="s">
        <v>31</v>
      </c>
      <c r="I1080">
        <v>116297.0234375</v>
      </c>
      <c r="J1080" s="1">
        <v>46014</v>
      </c>
      <c r="K1080">
        <v>17.5</v>
      </c>
      <c r="L1080" t="s">
        <v>4</v>
      </c>
      <c r="M1080" t="s">
        <v>4</v>
      </c>
      <c r="N1080" t="s">
        <v>5</v>
      </c>
      <c r="O1080">
        <v>202512</v>
      </c>
      <c r="P1080">
        <v>180009</v>
      </c>
      <c r="Q1080" t="s">
        <v>452</v>
      </c>
      <c r="R1080" t="s">
        <v>453</v>
      </c>
      <c r="S1080" t="s">
        <v>31</v>
      </c>
      <c r="T1080" t="s">
        <v>32</v>
      </c>
      <c r="U1080" t="s">
        <v>20</v>
      </c>
      <c r="V1080">
        <v>1</v>
      </c>
      <c r="W1080" t="s">
        <v>10</v>
      </c>
      <c r="X1080" t="s">
        <v>12</v>
      </c>
      <c r="Y1080">
        <v>1</v>
      </c>
      <c r="Z1080">
        <v>1</v>
      </c>
      <c r="AA1080">
        <v>0</v>
      </c>
      <c r="AB1080">
        <v>0</v>
      </c>
      <c r="AC1080">
        <v>1</v>
      </c>
      <c r="AD1080">
        <v>1</v>
      </c>
      <c r="AE1080">
        <v>0</v>
      </c>
      <c r="AF1080" t="s">
        <v>12</v>
      </c>
      <c r="AG1080" t="s">
        <v>12</v>
      </c>
      <c r="AH1080" t="s">
        <v>12</v>
      </c>
      <c r="AI1080" t="s">
        <v>12</v>
      </c>
      <c r="AJ1080" t="s">
        <v>12</v>
      </c>
      <c r="AK1080">
        <v>1</v>
      </c>
      <c r="AL1080">
        <v>0.20380000000000001</v>
      </c>
      <c r="AM1080" t="s">
        <v>12</v>
      </c>
      <c r="AN1080" t="s">
        <v>12</v>
      </c>
      <c r="AO1080" t="s">
        <v>12</v>
      </c>
    </row>
    <row r="1081" spans="1:41" x14ac:dyDescent="0.35">
      <c r="A1081">
        <v>20811962</v>
      </c>
      <c r="B1081">
        <v>202601</v>
      </c>
      <c r="C1081">
        <v>20602078109</v>
      </c>
      <c r="D1081" t="s">
        <v>1353</v>
      </c>
      <c r="E1081" t="s">
        <v>1</v>
      </c>
      <c r="F1081">
        <v>10252076</v>
      </c>
      <c r="G1081" t="s">
        <v>65</v>
      </c>
      <c r="H1081" t="s">
        <v>206</v>
      </c>
      <c r="I1081">
        <v>48601.015625</v>
      </c>
      <c r="J1081" s="1">
        <v>45412</v>
      </c>
      <c r="K1081">
        <v>13.8</v>
      </c>
      <c r="L1081" t="s">
        <v>37</v>
      </c>
      <c r="M1081" t="s">
        <v>37</v>
      </c>
      <c r="N1081" t="s">
        <v>47</v>
      </c>
      <c r="O1081">
        <v>202404</v>
      </c>
      <c r="P1081">
        <v>108314.4</v>
      </c>
      <c r="Q1081" t="s">
        <v>12</v>
      </c>
      <c r="R1081" t="s">
        <v>12</v>
      </c>
      <c r="S1081" t="s">
        <v>12</v>
      </c>
      <c r="T1081" t="s">
        <v>12</v>
      </c>
      <c r="U1081" t="s">
        <v>12</v>
      </c>
      <c r="V1081" t="s">
        <v>12</v>
      </c>
      <c r="W1081" t="s">
        <v>12</v>
      </c>
      <c r="X1081" t="s">
        <v>12</v>
      </c>
      <c r="Y1081" t="s">
        <v>12</v>
      </c>
      <c r="Z1081" t="s">
        <v>12</v>
      </c>
      <c r="AA1081" t="s">
        <v>12</v>
      </c>
      <c r="AB1081" t="s">
        <v>12</v>
      </c>
      <c r="AC1081" t="s">
        <v>12</v>
      </c>
      <c r="AD1081" t="s">
        <v>12</v>
      </c>
      <c r="AE1081" t="s">
        <v>12</v>
      </c>
      <c r="AF1081" t="s">
        <v>12</v>
      </c>
      <c r="AG1081" t="s">
        <v>12</v>
      </c>
      <c r="AH1081" t="s">
        <v>12</v>
      </c>
      <c r="AI1081" t="s">
        <v>12</v>
      </c>
      <c r="AJ1081" t="s">
        <v>12</v>
      </c>
      <c r="AK1081" t="s">
        <v>12</v>
      </c>
      <c r="AL1081" t="s">
        <v>12</v>
      </c>
      <c r="AM1081" t="s">
        <v>12</v>
      </c>
      <c r="AN1081" t="s">
        <v>12</v>
      </c>
      <c r="AO1081" t="s">
        <v>12</v>
      </c>
    </row>
    <row r="1082" spans="1:41" x14ac:dyDescent="0.35">
      <c r="A1082">
        <v>21033745</v>
      </c>
      <c r="B1082">
        <v>202509</v>
      </c>
      <c r="C1082">
        <v>20608789295</v>
      </c>
      <c r="D1082" t="s">
        <v>1354</v>
      </c>
      <c r="E1082" t="s">
        <v>1</v>
      </c>
      <c r="F1082">
        <v>10257977</v>
      </c>
      <c r="G1082" t="s">
        <v>45</v>
      </c>
      <c r="H1082" t="s">
        <v>54</v>
      </c>
      <c r="I1082">
        <v>62862</v>
      </c>
      <c r="J1082" s="1">
        <v>45498</v>
      </c>
      <c r="K1082">
        <v>15.5</v>
      </c>
      <c r="L1082" t="s">
        <v>37</v>
      </c>
      <c r="M1082" t="s">
        <v>37</v>
      </c>
      <c r="N1082" t="s">
        <v>47</v>
      </c>
      <c r="O1082">
        <v>202407</v>
      </c>
      <c r="P1082">
        <v>90004.5</v>
      </c>
      <c r="Q1082" t="s">
        <v>54</v>
      </c>
      <c r="R1082" t="s">
        <v>55</v>
      </c>
      <c r="S1082" t="s">
        <v>31</v>
      </c>
      <c r="T1082" t="s">
        <v>32</v>
      </c>
      <c r="U1082" t="s">
        <v>41</v>
      </c>
      <c r="V1082">
        <v>1</v>
      </c>
      <c r="W1082" t="s">
        <v>10</v>
      </c>
      <c r="X1082" t="s">
        <v>11</v>
      </c>
      <c r="Y1082">
        <v>1</v>
      </c>
      <c r="Z1082">
        <v>1</v>
      </c>
      <c r="AA1082">
        <v>0</v>
      </c>
      <c r="AB1082">
        <v>1</v>
      </c>
      <c r="AC1082">
        <v>1</v>
      </c>
      <c r="AD1082">
        <v>1</v>
      </c>
      <c r="AE1082">
        <v>0</v>
      </c>
      <c r="AF1082" t="s">
        <v>12</v>
      </c>
      <c r="AG1082" t="s">
        <v>12</v>
      </c>
      <c r="AH1082" t="s">
        <v>12</v>
      </c>
      <c r="AI1082" t="s">
        <v>12</v>
      </c>
      <c r="AJ1082" t="s">
        <v>12</v>
      </c>
      <c r="AK1082">
        <v>400000</v>
      </c>
      <c r="AL1082">
        <v>0.18</v>
      </c>
      <c r="AM1082">
        <v>0.16</v>
      </c>
      <c r="AN1082" t="s">
        <v>12</v>
      </c>
      <c r="AO1082" t="s">
        <v>12</v>
      </c>
    </row>
    <row r="1083" spans="1:41" x14ac:dyDescent="0.35">
      <c r="A1083">
        <v>13853005</v>
      </c>
      <c r="B1083">
        <v>202601</v>
      </c>
      <c r="C1083">
        <v>20567163866</v>
      </c>
      <c r="D1083" t="s">
        <v>1355</v>
      </c>
      <c r="E1083" t="s">
        <v>1</v>
      </c>
      <c r="F1083">
        <v>10255985</v>
      </c>
      <c r="G1083" t="s">
        <v>53</v>
      </c>
      <c r="H1083" t="s">
        <v>159</v>
      </c>
      <c r="I1083">
        <v>25153.2734375</v>
      </c>
      <c r="J1083" s="1">
        <v>45467</v>
      </c>
      <c r="K1083">
        <v>15.4</v>
      </c>
      <c r="L1083" t="s">
        <v>4</v>
      </c>
      <c r="M1083" t="s">
        <v>4</v>
      </c>
      <c r="N1083" t="s">
        <v>47</v>
      </c>
      <c r="O1083">
        <v>202406</v>
      </c>
      <c r="P1083">
        <v>90004.5</v>
      </c>
      <c r="Q1083" t="s">
        <v>12</v>
      </c>
      <c r="R1083" t="s">
        <v>12</v>
      </c>
      <c r="S1083" t="s">
        <v>12</v>
      </c>
      <c r="T1083" t="s">
        <v>12</v>
      </c>
      <c r="U1083" t="s">
        <v>196</v>
      </c>
      <c r="V1083">
        <v>3</v>
      </c>
      <c r="W1083" t="s">
        <v>10</v>
      </c>
      <c r="X1083" t="s">
        <v>51</v>
      </c>
      <c r="Y1083">
        <v>1</v>
      </c>
      <c r="Z1083">
        <v>1</v>
      </c>
      <c r="AA1083">
        <v>0</v>
      </c>
      <c r="AB1083">
        <v>0</v>
      </c>
      <c r="AC1083">
        <v>0</v>
      </c>
      <c r="AD1083" t="s">
        <v>12</v>
      </c>
      <c r="AE1083">
        <v>0</v>
      </c>
      <c r="AF1083" t="s">
        <v>12</v>
      </c>
      <c r="AG1083" t="s">
        <v>12</v>
      </c>
      <c r="AH1083" t="s">
        <v>12</v>
      </c>
      <c r="AI1083" t="s">
        <v>12</v>
      </c>
      <c r="AJ1083" t="s">
        <v>12</v>
      </c>
      <c r="AK1083" t="s">
        <v>12</v>
      </c>
      <c r="AL1083" t="s">
        <v>12</v>
      </c>
      <c r="AM1083" t="s">
        <v>12</v>
      </c>
      <c r="AN1083" t="s">
        <v>269</v>
      </c>
      <c r="AO1083" t="s">
        <v>270</v>
      </c>
    </row>
    <row r="1084" spans="1:41" x14ac:dyDescent="0.35">
      <c r="A1084">
        <v>20439339</v>
      </c>
      <c r="B1084">
        <v>202512</v>
      </c>
      <c r="C1084">
        <v>20609931150</v>
      </c>
      <c r="D1084" t="s">
        <v>1321</v>
      </c>
      <c r="E1084" t="s">
        <v>1</v>
      </c>
      <c r="F1084">
        <v>10266541</v>
      </c>
      <c r="G1084" t="s">
        <v>92</v>
      </c>
      <c r="H1084" t="s">
        <v>220</v>
      </c>
      <c r="I1084">
        <v>26945.431640625</v>
      </c>
      <c r="J1084" s="1">
        <v>45742</v>
      </c>
      <c r="K1084">
        <v>21.200001</v>
      </c>
      <c r="L1084" t="s">
        <v>4</v>
      </c>
      <c r="M1084" t="s">
        <v>4</v>
      </c>
      <c r="N1084" t="s">
        <v>41</v>
      </c>
      <c r="O1084">
        <v>202503</v>
      </c>
      <c r="P1084">
        <v>50002.5</v>
      </c>
      <c r="Q1084" t="s">
        <v>220</v>
      </c>
      <c r="R1084" t="s">
        <v>221</v>
      </c>
      <c r="S1084" t="s">
        <v>127</v>
      </c>
      <c r="T1084" t="s">
        <v>147</v>
      </c>
      <c r="U1084" t="s">
        <v>20</v>
      </c>
      <c r="V1084">
        <v>1</v>
      </c>
      <c r="W1084" t="s">
        <v>10</v>
      </c>
      <c r="X1084" t="s">
        <v>51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 t="s">
        <v>12</v>
      </c>
      <c r="AG1084" t="s">
        <v>12</v>
      </c>
      <c r="AH1084" t="s">
        <v>12</v>
      </c>
      <c r="AI1084" t="s">
        <v>12</v>
      </c>
      <c r="AJ1084" t="s">
        <v>12</v>
      </c>
      <c r="AK1084">
        <v>1</v>
      </c>
      <c r="AL1084">
        <v>1</v>
      </c>
      <c r="AM1084" t="s">
        <v>12</v>
      </c>
      <c r="AN1084" t="s">
        <v>12</v>
      </c>
      <c r="AO1084" t="s">
        <v>12</v>
      </c>
    </row>
    <row r="1085" spans="1:41" x14ac:dyDescent="0.35">
      <c r="A1085">
        <v>21824000</v>
      </c>
      <c r="B1085">
        <v>202510</v>
      </c>
      <c r="C1085">
        <v>20606660414</v>
      </c>
      <c r="D1085" t="s">
        <v>1356</v>
      </c>
      <c r="E1085" t="s">
        <v>1</v>
      </c>
      <c r="F1085">
        <v>10271841</v>
      </c>
      <c r="G1085" t="s">
        <v>100</v>
      </c>
      <c r="H1085" t="s">
        <v>159</v>
      </c>
      <c r="I1085">
        <v>152988.046875</v>
      </c>
      <c r="J1085" s="1">
        <v>45929</v>
      </c>
      <c r="K1085">
        <v>12</v>
      </c>
      <c r="L1085" t="s">
        <v>37</v>
      </c>
      <c r="M1085" t="s">
        <v>37</v>
      </c>
      <c r="N1085" t="s">
        <v>102</v>
      </c>
      <c r="O1085">
        <v>202509</v>
      </c>
      <c r="P1085">
        <v>164008.20000000001</v>
      </c>
      <c r="Q1085" t="s">
        <v>12</v>
      </c>
      <c r="R1085" t="s">
        <v>12</v>
      </c>
      <c r="S1085" t="s">
        <v>12</v>
      </c>
      <c r="T1085" t="s">
        <v>12</v>
      </c>
      <c r="U1085" t="s">
        <v>98</v>
      </c>
      <c r="V1085">
        <v>3</v>
      </c>
      <c r="W1085" t="s">
        <v>10</v>
      </c>
      <c r="X1085" t="s">
        <v>12</v>
      </c>
      <c r="Y1085">
        <v>1</v>
      </c>
      <c r="Z1085">
        <v>1</v>
      </c>
      <c r="AA1085">
        <v>0</v>
      </c>
      <c r="AB1085">
        <v>0</v>
      </c>
      <c r="AC1085">
        <v>1</v>
      </c>
      <c r="AD1085" t="s">
        <v>12</v>
      </c>
      <c r="AE1085">
        <v>0</v>
      </c>
      <c r="AF1085" t="s">
        <v>12</v>
      </c>
      <c r="AG1085" t="s">
        <v>12</v>
      </c>
      <c r="AH1085" t="s">
        <v>12</v>
      </c>
      <c r="AI1085" t="s">
        <v>12</v>
      </c>
      <c r="AJ1085" t="s">
        <v>12</v>
      </c>
      <c r="AK1085">
        <v>300000</v>
      </c>
      <c r="AL1085">
        <v>0.21</v>
      </c>
      <c r="AM1085">
        <v>0.19</v>
      </c>
      <c r="AN1085" t="s">
        <v>197</v>
      </c>
      <c r="AO1085" t="s">
        <v>33</v>
      </c>
    </row>
    <row r="1086" spans="1:41" x14ac:dyDescent="0.35">
      <c r="A1086">
        <v>13666291</v>
      </c>
      <c r="B1086">
        <v>202506</v>
      </c>
      <c r="C1086">
        <v>10435749653</v>
      </c>
      <c r="D1086" t="s">
        <v>1357</v>
      </c>
      <c r="E1086">
        <v>43574965</v>
      </c>
      <c r="F1086">
        <v>10265428</v>
      </c>
      <c r="G1086" t="s">
        <v>28</v>
      </c>
      <c r="H1086" t="s">
        <v>105</v>
      </c>
      <c r="I1086">
        <v>48331.6171875</v>
      </c>
      <c r="J1086" s="1">
        <v>45706</v>
      </c>
      <c r="K1086">
        <v>23.5</v>
      </c>
      <c r="L1086" t="s">
        <v>4</v>
      </c>
      <c r="M1086" t="s">
        <v>4</v>
      </c>
      <c r="N1086" t="s">
        <v>26</v>
      </c>
      <c r="O1086">
        <v>202502</v>
      </c>
      <c r="P1086">
        <v>60003</v>
      </c>
      <c r="Q1086" t="s">
        <v>105</v>
      </c>
      <c r="R1086" t="s">
        <v>106</v>
      </c>
      <c r="S1086" t="s">
        <v>88</v>
      </c>
      <c r="T1086" t="s">
        <v>89</v>
      </c>
      <c r="U1086" t="s">
        <v>20</v>
      </c>
      <c r="V1086">
        <v>2</v>
      </c>
      <c r="W1086" t="s">
        <v>647</v>
      </c>
      <c r="X1086" t="s">
        <v>12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 t="s">
        <v>12</v>
      </c>
      <c r="AG1086" t="s">
        <v>12</v>
      </c>
      <c r="AH1086" t="s">
        <v>12</v>
      </c>
      <c r="AI1086" t="s">
        <v>12</v>
      </c>
      <c r="AJ1086" t="s">
        <v>12</v>
      </c>
      <c r="AK1086">
        <v>1</v>
      </c>
      <c r="AL1086">
        <v>0.21229999999999999</v>
      </c>
      <c r="AM1086" t="s">
        <v>12</v>
      </c>
      <c r="AN1086" t="s">
        <v>12</v>
      </c>
      <c r="AO1086" t="s">
        <v>12</v>
      </c>
    </row>
    <row r="1087" spans="1:41" x14ac:dyDescent="0.35">
      <c r="A1087">
        <v>12759733</v>
      </c>
      <c r="B1087">
        <v>202512</v>
      </c>
      <c r="C1087">
        <v>10310375077</v>
      </c>
      <c r="D1087" t="s">
        <v>1358</v>
      </c>
      <c r="E1087">
        <v>31037507</v>
      </c>
      <c r="F1087">
        <v>10265617</v>
      </c>
      <c r="G1087" t="s">
        <v>92</v>
      </c>
      <c r="H1087" t="s">
        <v>190</v>
      </c>
      <c r="I1087">
        <v>67113.4375</v>
      </c>
      <c r="J1087" s="1">
        <v>45712</v>
      </c>
      <c r="K1087">
        <v>19.68</v>
      </c>
      <c r="L1087" t="s">
        <v>4</v>
      </c>
      <c r="M1087" t="s">
        <v>4</v>
      </c>
      <c r="N1087" t="s">
        <v>41</v>
      </c>
      <c r="O1087">
        <v>202502</v>
      </c>
      <c r="P1087">
        <v>100005</v>
      </c>
      <c r="Q1087" t="s">
        <v>190</v>
      </c>
      <c r="R1087" t="s">
        <v>191</v>
      </c>
      <c r="S1087" t="s">
        <v>49</v>
      </c>
      <c r="T1087" t="s">
        <v>50</v>
      </c>
      <c r="U1087" t="s">
        <v>41</v>
      </c>
      <c r="V1087">
        <v>1</v>
      </c>
      <c r="W1087" t="s">
        <v>90</v>
      </c>
      <c r="X1087" t="s">
        <v>59</v>
      </c>
      <c r="Y1087">
        <v>1</v>
      </c>
      <c r="Z1087">
        <v>1</v>
      </c>
      <c r="AA1087">
        <v>0</v>
      </c>
      <c r="AB1087">
        <v>0</v>
      </c>
      <c r="AC1087">
        <v>1</v>
      </c>
      <c r="AD1087">
        <v>1</v>
      </c>
      <c r="AE1087">
        <v>0</v>
      </c>
      <c r="AF1087" t="s">
        <v>12</v>
      </c>
      <c r="AG1087" t="s">
        <v>12</v>
      </c>
      <c r="AH1087" t="s">
        <v>12</v>
      </c>
      <c r="AI1087" t="s">
        <v>12</v>
      </c>
      <c r="AJ1087" t="s">
        <v>12</v>
      </c>
      <c r="AK1087">
        <v>50000</v>
      </c>
      <c r="AL1087">
        <v>0.23419999999999999</v>
      </c>
      <c r="AM1087">
        <v>0.2142</v>
      </c>
      <c r="AN1087" t="s">
        <v>12</v>
      </c>
      <c r="AO1087" t="s">
        <v>12</v>
      </c>
    </row>
    <row r="1088" spans="1:41" x14ac:dyDescent="0.35">
      <c r="A1088">
        <v>21498940</v>
      </c>
      <c r="B1088">
        <v>202505</v>
      </c>
      <c r="C1088">
        <v>20600608062</v>
      </c>
      <c r="D1088" t="s">
        <v>1359</v>
      </c>
      <c r="E1088" t="s">
        <v>1</v>
      </c>
      <c r="F1088">
        <v>10265780</v>
      </c>
      <c r="G1088" t="s">
        <v>73</v>
      </c>
      <c r="H1088" t="s">
        <v>124</v>
      </c>
      <c r="I1088">
        <v>225610.8125</v>
      </c>
      <c r="J1088" s="1">
        <v>45715</v>
      </c>
      <c r="K1088">
        <v>19</v>
      </c>
      <c r="L1088" t="s">
        <v>4</v>
      </c>
      <c r="M1088" t="s">
        <v>75</v>
      </c>
      <c r="N1088" t="s">
        <v>20</v>
      </c>
      <c r="O1088">
        <v>202502</v>
      </c>
      <c r="P1088">
        <v>250012.5</v>
      </c>
      <c r="Q1088" t="s">
        <v>124</v>
      </c>
      <c r="R1088" t="s">
        <v>510</v>
      </c>
      <c r="S1088" t="s">
        <v>88</v>
      </c>
      <c r="T1088" t="s">
        <v>89</v>
      </c>
      <c r="U1088" t="s">
        <v>20</v>
      </c>
      <c r="V1088">
        <v>2</v>
      </c>
      <c r="W1088" t="s">
        <v>10</v>
      </c>
      <c r="X1088" t="s">
        <v>12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 t="s">
        <v>12</v>
      </c>
      <c r="AG1088" t="s">
        <v>12</v>
      </c>
      <c r="AH1088" t="s">
        <v>12</v>
      </c>
      <c r="AI1088" t="s">
        <v>12</v>
      </c>
      <c r="AJ1088" t="s">
        <v>12</v>
      </c>
      <c r="AK1088">
        <v>0</v>
      </c>
      <c r="AL1088">
        <v>0</v>
      </c>
      <c r="AM1088">
        <v>0</v>
      </c>
      <c r="AN1088" t="s">
        <v>12</v>
      </c>
      <c r="AO1088" t="s">
        <v>12</v>
      </c>
    </row>
    <row r="1089" spans="1:41" x14ac:dyDescent="0.35">
      <c r="A1089">
        <v>20811962</v>
      </c>
      <c r="B1089">
        <v>202601</v>
      </c>
      <c r="C1089">
        <v>20602078109</v>
      </c>
      <c r="D1089" t="s">
        <v>1353</v>
      </c>
      <c r="E1089" t="s">
        <v>1</v>
      </c>
      <c r="F1089">
        <v>10266837</v>
      </c>
      <c r="G1089" t="s">
        <v>92</v>
      </c>
      <c r="H1089" t="s">
        <v>206</v>
      </c>
      <c r="I1089">
        <v>81688.2421875</v>
      </c>
      <c r="J1089" s="1">
        <v>45747</v>
      </c>
      <c r="K1089">
        <v>19</v>
      </c>
      <c r="L1089" t="s">
        <v>4</v>
      </c>
      <c r="M1089" t="s">
        <v>4</v>
      </c>
      <c r="N1089" t="s">
        <v>41</v>
      </c>
      <c r="O1089">
        <v>202503</v>
      </c>
      <c r="P1089">
        <v>153007.65</v>
      </c>
      <c r="Q1089" t="s">
        <v>12</v>
      </c>
      <c r="R1089" t="s">
        <v>12</v>
      </c>
      <c r="S1089" t="s">
        <v>12</v>
      </c>
      <c r="T1089" t="s">
        <v>12</v>
      </c>
      <c r="U1089" t="s">
        <v>12</v>
      </c>
      <c r="V1089" t="s">
        <v>12</v>
      </c>
      <c r="W1089" t="s">
        <v>12</v>
      </c>
      <c r="X1089" t="s">
        <v>12</v>
      </c>
      <c r="Y1089" t="s">
        <v>12</v>
      </c>
      <c r="Z1089" t="s">
        <v>12</v>
      </c>
      <c r="AA1089" t="s">
        <v>12</v>
      </c>
      <c r="AB1089" t="s">
        <v>12</v>
      </c>
      <c r="AC1089" t="s">
        <v>12</v>
      </c>
      <c r="AD1089" t="s">
        <v>12</v>
      </c>
      <c r="AE1089" t="s">
        <v>12</v>
      </c>
      <c r="AF1089" t="s">
        <v>12</v>
      </c>
      <c r="AG1089" t="s">
        <v>12</v>
      </c>
      <c r="AH1089" t="s">
        <v>12</v>
      </c>
      <c r="AI1089" t="s">
        <v>12</v>
      </c>
      <c r="AJ1089" t="s">
        <v>12</v>
      </c>
      <c r="AK1089" t="s">
        <v>12</v>
      </c>
      <c r="AL1089" t="s">
        <v>12</v>
      </c>
      <c r="AM1089" t="s">
        <v>12</v>
      </c>
      <c r="AN1089" t="s">
        <v>12</v>
      </c>
      <c r="AO1089" t="s">
        <v>12</v>
      </c>
    </row>
    <row r="1090" spans="1:41" x14ac:dyDescent="0.35">
      <c r="A1090">
        <v>10386376</v>
      </c>
      <c r="B1090">
        <v>202503</v>
      </c>
      <c r="C1090">
        <v>10296212992</v>
      </c>
      <c r="D1090" t="s">
        <v>1360</v>
      </c>
      <c r="E1090">
        <v>29621299</v>
      </c>
      <c r="F1090">
        <v>10264361</v>
      </c>
      <c r="G1090" t="s">
        <v>45</v>
      </c>
      <c r="H1090" t="s">
        <v>230</v>
      </c>
      <c r="I1090">
        <v>45002.25</v>
      </c>
      <c r="J1090" s="1">
        <v>45656</v>
      </c>
      <c r="K1090">
        <v>15</v>
      </c>
      <c r="L1090" t="s">
        <v>4</v>
      </c>
      <c r="M1090" t="s">
        <v>4</v>
      </c>
      <c r="N1090" t="s">
        <v>47</v>
      </c>
      <c r="O1090">
        <v>202412</v>
      </c>
      <c r="P1090">
        <v>45002.25</v>
      </c>
      <c r="Q1090" t="s">
        <v>36</v>
      </c>
      <c r="R1090" t="s">
        <v>38</v>
      </c>
      <c r="S1090" t="s">
        <v>39</v>
      </c>
      <c r="T1090" t="s">
        <v>40</v>
      </c>
      <c r="U1090" t="s">
        <v>20</v>
      </c>
      <c r="V1090">
        <v>1</v>
      </c>
      <c r="W1090" t="s">
        <v>90</v>
      </c>
      <c r="X1090" t="s">
        <v>12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12</v>
      </c>
      <c r="AG1090" t="s">
        <v>12</v>
      </c>
      <c r="AH1090" t="s">
        <v>12</v>
      </c>
      <c r="AI1090" t="s">
        <v>12</v>
      </c>
      <c r="AJ1090" t="s">
        <v>12</v>
      </c>
      <c r="AK1090">
        <v>0</v>
      </c>
      <c r="AL1090">
        <v>0</v>
      </c>
      <c r="AM1090">
        <v>0</v>
      </c>
      <c r="AN1090" t="s">
        <v>12</v>
      </c>
      <c r="AO1090" t="s">
        <v>12</v>
      </c>
    </row>
    <row r="1091" spans="1:41" x14ac:dyDescent="0.35">
      <c r="A1091">
        <v>17059021</v>
      </c>
      <c r="B1091">
        <v>202509</v>
      </c>
      <c r="C1091">
        <v>20493011201</v>
      </c>
      <c r="D1091" t="s">
        <v>1361</v>
      </c>
      <c r="E1091" t="s">
        <v>1</v>
      </c>
      <c r="F1091">
        <v>10265638</v>
      </c>
      <c r="G1091" t="s">
        <v>92</v>
      </c>
      <c r="H1091" t="s">
        <v>114</v>
      </c>
      <c r="I1091">
        <v>42338.859375</v>
      </c>
      <c r="J1091" s="1">
        <v>45713</v>
      </c>
      <c r="K1091">
        <v>24.48</v>
      </c>
      <c r="L1091" t="s">
        <v>4</v>
      </c>
      <c r="M1091" t="s">
        <v>4</v>
      </c>
      <c r="N1091" t="s">
        <v>41</v>
      </c>
      <c r="O1091">
        <v>202502</v>
      </c>
      <c r="P1091">
        <v>60003</v>
      </c>
      <c r="Q1091" t="s">
        <v>114</v>
      </c>
      <c r="R1091" t="s">
        <v>115</v>
      </c>
      <c r="S1091" t="s">
        <v>111</v>
      </c>
      <c r="T1091" t="s">
        <v>112</v>
      </c>
      <c r="U1091" t="s">
        <v>20</v>
      </c>
      <c r="V1091">
        <v>2</v>
      </c>
      <c r="W1091" t="s">
        <v>10</v>
      </c>
      <c r="X1091" t="s">
        <v>51</v>
      </c>
      <c r="Y1091">
        <v>1</v>
      </c>
      <c r="Z1091">
        <v>1</v>
      </c>
      <c r="AA1091">
        <v>0</v>
      </c>
      <c r="AB1091">
        <v>1</v>
      </c>
      <c r="AC1091">
        <v>1</v>
      </c>
      <c r="AD1091">
        <v>1</v>
      </c>
      <c r="AE1091">
        <v>0</v>
      </c>
      <c r="AF1091" t="s">
        <v>12</v>
      </c>
      <c r="AG1091" t="s">
        <v>12</v>
      </c>
      <c r="AH1091" t="s">
        <v>12</v>
      </c>
      <c r="AI1091" t="s">
        <v>12</v>
      </c>
      <c r="AJ1091" t="s">
        <v>12</v>
      </c>
      <c r="AK1091">
        <v>1</v>
      </c>
      <c r="AL1091">
        <v>1</v>
      </c>
      <c r="AM1091" t="s">
        <v>12</v>
      </c>
      <c r="AN1091" t="s">
        <v>12</v>
      </c>
      <c r="AO1091" t="s">
        <v>12</v>
      </c>
    </row>
    <row r="1092" spans="1:41" x14ac:dyDescent="0.35">
      <c r="A1092">
        <v>16563768</v>
      </c>
      <c r="B1092">
        <v>202601</v>
      </c>
      <c r="C1092">
        <v>10448364611</v>
      </c>
      <c r="D1092" t="s">
        <v>1362</v>
      </c>
      <c r="E1092">
        <v>44836461</v>
      </c>
      <c r="F1092">
        <v>10264763</v>
      </c>
      <c r="G1092" t="s">
        <v>24</v>
      </c>
      <c r="H1092" t="s">
        <v>317</v>
      </c>
      <c r="I1092">
        <v>16200.8193359375</v>
      </c>
      <c r="J1092" s="1">
        <v>45680</v>
      </c>
      <c r="K1092">
        <v>19.200001</v>
      </c>
      <c r="L1092" t="s">
        <v>37</v>
      </c>
      <c r="M1092" t="s">
        <v>37</v>
      </c>
      <c r="N1092" t="s">
        <v>98</v>
      </c>
      <c r="O1092">
        <v>202501</v>
      </c>
      <c r="P1092">
        <v>44202.2</v>
      </c>
      <c r="Q1092" t="s">
        <v>317</v>
      </c>
      <c r="R1092" t="s">
        <v>318</v>
      </c>
      <c r="S1092" t="s">
        <v>88</v>
      </c>
      <c r="T1092" t="s">
        <v>89</v>
      </c>
      <c r="U1092" t="s">
        <v>20</v>
      </c>
      <c r="V1092">
        <v>2</v>
      </c>
      <c r="W1092" t="s">
        <v>21</v>
      </c>
      <c r="X1092" t="s">
        <v>59</v>
      </c>
      <c r="Y1092">
        <v>1</v>
      </c>
      <c r="Z1092">
        <v>1</v>
      </c>
      <c r="AA1092">
        <v>0</v>
      </c>
      <c r="AB1092">
        <v>0</v>
      </c>
      <c r="AC1092">
        <v>1</v>
      </c>
      <c r="AD1092">
        <v>1</v>
      </c>
      <c r="AE1092">
        <v>0</v>
      </c>
      <c r="AF1092" t="s">
        <v>12</v>
      </c>
      <c r="AG1092" t="s">
        <v>12</v>
      </c>
      <c r="AH1092" t="s">
        <v>12</v>
      </c>
      <c r="AI1092" t="s">
        <v>12</v>
      </c>
      <c r="AJ1092" t="s">
        <v>12</v>
      </c>
      <c r="AK1092">
        <v>1</v>
      </c>
      <c r="AL1092">
        <v>1</v>
      </c>
      <c r="AM1092">
        <v>0.24</v>
      </c>
      <c r="AN1092" t="s">
        <v>12</v>
      </c>
      <c r="AO1092" t="s">
        <v>12</v>
      </c>
    </row>
    <row r="1093" spans="1:41" x14ac:dyDescent="0.35">
      <c r="A1093">
        <v>10647216</v>
      </c>
      <c r="B1093">
        <v>202602</v>
      </c>
      <c r="C1093">
        <v>10105356051</v>
      </c>
      <c r="D1093" t="s">
        <v>1363</v>
      </c>
      <c r="E1093">
        <v>10535605</v>
      </c>
      <c r="F1093">
        <v>10155150</v>
      </c>
      <c r="G1093" t="s">
        <v>2</v>
      </c>
      <c r="H1093" t="s">
        <v>127</v>
      </c>
      <c r="I1093">
        <v>162188.859375</v>
      </c>
      <c r="J1093" s="1">
        <v>45943</v>
      </c>
      <c r="K1093">
        <v>15</v>
      </c>
      <c r="L1093" t="s">
        <v>4</v>
      </c>
      <c r="M1093" t="s">
        <v>4</v>
      </c>
      <c r="N1093" t="s">
        <v>5</v>
      </c>
      <c r="O1093">
        <v>202510</v>
      </c>
      <c r="P1093">
        <v>180009</v>
      </c>
      <c r="Q1093" t="s">
        <v>227</v>
      </c>
      <c r="R1093" t="s">
        <v>228</v>
      </c>
      <c r="S1093" t="s">
        <v>127</v>
      </c>
      <c r="T1093" t="s">
        <v>147</v>
      </c>
      <c r="U1093" t="s">
        <v>41</v>
      </c>
      <c r="V1093">
        <v>1</v>
      </c>
      <c r="W1093" t="s">
        <v>10</v>
      </c>
      <c r="X1093" t="s">
        <v>51</v>
      </c>
      <c r="Y1093">
        <v>1</v>
      </c>
      <c r="Z1093">
        <v>1</v>
      </c>
      <c r="AA1093">
        <v>0</v>
      </c>
      <c r="AB1093">
        <v>0</v>
      </c>
      <c r="AC1093">
        <v>1</v>
      </c>
      <c r="AD1093">
        <v>1</v>
      </c>
      <c r="AE1093">
        <v>0</v>
      </c>
      <c r="AF1093" t="s">
        <v>12</v>
      </c>
      <c r="AG1093" t="s">
        <v>12</v>
      </c>
      <c r="AH1093" t="s">
        <v>12</v>
      </c>
      <c r="AI1093" t="s">
        <v>12</v>
      </c>
      <c r="AJ1093" t="s">
        <v>12</v>
      </c>
      <c r="AK1093">
        <v>220000</v>
      </c>
      <c r="AL1093">
        <v>0.21890000000000001</v>
      </c>
      <c r="AM1093">
        <v>0.16200000000000001</v>
      </c>
      <c r="AN1093" t="s">
        <v>12</v>
      </c>
      <c r="AO1093" t="s">
        <v>12</v>
      </c>
    </row>
    <row r="1094" spans="1:41" x14ac:dyDescent="0.35">
      <c r="A1094">
        <v>15669949</v>
      </c>
      <c r="B1094">
        <v>202602</v>
      </c>
      <c r="C1094">
        <v>20526228830</v>
      </c>
      <c r="D1094" t="s">
        <v>1364</v>
      </c>
      <c r="E1094" t="s">
        <v>1</v>
      </c>
      <c r="F1094">
        <v>10156845</v>
      </c>
      <c r="G1094" t="s">
        <v>2</v>
      </c>
      <c r="H1094" t="s">
        <v>492</v>
      </c>
      <c r="I1094">
        <v>112281.8203125</v>
      </c>
      <c r="J1094" s="1">
        <v>45758</v>
      </c>
      <c r="K1094">
        <v>17</v>
      </c>
      <c r="L1094" t="s">
        <v>4</v>
      </c>
      <c r="M1094" t="s">
        <v>4</v>
      </c>
      <c r="N1094" t="s">
        <v>5</v>
      </c>
      <c r="O1094">
        <v>202504</v>
      </c>
      <c r="P1094">
        <v>180009</v>
      </c>
      <c r="Q1094" t="s">
        <v>492</v>
      </c>
      <c r="R1094" t="s">
        <v>493</v>
      </c>
      <c r="S1094" t="s">
        <v>49</v>
      </c>
      <c r="T1094" t="s">
        <v>50</v>
      </c>
      <c r="U1094" t="s">
        <v>138</v>
      </c>
      <c r="V1094">
        <v>1</v>
      </c>
      <c r="W1094" t="s">
        <v>10</v>
      </c>
      <c r="X1094" t="s">
        <v>51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 t="s">
        <v>12</v>
      </c>
      <c r="AG1094" t="s">
        <v>12</v>
      </c>
      <c r="AH1094" t="s">
        <v>12</v>
      </c>
      <c r="AI1094" t="s">
        <v>12</v>
      </c>
      <c r="AJ1094" t="s">
        <v>12</v>
      </c>
      <c r="AK1094">
        <v>0</v>
      </c>
      <c r="AL1094">
        <v>0</v>
      </c>
      <c r="AM1094">
        <v>0</v>
      </c>
      <c r="AN1094" t="s">
        <v>12</v>
      </c>
      <c r="AO1094" t="s">
        <v>12</v>
      </c>
    </row>
    <row r="1095" spans="1:41" x14ac:dyDescent="0.35">
      <c r="A1095">
        <v>13695630</v>
      </c>
      <c r="B1095">
        <v>202506</v>
      </c>
      <c r="C1095">
        <v>20492974243</v>
      </c>
      <c r="D1095" t="s">
        <v>1365</v>
      </c>
      <c r="E1095" t="s">
        <v>1</v>
      </c>
      <c r="F1095">
        <v>10245597</v>
      </c>
      <c r="G1095" t="s">
        <v>1366</v>
      </c>
      <c r="H1095" t="s">
        <v>69</v>
      </c>
      <c r="I1095">
        <v>16705.9140625</v>
      </c>
      <c r="J1095" s="1">
        <v>45240</v>
      </c>
      <c r="K1095">
        <v>19.2</v>
      </c>
      <c r="L1095" t="s">
        <v>4</v>
      </c>
      <c r="M1095" t="s">
        <v>4</v>
      </c>
      <c r="N1095" t="s">
        <v>1367</v>
      </c>
      <c r="O1095">
        <v>202311</v>
      </c>
      <c r="P1095">
        <v>70003.5</v>
      </c>
      <c r="Q1095" t="s">
        <v>12</v>
      </c>
      <c r="R1095" t="s">
        <v>12</v>
      </c>
      <c r="S1095" t="s">
        <v>12</v>
      </c>
      <c r="T1095" t="s">
        <v>12</v>
      </c>
      <c r="U1095" t="s">
        <v>12</v>
      </c>
      <c r="V1095" t="s">
        <v>12</v>
      </c>
      <c r="W1095" t="s">
        <v>12</v>
      </c>
      <c r="X1095" t="s">
        <v>12</v>
      </c>
      <c r="Y1095" t="s">
        <v>12</v>
      </c>
      <c r="Z1095" t="s">
        <v>12</v>
      </c>
      <c r="AA1095" t="s">
        <v>12</v>
      </c>
      <c r="AB1095" t="s">
        <v>12</v>
      </c>
      <c r="AC1095" t="s">
        <v>12</v>
      </c>
      <c r="AD1095" t="s">
        <v>12</v>
      </c>
      <c r="AE1095" t="s">
        <v>12</v>
      </c>
      <c r="AF1095" t="s">
        <v>12</v>
      </c>
      <c r="AG1095" t="s">
        <v>12</v>
      </c>
      <c r="AH1095" t="s">
        <v>12</v>
      </c>
      <c r="AI1095" t="s">
        <v>12</v>
      </c>
      <c r="AJ1095" t="s">
        <v>12</v>
      </c>
      <c r="AK1095" t="s">
        <v>12</v>
      </c>
      <c r="AL1095" t="s">
        <v>12</v>
      </c>
      <c r="AM1095" t="s">
        <v>12</v>
      </c>
      <c r="AN1095" t="s">
        <v>12</v>
      </c>
      <c r="AO1095" t="s">
        <v>12</v>
      </c>
    </row>
    <row r="1096" spans="1:41" x14ac:dyDescent="0.35">
      <c r="A1096">
        <v>16428649</v>
      </c>
      <c r="B1096">
        <v>202504</v>
      </c>
      <c r="C1096">
        <v>20603842651</v>
      </c>
      <c r="D1096" t="s">
        <v>1368</v>
      </c>
      <c r="E1096" t="s">
        <v>1</v>
      </c>
      <c r="F1096">
        <v>10262297</v>
      </c>
      <c r="G1096" t="s">
        <v>2</v>
      </c>
      <c r="H1096" t="s">
        <v>127</v>
      </c>
      <c r="I1096">
        <v>22462.298828125</v>
      </c>
      <c r="J1096" s="1">
        <v>45596</v>
      </c>
      <c r="K1096">
        <v>18.8</v>
      </c>
      <c r="L1096" t="s">
        <v>4</v>
      </c>
      <c r="M1096" t="s">
        <v>4</v>
      </c>
      <c r="N1096" t="s">
        <v>12</v>
      </c>
      <c r="O1096">
        <v>202410</v>
      </c>
      <c r="P1096">
        <v>100005</v>
      </c>
      <c r="Q1096" t="s">
        <v>12</v>
      </c>
      <c r="R1096" t="s">
        <v>12</v>
      </c>
      <c r="S1096" t="s">
        <v>12</v>
      </c>
      <c r="T1096" t="s">
        <v>12</v>
      </c>
      <c r="U1096" t="s">
        <v>12</v>
      </c>
      <c r="V1096" t="s">
        <v>12</v>
      </c>
      <c r="W1096" t="s">
        <v>12</v>
      </c>
      <c r="X1096" t="s">
        <v>12</v>
      </c>
      <c r="Y1096" t="s">
        <v>12</v>
      </c>
      <c r="Z1096" t="s">
        <v>12</v>
      </c>
      <c r="AA1096" t="s">
        <v>12</v>
      </c>
      <c r="AB1096" t="s">
        <v>12</v>
      </c>
      <c r="AC1096" t="s">
        <v>12</v>
      </c>
      <c r="AD1096" t="s">
        <v>12</v>
      </c>
      <c r="AE1096" t="s">
        <v>12</v>
      </c>
      <c r="AF1096" t="s">
        <v>12</v>
      </c>
      <c r="AG1096" t="s">
        <v>12</v>
      </c>
      <c r="AH1096" t="s">
        <v>12</v>
      </c>
      <c r="AI1096" t="s">
        <v>12</v>
      </c>
      <c r="AJ1096" t="s">
        <v>12</v>
      </c>
      <c r="AK1096" t="s">
        <v>12</v>
      </c>
      <c r="AL1096" t="s">
        <v>12</v>
      </c>
      <c r="AM1096" t="s">
        <v>12</v>
      </c>
      <c r="AN1096" t="s">
        <v>12</v>
      </c>
      <c r="AO1096" t="s">
        <v>12</v>
      </c>
    </row>
    <row r="1097" spans="1:41" x14ac:dyDescent="0.35">
      <c r="A1097">
        <v>20728834</v>
      </c>
      <c r="B1097">
        <v>202602</v>
      </c>
      <c r="C1097">
        <v>20602495133</v>
      </c>
      <c r="D1097" t="s">
        <v>1369</v>
      </c>
      <c r="E1097" t="s">
        <v>1</v>
      </c>
      <c r="F1097">
        <v>10273459</v>
      </c>
      <c r="G1097" t="s">
        <v>78</v>
      </c>
      <c r="H1097" t="s">
        <v>217</v>
      </c>
      <c r="I1097">
        <v>124181.1953125</v>
      </c>
      <c r="J1097" s="1">
        <v>45987</v>
      </c>
      <c r="K1097">
        <v>16.5</v>
      </c>
      <c r="L1097" t="s">
        <v>4</v>
      </c>
      <c r="M1097" t="s">
        <v>4</v>
      </c>
      <c r="N1097" t="s">
        <v>41</v>
      </c>
      <c r="O1097">
        <v>202511</v>
      </c>
      <c r="P1097">
        <v>133406.65</v>
      </c>
      <c r="Q1097" t="s">
        <v>217</v>
      </c>
      <c r="R1097" t="s">
        <v>218</v>
      </c>
      <c r="S1097" t="s">
        <v>18</v>
      </c>
      <c r="T1097" t="s">
        <v>19</v>
      </c>
      <c r="U1097" t="s">
        <v>41</v>
      </c>
      <c r="V1097">
        <v>1</v>
      </c>
      <c r="W1097" t="s">
        <v>10</v>
      </c>
      <c r="X1097" t="s">
        <v>22</v>
      </c>
      <c r="Y1097">
        <v>1</v>
      </c>
      <c r="Z1097">
        <v>1</v>
      </c>
      <c r="AA1097">
        <v>0</v>
      </c>
      <c r="AB1097">
        <v>0</v>
      </c>
      <c r="AC1097">
        <v>1</v>
      </c>
      <c r="AD1097">
        <v>1</v>
      </c>
      <c r="AE1097">
        <v>0</v>
      </c>
      <c r="AF1097" t="s">
        <v>12</v>
      </c>
      <c r="AG1097" t="s">
        <v>12</v>
      </c>
      <c r="AH1097" t="s">
        <v>12</v>
      </c>
      <c r="AI1097" t="s">
        <v>12</v>
      </c>
      <c r="AJ1097" t="s">
        <v>12</v>
      </c>
      <c r="AK1097">
        <v>112600</v>
      </c>
      <c r="AL1097">
        <v>0.21</v>
      </c>
      <c r="AM1097">
        <v>0.19</v>
      </c>
      <c r="AN1097" t="s">
        <v>12</v>
      </c>
      <c r="AO1097" t="s">
        <v>12</v>
      </c>
    </row>
    <row r="1098" spans="1:41" x14ac:dyDescent="0.35">
      <c r="A1098">
        <v>19582604</v>
      </c>
      <c r="B1098">
        <v>202510</v>
      </c>
      <c r="C1098">
        <v>20610365613</v>
      </c>
      <c r="D1098" t="s">
        <v>1370</v>
      </c>
      <c r="E1098" t="s">
        <v>1</v>
      </c>
      <c r="F1098">
        <v>10270520</v>
      </c>
      <c r="G1098" t="s">
        <v>73</v>
      </c>
      <c r="H1098" t="s">
        <v>74</v>
      </c>
      <c r="I1098">
        <v>242731.453125</v>
      </c>
      <c r="J1098" s="1">
        <v>45889</v>
      </c>
      <c r="K1098">
        <v>19</v>
      </c>
      <c r="L1098" t="s">
        <v>4</v>
      </c>
      <c r="M1098" t="s">
        <v>4</v>
      </c>
      <c r="N1098" t="s">
        <v>20</v>
      </c>
      <c r="O1098">
        <v>202508</v>
      </c>
      <c r="P1098">
        <v>180434.79</v>
      </c>
      <c r="Q1098" t="s">
        <v>74</v>
      </c>
      <c r="R1098" t="s">
        <v>76</v>
      </c>
      <c r="S1098" t="s">
        <v>31</v>
      </c>
      <c r="T1098" t="s">
        <v>32</v>
      </c>
      <c r="U1098" t="s">
        <v>9</v>
      </c>
      <c r="V1098">
        <v>1</v>
      </c>
      <c r="W1098" t="s">
        <v>10</v>
      </c>
      <c r="X1098" t="s">
        <v>12</v>
      </c>
      <c r="Y1098">
        <v>1</v>
      </c>
      <c r="Z1098">
        <v>1</v>
      </c>
      <c r="AA1098">
        <v>0</v>
      </c>
      <c r="AB1098">
        <v>1</v>
      </c>
      <c r="AC1098">
        <v>1</v>
      </c>
      <c r="AD1098">
        <v>1</v>
      </c>
      <c r="AE1098">
        <v>0</v>
      </c>
      <c r="AF1098" t="s">
        <v>12</v>
      </c>
      <c r="AG1098" t="s">
        <v>12</v>
      </c>
      <c r="AH1098" t="s">
        <v>12</v>
      </c>
      <c r="AI1098" t="s">
        <v>12</v>
      </c>
      <c r="AJ1098" t="s">
        <v>12</v>
      </c>
      <c r="AK1098">
        <v>0</v>
      </c>
      <c r="AL1098">
        <v>0</v>
      </c>
      <c r="AM1098">
        <v>0.19</v>
      </c>
      <c r="AN1098" t="s">
        <v>12</v>
      </c>
      <c r="AO1098" t="s">
        <v>12</v>
      </c>
    </row>
    <row r="1099" spans="1:41" x14ac:dyDescent="0.35">
      <c r="A1099">
        <v>21812737</v>
      </c>
      <c r="B1099">
        <v>202602</v>
      </c>
      <c r="C1099">
        <v>20607579033</v>
      </c>
      <c r="D1099" t="s">
        <v>1371</v>
      </c>
      <c r="E1099" t="s">
        <v>1</v>
      </c>
      <c r="F1099">
        <v>10270754</v>
      </c>
      <c r="G1099" t="s">
        <v>28</v>
      </c>
      <c r="H1099" t="s">
        <v>220</v>
      </c>
      <c r="I1099">
        <v>75083.359375</v>
      </c>
      <c r="J1099" s="1">
        <v>45896</v>
      </c>
      <c r="K1099">
        <v>19</v>
      </c>
      <c r="L1099" t="s">
        <v>4</v>
      </c>
      <c r="M1099" t="s">
        <v>75</v>
      </c>
      <c r="N1099" t="s">
        <v>26</v>
      </c>
      <c r="O1099">
        <v>202508</v>
      </c>
      <c r="P1099">
        <v>100005</v>
      </c>
      <c r="Q1099" t="s">
        <v>220</v>
      </c>
      <c r="R1099" t="s">
        <v>221</v>
      </c>
      <c r="S1099" t="s">
        <v>127</v>
      </c>
      <c r="T1099" t="s">
        <v>147</v>
      </c>
      <c r="U1099" t="s">
        <v>63</v>
      </c>
      <c r="V1099">
        <v>1</v>
      </c>
      <c r="W1099" t="s">
        <v>10</v>
      </c>
      <c r="X1099" t="s">
        <v>51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 t="s">
        <v>12</v>
      </c>
      <c r="AG1099" t="s">
        <v>12</v>
      </c>
      <c r="AH1099" t="s">
        <v>12</v>
      </c>
      <c r="AI1099" t="s">
        <v>12</v>
      </c>
      <c r="AJ1099" t="s">
        <v>12</v>
      </c>
      <c r="AK1099">
        <v>50000</v>
      </c>
      <c r="AL1099">
        <v>0.20449999999999999</v>
      </c>
      <c r="AM1099">
        <v>0.1845</v>
      </c>
      <c r="AN1099" t="s">
        <v>12</v>
      </c>
      <c r="AO1099" t="s">
        <v>12</v>
      </c>
    </row>
    <row r="1100" spans="1:41" x14ac:dyDescent="0.35">
      <c r="A1100">
        <v>21397136</v>
      </c>
      <c r="B1100">
        <v>202508</v>
      </c>
      <c r="C1100">
        <v>20604066795</v>
      </c>
      <c r="D1100" t="s">
        <v>1372</v>
      </c>
      <c r="E1100" t="s">
        <v>1</v>
      </c>
      <c r="F1100">
        <v>10265339</v>
      </c>
      <c r="G1100" t="s">
        <v>24</v>
      </c>
      <c r="H1100" t="s">
        <v>246</v>
      </c>
      <c r="I1100">
        <v>54667.43359375</v>
      </c>
      <c r="J1100" s="1">
        <v>45702</v>
      </c>
      <c r="K1100">
        <v>18.200001</v>
      </c>
      <c r="L1100" t="s">
        <v>37</v>
      </c>
      <c r="M1100" t="s">
        <v>37</v>
      </c>
      <c r="N1100" t="s">
        <v>98</v>
      </c>
      <c r="O1100">
        <v>202502</v>
      </c>
      <c r="P1100">
        <v>70003.5</v>
      </c>
      <c r="Q1100" t="s">
        <v>1373</v>
      </c>
      <c r="R1100" t="s">
        <v>247</v>
      </c>
      <c r="S1100" t="s">
        <v>18</v>
      </c>
      <c r="T1100" t="s">
        <v>122</v>
      </c>
      <c r="U1100" t="s">
        <v>41</v>
      </c>
      <c r="V1100">
        <v>1</v>
      </c>
      <c r="W1100" t="s">
        <v>10</v>
      </c>
      <c r="X1100" t="s">
        <v>12</v>
      </c>
      <c r="Y1100">
        <v>1</v>
      </c>
      <c r="Z1100">
        <v>1</v>
      </c>
      <c r="AA1100">
        <v>0</v>
      </c>
      <c r="AB1100">
        <v>1</v>
      </c>
      <c r="AC1100">
        <v>1</v>
      </c>
      <c r="AD1100">
        <v>1</v>
      </c>
      <c r="AE1100">
        <v>0</v>
      </c>
      <c r="AF1100" t="s">
        <v>12</v>
      </c>
      <c r="AG1100" t="s">
        <v>12</v>
      </c>
      <c r="AH1100" t="s">
        <v>12</v>
      </c>
      <c r="AI1100" t="s">
        <v>12</v>
      </c>
      <c r="AJ1100" t="s">
        <v>12</v>
      </c>
      <c r="AK1100">
        <v>250000</v>
      </c>
      <c r="AL1100">
        <v>0.21</v>
      </c>
      <c r="AM1100">
        <v>0.19</v>
      </c>
      <c r="AN1100" t="s">
        <v>12</v>
      </c>
      <c r="AO1100" t="s">
        <v>12</v>
      </c>
    </row>
    <row r="1101" spans="1:41" x14ac:dyDescent="0.35">
      <c r="A1101">
        <v>13618845</v>
      </c>
      <c r="B1101">
        <v>202511</v>
      </c>
      <c r="C1101">
        <v>10453082950</v>
      </c>
      <c r="D1101" t="s">
        <v>1374</v>
      </c>
      <c r="E1101">
        <v>45308295</v>
      </c>
      <c r="F1101">
        <v>10272635</v>
      </c>
      <c r="G1101" t="s">
        <v>14</v>
      </c>
      <c r="H1101" t="s">
        <v>612</v>
      </c>
      <c r="I1101">
        <v>47117.79296875</v>
      </c>
      <c r="J1101" s="1">
        <v>45958</v>
      </c>
      <c r="K1101">
        <v>20.6</v>
      </c>
      <c r="L1101" t="s">
        <v>37</v>
      </c>
      <c r="M1101" t="s">
        <v>37</v>
      </c>
      <c r="N1101" t="s">
        <v>16</v>
      </c>
      <c r="O1101">
        <v>202510</v>
      </c>
      <c r="P1101">
        <v>48802.400000000001</v>
      </c>
      <c r="Q1101" t="s">
        <v>12</v>
      </c>
      <c r="R1101" t="s">
        <v>12</v>
      </c>
      <c r="S1101" t="s">
        <v>12</v>
      </c>
      <c r="T1101" t="s">
        <v>12</v>
      </c>
      <c r="U1101" t="s">
        <v>12</v>
      </c>
      <c r="V1101" t="s">
        <v>12</v>
      </c>
      <c r="W1101" t="s">
        <v>12</v>
      </c>
      <c r="X1101" t="s">
        <v>12</v>
      </c>
      <c r="Y1101" t="s">
        <v>12</v>
      </c>
      <c r="Z1101" t="s">
        <v>12</v>
      </c>
      <c r="AA1101" t="s">
        <v>12</v>
      </c>
      <c r="AB1101" t="s">
        <v>12</v>
      </c>
      <c r="AC1101" t="s">
        <v>12</v>
      </c>
      <c r="AD1101" t="s">
        <v>12</v>
      </c>
      <c r="AE1101" t="s">
        <v>12</v>
      </c>
      <c r="AF1101" t="s">
        <v>12</v>
      </c>
      <c r="AG1101" t="s">
        <v>12</v>
      </c>
      <c r="AH1101" t="s">
        <v>12</v>
      </c>
      <c r="AI1101" t="s">
        <v>12</v>
      </c>
      <c r="AJ1101" t="s">
        <v>12</v>
      </c>
      <c r="AK1101" t="s">
        <v>12</v>
      </c>
      <c r="AL1101" t="s">
        <v>12</v>
      </c>
      <c r="AM1101" t="s">
        <v>12</v>
      </c>
      <c r="AN1101" t="s">
        <v>12</v>
      </c>
      <c r="AO1101" t="s">
        <v>12</v>
      </c>
    </row>
    <row r="1102" spans="1:41" x14ac:dyDescent="0.35">
      <c r="A1102">
        <v>15502602</v>
      </c>
      <c r="B1102">
        <v>202510</v>
      </c>
      <c r="C1102">
        <v>20544559177</v>
      </c>
      <c r="D1102" t="s">
        <v>1375</v>
      </c>
      <c r="E1102" t="s">
        <v>1</v>
      </c>
      <c r="F1102">
        <v>10253446</v>
      </c>
      <c r="G1102" t="s">
        <v>53</v>
      </c>
      <c r="H1102" t="s">
        <v>338</v>
      </c>
      <c r="I1102">
        <v>26189.359375</v>
      </c>
      <c r="J1102" s="1">
        <v>45435</v>
      </c>
      <c r="K1102">
        <v>16.899999999999999</v>
      </c>
      <c r="L1102" t="s">
        <v>4</v>
      </c>
      <c r="M1102" t="s">
        <v>4</v>
      </c>
      <c r="N1102" t="s">
        <v>47</v>
      </c>
      <c r="O1102">
        <v>202405</v>
      </c>
      <c r="P1102">
        <v>132666.6</v>
      </c>
      <c r="Q1102" t="s">
        <v>12</v>
      </c>
      <c r="R1102" t="s">
        <v>12</v>
      </c>
      <c r="S1102" t="s">
        <v>12</v>
      </c>
      <c r="T1102" t="s">
        <v>12</v>
      </c>
      <c r="U1102" t="s">
        <v>12</v>
      </c>
      <c r="V1102" t="s">
        <v>12</v>
      </c>
      <c r="W1102" t="s">
        <v>12</v>
      </c>
      <c r="X1102" t="s">
        <v>12</v>
      </c>
      <c r="Y1102" t="s">
        <v>12</v>
      </c>
      <c r="Z1102" t="s">
        <v>12</v>
      </c>
      <c r="AA1102" t="s">
        <v>12</v>
      </c>
      <c r="AB1102" t="s">
        <v>12</v>
      </c>
      <c r="AC1102" t="s">
        <v>12</v>
      </c>
      <c r="AD1102" t="s">
        <v>12</v>
      </c>
      <c r="AE1102" t="s">
        <v>12</v>
      </c>
      <c r="AF1102" t="s">
        <v>12</v>
      </c>
      <c r="AG1102" t="s">
        <v>12</v>
      </c>
      <c r="AH1102" t="s">
        <v>12</v>
      </c>
      <c r="AI1102" t="s">
        <v>12</v>
      </c>
      <c r="AJ1102" t="s">
        <v>12</v>
      </c>
      <c r="AK1102" t="s">
        <v>12</v>
      </c>
      <c r="AL1102" t="s">
        <v>12</v>
      </c>
      <c r="AM1102" t="s">
        <v>12</v>
      </c>
      <c r="AN1102" t="s">
        <v>12</v>
      </c>
      <c r="AO1102" t="s">
        <v>12</v>
      </c>
    </row>
    <row r="1103" spans="1:41" x14ac:dyDescent="0.35">
      <c r="A1103">
        <v>20854649</v>
      </c>
      <c r="B1103">
        <v>202508</v>
      </c>
      <c r="C1103">
        <v>20610000356</v>
      </c>
      <c r="D1103" t="s">
        <v>1376</v>
      </c>
      <c r="E1103" t="s">
        <v>1</v>
      </c>
      <c r="F1103">
        <v>10268307</v>
      </c>
      <c r="G1103" t="s">
        <v>92</v>
      </c>
      <c r="H1103" t="s">
        <v>57</v>
      </c>
      <c r="I1103">
        <v>199240.5625</v>
      </c>
      <c r="J1103" s="1">
        <v>45806</v>
      </c>
      <c r="K1103">
        <v>16.5</v>
      </c>
      <c r="L1103" t="s">
        <v>4</v>
      </c>
      <c r="M1103" t="s">
        <v>4</v>
      </c>
      <c r="N1103" t="s">
        <v>41</v>
      </c>
      <c r="O1103">
        <v>202505</v>
      </c>
      <c r="P1103">
        <v>250012.5</v>
      </c>
      <c r="Q1103" t="s">
        <v>36</v>
      </c>
      <c r="R1103" t="s">
        <v>38</v>
      </c>
      <c r="S1103" t="s">
        <v>39</v>
      </c>
      <c r="T1103" t="s">
        <v>40</v>
      </c>
      <c r="U1103" t="s">
        <v>20</v>
      </c>
      <c r="V1103">
        <v>1</v>
      </c>
      <c r="W1103" t="s">
        <v>10</v>
      </c>
      <c r="X1103" t="s">
        <v>12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 t="s">
        <v>12</v>
      </c>
      <c r="AG1103" t="s">
        <v>12</v>
      </c>
      <c r="AH1103" t="s">
        <v>12</v>
      </c>
      <c r="AI1103" t="s">
        <v>12</v>
      </c>
      <c r="AJ1103" t="s">
        <v>12</v>
      </c>
      <c r="AK1103">
        <v>1</v>
      </c>
      <c r="AL1103">
        <v>0.1613</v>
      </c>
      <c r="AM1103" t="s">
        <v>12</v>
      </c>
      <c r="AN1103" t="s">
        <v>12</v>
      </c>
      <c r="AO1103" t="s">
        <v>12</v>
      </c>
    </row>
    <row r="1104" spans="1:41" x14ac:dyDescent="0.35">
      <c r="A1104">
        <v>11907467</v>
      </c>
      <c r="B1104">
        <v>202509</v>
      </c>
      <c r="C1104">
        <v>10258193739</v>
      </c>
      <c r="D1104" t="s">
        <v>1377</v>
      </c>
      <c r="E1104">
        <v>25819373</v>
      </c>
      <c r="F1104">
        <v>10266070</v>
      </c>
      <c r="G1104" t="s">
        <v>100</v>
      </c>
      <c r="H1104" t="s">
        <v>166</v>
      </c>
      <c r="I1104">
        <v>14951.015625</v>
      </c>
      <c r="J1104" s="1">
        <v>45726</v>
      </c>
      <c r="K1104">
        <v>23.5</v>
      </c>
      <c r="L1104" t="s">
        <v>37</v>
      </c>
      <c r="M1104" t="s">
        <v>37</v>
      </c>
      <c r="N1104" t="s">
        <v>102</v>
      </c>
      <c r="O1104">
        <v>202503</v>
      </c>
      <c r="P1104">
        <v>21276.05</v>
      </c>
      <c r="Q1104" t="s">
        <v>166</v>
      </c>
      <c r="R1104" t="s">
        <v>167</v>
      </c>
      <c r="S1104" t="s">
        <v>111</v>
      </c>
      <c r="T1104" t="s">
        <v>112</v>
      </c>
      <c r="U1104" t="s">
        <v>20</v>
      </c>
      <c r="V1104">
        <v>2</v>
      </c>
      <c r="W1104" t="s">
        <v>90</v>
      </c>
      <c r="X1104" t="s">
        <v>59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 t="s">
        <v>12</v>
      </c>
      <c r="AG1104" t="s">
        <v>12</v>
      </c>
      <c r="AH1104" t="s">
        <v>12</v>
      </c>
      <c r="AI1104" t="s">
        <v>12</v>
      </c>
      <c r="AJ1104" t="s">
        <v>12</v>
      </c>
      <c r="AK1104">
        <v>1</v>
      </c>
      <c r="AL1104">
        <v>1</v>
      </c>
      <c r="AM1104" t="s">
        <v>12</v>
      </c>
      <c r="AN1104" t="s">
        <v>12</v>
      </c>
      <c r="AO1104" t="s">
        <v>12</v>
      </c>
    </row>
    <row r="1105" spans="1:41" x14ac:dyDescent="0.35">
      <c r="A1105">
        <v>17102010</v>
      </c>
      <c r="B1105">
        <v>202601</v>
      </c>
      <c r="C1105">
        <v>20487592979</v>
      </c>
      <c r="D1105" t="s">
        <v>1378</v>
      </c>
      <c r="E1105" t="s">
        <v>1</v>
      </c>
      <c r="F1105">
        <v>10264531</v>
      </c>
      <c r="G1105" t="s">
        <v>1173</v>
      </c>
      <c r="H1105" t="s">
        <v>49</v>
      </c>
      <c r="I1105">
        <v>69994.6875</v>
      </c>
      <c r="J1105" s="1">
        <v>45670</v>
      </c>
      <c r="K1105">
        <v>16.5</v>
      </c>
      <c r="L1105" t="s">
        <v>4</v>
      </c>
      <c r="M1105" t="s">
        <v>4</v>
      </c>
      <c r="N1105" t="s">
        <v>209</v>
      </c>
      <c r="O1105">
        <v>202501</v>
      </c>
      <c r="P1105">
        <v>75519.7</v>
      </c>
      <c r="Q1105" t="s">
        <v>301</v>
      </c>
      <c r="R1105" t="s">
        <v>310</v>
      </c>
      <c r="S1105" t="s">
        <v>49</v>
      </c>
      <c r="T1105" t="s">
        <v>50</v>
      </c>
      <c r="U1105" t="s">
        <v>63</v>
      </c>
      <c r="V1105">
        <v>1</v>
      </c>
      <c r="W1105" t="s">
        <v>21</v>
      </c>
      <c r="X1105" t="s">
        <v>11</v>
      </c>
      <c r="Y1105">
        <v>1</v>
      </c>
      <c r="Z1105">
        <v>1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 t="s">
        <v>12</v>
      </c>
      <c r="AG1105" t="s">
        <v>12</v>
      </c>
      <c r="AH1105" t="s">
        <v>12</v>
      </c>
      <c r="AI1105" t="s">
        <v>12</v>
      </c>
      <c r="AJ1105" t="s">
        <v>12</v>
      </c>
      <c r="AK1105">
        <v>500000</v>
      </c>
      <c r="AL1105">
        <v>0.21</v>
      </c>
      <c r="AM1105">
        <v>0.19</v>
      </c>
      <c r="AN1105" t="s">
        <v>12</v>
      </c>
      <c r="AO1105" t="s">
        <v>12</v>
      </c>
    </row>
    <row r="1106" spans="1:41" x14ac:dyDescent="0.35">
      <c r="A1106">
        <v>19159168</v>
      </c>
      <c r="B1106">
        <v>202511</v>
      </c>
      <c r="C1106">
        <v>20601394422</v>
      </c>
      <c r="D1106" t="s">
        <v>1379</v>
      </c>
      <c r="E1106" t="s">
        <v>1</v>
      </c>
      <c r="F1106">
        <v>10264548</v>
      </c>
      <c r="G1106" t="s">
        <v>92</v>
      </c>
      <c r="H1106" t="s">
        <v>1380</v>
      </c>
      <c r="I1106">
        <v>62130.56640625</v>
      </c>
      <c r="J1106" s="1">
        <v>45671</v>
      </c>
      <c r="K1106">
        <v>17</v>
      </c>
      <c r="L1106" t="s">
        <v>4</v>
      </c>
      <c r="M1106" t="s">
        <v>4</v>
      </c>
      <c r="N1106" t="s">
        <v>41</v>
      </c>
      <c r="O1106">
        <v>202501</v>
      </c>
      <c r="P1106">
        <v>100005</v>
      </c>
      <c r="Q1106" t="s">
        <v>1380</v>
      </c>
      <c r="R1106" t="s">
        <v>1381</v>
      </c>
      <c r="S1106" t="s">
        <v>31</v>
      </c>
      <c r="T1106" t="s">
        <v>32</v>
      </c>
      <c r="U1106" t="s">
        <v>41</v>
      </c>
      <c r="V1106">
        <v>1</v>
      </c>
      <c r="W1106" t="s">
        <v>10</v>
      </c>
      <c r="X1106" t="s">
        <v>51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 t="s">
        <v>12</v>
      </c>
      <c r="AG1106" t="s">
        <v>12</v>
      </c>
      <c r="AH1106" t="s">
        <v>12</v>
      </c>
      <c r="AI1106" t="s">
        <v>12</v>
      </c>
      <c r="AJ1106" t="s">
        <v>12</v>
      </c>
      <c r="AK1106">
        <v>400000</v>
      </c>
      <c r="AL1106">
        <v>0.21</v>
      </c>
      <c r="AM1106">
        <v>0.19</v>
      </c>
      <c r="AN1106" t="s">
        <v>12</v>
      </c>
      <c r="AO1106" t="s">
        <v>12</v>
      </c>
    </row>
    <row r="1107" spans="1:41" x14ac:dyDescent="0.35">
      <c r="A1107">
        <v>19096375</v>
      </c>
      <c r="B1107">
        <v>202512</v>
      </c>
      <c r="C1107">
        <v>10181569960</v>
      </c>
      <c r="D1107" t="s">
        <v>1382</v>
      </c>
      <c r="E1107">
        <v>18156996</v>
      </c>
      <c r="F1107">
        <v>10271152</v>
      </c>
      <c r="G1107" t="s">
        <v>100</v>
      </c>
      <c r="H1107" t="s">
        <v>183</v>
      </c>
      <c r="I1107">
        <v>76921.765625</v>
      </c>
      <c r="J1107" s="1">
        <v>45909</v>
      </c>
      <c r="K1107">
        <v>16.5</v>
      </c>
      <c r="L1107" t="s">
        <v>37</v>
      </c>
      <c r="M1107" t="s">
        <v>37</v>
      </c>
      <c r="N1107" t="s">
        <v>102</v>
      </c>
      <c r="O1107">
        <v>202509</v>
      </c>
      <c r="P1107">
        <v>86254.3</v>
      </c>
      <c r="Q1107" t="s">
        <v>12</v>
      </c>
      <c r="R1107" t="s">
        <v>12</v>
      </c>
      <c r="S1107" t="s">
        <v>12</v>
      </c>
      <c r="T1107" t="s">
        <v>12</v>
      </c>
      <c r="U1107" t="s">
        <v>12</v>
      </c>
      <c r="V1107" t="s">
        <v>12</v>
      </c>
      <c r="W1107" t="s">
        <v>12</v>
      </c>
      <c r="X1107" t="s">
        <v>12</v>
      </c>
      <c r="Y1107" t="s">
        <v>12</v>
      </c>
      <c r="Z1107" t="s">
        <v>12</v>
      </c>
      <c r="AA1107" t="s">
        <v>12</v>
      </c>
      <c r="AB1107" t="s">
        <v>12</v>
      </c>
      <c r="AC1107" t="s">
        <v>12</v>
      </c>
      <c r="AD1107" t="s">
        <v>12</v>
      </c>
      <c r="AE1107" t="s">
        <v>12</v>
      </c>
      <c r="AF1107" t="s">
        <v>12</v>
      </c>
      <c r="AG1107" t="s">
        <v>12</v>
      </c>
      <c r="AH1107" t="s">
        <v>12</v>
      </c>
      <c r="AI1107" t="s">
        <v>12</v>
      </c>
      <c r="AJ1107" t="s">
        <v>12</v>
      </c>
      <c r="AK1107" t="s">
        <v>12</v>
      </c>
      <c r="AL1107" t="s">
        <v>12</v>
      </c>
      <c r="AM1107" t="s">
        <v>12</v>
      </c>
      <c r="AN1107" t="s">
        <v>12</v>
      </c>
      <c r="AO1107" t="s">
        <v>12</v>
      </c>
    </row>
    <row r="1108" spans="1:41" x14ac:dyDescent="0.35">
      <c r="A1108">
        <v>13522244</v>
      </c>
      <c r="B1108">
        <v>202601</v>
      </c>
      <c r="C1108">
        <v>20492973433</v>
      </c>
      <c r="D1108" t="s">
        <v>1383</v>
      </c>
      <c r="E1108" t="s">
        <v>1</v>
      </c>
      <c r="F1108">
        <v>10134480</v>
      </c>
      <c r="G1108" t="s">
        <v>2</v>
      </c>
      <c r="H1108" t="s">
        <v>417</v>
      </c>
      <c r="I1108">
        <v>141860.296875</v>
      </c>
      <c r="J1108" s="1">
        <v>45779</v>
      </c>
      <c r="K1108">
        <v>17</v>
      </c>
      <c r="L1108" t="s">
        <v>4</v>
      </c>
      <c r="M1108" t="s">
        <v>4</v>
      </c>
      <c r="N1108" t="s">
        <v>5</v>
      </c>
      <c r="O1108">
        <v>202505</v>
      </c>
      <c r="P1108">
        <v>200010</v>
      </c>
      <c r="Q1108" t="s">
        <v>417</v>
      </c>
      <c r="R1108" t="s">
        <v>418</v>
      </c>
      <c r="S1108" t="s">
        <v>31</v>
      </c>
      <c r="T1108" t="s">
        <v>32</v>
      </c>
      <c r="U1108" t="s">
        <v>5</v>
      </c>
      <c r="V1108">
        <v>1</v>
      </c>
      <c r="W1108" t="s">
        <v>21</v>
      </c>
      <c r="X1108" t="s">
        <v>22</v>
      </c>
      <c r="Y1108">
        <v>1</v>
      </c>
      <c r="Z1108">
        <v>1</v>
      </c>
      <c r="AA1108">
        <v>0</v>
      </c>
      <c r="AB1108">
        <v>0</v>
      </c>
      <c r="AC1108">
        <v>1</v>
      </c>
      <c r="AD1108">
        <v>1</v>
      </c>
      <c r="AE1108">
        <v>0</v>
      </c>
      <c r="AF1108" t="s">
        <v>12</v>
      </c>
      <c r="AG1108" t="s">
        <v>12</v>
      </c>
      <c r="AH1108" t="s">
        <v>12</v>
      </c>
      <c r="AI1108" t="s">
        <v>12</v>
      </c>
      <c r="AJ1108" t="s">
        <v>12</v>
      </c>
      <c r="AK1108">
        <v>42500</v>
      </c>
      <c r="AL1108">
        <v>0.21</v>
      </c>
      <c r="AM1108">
        <v>0.19</v>
      </c>
      <c r="AN1108" t="s">
        <v>12</v>
      </c>
      <c r="AO1108" t="s">
        <v>12</v>
      </c>
    </row>
    <row r="1109" spans="1:41" x14ac:dyDescent="0.35">
      <c r="A1109">
        <v>20113433</v>
      </c>
      <c r="B1109">
        <v>202510</v>
      </c>
      <c r="C1109">
        <v>20609942844</v>
      </c>
      <c r="D1109" t="s">
        <v>1384</v>
      </c>
      <c r="E1109" t="s">
        <v>1</v>
      </c>
      <c r="F1109">
        <v>10253393</v>
      </c>
      <c r="G1109" t="s">
        <v>65</v>
      </c>
      <c r="H1109" t="s">
        <v>246</v>
      </c>
      <c r="I1109">
        <v>32601.169921875</v>
      </c>
      <c r="J1109" s="1">
        <v>45434</v>
      </c>
      <c r="K1109">
        <v>15.5</v>
      </c>
      <c r="L1109" t="s">
        <v>4</v>
      </c>
      <c r="M1109" t="s">
        <v>4</v>
      </c>
      <c r="N1109" t="s">
        <v>47</v>
      </c>
      <c r="O1109">
        <v>202405</v>
      </c>
      <c r="P1109">
        <v>90004.5</v>
      </c>
      <c r="Q1109" t="s">
        <v>1373</v>
      </c>
      <c r="R1109" t="s">
        <v>247</v>
      </c>
      <c r="S1109" t="s">
        <v>18</v>
      </c>
      <c r="T1109" t="s">
        <v>122</v>
      </c>
      <c r="U1109" t="s">
        <v>209</v>
      </c>
      <c r="V1109">
        <v>1</v>
      </c>
      <c r="W1109" t="s">
        <v>10</v>
      </c>
      <c r="X1109" t="s">
        <v>12</v>
      </c>
      <c r="Y1109">
        <v>1</v>
      </c>
      <c r="Z1109">
        <v>1</v>
      </c>
      <c r="AA1109">
        <v>0</v>
      </c>
      <c r="AB1109">
        <v>1</v>
      </c>
      <c r="AC1109">
        <v>1</v>
      </c>
      <c r="AD1109">
        <v>1</v>
      </c>
      <c r="AE1109">
        <v>0</v>
      </c>
      <c r="AF1109" t="s">
        <v>12</v>
      </c>
      <c r="AG1109" t="s">
        <v>12</v>
      </c>
      <c r="AH1109" t="s">
        <v>12</v>
      </c>
      <c r="AI1109" t="s">
        <v>12</v>
      </c>
      <c r="AJ1109" t="s">
        <v>12</v>
      </c>
      <c r="AK1109" t="s">
        <v>12</v>
      </c>
      <c r="AL1109" t="s">
        <v>12</v>
      </c>
      <c r="AM1109" t="s">
        <v>12</v>
      </c>
      <c r="AN1109" t="s">
        <v>12</v>
      </c>
      <c r="AO1109" t="s">
        <v>12</v>
      </c>
    </row>
    <row r="1110" spans="1:41" x14ac:dyDescent="0.35">
      <c r="A1110">
        <v>21784493</v>
      </c>
      <c r="B1110">
        <v>202602</v>
      </c>
      <c r="C1110">
        <v>20606731001</v>
      </c>
      <c r="D1110" t="s">
        <v>1385</v>
      </c>
      <c r="E1110" t="s">
        <v>1</v>
      </c>
      <c r="F1110">
        <v>10270983</v>
      </c>
      <c r="G1110" t="s">
        <v>100</v>
      </c>
      <c r="H1110" t="s">
        <v>531</v>
      </c>
      <c r="I1110">
        <v>100770.140625</v>
      </c>
      <c r="J1110" s="1">
        <v>45898</v>
      </c>
      <c r="K1110">
        <v>17</v>
      </c>
      <c r="L1110" t="s">
        <v>37</v>
      </c>
      <c r="M1110" t="s">
        <v>37</v>
      </c>
      <c r="N1110" t="s">
        <v>102</v>
      </c>
      <c r="O1110">
        <v>202508</v>
      </c>
      <c r="P1110">
        <v>123056.15</v>
      </c>
      <c r="Q1110" t="s">
        <v>531</v>
      </c>
      <c r="R1110" t="s">
        <v>532</v>
      </c>
      <c r="S1110" t="s">
        <v>39</v>
      </c>
      <c r="T1110" t="s">
        <v>40</v>
      </c>
      <c r="U1110" t="s">
        <v>41</v>
      </c>
      <c r="V1110">
        <v>1</v>
      </c>
      <c r="W1110" t="s">
        <v>10</v>
      </c>
      <c r="X1110" t="s">
        <v>51</v>
      </c>
      <c r="Y1110">
        <v>1</v>
      </c>
      <c r="Z1110">
        <v>1</v>
      </c>
      <c r="AA1110">
        <v>0</v>
      </c>
      <c r="AB1110">
        <v>1</v>
      </c>
      <c r="AC1110">
        <v>1</v>
      </c>
      <c r="AD1110">
        <v>1</v>
      </c>
      <c r="AE1110">
        <v>0</v>
      </c>
      <c r="AF1110" t="s">
        <v>12</v>
      </c>
      <c r="AG1110" t="s">
        <v>12</v>
      </c>
      <c r="AH1110" t="s">
        <v>12</v>
      </c>
      <c r="AI1110" t="s">
        <v>12</v>
      </c>
      <c r="AJ1110" t="s">
        <v>12</v>
      </c>
      <c r="AK1110">
        <v>250000</v>
      </c>
      <c r="AL1110">
        <v>0.21</v>
      </c>
      <c r="AM1110">
        <v>0.19</v>
      </c>
      <c r="AN1110" t="s">
        <v>12</v>
      </c>
      <c r="AO1110" t="s">
        <v>12</v>
      </c>
    </row>
    <row r="1111" spans="1:41" x14ac:dyDescent="0.35">
      <c r="A1111">
        <v>21158452</v>
      </c>
      <c r="B1111">
        <v>202510</v>
      </c>
      <c r="C1111">
        <v>20603953488</v>
      </c>
      <c r="D1111" t="s">
        <v>1386</v>
      </c>
      <c r="E1111" t="s">
        <v>1</v>
      </c>
      <c r="F1111">
        <v>10267711</v>
      </c>
      <c r="G1111" t="s">
        <v>14</v>
      </c>
      <c r="H1111" t="s">
        <v>265</v>
      </c>
      <c r="I1111">
        <v>222327.828125</v>
      </c>
      <c r="J1111" s="1">
        <v>45789</v>
      </c>
      <c r="K1111">
        <v>18</v>
      </c>
      <c r="L1111" t="s">
        <v>37</v>
      </c>
      <c r="M1111" t="s">
        <v>37</v>
      </c>
      <c r="N1111" t="s">
        <v>98</v>
      </c>
      <c r="O1111">
        <v>202505</v>
      </c>
      <c r="P1111">
        <v>250012.5</v>
      </c>
      <c r="Q1111" t="s">
        <v>265</v>
      </c>
      <c r="R1111" t="s">
        <v>266</v>
      </c>
      <c r="S1111" t="s">
        <v>18</v>
      </c>
      <c r="T1111" t="s">
        <v>122</v>
      </c>
      <c r="U1111" t="s">
        <v>41</v>
      </c>
      <c r="V1111">
        <v>1</v>
      </c>
      <c r="W1111" t="s">
        <v>10</v>
      </c>
      <c r="X1111" t="s">
        <v>12</v>
      </c>
      <c r="Y1111">
        <v>1</v>
      </c>
      <c r="Z1111">
        <v>1</v>
      </c>
      <c r="AA1111">
        <v>0</v>
      </c>
      <c r="AB1111">
        <v>0</v>
      </c>
      <c r="AC1111">
        <v>1</v>
      </c>
      <c r="AD1111">
        <v>1</v>
      </c>
      <c r="AE1111">
        <v>0</v>
      </c>
      <c r="AF1111" t="s">
        <v>12</v>
      </c>
      <c r="AG1111" t="s">
        <v>12</v>
      </c>
      <c r="AH1111" t="s">
        <v>12</v>
      </c>
      <c r="AI1111" t="s">
        <v>12</v>
      </c>
      <c r="AJ1111" t="s">
        <v>12</v>
      </c>
      <c r="AK1111">
        <v>171900</v>
      </c>
      <c r="AL1111">
        <v>0.21</v>
      </c>
      <c r="AM1111">
        <v>0.19</v>
      </c>
      <c r="AN1111" t="s">
        <v>12</v>
      </c>
      <c r="AO1111" t="s">
        <v>12</v>
      </c>
    </row>
    <row r="1112" spans="1:41" x14ac:dyDescent="0.35">
      <c r="A1112">
        <v>19528034</v>
      </c>
      <c r="B1112">
        <v>202508</v>
      </c>
      <c r="C1112">
        <v>20607534731</v>
      </c>
      <c r="D1112" t="s">
        <v>1387</v>
      </c>
      <c r="E1112" t="s">
        <v>1</v>
      </c>
      <c r="F1112">
        <v>10268031</v>
      </c>
      <c r="G1112" t="s">
        <v>73</v>
      </c>
      <c r="H1112" t="s">
        <v>166</v>
      </c>
      <c r="I1112">
        <v>89246.9453125</v>
      </c>
      <c r="J1112" s="1">
        <v>45799</v>
      </c>
      <c r="K1112">
        <v>18</v>
      </c>
      <c r="L1112" t="s">
        <v>86</v>
      </c>
      <c r="M1112" t="s">
        <v>86</v>
      </c>
      <c r="N1112" t="s">
        <v>20</v>
      </c>
      <c r="O1112">
        <v>202505</v>
      </c>
      <c r="P1112">
        <v>100005</v>
      </c>
      <c r="Q1112" t="s">
        <v>166</v>
      </c>
      <c r="R1112" t="s">
        <v>167</v>
      </c>
      <c r="S1112" t="s">
        <v>111</v>
      </c>
      <c r="T1112" t="s">
        <v>112</v>
      </c>
      <c r="U1112" t="s">
        <v>20</v>
      </c>
      <c r="V1112">
        <v>2</v>
      </c>
      <c r="W1112" t="s">
        <v>10</v>
      </c>
      <c r="X1112" t="s">
        <v>12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 t="s">
        <v>12</v>
      </c>
      <c r="AG1112" t="s">
        <v>12</v>
      </c>
      <c r="AH1112" t="s">
        <v>12</v>
      </c>
      <c r="AI1112" t="s">
        <v>12</v>
      </c>
      <c r="AJ1112" t="s">
        <v>12</v>
      </c>
      <c r="AK1112">
        <v>1</v>
      </c>
      <c r="AL1112">
        <v>0.25929999999999997</v>
      </c>
      <c r="AM1112" t="s">
        <v>12</v>
      </c>
      <c r="AN1112" t="s">
        <v>12</v>
      </c>
      <c r="AO1112" t="s">
        <v>12</v>
      </c>
    </row>
    <row r="1113" spans="1:41" x14ac:dyDescent="0.35">
      <c r="A1113">
        <v>20490514</v>
      </c>
      <c r="B1113">
        <v>202602</v>
      </c>
      <c r="C1113">
        <v>20608965395</v>
      </c>
      <c r="D1113" t="s">
        <v>1388</v>
      </c>
      <c r="E1113" t="s">
        <v>1</v>
      </c>
      <c r="F1113">
        <v>10265599</v>
      </c>
      <c r="G1113" t="s">
        <v>92</v>
      </c>
      <c r="H1113" t="s">
        <v>273</v>
      </c>
      <c r="I1113">
        <v>144412.421875</v>
      </c>
      <c r="J1113" s="1">
        <v>45712</v>
      </c>
      <c r="K1113">
        <v>14.5</v>
      </c>
      <c r="L1113" t="s">
        <v>4</v>
      </c>
      <c r="M1113" t="s">
        <v>4</v>
      </c>
      <c r="N1113" t="s">
        <v>41</v>
      </c>
      <c r="O1113">
        <v>202502</v>
      </c>
      <c r="P1113">
        <v>250012.5</v>
      </c>
      <c r="Q1113" t="s">
        <v>273</v>
      </c>
      <c r="R1113" t="s">
        <v>274</v>
      </c>
      <c r="S1113" t="s">
        <v>39</v>
      </c>
      <c r="T1113" t="s">
        <v>40</v>
      </c>
      <c r="U1113" t="s">
        <v>41</v>
      </c>
      <c r="V1113">
        <v>1</v>
      </c>
      <c r="W1113" t="s">
        <v>10</v>
      </c>
      <c r="X1113" t="s">
        <v>22</v>
      </c>
      <c r="Y1113">
        <v>1</v>
      </c>
      <c r="Z1113">
        <v>1</v>
      </c>
      <c r="AA1113">
        <v>0</v>
      </c>
      <c r="AB1113">
        <v>0</v>
      </c>
      <c r="AC1113">
        <v>1</v>
      </c>
      <c r="AD1113">
        <v>1</v>
      </c>
      <c r="AE1113">
        <v>0</v>
      </c>
      <c r="AF1113" t="s">
        <v>12</v>
      </c>
      <c r="AG1113" t="s">
        <v>12</v>
      </c>
      <c r="AH1113" t="s">
        <v>12</v>
      </c>
      <c r="AI1113" t="s">
        <v>12</v>
      </c>
      <c r="AJ1113" t="s">
        <v>12</v>
      </c>
      <c r="AK1113">
        <v>71800</v>
      </c>
      <c r="AL1113">
        <v>0.21</v>
      </c>
      <c r="AM1113">
        <v>0.19</v>
      </c>
      <c r="AN1113" t="s">
        <v>12</v>
      </c>
      <c r="AO1113" t="s">
        <v>12</v>
      </c>
    </row>
    <row r="1114" spans="1:41" x14ac:dyDescent="0.35">
      <c r="A1114">
        <v>19250927</v>
      </c>
      <c r="B1114">
        <v>202506</v>
      </c>
      <c r="C1114">
        <v>20541799363</v>
      </c>
      <c r="D1114" t="s">
        <v>1389</v>
      </c>
      <c r="E1114" t="s">
        <v>1</v>
      </c>
      <c r="F1114">
        <v>10266029</v>
      </c>
      <c r="G1114" t="s">
        <v>24</v>
      </c>
      <c r="H1114" t="s">
        <v>159</v>
      </c>
      <c r="I1114">
        <v>43055.3125</v>
      </c>
      <c r="J1114" s="1">
        <v>45723</v>
      </c>
      <c r="K1114">
        <v>25</v>
      </c>
      <c r="L1114" t="s">
        <v>4</v>
      </c>
      <c r="M1114" t="s">
        <v>4</v>
      </c>
      <c r="N1114" t="s">
        <v>26</v>
      </c>
      <c r="O1114">
        <v>202503</v>
      </c>
      <c r="P1114">
        <v>70003.5</v>
      </c>
      <c r="Q1114" t="s">
        <v>12</v>
      </c>
      <c r="R1114" t="s">
        <v>12</v>
      </c>
      <c r="S1114" t="s">
        <v>12</v>
      </c>
      <c r="T1114" t="s">
        <v>12</v>
      </c>
      <c r="U1114" t="s">
        <v>12</v>
      </c>
      <c r="V1114" t="s">
        <v>12</v>
      </c>
      <c r="W1114" t="s">
        <v>12</v>
      </c>
      <c r="X1114" t="s">
        <v>12</v>
      </c>
      <c r="Y1114" t="s">
        <v>12</v>
      </c>
      <c r="Z1114" t="s">
        <v>12</v>
      </c>
      <c r="AA1114" t="s">
        <v>12</v>
      </c>
      <c r="AB1114" t="s">
        <v>12</v>
      </c>
      <c r="AC1114" t="s">
        <v>12</v>
      </c>
      <c r="AD1114" t="s">
        <v>12</v>
      </c>
      <c r="AE1114" t="s">
        <v>12</v>
      </c>
      <c r="AF1114" t="s">
        <v>12</v>
      </c>
      <c r="AG1114" t="s">
        <v>12</v>
      </c>
      <c r="AH1114" t="s">
        <v>12</v>
      </c>
      <c r="AI1114" t="s">
        <v>12</v>
      </c>
      <c r="AJ1114" t="s">
        <v>12</v>
      </c>
      <c r="AK1114" t="s">
        <v>12</v>
      </c>
      <c r="AL1114" t="s">
        <v>12</v>
      </c>
      <c r="AM1114" t="s">
        <v>12</v>
      </c>
      <c r="AN1114" t="s">
        <v>12</v>
      </c>
      <c r="AO1114" t="s">
        <v>12</v>
      </c>
    </row>
    <row r="1115" spans="1:41" x14ac:dyDescent="0.35">
      <c r="A1115">
        <v>20745940</v>
      </c>
      <c r="B1115">
        <v>202506</v>
      </c>
      <c r="C1115">
        <v>20516449994</v>
      </c>
      <c r="D1115" t="s">
        <v>1390</v>
      </c>
      <c r="E1115" t="s">
        <v>1</v>
      </c>
      <c r="F1115">
        <v>10249969</v>
      </c>
      <c r="G1115" t="s">
        <v>45</v>
      </c>
      <c r="H1115" t="s">
        <v>159</v>
      </c>
      <c r="I1115">
        <v>19686.75390625</v>
      </c>
      <c r="J1115" s="1">
        <v>45376</v>
      </c>
      <c r="K1115">
        <v>14.3</v>
      </c>
      <c r="L1115" t="s">
        <v>37</v>
      </c>
      <c r="M1115" t="s">
        <v>37</v>
      </c>
      <c r="N1115" t="s">
        <v>47</v>
      </c>
      <c r="O1115">
        <v>202403</v>
      </c>
      <c r="P1115">
        <v>30001.5</v>
      </c>
      <c r="Q1115" t="s">
        <v>124</v>
      </c>
      <c r="R1115" t="s">
        <v>125</v>
      </c>
      <c r="S1115" t="s">
        <v>88</v>
      </c>
      <c r="T1115" t="s">
        <v>89</v>
      </c>
      <c r="U1115" t="s">
        <v>41</v>
      </c>
      <c r="V1115">
        <v>2</v>
      </c>
      <c r="W1115" t="s">
        <v>10</v>
      </c>
      <c r="X1115" t="s">
        <v>12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12</v>
      </c>
      <c r="AG1115" t="s">
        <v>12</v>
      </c>
      <c r="AH1115" t="s">
        <v>12</v>
      </c>
      <c r="AI1115" t="s">
        <v>12</v>
      </c>
      <c r="AJ1115" t="s">
        <v>12</v>
      </c>
      <c r="AK1115">
        <v>400000</v>
      </c>
      <c r="AL1115">
        <v>0.22</v>
      </c>
      <c r="AM1115">
        <v>0.20430000000000001</v>
      </c>
      <c r="AN1115" t="s">
        <v>12</v>
      </c>
      <c r="AO1115" t="s">
        <v>12</v>
      </c>
    </row>
    <row r="1116" spans="1:41" x14ac:dyDescent="0.35">
      <c r="A1116">
        <v>13870778</v>
      </c>
      <c r="B1116">
        <v>202602</v>
      </c>
      <c r="C1116">
        <v>10435401789</v>
      </c>
      <c r="D1116" t="s">
        <v>1391</v>
      </c>
      <c r="E1116">
        <v>43540178</v>
      </c>
      <c r="F1116">
        <v>10260379</v>
      </c>
      <c r="G1116" t="s">
        <v>65</v>
      </c>
      <c r="H1116" t="s">
        <v>603</v>
      </c>
      <c r="I1116">
        <v>51848.1015625</v>
      </c>
      <c r="J1116" s="1">
        <v>45551</v>
      </c>
      <c r="K1116">
        <v>14.5</v>
      </c>
      <c r="L1116" t="s">
        <v>37</v>
      </c>
      <c r="M1116" t="s">
        <v>37</v>
      </c>
      <c r="N1116" t="s">
        <v>47</v>
      </c>
      <c r="O1116">
        <v>202409</v>
      </c>
      <c r="P1116">
        <v>90004.5</v>
      </c>
      <c r="Q1116" t="s">
        <v>603</v>
      </c>
      <c r="R1116" t="s">
        <v>642</v>
      </c>
      <c r="S1116" t="s">
        <v>18</v>
      </c>
      <c r="T1116" t="s">
        <v>19</v>
      </c>
      <c r="U1116" t="s">
        <v>70</v>
      </c>
      <c r="V1116">
        <v>1</v>
      </c>
      <c r="W1116" t="s">
        <v>90</v>
      </c>
      <c r="X1116" t="s">
        <v>59</v>
      </c>
      <c r="Y1116">
        <v>1</v>
      </c>
      <c r="Z1116">
        <v>1</v>
      </c>
      <c r="AA1116">
        <v>0</v>
      </c>
      <c r="AB1116">
        <v>0</v>
      </c>
      <c r="AC1116">
        <v>1</v>
      </c>
      <c r="AD1116">
        <v>1</v>
      </c>
      <c r="AE1116">
        <v>0</v>
      </c>
      <c r="AF1116" t="s">
        <v>12</v>
      </c>
      <c r="AG1116" t="s">
        <v>12</v>
      </c>
      <c r="AH1116" t="s">
        <v>12</v>
      </c>
      <c r="AI1116" t="s">
        <v>12</v>
      </c>
      <c r="AJ1116" t="s">
        <v>12</v>
      </c>
      <c r="AK1116">
        <v>77000</v>
      </c>
      <c r="AL1116">
        <v>0.21890000000000001</v>
      </c>
      <c r="AM1116">
        <v>0.19889999999999999</v>
      </c>
      <c r="AN1116" t="s">
        <v>12</v>
      </c>
      <c r="AO1116" t="s">
        <v>12</v>
      </c>
    </row>
    <row r="1117" spans="1:41" x14ac:dyDescent="0.35">
      <c r="A1117">
        <v>17264959</v>
      </c>
      <c r="B1117">
        <v>202511</v>
      </c>
      <c r="C1117">
        <v>20603630085</v>
      </c>
      <c r="D1117" t="s">
        <v>1392</v>
      </c>
      <c r="E1117" t="s">
        <v>1</v>
      </c>
      <c r="F1117">
        <v>10256529</v>
      </c>
      <c r="G1117" t="s">
        <v>45</v>
      </c>
      <c r="H1117" t="s">
        <v>159</v>
      </c>
      <c r="I1117">
        <v>51986.3046875</v>
      </c>
      <c r="J1117" s="1">
        <v>45469</v>
      </c>
      <c r="K1117">
        <v>15.4</v>
      </c>
      <c r="L1117" t="s">
        <v>4</v>
      </c>
      <c r="M1117" t="s">
        <v>4</v>
      </c>
      <c r="N1117" t="s">
        <v>47</v>
      </c>
      <c r="O1117">
        <v>202406</v>
      </c>
      <c r="P1117">
        <v>90004.5</v>
      </c>
      <c r="Q1117" t="s">
        <v>12</v>
      </c>
      <c r="R1117" t="s">
        <v>12</v>
      </c>
      <c r="S1117" t="s">
        <v>12</v>
      </c>
      <c r="T1117" t="s">
        <v>12</v>
      </c>
      <c r="U1117" t="s">
        <v>196</v>
      </c>
      <c r="V1117">
        <v>3</v>
      </c>
      <c r="W1117" t="s">
        <v>10</v>
      </c>
      <c r="X1117" t="s">
        <v>51</v>
      </c>
      <c r="Y1117">
        <v>1</v>
      </c>
      <c r="Z1117">
        <v>1</v>
      </c>
      <c r="AA1117">
        <v>0</v>
      </c>
      <c r="AB1117">
        <v>0</v>
      </c>
      <c r="AC1117">
        <v>1</v>
      </c>
      <c r="AD1117" t="s">
        <v>12</v>
      </c>
      <c r="AE1117">
        <v>0</v>
      </c>
      <c r="AF1117" t="s">
        <v>12</v>
      </c>
      <c r="AG1117" t="s">
        <v>12</v>
      </c>
      <c r="AH1117" t="s">
        <v>12</v>
      </c>
      <c r="AI1117" t="s">
        <v>12</v>
      </c>
      <c r="AJ1117" t="s">
        <v>12</v>
      </c>
      <c r="AK1117" t="s">
        <v>12</v>
      </c>
      <c r="AL1117" t="s">
        <v>12</v>
      </c>
      <c r="AM1117" t="s">
        <v>12</v>
      </c>
      <c r="AN1117" t="s">
        <v>269</v>
      </c>
      <c r="AO1117" t="s">
        <v>270</v>
      </c>
    </row>
    <row r="1118" spans="1:41" x14ac:dyDescent="0.35">
      <c r="A1118">
        <v>9390395</v>
      </c>
      <c r="B1118">
        <v>202510</v>
      </c>
      <c r="C1118">
        <v>20510187025</v>
      </c>
      <c r="D1118" t="s">
        <v>1393</v>
      </c>
      <c r="E1118" t="s">
        <v>1</v>
      </c>
      <c r="F1118">
        <v>10272449</v>
      </c>
      <c r="G1118" t="s">
        <v>14</v>
      </c>
      <c r="H1118" t="s">
        <v>193</v>
      </c>
      <c r="I1118">
        <v>148307.390625</v>
      </c>
      <c r="J1118" s="1">
        <v>45952</v>
      </c>
      <c r="K1118">
        <v>17</v>
      </c>
      <c r="L1118" t="s">
        <v>37</v>
      </c>
      <c r="M1118" t="s">
        <v>37</v>
      </c>
      <c r="N1118" t="s">
        <v>98</v>
      </c>
      <c r="O1118">
        <v>202510</v>
      </c>
      <c r="P1118">
        <v>148307.4</v>
      </c>
      <c r="Q1118" t="s">
        <v>1394</v>
      </c>
      <c r="R1118" t="s">
        <v>1395</v>
      </c>
      <c r="S1118" t="s">
        <v>1034</v>
      </c>
      <c r="T1118" t="s">
        <v>1035</v>
      </c>
      <c r="U1118" t="s">
        <v>98</v>
      </c>
      <c r="V1118">
        <v>3</v>
      </c>
      <c r="W1118" t="s">
        <v>10</v>
      </c>
      <c r="X1118" t="s">
        <v>12</v>
      </c>
      <c r="Y1118">
        <v>1</v>
      </c>
      <c r="Z1118">
        <v>1</v>
      </c>
      <c r="AA1118">
        <v>1</v>
      </c>
      <c r="AB1118">
        <v>1</v>
      </c>
      <c r="AC1118">
        <v>1</v>
      </c>
      <c r="AD1118" t="s">
        <v>12</v>
      </c>
      <c r="AE1118">
        <v>148307.4</v>
      </c>
      <c r="AF1118">
        <v>17</v>
      </c>
      <c r="AG1118" s="1">
        <v>45952</v>
      </c>
      <c r="AH1118" t="s">
        <v>98</v>
      </c>
      <c r="AI1118" t="s">
        <v>37</v>
      </c>
      <c r="AJ1118" t="s">
        <v>33</v>
      </c>
      <c r="AK1118">
        <v>300000</v>
      </c>
      <c r="AL1118">
        <v>0.21</v>
      </c>
      <c r="AM1118">
        <v>0.19</v>
      </c>
      <c r="AN1118" t="s">
        <v>197</v>
      </c>
      <c r="AO1118" t="s">
        <v>33</v>
      </c>
    </row>
    <row r="1119" spans="1:41" x14ac:dyDescent="0.35">
      <c r="A1119">
        <v>10546188</v>
      </c>
      <c r="B1119">
        <v>202511</v>
      </c>
      <c r="C1119">
        <v>10445424698</v>
      </c>
      <c r="D1119" t="s">
        <v>1396</v>
      </c>
      <c r="E1119">
        <v>44542469</v>
      </c>
      <c r="F1119">
        <v>10271205</v>
      </c>
      <c r="G1119" t="s">
        <v>14</v>
      </c>
      <c r="H1119" t="s">
        <v>1397</v>
      </c>
      <c r="I1119">
        <v>55981.90625</v>
      </c>
      <c r="J1119" s="1">
        <v>45910</v>
      </c>
      <c r="K1119">
        <v>20</v>
      </c>
      <c r="L1119" t="s">
        <v>37</v>
      </c>
      <c r="M1119" t="s">
        <v>37</v>
      </c>
      <c r="N1119" t="s">
        <v>16</v>
      </c>
      <c r="O1119">
        <v>202509</v>
      </c>
      <c r="P1119">
        <v>60003</v>
      </c>
      <c r="Q1119" t="s">
        <v>12</v>
      </c>
      <c r="R1119" t="s">
        <v>12</v>
      </c>
      <c r="S1119" t="s">
        <v>12</v>
      </c>
      <c r="T1119" t="s">
        <v>12</v>
      </c>
      <c r="U1119" t="s">
        <v>12</v>
      </c>
      <c r="V1119" t="s">
        <v>12</v>
      </c>
      <c r="W1119" t="s">
        <v>12</v>
      </c>
      <c r="X1119" t="s">
        <v>12</v>
      </c>
      <c r="Y1119" t="s">
        <v>12</v>
      </c>
      <c r="Z1119" t="s">
        <v>12</v>
      </c>
      <c r="AA1119" t="s">
        <v>12</v>
      </c>
      <c r="AB1119" t="s">
        <v>12</v>
      </c>
      <c r="AC1119" t="s">
        <v>12</v>
      </c>
      <c r="AD1119" t="s">
        <v>12</v>
      </c>
      <c r="AE1119" t="s">
        <v>12</v>
      </c>
      <c r="AF1119" t="s">
        <v>12</v>
      </c>
      <c r="AG1119" t="s">
        <v>12</v>
      </c>
      <c r="AH1119" t="s">
        <v>12</v>
      </c>
      <c r="AI1119" t="s">
        <v>12</v>
      </c>
      <c r="AJ1119" t="s">
        <v>12</v>
      </c>
      <c r="AK1119" t="s">
        <v>12</v>
      </c>
      <c r="AL1119" t="s">
        <v>12</v>
      </c>
      <c r="AM1119" t="s">
        <v>12</v>
      </c>
      <c r="AN1119" t="s">
        <v>12</v>
      </c>
      <c r="AO1119" t="s">
        <v>12</v>
      </c>
    </row>
    <row r="1120" spans="1:41" x14ac:dyDescent="0.35">
      <c r="A1120">
        <v>16215372</v>
      </c>
      <c r="B1120">
        <v>202510</v>
      </c>
      <c r="C1120">
        <v>10257331607</v>
      </c>
      <c r="D1120" t="s">
        <v>1398</v>
      </c>
      <c r="E1120">
        <v>25733160</v>
      </c>
      <c r="F1120">
        <v>10266448</v>
      </c>
      <c r="G1120" t="s">
        <v>24</v>
      </c>
      <c r="H1120" t="s">
        <v>1399</v>
      </c>
      <c r="I1120">
        <v>19314.11328125</v>
      </c>
      <c r="J1120" s="1">
        <v>45737</v>
      </c>
      <c r="K1120">
        <v>18.5</v>
      </c>
      <c r="L1120" t="s">
        <v>37</v>
      </c>
      <c r="M1120" t="s">
        <v>37</v>
      </c>
      <c r="N1120" t="s">
        <v>98</v>
      </c>
      <c r="O1120">
        <v>202503</v>
      </c>
      <c r="P1120">
        <v>60003</v>
      </c>
      <c r="Q1120" t="s">
        <v>12</v>
      </c>
      <c r="R1120" t="s">
        <v>12</v>
      </c>
      <c r="S1120" t="s">
        <v>12</v>
      </c>
      <c r="T1120" t="s">
        <v>12</v>
      </c>
      <c r="U1120" t="s">
        <v>41</v>
      </c>
      <c r="V1120">
        <v>2</v>
      </c>
      <c r="W1120" t="s">
        <v>90</v>
      </c>
      <c r="X1120" t="s">
        <v>12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12</v>
      </c>
      <c r="AG1120" t="s">
        <v>12</v>
      </c>
      <c r="AH1120" t="s">
        <v>12</v>
      </c>
      <c r="AI1120" t="s">
        <v>12</v>
      </c>
      <c r="AJ1120" t="s">
        <v>12</v>
      </c>
      <c r="AK1120">
        <v>300000</v>
      </c>
      <c r="AL1120">
        <v>0.2107</v>
      </c>
      <c r="AM1120">
        <v>0.19070000000000001</v>
      </c>
      <c r="AN1120" t="s">
        <v>12</v>
      </c>
      <c r="AO1120" t="s">
        <v>12</v>
      </c>
    </row>
    <row r="1121" spans="1:41" x14ac:dyDescent="0.35">
      <c r="A1121">
        <v>16922747</v>
      </c>
      <c r="B1121">
        <v>202505</v>
      </c>
      <c r="C1121">
        <v>20487759008</v>
      </c>
      <c r="D1121" t="s">
        <v>1400</v>
      </c>
      <c r="E1121" t="s">
        <v>1</v>
      </c>
      <c r="F1121">
        <v>10265251</v>
      </c>
      <c r="G1121" t="s">
        <v>14</v>
      </c>
      <c r="H1121" t="s">
        <v>159</v>
      </c>
      <c r="I1121">
        <v>41177.76171875</v>
      </c>
      <c r="J1121" s="1">
        <v>45699</v>
      </c>
      <c r="K1121">
        <v>18.2</v>
      </c>
      <c r="L1121" t="s">
        <v>37</v>
      </c>
      <c r="M1121" t="s">
        <v>37</v>
      </c>
      <c r="N1121" t="s">
        <v>16</v>
      </c>
      <c r="O1121">
        <v>202502</v>
      </c>
      <c r="P1121">
        <v>48102.400000000001</v>
      </c>
      <c r="Q1121" t="s">
        <v>12</v>
      </c>
      <c r="R1121" t="s">
        <v>12</v>
      </c>
      <c r="S1121" t="s">
        <v>12</v>
      </c>
      <c r="T1121" t="s">
        <v>12</v>
      </c>
      <c r="U1121" t="s">
        <v>12</v>
      </c>
      <c r="V1121" t="s">
        <v>12</v>
      </c>
      <c r="W1121" t="s">
        <v>12</v>
      </c>
      <c r="X1121" t="s">
        <v>12</v>
      </c>
      <c r="Y1121" t="s">
        <v>12</v>
      </c>
      <c r="Z1121" t="s">
        <v>12</v>
      </c>
      <c r="AA1121" t="s">
        <v>12</v>
      </c>
      <c r="AB1121" t="s">
        <v>12</v>
      </c>
      <c r="AC1121" t="s">
        <v>12</v>
      </c>
      <c r="AD1121" t="s">
        <v>12</v>
      </c>
      <c r="AE1121" t="s">
        <v>12</v>
      </c>
      <c r="AF1121" t="s">
        <v>12</v>
      </c>
      <c r="AG1121" t="s">
        <v>12</v>
      </c>
      <c r="AH1121" t="s">
        <v>12</v>
      </c>
      <c r="AI1121" t="s">
        <v>12</v>
      </c>
      <c r="AJ1121" t="s">
        <v>12</v>
      </c>
      <c r="AK1121" t="s">
        <v>12</v>
      </c>
      <c r="AL1121" t="s">
        <v>12</v>
      </c>
      <c r="AM1121" t="s">
        <v>12</v>
      </c>
      <c r="AN1121" t="s">
        <v>12</v>
      </c>
      <c r="AO1121" t="s">
        <v>12</v>
      </c>
    </row>
    <row r="1122" spans="1:41" x14ac:dyDescent="0.35">
      <c r="A1122">
        <v>16704864</v>
      </c>
      <c r="B1122">
        <v>202502</v>
      </c>
      <c r="C1122">
        <v>20555933968</v>
      </c>
      <c r="D1122" t="s">
        <v>1401</v>
      </c>
      <c r="E1122" t="s">
        <v>1</v>
      </c>
      <c r="F1122">
        <v>10230271</v>
      </c>
      <c r="G1122" t="s">
        <v>2</v>
      </c>
      <c r="H1122" t="s">
        <v>159</v>
      </c>
      <c r="I1122">
        <v>127930.5859375</v>
      </c>
      <c r="J1122" s="1">
        <v>45622</v>
      </c>
      <c r="K1122">
        <v>18.5</v>
      </c>
      <c r="L1122" t="s">
        <v>4</v>
      </c>
      <c r="M1122" t="s">
        <v>4</v>
      </c>
      <c r="N1122" t="s">
        <v>5</v>
      </c>
      <c r="O1122">
        <v>202411</v>
      </c>
      <c r="P1122">
        <v>140007</v>
      </c>
      <c r="Q1122" t="s">
        <v>12</v>
      </c>
      <c r="R1122" t="s">
        <v>12</v>
      </c>
      <c r="S1122" t="s">
        <v>12</v>
      </c>
      <c r="T1122" t="s">
        <v>12</v>
      </c>
      <c r="U1122" t="s">
        <v>12</v>
      </c>
      <c r="V1122" t="s">
        <v>12</v>
      </c>
      <c r="W1122" t="s">
        <v>12</v>
      </c>
      <c r="X1122" t="s">
        <v>12</v>
      </c>
      <c r="Y1122" t="s">
        <v>12</v>
      </c>
      <c r="Z1122" t="s">
        <v>12</v>
      </c>
      <c r="AA1122" t="s">
        <v>12</v>
      </c>
      <c r="AB1122" t="s">
        <v>12</v>
      </c>
      <c r="AC1122" t="s">
        <v>12</v>
      </c>
      <c r="AD1122" t="s">
        <v>12</v>
      </c>
      <c r="AE1122" t="s">
        <v>12</v>
      </c>
      <c r="AF1122" t="s">
        <v>12</v>
      </c>
      <c r="AG1122" t="s">
        <v>12</v>
      </c>
      <c r="AH1122" t="s">
        <v>12</v>
      </c>
      <c r="AI1122" t="s">
        <v>12</v>
      </c>
      <c r="AJ1122" t="s">
        <v>12</v>
      </c>
      <c r="AK1122" t="s">
        <v>12</v>
      </c>
      <c r="AL1122" t="s">
        <v>12</v>
      </c>
      <c r="AM1122" t="s">
        <v>12</v>
      </c>
      <c r="AN1122" t="s">
        <v>12</v>
      </c>
      <c r="AO1122" t="s">
        <v>12</v>
      </c>
    </row>
    <row r="1123" spans="1:41" x14ac:dyDescent="0.35">
      <c r="A1123">
        <v>17031632</v>
      </c>
      <c r="B1123">
        <v>202506</v>
      </c>
      <c r="C1123">
        <v>20512419918</v>
      </c>
      <c r="D1123" t="s">
        <v>1402</v>
      </c>
      <c r="E1123" t="s">
        <v>1</v>
      </c>
      <c r="F1123">
        <v>10191678</v>
      </c>
      <c r="G1123" t="s">
        <v>199</v>
      </c>
      <c r="H1123" t="s">
        <v>305</v>
      </c>
      <c r="I1123">
        <v>8580.884765625</v>
      </c>
      <c r="J1123" t="s">
        <v>12</v>
      </c>
      <c r="K1123" t="s">
        <v>12</v>
      </c>
      <c r="L1123" t="s">
        <v>12</v>
      </c>
      <c r="M1123" t="s">
        <v>12</v>
      </c>
      <c r="N1123" t="s">
        <v>12</v>
      </c>
      <c r="O1123" t="s">
        <v>12</v>
      </c>
      <c r="P1123" t="s">
        <v>12</v>
      </c>
      <c r="Q1123" t="s">
        <v>12</v>
      </c>
      <c r="R1123" t="s">
        <v>12</v>
      </c>
      <c r="S1123" t="s">
        <v>12</v>
      </c>
      <c r="T1123" t="s">
        <v>12</v>
      </c>
      <c r="U1123" t="s">
        <v>12</v>
      </c>
      <c r="V1123" t="s">
        <v>12</v>
      </c>
      <c r="W1123" t="s">
        <v>12</v>
      </c>
      <c r="X1123" t="s">
        <v>12</v>
      </c>
      <c r="Y1123" t="s">
        <v>12</v>
      </c>
      <c r="Z1123" t="s">
        <v>12</v>
      </c>
      <c r="AA1123" t="s">
        <v>12</v>
      </c>
      <c r="AB1123" t="s">
        <v>12</v>
      </c>
      <c r="AC1123" t="s">
        <v>12</v>
      </c>
      <c r="AD1123" t="s">
        <v>12</v>
      </c>
      <c r="AE1123" t="s">
        <v>12</v>
      </c>
      <c r="AF1123" t="s">
        <v>12</v>
      </c>
      <c r="AG1123" t="s">
        <v>12</v>
      </c>
      <c r="AH1123" t="s">
        <v>12</v>
      </c>
      <c r="AI1123" t="s">
        <v>12</v>
      </c>
      <c r="AJ1123" t="s">
        <v>12</v>
      </c>
      <c r="AK1123" t="s">
        <v>12</v>
      </c>
      <c r="AL1123" t="s">
        <v>12</v>
      </c>
      <c r="AM1123" t="s">
        <v>12</v>
      </c>
      <c r="AN1123" t="s">
        <v>12</v>
      </c>
      <c r="AO1123" t="s">
        <v>12</v>
      </c>
    </row>
    <row r="1124" spans="1:41" x14ac:dyDescent="0.35">
      <c r="A1124">
        <v>17172496</v>
      </c>
      <c r="B1124">
        <v>202509</v>
      </c>
      <c r="C1124">
        <v>20523016963</v>
      </c>
      <c r="D1124" t="s">
        <v>1403</v>
      </c>
      <c r="E1124" t="s">
        <v>1</v>
      </c>
      <c r="F1124">
        <v>10203435</v>
      </c>
      <c r="G1124" t="s">
        <v>199</v>
      </c>
      <c r="H1124" t="s">
        <v>230</v>
      </c>
      <c r="I1124">
        <v>30381.513671875</v>
      </c>
      <c r="J1124" t="s">
        <v>12</v>
      </c>
      <c r="K1124" t="s">
        <v>12</v>
      </c>
      <c r="L1124" t="s">
        <v>12</v>
      </c>
      <c r="M1124" t="s">
        <v>12</v>
      </c>
      <c r="N1124" t="s">
        <v>12</v>
      </c>
      <c r="O1124" t="s">
        <v>12</v>
      </c>
      <c r="P1124" t="s">
        <v>12</v>
      </c>
      <c r="Q1124" t="s">
        <v>12</v>
      </c>
      <c r="R1124" t="s">
        <v>12</v>
      </c>
      <c r="S1124" t="s">
        <v>12</v>
      </c>
      <c r="T1124" t="s">
        <v>12</v>
      </c>
      <c r="U1124" t="s">
        <v>12</v>
      </c>
      <c r="V1124" t="s">
        <v>12</v>
      </c>
      <c r="W1124" t="s">
        <v>12</v>
      </c>
      <c r="X1124" t="s">
        <v>12</v>
      </c>
      <c r="Y1124" t="s">
        <v>12</v>
      </c>
      <c r="Z1124" t="s">
        <v>12</v>
      </c>
      <c r="AA1124" t="s">
        <v>12</v>
      </c>
      <c r="AB1124" t="s">
        <v>12</v>
      </c>
      <c r="AC1124" t="s">
        <v>12</v>
      </c>
      <c r="AD1124" t="s">
        <v>12</v>
      </c>
      <c r="AE1124" t="s">
        <v>12</v>
      </c>
      <c r="AF1124" t="s">
        <v>12</v>
      </c>
      <c r="AG1124" t="s">
        <v>12</v>
      </c>
      <c r="AH1124" t="s">
        <v>12</v>
      </c>
      <c r="AI1124" t="s">
        <v>12</v>
      </c>
      <c r="AJ1124" t="s">
        <v>12</v>
      </c>
      <c r="AK1124" t="s">
        <v>12</v>
      </c>
      <c r="AL1124" t="s">
        <v>12</v>
      </c>
      <c r="AM1124" t="s">
        <v>12</v>
      </c>
      <c r="AN1124" t="s">
        <v>12</v>
      </c>
      <c r="AO1124" t="s">
        <v>12</v>
      </c>
    </row>
    <row r="1125" spans="1:41" x14ac:dyDescent="0.35">
      <c r="A1125">
        <v>14892748</v>
      </c>
      <c r="B1125">
        <v>202507</v>
      </c>
      <c r="C1125">
        <v>20600495900</v>
      </c>
      <c r="D1125" t="s">
        <v>1404</v>
      </c>
      <c r="E1125" t="s">
        <v>1</v>
      </c>
      <c r="F1125">
        <v>10136748</v>
      </c>
      <c r="G1125" t="s">
        <v>2</v>
      </c>
      <c r="H1125" t="s">
        <v>85</v>
      </c>
      <c r="I1125">
        <v>86001.7265625</v>
      </c>
      <c r="J1125" s="1">
        <v>45715</v>
      </c>
      <c r="K1125">
        <v>16.5</v>
      </c>
      <c r="L1125" t="s">
        <v>4</v>
      </c>
      <c r="M1125" t="s">
        <v>4</v>
      </c>
      <c r="N1125" t="s">
        <v>5</v>
      </c>
      <c r="O1125">
        <v>202502</v>
      </c>
      <c r="P1125">
        <v>100005</v>
      </c>
      <c r="Q1125" t="s">
        <v>85</v>
      </c>
      <c r="R1125" t="s">
        <v>87</v>
      </c>
      <c r="S1125" t="s">
        <v>88</v>
      </c>
      <c r="T1125" t="s">
        <v>89</v>
      </c>
      <c r="U1125" t="s">
        <v>20</v>
      </c>
      <c r="V1125">
        <v>2</v>
      </c>
      <c r="W1125" t="s">
        <v>10</v>
      </c>
      <c r="X1125" t="s">
        <v>12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 t="s">
        <v>12</v>
      </c>
      <c r="AG1125" t="s">
        <v>12</v>
      </c>
      <c r="AH1125" t="s">
        <v>12</v>
      </c>
      <c r="AI1125" t="s">
        <v>12</v>
      </c>
      <c r="AJ1125" t="s">
        <v>12</v>
      </c>
      <c r="AK1125">
        <v>1</v>
      </c>
      <c r="AL1125">
        <v>0.26279999999999998</v>
      </c>
      <c r="AM1125" t="s">
        <v>12</v>
      </c>
      <c r="AN1125" t="s">
        <v>12</v>
      </c>
      <c r="AO1125" t="s">
        <v>12</v>
      </c>
    </row>
    <row r="1126" spans="1:41" x14ac:dyDescent="0.35">
      <c r="A1126">
        <v>16332814</v>
      </c>
      <c r="B1126">
        <v>202511</v>
      </c>
      <c r="C1126">
        <v>20558660237</v>
      </c>
      <c r="D1126" t="s">
        <v>1230</v>
      </c>
      <c r="E1126" t="s">
        <v>1</v>
      </c>
      <c r="F1126">
        <v>10270518</v>
      </c>
      <c r="G1126" t="s">
        <v>92</v>
      </c>
      <c r="H1126" t="s">
        <v>117</v>
      </c>
      <c r="I1126">
        <v>347553.21875</v>
      </c>
      <c r="J1126" s="1">
        <v>45889</v>
      </c>
      <c r="K1126">
        <v>16</v>
      </c>
      <c r="L1126" t="s">
        <v>4</v>
      </c>
      <c r="M1126" t="s">
        <v>4</v>
      </c>
      <c r="N1126" t="s">
        <v>41</v>
      </c>
      <c r="O1126">
        <v>202508</v>
      </c>
      <c r="P1126">
        <v>319938.65999999997</v>
      </c>
      <c r="Q1126" t="s">
        <v>117</v>
      </c>
      <c r="R1126" t="s">
        <v>118</v>
      </c>
      <c r="S1126" t="s">
        <v>39</v>
      </c>
      <c r="T1126" t="s">
        <v>40</v>
      </c>
      <c r="U1126" t="s">
        <v>41</v>
      </c>
      <c r="V1126">
        <v>1</v>
      </c>
      <c r="W1126" t="s">
        <v>10</v>
      </c>
      <c r="X1126" t="s">
        <v>51</v>
      </c>
      <c r="Y1126">
        <v>1</v>
      </c>
      <c r="Z1126">
        <v>1</v>
      </c>
      <c r="AA1126">
        <v>0</v>
      </c>
      <c r="AB1126">
        <v>0</v>
      </c>
      <c r="AC1126">
        <v>1</v>
      </c>
      <c r="AD1126">
        <v>1</v>
      </c>
      <c r="AE1126">
        <v>0</v>
      </c>
      <c r="AF1126" t="s">
        <v>12</v>
      </c>
      <c r="AG1126" t="s">
        <v>12</v>
      </c>
      <c r="AH1126" t="s">
        <v>12</v>
      </c>
      <c r="AI1126" t="s">
        <v>12</v>
      </c>
      <c r="AJ1126" t="s">
        <v>12</v>
      </c>
      <c r="AK1126">
        <v>400000</v>
      </c>
      <c r="AL1126">
        <v>0.21</v>
      </c>
      <c r="AM1126">
        <v>0.19</v>
      </c>
      <c r="AN1126" t="s">
        <v>12</v>
      </c>
      <c r="AO1126" t="s">
        <v>12</v>
      </c>
    </row>
    <row r="1127" spans="1:41" x14ac:dyDescent="0.35">
      <c r="A1127">
        <v>21606481</v>
      </c>
      <c r="B1127">
        <v>202512</v>
      </c>
      <c r="C1127">
        <v>20565639626</v>
      </c>
      <c r="D1127" t="s">
        <v>1405</v>
      </c>
      <c r="E1127" t="s">
        <v>1</v>
      </c>
      <c r="F1127">
        <v>10267387</v>
      </c>
      <c r="G1127" t="s">
        <v>100</v>
      </c>
      <c r="H1127" t="s">
        <v>166</v>
      </c>
      <c r="I1127">
        <v>113947.6875</v>
      </c>
      <c r="J1127" s="1">
        <v>45772</v>
      </c>
      <c r="K1127">
        <v>15</v>
      </c>
      <c r="L1127" t="s">
        <v>37</v>
      </c>
      <c r="M1127" t="s">
        <v>37</v>
      </c>
      <c r="N1127" t="s">
        <v>102</v>
      </c>
      <c r="O1127">
        <v>202504</v>
      </c>
      <c r="P1127">
        <v>195854.75</v>
      </c>
      <c r="Q1127" t="s">
        <v>166</v>
      </c>
      <c r="R1127" t="s">
        <v>167</v>
      </c>
      <c r="S1127" t="s">
        <v>111</v>
      </c>
      <c r="T1127" t="s">
        <v>112</v>
      </c>
      <c r="U1127" t="s">
        <v>41</v>
      </c>
      <c r="V1127">
        <v>2</v>
      </c>
      <c r="W1127" t="s">
        <v>10</v>
      </c>
      <c r="X1127" t="s">
        <v>11</v>
      </c>
      <c r="Y1127">
        <v>1</v>
      </c>
      <c r="Z1127">
        <v>1</v>
      </c>
      <c r="AA1127">
        <v>0</v>
      </c>
      <c r="AB1127">
        <v>0</v>
      </c>
      <c r="AC1127">
        <v>1</v>
      </c>
      <c r="AD1127">
        <v>1</v>
      </c>
      <c r="AE1127">
        <v>0</v>
      </c>
      <c r="AF1127" t="s">
        <v>12</v>
      </c>
      <c r="AG1127" t="s">
        <v>12</v>
      </c>
      <c r="AH1127" t="s">
        <v>12</v>
      </c>
      <c r="AI1127" t="s">
        <v>12</v>
      </c>
      <c r="AJ1127" t="s">
        <v>12</v>
      </c>
      <c r="AK1127">
        <v>400000</v>
      </c>
      <c r="AL1127">
        <v>0.21</v>
      </c>
      <c r="AM1127">
        <v>0.19</v>
      </c>
      <c r="AN1127" t="s">
        <v>12</v>
      </c>
      <c r="AO1127" t="s">
        <v>12</v>
      </c>
    </row>
    <row r="1128" spans="1:41" x14ac:dyDescent="0.35">
      <c r="A1128">
        <v>19122833</v>
      </c>
      <c r="B1128">
        <v>202510</v>
      </c>
      <c r="C1128">
        <v>20481964033</v>
      </c>
      <c r="D1128" t="s">
        <v>1406</v>
      </c>
      <c r="E1128" t="s">
        <v>1</v>
      </c>
      <c r="F1128">
        <v>10266537</v>
      </c>
      <c r="G1128" t="s">
        <v>268</v>
      </c>
      <c r="H1128" t="s">
        <v>153</v>
      </c>
      <c r="I1128">
        <v>34893.41796875</v>
      </c>
      <c r="J1128" s="1">
        <v>45741</v>
      </c>
      <c r="K1128">
        <v>18.200001</v>
      </c>
      <c r="L1128" t="s">
        <v>37</v>
      </c>
      <c r="M1128" t="s">
        <v>37</v>
      </c>
      <c r="N1128" t="s">
        <v>98</v>
      </c>
      <c r="O1128">
        <v>202503</v>
      </c>
      <c r="P1128">
        <v>50002.5</v>
      </c>
      <c r="Q1128" t="s">
        <v>153</v>
      </c>
      <c r="R1128" t="s">
        <v>154</v>
      </c>
      <c r="S1128" t="s">
        <v>88</v>
      </c>
      <c r="T1128" t="s">
        <v>89</v>
      </c>
      <c r="U1128" t="s">
        <v>20</v>
      </c>
      <c r="V1128">
        <v>2</v>
      </c>
      <c r="W1128" t="s">
        <v>10</v>
      </c>
      <c r="X1128" t="s">
        <v>12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 t="s">
        <v>12</v>
      </c>
      <c r="AG1128" t="s">
        <v>12</v>
      </c>
      <c r="AH1128" t="s">
        <v>12</v>
      </c>
      <c r="AI1128" t="s">
        <v>12</v>
      </c>
      <c r="AJ1128" t="s">
        <v>12</v>
      </c>
      <c r="AK1128">
        <v>1</v>
      </c>
      <c r="AL1128">
        <v>1</v>
      </c>
      <c r="AM1128" t="s">
        <v>12</v>
      </c>
      <c r="AN1128" t="s">
        <v>12</v>
      </c>
      <c r="AO1128" t="s">
        <v>12</v>
      </c>
    </row>
    <row r="1129" spans="1:41" x14ac:dyDescent="0.35">
      <c r="A1129">
        <v>21436547</v>
      </c>
      <c r="B1129">
        <v>202503</v>
      </c>
      <c r="C1129">
        <v>20553512019</v>
      </c>
      <c r="D1129" t="s">
        <v>1407</v>
      </c>
      <c r="E1129" t="s">
        <v>1</v>
      </c>
      <c r="F1129">
        <v>10265242</v>
      </c>
      <c r="G1129" t="s">
        <v>14</v>
      </c>
      <c r="H1129" t="s">
        <v>159</v>
      </c>
      <c r="I1129">
        <v>29376.53515625</v>
      </c>
      <c r="J1129" s="1">
        <v>45699</v>
      </c>
      <c r="K1129">
        <v>18.2</v>
      </c>
      <c r="L1129" t="s">
        <v>37</v>
      </c>
      <c r="M1129" t="s">
        <v>37</v>
      </c>
      <c r="N1129" t="s">
        <v>16</v>
      </c>
      <c r="O1129">
        <v>202502</v>
      </c>
      <c r="P1129">
        <v>30901.5</v>
      </c>
      <c r="Q1129" t="s">
        <v>12</v>
      </c>
      <c r="R1129" t="s">
        <v>12</v>
      </c>
      <c r="S1129" t="s">
        <v>12</v>
      </c>
      <c r="T1129" t="s">
        <v>12</v>
      </c>
      <c r="U1129" t="s">
        <v>12</v>
      </c>
      <c r="V1129" t="s">
        <v>12</v>
      </c>
      <c r="W1129" t="s">
        <v>12</v>
      </c>
      <c r="X1129" t="s">
        <v>12</v>
      </c>
      <c r="Y1129" t="s">
        <v>12</v>
      </c>
      <c r="Z1129" t="s">
        <v>12</v>
      </c>
      <c r="AA1129" t="s">
        <v>12</v>
      </c>
      <c r="AB1129" t="s">
        <v>12</v>
      </c>
      <c r="AC1129" t="s">
        <v>12</v>
      </c>
      <c r="AD1129" t="s">
        <v>12</v>
      </c>
      <c r="AE1129" t="s">
        <v>12</v>
      </c>
      <c r="AF1129" t="s">
        <v>12</v>
      </c>
      <c r="AG1129" t="s">
        <v>12</v>
      </c>
      <c r="AH1129" t="s">
        <v>12</v>
      </c>
      <c r="AI1129" t="s">
        <v>12</v>
      </c>
      <c r="AJ1129" t="s">
        <v>12</v>
      </c>
      <c r="AK1129" t="s">
        <v>12</v>
      </c>
      <c r="AL1129" t="s">
        <v>12</v>
      </c>
      <c r="AM1129" t="s">
        <v>12</v>
      </c>
      <c r="AN1129" t="s">
        <v>12</v>
      </c>
      <c r="AO1129" t="s">
        <v>12</v>
      </c>
    </row>
    <row r="1130" spans="1:41" x14ac:dyDescent="0.35">
      <c r="A1130">
        <v>16487751</v>
      </c>
      <c r="B1130">
        <v>202506</v>
      </c>
      <c r="C1130">
        <v>20554240632</v>
      </c>
      <c r="D1130" t="s">
        <v>1408</v>
      </c>
      <c r="E1130" t="s">
        <v>1</v>
      </c>
      <c r="F1130">
        <v>10253332</v>
      </c>
      <c r="G1130" t="s">
        <v>53</v>
      </c>
      <c r="H1130" t="s">
        <v>265</v>
      </c>
      <c r="I1130">
        <v>132307.625</v>
      </c>
      <c r="J1130" s="1">
        <v>45435</v>
      </c>
      <c r="K1130">
        <v>14</v>
      </c>
      <c r="L1130" t="s">
        <v>4</v>
      </c>
      <c r="M1130" t="s">
        <v>4</v>
      </c>
      <c r="N1130" t="s">
        <v>47</v>
      </c>
      <c r="O1130">
        <v>202405</v>
      </c>
      <c r="P1130">
        <v>180009</v>
      </c>
      <c r="Q1130" t="s">
        <v>265</v>
      </c>
      <c r="R1130" t="s">
        <v>266</v>
      </c>
      <c r="S1130" t="s">
        <v>18</v>
      </c>
      <c r="T1130" t="s">
        <v>122</v>
      </c>
      <c r="U1130" t="s">
        <v>20</v>
      </c>
      <c r="V1130">
        <v>1</v>
      </c>
      <c r="W1130" t="s">
        <v>10</v>
      </c>
      <c r="X1130" t="s">
        <v>12</v>
      </c>
      <c r="Y1130">
        <v>1</v>
      </c>
      <c r="Z1130">
        <v>1</v>
      </c>
      <c r="AA1130">
        <v>0</v>
      </c>
      <c r="AB1130">
        <v>0</v>
      </c>
      <c r="AC1130">
        <v>1</v>
      </c>
      <c r="AD1130">
        <v>1</v>
      </c>
      <c r="AE1130">
        <v>0</v>
      </c>
      <c r="AF1130" t="s">
        <v>12</v>
      </c>
      <c r="AG1130" t="s">
        <v>12</v>
      </c>
      <c r="AH1130" t="s">
        <v>12</v>
      </c>
      <c r="AI1130" t="s">
        <v>12</v>
      </c>
      <c r="AJ1130" t="s">
        <v>12</v>
      </c>
      <c r="AK1130">
        <v>1</v>
      </c>
      <c r="AL1130">
        <v>0.2233</v>
      </c>
      <c r="AM1130" t="s">
        <v>12</v>
      </c>
      <c r="AN1130" t="s">
        <v>12</v>
      </c>
      <c r="AO1130" t="s">
        <v>12</v>
      </c>
    </row>
    <row r="1131" spans="1:41" x14ac:dyDescent="0.35">
      <c r="A1131">
        <v>15780210</v>
      </c>
      <c r="B1131">
        <v>202512</v>
      </c>
      <c r="C1131">
        <v>20455388857</v>
      </c>
      <c r="D1131" t="s">
        <v>1409</v>
      </c>
      <c r="E1131" t="s">
        <v>1</v>
      </c>
      <c r="F1131">
        <v>10273782</v>
      </c>
      <c r="G1131" t="s">
        <v>14</v>
      </c>
      <c r="H1131" t="s">
        <v>159</v>
      </c>
      <c r="I1131">
        <v>161108.046875</v>
      </c>
      <c r="J1131" s="1">
        <v>46001</v>
      </c>
      <c r="K1131">
        <v>16</v>
      </c>
      <c r="L1131" t="s">
        <v>37</v>
      </c>
      <c r="M1131" t="s">
        <v>37</v>
      </c>
      <c r="N1131" t="s">
        <v>16</v>
      </c>
      <c r="O1131">
        <v>202512</v>
      </c>
      <c r="P1131">
        <v>161108.04999999999</v>
      </c>
      <c r="Q1131" t="s">
        <v>1410</v>
      </c>
      <c r="R1131" t="s">
        <v>1411</v>
      </c>
      <c r="S1131" t="s">
        <v>1034</v>
      </c>
      <c r="T1131" t="s">
        <v>1035</v>
      </c>
      <c r="U1131" t="s">
        <v>16</v>
      </c>
      <c r="V1131">
        <v>3</v>
      </c>
      <c r="W1131" t="s">
        <v>10</v>
      </c>
      <c r="X1131" t="s">
        <v>22</v>
      </c>
      <c r="Y1131">
        <v>1</v>
      </c>
      <c r="Z1131">
        <v>1</v>
      </c>
      <c r="AA1131">
        <v>1</v>
      </c>
      <c r="AB1131">
        <v>1</v>
      </c>
      <c r="AC1131">
        <v>1</v>
      </c>
      <c r="AD1131" t="s">
        <v>12</v>
      </c>
      <c r="AE1131">
        <v>161108.04999999999</v>
      </c>
      <c r="AF1131">
        <v>16</v>
      </c>
      <c r="AG1131" s="1">
        <v>46001</v>
      </c>
      <c r="AH1131" t="s">
        <v>16</v>
      </c>
      <c r="AI1131" t="s">
        <v>37</v>
      </c>
      <c r="AJ1131" t="s">
        <v>33</v>
      </c>
      <c r="AK1131">
        <v>161100</v>
      </c>
      <c r="AL1131">
        <v>0.20499999999999999</v>
      </c>
      <c r="AM1131">
        <v>0.16500000000000001</v>
      </c>
      <c r="AN1131" t="s">
        <v>197</v>
      </c>
      <c r="AO1131" t="s">
        <v>33</v>
      </c>
    </row>
    <row r="1132" spans="1:41" x14ac:dyDescent="0.35">
      <c r="A1132">
        <v>18940798</v>
      </c>
      <c r="B1132">
        <v>202509</v>
      </c>
      <c r="C1132">
        <v>20603590741</v>
      </c>
      <c r="D1132" t="s">
        <v>1412</v>
      </c>
      <c r="E1132" t="s">
        <v>1</v>
      </c>
      <c r="F1132">
        <v>10253907</v>
      </c>
      <c r="G1132" t="s">
        <v>92</v>
      </c>
      <c r="H1132" t="s">
        <v>260</v>
      </c>
      <c r="I1132">
        <v>66268.4609375</v>
      </c>
      <c r="J1132" s="1">
        <v>45439</v>
      </c>
      <c r="K1132">
        <v>16.450001</v>
      </c>
      <c r="L1132" t="s">
        <v>4</v>
      </c>
      <c r="M1132" t="s">
        <v>4</v>
      </c>
      <c r="N1132" t="s">
        <v>41</v>
      </c>
      <c r="O1132">
        <v>202405</v>
      </c>
      <c r="P1132">
        <v>154806.70000000001</v>
      </c>
      <c r="Q1132" t="s">
        <v>260</v>
      </c>
      <c r="R1132" t="s">
        <v>261</v>
      </c>
      <c r="S1132" t="s">
        <v>18</v>
      </c>
      <c r="T1132" t="s">
        <v>122</v>
      </c>
      <c r="U1132" t="s">
        <v>41</v>
      </c>
      <c r="V1132">
        <v>1</v>
      </c>
      <c r="W1132" t="s">
        <v>10</v>
      </c>
      <c r="X1132" t="s">
        <v>51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 t="s">
        <v>12</v>
      </c>
      <c r="AG1132" t="s">
        <v>12</v>
      </c>
      <c r="AH1132" t="s">
        <v>12</v>
      </c>
      <c r="AI1132" t="s">
        <v>12</v>
      </c>
      <c r="AJ1132" t="s">
        <v>12</v>
      </c>
      <c r="AK1132">
        <v>250000</v>
      </c>
      <c r="AL1132">
        <v>0.19</v>
      </c>
      <c r="AM1132">
        <v>0.17</v>
      </c>
      <c r="AN1132" t="s">
        <v>12</v>
      </c>
      <c r="AO1132" t="s">
        <v>12</v>
      </c>
    </row>
    <row r="1133" spans="1:41" x14ac:dyDescent="0.35">
      <c r="A1133">
        <v>15317991</v>
      </c>
      <c r="B1133">
        <v>202507</v>
      </c>
      <c r="C1133">
        <v>20556443492</v>
      </c>
      <c r="D1133" t="s">
        <v>1413</v>
      </c>
      <c r="E1133" t="s">
        <v>1</v>
      </c>
      <c r="F1133">
        <v>10242407</v>
      </c>
      <c r="G1133" t="s">
        <v>92</v>
      </c>
      <c r="H1133" t="s">
        <v>74</v>
      </c>
      <c r="I1133">
        <v>11617.158203125</v>
      </c>
      <c r="J1133" s="1">
        <v>45146</v>
      </c>
      <c r="K1133">
        <v>19.899999999999999</v>
      </c>
      <c r="L1133" t="s">
        <v>4</v>
      </c>
      <c r="M1133" t="s">
        <v>4</v>
      </c>
      <c r="N1133" t="s">
        <v>41</v>
      </c>
      <c r="O1133">
        <v>202308</v>
      </c>
      <c r="P1133">
        <v>235011.75</v>
      </c>
      <c r="Q1133" t="s">
        <v>458</v>
      </c>
      <c r="R1133" t="s">
        <v>459</v>
      </c>
      <c r="S1133" t="s">
        <v>31</v>
      </c>
      <c r="T1133" t="s">
        <v>32</v>
      </c>
      <c r="U1133" t="s">
        <v>41</v>
      </c>
      <c r="V1133">
        <v>1</v>
      </c>
      <c r="W1133" t="s">
        <v>10</v>
      </c>
      <c r="X1133" t="s">
        <v>12</v>
      </c>
      <c r="Y1133">
        <v>1</v>
      </c>
      <c r="Z1133">
        <v>1</v>
      </c>
      <c r="AA1133">
        <v>0</v>
      </c>
      <c r="AB1133">
        <v>0</v>
      </c>
      <c r="AC1133">
        <v>1</v>
      </c>
      <c r="AD1133">
        <v>1</v>
      </c>
      <c r="AE1133">
        <v>0</v>
      </c>
      <c r="AF1133" t="s">
        <v>12</v>
      </c>
      <c r="AG1133" t="s">
        <v>12</v>
      </c>
      <c r="AH1133" t="s">
        <v>12</v>
      </c>
      <c r="AI1133" t="s">
        <v>12</v>
      </c>
      <c r="AJ1133" t="s">
        <v>12</v>
      </c>
      <c r="AK1133">
        <v>400000</v>
      </c>
      <c r="AL1133">
        <v>0.23</v>
      </c>
      <c r="AM1133">
        <v>0.21</v>
      </c>
      <c r="AN1133" t="s">
        <v>12</v>
      </c>
      <c r="AO1133" t="s">
        <v>12</v>
      </c>
    </row>
    <row r="1134" spans="1:41" x14ac:dyDescent="0.35">
      <c r="A1134">
        <v>16335606</v>
      </c>
      <c r="B1134">
        <v>202511</v>
      </c>
      <c r="C1134">
        <v>20600070151</v>
      </c>
      <c r="D1134" t="s">
        <v>1414</v>
      </c>
      <c r="E1134" t="s">
        <v>1</v>
      </c>
      <c r="F1134">
        <v>10170146</v>
      </c>
      <c r="G1134" t="s">
        <v>2</v>
      </c>
      <c r="H1134" t="s">
        <v>240</v>
      </c>
      <c r="I1134">
        <v>152560.703125</v>
      </c>
      <c r="J1134" s="1">
        <v>45916</v>
      </c>
      <c r="K1134">
        <v>16</v>
      </c>
      <c r="L1134" t="s">
        <v>4</v>
      </c>
      <c r="M1134" t="s">
        <v>4</v>
      </c>
      <c r="N1134" t="s">
        <v>5</v>
      </c>
      <c r="O1134">
        <v>202509</v>
      </c>
      <c r="P1134">
        <v>180009</v>
      </c>
      <c r="Q1134" t="s">
        <v>240</v>
      </c>
      <c r="R1134" t="s">
        <v>241</v>
      </c>
      <c r="S1134" t="s">
        <v>39</v>
      </c>
      <c r="T1134" t="s">
        <v>40</v>
      </c>
      <c r="U1134" t="s">
        <v>9</v>
      </c>
      <c r="V1134">
        <v>1</v>
      </c>
      <c r="W1134" t="s">
        <v>10</v>
      </c>
      <c r="X1134" t="s">
        <v>22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 t="s">
        <v>12</v>
      </c>
      <c r="AG1134" t="s">
        <v>12</v>
      </c>
      <c r="AH1134" t="s">
        <v>12</v>
      </c>
      <c r="AI1134" t="s">
        <v>12</v>
      </c>
      <c r="AJ1134" t="s">
        <v>12</v>
      </c>
      <c r="AK1134">
        <v>0</v>
      </c>
      <c r="AL1134">
        <v>0</v>
      </c>
      <c r="AM1134">
        <v>0</v>
      </c>
      <c r="AN1134" t="s">
        <v>12</v>
      </c>
      <c r="AO1134" t="s">
        <v>12</v>
      </c>
    </row>
    <row r="1135" spans="1:41" x14ac:dyDescent="0.35">
      <c r="A1135">
        <v>13549195</v>
      </c>
      <c r="B1135">
        <v>202510</v>
      </c>
      <c r="C1135">
        <v>20521051966</v>
      </c>
      <c r="D1135" t="s">
        <v>1415</v>
      </c>
      <c r="E1135" t="s">
        <v>1</v>
      </c>
      <c r="F1135">
        <v>10254690</v>
      </c>
      <c r="G1135" t="s">
        <v>65</v>
      </c>
      <c r="H1135" t="s">
        <v>79</v>
      </c>
      <c r="I1135">
        <v>185539.3125</v>
      </c>
      <c r="J1135" s="1">
        <v>45447</v>
      </c>
      <c r="K1135">
        <v>15.5</v>
      </c>
      <c r="L1135" t="s">
        <v>4</v>
      </c>
      <c r="M1135" t="s">
        <v>4</v>
      </c>
      <c r="N1135" t="s">
        <v>47</v>
      </c>
      <c r="O1135">
        <v>202406</v>
      </c>
      <c r="P1135">
        <v>300015</v>
      </c>
      <c r="Q1135" t="s">
        <v>79</v>
      </c>
      <c r="R1135" t="s">
        <v>80</v>
      </c>
      <c r="S1135" t="s">
        <v>31</v>
      </c>
      <c r="T1135" t="s">
        <v>32</v>
      </c>
      <c r="U1135" t="s">
        <v>20</v>
      </c>
      <c r="V1135">
        <v>1</v>
      </c>
      <c r="W1135" t="s">
        <v>10</v>
      </c>
      <c r="X1135" t="s">
        <v>12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 t="s">
        <v>12</v>
      </c>
      <c r="AG1135" t="s">
        <v>12</v>
      </c>
      <c r="AH1135" t="s">
        <v>12</v>
      </c>
      <c r="AI1135" t="s">
        <v>12</v>
      </c>
      <c r="AJ1135" t="s">
        <v>12</v>
      </c>
      <c r="AK1135">
        <v>1</v>
      </c>
      <c r="AL1135">
        <v>1</v>
      </c>
      <c r="AM1135" t="s">
        <v>12</v>
      </c>
      <c r="AN1135" t="s">
        <v>12</v>
      </c>
      <c r="AO1135" t="s">
        <v>12</v>
      </c>
    </row>
    <row r="1136" spans="1:41" x14ac:dyDescent="0.35">
      <c r="A1136">
        <v>17642790</v>
      </c>
      <c r="B1136">
        <v>202502</v>
      </c>
      <c r="C1136">
        <v>20607390275</v>
      </c>
      <c r="D1136" t="s">
        <v>1416</v>
      </c>
      <c r="E1136" t="s">
        <v>1</v>
      </c>
      <c r="F1136">
        <v>10249907</v>
      </c>
      <c r="G1136" t="s">
        <v>53</v>
      </c>
      <c r="H1136" t="s">
        <v>564</v>
      </c>
      <c r="I1136">
        <v>60635.7890625</v>
      </c>
      <c r="J1136" s="1">
        <v>45376</v>
      </c>
      <c r="K1136">
        <v>14.7</v>
      </c>
      <c r="L1136" t="s">
        <v>37</v>
      </c>
      <c r="M1136" t="s">
        <v>37</v>
      </c>
      <c r="N1136" t="s">
        <v>47</v>
      </c>
      <c r="O1136">
        <v>202403</v>
      </c>
      <c r="P1136">
        <v>13462.78</v>
      </c>
      <c r="Q1136" t="s">
        <v>12</v>
      </c>
      <c r="R1136" t="s">
        <v>12</v>
      </c>
      <c r="S1136" t="s">
        <v>12</v>
      </c>
      <c r="T1136" t="s">
        <v>12</v>
      </c>
      <c r="U1136" t="s">
        <v>12</v>
      </c>
      <c r="V1136" t="s">
        <v>12</v>
      </c>
      <c r="W1136" t="s">
        <v>12</v>
      </c>
      <c r="X1136" t="s">
        <v>12</v>
      </c>
      <c r="Y1136" t="s">
        <v>12</v>
      </c>
      <c r="Z1136" t="s">
        <v>12</v>
      </c>
      <c r="AA1136" t="s">
        <v>12</v>
      </c>
      <c r="AB1136" t="s">
        <v>12</v>
      </c>
      <c r="AC1136" t="s">
        <v>12</v>
      </c>
      <c r="AD1136" t="s">
        <v>12</v>
      </c>
      <c r="AE1136" t="s">
        <v>12</v>
      </c>
      <c r="AF1136" t="s">
        <v>12</v>
      </c>
      <c r="AG1136" t="s">
        <v>12</v>
      </c>
      <c r="AH1136" t="s">
        <v>12</v>
      </c>
      <c r="AI1136" t="s">
        <v>12</v>
      </c>
      <c r="AJ1136" t="s">
        <v>12</v>
      </c>
      <c r="AK1136" t="s">
        <v>12</v>
      </c>
      <c r="AL1136" t="s">
        <v>12</v>
      </c>
      <c r="AM1136" t="s">
        <v>12</v>
      </c>
      <c r="AN1136" t="s">
        <v>12</v>
      </c>
      <c r="AO1136" t="s">
        <v>12</v>
      </c>
    </row>
    <row r="1137" spans="1:41" x14ac:dyDescent="0.35">
      <c r="A1137">
        <v>20684362</v>
      </c>
      <c r="B1137">
        <v>202509</v>
      </c>
      <c r="C1137">
        <v>20601846021</v>
      </c>
      <c r="D1137" t="s">
        <v>1417</v>
      </c>
      <c r="E1137" t="s">
        <v>1</v>
      </c>
      <c r="F1137">
        <v>10248687</v>
      </c>
      <c r="G1137" t="s">
        <v>45</v>
      </c>
      <c r="H1137" t="s">
        <v>61</v>
      </c>
      <c r="I1137">
        <v>44633.29296875</v>
      </c>
      <c r="J1137" s="1">
        <v>45351</v>
      </c>
      <c r="K1137">
        <v>16</v>
      </c>
      <c r="L1137" t="s">
        <v>37</v>
      </c>
      <c r="M1137" t="s">
        <v>37</v>
      </c>
      <c r="N1137" t="s">
        <v>47</v>
      </c>
      <c r="O1137">
        <v>202402</v>
      </c>
      <c r="P1137">
        <v>90004.5</v>
      </c>
      <c r="Q1137" t="s">
        <v>61</v>
      </c>
      <c r="R1137" t="s">
        <v>62</v>
      </c>
      <c r="S1137" t="s">
        <v>39</v>
      </c>
      <c r="T1137" t="s">
        <v>40</v>
      </c>
      <c r="U1137" t="s">
        <v>20</v>
      </c>
      <c r="V1137">
        <v>1</v>
      </c>
      <c r="W1137" t="s">
        <v>10</v>
      </c>
      <c r="X1137" t="s">
        <v>51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 t="s">
        <v>12</v>
      </c>
      <c r="AG1137" t="s">
        <v>12</v>
      </c>
      <c r="AH1137" t="s">
        <v>12</v>
      </c>
      <c r="AI1137" t="s">
        <v>12</v>
      </c>
      <c r="AJ1137" t="s">
        <v>12</v>
      </c>
      <c r="AK1137">
        <v>1</v>
      </c>
      <c r="AL1137">
        <v>1</v>
      </c>
      <c r="AM1137" t="s">
        <v>12</v>
      </c>
      <c r="AN1137" t="s">
        <v>12</v>
      </c>
      <c r="AO1137" t="s">
        <v>12</v>
      </c>
    </row>
    <row r="1138" spans="1:41" x14ac:dyDescent="0.35">
      <c r="A1138">
        <v>13672528</v>
      </c>
      <c r="B1138">
        <v>202602</v>
      </c>
      <c r="C1138">
        <v>10103980033</v>
      </c>
      <c r="D1138" t="s">
        <v>1418</v>
      </c>
      <c r="E1138">
        <v>10398003</v>
      </c>
      <c r="F1138">
        <v>10248991</v>
      </c>
      <c r="G1138" t="s">
        <v>65</v>
      </c>
      <c r="H1138" t="s">
        <v>422</v>
      </c>
      <c r="I1138">
        <v>28740.205078125</v>
      </c>
      <c r="J1138" s="1">
        <v>45357</v>
      </c>
      <c r="K1138">
        <v>13.8</v>
      </c>
      <c r="L1138" t="s">
        <v>37</v>
      </c>
      <c r="M1138" t="s">
        <v>37</v>
      </c>
      <c r="N1138" t="s">
        <v>47</v>
      </c>
      <c r="O1138">
        <v>202403</v>
      </c>
      <c r="P1138">
        <v>90004.5</v>
      </c>
      <c r="Q1138" t="s">
        <v>422</v>
      </c>
      <c r="R1138" t="s">
        <v>424</v>
      </c>
      <c r="S1138" t="s">
        <v>88</v>
      </c>
      <c r="T1138" t="s">
        <v>89</v>
      </c>
      <c r="U1138" t="s">
        <v>63</v>
      </c>
      <c r="V1138">
        <v>2</v>
      </c>
      <c r="W1138" t="s">
        <v>90</v>
      </c>
      <c r="X1138" t="s">
        <v>59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 t="s">
        <v>12</v>
      </c>
      <c r="AG1138" t="s">
        <v>12</v>
      </c>
      <c r="AH1138" t="s">
        <v>12</v>
      </c>
      <c r="AI1138" t="s">
        <v>12</v>
      </c>
      <c r="AJ1138" t="s">
        <v>12</v>
      </c>
      <c r="AK1138">
        <v>250000</v>
      </c>
      <c r="AL1138">
        <v>0.24390000000000001</v>
      </c>
      <c r="AM1138">
        <v>0.22389999999999999</v>
      </c>
      <c r="AN1138" t="s">
        <v>12</v>
      </c>
      <c r="AO1138" t="s">
        <v>12</v>
      </c>
    </row>
    <row r="1139" spans="1:41" x14ac:dyDescent="0.35">
      <c r="A1139">
        <v>21017567</v>
      </c>
      <c r="B1139">
        <v>202508</v>
      </c>
      <c r="C1139">
        <v>20604579407</v>
      </c>
      <c r="D1139" t="s">
        <v>1109</v>
      </c>
      <c r="E1139" t="s">
        <v>1</v>
      </c>
      <c r="F1139">
        <v>10270629</v>
      </c>
      <c r="G1139" t="s">
        <v>92</v>
      </c>
      <c r="H1139" t="s">
        <v>273</v>
      </c>
      <c r="I1139">
        <v>190009.5</v>
      </c>
      <c r="J1139" s="1">
        <v>45891</v>
      </c>
      <c r="K1139">
        <v>17</v>
      </c>
      <c r="L1139" t="s">
        <v>4</v>
      </c>
      <c r="M1139" t="s">
        <v>4</v>
      </c>
      <c r="N1139" t="s">
        <v>41</v>
      </c>
      <c r="O1139">
        <v>202508</v>
      </c>
      <c r="P1139">
        <v>190009.5</v>
      </c>
      <c r="Q1139" t="s">
        <v>273</v>
      </c>
      <c r="R1139" t="s">
        <v>274</v>
      </c>
      <c r="S1139" t="s">
        <v>39</v>
      </c>
      <c r="T1139" t="s">
        <v>40</v>
      </c>
      <c r="U1139" t="s">
        <v>41</v>
      </c>
      <c r="V1139">
        <v>1</v>
      </c>
      <c r="W1139" t="s">
        <v>10</v>
      </c>
      <c r="X1139" t="s">
        <v>12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190009.5</v>
      </c>
      <c r="AF1139">
        <v>17</v>
      </c>
      <c r="AG1139" s="1">
        <v>45891</v>
      </c>
      <c r="AH1139" t="s">
        <v>41</v>
      </c>
      <c r="AI1139" t="s">
        <v>4</v>
      </c>
      <c r="AJ1139" t="s">
        <v>33</v>
      </c>
      <c r="AK1139">
        <v>400000</v>
      </c>
      <c r="AL1139">
        <v>0.23</v>
      </c>
      <c r="AM1139">
        <v>0.21</v>
      </c>
      <c r="AN1139" t="s">
        <v>12</v>
      </c>
      <c r="AO1139" t="s">
        <v>12</v>
      </c>
    </row>
    <row r="1140" spans="1:41" x14ac:dyDescent="0.35">
      <c r="A1140">
        <v>13286810</v>
      </c>
      <c r="B1140">
        <v>202510</v>
      </c>
      <c r="C1140">
        <v>20539648935</v>
      </c>
      <c r="D1140" t="s">
        <v>1419</v>
      </c>
      <c r="E1140" t="s">
        <v>1</v>
      </c>
      <c r="F1140">
        <v>10168178</v>
      </c>
      <c r="G1140" t="s">
        <v>2</v>
      </c>
      <c r="H1140" t="s">
        <v>105</v>
      </c>
      <c r="I1140">
        <v>75351.09375</v>
      </c>
      <c r="J1140" s="1">
        <v>46077</v>
      </c>
      <c r="K1140">
        <v>16</v>
      </c>
      <c r="L1140" t="s">
        <v>4</v>
      </c>
      <c r="M1140" t="s">
        <v>4</v>
      </c>
      <c r="N1140" t="s">
        <v>5</v>
      </c>
      <c r="O1140">
        <v>202602</v>
      </c>
      <c r="P1140">
        <v>130006.5</v>
      </c>
      <c r="Q1140" t="s">
        <v>105</v>
      </c>
      <c r="R1140" t="s">
        <v>106</v>
      </c>
      <c r="S1140" t="s">
        <v>88</v>
      </c>
      <c r="T1140" t="s">
        <v>89</v>
      </c>
      <c r="U1140" t="s">
        <v>41</v>
      </c>
      <c r="V1140">
        <v>2</v>
      </c>
      <c r="W1140" t="s">
        <v>10</v>
      </c>
      <c r="X1140" t="s">
        <v>12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0</v>
      </c>
      <c r="AF1140" t="s">
        <v>12</v>
      </c>
      <c r="AG1140" t="s">
        <v>12</v>
      </c>
      <c r="AH1140" t="s">
        <v>12</v>
      </c>
      <c r="AI1140" t="s">
        <v>12</v>
      </c>
      <c r="AJ1140" t="s">
        <v>12</v>
      </c>
      <c r="AK1140">
        <v>250000</v>
      </c>
      <c r="AL1140">
        <v>0.21</v>
      </c>
      <c r="AM1140">
        <v>0.19</v>
      </c>
      <c r="AN1140" t="s">
        <v>12</v>
      </c>
      <c r="AO1140" t="s">
        <v>12</v>
      </c>
    </row>
    <row r="1141" spans="1:41" x14ac:dyDescent="0.35">
      <c r="A1141">
        <v>21239827</v>
      </c>
      <c r="B1141">
        <v>202508</v>
      </c>
      <c r="C1141">
        <v>20607887323</v>
      </c>
      <c r="D1141" t="s">
        <v>1420</v>
      </c>
      <c r="E1141" t="s">
        <v>1</v>
      </c>
      <c r="F1141">
        <v>10261588</v>
      </c>
      <c r="G1141" t="s">
        <v>45</v>
      </c>
      <c r="H1141" t="s">
        <v>85</v>
      </c>
      <c r="I1141">
        <v>71789.1328125</v>
      </c>
      <c r="J1141" s="1">
        <v>45581</v>
      </c>
      <c r="K1141">
        <v>17.899999999999999</v>
      </c>
      <c r="L1141" t="s">
        <v>37</v>
      </c>
      <c r="M1141" t="s">
        <v>37</v>
      </c>
      <c r="N1141" t="s">
        <v>47</v>
      </c>
      <c r="O1141">
        <v>202410</v>
      </c>
      <c r="P1141">
        <v>83894.15</v>
      </c>
      <c r="Q1141" t="s">
        <v>85</v>
      </c>
      <c r="R1141" t="s">
        <v>87</v>
      </c>
      <c r="S1141" t="s">
        <v>88</v>
      </c>
      <c r="T1141" t="s">
        <v>89</v>
      </c>
      <c r="U1141" t="s">
        <v>20</v>
      </c>
      <c r="V1141">
        <v>2</v>
      </c>
      <c r="W1141" t="s">
        <v>10</v>
      </c>
      <c r="X1141" t="s">
        <v>12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 t="s">
        <v>12</v>
      </c>
      <c r="AG1141" t="s">
        <v>12</v>
      </c>
      <c r="AH1141" t="s">
        <v>12</v>
      </c>
      <c r="AI1141" t="s">
        <v>12</v>
      </c>
      <c r="AJ1141" t="s">
        <v>12</v>
      </c>
      <c r="AK1141">
        <v>1</v>
      </c>
      <c r="AL1141">
        <v>0.26929999999999998</v>
      </c>
      <c r="AM1141" t="s">
        <v>12</v>
      </c>
      <c r="AN1141" t="s">
        <v>12</v>
      </c>
      <c r="AO1141" t="s">
        <v>12</v>
      </c>
    </row>
    <row r="1142" spans="1:41" x14ac:dyDescent="0.35">
      <c r="A1142">
        <v>10305260</v>
      </c>
      <c r="B1142">
        <v>202602</v>
      </c>
      <c r="C1142">
        <v>10320437721</v>
      </c>
      <c r="D1142" t="s">
        <v>1421</v>
      </c>
      <c r="E1142">
        <v>32043772</v>
      </c>
      <c r="F1142">
        <v>10265940</v>
      </c>
      <c r="G1142" t="s">
        <v>100</v>
      </c>
      <c r="H1142" t="s">
        <v>329</v>
      </c>
      <c r="I1142">
        <v>43276.8828125</v>
      </c>
      <c r="J1142" s="1">
        <v>45719</v>
      </c>
      <c r="K1142">
        <v>14</v>
      </c>
      <c r="L1142" t="s">
        <v>37</v>
      </c>
      <c r="M1142" t="s">
        <v>37</v>
      </c>
      <c r="N1142" t="s">
        <v>102</v>
      </c>
      <c r="O1142">
        <v>202503</v>
      </c>
      <c r="P1142">
        <v>75098.75</v>
      </c>
      <c r="Q1142" t="s">
        <v>329</v>
      </c>
      <c r="R1142" t="s">
        <v>330</v>
      </c>
      <c r="S1142" t="s">
        <v>111</v>
      </c>
      <c r="T1142" t="s">
        <v>112</v>
      </c>
      <c r="U1142" t="s">
        <v>63</v>
      </c>
      <c r="V1142">
        <v>2</v>
      </c>
      <c r="W1142" t="s">
        <v>90</v>
      </c>
      <c r="X1142" t="s">
        <v>59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 t="s">
        <v>12</v>
      </c>
      <c r="AG1142" t="s">
        <v>12</v>
      </c>
      <c r="AH1142" t="s">
        <v>12</v>
      </c>
      <c r="AI1142" t="s">
        <v>12</v>
      </c>
      <c r="AJ1142" t="s">
        <v>12</v>
      </c>
      <c r="AK1142">
        <v>400000</v>
      </c>
      <c r="AL1142">
        <v>0.21</v>
      </c>
      <c r="AM1142">
        <v>0.19</v>
      </c>
      <c r="AN1142" t="s">
        <v>12</v>
      </c>
      <c r="AO1142" t="s">
        <v>12</v>
      </c>
    </row>
    <row r="1143" spans="1:41" x14ac:dyDescent="0.35">
      <c r="A1143">
        <v>21417853</v>
      </c>
      <c r="B1143">
        <v>202503</v>
      </c>
      <c r="C1143">
        <v>20524462797</v>
      </c>
      <c r="D1143" t="s">
        <v>1422</v>
      </c>
      <c r="E1143" t="s">
        <v>1</v>
      </c>
      <c r="F1143">
        <v>10264516</v>
      </c>
      <c r="G1143" t="s">
        <v>24</v>
      </c>
      <c r="H1143" t="s">
        <v>159</v>
      </c>
      <c r="I1143">
        <v>134984.125</v>
      </c>
      <c r="J1143" s="1">
        <v>45670</v>
      </c>
      <c r="K1143">
        <v>18.200001</v>
      </c>
      <c r="L1143" t="s">
        <v>37</v>
      </c>
      <c r="M1143" t="s">
        <v>37</v>
      </c>
      <c r="N1143" t="s">
        <v>98</v>
      </c>
      <c r="O1143">
        <v>202501</v>
      </c>
      <c r="P1143">
        <v>150007.5</v>
      </c>
      <c r="Q1143" t="s">
        <v>12</v>
      </c>
      <c r="R1143" t="s">
        <v>12</v>
      </c>
      <c r="S1143" t="s">
        <v>12</v>
      </c>
      <c r="T1143" t="s">
        <v>12</v>
      </c>
      <c r="U1143" t="s">
        <v>12</v>
      </c>
      <c r="V1143" t="s">
        <v>12</v>
      </c>
      <c r="W1143" t="s">
        <v>12</v>
      </c>
      <c r="X1143" t="s">
        <v>12</v>
      </c>
      <c r="Y1143" t="s">
        <v>12</v>
      </c>
      <c r="Z1143" t="s">
        <v>12</v>
      </c>
      <c r="AA1143" t="s">
        <v>12</v>
      </c>
      <c r="AB1143" t="s">
        <v>12</v>
      </c>
      <c r="AC1143" t="s">
        <v>12</v>
      </c>
      <c r="AD1143" t="s">
        <v>12</v>
      </c>
      <c r="AE1143" t="s">
        <v>12</v>
      </c>
      <c r="AF1143" t="s">
        <v>12</v>
      </c>
      <c r="AG1143" t="s">
        <v>12</v>
      </c>
      <c r="AH1143" t="s">
        <v>12</v>
      </c>
      <c r="AI1143" t="s">
        <v>12</v>
      </c>
      <c r="AJ1143" t="s">
        <v>12</v>
      </c>
      <c r="AK1143" t="s">
        <v>12</v>
      </c>
      <c r="AL1143" t="s">
        <v>12</v>
      </c>
      <c r="AM1143" t="s">
        <v>12</v>
      </c>
      <c r="AN1143" t="s">
        <v>12</v>
      </c>
      <c r="AO1143" t="s">
        <v>12</v>
      </c>
    </row>
    <row r="1144" spans="1:41" x14ac:dyDescent="0.35">
      <c r="A1144">
        <v>21856610</v>
      </c>
      <c r="B1144">
        <v>202602</v>
      </c>
      <c r="C1144">
        <v>20610082778</v>
      </c>
      <c r="D1144" t="s">
        <v>1423</v>
      </c>
      <c r="E1144" t="s">
        <v>1</v>
      </c>
      <c r="F1144">
        <v>10271480</v>
      </c>
      <c r="G1144" t="s">
        <v>68</v>
      </c>
      <c r="H1144" t="s">
        <v>317</v>
      </c>
      <c r="I1144">
        <v>116166.90625</v>
      </c>
      <c r="J1144" s="1">
        <v>45918</v>
      </c>
      <c r="K1144">
        <v>18</v>
      </c>
      <c r="L1144" t="s">
        <v>86</v>
      </c>
      <c r="M1144" t="s">
        <v>75</v>
      </c>
      <c r="N1144" t="s">
        <v>20</v>
      </c>
      <c r="O1144">
        <v>202509</v>
      </c>
      <c r="P1144">
        <v>223011.15</v>
      </c>
      <c r="Q1144" t="s">
        <v>317</v>
      </c>
      <c r="R1144" t="s">
        <v>318</v>
      </c>
      <c r="S1144" t="s">
        <v>88</v>
      </c>
      <c r="T1144" t="s">
        <v>89</v>
      </c>
      <c r="U1144" t="s">
        <v>20</v>
      </c>
      <c r="V1144">
        <v>2</v>
      </c>
      <c r="W1144" t="s">
        <v>10</v>
      </c>
      <c r="X1144" t="s">
        <v>22</v>
      </c>
      <c r="Y1144">
        <v>1</v>
      </c>
      <c r="Z1144">
        <v>1</v>
      </c>
      <c r="AA1144">
        <v>0</v>
      </c>
      <c r="AB1144">
        <v>0</v>
      </c>
      <c r="AC1144">
        <v>1</v>
      </c>
      <c r="AD1144">
        <v>1</v>
      </c>
      <c r="AE1144">
        <v>0</v>
      </c>
      <c r="AF1144" t="s">
        <v>12</v>
      </c>
      <c r="AG1144" t="s">
        <v>12</v>
      </c>
      <c r="AH1144" t="s">
        <v>12</v>
      </c>
      <c r="AI1144" t="s">
        <v>12</v>
      </c>
      <c r="AJ1144" t="s">
        <v>12</v>
      </c>
      <c r="AK1144">
        <v>1</v>
      </c>
      <c r="AL1144">
        <v>1</v>
      </c>
      <c r="AM1144" t="s">
        <v>12</v>
      </c>
      <c r="AN1144" t="s">
        <v>12</v>
      </c>
      <c r="AO1144" t="s">
        <v>12</v>
      </c>
    </row>
    <row r="1145" spans="1:41" x14ac:dyDescent="0.35">
      <c r="A1145">
        <v>21766355</v>
      </c>
      <c r="B1145">
        <v>202509</v>
      </c>
      <c r="C1145">
        <v>20604068933</v>
      </c>
      <c r="D1145" t="s">
        <v>1424</v>
      </c>
      <c r="E1145" t="s">
        <v>1</v>
      </c>
      <c r="F1145">
        <v>10270093</v>
      </c>
      <c r="G1145" t="s">
        <v>24</v>
      </c>
      <c r="H1145" t="s">
        <v>159</v>
      </c>
      <c r="I1145">
        <v>66656.234375</v>
      </c>
      <c r="J1145" s="1">
        <v>45869</v>
      </c>
      <c r="K1145">
        <v>20</v>
      </c>
      <c r="L1145" t="s">
        <v>37</v>
      </c>
      <c r="M1145" t="s">
        <v>37</v>
      </c>
      <c r="N1145" t="s">
        <v>98</v>
      </c>
      <c r="O1145">
        <v>202507</v>
      </c>
      <c r="P1145">
        <v>70003.5</v>
      </c>
      <c r="Q1145" t="s">
        <v>12</v>
      </c>
      <c r="R1145" t="s">
        <v>12</v>
      </c>
      <c r="S1145" t="s">
        <v>12</v>
      </c>
      <c r="T1145" t="s">
        <v>12</v>
      </c>
      <c r="U1145" t="s">
        <v>12</v>
      </c>
      <c r="V1145" t="s">
        <v>12</v>
      </c>
      <c r="W1145" t="s">
        <v>12</v>
      </c>
      <c r="X1145" t="s">
        <v>12</v>
      </c>
      <c r="Y1145" t="s">
        <v>12</v>
      </c>
      <c r="Z1145" t="s">
        <v>12</v>
      </c>
      <c r="AA1145" t="s">
        <v>12</v>
      </c>
      <c r="AB1145" t="s">
        <v>12</v>
      </c>
      <c r="AC1145" t="s">
        <v>12</v>
      </c>
      <c r="AD1145" t="s">
        <v>12</v>
      </c>
      <c r="AE1145" t="s">
        <v>12</v>
      </c>
      <c r="AF1145" t="s">
        <v>12</v>
      </c>
      <c r="AG1145" t="s">
        <v>12</v>
      </c>
      <c r="AH1145" t="s">
        <v>12</v>
      </c>
      <c r="AI1145" t="s">
        <v>12</v>
      </c>
      <c r="AJ1145" t="s">
        <v>12</v>
      </c>
      <c r="AK1145" t="s">
        <v>12</v>
      </c>
      <c r="AL1145" t="s">
        <v>12</v>
      </c>
      <c r="AM1145" t="s">
        <v>12</v>
      </c>
      <c r="AN1145" t="s">
        <v>12</v>
      </c>
      <c r="AO1145" t="s">
        <v>12</v>
      </c>
    </row>
    <row r="1146" spans="1:41" x14ac:dyDescent="0.35">
      <c r="A1146">
        <v>16028452</v>
      </c>
      <c r="B1146">
        <v>202507</v>
      </c>
      <c r="C1146">
        <v>10726574851</v>
      </c>
      <c r="D1146" t="s">
        <v>1425</v>
      </c>
      <c r="E1146">
        <v>72657485</v>
      </c>
      <c r="F1146">
        <v>10266514</v>
      </c>
      <c r="G1146" t="s">
        <v>100</v>
      </c>
      <c r="H1146" t="s">
        <v>85</v>
      </c>
      <c r="I1146">
        <v>46864.65625</v>
      </c>
      <c r="J1146" s="1">
        <v>45741</v>
      </c>
      <c r="K1146">
        <v>16.5</v>
      </c>
      <c r="L1146" t="s">
        <v>37</v>
      </c>
      <c r="M1146" t="s">
        <v>37</v>
      </c>
      <c r="N1146" t="s">
        <v>102</v>
      </c>
      <c r="O1146">
        <v>202503</v>
      </c>
      <c r="P1146">
        <v>52392.3</v>
      </c>
      <c r="Q1146" t="s">
        <v>85</v>
      </c>
      <c r="R1146" t="s">
        <v>87</v>
      </c>
      <c r="S1146" t="s">
        <v>88</v>
      </c>
      <c r="T1146" t="s">
        <v>89</v>
      </c>
      <c r="U1146" t="s">
        <v>20</v>
      </c>
      <c r="V1146">
        <v>2</v>
      </c>
      <c r="W1146" t="s">
        <v>647</v>
      </c>
      <c r="X1146" t="s">
        <v>12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 t="s">
        <v>12</v>
      </c>
      <c r="AG1146" t="s">
        <v>12</v>
      </c>
      <c r="AH1146" t="s">
        <v>12</v>
      </c>
      <c r="AI1146" t="s">
        <v>12</v>
      </c>
      <c r="AJ1146" t="s">
        <v>12</v>
      </c>
      <c r="AK1146">
        <v>1</v>
      </c>
      <c r="AL1146">
        <v>0.1978</v>
      </c>
      <c r="AM1146" t="s">
        <v>12</v>
      </c>
      <c r="AN1146" t="s">
        <v>12</v>
      </c>
      <c r="AO1146" t="s">
        <v>12</v>
      </c>
    </row>
    <row r="1147" spans="1:41" x14ac:dyDescent="0.35">
      <c r="A1147">
        <v>21440447</v>
      </c>
      <c r="B1147">
        <v>202503</v>
      </c>
      <c r="C1147">
        <v>20538301702</v>
      </c>
      <c r="D1147" t="s">
        <v>1426</v>
      </c>
      <c r="E1147" t="s">
        <v>1</v>
      </c>
      <c r="F1147">
        <v>10264756</v>
      </c>
      <c r="G1147" t="s">
        <v>24</v>
      </c>
      <c r="H1147" t="s">
        <v>159</v>
      </c>
      <c r="I1147">
        <v>41024.453125</v>
      </c>
      <c r="J1147" s="1">
        <v>45680</v>
      </c>
      <c r="K1147">
        <v>18.200001</v>
      </c>
      <c r="L1147" t="s">
        <v>37</v>
      </c>
      <c r="M1147" t="s">
        <v>37</v>
      </c>
      <c r="N1147" t="s">
        <v>98</v>
      </c>
      <c r="O1147">
        <v>202501</v>
      </c>
      <c r="P1147">
        <v>42954.1</v>
      </c>
      <c r="Q1147" t="s">
        <v>12</v>
      </c>
      <c r="R1147" t="s">
        <v>12</v>
      </c>
      <c r="S1147" t="s">
        <v>12</v>
      </c>
      <c r="T1147" t="s">
        <v>12</v>
      </c>
      <c r="U1147" t="s">
        <v>12</v>
      </c>
      <c r="V1147" t="s">
        <v>12</v>
      </c>
      <c r="W1147" t="s">
        <v>12</v>
      </c>
      <c r="X1147" t="s">
        <v>12</v>
      </c>
      <c r="Y1147" t="s">
        <v>12</v>
      </c>
      <c r="Z1147" t="s">
        <v>12</v>
      </c>
      <c r="AA1147" t="s">
        <v>12</v>
      </c>
      <c r="AB1147" t="s">
        <v>12</v>
      </c>
      <c r="AC1147" t="s">
        <v>12</v>
      </c>
      <c r="AD1147" t="s">
        <v>12</v>
      </c>
      <c r="AE1147" t="s">
        <v>12</v>
      </c>
      <c r="AF1147" t="s">
        <v>12</v>
      </c>
      <c r="AG1147" t="s">
        <v>12</v>
      </c>
      <c r="AH1147" t="s">
        <v>12</v>
      </c>
      <c r="AI1147" t="s">
        <v>12</v>
      </c>
      <c r="AJ1147" t="s">
        <v>12</v>
      </c>
      <c r="AK1147" t="s">
        <v>12</v>
      </c>
      <c r="AL1147" t="s">
        <v>12</v>
      </c>
      <c r="AM1147" t="s">
        <v>12</v>
      </c>
      <c r="AN1147" t="s">
        <v>12</v>
      </c>
      <c r="AO1147" t="s">
        <v>12</v>
      </c>
    </row>
    <row r="1148" spans="1:41" x14ac:dyDescent="0.35">
      <c r="A1148">
        <v>16445408</v>
      </c>
      <c r="B1148">
        <v>202510</v>
      </c>
      <c r="C1148">
        <v>20600886283</v>
      </c>
      <c r="D1148" t="s">
        <v>1427</v>
      </c>
      <c r="E1148" t="s">
        <v>1</v>
      </c>
      <c r="F1148">
        <v>10172394</v>
      </c>
      <c r="G1148" t="s">
        <v>2</v>
      </c>
      <c r="H1148" t="s">
        <v>603</v>
      </c>
      <c r="I1148">
        <v>92093.0859375</v>
      </c>
      <c r="J1148" s="1">
        <v>45517</v>
      </c>
      <c r="K1148">
        <v>20.5</v>
      </c>
      <c r="L1148" t="s">
        <v>4</v>
      </c>
      <c r="M1148" t="s">
        <v>4</v>
      </c>
      <c r="N1148" t="s">
        <v>5</v>
      </c>
      <c r="O1148">
        <v>202408</v>
      </c>
      <c r="P1148">
        <v>180009</v>
      </c>
      <c r="Q1148" t="s">
        <v>603</v>
      </c>
      <c r="R1148" t="s">
        <v>642</v>
      </c>
      <c r="S1148" t="s">
        <v>18</v>
      </c>
      <c r="T1148" t="s">
        <v>122</v>
      </c>
      <c r="U1148" t="s">
        <v>20</v>
      </c>
      <c r="V1148">
        <v>1</v>
      </c>
      <c r="W1148" t="s">
        <v>10</v>
      </c>
      <c r="X1148" t="s">
        <v>12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 t="s">
        <v>12</v>
      </c>
      <c r="AG1148" t="s">
        <v>12</v>
      </c>
      <c r="AH1148" t="s">
        <v>12</v>
      </c>
      <c r="AI1148" t="s">
        <v>12</v>
      </c>
      <c r="AJ1148" t="s">
        <v>12</v>
      </c>
      <c r="AK1148">
        <v>1</v>
      </c>
      <c r="AL1148">
        <v>1</v>
      </c>
      <c r="AM1148" t="s">
        <v>12</v>
      </c>
      <c r="AN1148" t="s">
        <v>12</v>
      </c>
      <c r="AO1148" t="s">
        <v>12</v>
      </c>
    </row>
    <row r="1149" spans="1:41" x14ac:dyDescent="0.35">
      <c r="A1149">
        <v>15617154</v>
      </c>
      <c r="B1149">
        <v>202601</v>
      </c>
      <c r="C1149">
        <v>20537376920</v>
      </c>
      <c r="D1149" t="s">
        <v>1428</v>
      </c>
      <c r="E1149" t="s">
        <v>1</v>
      </c>
      <c r="F1149">
        <v>10242412</v>
      </c>
      <c r="G1149" t="s">
        <v>92</v>
      </c>
      <c r="H1149" t="s">
        <v>7</v>
      </c>
      <c r="I1149">
        <v>37128.83203125</v>
      </c>
      <c r="J1149" s="1">
        <v>45146</v>
      </c>
      <c r="K1149">
        <v>19.899999999999999</v>
      </c>
      <c r="L1149" t="s">
        <v>4</v>
      </c>
      <c r="M1149" t="s">
        <v>4</v>
      </c>
      <c r="N1149" t="s">
        <v>41</v>
      </c>
      <c r="O1149">
        <v>202308</v>
      </c>
      <c r="P1149">
        <v>154607.70000000001</v>
      </c>
      <c r="Q1149" t="s">
        <v>25</v>
      </c>
      <c r="R1149" t="s">
        <v>279</v>
      </c>
      <c r="S1149" t="s">
        <v>7</v>
      </c>
      <c r="T1149" t="s">
        <v>8</v>
      </c>
      <c r="U1149" t="s">
        <v>63</v>
      </c>
      <c r="V1149">
        <v>1</v>
      </c>
      <c r="W1149" t="s">
        <v>647</v>
      </c>
      <c r="X1149" t="s">
        <v>51</v>
      </c>
      <c r="Y1149">
        <v>1</v>
      </c>
      <c r="Z1149">
        <v>1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 t="s">
        <v>12</v>
      </c>
      <c r="AG1149" t="s">
        <v>12</v>
      </c>
      <c r="AH1149" t="s">
        <v>12</v>
      </c>
      <c r="AI1149" t="s">
        <v>12</v>
      </c>
      <c r="AJ1149" t="s">
        <v>12</v>
      </c>
      <c r="AK1149">
        <v>500000</v>
      </c>
      <c r="AL1149">
        <v>0.21</v>
      </c>
      <c r="AM1149">
        <v>0.19</v>
      </c>
      <c r="AN1149" t="s">
        <v>12</v>
      </c>
      <c r="AO1149" t="s">
        <v>12</v>
      </c>
    </row>
    <row r="1150" spans="1:41" x14ac:dyDescent="0.35">
      <c r="A1150">
        <v>21441667</v>
      </c>
      <c r="B1150">
        <v>202511</v>
      </c>
      <c r="C1150">
        <v>20608748343</v>
      </c>
      <c r="D1150" t="s">
        <v>360</v>
      </c>
      <c r="E1150" t="s">
        <v>1</v>
      </c>
      <c r="F1150">
        <v>10271187</v>
      </c>
      <c r="G1150" t="s">
        <v>78</v>
      </c>
      <c r="H1150" t="s">
        <v>124</v>
      </c>
      <c r="I1150">
        <v>104314.15625</v>
      </c>
      <c r="J1150" s="1">
        <v>45910</v>
      </c>
      <c r="K1150">
        <v>16</v>
      </c>
      <c r="L1150" t="s">
        <v>86</v>
      </c>
      <c r="M1150" t="s">
        <v>86</v>
      </c>
      <c r="N1150" t="s">
        <v>41</v>
      </c>
      <c r="O1150">
        <v>202509</v>
      </c>
      <c r="P1150">
        <v>150007.5</v>
      </c>
      <c r="Q1150" t="s">
        <v>124</v>
      </c>
      <c r="R1150" t="s">
        <v>125</v>
      </c>
      <c r="S1150" t="s">
        <v>88</v>
      </c>
      <c r="T1150" t="s">
        <v>89</v>
      </c>
      <c r="U1150" t="s">
        <v>20</v>
      </c>
      <c r="V1150">
        <v>2</v>
      </c>
      <c r="W1150" t="s">
        <v>10</v>
      </c>
      <c r="X1150" t="s">
        <v>51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 t="s">
        <v>12</v>
      </c>
      <c r="AG1150" t="s">
        <v>12</v>
      </c>
      <c r="AH1150" t="s">
        <v>12</v>
      </c>
      <c r="AI1150" t="s">
        <v>12</v>
      </c>
      <c r="AJ1150" t="s">
        <v>12</v>
      </c>
      <c r="AK1150">
        <v>1</v>
      </c>
      <c r="AL1150">
        <v>1</v>
      </c>
      <c r="AM1150" t="s">
        <v>12</v>
      </c>
      <c r="AN1150" t="s">
        <v>12</v>
      </c>
      <c r="AO1150" t="s">
        <v>12</v>
      </c>
    </row>
    <row r="1151" spans="1:41" x14ac:dyDescent="0.35">
      <c r="A1151">
        <v>15273516</v>
      </c>
      <c r="B1151">
        <v>202509</v>
      </c>
      <c r="C1151">
        <v>10422820600</v>
      </c>
      <c r="D1151" t="s">
        <v>1429</v>
      </c>
      <c r="E1151">
        <v>42282060</v>
      </c>
      <c r="F1151">
        <v>10270648</v>
      </c>
      <c r="G1151" t="s">
        <v>100</v>
      </c>
      <c r="H1151" t="s">
        <v>159</v>
      </c>
      <c r="I1151">
        <v>178945.5</v>
      </c>
      <c r="J1151" s="1">
        <v>45894</v>
      </c>
      <c r="K1151">
        <v>14.5</v>
      </c>
      <c r="L1151" t="s">
        <v>37</v>
      </c>
      <c r="M1151" t="s">
        <v>37</v>
      </c>
      <c r="N1151" t="s">
        <v>102</v>
      </c>
      <c r="O1151">
        <v>202508</v>
      </c>
      <c r="P1151">
        <v>184809.2</v>
      </c>
      <c r="Q1151" t="s">
        <v>12</v>
      </c>
      <c r="R1151" t="s">
        <v>12</v>
      </c>
      <c r="S1151" t="s">
        <v>12</v>
      </c>
      <c r="T1151" t="s">
        <v>12</v>
      </c>
      <c r="U1151" t="s">
        <v>12</v>
      </c>
      <c r="V1151" t="s">
        <v>12</v>
      </c>
      <c r="W1151" t="s">
        <v>12</v>
      </c>
      <c r="X1151" t="s">
        <v>12</v>
      </c>
      <c r="Y1151" t="s">
        <v>12</v>
      </c>
      <c r="Z1151" t="s">
        <v>12</v>
      </c>
      <c r="AA1151" t="s">
        <v>12</v>
      </c>
      <c r="AB1151" t="s">
        <v>12</v>
      </c>
      <c r="AC1151" t="s">
        <v>12</v>
      </c>
      <c r="AD1151" t="s">
        <v>12</v>
      </c>
      <c r="AE1151" t="s">
        <v>12</v>
      </c>
      <c r="AF1151" t="s">
        <v>12</v>
      </c>
      <c r="AG1151" t="s">
        <v>12</v>
      </c>
      <c r="AH1151" t="s">
        <v>12</v>
      </c>
      <c r="AI1151" t="s">
        <v>12</v>
      </c>
      <c r="AJ1151" t="s">
        <v>12</v>
      </c>
      <c r="AK1151" t="s">
        <v>12</v>
      </c>
      <c r="AL1151" t="s">
        <v>12</v>
      </c>
      <c r="AM1151" t="s">
        <v>12</v>
      </c>
      <c r="AN1151" t="s">
        <v>12</v>
      </c>
      <c r="AO1151" t="s">
        <v>12</v>
      </c>
    </row>
    <row r="1152" spans="1:41" x14ac:dyDescent="0.35">
      <c r="A1152">
        <v>15112035</v>
      </c>
      <c r="B1152">
        <v>202510</v>
      </c>
      <c r="C1152">
        <v>20601142831</v>
      </c>
      <c r="D1152" t="s">
        <v>1430</v>
      </c>
      <c r="E1152" t="s">
        <v>1</v>
      </c>
      <c r="F1152">
        <v>10268101</v>
      </c>
      <c r="G1152" t="s">
        <v>2</v>
      </c>
      <c r="H1152" t="s">
        <v>210</v>
      </c>
      <c r="I1152">
        <v>218220.71875</v>
      </c>
      <c r="J1152" s="1">
        <v>46128</v>
      </c>
      <c r="K1152">
        <v>15</v>
      </c>
      <c r="L1152" t="s">
        <v>4</v>
      </c>
      <c r="M1152" t="s">
        <v>4</v>
      </c>
      <c r="N1152" t="s">
        <v>5</v>
      </c>
      <c r="O1152">
        <v>202604</v>
      </c>
      <c r="P1152">
        <v>250012.5</v>
      </c>
      <c r="Q1152" t="s">
        <v>210</v>
      </c>
      <c r="R1152" t="s">
        <v>211</v>
      </c>
      <c r="S1152" t="s">
        <v>39</v>
      </c>
      <c r="T1152" t="s">
        <v>40</v>
      </c>
      <c r="U1152" t="s">
        <v>41</v>
      </c>
      <c r="V1152">
        <v>1</v>
      </c>
      <c r="W1152" t="s">
        <v>10</v>
      </c>
      <c r="X1152" t="s">
        <v>12</v>
      </c>
      <c r="Y1152">
        <v>1</v>
      </c>
      <c r="Z1152">
        <v>1</v>
      </c>
      <c r="AA1152">
        <v>0</v>
      </c>
      <c r="AB1152">
        <v>0</v>
      </c>
      <c r="AC1152">
        <v>1</v>
      </c>
      <c r="AD1152">
        <v>1</v>
      </c>
      <c r="AE1152">
        <v>0</v>
      </c>
      <c r="AF1152" t="s">
        <v>12</v>
      </c>
      <c r="AG1152" t="s">
        <v>12</v>
      </c>
      <c r="AH1152" t="s">
        <v>12</v>
      </c>
      <c r="AI1152" t="s">
        <v>12</v>
      </c>
      <c r="AJ1152" t="s">
        <v>12</v>
      </c>
      <c r="AK1152">
        <v>250000</v>
      </c>
      <c r="AL1152">
        <v>0.21</v>
      </c>
      <c r="AM1152">
        <v>0.19</v>
      </c>
      <c r="AN1152" t="s">
        <v>12</v>
      </c>
      <c r="AO1152" t="s">
        <v>12</v>
      </c>
    </row>
    <row r="1153" spans="1:41" x14ac:dyDescent="0.35">
      <c r="A1153">
        <v>9652651</v>
      </c>
      <c r="B1153">
        <v>202503</v>
      </c>
      <c r="C1153">
        <v>10101262303</v>
      </c>
      <c r="D1153" t="s">
        <v>1431</v>
      </c>
      <c r="E1153">
        <v>10126230</v>
      </c>
      <c r="F1153">
        <v>10266471</v>
      </c>
      <c r="G1153" t="s">
        <v>209</v>
      </c>
      <c r="H1153" t="s">
        <v>159</v>
      </c>
      <c r="I1153">
        <v>73003.65625</v>
      </c>
      <c r="J1153" s="1">
        <v>45740</v>
      </c>
      <c r="K1153">
        <v>19.5</v>
      </c>
      <c r="L1153" t="s">
        <v>4</v>
      </c>
      <c r="M1153" t="s">
        <v>75</v>
      </c>
      <c r="N1153" t="s">
        <v>209</v>
      </c>
      <c r="O1153">
        <v>202503</v>
      </c>
      <c r="P1153">
        <v>73003.649999999994</v>
      </c>
      <c r="Q1153" t="s">
        <v>257</v>
      </c>
      <c r="R1153" t="s">
        <v>258</v>
      </c>
      <c r="S1153" t="s">
        <v>49</v>
      </c>
      <c r="T1153" t="s">
        <v>50</v>
      </c>
      <c r="U1153" t="s">
        <v>209</v>
      </c>
      <c r="V1153">
        <v>1</v>
      </c>
      <c r="W1153" t="s">
        <v>90</v>
      </c>
      <c r="X1153" t="s">
        <v>12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0</v>
      </c>
      <c r="AE1153">
        <v>73003.649999999994</v>
      </c>
      <c r="AF1153">
        <v>19.5</v>
      </c>
      <c r="AG1153" s="1">
        <v>45740</v>
      </c>
      <c r="AH1153" t="s">
        <v>209</v>
      </c>
      <c r="AI1153" t="s">
        <v>75</v>
      </c>
      <c r="AJ1153" t="s">
        <v>33</v>
      </c>
      <c r="AK1153">
        <v>90000</v>
      </c>
      <c r="AL1153">
        <v>0.24</v>
      </c>
      <c r="AM1153">
        <v>0.217</v>
      </c>
      <c r="AN1153" t="s">
        <v>12</v>
      </c>
      <c r="AO1153" t="s">
        <v>12</v>
      </c>
    </row>
    <row r="1154" spans="1:41" x14ac:dyDescent="0.35">
      <c r="A1154">
        <v>16596717</v>
      </c>
      <c r="B1154">
        <v>202504</v>
      </c>
      <c r="C1154">
        <v>20525029426</v>
      </c>
      <c r="D1154" t="s">
        <v>1432</v>
      </c>
      <c r="E1154" t="s">
        <v>1</v>
      </c>
      <c r="F1154">
        <v>10253046</v>
      </c>
      <c r="G1154" t="s">
        <v>45</v>
      </c>
      <c r="H1154" t="s">
        <v>294</v>
      </c>
      <c r="I1154">
        <v>73375.53125</v>
      </c>
      <c r="J1154" s="1">
        <v>45429</v>
      </c>
      <c r="K1154">
        <v>15.9</v>
      </c>
      <c r="L1154" t="s">
        <v>4</v>
      </c>
      <c r="M1154" t="s">
        <v>4</v>
      </c>
      <c r="N1154" t="s">
        <v>47</v>
      </c>
      <c r="O1154">
        <v>202405</v>
      </c>
      <c r="P1154">
        <v>90004.5</v>
      </c>
      <c r="Q1154" t="s">
        <v>294</v>
      </c>
      <c r="R1154" t="s">
        <v>295</v>
      </c>
      <c r="S1154" t="s">
        <v>7</v>
      </c>
      <c r="T1154" t="s">
        <v>8</v>
      </c>
      <c r="U1154" t="s">
        <v>41</v>
      </c>
      <c r="V1154">
        <v>1</v>
      </c>
      <c r="W1154" t="s">
        <v>10</v>
      </c>
      <c r="X1154" t="s">
        <v>12</v>
      </c>
      <c r="Y1154">
        <v>1</v>
      </c>
      <c r="Z1154">
        <v>1</v>
      </c>
      <c r="AA1154">
        <v>0</v>
      </c>
      <c r="AB1154">
        <v>0</v>
      </c>
      <c r="AC1154">
        <v>1</v>
      </c>
      <c r="AD1154">
        <v>0</v>
      </c>
      <c r="AE1154">
        <v>0</v>
      </c>
      <c r="AF1154" t="s">
        <v>12</v>
      </c>
      <c r="AG1154" t="s">
        <v>12</v>
      </c>
      <c r="AH1154" t="s">
        <v>12</v>
      </c>
      <c r="AI1154" t="s">
        <v>12</v>
      </c>
      <c r="AJ1154" t="s">
        <v>12</v>
      </c>
      <c r="AK1154">
        <v>173241</v>
      </c>
      <c r="AL1154">
        <v>0.23200000000000001</v>
      </c>
      <c r="AM1154">
        <v>0.21199999999999999</v>
      </c>
      <c r="AN1154" t="s">
        <v>12</v>
      </c>
      <c r="AO1154" t="s">
        <v>12</v>
      </c>
    </row>
    <row r="1155" spans="1:41" x14ac:dyDescent="0.35">
      <c r="A1155">
        <v>18623385</v>
      </c>
      <c r="B1155">
        <v>202602</v>
      </c>
      <c r="C1155">
        <v>20602004105</v>
      </c>
      <c r="D1155" t="s">
        <v>91</v>
      </c>
      <c r="E1155" t="s">
        <v>1</v>
      </c>
      <c r="F1155">
        <v>10253528</v>
      </c>
      <c r="G1155" t="s">
        <v>53</v>
      </c>
      <c r="H1155" t="s">
        <v>93</v>
      </c>
      <c r="I1155">
        <v>8088.15771484375</v>
      </c>
      <c r="J1155" s="1">
        <v>45439</v>
      </c>
      <c r="K1155">
        <v>15.9</v>
      </c>
      <c r="L1155" t="s">
        <v>4</v>
      </c>
      <c r="M1155" t="s">
        <v>4</v>
      </c>
      <c r="N1155" t="s">
        <v>47</v>
      </c>
      <c r="O1155">
        <v>202405</v>
      </c>
      <c r="P1155">
        <v>184839.2</v>
      </c>
      <c r="Q1155" t="s">
        <v>93</v>
      </c>
      <c r="R1155" t="s">
        <v>94</v>
      </c>
      <c r="S1155" t="s">
        <v>7</v>
      </c>
      <c r="T1155" t="s">
        <v>8</v>
      </c>
      <c r="U1155" t="s">
        <v>95</v>
      </c>
      <c r="V1155">
        <v>1</v>
      </c>
      <c r="W1155" t="s">
        <v>10</v>
      </c>
      <c r="X1155" t="s">
        <v>11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 t="s">
        <v>12</v>
      </c>
      <c r="AG1155" t="s">
        <v>12</v>
      </c>
      <c r="AH1155" t="s">
        <v>12</v>
      </c>
      <c r="AI1155" t="s">
        <v>12</v>
      </c>
      <c r="AJ1155" t="s">
        <v>12</v>
      </c>
      <c r="AK1155">
        <v>500000</v>
      </c>
      <c r="AL1155">
        <v>0.21</v>
      </c>
      <c r="AM1155">
        <v>0.19</v>
      </c>
      <c r="AN1155" t="s">
        <v>12</v>
      </c>
      <c r="AO1155" t="s">
        <v>12</v>
      </c>
    </row>
    <row r="1156" spans="1:41" x14ac:dyDescent="0.35">
      <c r="A1156">
        <v>11131782</v>
      </c>
      <c r="B1156">
        <v>202502</v>
      </c>
      <c r="C1156">
        <v>10427119799</v>
      </c>
      <c r="D1156" t="s">
        <v>1433</v>
      </c>
      <c r="E1156">
        <v>42711979</v>
      </c>
      <c r="F1156">
        <v>10251062</v>
      </c>
      <c r="G1156" t="s">
        <v>24</v>
      </c>
      <c r="H1156" t="s">
        <v>1434</v>
      </c>
      <c r="I1156">
        <v>18507.1875</v>
      </c>
      <c r="J1156" s="1">
        <v>45400</v>
      </c>
      <c r="K1156">
        <v>20</v>
      </c>
      <c r="L1156" t="s">
        <v>37</v>
      </c>
      <c r="M1156" t="s">
        <v>37</v>
      </c>
      <c r="N1156" t="s">
        <v>12</v>
      </c>
      <c r="O1156">
        <v>202404</v>
      </c>
      <c r="P1156">
        <v>35001.75</v>
      </c>
      <c r="Q1156" t="s">
        <v>12</v>
      </c>
      <c r="R1156" t="s">
        <v>12</v>
      </c>
      <c r="S1156" t="s">
        <v>12</v>
      </c>
      <c r="T1156" t="s">
        <v>12</v>
      </c>
      <c r="U1156" t="s">
        <v>12</v>
      </c>
      <c r="V1156" t="s">
        <v>12</v>
      </c>
      <c r="W1156" t="s">
        <v>12</v>
      </c>
      <c r="X1156" t="s">
        <v>12</v>
      </c>
      <c r="Y1156" t="s">
        <v>12</v>
      </c>
      <c r="Z1156" t="s">
        <v>12</v>
      </c>
      <c r="AA1156" t="s">
        <v>12</v>
      </c>
      <c r="AB1156" t="s">
        <v>12</v>
      </c>
      <c r="AC1156" t="s">
        <v>12</v>
      </c>
      <c r="AD1156" t="s">
        <v>12</v>
      </c>
      <c r="AE1156" t="s">
        <v>12</v>
      </c>
      <c r="AF1156" t="s">
        <v>12</v>
      </c>
      <c r="AG1156" t="s">
        <v>12</v>
      </c>
      <c r="AH1156" t="s">
        <v>12</v>
      </c>
      <c r="AI1156" t="s">
        <v>12</v>
      </c>
      <c r="AJ1156" t="s">
        <v>12</v>
      </c>
      <c r="AK1156" t="s">
        <v>12</v>
      </c>
      <c r="AL1156" t="s">
        <v>12</v>
      </c>
      <c r="AM1156" t="s">
        <v>12</v>
      </c>
      <c r="AN1156" t="s">
        <v>12</v>
      </c>
      <c r="AO1156" t="s">
        <v>12</v>
      </c>
    </row>
    <row r="1157" spans="1:41" x14ac:dyDescent="0.35">
      <c r="A1157">
        <v>13296219</v>
      </c>
      <c r="B1157">
        <v>202508</v>
      </c>
      <c r="C1157">
        <v>20546308911</v>
      </c>
      <c r="D1157" t="s">
        <v>1435</v>
      </c>
      <c r="E1157" t="s">
        <v>1</v>
      </c>
      <c r="F1157">
        <v>10135500</v>
      </c>
      <c r="G1157" t="s">
        <v>2</v>
      </c>
      <c r="H1157" t="s">
        <v>74</v>
      </c>
      <c r="I1157">
        <v>13737.29296875</v>
      </c>
      <c r="J1157" s="1">
        <v>45975</v>
      </c>
      <c r="K1157">
        <v>19</v>
      </c>
      <c r="L1157" t="s">
        <v>4</v>
      </c>
      <c r="M1157" t="s">
        <v>4</v>
      </c>
      <c r="N1157" t="s">
        <v>5</v>
      </c>
      <c r="O1157">
        <v>202511</v>
      </c>
      <c r="P1157">
        <v>104005.2</v>
      </c>
      <c r="Q1157" t="s">
        <v>74</v>
      </c>
      <c r="R1157" t="s">
        <v>76</v>
      </c>
      <c r="S1157" t="s">
        <v>31</v>
      </c>
      <c r="T1157" t="s">
        <v>32</v>
      </c>
      <c r="U1157" t="s">
        <v>41</v>
      </c>
      <c r="V1157">
        <v>1</v>
      </c>
      <c r="W1157" t="s">
        <v>10</v>
      </c>
      <c r="X1157" t="s">
        <v>12</v>
      </c>
      <c r="Y1157">
        <v>1</v>
      </c>
      <c r="Z1157">
        <v>1</v>
      </c>
      <c r="AA1157">
        <v>0</v>
      </c>
      <c r="AB1157">
        <v>1</v>
      </c>
      <c r="AC1157">
        <v>1</v>
      </c>
      <c r="AD1157">
        <v>1</v>
      </c>
      <c r="AE1157">
        <v>0</v>
      </c>
      <c r="AF1157" t="s">
        <v>12</v>
      </c>
      <c r="AG1157" t="s">
        <v>12</v>
      </c>
      <c r="AH1157" t="s">
        <v>12</v>
      </c>
      <c r="AI1157" t="s">
        <v>12</v>
      </c>
      <c r="AJ1157" t="s">
        <v>12</v>
      </c>
      <c r="AK1157">
        <v>400000</v>
      </c>
      <c r="AL1157">
        <v>0.26</v>
      </c>
      <c r="AM1157">
        <v>0.24</v>
      </c>
      <c r="AN1157" t="s">
        <v>12</v>
      </c>
      <c r="AO1157" t="s">
        <v>12</v>
      </c>
    </row>
    <row r="1158" spans="1:41" x14ac:dyDescent="0.35">
      <c r="A1158">
        <v>21230655</v>
      </c>
      <c r="B1158">
        <v>202601</v>
      </c>
      <c r="C1158">
        <v>20547652585</v>
      </c>
      <c r="D1158" t="s">
        <v>581</v>
      </c>
      <c r="E1158" t="s">
        <v>1</v>
      </c>
      <c r="F1158">
        <v>10270874</v>
      </c>
      <c r="G1158" t="s">
        <v>78</v>
      </c>
      <c r="H1158" t="s">
        <v>135</v>
      </c>
      <c r="I1158">
        <v>107242.046875</v>
      </c>
      <c r="J1158" s="1">
        <v>45897</v>
      </c>
      <c r="K1158">
        <v>18</v>
      </c>
      <c r="L1158" t="s">
        <v>4</v>
      </c>
      <c r="M1158" t="s">
        <v>4</v>
      </c>
      <c r="N1158" t="s">
        <v>41</v>
      </c>
      <c r="O1158">
        <v>202508</v>
      </c>
      <c r="P1158">
        <v>125006.25</v>
      </c>
      <c r="Q1158" t="s">
        <v>135</v>
      </c>
      <c r="R1158" t="s">
        <v>136</v>
      </c>
      <c r="S1158" t="s">
        <v>18</v>
      </c>
      <c r="T1158" t="s">
        <v>19</v>
      </c>
      <c r="U1158" t="s">
        <v>63</v>
      </c>
      <c r="V1158">
        <v>1</v>
      </c>
      <c r="W1158" t="s">
        <v>10</v>
      </c>
      <c r="X1158" t="s">
        <v>51</v>
      </c>
      <c r="Y1158">
        <v>1</v>
      </c>
      <c r="Z1158">
        <v>1</v>
      </c>
      <c r="AA1158">
        <v>0</v>
      </c>
      <c r="AB1158">
        <v>0</v>
      </c>
      <c r="AC1158">
        <v>1</v>
      </c>
      <c r="AD1158">
        <v>1</v>
      </c>
      <c r="AE1158">
        <v>0</v>
      </c>
      <c r="AF1158" t="s">
        <v>12</v>
      </c>
      <c r="AG1158" t="s">
        <v>12</v>
      </c>
      <c r="AH1158" t="s">
        <v>12</v>
      </c>
      <c r="AI1158" t="s">
        <v>12</v>
      </c>
      <c r="AJ1158" t="s">
        <v>12</v>
      </c>
      <c r="AK1158">
        <v>50000</v>
      </c>
      <c r="AL1158">
        <v>0.21</v>
      </c>
      <c r="AM1158">
        <v>0.19</v>
      </c>
      <c r="AN1158" t="s">
        <v>12</v>
      </c>
      <c r="AO1158" t="s">
        <v>12</v>
      </c>
    </row>
    <row r="1159" spans="1:41" x14ac:dyDescent="0.35">
      <c r="A1159">
        <v>21642637</v>
      </c>
      <c r="B1159">
        <v>202511</v>
      </c>
      <c r="C1159">
        <v>20601259240</v>
      </c>
      <c r="D1159" t="s">
        <v>1436</v>
      </c>
      <c r="E1159" t="s">
        <v>1</v>
      </c>
      <c r="F1159">
        <v>10267871</v>
      </c>
      <c r="G1159" t="s">
        <v>100</v>
      </c>
      <c r="H1159" t="s">
        <v>159</v>
      </c>
      <c r="I1159">
        <v>40267.078125</v>
      </c>
      <c r="J1159" s="1">
        <v>45793</v>
      </c>
      <c r="K1159">
        <v>16.100000000000001</v>
      </c>
      <c r="L1159" t="s">
        <v>37</v>
      </c>
      <c r="M1159" t="s">
        <v>37</v>
      </c>
      <c r="N1159" t="s">
        <v>102</v>
      </c>
      <c r="O1159">
        <v>202505</v>
      </c>
      <c r="P1159">
        <v>72051.100000000006</v>
      </c>
      <c r="Q1159" t="s">
        <v>93</v>
      </c>
      <c r="R1159" t="s">
        <v>94</v>
      </c>
      <c r="S1159" t="s">
        <v>7</v>
      </c>
      <c r="T1159" t="s">
        <v>8</v>
      </c>
      <c r="U1159" t="s">
        <v>41</v>
      </c>
      <c r="V1159">
        <v>1</v>
      </c>
      <c r="W1159" t="s">
        <v>10</v>
      </c>
      <c r="X1159" t="s">
        <v>51</v>
      </c>
      <c r="Y1159">
        <v>1</v>
      </c>
      <c r="Z1159">
        <v>1</v>
      </c>
      <c r="AA1159">
        <v>0</v>
      </c>
      <c r="AB1159">
        <v>1</v>
      </c>
      <c r="AC1159">
        <v>1</v>
      </c>
      <c r="AD1159">
        <v>0</v>
      </c>
      <c r="AE1159">
        <v>0</v>
      </c>
      <c r="AF1159" t="s">
        <v>12</v>
      </c>
      <c r="AG1159" t="s">
        <v>12</v>
      </c>
      <c r="AH1159" t="s">
        <v>12</v>
      </c>
      <c r="AI1159" t="s">
        <v>12</v>
      </c>
      <c r="AJ1159" t="s">
        <v>12</v>
      </c>
      <c r="AK1159">
        <v>250000</v>
      </c>
      <c r="AL1159">
        <v>0.2248</v>
      </c>
      <c r="AM1159">
        <v>0.20480000000000001</v>
      </c>
      <c r="AN1159" t="s">
        <v>12</v>
      </c>
      <c r="AO1159" t="s">
        <v>12</v>
      </c>
    </row>
    <row r="1160" spans="1:41" x14ac:dyDescent="0.35">
      <c r="A1160">
        <v>11450608</v>
      </c>
      <c r="B1160">
        <v>202510</v>
      </c>
      <c r="C1160">
        <v>10426120602</v>
      </c>
      <c r="D1160" t="s">
        <v>527</v>
      </c>
      <c r="E1160">
        <v>42612060</v>
      </c>
      <c r="F1160">
        <v>10253266</v>
      </c>
      <c r="G1160" t="s">
        <v>53</v>
      </c>
      <c r="H1160" t="s">
        <v>317</v>
      </c>
      <c r="I1160">
        <v>30300.041015625</v>
      </c>
      <c r="J1160" s="1">
        <v>45435</v>
      </c>
      <c r="K1160">
        <v>17.899999999999999</v>
      </c>
      <c r="L1160" t="s">
        <v>4</v>
      </c>
      <c r="M1160" t="s">
        <v>4</v>
      </c>
      <c r="N1160" t="s">
        <v>47</v>
      </c>
      <c r="O1160">
        <v>202405</v>
      </c>
      <c r="P1160">
        <v>52002.6</v>
      </c>
      <c r="Q1160" t="s">
        <v>317</v>
      </c>
      <c r="R1160" t="s">
        <v>318</v>
      </c>
      <c r="S1160" t="s">
        <v>88</v>
      </c>
      <c r="T1160" t="s">
        <v>89</v>
      </c>
      <c r="U1160" t="s">
        <v>20</v>
      </c>
      <c r="V1160">
        <v>2</v>
      </c>
      <c r="W1160" t="s">
        <v>10</v>
      </c>
      <c r="X1160" t="s">
        <v>12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 t="s">
        <v>12</v>
      </c>
      <c r="AG1160" t="s">
        <v>12</v>
      </c>
      <c r="AH1160" t="s">
        <v>12</v>
      </c>
      <c r="AI1160" t="s">
        <v>12</v>
      </c>
      <c r="AJ1160" t="s">
        <v>12</v>
      </c>
      <c r="AK1160">
        <v>1</v>
      </c>
      <c r="AL1160">
        <v>1</v>
      </c>
      <c r="AM1160" t="s">
        <v>12</v>
      </c>
      <c r="AN1160" t="s">
        <v>12</v>
      </c>
      <c r="AO1160" t="s">
        <v>12</v>
      </c>
    </row>
    <row r="1161" spans="1:41" x14ac:dyDescent="0.35">
      <c r="A1161">
        <v>12861376</v>
      </c>
      <c r="B1161">
        <v>202510</v>
      </c>
      <c r="C1161">
        <v>20522073807</v>
      </c>
      <c r="D1161" t="s">
        <v>1437</v>
      </c>
      <c r="E1161" t="s">
        <v>1</v>
      </c>
      <c r="F1161">
        <v>10168245</v>
      </c>
      <c r="G1161" t="s">
        <v>2</v>
      </c>
      <c r="H1161" t="s">
        <v>124</v>
      </c>
      <c r="I1161">
        <v>107423.6171875</v>
      </c>
      <c r="J1161" s="1">
        <v>45849</v>
      </c>
      <c r="K1161">
        <v>14</v>
      </c>
      <c r="L1161" t="s">
        <v>86</v>
      </c>
      <c r="M1161" t="s">
        <v>86</v>
      </c>
      <c r="N1161" t="s">
        <v>5</v>
      </c>
      <c r="O1161">
        <v>202507</v>
      </c>
      <c r="P1161">
        <v>140007</v>
      </c>
      <c r="Q1161" t="s">
        <v>124</v>
      </c>
      <c r="R1161" t="s">
        <v>125</v>
      </c>
      <c r="S1161" t="s">
        <v>88</v>
      </c>
      <c r="T1161" t="s">
        <v>89</v>
      </c>
      <c r="U1161" t="s">
        <v>20</v>
      </c>
      <c r="V1161">
        <v>2</v>
      </c>
      <c r="W1161" t="s">
        <v>10</v>
      </c>
      <c r="X1161" t="s">
        <v>12</v>
      </c>
      <c r="Y1161">
        <v>1</v>
      </c>
      <c r="Z1161">
        <v>1</v>
      </c>
      <c r="AA1161">
        <v>0</v>
      </c>
      <c r="AB1161">
        <v>0</v>
      </c>
      <c r="AC1161">
        <v>1</v>
      </c>
      <c r="AD1161">
        <v>1</v>
      </c>
      <c r="AE1161">
        <v>0</v>
      </c>
      <c r="AF1161" t="s">
        <v>12</v>
      </c>
      <c r="AG1161" t="s">
        <v>12</v>
      </c>
      <c r="AH1161" t="s">
        <v>12</v>
      </c>
      <c r="AI1161" t="s">
        <v>12</v>
      </c>
      <c r="AJ1161" t="s">
        <v>12</v>
      </c>
      <c r="AK1161">
        <v>1</v>
      </c>
      <c r="AL1161">
        <v>1</v>
      </c>
      <c r="AM1161" t="s">
        <v>12</v>
      </c>
      <c r="AN1161" t="s">
        <v>12</v>
      </c>
      <c r="AO1161" t="s">
        <v>12</v>
      </c>
    </row>
    <row r="1162" spans="1:41" x14ac:dyDescent="0.35">
      <c r="A1162">
        <v>21188949</v>
      </c>
      <c r="B1162">
        <v>202511</v>
      </c>
      <c r="C1162">
        <v>20552766688</v>
      </c>
      <c r="D1162" t="s">
        <v>77</v>
      </c>
      <c r="E1162" t="s">
        <v>1</v>
      </c>
      <c r="F1162">
        <v>10260983</v>
      </c>
      <c r="G1162" t="s">
        <v>65</v>
      </c>
      <c r="H1162" t="s">
        <v>79</v>
      </c>
      <c r="I1162">
        <v>132850.109375</v>
      </c>
      <c r="J1162" s="1">
        <v>45561</v>
      </c>
      <c r="K1162">
        <v>14.49</v>
      </c>
      <c r="L1162" t="s">
        <v>37</v>
      </c>
      <c r="M1162" t="s">
        <v>37</v>
      </c>
      <c r="N1162" t="s">
        <v>47</v>
      </c>
      <c r="O1162">
        <v>202409</v>
      </c>
      <c r="P1162">
        <v>180409</v>
      </c>
      <c r="Q1162" t="s">
        <v>79</v>
      </c>
      <c r="R1162" t="s">
        <v>80</v>
      </c>
      <c r="S1162" t="s">
        <v>31</v>
      </c>
      <c r="T1162" t="s">
        <v>32</v>
      </c>
      <c r="U1162" t="s">
        <v>9</v>
      </c>
      <c r="V1162">
        <v>1</v>
      </c>
      <c r="W1162" t="s">
        <v>10</v>
      </c>
      <c r="X1162" t="s">
        <v>11</v>
      </c>
      <c r="Y1162">
        <v>1</v>
      </c>
      <c r="Z1162">
        <v>1</v>
      </c>
      <c r="AA1162">
        <v>0</v>
      </c>
      <c r="AB1162">
        <v>0</v>
      </c>
      <c r="AC1162">
        <v>1</v>
      </c>
      <c r="AD1162">
        <v>1</v>
      </c>
      <c r="AE1162">
        <v>0</v>
      </c>
      <c r="AF1162" t="s">
        <v>12</v>
      </c>
      <c r="AG1162" t="s">
        <v>12</v>
      </c>
      <c r="AH1162" t="s">
        <v>12</v>
      </c>
      <c r="AI1162" t="s">
        <v>12</v>
      </c>
      <c r="AJ1162" t="s">
        <v>12</v>
      </c>
      <c r="AK1162">
        <v>0</v>
      </c>
      <c r="AL1162">
        <v>0</v>
      </c>
      <c r="AM1162">
        <v>0.19</v>
      </c>
      <c r="AN1162" t="s">
        <v>12</v>
      </c>
      <c r="AO1162" t="s">
        <v>12</v>
      </c>
    </row>
    <row r="1163" spans="1:41" x14ac:dyDescent="0.35">
      <c r="A1163">
        <v>17031632</v>
      </c>
      <c r="B1163">
        <v>202506</v>
      </c>
      <c r="C1163">
        <v>20512419918</v>
      </c>
      <c r="D1163" t="s">
        <v>1402</v>
      </c>
      <c r="E1163" t="s">
        <v>1</v>
      </c>
      <c r="F1163">
        <v>10264525</v>
      </c>
      <c r="G1163" t="s">
        <v>92</v>
      </c>
      <c r="H1163" t="s">
        <v>305</v>
      </c>
      <c r="I1163">
        <v>164356.953125</v>
      </c>
      <c r="J1163" s="1">
        <v>45670</v>
      </c>
      <c r="K1163">
        <v>18</v>
      </c>
      <c r="L1163" t="s">
        <v>4</v>
      </c>
      <c r="M1163" t="s">
        <v>4</v>
      </c>
      <c r="N1163" t="s">
        <v>41</v>
      </c>
      <c r="O1163">
        <v>202501</v>
      </c>
      <c r="P1163">
        <v>200010</v>
      </c>
      <c r="Q1163" t="s">
        <v>12</v>
      </c>
      <c r="R1163" t="s">
        <v>12</v>
      </c>
      <c r="S1163" t="s">
        <v>12</v>
      </c>
      <c r="T1163" t="s">
        <v>12</v>
      </c>
      <c r="U1163" t="s">
        <v>12</v>
      </c>
      <c r="V1163" t="s">
        <v>12</v>
      </c>
      <c r="W1163" t="s">
        <v>12</v>
      </c>
      <c r="X1163" t="s">
        <v>12</v>
      </c>
      <c r="Y1163" t="s">
        <v>12</v>
      </c>
      <c r="Z1163" t="s">
        <v>12</v>
      </c>
      <c r="AA1163" t="s">
        <v>12</v>
      </c>
      <c r="AB1163" t="s">
        <v>12</v>
      </c>
      <c r="AC1163" t="s">
        <v>12</v>
      </c>
      <c r="AD1163" t="s">
        <v>12</v>
      </c>
      <c r="AE1163" t="s">
        <v>12</v>
      </c>
      <c r="AF1163" t="s">
        <v>12</v>
      </c>
      <c r="AG1163" t="s">
        <v>12</v>
      </c>
      <c r="AH1163" t="s">
        <v>12</v>
      </c>
      <c r="AI1163" t="s">
        <v>12</v>
      </c>
      <c r="AJ1163" t="s">
        <v>12</v>
      </c>
      <c r="AK1163" t="s">
        <v>12</v>
      </c>
      <c r="AL1163" t="s">
        <v>12</v>
      </c>
      <c r="AM1163" t="s">
        <v>12</v>
      </c>
      <c r="AN1163" t="s">
        <v>12</v>
      </c>
      <c r="AO1163" t="s">
        <v>12</v>
      </c>
    </row>
    <row r="1164" spans="1:41" x14ac:dyDescent="0.35">
      <c r="A1164">
        <v>2168003</v>
      </c>
      <c r="B1164">
        <v>202510</v>
      </c>
      <c r="C1164">
        <v>20118816707</v>
      </c>
      <c r="D1164" t="s">
        <v>1438</v>
      </c>
      <c r="E1164" t="s">
        <v>1</v>
      </c>
      <c r="F1164">
        <v>10256279</v>
      </c>
      <c r="G1164" t="s">
        <v>65</v>
      </c>
      <c r="H1164" t="s">
        <v>49</v>
      </c>
      <c r="I1164">
        <v>55282.66796875</v>
      </c>
      <c r="J1164" s="1">
        <v>45468</v>
      </c>
      <c r="K1164">
        <v>13.5</v>
      </c>
      <c r="L1164" t="s">
        <v>37</v>
      </c>
      <c r="M1164" t="s">
        <v>37</v>
      </c>
      <c r="N1164" t="s">
        <v>47</v>
      </c>
      <c r="O1164">
        <v>202406</v>
      </c>
      <c r="P1164">
        <v>90004.5</v>
      </c>
      <c r="Q1164" t="s">
        <v>492</v>
      </c>
      <c r="R1164" t="s">
        <v>493</v>
      </c>
      <c r="S1164" t="s">
        <v>49</v>
      </c>
      <c r="T1164" t="s">
        <v>50</v>
      </c>
      <c r="U1164" t="s">
        <v>41</v>
      </c>
      <c r="V1164">
        <v>1</v>
      </c>
      <c r="W1164" t="s">
        <v>10</v>
      </c>
      <c r="X1164" t="s">
        <v>12</v>
      </c>
      <c r="Y1164">
        <v>1</v>
      </c>
      <c r="Z1164">
        <v>1</v>
      </c>
      <c r="AA1164">
        <v>0</v>
      </c>
      <c r="AB1164">
        <v>1</v>
      </c>
      <c r="AC1164">
        <v>1</v>
      </c>
      <c r="AD1164">
        <v>1</v>
      </c>
      <c r="AE1164">
        <v>0</v>
      </c>
      <c r="AF1164" t="s">
        <v>12</v>
      </c>
      <c r="AG1164" t="s">
        <v>12</v>
      </c>
      <c r="AH1164" t="s">
        <v>12</v>
      </c>
      <c r="AI1164" t="s">
        <v>12</v>
      </c>
      <c r="AJ1164" t="s">
        <v>12</v>
      </c>
      <c r="AK1164">
        <v>400000</v>
      </c>
      <c r="AL1164">
        <v>0.21</v>
      </c>
      <c r="AM1164">
        <v>0.19</v>
      </c>
      <c r="AN1164" t="s">
        <v>12</v>
      </c>
      <c r="AO1164" t="s">
        <v>12</v>
      </c>
    </row>
    <row r="1165" spans="1:41" x14ac:dyDescent="0.35">
      <c r="A1165">
        <v>8876998</v>
      </c>
      <c r="B1165">
        <v>202511</v>
      </c>
      <c r="C1165">
        <v>10178843287</v>
      </c>
      <c r="D1165" t="s">
        <v>1439</v>
      </c>
      <c r="E1165">
        <v>17884328</v>
      </c>
      <c r="F1165">
        <v>10270127</v>
      </c>
      <c r="G1165" t="s">
        <v>100</v>
      </c>
      <c r="H1165" t="s">
        <v>159</v>
      </c>
      <c r="I1165">
        <v>39462.71875</v>
      </c>
      <c r="J1165" s="1">
        <v>45869</v>
      </c>
      <c r="K1165">
        <v>15</v>
      </c>
      <c r="L1165" t="s">
        <v>37</v>
      </c>
      <c r="M1165" t="s">
        <v>37</v>
      </c>
      <c r="N1165" t="s">
        <v>102</v>
      </c>
      <c r="O1165">
        <v>202507</v>
      </c>
      <c r="P1165">
        <v>106207.8</v>
      </c>
      <c r="Q1165" t="s">
        <v>12</v>
      </c>
      <c r="R1165" t="s">
        <v>12</v>
      </c>
      <c r="S1165" t="s">
        <v>12</v>
      </c>
      <c r="T1165" t="s">
        <v>12</v>
      </c>
      <c r="U1165" t="s">
        <v>12</v>
      </c>
      <c r="V1165" t="s">
        <v>12</v>
      </c>
      <c r="W1165" t="s">
        <v>12</v>
      </c>
      <c r="X1165" t="s">
        <v>12</v>
      </c>
      <c r="Y1165" t="s">
        <v>12</v>
      </c>
      <c r="Z1165" t="s">
        <v>12</v>
      </c>
      <c r="AA1165" t="s">
        <v>12</v>
      </c>
      <c r="AB1165" t="s">
        <v>12</v>
      </c>
      <c r="AC1165" t="s">
        <v>12</v>
      </c>
      <c r="AD1165" t="s">
        <v>12</v>
      </c>
      <c r="AE1165" t="s">
        <v>12</v>
      </c>
      <c r="AF1165" t="s">
        <v>12</v>
      </c>
      <c r="AG1165" t="s">
        <v>12</v>
      </c>
      <c r="AH1165" t="s">
        <v>12</v>
      </c>
      <c r="AI1165" t="s">
        <v>12</v>
      </c>
      <c r="AJ1165" t="s">
        <v>12</v>
      </c>
      <c r="AK1165" t="s">
        <v>12</v>
      </c>
      <c r="AL1165" t="s">
        <v>12</v>
      </c>
      <c r="AM1165" t="s">
        <v>12</v>
      </c>
      <c r="AN1165" t="s">
        <v>12</v>
      </c>
      <c r="AO1165" t="s">
        <v>12</v>
      </c>
    </row>
    <row r="1166" spans="1:41" x14ac:dyDescent="0.35">
      <c r="A1166">
        <v>20225317</v>
      </c>
      <c r="B1166">
        <v>202511</v>
      </c>
      <c r="C1166">
        <v>20601932793</v>
      </c>
      <c r="D1166" t="s">
        <v>1440</v>
      </c>
      <c r="E1166" t="s">
        <v>1</v>
      </c>
      <c r="F1166">
        <v>10270271</v>
      </c>
      <c r="G1166" t="s">
        <v>14</v>
      </c>
      <c r="H1166" t="s">
        <v>249</v>
      </c>
      <c r="I1166">
        <v>103608.1015625</v>
      </c>
      <c r="J1166" s="1">
        <v>45880</v>
      </c>
      <c r="K1166">
        <v>18</v>
      </c>
      <c r="L1166" t="s">
        <v>37</v>
      </c>
      <c r="M1166" t="s">
        <v>37</v>
      </c>
      <c r="N1166" t="s">
        <v>16</v>
      </c>
      <c r="O1166">
        <v>202508</v>
      </c>
      <c r="P1166">
        <v>120006</v>
      </c>
      <c r="Q1166" t="s">
        <v>249</v>
      </c>
      <c r="R1166" t="s">
        <v>383</v>
      </c>
      <c r="S1166" t="s">
        <v>111</v>
      </c>
      <c r="T1166" t="s">
        <v>112</v>
      </c>
      <c r="U1166" t="s">
        <v>20</v>
      </c>
      <c r="V1166">
        <v>2</v>
      </c>
      <c r="W1166" t="s">
        <v>10</v>
      </c>
      <c r="X1166" t="s">
        <v>22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 t="s">
        <v>12</v>
      </c>
      <c r="AG1166" t="s">
        <v>12</v>
      </c>
      <c r="AH1166" t="s">
        <v>12</v>
      </c>
      <c r="AI1166" t="s">
        <v>12</v>
      </c>
      <c r="AJ1166" t="s">
        <v>12</v>
      </c>
      <c r="AK1166">
        <v>1</v>
      </c>
      <c r="AL1166">
        <v>1</v>
      </c>
      <c r="AM1166" t="s">
        <v>12</v>
      </c>
      <c r="AN1166" t="s">
        <v>12</v>
      </c>
      <c r="AO1166" t="s">
        <v>12</v>
      </c>
    </row>
    <row r="1167" spans="1:41" x14ac:dyDescent="0.35">
      <c r="A1167">
        <v>21627229</v>
      </c>
      <c r="B1167">
        <v>202511</v>
      </c>
      <c r="C1167">
        <v>10429834924</v>
      </c>
      <c r="D1167" t="s">
        <v>1441</v>
      </c>
      <c r="E1167">
        <v>42983492</v>
      </c>
      <c r="F1167">
        <v>10268107</v>
      </c>
      <c r="G1167" t="s">
        <v>144</v>
      </c>
      <c r="H1167" t="s">
        <v>57</v>
      </c>
      <c r="I1167">
        <v>416684.34375</v>
      </c>
      <c r="J1167" s="1">
        <v>45800</v>
      </c>
      <c r="K1167">
        <v>12.5</v>
      </c>
      <c r="L1167" t="s">
        <v>4</v>
      </c>
      <c r="M1167" t="s">
        <v>75</v>
      </c>
      <c r="N1167" t="s">
        <v>20</v>
      </c>
      <c r="O1167">
        <v>202505</v>
      </c>
      <c r="P1167">
        <v>450022.5</v>
      </c>
      <c r="Q1167" t="s">
        <v>57</v>
      </c>
      <c r="R1167" t="s">
        <v>58</v>
      </c>
      <c r="S1167" t="s">
        <v>39</v>
      </c>
      <c r="T1167" t="s">
        <v>40</v>
      </c>
      <c r="U1167" t="s">
        <v>9</v>
      </c>
      <c r="V1167">
        <v>1</v>
      </c>
      <c r="W1167" t="s">
        <v>90</v>
      </c>
      <c r="X1167" t="s">
        <v>59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 t="s">
        <v>12</v>
      </c>
      <c r="AG1167" t="s">
        <v>12</v>
      </c>
      <c r="AH1167" t="s">
        <v>12</v>
      </c>
      <c r="AI1167" t="s">
        <v>12</v>
      </c>
      <c r="AJ1167" t="s">
        <v>12</v>
      </c>
      <c r="AK1167">
        <v>0</v>
      </c>
      <c r="AL1167">
        <v>0</v>
      </c>
      <c r="AM1167">
        <v>0.19</v>
      </c>
      <c r="AN1167" t="s">
        <v>12</v>
      </c>
      <c r="AO1167" t="s">
        <v>12</v>
      </c>
    </row>
    <row r="1168" spans="1:41" x14ac:dyDescent="0.35">
      <c r="A1168">
        <v>16218915</v>
      </c>
      <c r="B1168">
        <v>202602</v>
      </c>
      <c r="C1168">
        <v>20601968551</v>
      </c>
      <c r="D1168" t="s">
        <v>1326</v>
      </c>
      <c r="E1168" t="s">
        <v>1</v>
      </c>
      <c r="F1168">
        <v>10273059</v>
      </c>
      <c r="G1168" t="s">
        <v>92</v>
      </c>
      <c r="H1168" t="s">
        <v>54</v>
      </c>
      <c r="I1168">
        <v>282315.25</v>
      </c>
      <c r="J1168" s="1">
        <v>45973</v>
      </c>
      <c r="K1168">
        <v>18.5</v>
      </c>
      <c r="L1168" t="s">
        <v>4</v>
      </c>
      <c r="M1168" t="s">
        <v>4</v>
      </c>
      <c r="N1168" t="s">
        <v>41</v>
      </c>
      <c r="O1168">
        <v>202511</v>
      </c>
      <c r="P1168">
        <v>101903.6</v>
      </c>
      <c r="Q1168" t="s">
        <v>54</v>
      </c>
      <c r="R1168" t="s">
        <v>55</v>
      </c>
      <c r="S1168" t="s">
        <v>31</v>
      </c>
      <c r="T1168" t="s">
        <v>32</v>
      </c>
      <c r="U1168" t="s">
        <v>138</v>
      </c>
      <c r="V1168">
        <v>1</v>
      </c>
      <c r="W1168" t="s">
        <v>10</v>
      </c>
      <c r="X1168" t="s">
        <v>11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 t="s">
        <v>12</v>
      </c>
      <c r="AG1168" t="s">
        <v>12</v>
      </c>
      <c r="AH1168" t="s">
        <v>12</v>
      </c>
      <c r="AI1168" t="s">
        <v>12</v>
      </c>
      <c r="AJ1168" t="s">
        <v>12</v>
      </c>
      <c r="AK1168">
        <v>0</v>
      </c>
      <c r="AL1168">
        <v>0</v>
      </c>
      <c r="AM1168">
        <v>0</v>
      </c>
      <c r="AN1168" t="s">
        <v>12</v>
      </c>
      <c r="AO1168" t="s">
        <v>12</v>
      </c>
    </row>
    <row r="1169" spans="1:41" x14ac:dyDescent="0.35">
      <c r="A1169">
        <v>19505849</v>
      </c>
      <c r="B1169">
        <v>202510</v>
      </c>
      <c r="C1169">
        <v>20602841465</v>
      </c>
      <c r="D1169" t="s">
        <v>610</v>
      </c>
      <c r="E1169" t="s">
        <v>1</v>
      </c>
      <c r="F1169">
        <v>10246407</v>
      </c>
      <c r="G1169" t="s">
        <v>92</v>
      </c>
      <c r="H1169" t="s">
        <v>338</v>
      </c>
      <c r="I1169">
        <v>22095.85546875</v>
      </c>
      <c r="J1169" s="1">
        <v>45272</v>
      </c>
      <c r="K1169">
        <v>18.84</v>
      </c>
      <c r="L1169" t="s">
        <v>4</v>
      </c>
      <c r="M1169" t="s">
        <v>4</v>
      </c>
      <c r="N1169" t="s">
        <v>41</v>
      </c>
      <c r="O1169">
        <v>202312</v>
      </c>
      <c r="P1169">
        <v>120006</v>
      </c>
      <c r="Q1169" t="s">
        <v>12</v>
      </c>
      <c r="R1169" t="s">
        <v>12</v>
      </c>
      <c r="S1169" t="s">
        <v>12</v>
      </c>
      <c r="T1169" t="s">
        <v>12</v>
      </c>
      <c r="U1169" t="s">
        <v>12</v>
      </c>
      <c r="V1169" t="s">
        <v>12</v>
      </c>
      <c r="W1169" t="s">
        <v>12</v>
      </c>
      <c r="X1169" t="s">
        <v>12</v>
      </c>
      <c r="Y1169" t="s">
        <v>12</v>
      </c>
      <c r="Z1169" t="s">
        <v>12</v>
      </c>
      <c r="AA1169" t="s">
        <v>12</v>
      </c>
      <c r="AB1169" t="s">
        <v>12</v>
      </c>
      <c r="AC1169" t="s">
        <v>12</v>
      </c>
      <c r="AD1169" t="s">
        <v>12</v>
      </c>
      <c r="AE1169" t="s">
        <v>12</v>
      </c>
      <c r="AF1169" t="s">
        <v>12</v>
      </c>
      <c r="AG1169" t="s">
        <v>12</v>
      </c>
      <c r="AH1169" t="s">
        <v>12</v>
      </c>
      <c r="AI1169" t="s">
        <v>12</v>
      </c>
      <c r="AJ1169" t="s">
        <v>12</v>
      </c>
      <c r="AK1169" t="s">
        <v>12</v>
      </c>
      <c r="AL1169" t="s">
        <v>12</v>
      </c>
      <c r="AM1169" t="s">
        <v>12</v>
      </c>
      <c r="AN1169" t="s">
        <v>12</v>
      </c>
      <c r="AO1169" t="s">
        <v>12</v>
      </c>
    </row>
    <row r="1170" spans="1:41" x14ac:dyDescent="0.35">
      <c r="A1170">
        <v>17133657</v>
      </c>
      <c r="B1170">
        <v>202511</v>
      </c>
      <c r="C1170">
        <v>20523691261</v>
      </c>
      <c r="D1170" t="s">
        <v>486</v>
      </c>
      <c r="E1170" t="s">
        <v>1</v>
      </c>
      <c r="F1170">
        <v>10266697</v>
      </c>
      <c r="G1170" t="s">
        <v>92</v>
      </c>
      <c r="H1170" t="s">
        <v>31</v>
      </c>
      <c r="I1170">
        <v>84049.09375</v>
      </c>
      <c r="J1170" s="1">
        <v>45744</v>
      </c>
      <c r="K1170">
        <v>17</v>
      </c>
      <c r="L1170" t="s">
        <v>4</v>
      </c>
      <c r="M1170" t="s">
        <v>4</v>
      </c>
      <c r="N1170" t="s">
        <v>41</v>
      </c>
      <c r="O1170">
        <v>202503</v>
      </c>
      <c r="P1170">
        <v>130006.5</v>
      </c>
      <c r="Q1170" t="s">
        <v>12</v>
      </c>
      <c r="R1170" t="s">
        <v>12</v>
      </c>
      <c r="S1170" t="s">
        <v>12</v>
      </c>
      <c r="T1170" t="s">
        <v>12</v>
      </c>
      <c r="U1170" t="s">
        <v>12</v>
      </c>
      <c r="V1170" t="s">
        <v>12</v>
      </c>
      <c r="W1170" t="s">
        <v>12</v>
      </c>
      <c r="X1170" t="s">
        <v>12</v>
      </c>
      <c r="Y1170" t="s">
        <v>12</v>
      </c>
      <c r="Z1170" t="s">
        <v>12</v>
      </c>
      <c r="AA1170" t="s">
        <v>12</v>
      </c>
      <c r="AB1170" t="s">
        <v>12</v>
      </c>
      <c r="AC1170" t="s">
        <v>12</v>
      </c>
      <c r="AD1170" t="s">
        <v>12</v>
      </c>
      <c r="AE1170" t="s">
        <v>12</v>
      </c>
      <c r="AF1170" t="s">
        <v>12</v>
      </c>
      <c r="AG1170" t="s">
        <v>12</v>
      </c>
      <c r="AH1170" t="s">
        <v>12</v>
      </c>
      <c r="AI1170" t="s">
        <v>12</v>
      </c>
      <c r="AJ1170" t="s">
        <v>12</v>
      </c>
      <c r="AK1170" t="s">
        <v>12</v>
      </c>
      <c r="AL1170" t="s">
        <v>12</v>
      </c>
      <c r="AM1170" t="s">
        <v>12</v>
      </c>
      <c r="AN1170" t="s">
        <v>12</v>
      </c>
      <c r="AO1170" t="s">
        <v>12</v>
      </c>
    </row>
    <row r="1171" spans="1:41" x14ac:dyDescent="0.35">
      <c r="A1171">
        <v>11905388</v>
      </c>
      <c r="B1171">
        <v>202512</v>
      </c>
      <c r="C1171">
        <v>10432252189</v>
      </c>
      <c r="D1171" t="s">
        <v>1442</v>
      </c>
      <c r="E1171">
        <v>43225218</v>
      </c>
      <c r="F1171">
        <v>10265893</v>
      </c>
      <c r="G1171" t="s">
        <v>100</v>
      </c>
      <c r="H1171" t="s">
        <v>166</v>
      </c>
      <c r="I1171">
        <v>58944.140625</v>
      </c>
      <c r="J1171" s="1">
        <v>45716</v>
      </c>
      <c r="K1171">
        <v>14</v>
      </c>
      <c r="L1171" t="s">
        <v>37</v>
      </c>
      <c r="M1171" t="s">
        <v>37</v>
      </c>
      <c r="N1171" t="s">
        <v>102</v>
      </c>
      <c r="O1171">
        <v>202502</v>
      </c>
      <c r="P1171">
        <v>126006.3</v>
      </c>
      <c r="Q1171" t="s">
        <v>166</v>
      </c>
      <c r="R1171" t="s">
        <v>167</v>
      </c>
      <c r="S1171" t="s">
        <v>111</v>
      </c>
      <c r="T1171" t="s">
        <v>112</v>
      </c>
      <c r="U1171" t="s">
        <v>41</v>
      </c>
      <c r="V1171">
        <v>2</v>
      </c>
      <c r="W1171" t="s">
        <v>10</v>
      </c>
      <c r="X1171" t="s">
        <v>59</v>
      </c>
      <c r="Y1171">
        <v>1</v>
      </c>
      <c r="Z1171">
        <v>1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 t="s">
        <v>12</v>
      </c>
      <c r="AG1171" t="s">
        <v>12</v>
      </c>
      <c r="AH1171" t="s">
        <v>12</v>
      </c>
      <c r="AI1171" t="s">
        <v>12</v>
      </c>
      <c r="AJ1171" t="s">
        <v>12</v>
      </c>
      <c r="AK1171">
        <v>200000</v>
      </c>
      <c r="AL1171">
        <v>0.21920000000000001</v>
      </c>
      <c r="AM1171">
        <v>0.19919999999999999</v>
      </c>
      <c r="AN1171" t="s">
        <v>12</v>
      </c>
      <c r="AO1171" t="s">
        <v>12</v>
      </c>
    </row>
    <row r="1172" spans="1:41" x14ac:dyDescent="0.35">
      <c r="A1172">
        <v>21812457</v>
      </c>
      <c r="B1172">
        <v>202512</v>
      </c>
      <c r="C1172">
        <v>20608055976</v>
      </c>
      <c r="D1172" t="s">
        <v>1443</v>
      </c>
      <c r="E1172" t="s">
        <v>1</v>
      </c>
      <c r="F1172">
        <v>10270652</v>
      </c>
      <c r="G1172" t="s">
        <v>14</v>
      </c>
      <c r="H1172" t="s">
        <v>170</v>
      </c>
      <c r="I1172">
        <v>145764.359375</v>
      </c>
      <c r="J1172" s="1">
        <v>45894</v>
      </c>
      <c r="K1172">
        <v>17</v>
      </c>
      <c r="L1172" t="s">
        <v>37</v>
      </c>
      <c r="M1172" t="s">
        <v>37</v>
      </c>
      <c r="N1172" t="s">
        <v>16</v>
      </c>
      <c r="O1172">
        <v>202508</v>
      </c>
      <c r="P1172">
        <v>170008.5</v>
      </c>
      <c r="Q1172" t="s">
        <v>170</v>
      </c>
      <c r="R1172" t="s">
        <v>171</v>
      </c>
      <c r="S1172" t="s">
        <v>111</v>
      </c>
      <c r="T1172" t="s">
        <v>112</v>
      </c>
      <c r="U1172" t="s">
        <v>20</v>
      </c>
      <c r="V1172">
        <v>2</v>
      </c>
      <c r="W1172" t="s">
        <v>10</v>
      </c>
      <c r="X1172" t="s">
        <v>22</v>
      </c>
      <c r="Y1172">
        <v>1</v>
      </c>
      <c r="Z1172">
        <v>1</v>
      </c>
      <c r="AA1172">
        <v>0</v>
      </c>
      <c r="AB1172">
        <v>0</v>
      </c>
      <c r="AC1172">
        <v>1</v>
      </c>
      <c r="AD1172">
        <v>1</v>
      </c>
      <c r="AE1172">
        <v>0</v>
      </c>
      <c r="AF1172" t="s">
        <v>12</v>
      </c>
      <c r="AG1172" t="s">
        <v>12</v>
      </c>
      <c r="AH1172" t="s">
        <v>12</v>
      </c>
      <c r="AI1172" t="s">
        <v>12</v>
      </c>
      <c r="AJ1172" t="s">
        <v>12</v>
      </c>
      <c r="AK1172">
        <v>1</v>
      </c>
      <c r="AL1172">
        <v>1</v>
      </c>
      <c r="AM1172" t="s">
        <v>12</v>
      </c>
      <c r="AN1172" t="s">
        <v>12</v>
      </c>
      <c r="AO1172" t="s">
        <v>12</v>
      </c>
    </row>
    <row r="1173" spans="1:41" x14ac:dyDescent="0.35">
      <c r="A1173">
        <v>21713157</v>
      </c>
      <c r="B1173">
        <v>202509</v>
      </c>
      <c r="C1173">
        <v>20610976884</v>
      </c>
      <c r="D1173" t="s">
        <v>1444</v>
      </c>
      <c r="E1173" t="s">
        <v>1</v>
      </c>
      <c r="F1173">
        <v>10269184</v>
      </c>
      <c r="G1173" t="s">
        <v>28</v>
      </c>
      <c r="H1173" t="s">
        <v>260</v>
      </c>
      <c r="I1173">
        <v>135463.390625</v>
      </c>
      <c r="J1173" s="1">
        <v>45835</v>
      </c>
      <c r="K1173">
        <v>18</v>
      </c>
      <c r="L1173" t="s">
        <v>4</v>
      </c>
      <c r="M1173" t="s">
        <v>75</v>
      </c>
      <c r="N1173" t="s">
        <v>26</v>
      </c>
      <c r="O1173">
        <v>202506</v>
      </c>
      <c r="P1173">
        <v>150007.5</v>
      </c>
      <c r="Q1173" t="s">
        <v>260</v>
      </c>
      <c r="R1173" t="s">
        <v>261</v>
      </c>
      <c r="S1173" t="s">
        <v>18</v>
      </c>
      <c r="T1173" t="s">
        <v>122</v>
      </c>
      <c r="U1173" t="s">
        <v>20</v>
      </c>
      <c r="V1173">
        <v>1</v>
      </c>
      <c r="W1173" t="s">
        <v>10</v>
      </c>
      <c r="X1173" t="s">
        <v>51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 t="s">
        <v>12</v>
      </c>
      <c r="AG1173" t="s">
        <v>12</v>
      </c>
      <c r="AH1173" t="s">
        <v>12</v>
      </c>
      <c r="AI1173" t="s">
        <v>12</v>
      </c>
      <c r="AJ1173" t="s">
        <v>12</v>
      </c>
      <c r="AK1173">
        <v>1</v>
      </c>
      <c r="AL1173">
        <v>1</v>
      </c>
      <c r="AM1173" t="s">
        <v>12</v>
      </c>
      <c r="AN1173" t="s">
        <v>12</v>
      </c>
      <c r="AO1173" t="s">
        <v>12</v>
      </c>
    </row>
    <row r="1174" spans="1:41" x14ac:dyDescent="0.35">
      <c r="A1174">
        <v>21791940</v>
      </c>
      <c r="B1174">
        <v>202512</v>
      </c>
      <c r="C1174">
        <v>20609506378</v>
      </c>
      <c r="D1174" t="s">
        <v>1445</v>
      </c>
      <c r="E1174" t="s">
        <v>1</v>
      </c>
      <c r="F1174">
        <v>10270326</v>
      </c>
      <c r="G1174" t="s">
        <v>100</v>
      </c>
      <c r="H1174" t="s">
        <v>109</v>
      </c>
      <c r="I1174">
        <v>115958.9609375</v>
      </c>
      <c r="J1174" s="1">
        <v>45881</v>
      </c>
      <c r="K1174">
        <v>15</v>
      </c>
      <c r="L1174" t="s">
        <v>37</v>
      </c>
      <c r="M1174" t="s">
        <v>37</v>
      </c>
      <c r="N1174" t="s">
        <v>102</v>
      </c>
      <c r="O1174">
        <v>202508</v>
      </c>
      <c r="P1174">
        <v>142333.1</v>
      </c>
      <c r="Q1174" t="s">
        <v>109</v>
      </c>
      <c r="R1174" t="s">
        <v>110</v>
      </c>
      <c r="S1174" t="s">
        <v>111</v>
      </c>
      <c r="T1174" t="s">
        <v>112</v>
      </c>
      <c r="U1174" t="s">
        <v>9</v>
      </c>
      <c r="V1174">
        <v>2</v>
      </c>
      <c r="W1174" t="s">
        <v>10</v>
      </c>
      <c r="X1174" t="s">
        <v>22</v>
      </c>
      <c r="Y1174">
        <v>1</v>
      </c>
      <c r="Z1174">
        <v>1</v>
      </c>
      <c r="AA1174">
        <v>0</v>
      </c>
      <c r="AB1174">
        <v>0</v>
      </c>
      <c r="AC1174">
        <v>1</v>
      </c>
      <c r="AD1174">
        <v>1</v>
      </c>
      <c r="AE1174">
        <v>0</v>
      </c>
      <c r="AF1174" t="s">
        <v>12</v>
      </c>
      <c r="AG1174" t="s">
        <v>12</v>
      </c>
      <c r="AH1174" t="s">
        <v>12</v>
      </c>
      <c r="AI1174" t="s">
        <v>12</v>
      </c>
      <c r="AJ1174" t="s">
        <v>12</v>
      </c>
      <c r="AK1174">
        <v>0</v>
      </c>
      <c r="AL1174">
        <v>0</v>
      </c>
      <c r="AM1174">
        <v>0</v>
      </c>
      <c r="AN1174" t="s">
        <v>12</v>
      </c>
      <c r="AO1174" t="s">
        <v>12</v>
      </c>
    </row>
    <row r="1175" spans="1:41" x14ac:dyDescent="0.35">
      <c r="A1175">
        <v>16514279</v>
      </c>
      <c r="B1175">
        <v>202510</v>
      </c>
      <c r="C1175">
        <v>10201150367</v>
      </c>
      <c r="D1175" t="s">
        <v>1446</v>
      </c>
      <c r="E1175">
        <v>20115036</v>
      </c>
      <c r="F1175">
        <v>10265631</v>
      </c>
      <c r="G1175" t="s">
        <v>100</v>
      </c>
      <c r="H1175" t="s">
        <v>124</v>
      </c>
      <c r="I1175">
        <v>54816.75</v>
      </c>
      <c r="J1175" s="1">
        <v>45713</v>
      </c>
      <c r="K1175">
        <v>14</v>
      </c>
      <c r="L1175" t="s">
        <v>37</v>
      </c>
      <c r="M1175" t="s">
        <v>37</v>
      </c>
      <c r="N1175" t="s">
        <v>102</v>
      </c>
      <c r="O1175">
        <v>202502</v>
      </c>
      <c r="P1175">
        <v>94304.7</v>
      </c>
      <c r="Q1175" t="s">
        <v>124</v>
      </c>
      <c r="R1175" t="s">
        <v>125</v>
      </c>
      <c r="S1175" t="s">
        <v>88</v>
      </c>
      <c r="T1175" t="s">
        <v>89</v>
      </c>
      <c r="U1175" t="s">
        <v>70</v>
      </c>
      <c r="V1175">
        <v>2</v>
      </c>
      <c r="W1175" t="s">
        <v>10</v>
      </c>
      <c r="X1175" t="s">
        <v>12</v>
      </c>
      <c r="Y1175">
        <v>1</v>
      </c>
      <c r="Z1175">
        <v>1</v>
      </c>
      <c r="AA1175">
        <v>0</v>
      </c>
      <c r="AB1175">
        <v>0</v>
      </c>
      <c r="AC1175">
        <v>1</v>
      </c>
      <c r="AD1175">
        <v>1</v>
      </c>
      <c r="AE1175">
        <v>0</v>
      </c>
      <c r="AF1175" t="s">
        <v>12</v>
      </c>
      <c r="AG1175" t="s">
        <v>12</v>
      </c>
      <c r="AH1175" t="s">
        <v>12</v>
      </c>
      <c r="AI1175" t="s">
        <v>12</v>
      </c>
      <c r="AJ1175" t="s">
        <v>12</v>
      </c>
      <c r="AK1175">
        <v>69000</v>
      </c>
      <c r="AL1175">
        <v>0.19</v>
      </c>
      <c r="AM1175">
        <v>0.17</v>
      </c>
      <c r="AN1175" t="s">
        <v>12</v>
      </c>
      <c r="AO1175" t="s">
        <v>12</v>
      </c>
    </row>
    <row r="1176" spans="1:41" x14ac:dyDescent="0.35">
      <c r="A1176">
        <v>9493252</v>
      </c>
      <c r="B1176">
        <v>202602</v>
      </c>
      <c r="C1176">
        <v>10428485519</v>
      </c>
      <c r="D1176" t="s">
        <v>503</v>
      </c>
      <c r="E1176">
        <v>42848551</v>
      </c>
      <c r="F1176">
        <v>10260450</v>
      </c>
      <c r="G1176" t="s">
        <v>65</v>
      </c>
      <c r="H1176" t="s">
        <v>246</v>
      </c>
      <c r="I1176">
        <v>3766.02709960938</v>
      </c>
      <c r="J1176" s="1">
        <v>45552</v>
      </c>
      <c r="K1176">
        <v>15</v>
      </c>
      <c r="L1176" t="s">
        <v>4</v>
      </c>
      <c r="M1176" t="s">
        <v>4</v>
      </c>
      <c r="N1176" t="s">
        <v>47</v>
      </c>
      <c r="O1176">
        <v>202409</v>
      </c>
      <c r="P1176">
        <v>90004.5</v>
      </c>
      <c r="Q1176" t="s">
        <v>246</v>
      </c>
      <c r="R1176" t="s">
        <v>247</v>
      </c>
      <c r="S1176" t="s">
        <v>18</v>
      </c>
      <c r="T1176" t="s">
        <v>19</v>
      </c>
      <c r="U1176" t="s">
        <v>138</v>
      </c>
      <c r="V1176">
        <v>1</v>
      </c>
      <c r="W1176" t="s">
        <v>10</v>
      </c>
      <c r="X1176" t="s">
        <v>22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 t="s">
        <v>12</v>
      </c>
      <c r="AG1176" t="s">
        <v>12</v>
      </c>
      <c r="AH1176" t="s">
        <v>12</v>
      </c>
      <c r="AI1176" t="s">
        <v>12</v>
      </c>
      <c r="AJ1176" t="s">
        <v>12</v>
      </c>
      <c r="AK1176">
        <v>0</v>
      </c>
      <c r="AL1176">
        <v>0</v>
      </c>
      <c r="AM1176">
        <v>0</v>
      </c>
      <c r="AN1176" t="s">
        <v>12</v>
      </c>
      <c r="AO1176" t="s">
        <v>12</v>
      </c>
    </row>
    <row r="1177" spans="1:41" x14ac:dyDescent="0.35">
      <c r="A1177">
        <v>17311157</v>
      </c>
      <c r="B1177">
        <v>202511</v>
      </c>
      <c r="C1177">
        <v>20606250682</v>
      </c>
      <c r="D1177" t="s">
        <v>1447</v>
      </c>
      <c r="E1177" t="s">
        <v>1</v>
      </c>
      <c r="F1177">
        <v>10261426</v>
      </c>
      <c r="G1177" t="s">
        <v>2</v>
      </c>
      <c r="H1177" t="s">
        <v>166</v>
      </c>
      <c r="I1177">
        <v>90128.4296875</v>
      </c>
      <c r="J1177" s="1">
        <v>45575</v>
      </c>
      <c r="K1177">
        <v>18.200001</v>
      </c>
      <c r="L1177" t="s">
        <v>37</v>
      </c>
      <c r="M1177" t="s">
        <v>37</v>
      </c>
      <c r="N1177" t="s">
        <v>12</v>
      </c>
      <c r="O1177">
        <v>202410</v>
      </c>
      <c r="P1177">
        <v>180009</v>
      </c>
      <c r="Q1177" t="s">
        <v>166</v>
      </c>
      <c r="R1177" t="s">
        <v>167</v>
      </c>
      <c r="S1177" t="s">
        <v>111</v>
      </c>
      <c r="T1177" t="s">
        <v>112</v>
      </c>
      <c r="U1177" t="s">
        <v>5</v>
      </c>
      <c r="V1177">
        <v>2</v>
      </c>
      <c r="W1177" t="s">
        <v>10</v>
      </c>
      <c r="X1177" t="s">
        <v>51</v>
      </c>
      <c r="Y1177">
        <v>1</v>
      </c>
      <c r="Z1177">
        <v>1</v>
      </c>
      <c r="AA1177">
        <v>0</v>
      </c>
      <c r="AB1177">
        <v>1</v>
      </c>
      <c r="AC1177">
        <v>1</v>
      </c>
      <c r="AD1177">
        <v>1</v>
      </c>
      <c r="AE1177">
        <v>0</v>
      </c>
      <c r="AF1177" t="s">
        <v>12</v>
      </c>
      <c r="AG1177" t="s">
        <v>12</v>
      </c>
      <c r="AH1177" t="s">
        <v>12</v>
      </c>
      <c r="AI1177" t="s">
        <v>12</v>
      </c>
      <c r="AJ1177" t="s">
        <v>12</v>
      </c>
      <c r="AK1177">
        <v>82400</v>
      </c>
      <c r="AL1177">
        <v>0.21</v>
      </c>
      <c r="AM1177">
        <v>0.19</v>
      </c>
      <c r="AN1177" t="s">
        <v>12</v>
      </c>
      <c r="AO1177" t="s">
        <v>12</v>
      </c>
    </row>
    <row r="1178" spans="1:41" x14ac:dyDescent="0.35">
      <c r="A1178">
        <v>17244224</v>
      </c>
      <c r="B1178">
        <v>202602</v>
      </c>
      <c r="C1178">
        <v>20601515751</v>
      </c>
      <c r="D1178" t="s">
        <v>1448</v>
      </c>
      <c r="E1178" t="s">
        <v>1</v>
      </c>
      <c r="F1178">
        <v>10272304</v>
      </c>
      <c r="G1178" t="s">
        <v>24</v>
      </c>
      <c r="H1178" t="s">
        <v>204</v>
      </c>
      <c r="I1178">
        <v>256186.59375</v>
      </c>
      <c r="J1178" s="1">
        <v>45947</v>
      </c>
      <c r="K1178">
        <v>16.2</v>
      </c>
      <c r="L1178" t="s">
        <v>4</v>
      </c>
      <c r="M1178" t="s">
        <v>4</v>
      </c>
      <c r="N1178" t="s">
        <v>26</v>
      </c>
      <c r="O1178">
        <v>202510</v>
      </c>
      <c r="P1178">
        <v>300015</v>
      </c>
      <c r="Q1178" t="s">
        <v>204</v>
      </c>
      <c r="R1178" t="s">
        <v>291</v>
      </c>
      <c r="S1178" t="s">
        <v>127</v>
      </c>
      <c r="T1178" t="s">
        <v>147</v>
      </c>
      <c r="U1178" t="s">
        <v>20</v>
      </c>
      <c r="V1178">
        <v>1</v>
      </c>
      <c r="W1178" t="s">
        <v>10</v>
      </c>
      <c r="X1178" t="s">
        <v>22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 t="s">
        <v>12</v>
      </c>
      <c r="AG1178" t="s">
        <v>12</v>
      </c>
      <c r="AH1178" t="s">
        <v>12</v>
      </c>
      <c r="AI1178" t="s">
        <v>12</v>
      </c>
      <c r="AJ1178" t="s">
        <v>12</v>
      </c>
      <c r="AK1178">
        <v>1</v>
      </c>
      <c r="AL1178">
        <v>1</v>
      </c>
      <c r="AM1178" t="s">
        <v>12</v>
      </c>
      <c r="AN1178" t="s">
        <v>12</v>
      </c>
      <c r="AO1178" t="s">
        <v>12</v>
      </c>
    </row>
    <row r="1179" spans="1:41" x14ac:dyDescent="0.35">
      <c r="A1179">
        <v>21010687</v>
      </c>
      <c r="B1179">
        <v>202602</v>
      </c>
      <c r="C1179">
        <v>20571407125</v>
      </c>
      <c r="D1179" t="s">
        <v>1449</v>
      </c>
      <c r="E1179" t="s">
        <v>1</v>
      </c>
      <c r="F1179">
        <v>10266408</v>
      </c>
      <c r="G1179" t="s">
        <v>73</v>
      </c>
      <c r="H1179" t="s">
        <v>412</v>
      </c>
      <c r="I1179">
        <v>31827.509765625</v>
      </c>
      <c r="J1179" s="1">
        <v>45737</v>
      </c>
      <c r="K1179">
        <v>22</v>
      </c>
      <c r="L1179" t="s">
        <v>4</v>
      </c>
      <c r="M1179" t="s">
        <v>4</v>
      </c>
      <c r="N1179" t="s">
        <v>20</v>
      </c>
      <c r="O1179">
        <v>202503</v>
      </c>
      <c r="P1179">
        <v>50002.5</v>
      </c>
      <c r="Q1179" t="s">
        <v>101</v>
      </c>
      <c r="R1179" t="s">
        <v>103</v>
      </c>
      <c r="S1179" t="s">
        <v>88</v>
      </c>
      <c r="T1179" t="s">
        <v>89</v>
      </c>
      <c r="U1179" t="s">
        <v>63</v>
      </c>
      <c r="V1179">
        <v>2</v>
      </c>
      <c r="W1179" t="s">
        <v>10</v>
      </c>
      <c r="X1179" t="s">
        <v>51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 t="s">
        <v>12</v>
      </c>
      <c r="AG1179" t="s">
        <v>12</v>
      </c>
      <c r="AH1179" t="s">
        <v>12</v>
      </c>
      <c r="AI1179" t="s">
        <v>12</v>
      </c>
      <c r="AJ1179" t="s">
        <v>12</v>
      </c>
      <c r="AK1179">
        <v>50000</v>
      </c>
      <c r="AL1179">
        <v>0.21</v>
      </c>
      <c r="AM1179">
        <v>0.19</v>
      </c>
      <c r="AN1179" t="s">
        <v>12</v>
      </c>
      <c r="AO1179" t="s">
        <v>12</v>
      </c>
    </row>
    <row r="1180" spans="1:41" x14ac:dyDescent="0.35">
      <c r="A1180">
        <v>21822477</v>
      </c>
      <c r="B1180">
        <v>202601</v>
      </c>
      <c r="C1180">
        <v>20532956065</v>
      </c>
      <c r="D1180" t="s">
        <v>1450</v>
      </c>
      <c r="E1180" t="s">
        <v>1</v>
      </c>
      <c r="F1180">
        <v>10270844</v>
      </c>
      <c r="G1180" t="s">
        <v>100</v>
      </c>
      <c r="H1180" t="s">
        <v>531</v>
      </c>
      <c r="I1180">
        <v>181780.5625</v>
      </c>
      <c r="J1180" s="1">
        <v>45897</v>
      </c>
      <c r="K1180">
        <v>13</v>
      </c>
      <c r="L1180" t="s">
        <v>37</v>
      </c>
      <c r="M1180" t="s">
        <v>37</v>
      </c>
      <c r="N1180" t="s">
        <v>102</v>
      </c>
      <c r="O1180">
        <v>202508</v>
      </c>
      <c r="P1180">
        <v>222536.1</v>
      </c>
      <c r="Q1180" t="s">
        <v>531</v>
      </c>
      <c r="R1180" t="s">
        <v>532</v>
      </c>
      <c r="S1180" t="s">
        <v>39</v>
      </c>
      <c r="T1180" t="s">
        <v>40</v>
      </c>
      <c r="U1180" t="s">
        <v>168</v>
      </c>
      <c r="V1180">
        <v>1</v>
      </c>
      <c r="W1180" t="s">
        <v>21</v>
      </c>
      <c r="X1180" t="s">
        <v>11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12</v>
      </c>
      <c r="AG1180" t="s">
        <v>12</v>
      </c>
      <c r="AH1180" t="s">
        <v>12</v>
      </c>
      <c r="AI1180" t="s">
        <v>12</v>
      </c>
      <c r="AJ1180" t="s">
        <v>12</v>
      </c>
      <c r="AK1180">
        <v>0</v>
      </c>
      <c r="AL1180">
        <v>0</v>
      </c>
      <c r="AM1180">
        <v>0</v>
      </c>
      <c r="AN1180" t="s">
        <v>12</v>
      </c>
      <c r="AO1180" t="s">
        <v>12</v>
      </c>
    </row>
    <row r="1181" spans="1:41" x14ac:dyDescent="0.35">
      <c r="A1181">
        <v>15372172</v>
      </c>
      <c r="B1181">
        <v>202601</v>
      </c>
      <c r="C1181">
        <v>20546655807</v>
      </c>
      <c r="D1181" t="s">
        <v>781</v>
      </c>
      <c r="E1181" t="s">
        <v>1</v>
      </c>
      <c r="F1181">
        <v>10149452</v>
      </c>
      <c r="G1181" t="s">
        <v>2</v>
      </c>
      <c r="H1181" t="s">
        <v>135</v>
      </c>
      <c r="I1181">
        <v>5050.75634765625</v>
      </c>
      <c r="J1181" s="1">
        <v>45652</v>
      </c>
      <c r="K1181">
        <v>17.38</v>
      </c>
      <c r="L1181" t="s">
        <v>4</v>
      </c>
      <c r="M1181" t="s">
        <v>4</v>
      </c>
      <c r="N1181" t="s">
        <v>5</v>
      </c>
      <c r="O1181">
        <v>202412</v>
      </c>
      <c r="P1181">
        <v>53654.89</v>
      </c>
      <c r="Q1181" t="s">
        <v>135</v>
      </c>
      <c r="R1181" t="s">
        <v>136</v>
      </c>
      <c r="S1181" t="s">
        <v>18</v>
      </c>
      <c r="T1181" t="s">
        <v>19</v>
      </c>
      <c r="U1181" t="s">
        <v>20</v>
      </c>
      <c r="V1181">
        <v>1</v>
      </c>
      <c r="W1181" t="s">
        <v>21</v>
      </c>
      <c r="X1181" t="s">
        <v>22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 t="s">
        <v>12</v>
      </c>
      <c r="AG1181" t="s">
        <v>12</v>
      </c>
      <c r="AH1181" t="s">
        <v>12</v>
      </c>
      <c r="AI1181" t="s">
        <v>12</v>
      </c>
      <c r="AJ1181" t="s">
        <v>12</v>
      </c>
      <c r="AK1181">
        <v>1</v>
      </c>
      <c r="AL1181">
        <v>1</v>
      </c>
      <c r="AM1181">
        <v>0.24</v>
      </c>
      <c r="AN1181" t="s">
        <v>12</v>
      </c>
      <c r="AO1181" t="s">
        <v>12</v>
      </c>
    </row>
    <row r="1182" spans="1:41" x14ac:dyDescent="0.35">
      <c r="A1182">
        <v>21627401</v>
      </c>
      <c r="B1182">
        <v>202506</v>
      </c>
      <c r="C1182">
        <v>20610379215</v>
      </c>
      <c r="D1182" t="s">
        <v>1451</v>
      </c>
      <c r="E1182" t="s">
        <v>1</v>
      </c>
      <c r="F1182">
        <v>10267672</v>
      </c>
      <c r="G1182" t="s">
        <v>100</v>
      </c>
      <c r="H1182" t="s">
        <v>159</v>
      </c>
      <c r="I1182">
        <v>43890.33984375</v>
      </c>
      <c r="J1182" s="1">
        <v>45786</v>
      </c>
      <c r="K1182">
        <v>28</v>
      </c>
      <c r="L1182" t="s">
        <v>37</v>
      </c>
      <c r="M1182" t="s">
        <v>37</v>
      </c>
      <c r="N1182" t="s">
        <v>102</v>
      </c>
      <c r="O1182">
        <v>202505</v>
      </c>
      <c r="P1182">
        <v>50702.5</v>
      </c>
      <c r="Q1182" t="s">
        <v>12</v>
      </c>
      <c r="R1182" t="s">
        <v>12</v>
      </c>
      <c r="S1182" t="s">
        <v>12</v>
      </c>
      <c r="T1182" t="s">
        <v>12</v>
      </c>
      <c r="U1182" t="s">
        <v>12</v>
      </c>
      <c r="V1182" t="s">
        <v>12</v>
      </c>
      <c r="W1182" t="s">
        <v>12</v>
      </c>
      <c r="X1182" t="s">
        <v>12</v>
      </c>
      <c r="Y1182" t="s">
        <v>12</v>
      </c>
      <c r="Z1182" t="s">
        <v>12</v>
      </c>
      <c r="AA1182" t="s">
        <v>12</v>
      </c>
      <c r="AB1182" t="s">
        <v>12</v>
      </c>
      <c r="AC1182" t="s">
        <v>12</v>
      </c>
      <c r="AD1182" t="s">
        <v>12</v>
      </c>
      <c r="AE1182" t="s">
        <v>12</v>
      </c>
      <c r="AF1182" t="s">
        <v>12</v>
      </c>
      <c r="AG1182" t="s">
        <v>12</v>
      </c>
      <c r="AH1182" t="s">
        <v>12</v>
      </c>
      <c r="AI1182" t="s">
        <v>12</v>
      </c>
      <c r="AJ1182" t="s">
        <v>12</v>
      </c>
      <c r="AK1182" t="s">
        <v>12</v>
      </c>
      <c r="AL1182" t="s">
        <v>12</v>
      </c>
      <c r="AM1182" t="s">
        <v>12</v>
      </c>
      <c r="AN1182" t="s">
        <v>12</v>
      </c>
      <c r="AO1182" t="s">
        <v>12</v>
      </c>
    </row>
    <row r="1183" spans="1:41" x14ac:dyDescent="0.35">
      <c r="A1183">
        <v>12267423</v>
      </c>
      <c r="B1183">
        <v>202512</v>
      </c>
      <c r="C1183">
        <v>20317074043</v>
      </c>
      <c r="D1183" t="s">
        <v>538</v>
      </c>
      <c r="E1183" t="s">
        <v>1</v>
      </c>
      <c r="F1183">
        <v>10268058</v>
      </c>
      <c r="G1183" t="s">
        <v>24</v>
      </c>
      <c r="H1183" t="s">
        <v>273</v>
      </c>
      <c r="I1183">
        <v>5395.51416015625</v>
      </c>
      <c r="J1183" s="1">
        <v>45799</v>
      </c>
      <c r="K1183">
        <v>18</v>
      </c>
      <c r="L1183" t="s">
        <v>37</v>
      </c>
      <c r="M1183" t="s">
        <v>37</v>
      </c>
      <c r="N1183" t="s">
        <v>98</v>
      </c>
      <c r="O1183">
        <v>202505</v>
      </c>
      <c r="P1183">
        <v>200010</v>
      </c>
      <c r="Q1183" t="s">
        <v>273</v>
      </c>
      <c r="R1183" t="s">
        <v>274</v>
      </c>
      <c r="S1183" t="s">
        <v>39</v>
      </c>
      <c r="T1183" t="s">
        <v>40</v>
      </c>
      <c r="U1183" t="s">
        <v>41</v>
      </c>
      <c r="V1183">
        <v>1</v>
      </c>
      <c r="W1183" t="s">
        <v>10</v>
      </c>
      <c r="X1183" t="s">
        <v>11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168608.4</v>
      </c>
      <c r="AF1183">
        <v>17</v>
      </c>
      <c r="AG1183" s="1">
        <v>46010</v>
      </c>
      <c r="AH1183" t="s">
        <v>41</v>
      </c>
      <c r="AI1183" t="s">
        <v>4</v>
      </c>
      <c r="AJ1183" t="s">
        <v>33</v>
      </c>
      <c r="AK1183">
        <v>168600</v>
      </c>
      <c r="AL1183">
        <v>0.21</v>
      </c>
      <c r="AM1183">
        <v>0.19</v>
      </c>
      <c r="AN1183" t="s">
        <v>12</v>
      </c>
      <c r="AO1183" t="s">
        <v>12</v>
      </c>
    </row>
    <row r="1184" spans="1:41" x14ac:dyDescent="0.35">
      <c r="A1184">
        <v>19009972</v>
      </c>
      <c r="B1184">
        <v>202601</v>
      </c>
      <c r="C1184">
        <v>20609607905</v>
      </c>
      <c r="D1184" t="s">
        <v>1452</v>
      </c>
      <c r="E1184" t="s">
        <v>1</v>
      </c>
      <c r="F1184">
        <v>10264696</v>
      </c>
      <c r="G1184" t="s">
        <v>73</v>
      </c>
      <c r="H1184" t="s">
        <v>260</v>
      </c>
      <c r="I1184">
        <v>44470.34765625</v>
      </c>
      <c r="J1184" s="1">
        <v>45679</v>
      </c>
      <c r="K1184">
        <v>18</v>
      </c>
      <c r="L1184" t="s">
        <v>4</v>
      </c>
      <c r="M1184" t="s">
        <v>4</v>
      </c>
      <c r="N1184" t="s">
        <v>20</v>
      </c>
      <c r="O1184">
        <v>202501</v>
      </c>
      <c r="P1184">
        <v>123006.15</v>
      </c>
      <c r="Q1184" t="s">
        <v>260</v>
      </c>
      <c r="R1184" t="s">
        <v>261</v>
      </c>
      <c r="S1184" t="s">
        <v>18</v>
      </c>
      <c r="T1184" t="s">
        <v>19</v>
      </c>
      <c r="U1184" t="s">
        <v>20</v>
      </c>
      <c r="V1184">
        <v>1</v>
      </c>
      <c r="W1184" t="s">
        <v>21</v>
      </c>
      <c r="X1184" t="s">
        <v>22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 t="s">
        <v>12</v>
      </c>
      <c r="AG1184" t="s">
        <v>12</v>
      </c>
      <c r="AH1184" t="s">
        <v>12</v>
      </c>
      <c r="AI1184" t="s">
        <v>12</v>
      </c>
      <c r="AJ1184" t="s">
        <v>12</v>
      </c>
      <c r="AK1184">
        <v>1</v>
      </c>
      <c r="AL1184">
        <v>1</v>
      </c>
      <c r="AM1184">
        <v>0.24</v>
      </c>
      <c r="AN1184" t="s">
        <v>12</v>
      </c>
      <c r="AO1184" t="s">
        <v>12</v>
      </c>
    </row>
    <row r="1185" spans="1:41" x14ac:dyDescent="0.35">
      <c r="A1185">
        <v>20930001</v>
      </c>
      <c r="B1185">
        <v>202507</v>
      </c>
      <c r="C1185">
        <v>20611202521</v>
      </c>
      <c r="D1185" t="s">
        <v>1453</v>
      </c>
      <c r="E1185" t="s">
        <v>1</v>
      </c>
      <c r="F1185">
        <v>10259073</v>
      </c>
      <c r="G1185" t="s">
        <v>45</v>
      </c>
      <c r="H1185" t="s">
        <v>159</v>
      </c>
      <c r="I1185">
        <v>56939.15234375</v>
      </c>
      <c r="J1185" s="1">
        <v>45520</v>
      </c>
      <c r="K1185">
        <v>14.8</v>
      </c>
      <c r="L1185" t="s">
        <v>37</v>
      </c>
      <c r="M1185" t="s">
        <v>37</v>
      </c>
      <c r="N1185" t="s">
        <v>47</v>
      </c>
      <c r="O1185">
        <v>202408</v>
      </c>
      <c r="P1185">
        <v>70003.5</v>
      </c>
      <c r="Q1185" t="s">
        <v>12</v>
      </c>
      <c r="R1185" t="s">
        <v>12</v>
      </c>
      <c r="S1185" t="s">
        <v>12</v>
      </c>
      <c r="T1185" t="s">
        <v>12</v>
      </c>
      <c r="U1185" t="s">
        <v>12</v>
      </c>
      <c r="V1185" t="s">
        <v>12</v>
      </c>
      <c r="W1185" t="s">
        <v>12</v>
      </c>
      <c r="X1185" t="s">
        <v>12</v>
      </c>
      <c r="Y1185" t="s">
        <v>12</v>
      </c>
      <c r="Z1185" t="s">
        <v>12</v>
      </c>
      <c r="AA1185" t="s">
        <v>12</v>
      </c>
      <c r="AB1185" t="s">
        <v>12</v>
      </c>
      <c r="AC1185" t="s">
        <v>12</v>
      </c>
      <c r="AD1185" t="s">
        <v>12</v>
      </c>
      <c r="AE1185" t="s">
        <v>12</v>
      </c>
      <c r="AF1185" t="s">
        <v>12</v>
      </c>
      <c r="AG1185" t="s">
        <v>12</v>
      </c>
      <c r="AH1185" t="s">
        <v>12</v>
      </c>
      <c r="AI1185" t="s">
        <v>12</v>
      </c>
      <c r="AJ1185" t="s">
        <v>12</v>
      </c>
      <c r="AK1185" t="s">
        <v>12</v>
      </c>
      <c r="AL1185" t="s">
        <v>12</v>
      </c>
      <c r="AM1185" t="s">
        <v>12</v>
      </c>
      <c r="AN1185" t="s">
        <v>12</v>
      </c>
      <c r="AO1185" t="s">
        <v>12</v>
      </c>
    </row>
    <row r="1186" spans="1:41" x14ac:dyDescent="0.35">
      <c r="A1186">
        <v>15790707</v>
      </c>
      <c r="B1186">
        <v>202509</v>
      </c>
      <c r="C1186">
        <v>10104698811</v>
      </c>
      <c r="D1186" t="s">
        <v>1454</v>
      </c>
      <c r="E1186">
        <v>10469881</v>
      </c>
      <c r="F1186">
        <v>10257697</v>
      </c>
      <c r="G1186" t="s">
        <v>65</v>
      </c>
      <c r="H1186" t="s">
        <v>483</v>
      </c>
      <c r="I1186">
        <v>41851.32421875</v>
      </c>
      <c r="J1186" s="1">
        <v>45497</v>
      </c>
      <c r="K1186">
        <v>15</v>
      </c>
      <c r="L1186" t="s">
        <v>4</v>
      </c>
      <c r="M1186" t="s">
        <v>4</v>
      </c>
      <c r="N1186" t="s">
        <v>47</v>
      </c>
      <c r="O1186">
        <v>202407</v>
      </c>
      <c r="P1186">
        <v>60003</v>
      </c>
      <c r="Q1186" t="s">
        <v>12</v>
      </c>
      <c r="R1186" t="s">
        <v>12</v>
      </c>
      <c r="S1186" t="s">
        <v>12</v>
      </c>
      <c r="T1186" t="s">
        <v>12</v>
      </c>
      <c r="U1186" t="s">
        <v>41</v>
      </c>
      <c r="V1186">
        <v>2</v>
      </c>
      <c r="W1186" t="s">
        <v>90</v>
      </c>
      <c r="X1186" t="s">
        <v>59</v>
      </c>
      <c r="Y1186">
        <v>1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 t="s">
        <v>12</v>
      </c>
      <c r="AG1186" t="s">
        <v>12</v>
      </c>
      <c r="AH1186" t="s">
        <v>12</v>
      </c>
      <c r="AI1186" t="s">
        <v>12</v>
      </c>
      <c r="AJ1186" t="s">
        <v>12</v>
      </c>
      <c r="AK1186">
        <v>200000</v>
      </c>
      <c r="AL1186">
        <v>0.26</v>
      </c>
      <c r="AM1186">
        <v>0.24</v>
      </c>
      <c r="AN1186" t="s">
        <v>12</v>
      </c>
      <c r="AO1186" t="s">
        <v>12</v>
      </c>
    </row>
    <row r="1187" spans="1:41" x14ac:dyDescent="0.35">
      <c r="A1187">
        <v>18368454</v>
      </c>
      <c r="B1187">
        <v>202510</v>
      </c>
      <c r="C1187">
        <v>20606947012</v>
      </c>
      <c r="D1187" t="s">
        <v>1455</v>
      </c>
      <c r="E1187" t="s">
        <v>1</v>
      </c>
      <c r="F1187">
        <v>10270055</v>
      </c>
      <c r="G1187" t="s">
        <v>28</v>
      </c>
      <c r="H1187" t="s">
        <v>149</v>
      </c>
      <c r="I1187">
        <v>162192.78125</v>
      </c>
      <c r="J1187" s="1">
        <v>45868</v>
      </c>
      <c r="K1187">
        <v>16.8</v>
      </c>
      <c r="L1187" t="s">
        <v>4</v>
      </c>
      <c r="M1187" t="s">
        <v>4</v>
      </c>
      <c r="N1187" t="s">
        <v>26</v>
      </c>
      <c r="O1187">
        <v>202507</v>
      </c>
      <c r="P1187">
        <v>180009</v>
      </c>
      <c r="Q1187" t="s">
        <v>149</v>
      </c>
      <c r="R1187" t="s">
        <v>150</v>
      </c>
      <c r="S1187" t="s">
        <v>7</v>
      </c>
      <c r="T1187" t="s">
        <v>8</v>
      </c>
      <c r="U1187" t="s">
        <v>9</v>
      </c>
      <c r="V1187">
        <v>1</v>
      </c>
      <c r="W1187" t="s">
        <v>10</v>
      </c>
      <c r="X1187" t="s">
        <v>12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 t="s">
        <v>12</v>
      </c>
      <c r="AG1187" t="s">
        <v>12</v>
      </c>
      <c r="AH1187" t="s">
        <v>12</v>
      </c>
      <c r="AI1187" t="s">
        <v>12</v>
      </c>
      <c r="AJ1187" t="s">
        <v>12</v>
      </c>
      <c r="AK1187">
        <v>0</v>
      </c>
      <c r="AL1187">
        <v>0</v>
      </c>
      <c r="AM1187">
        <v>0</v>
      </c>
      <c r="AN1187" t="s">
        <v>12</v>
      </c>
      <c r="AO1187" t="s">
        <v>12</v>
      </c>
    </row>
    <row r="1188" spans="1:41" x14ac:dyDescent="0.35">
      <c r="A1188">
        <v>21560063</v>
      </c>
      <c r="B1188">
        <v>202506</v>
      </c>
      <c r="C1188">
        <v>20600583612</v>
      </c>
      <c r="D1188" t="s">
        <v>1456</v>
      </c>
      <c r="E1188" t="s">
        <v>1</v>
      </c>
      <c r="F1188">
        <v>10266765</v>
      </c>
      <c r="G1188" t="s">
        <v>24</v>
      </c>
      <c r="H1188" t="s">
        <v>159</v>
      </c>
      <c r="I1188">
        <v>111989.6484375</v>
      </c>
      <c r="J1188" s="1">
        <v>45747</v>
      </c>
      <c r="K1188">
        <v>18</v>
      </c>
      <c r="L1188" t="s">
        <v>37</v>
      </c>
      <c r="M1188" t="s">
        <v>37</v>
      </c>
      <c r="N1188" t="s">
        <v>98</v>
      </c>
      <c r="O1188">
        <v>202503</v>
      </c>
      <c r="P1188">
        <v>120006</v>
      </c>
      <c r="Q1188" t="s">
        <v>12</v>
      </c>
      <c r="R1188" t="s">
        <v>12</v>
      </c>
      <c r="S1188" t="s">
        <v>12</v>
      </c>
      <c r="T1188" t="s">
        <v>12</v>
      </c>
      <c r="U1188" t="s">
        <v>12</v>
      </c>
      <c r="V1188" t="s">
        <v>12</v>
      </c>
      <c r="W1188" t="s">
        <v>12</v>
      </c>
      <c r="X1188" t="s">
        <v>12</v>
      </c>
      <c r="Y1188" t="s">
        <v>12</v>
      </c>
      <c r="Z1188" t="s">
        <v>12</v>
      </c>
      <c r="AA1188" t="s">
        <v>12</v>
      </c>
      <c r="AB1188" t="s">
        <v>12</v>
      </c>
      <c r="AC1188" t="s">
        <v>12</v>
      </c>
      <c r="AD1188" t="s">
        <v>12</v>
      </c>
      <c r="AE1188" t="s">
        <v>12</v>
      </c>
      <c r="AF1188" t="s">
        <v>12</v>
      </c>
      <c r="AG1188" t="s">
        <v>12</v>
      </c>
      <c r="AH1188" t="s">
        <v>12</v>
      </c>
      <c r="AI1188" t="s">
        <v>12</v>
      </c>
      <c r="AJ1188" t="s">
        <v>12</v>
      </c>
      <c r="AK1188" t="s">
        <v>12</v>
      </c>
      <c r="AL1188" t="s">
        <v>12</v>
      </c>
      <c r="AM1188" t="s">
        <v>12</v>
      </c>
      <c r="AN1188" t="s">
        <v>12</v>
      </c>
      <c r="AO1188" t="s">
        <v>12</v>
      </c>
    </row>
    <row r="1189" spans="1:41" x14ac:dyDescent="0.35">
      <c r="A1189">
        <v>5623590</v>
      </c>
      <c r="B1189">
        <v>202508</v>
      </c>
      <c r="C1189">
        <v>20308380174</v>
      </c>
      <c r="D1189" t="s">
        <v>1457</v>
      </c>
      <c r="E1189" t="s">
        <v>1</v>
      </c>
      <c r="F1189">
        <v>10265777</v>
      </c>
      <c r="G1189" t="s">
        <v>68</v>
      </c>
      <c r="H1189" t="s">
        <v>606</v>
      </c>
      <c r="I1189">
        <v>215692.40625</v>
      </c>
      <c r="J1189" s="1">
        <v>45715</v>
      </c>
      <c r="K1189">
        <v>14</v>
      </c>
      <c r="L1189" t="s">
        <v>4</v>
      </c>
      <c r="M1189" t="s">
        <v>4</v>
      </c>
      <c r="N1189" t="s">
        <v>70</v>
      </c>
      <c r="O1189">
        <v>202502</v>
      </c>
      <c r="P1189">
        <v>242662.1</v>
      </c>
      <c r="Q1189" t="s">
        <v>145</v>
      </c>
      <c r="R1189" t="s">
        <v>146</v>
      </c>
      <c r="S1189" t="s">
        <v>127</v>
      </c>
      <c r="T1189" t="s">
        <v>147</v>
      </c>
      <c r="U1189" t="s">
        <v>41</v>
      </c>
      <c r="V1189">
        <v>1</v>
      </c>
      <c r="W1189" t="s">
        <v>10</v>
      </c>
      <c r="X1189" t="s">
        <v>12</v>
      </c>
      <c r="Y1189">
        <v>1</v>
      </c>
      <c r="Z1189">
        <v>1</v>
      </c>
      <c r="AA1189">
        <v>0</v>
      </c>
      <c r="AB1189">
        <v>1</v>
      </c>
      <c r="AC1189">
        <v>1</v>
      </c>
      <c r="AD1189">
        <v>1</v>
      </c>
      <c r="AE1189">
        <v>0</v>
      </c>
      <c r="AF1189" t="s">
        <v>12</v>
      </c>
      <c r="AG1189" t="s">
        <v>12</v>
      </c>
      <c r="AH1189" t="s">
        <v>12</v>
      </c>
      <c r="AI1189" t="s">
        <v>12</v>
      </c>
      <c r="AJ1189" t="s">
        <v>12</v>
      </c>
      <c r="AK1189">
        <v>400000</v>
      </c>
      <c r="AL1189">
        <v>0.21</v>
      </c>
      <c r="AM1189">
        <v>0.19</v>
      </c>
      <c r="AN1189" t="s">
        <v>12</v>
      </c>
      <c r="AO1189" t="s">
        <v>12</v>
      </c>
    </row>
    <row r="1190" spans="1:41" x14ac:dyDescent="0.35">
      <c r="A1190">
        <v>18973044</v>
      </c>
      <c r="B1190">
        <v>202512</v>
      </c>
      <c r="C1190">
        <v>20601721539</v>
      </c>
      <c r="D1190" t="s">
        <v>1171</v>
      </c>
      <c r="E1190" t="s">
        <v>1</v>
      </c>
      <c r="F1190">
        <v>10265461</v>
      </c>
      <c r="G1190" t="s">
        <v>92</v>
      </c>
      <c r="H1190" t="s">
        <v>220</v>
      </c>
      <c r="I1190">
        <v>133860.515625</v>
      </c>
      <c r="J1190" s="1">
        <v>45707</v>
      </c>
      <c r="K1190">
        <v>16.28</v>
      </c>
      <c r="L1190" t="s">
        <v>4</v>
      </c>
      <c r="M1190" t="s">
        <v>4</v>
      </c>
      <c r="N1190" t="s">
        <v>41</v>
      </c>
      <c r="O1190">
        <v>202502</v>
      </c>
      <c r="P1190">
        <v>200010</v>
      </c>
      <c r="Q1190" t="s">
        <v>220</v>
      </c>
      <c r="R1190" t="s">
        <v>221</v>
      </c>
      <c r="S1190" t="s">
        <v>127</v>
      </c>
      <c r="T1190" t="s">
        <v>147</v>
      </c>
      <c r="U1190" t="s">
        <v>20</v>
      </c>
      <c r="V1190">
        <v>1</v>
      </c>
      <c r="W1190" t="s">
        <v>10</v>
      </c>
      <c r="X1190" t="s">
        <v>51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 t="s">
        <v>12</v>
      </c>
      <c r="AG1190" t="s">
        <v>12</v>
      </c>
      <c r="AH1190" t="s">
        <v>12</v>
      </c>
      <c r="AI1190" t="s">
        <v>12</v>
      </c>
      <c r="AJ1190" t="s">
        <v>12</v>
      </c>
      <c r="AK1190">
        <v>1</v>
      </c>
      <c r="AL1190">
        <v>1</v>
      </c>
      <c r="AM1190" t="s">
        <v>12</v>
      </c>
      <c r="AN1190" t="s">
        <v>12</v>
      </c>
      <c r="AO1190" t="s">
        <v>12</v>
      </c>
    </row>
    <row r="1191" spans="1:41" x14ac:dyDescent="0.35">
      <c r="A1191">
        <v>21493000</v>
      </c>
      <c r="B1191">
        <v>202508</v>
      </c>
      <c r="C1191">
        <v>20502321235</v>
      </c>
      <c r="D1191" t="s">
        <v>1458</v>
      </c>
      <c r="E1191" t="s">
        <v>1</v>
      </c>
      <c r="F1191">
        <v>10265526</v>
      </c>
      <c r="G1191" t="s">
        <v>24</v>
      </c>
      <c r="H1191" t="s">
        <v>105</v>
      </c>
      <c r="I1191">
        <v>89864.296875</v>
      </c>
      <c r="J1191" s="1">
        <v>45708</v>
      </c>
      <c r="K1191">
        <v>18.5</v>
      </c>
      <c r="L1191" t="s">
        <v>37</v>
      </c>
      <c r="M1191" t="s">
        <v>37</v>
      </c>
      <c r="N1191" t="s">
        <v>98</v>
      </c>
      <c r="O1191">
        <v>202502</v>
      </c>
      <c r="P1191">
        <v>115005.75</v>
      </c>
      <c r="Q1191" t="s">
        <v>105</v>
      </c>
      <c r="R1191" t="s">
        <v>106</v>
      </c>
      <c r="S1191" t="s">
        <v>88</v>
      </c>
      <c r="T1191" t="s">
        <v>89</v>
      </c>
      <c r="U1191" t="s">
        <v>20</v>
      </c>
      <c r="V1191">
        <v>2</v>
      </c>
      <c r="W1191" t="s">
        <v>10</v>
      </c>
      <c r="X1191" t="s">
        <v>12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 t="s">
        <v>12</v>
      </c>
      <c r="AG1191" t="s">
        <v>12</v>
      </c>
      <c r="AH1191" t="s">
        <v>12</v>
      </c>
      <c r="AI1191" t="s">
        <v>12</v>
      </c>
      <c r="AJ1191" t="s">
        <v>12</v>
      </c>
      <c r="AK1191">
        <v>1</v>
      </c>
      <c r="AL1191">
        <v>0.24329999999999999</v>
      </c>
      <c r="AM1191" t="s">
        <v>12</v>
      </c>
      <c r="AN1191" t="s">
        <v>12</v>
      </c>
      <c r="AO1191" t="s">
        <v>12</v>
      </c>
    </row>
    <row r="1192" spans="1:41" x14ac:dyDescent="0.35">
      <c r="A1192">
        <v>20963109</v>
      </c>
      <c r="B1192">
        <v>202602</v>
      </c>
      <c r="C1192">
        <v>20609662574</v>
      </c>
      <c r="D1192" t="s">
        <v>1459</v>
      </c>
      <c r="E1192" t="s">
        <v>1</v>
      </c>
      <c r="F1192">
        <v>10255922</v>
      </c>
      <c r="G1192" t="s">
        <v>45</v>
      </c>
      <c r="H1192" t="s">
        <v>7</v>
      </c>
      <c r="I1192">
        <v>40599.76171875</v>
      </c>
      <c r="J1192" s="1">
        <v>45464</v>
      </c>
      <c r="K1192">
        <v>14.8</v>
      </c>
      <c r="L1192" t="s">
        <v>37</v>
      </c>
      <c r="M1192" t="s">
        <v>37</v>
      </c>
      <c r="N1192" t="s">
        <v>47</v>
      </c>
      <c r="O1192">
        <v>202406</v>
      </c>
      <c r="P1192">
        <v>90004.5</v>
      </c>
      <c r="Q1192" t="s">
        <v>69</v>
      </c>
      <c r="R1192" t="s">
        <v>71</v>
      </c>
      <c r="S1192" t="s">
        <v>7</v>
      </c>
      <c r="T1192" t="s">
        <v>8</v>
      </c>
      <c r="U1192" t="s">
        <v>41</v>
      </c>
      <c r="V1192">
        <v>1</v>
      </c>
      <c r="W1192" t="s">
        <v>10</v>
      </c>
      <c r="X1192" t="s">
        <v>51</v>
      </c>
      <c r="Y1192">
        <v>1</v>
      </c>
      <c r="Z1192">
        <v>1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 t="s">
        <v>12</v>
      </c>
      <c r="AG1192" t="s">
        <v>12</v>
      </c>
      <c r="AH1192" t="s">
        <v>12</v>
      </c>
      <c r="AI1192" t="s">
        <v>12</v>
      </c>
      <c r="AJ1192" t="s">
        <v>12</v>
      </c>
      <c r="AK1192">
        <v>130000</v>
      </c>
      <c r="AL1192">
        <v>0.28689999999999999</v>
      </c>
      <c r="AM1192">
        <v>0.26690000000000003</v>
      </c>
      <c r="AN1192" t="s">
        <v>12</v>
      </c>
      <c r="AO1192" t="s">
        <v>12</v>
      </c>
    </row>
    <row r="1193" spans="1:41" x14ac:dyDescent="0.35">
      <c r="A1193">
        <v>14763363</v>
      </c>
      <c r="B1193">
        <v>202510</v>
      </c>
      <c r="C1193">
        <v>20557606166</v>
      </c>
      <c r="D1193" t="s">
        <v>1460</v>
      </c>
      <c r="E1193" t="s">
        <v>1</v>
      </c>
      <c r="F1193">
        <v>10177318</v>
      </c>
      <c r="G1193" t="s">
        <v>2</v>
      </c>
      <c r="H1193" t="s">
        <v>149</v>
      </c>
      <c r="I1193">
        <v>11918.23828125</v>
      </c>
      <c r="J1193" s="1">
        <v>46037</v>
      </c>
      <c r="K1193">
        <v>18</v>
      </c>
      <c r="L1193" t="s">
        <v>4</v>
      </c>
      <c r="M1193" t="s">
        <v>4</v>
      </c>
      <c r="N1193" t="s">
        <v>5</v>
      </c>
      <c r="O1193">
        <v>202601</v>
      </c>
      <c r="P1193">
        <v>50002.5</v>
      </c>
      <c r="Q1193" t="s">
        <v>149</v>
      </c>
      <c r="R1193" t="s">
        <v>150</v>
      </c>
      <c r="S1193" t="s">
        <v>7</v>
      </c>
      <c r="T1193" t="s">
        <v>8</v>
      </c>
      <c r="U1193" t="s">
        <v>41</v>
      </c>
      <c r="V1193">
        <v>1</v>
      </c>
      <c r="W1193" t="s">
        <v>10</v>
      </c>
      <c r="X1193" t="s">
        <v>12</v>
      </c>
      <c r="Y1193">
        <v>1</v>
      </c>
      <c r="Z1193">
        <v>1</v>
      </c>
      <c r="AA1193">
        <v>0</v>
      </c>
      <c r="AB1193">
        <v>0</v>
      </c>
      <c r="AC1193">
        <v>1</v>
      </c>
      <c r="AD1193">
        <v>1</v>
      </c>
      <c r="AE1193">
        <v>0</v>
      </c>
      <c r="AF1193" t="s">
        <v>12</v>
      </c>
      <c r="AG1193" t="s">
        <v>12</v>
      </c>
      <c r="AH1193" t="s">
        <v>12</v>
      </c>
      <c r="AI1193" t="s">
        <v>12</v>
      </c>
      <c r="AJ1193" t="s">
        <v>12</v>
      </c>
      <c r="AK1193">
        <v>250000</v>
      </c>
      <c r="AL1193">
        <v>0.21</v>
      </c>
      <c r="AM1193">
        <v>0.19</v>
      </c>
      <c r="AN1193" t="s">
        <v>12</v>
      </c>
      <c r="AO1193" t="s">
        <v>12</v>
      </c>
    </row>
    <row r="1194" spans="1:41" x14ac:dyDescent="0.35">
      <c r="A1194">
        <v>14763363</v>
      </c>
      <c r="B1194">
        <v>202602</v>
      </c>
      <c r="C1194">
        <v>20557606166</v>
      </c>
      <c r="D1194" t="s">
        <v>1460</v>
      </c>
      <c r="E1194" t="s">
        <v>1</v>
      </c>
      <c r="F1194">
        <v>10177318</v>
      </c>
      <c r="G1194" t="s">
        <v>2</v>
      </c>
      <c r="H1194" t="s">
        <v>7</v>
      </c>
      <c r="I1194">
        <v>20580.54296875</v>
      </c>
      <c r="J1194" s="1">
        <v>46037</v>
      </c>
      <c r="K1194">
        <v>18</v>
      </c>
      <c r="L1194" t="s">
        <v>4</v>
      </c>
      <c r="M1194" t="s">
        <v>4</v>
      </c>
      <c r="N1194" t="s">
        <v>5</v>
      </c>
      <c r="O1194">
        <v>202601</v>
      </c>
      <c r="P1194">
        <v>50002.5</v>
      </c>
      <c r="Q1194" t="s">
        <v>12</v>
      </c>
      <c r="R1194" t="s">
        <v>12</v>
      </c>
      <c r="S1194" t="s">
        <v>12</v>
      </c>
      <c r="T1194" t="s">
        <v>12</v>
      </c>
      <c r="U1194" t="s">
        <v>12</v>
      </c>
      <c r="V1194" t="s">
        <v>12</v>
      </c>
      <c r="W1194" t="s">
        <v>12</v>
      </c>
      <c r="X1194" t="s">
        <v>12</v>
      </c>
      <c r="Y1194" t="s">
        <v>12</v>
      </c>
      <c r="Z1194" t="s">
        <v>12</v>
      </c>
      <c r="AA1194" t="s">
        <v>12</v>
      </c>
      <c r="AB1194" t="s">
        <v>12</v>
      </c>
      <c r="AC1194" t="s">
        <v>12</v>
      </c>
      <c r="AD1194" t="s">
        <v>12</v>
      </c>
      <c r="AE1194" t="s">
        <v>12</v>
      </c>
      <c r="AF1194" t="s">
        <v>12</v>
      </c>
      <c r="AG1194" t="s">
        <v>12</v>
      </c>
      <c r="AH1194" t="s">
        <v>12</v>
      </c>
      <c r="AI1194" t="s">
        <v>12</v>
      </c>
      <c r="AJ1194" t="s">
        <v>12</v>
      </c>
      <c r="AK1194" t="s">
        <v>12</v>
      </c>
      <c r="AL1194" t="s">
        <v>12</v>
      </c>
      <c r="AM1194" t="s">
        <v>12</v>
      </c>
      <c r="AN1194" t="s">
        <v>12</v>
      </c>
      <c r="AO1194" t="s">
        <v>12</v>
      </c>
    </row>
    <row r="1195" spans="1:41" x14ac:dyDescent="0.35">
      <c r="A1195">
        <v>21598719</v>
      </c>
      <c r="B1195">
        <v>202508</v>
      </c>
      <c r="C1195">
        <v>20555375183</v>
      </c>
      <c r="D1195" t="s">
        <v>1461</v>
      </c>
      <c r="E1195" t="s">
        <v>1</v>
      </c>
      <c r="F1195">
        <v>10267220</v>
      </c>
      <c r="G1195" t="s">
        <v>100</v>
      </c>
      <c r="H1195" t="s">
        <v>109</v>
      </c>
      <c r="I1195">
        <v>52326.4140625</v>
      </c>
      <c r="J1195" s="1">
        <v>45769</v>
      </c>
      <c r="K1195">
        <v>16</v>
      </c>
      <c r="L1195" t="s">
        <v>37</v>
      </c>
      <c r="M1195" t="s">
        <v>37</v>
      </c>
      <c r="N1195" t="s">
        <v>102</v>
      </c>
      <c r="O1195">
        <v>202504</v>
      </c>
      <c r="P1195">
        <v>76583.45</v>
      </c>
      <c r="Q1195" t="s">
        <v>109</v>
      </c>
      <c r="R1195" t="s">
        <v>110</v>
      </c>
      <c r="S1195" t="s">
        <v>111</v>
      </c>
      <c r="T1195" t="s">
        <v>112</v>
      </c>
      <c r="U1195" t="s">
        <v>20</v>
      </c>
      <c r="V1195">
        <v>2</v>
      </c>
      <c r="W1195" t="s">
        <v>10</v>
      </c>
      <c r="X1195" t="s">
        <v>12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 t="s">
        <v>12</v>
      </c>
      <c r="AG1195" t="s">
        <v>12</v>
      </c>
      <c r="AH1195" t="s">
        <v>12</v>
      </c>
      <c r="AI1195" t="s">
        <v>12</v>
      </c>
      <c r="AJ1195" t="s">
        <v>12</v>
      </c>
      <c r="AK1195">
        <v>1</v>
      </c>
      <c r="AL1195">
        <v>0.24329999999999999</v>
      </c>
      <c r="AM1195">
        <v>0</v>
      </c>
      <c r="AN1195" t="s">
        <v>12</v>
      </c>
      <c r="AO1195" t="s">
        <v>12</v>
      </c>
    </row>
    <row r="1196" spans="1:41" x14ac:dyDescent="0.35">
      <c r="A1196">
        <v>21048643</v>
      </c>
      <c r="B1196">
        <v>202505</v>
      </c>
      <c r="C1196">
        <v>20603327412</v>
      </c>
      <c r="D1196" t="s">
        <v>1462</v>
      </c>
      <c r="E1196" t="s">
        <v>1</v>
      </c>
      <c r="F1196">
        <v>10258149</v>
      </c>
      <c r="G1196" t="s">
        <v>65</v>
      </c>
      <c r="H1196" t="s">
        <v>732</v>
      </c>
      <c r="I1196">
        <v>76615.203125</v>
      </c>
      <c r="J1196" s="1">
        <v>45503</v>
      </c>
      <c r="K1196">
        <v>14.5</v>
      </c>
      <c r="L1196" t="s">
        <v>37</v>
      </c>
      <c r="M1196" t="s">
        <v>37</v>
      </c>
      <c r="N1196" t="s">
        <v>47</v>
      </c>
      <c r="O1196">
        <v>202407</v>
      </c>
      <c r="P1196">
        <v>90004.5</v>
      </c>
      <c r="Q1196" t="s">
        <v>732</v>
      </c>
      <c r="R1196" t="s">
        <v>814</v>
      </c>
      <c r="S1196" t="s">
        <v>39</v>
      </c>
      <c r="T1196" t="s">
        <v>40</v>
      </c>
      <c r="U1196" t="s">
        <v>20</v>
      </c>
      <c r="V1196">
        <v>1</v>
      </c>
      <c r="W1196" t="s">
        <v>10</v>
      </c>
      <c r="X1196" t="s">
        <v>12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 t="s">
        <v>12</v>
      </c>
      <c r="AG1196" t="s">
        <v>12</v>
      </c>
      <c r="AH1196" t="s">
        <v>12</v>
      </c>
      <c r="AI1196" t="s">
        <v>12</v>
      </c>
      <c r="AJ1196" t="s">
        <v>12</v>
      </c>
      <c r="AK1196">
        <v>0</v>
      </c>
      <c r="AL1196">
        <v>0</v>
      </c>
      <c r="AM1196">
        <v>0.27079999999999999</v>
      </c>
      <c r="AN1196" t="s">
        <v>12</v>
      </c>
      <c r="AO1196" t="s">
        <v>12</v>
      </c>
    </row>
    <row r="1197" spans="1:41" x14ac:dyDescent="0.35">
      <c r="A1197">
        <v>20615275</v>
      </c>
      <c r="B1197">
        <v>202602</v>
      </c>
      <c r="C1197">
        <v>20514129828</v>
      </c>
      <c r="D1197" t="s">
        <v>699</v>
      </c>
      <c r="E1197" t="s">
        <v>1</v>
      </c>
      <c r="F1197">
        <v>10264324</v>
      </c>
      <c r="G1197" t="s">
        <v>92</v>
      </c>
      <c r="H1197" t="s">
        <v>159</v>
      </c>
      <c r="I1197">
        <v>8338.6171875</v>
      </c>
      <c r="J1197" s="1">
        <v>45653</v>
      </c>
      <c r="K1197">
        <v>26.58</v>
      </c>
      <c r="L1197" t="s">
        <v>4</v>
      </c>
      <c r="M1197" t="s">
        <v>4</v>
      </c>
      <c r="N1197" t="s">
        <v>41</v>
      </c>
      <c r="O1197">
        <v>202412</v>
      </c>
      <c r="P1197">
        <v>90004.5</v>
      </c>
      <c r="Q1197" t="s">
        <v>12</v>
      </c>
      <c r="R1197" t="s">
        <v>12</v>
      </c>
      <c r="S1197" t="s">
        <v>12</v>
      </c>
      <c r="T1197" t="s">
        <v>12</v>
      </c>
      <c r="U1197" t="s">
        <v>12</v>
      </c>
      <c r="V1197" t="s">
        <v>12</v>
      </c>
      <c r="W1197" t="s">
        <v>12</v>
      </c>
      <c r="X1197" t="s">
        <v>12</v>
      </c>
      <c r="Y1197" t="s">
        <v>12</v>
      </c>
      <c r="Z1197" t="s">
        <v>12</v>
      </c>
      <c r="AA1197" t="s">
        <v>12</v>
      </c>
      <c r="AB1197" t="s">
        <v>12</v>
      </c>
      <c r="AC1197" t="s">
        <v>12</v>
      </c>
      <c r="AD1197" t="s">
        <v>12</v>
      </c>
      <c r="AE1197" t="s">
        <v>12</v>
      </c>
      <c r="AF1197" t="s">
        <v>12</v>
      </c>
      <c r="AG1197" t="s">
        <v>12</v>
      </c>
      <c r="AH1197" t="s">
        <v>12</v>
      </c>
      <c r="AI1197" t="s">
        <v>12</v>
      </c>
      <c r="AJ1197" t="s">
        <v>12</v>
      </c>
      <c r="AK1197" t="s">
        <v>12</v>
      </c>
      <c r="AL1197" t="s">
        <v>12</v>
      </c>
      <c r="AM1197" t="s">
        <v>12</v>
      </c>
      <c r="AN1197" t="s">
        <v>12</v>
      </c>
      <c r="AO1197" t="s">
        <v>12</v>
      </c>
    </row>
    <row r="1198" spans="1:41" x14ac:dyDescent="0.35">
      <c r="A1198">
        <v>17069259</v>
      </c>
      <c r="B1198">
        <v>202506</v>
      </c>
      <c r="C1198">
        <v>20563065525</v>
      </c>
      <c r="D1198" t="s">
        <v>1463</v>
      </c>
      <c r="E1198" t="s">
        <v>1</v>
      </c>
      <c r="F1198">
        <v>10246233</v>
      </c>
      <c r="G1198" t="s">
        <v>92</v>
      </c>
      <c r="H1198" t="s">
        <v>159</v>
      </c>
      <c r="I1198">
        <v>28395.646484375</v>
      </c>
      <c r="J1198" s="1">
        <v>45260</v>
      </c>
      <c r="K1198">
        <v>21.2</v>
      </c>
      <c r="L1198" t="s">
        <v>4</v>
      </c>
      <c r="M1198" t="s">
        <v>4</v>
      </c>
      <c r="N1198" t="s">
        <v>41</v>
      </c>
      <c r="O1198">
        <v>202311</v>
      </c>
      <c r="P1198">
        <v>100005</v>
      </c>
      <c r="Q1198" t="s">
        <v>101</v>
      </c>
      <c r="R1198" t="s">
        <v>103</v>
      </c>
      <c r="S1198" t="s">
        <v>88</v>
      </c>
      <c r="T1198" t="s">
        <v>89</v>
      </c>
      <c r="U1198" t="s">
        <v>41</v>
      </c>
      <c r="V1198">
        <v>2</v>
      </c>
      <c r="W1198" t="s">
        <v>10</v>
      </c>
      <c r="X1198" t="s">
        <v>12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 t="s">
        <v>12</v>
      </c>
      <c r="AG1198" t="s">
        <v>12</v>
      </c>
      <c r="AH1198" t="s">
        <v>12</v>
      </c>
      <c r="AI1198" t="s">
        <v>12</v>
      </c>
      <c r="AJ1198" t="s">
        <v>12</v>
      </c>
      <c r="AK1198">
        <v>400000</v>
      </c>
      <c r="AL1198">
        <v>0.21</v>
      </c>
      <c r="AM1198">
        <v>0.1883</v>
      </c>
      <c r="AN1198" t="s">
        <v>12</v>
      </c>
      <c r="AO1198" t="s">
        <v>12</v>
      </c>
    </row>
    <row r="1199" spans="1:41" x14ac:dyDescent="0.35">
      <c r="A1199">
        <v>18703505</v>
      </c>
      <c r="B1199">
        <v>202509</v>
      </c>
      <c r="C1199">
        <v>20609064138</v>
      </c>
      <c r="D1199" t="s">
        <v>990</v>
      </c>
      <c r="E1199" t="s">
        <v>1</v>
      </c>
      <c r="F1199">
        <v>10262064</v>
      </c>
      <c r="G1199" t="s">
        <v>92</v>
      </c>
      <c r="H1199" t="s">
        <v>240</v>
      </c>
      <c r="I1199">
        <v>62764.38671875</v>
      </c>
      <c r="J1199" s="1">
        <v>45590</v>
      </c>
      <c r="K1199">
        <v>18.799999</v>
      </c>
      <c r="L1199" t="s">
        <v>4</v>
      </c>
      <c r="M1199" t="s">
        <v>4</v>
      </c>
      <c r="N1199" t="s">
        <v>41</v>
      </c>
      <c r="O1199">
        <v>202410</v>
      </c>
      <c r="P1199">
        <v>100005</v>
      </c>
      <c r="Q1199" t="s">
        <v>240</v>
      </c>
      <c r="R1199" t="s">
        <v>241</v>
      </c>
      <c r="S1199" t="s">
        <v>39</v>
      </c>
      <c r="T1199" t="s">
        <v>40</v>
      </c>
      <c r="U1199" t="s">
        <v>20</v>
      </c>
      <c r="V1199">
        <v>1</v>
      </c>
      <c r="W1199" t="s">
        <v>10</v>
      </c>
      <c r="X1199" t="s">
        <v>22</v>
      </c>
      <c r="Y1199">
        <v>1</v>
      </c>
      <c r="Z1199">
        <v>1</v>
      </c>
      <c r="AA1199">
        <v>0</v>
      </c>
      <c r="AB1199">
        <v>1</v>
      </c>
      <c r="AC1199">
        <v>1</v>
      </c>
      <c r="AD1199">
        <v>1</v>
      </c>
      <c r="AE1199">
        <v>0</v>
      </c>
      <c r="AF1199" t="s">
        <v>12</v>
      </c>
      <c r="AG1199" t="s">
        <v>12</v>
      </c>
      <c r="AH1199" t="s">
        <v>12</v>
      </c>
      <c r="AI1199" t="s">
        <v>12</v>
      </c>
      <c r="AJ1199" t="s">
        <v>12</v>
      </c>
      <c r="AK1199">
        <v>1</v>
      </c>
      <c r="AL1199">
        <v>1</v>
      </c>
      <c r="AM1199" t="s">
        <v>12</v>
      </c>
      <c r="AN1199" t="s">
        <v>12</v>
      </c>
      <c r="AO1199" t="s">
        <v>12</v>
      </c>
    </row>
    <row r="1200" spans="1:41" x14ac:dyDescent="0.35">
      <c r="A1200">
        <v>18434262</v>
      </c>
      <c r="B1200">
        <v>202509</v>
      </c>
      <c r="C1200">
        <v>10431296352</v>
      </c>
      <c r="D1200" t="s">
        <v>1464</v>
      </c>
      <c r="E1200">
        <v>43129635</v>
      </c>
      <c r="F1200">
        <v>10256070</v>
      </c>
      <c r="G1200" t="s">
        <v>65</v>
      </c>
      <c r="H1200" t="s">
        <v>692</v>
      </c>
      <c r="I1200">
        <v>19723.064453125</v>
      </c>
      <c r="J1200" s="1">
        <v>45467</v>
      </c>
      <c r="K1200">
        <v>14.8</v>
      </c>
      <c r="L1200" t="s">
        <v>37</v>
      </c>
      <c r="M1200" t="s">
        <v>37</v>
      </c>
      <c r="N1200" t="s">
        <v>47</v>
      </c>
      <c r="O1200">
        <v>202406</v>
      </c>
      <c r="P1200">
        <v>30001.5</v>
      </c>
      <c r="Q1200" t="s">
        <v>12</v>
      </c>
      <c r="R1200" t="s">
        <v>12</v>
      </c>
      <c r="S1200" t="s">
        <v>12</v>
      </c>
      <c r="T1200" t="s">
        <v>12</v>
      </c>
      <c r="U1200" t="s">
        <v>12</v>
      </c>
      <c r="V1200" t="s">
        <v>12</v>
      </c>
      <c r="W1200" t="s">
        <v>12</v>
      </c>
      <c r="X1200" t="s">
        <v>12</v>
      </c>
      <c r="Y1200" t="s">
        <v>12</v>
      </c>
      <c r="Z1200" t="s">
        <v>12</v>
      </c>
      <c r="AA1200" t="s">
        <v>12</v>
      </c>
      <c r="AB1200" t="s">
        <v>12</v>
      </c>
      <c r="AC1200" t="s">
        <v>12</v>
      </c>
      <c r="AD1200" t="s">
        <v>12</v>
      </c>
      <c r="AE1200" t="s">
        <v>12</v>
      </c>
      <c r="AF1200" t="s">
        <v>12</v>
      </c>
      <c r="AG1200" t="s">
        <v>12</v>
      </c>
      <c r="AH1200" t="s">
        <v>12</v>
      </c>
      <c r="AI1200" t="s">
        <v>12</v>
      </c>
      <c r="AJ1200" t="s">
        <v>12</v>
      </c>
      <c r="AK1200" t="s">
        <v>12</v>
      </c>
      <c r="AL1200" t="s">
        <v>12</v>
      </c>
      <c r="AM1200" t="s">
        <v>12</v>
      </c>
      <c r="AN1200" t="s">
        <v>12</v>
      </c>
      <c r="AO1200" t="s">
        <v>12</v>
      </c>
    </row>
    <row r="1201" spans="1:41" x14ac:dyDescent="0.35">
      <c r="A1201">
        <v>9141765</v>
      </c>
      <c r="B1201">
        <v>202601</v>
      </c>
      <c r="C1201">
        <v>10067848018</v>
      </c>
      <c r="D1201" t="s">
        <v>1465</v>
      </c>
      <c r="E1201">
        <v>6784801</v>
      </c>
      <c r="F1201">
        <v>10275120</v>
      </c>
      <c r="G1201" t="s">
        <v>24</v>
      </c>
      <c r="H1201" t="s">
        <v>183</v>
      </c>
      <c r="I1201">
        <v>30001.505859375</v>
      </c>
      <c r="J1201" s="1">
        <v>46050</v>
      </c>
      <c r="K1201">
        <v>26.37</v>
      </c>
      <c r="L1201" t="s">
        <v>37</v>
      </c>
      <c r="M1201" t="s">
        <v>37</v>
      </c>
      <c r="N1201" t="s">
        <v>98</v>
      </c>
      <c r="O1201">
        <v>202601</v>
      </c>
      <c r="P1201">
        <v>30001.5</v>
      </c>
      <c r="Q1201" t="s">
        <v>556</v>
      </c>
      <c r="R1201" t="s">
        <v>557</v>
      </c>
      <c r="S1201" t="s">
        <v>558</v>
      </c>
      <c r="T1201" t="s">
        <v>559</v>
      </c>
      <c r="U1201" t="s">
        <v>98</v>
      </c>
      <c r="V1201">
        <v>3</v>
      </c>
      <c r="W1201" t="s">
        <v>10</v>
      </c>
      <c r="X1201" t="s">
        <v>59</v>
      </c>
      <c r="Y1201">
        <v>1</v>
      </c>
      <c r="Z1201">
        <v>1</v>
      </c>
      <c r="AA1201">
        <v>1</v>
      </c>
      <c r="AB1201">
        <v>1</v>
      </c>
      <c r="AC1201">
        <v>1</v>
      </c>
      <c r="AD1201" t="s">
        <v>12</v>
      </c>
      <c r="AE1201">
        <v>30001.5</v>
      </c>
      <c r="AF1201">
        <v>26.37</v>
      </c>
      <c r="AG1201" s="1">
        <v>46050</v>
      </c>
      <c r="AH1201" t="s">
        <v>98</v>
      </c>
      <c r="AI1201" t="s">
        <v>37</v>
      </c>
      <c r="AJ1201" t="s">
        <v>33</v>
      </c>
      <c r="AK1201">
        <v>100000</v>
      </c>
      <c r="AL1201">
        <v>0.28370000000000001</v>
      </c>
      <c r="AM1201">
        <v>0.26369999999999999</v>
      </c>
      <c r="AN1201" t="s">
        <v>197</v>
      </c>
      <c r="AO1201" t="s">
        <v>33</v>
      </c>
    </row>
    <row r="1202" spans="1:41" x14ac:dyDescent="0.35">
      <c r="A1202">
        <v>16668360</v>
      </c>
      <c r="B1202">
        <v>202602</v>
      </c>
      <c r="C1202">
        <v>20603468628</v>
      </c>
      <c r="D1202" t="s">
        <v>1466</v>
      </c>
      <c r="E1202" t="s">
        <v>1</v>
      </c>
      <c r="F1202">
        <v>10261905</v>
      </c>
      <c r="G1202" t="s">
        <v>45</v>
      </c>
      <c r="H1202" t="s">
        <v>265</v>
      </c>
      <c r="I1202">
        <v>74260.5078125</v>
      </c>
      <c r="J1202" s="1">
        <v>45588</v>
      </c>
      <c r="K1202">
        <v>15</v>
      </c>
      <c r="L1202" t="s">
        <v>4</v>
      </c>
      <c r="M1202" t="s">
        <v>4</v>
      </c>
      <c r="N1202" t="s">
        <v>47</v>
      </c>
      <c r="O1202">
        <v>202410</v>
      </c>
      <c r="P1202">
        <v>90004.5</v>
      </c>
      <c r="Q1202" t="s">
        <v>265</v>
      </c>
      <c r="R1202" t="s">
        <v>266</v>
      </c>
      <c r="S1202" t="s">
        <v>18</v>
      </c>
      <c r="T1202" t="s">
        <v>19</v>
      </c>
      <c r="U1202" t="s">
        <v>63</v>
      </c>
      <c r="V1202">
        <v>1</v>
      </c>
      <c r="W1202" t="s">
        <v>10</v>
      </c>
      <c r="X1202" t="s">
        <v>51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0</v>
      </c>
      <c r="AF1202" t="s">
        <v>12</v>
      </c>
      <c r="AG1202" t="s">
        <v>12</v>
      </c>
      <c r="AH1202" t="s">
        <v>12</v>
      </c>
      <c r="AI1202" t="s">
        <v>12</v>
      </c>
      <c r="AJ1202" t="s">
        <v>12</v>
      </c>
      <c r="AK1202">
        <v>250000</v>
      </c>
      <c r="AL1202">
        <v>0.21</v>
      </c>
      <c r="AM1202">
        <v>0.19</v>
      </c>
      <c r="AN1202" t="s">
        <v>12</v>
      </c>
      <c r="AO1202" t="s">
        <v>12</v>
      </c>
    </row>
    <row r="1203" spans="1:41" x14ac:dyDescent="0.35">
      <c r="A1203">
        <v>21565588</v>
      </c>
      <c r="B1203">
        <v>202510</v>
      </c>
      <c r="C1203">
        <v>10433164364</v>
      </c>
      <c r="D1203" t="s">
        <v>1467</v>
      </c>
      <c r="E1203">
        <v>43316436</v>
      </c>
      <c r="F1203">
        <v>10269334</v>
      </c>
      <c r="G1203" t="s">
        <v>100</v>
      </c>
      <c r="H1203" t="s">
        <v>120</v>
      </c>
      <c r="I1203">
        <v>104387.671875</v>
      </c>
      <c r="J1203" s="1">
        <v>45841</v>
      </c>
      <c r="K1203">
        <v>19</v>
      </c>
      <c r="L1203" t="s">
        <v>37</v>
      </c>
      <c r="M1203" t="s">
        <v>37</v>
      </c>
      <c r="N1203" t="s">
        <v>102</v>
      </c>
      <c r="O1203">
        <v>202507</v>
      </c>
      <c r="P1203">
        <v>127656.35</v>
      </c>
      <c r="Q1203" t="s">
        <v>120</v>
      </c>
      <c r="R1203" t="s">
        <v>121</v>
      </c>
      <c r="S1203" t="s">
        <v>18</v>
      </c>
      <c r="T1203" t="s">
        <v>122</v>
      </c>
      <c r="U1203" t="s">
        <v>20</v>
      </c>
      <c r="V1203">
        <v>1</v>
      </c>
      <c r="W1203" t="s">
        <v>10</v>
      </c>
      <c r="X1203" t="s">
        <v>12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 t="s">
        <v>12</v>
      </c>
      <c r="AG1203" t="s">
        <v>12</v>
      </c>
      <c r="AH1203" t="s">
        <v>12</v>
      </c>
      <c r="AI1203" t="s">
        <v>12</v>
      </c>
      <c r="AJ1203" t="s">
        <v>12</v>
      </c>
      <c r="AK1203">
        <v>1</v>
      </c>
      <c r="AL1203">
        <v>1</v>
      </c>
      <c r="AM1203" t="s">
        <v>12</v>
      </c>
      <c r="AN1203" t="s">
        <v>12</v>
      </c>
      <c r="AO1203" t="s">
        <v>12</v>
      </c>
    </row>
    <row r="1204" spans="1:41" x14ac:dyDescent="0.35">
      <c r="A1204">
        <v>18463656</v>
      </c>
      <c r="B1204">
        <v>202508</v>
      </c>
      <c r="C1204">
        <v>20607194255</v>
      </c>
      <c r="D1204" t="s">
        <v>1468</v>
      </c>
      <c r="E1204" t="s">
        <v>1</v>
      </c>
      <c r="F1204">
        <v>10267700</v>
      </c>
      <c r="G1204" t="s">
        <v>100</v>
      </c>
      <c r="H1204" t="s">
        <v>159</v>
      </c>
      <c r="I1204">
        <v>89719.078125</v>
      </c>
      <c r="J1204" s="1">
        <v>45789</v>
      </c>
      <c r="K1204">
        <v>17</v>
      </c>
      <c r="L1204" t="s">
        <v>37</v>
      </c>
      <c r="M1204" t="s">
        <v>37</v>
      </c>
      <c r="N1204" t="s">
        <v>102</v>
      </c>
      <c r="O1204">
        <v>202505</v>
      </c>
      <c r="P1204">
        <v>100630</v>
      </c>
      <c r="Q1204" t="s">
        <v>12</v>
      </c>
      <c r="R1204" t="s">
        <v>12</v>
      </c>
      <c r="S1204" t="s">
        <v>12</v>
      </c>
      <c r="T1204" t="s">
        <v>12</v>
      </c>
      <c r="U1204" t="s">
        <v>12</v>
      </c>
      <c r="V1204" t="s">
        <v>12</v>
      </c>
      <c r="W1204" t="s">
        <v>12</v>
      </c>
      <c r="X1204" t="s">
        <v>12</v>
      </c>
      <c r="Y1204" t="s">
        <v>12</v>
      </c>
      <c r="Z1204" t="s">
        <v>12</v>
      </c>
      <c r="AA1204" t="s">
        <v>12</v>
      </c>
      <c r="AB1204" t="s">
        <v>12</v>
      </c>
      <c r="AC1204" t="s">
        <v>12</v>
      </c>
      <c r="AD1204" t="s">
        <v>12</v>
      </c>
      <c r="AE1204" t="s">
        <v>12</v>
      </c>
      <c r="AF1204" t="s">
        <v>12</v>
      </c>
      <c r="AG1204" t="s">
        <v>12</v>
      </c>
      <c r="AH1204" t="s">
        <v>12</v>
      </c>
      <c r="AI1204" t="s">
        <v>12</v>
      </c>
      <c r="AJ1204" t="s">
        <v>12</v>
      </c>
      <c r="AK1204" t="s">
        <v>12</v>
      </c>
      <c r="AL1204" t="s">
        <v>12</v>
      </c>
      <c r="AM1204" t="s">
        <v>12</v>
      </c>
      <c r="AN1204" t="s">
        <v>12</v>
      </c>
      <c r="AO1204" t="s">
        <v>12</v>
      </c>
    </row>
    <row r="1205" spans="1:41" x14ac:dyDescent="0.35">
      <c r="A1205">
        <v>12676280</v>
      </c>
      <c r="B1205">
        <v>202508</v>
      </c>
      <c r="C1205">
        <v>20512812504</v>
      </c>
      <c r="D1205" t="s">
        <v>593</v>
      </c>
      <c r="E1205" t="s">
        <v>1</v>
      </c>
      <c r="F1205">
        <v>10268315</v>
      </c>
      <c r="G1205" t="s">
        <v>73</v>
      </c>
      <c r="H1205" t="s">
        <v>25</v>
      </c>
      <c r="I1205">
        <v>158098.875</v>
      </c>
      <c r="J1205" s="1">
        <v>45806</v>
      </c>
      <c r="K1205">
        <v>17</v>
      </c>
      <c r="L1205" t="s">
        <v>4</v>
      </c>
      <c r="M1205" t="s">
        <v>4</v>
      </c>
      <c r="N1205" t="s">
        <v>20</v>
      </c>
      <c r="O1205">
        <v>202505</v>
      </c>
      <c r="P1205">
        <v>170008.5</v>
      </c>
      <c r="Q1205" t="s">
        <v>12</v>
      </c>
      <c r="R1205" t="s">
        <v>12</v>
      </c>
      <c r="S1205" t="s">
        <v>12</v>
      </c>
      <c r="T1205" t="s">
        <v>12</v>
      </c>
      <c r="U1205" t="s">
        <v>12</v>
      </c>
      <c r="V1205" t="s">
        <v>12</v>
      </c>
      <c r="W1205" t="s">
        <v>12</v>
      </c>
      <c r="X1205" t="s">
        <v>12</v>
      </c>
      <c r="Y1205" t="s">
        <v>12</v>
      </c>
      <c r="Z1205" t="s">
        <v>12</v>
      </c>
      <c r="AA1205" t="s">
        <v>12</v>
      </c>
      <c r="AB1205" t="s">
        <v>12</v>
      </c>
      <c r="AC1205" t="s">
        <v>12</v>
      </c>
      <c r="AD1205" t="s">
        <v>12</v>
      </c>
      <c r="AE1205" t="s">
        <v>12</v>
      </c>
      <c r="AF1205" t="s">
        <v>12</v>
      </c>
      <c r="AG1205" t="s">
        <v>12</v>
      </c>
      <c r="AH1205" t="s">
        <v>12</v>
      </c>
      <c r="AI1205" t="s">
        <v>12</v>
      </c>
      <c r="AJ1205" t="s">
        <v>12</v>
      </c>
      <c r="AK1205" t="s">
        <v>12</v>
      </c>
      <c r="AL1205" t="s">
        <v>12</v>
      </c>
      <c r="AM1205" t="s">
        <v>12</v>
      </c>
      <c r="AN1205" t="s">
        <v>12</v>
      </c>
      <c r="AO1205" t="s">
        <v>12</v>
      </c>
    </row>
    <row r="1206" spans="1:41" x14ac:dyDescent="0.35">
      <c r="A1206">
        <v>9454816</v>
      </c>
      <c r="B1206">
        <v>202601</v>
      </c>
      <c r="C1206">
        <v>20508894679</v>
      </c>
      <c r="D1206" t="s">
        <v>1141</v>
      </c>
      <c r="E1206" t="s">
        <v>1</v>
      </c>
      <c r="F1206">
        <v>10255642</v>
      </c>
      <c r="G1206" t="s">
        <v>53</v>
      </c>
      <c r="H1206" t="s">
        <v>18</v>
      </c>
      <c r="I1206">
        <v>2991.00073242188</v>
      </c>
      <c r="J1206" s="1">
        <v>45463</v>
      </c>
      <c r="K1206">
        <v>17.700001</v>
      </c>
      <c r="L1206" t="s">
        <v>4</v>
      </c>
      <c r="M1206" t="s">
        <v>4</v>
      </c>
      <c r="N1206" t="s">
        <v>47</v>
      </c>
      <c r="O1206">
        <v>202406</v>
      </c>
      <c r="P1206">
        <v>70873.5</v>
      </c>
      <c r="Q1206" t="s">
        <v>12</v>
      </c>
      <c r="R1206" t="s">
        <v>12</v>
      </c>
      <c r="S1206" t="s">
        <v>12</v>
      </c>
      <c r="T1206" t="s">
        <v>12</v>
      </c>
      <c r="U1206" t="s">
        <v>12</v>
      </c>
      <c r="V1206" t="s">
        <v>12</v>
      </c>
      <c r="W1206" t="s">
        <v>12</v>
      </c>
      <c r="X1206" t="s">
        <v>12</v>
      </c>
      <c r="Y1206" t="s">
        <v>12</v>
      </c>
      <c r="Z1206" t="s">
        <v>12</v>
      </c>
      <c r="AA1206" t="s">
        <v>12</v>
      </c>
      <c r="AB1206" t="s">
        <v>12</v>
      </c>
      <c r="AC1206" t="s">
        <v>12</v>
      </c>
      <c r="AD1206" t="s">
        <v>12</v>
      </c>
      <c r="AE1206" t="s">
        <v>12</v>
      </c>
      <c r="AF1206" t="s">
        <v>12</v>
      </c>
      <c r="AG1206" t="s">
        <v>12</v>
      </c>
      <c r="AH1206" t="s">
        <v>12</v>
      </c>
      <c r="AI1206" t="s">
        <v>12</v>
      </c>
      <c r="AJ1206" t="s">
        <v>12</v>
      </c>
      <c r="AK1206" t="s">
        <v>12</v>
      </c>
      <c r="AL1206" t="s">
        <v>12</v>
      </c>
      <c r="AM1206" t="s">
        <v>12</v>
      </c>
      <c r="AN1206" t="s">
        <v>12</v>
      </c>
      <c r="AO1206" t="s">
        <v>12</v>
      </c>
    </row>
    <row r="1207" spans="1:41" x14ac:dyDescent="0.35">
      <c r="A1207">
        <v>17834306</v>
      </c>
      <c r="B1207">
        <v>202502</v>
      </c>
      <c r="C1207">
        <v>20543832317</v>
      </c>
      <c r="D1207" t="s">
        <v>1469</v>
      </c>
      <c r="E1207" t="s">
        <v>1</v>
      </c>
      <c r="F1207">
        <v>10245285</v>
      </c>
      <c r="G1207" t="s">
        <v>73</v>
      </c>
      <c r="H1207" t="s">
        <v>246</v>
      </c>
      <c r="I1207">
        <v>84906.1953125</v>
      </c>
      <c r="J1207" s="1">
        <v>45229</v>
      </c>
      <c r="K1207">
        <v>22</v>
      </c>
      <c r="L1207" t="s">
        <v>4</v>
      </c>
      <c r="M1207" t="s">
        <v>4</v>
      </c>
      <c r="N1207" t="s">
        <v>12</v>
      </c>
      <c r="O1207">
        <v>202310</v>
      </c>
      <c r="P1207">
        <v>63096</v>
      </c>
      <c r="Q1207" t="s">
        <v>246</v>
      </c>
      <c r="R1207" t="s">
        <v>247</v>
      </c>
      <c r="S1207" t="s">
        <v>18</v>
      </c>
      <c r="T1207" t="s">
        <v>122</v>
      </c>
      <c r="U1207" t="s">
        <v>20</v>
      </c>
      <c r="V1207">
        <v>1</v>
      </c>
      <c r="W1207" t="s">
        <v>10</v>
      </c>
      <c r="X1207" t="s">
        <v>12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 t="s">
        <v>12</v>
      </c>
      <c r="AG1207" t="s">
        <v>12</v>
      </c>
      <c r="AH1207" t="s">
        <v>12</v>
      </c>
      <c r="AI1207" t="s">
        <v>12</v>
      </c>
      <c r="AJ1207" t="s">
        <v>12</v>
      </c>
      <c r="AK1207">
        <v>993584437</v>
      </c>
      <c r="AL1207">
        <v>0</v>
      </c>
      <c r="AM1207">
        <v>0</v>
      </c>
      <c r="AN1207" t="s">
        <v>12</v>
      </c>
      <c r="AO1207" t="s">
        <v>12</v>
      </c>
    </row>
    <row r="1208" spans="1:41" x14ac:dyDescent="0.35">
      <c r="A1208">
        <v>10688248</v>
      </c>
      <c r="B1208">
        <v>202512</v>
      </c>
      <c r="C1208">
        <v>10201041355</v>
      </c>
      <c r="D1208" t="s">
        <v>1470</v>
      </c>
      <c r="E1208">
        <v>20104135</v>
      </c>
      <c r="F1208">
        <v>10160630</v>
      </c>
      <c r="G1208" t="s">
        <v>2</v>
      </c>
      <c r="H1208" t="s">
        <v>240</v>
      </c>
      <c r="I1208">
        <v>91012.90625</v>
      </c>
      <c r="J1208" s="1">
        <v>45981</v>
      </c>
      <c r="K1208">
        <v>17</v>
      </c>
      <c r="L1208" t="s">
        <v>4</v>
      </c>
      <c r="M1208" t="s">
        <v>4</v>
      </c>
      <c r="N1208" t="s">
        <v>5</v>
      </c>
      <c r="O1208">
        <v>202511</v>
      </c>
      <c r="P1208">
        <v>44702.2</v>
      </c>
      <c r="Q1208" t="s">
        <v>240</v>
      </c>
      <c r="R1208" t="s">
        <v>241</v>
      </c>
      <c r="S1208" t="s">
        <v>39</v>
      </c>
      <c r="T1208" t="s">
        <v>40</v>
      </c>
      <c r="U1208" t="s">
        <v>20</v>
      </c>
      <c r="V1208">
        <v>1</v>
      </c>
      <c r="W1208" t="s">
        <v>10</v>
      </c>
      <c r="X1208" t="s">
        <v>59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 t="s">
        <v>12</v>
      </c>
      <c r="AG1208" t="s">
        <v>12</v>
      </c>
      <c r="AH1208" t="s">
        <v>12</v>
      </c>
      <c r="AI1208" t="s">
        <v>12</v>
      </c>
      <c r="AJ1208" t="s">
        <v>12</v>
      </c>
      <c r="AK1208">
        <v>1</v>
      </c>
      <c r="AL1208">
        <v>1</v>
      </c>
      <c r="AM1208" t="s">
        <v>12</v>
      </c>
      <c r="AN1208" t="s">
        <v>12</v>
      </c>
      <c r="AO1208" t="s">
        <v>12</v>
      </c>
    </row>
    <row r="1209" spans="1:41" x14ac:dyDescent="0.35">
      <c r="A1209">
        <v>20733932</v>
      </c>
      <c r="B1209">
        <v>202504</v>
      </c>
      <c r="C1209">
        <v>10725692205</v>
      </c>
      <c r="D1209" t="s">
        <v>1471</v>
      </c>
      <c r="E1209">
        <v>72569220</v>
      </c>
      <c r="F1209">
        <v>10250029</v>
      </c>
      <c r="G1209" t="s">
        <v>65</v>
      </c>
      <c r="H1209" t="s">
        <v>428</v>
      </c>
      <c r="I1209">
        <v>13004.28125</v>
      </c>
      <c r="J1209" s="1">
        <v>45377</v>
      </c>
      <c r="K1209">
        <v>13.8</v>
      </c>
      <c r="L1209" t="s">
        <v>37</v>
      </c>
      <c r="M1209" t="s">
        <v>37</v>
      </c>
      <c r="N1209" t="s">
        <v>47</v>
      </c>
      <c r="O1209">
        <v>202403</v>
      </c>
      <c r="P1209">
        <v>17700.849999999999</v>
      </c>
      <c r="Q1209" t="s">
        <v>12</v>
      </c>
      <c r="R1209" t="s">
        <v>12</v>
      </c>
      <c r="S1209" t="s">
        <v>12</v>
      </c>
      <c r="T1209" t="s">
        <v>12</v>
      </c>
      <c r="U1209" t="s">
        <v>12</v>
      </c>
      <c r="V1209" t="s">
        <v>12</v>
      </c>
      <c r="W1209" t="s">
        <v>12</v>
      </c>
      <c r="X1209" t="s">
        <v>12</v>
      </c>
      <c r="Y1209" t="s">
        <v>12</v>
      </c>
      <c r="Z1209" t="s">
        <v>12</v>
      </c>
      <c r="AA1209" t="s">
        <v>12</v>
      </c>
      <c r="AB1209" t="s">
        <v>12</v>
      </c>
      <c r="AC1209" t="s">
        <v>12</v>
      </c>
      <c r="AD1209" t="s">
        <v>12</v>
      </c>
      <c r="AE1209" t="s">
        <v>12</v>
      </c>
      <c r="AF1209" t="s">
        <v>12</v>
      </c>
      <c r="AG1209" t="s">
        <v>12</v>
      </c>
      <c r="AH1209" t="s">
        <v>12</v>
      </c>
      <c r="AI1209" t="s">
        <v>12</v>
      </c>
      <c r="AJ1209" t="s">
        <v>12</v>
      </c>
      <c r="AK1209" t="s">
        <v>12</v>
      </c>
      <c r="AL1209" t="s">
        <v>12</v>
      </c>
      <c r="AM1209" t="s">
        <v>12</v>
      </c>
      <c r="AN1209" t="s">
        <v>12</v>
      </c>
      <c r="AO1209" t="s">
        <v>12</v>
      </c>
    </row>
    <row r="1210" spans="1:41" x14ac:dyDescent="0.35">
      <c r="A1210">
        <v>18541531</v>
      </c>
      <c r="B1210">
        <v>202601</v>
      </c>
      <c r="C1210">
        <v>10405512373</v>
      </c>
      <c r="D1210" t="s">
        <v>1472</v>
      </c>
      <c r="E1210">
        <v>40551237</v>
      </c>
      <c r="F1210">
        <v>10254244</v>
      </c>
      <c r="G1210" t="s">
        <v>53</v>
      </c>
      <c r="H1210" t="s">
        <v>49</v>
      </c>
      <c r="I1210">
        <v>32788.79296875</v>
      </c>
      <c r="J1210" s="1">
        <v>45442</v>
      </c>
      <c r="K1210">
        <v>16.899999999999999</v>
      </c>
      <c r="L1210" t="s">
        <v>4</v>
      </c>
      <c r="M1210" t="s">
        <v>4</v>
      </c>
      <c r="N1210" t="s">
        <v>47</v>
      </c>
      <c r="O1210">
        <v>202405</v>
      </c>
      <c r="P1210">
        <v>40002</v>
      </c>
      <c r="Q1210" t="s">
        <v>12</v>
      </c>
      <c r="R1210" t="s">
        <v>12</v>
      </c>
      <c r="S1210" t="s">
        <v>12</v>
      </c>
      <c r="T1210" t="s">
        <v>12</v>
      </c>
      <c r="U1210" t="s">
        <v>12</v>
      </c>
      <c r="V1210" t="s">
        <v>12</v>
      </c>
      <c r="W1210" t="s">
        <v>12</v>
      </c>
      <c r="X1210" t="s">
        <v>12</v>
      </c>
      <c r="Y1210" t="s">
        <v>12</v>
      </c>
      <c r="Z1210" t="s">
        <v>12</v>
      </c>
      <c r="AA1210" t="s">
        <v>12</v>
      </c>
      <c r="AB1210" t="s">
        <v>12</v>
      </c>
      <c r="AC1210" t="s">
        <v>12</v>
      </c>
      <c r="AD1210" t="s">
        <v>12</v>
      </c>
      <c r="AE1210" t="s">
        <v>12</v>
      </c>
      <c r="AF1210" t="s">
        <v>12</v>
      </c>
      <c r="AG1210" t="s">
        <v>12</v>
      </c>
      <c r="AH1210" t="s">
        <v>12</v>
      </c>
      <c r="AI1210" t="s">
        <v>12</v>
      </c>
      <c r="AJ1210" t="s">
        <v>12</v>
      </c>
      <c r="AK1210" t="s">
        <v>12</v>
      </c>
      <c r="AL1210" t="s">
        <v>12</v>
      </c>
      <c r="AM1210" t="s">
        <v>12</v>
      </c>
      <c r="AN1210" t="s">
        <v>12</v>
      </c>
      <c r="AO1210" t="s">
        <v>12</v>
      </c>
    </row>
    <row r="1211" spans="1:41" x14ac:dyDescent="0.35">
      <c r="A1211">
        <v>19083861</v>
      </c>
      <c r="B1211">
        <v>202511</v>
      </c>
      <c r="C1211">
        <v>20605762230</v>
      </c>
      <c r="D1211" t="s">
        <v>1473</v>
      </c>
      <c r="E1211" t="s">
        <v>1</v>
      </c>
      <c r="F1211">
        <v>10254416</v>
      </c>
      <c r="G1211" t="s">
        <v>92</v>
      </c>
      <c r="H1211" t="s">
        <v>15</v>
      </c>
      <c r="I1211">
        <v>11729.7158203125</v>
      </c>
      <c r="J1211" s="1">
        <v>45442</v>
      </c>
      <c r="K1211">
        <v>20.5</v>
      </c>
      <c r="L1211" t="s">
        <v>4</v>
      </c>
      <c r="M1211" t="s">
        <v>4</v>
      </c>
      <c r="N1211" t="s">
        <v>41</v>
      </c>
      <c r="O1211">
        <v>202405</v>
      </c>
      <c r="P1211">
        <v>150131.54</v>
      </c>
      <c r="Q1211" t="s">
        <v>15</v>
      </c>
      <c r="R1211" t="s">
        <v>17</v>
      </c>
      <c r="S1211" t="s">
        <v>18</v>
      </c>
      <c r="T1211" t="s">
        <v>122</v>
      </c>
      <c r="U1211" t="s">
        <v>41</v>
      </c>
      <c r="V1211">
        <v>1</v>
      </c>
      <c r="W1211" t="s">
        <v>10</v>
      </c>
      <c r="X1211" t="s">
        <v>22</v>
      </c>
      <c r="Y1211">
        <v>1</v>
      </c>
      <c r="Z1211">
        <v>1</v>
      </c>
      <c r="AA1211">
        <v>0</v>
      </c>
      <c r="AB1211">
        <v>1</v>
      </c>
      <c r="AC1211">
        <v>1</v>
      </c>
      <c r="AD1211">
        <v>1</v>
      </c>
      <c r="AE1211">
        <v>0</v>
      </c>
      <c r="AF1211" t="s">
        <v>12</v>
      </c>
      <c r="AG1211" t="s">
        <v>12</v>
      </c>
      <c r="AH1211" t="s">
        <v>12</v>
      </c>
      <c r="AI1211" t="s">
        <v>12</v>
      </c>
      <c r="AJ1211" t="s">
        <v>12</v>
      </c>
      <c r="AK1211">
        <v>130000</v>
      </c>
      <c r="AL1211">
        <v>0.30280000000000001</v>
      </c>
      <c r="AM1211">
        <v>0.2828</v>
      </c>
      <c r="AN1211" t="s">
        <v>12</v>
      </c>
      <c r="AO1211" t="s">
        <v>12</v>
      </c>
    </row>
    <row r="1212" spans="1:41" x14ac:dyDescent="0.35">
      <c r="A1212">
        <v>8864291</v>
      </c>
      <c r="B1212">
        <v>202509</v>
      </c>
      <c r="C1212">
        <v>20467291883</v>
      </c>
      <c r="D1212" t="s">
        <v>1160</v>
      </c>
      <c r="E1212" t="s">
        <v>1</v>
      </c>
      <c r="F1212">
        <v>10250733</v>
      </c>
      <c r="G1212" t="s">
        <v>73</v>
      </c>
      <c r="H1212" t="s">
        <v>338</v>
      </c>
      <c r="I1212">
        <v>135595.34375</v>
      </c>
      <c r="J1212" s="1">
        <v>45393</v>
      </c>
      <c r="K1212">
        <v>12.5</v>
      </c>
      <c r="L1212" t="s">
        <v>4</v>
      </c>
      <c r="M1212" t="s">
        <v>4</v>
      </c>
      <c r="N1212" t="s">
        <v>5</v>
      </c>
      <c r="O1212">
        <v>202404</v>
      </c>
      <c r="P1212">
        <v>394898.27</v>
      </c>
      <c r="Q1212" t="s">
        <v>12</v>
      </c>
      <c r="R1212" t="s">
        <v>12</v>
      </c>
      <c r="S1212" t="s">
        <v>12</v>
      </c>
      <c r="T1212" t="s">
        <v>12</v>
      </c>
      <c r="U1212" t="s">
        <v>12</v>
      </c>
      <c r="V1212" t="s">
        <v>12</v>
      </c>
      <c r="W1212" t="s">
        <v>12</v>
      </c>
      <c r="X1212" t="s">
        <v>12</v>
      </c>
      <c r="Y1212" t="s">
        <v>12</v>
      </c>
      <c r="Z1212" t="s">
        <v>12</v>
      </c>
      <c r="AA1212" t="s">
        <v>12</v>
      </c>
      <c r="AB1212" t="s">
        <v>12</v>
      </c>
      <c r="AC1212" t="s">
        <v>12</v>
      </c>
      <c r="AD1212" t="s">
        <v>12</v>
      </c>
      <c r="AE1212" t="s">
        <v>12</v>
      </c>
      <c r="AF1212" t="s">
        <v>12</v>
      </c>
      <c r="AG1212" t="s">
        <v>12</v>
      </c>
      <c r="AH1212" t="s">
        <v>12</v>
      </c>
      <c r="AI1212" t="s">
        <v>12</v>
      </c>
      <c r="AJ1212" t="s">
        <v>12</v>
      </c>
      <c r="AK1212" t="s">
        <v>12</v>
      </c>
      <c r="AL1212" t="s">
        <v>12</v>
      </c>
      <c r="AM1212" t="s">
        <v>12</v>
      </c>
      <c r="AN1212" t="s">
        <v>12</v>
      </c>
      <c r="AO1212" t="s">
        <v>12</v>
      </c>
    </row>
    <row r="1213" spans="1:41" x14ac:dyDescent="0.35">
      <c r="A1213">
        <v>20426104</v>
      </c>
      <c r="B1213">
        <v>202509</v>
      </c>
      <c r="C1213">
        <v>20487064280</v>
      </c>
      <c r="D1213" t="s">
        <v>1474</v>
      </c>
      <c r="E1213" t="s">
        <v>1</v>
      </c>
      <c r="F1213">
        <v>10271522</v>
      </c>
      <c r="G1213" t="s">
        <v>14</v>
      </c>
      <c r="H1213" t="s">
        <v>159</v>
      </c>
      <c r="I1213">
        <v>112005.59375</v>
      </c>
      <c r="J1213" s="1">
        <v>45919</v>
      </c>
      <c r="K1213">
        <v>18.120000999999998</v>
      </c>
      <c r="L1213" t="s">
        <v>37</v>
      </c>
      <c r="M1213" t="s">
        <v>37</v>
      </c>
      <c r="N1213" t="s">
        <v>16</v>
      </c>
      <c r="O1213">
        <v>202509</v>
      </c>
      <c r="P1213">
        <v>112005.6</v>
      </c>
      <c r="Q1213" t="s">
        <v>1032</v>
      </c>
      <c r="R1213" t="s">
        <v>1033</v>
      </c>
      <c r="S1213" t="s">
        <v>1034</v>
      </c>
      <c r="T1213" t="s">
        <v>1035</v>
      </c>
      <c r="U1213" t="s">
        <v>16</v>
      </c>
      <c r="V1213">
        <v>3</v>
      </c>
      <c r="W1213" t="s">
        <v>10</v>
      </c>
      <c r="X1213" t="s">
        <v>51</v>
      </c>
      <c r="Y1213">
        <v>1</v>
      </c>
      <c r="Z1213">
        <v>1</v>
      </c>
      <c r="AA1213">
        <v>1</v>
      </c>
      <c r="AB1213">
        <v>1</v>
      </c>
      <c r="AC1213">
        <v>1</v>
      </c>
      <c r="AD1213" t="s">
        <v>12</v>
      </c>
      <c r="AE1213">
        <v>112005.6</v>
      </c>
      <c r="AF1213">
        <v>18.120000999999998</v>
      </c>
      <c r="AG1213" s="1">
        <v>45919</v>
      </c>
      <c r="AH1213" t="s">
        <v>16</v>
      </c>
      <c r="AI1213" t="s">
        <v>37</v>
      </c>
      <c r="AJ1213" t="s">
        <v>33</v>
      </c>
      <c r="AK1213">
        <v>112000</v>
      </c>
      <c r="AL1213">
        <v>0.20119999999999999</v>
      </c>
      <c r="AM1213">
        <v>0.1812</v>
      </c>
      <c r="AN1213" t="s">
        <v>197</v>
      </c>
      <c r="AO1213" t="s">
        <v>33</v>
      </c>
    </row>
    <row r="1214" spans="1:41" x14ac:dyDescent="0.35">
      <c r="A1214">
        <v>21599874</v>
      </c>
      <c r="B1214">
        <v>202512</v>
      </c>
      <c r="C1214">
        <v>20601152151</v>
      </c>
      <c r="D1214" t="s">
        <v>1475</v>
      </c>
      <c r="E1214" t="s">
        <v>1</v>
      </c>
      <c r="F1214">
        <v>10267640</v>
      </c>
      <c r="G1214" t="s">
        <v>100</v>
      </c>
      <c r="H1214" t="s">
        <v>7</v>
      </c>
      <c r="I1214">
        <v>124908.109375</v>
      </c>
      <c r="J1214" s="1">
        <v>45784</v>
      </c>
      <c r="K1214">
        <v>14</v>
      </c>
      <c r="L1214" t="s">
        <v>37</v>
      </c>
      <c r="M1214" t="s">
        <v>75</v>
      </c>
      <c r="N1214" t="s">
        <v>102</v>
      </c>
      <c r="O1214">
        <v>202505</v>
      </c>
      <c r="P1214">
        <v>149507.45000000001</v>
      </c>
      <c r="Q1214" t="s">
        <v>25</v>
      </c>
      <c r="R1214" t="s">
        <v>279</v>
      </c>
      <c r="S1214" t="s">
        <v>7</v>
      </c>
      <c r="T1214" t="s">
        <v>8</v>
      </c>
      <c r="U1214" t="s">
        <v>41</v>
      </c>
      <c r="V1214">
        <v>1</v>
      </c>
      <c r="W1214" t="s">
        <v>10</v>
      </c>
      <c r="X1214" t="s">
        <v>22</v>
      </c>
      <c r="Y1214">
        <v>1</v>
      </c>
      <c r="Z1214">
        <v>1</v>
      </c>
      <c r="AA1214">
        <v>0</v>
      </c>
      <c r="AB1214">
        <v>0</v>
      </c>
      <c r="AC1214">
        <v>1</v>
      </c>
      <c r="AD1214">
        <v>1</v>
      </c>
      <c r="AE1214">
        <v>0</v>
      </c>
      <c r="AF1214" t="s">
        <v>12</v>
      </c>
      <c r="AG1214" t="s">
        <v>12</v>
      </c>
      <c r="AH1214" t="s">
        <v>12</v>
      </c>
      <c r="AI1214" t="s">
        <v>12</v>
      </c>
      <c r="AJ1214" t="s">
        <v>12</v>
      </c>
      <c r="AK1214">
        <v>250000</v>
      </c>
      <c r="AL1214">
        <v>0.26119999999999999</v>
      </c>
      <c r="AM1214">
        <v>0.2412</v>
      </c>
      <c r="AN1214" t="s">
        <v>12</v>
      </c>
      <c r="AO1214" t="s">
        <v>12</v>
      </c>
    </row>
    <row r="1215" spans="1:41" x14ac:dyDescent="0.35">
      <c r="A1215">
        <v>16495506</v>
      </c>
      <c r="B1215">
        <v>202510</v>
      </c>
      <c r="C1215">
        <v>20602835562</v>
      </c>
      <c r="D1215" t="s">
        <v>1476</v>
      </c>
      <c r="E1215" t="s">
        <v>1</v>
      </c>
      <c r="F1215">
        <v>10266234</v>
      </c>
      <c r="G1215" t="s">
        <v>2</v>
      </c>
      <c r="H1215" t="s">
        <v>210</v>
      </c>
      <c r="I1215">
        <v>111320.53125</v>
      </c>
      <c r="J1215" s="1">
        <v>45733</v>
      </c>
      <c r="K1215">
        <v>18</v>
      </c>
      <c r="L1215" t="s">
        <v>4</v>
      </c>
      <c r="M1215" t="s">
        <v>4</v>
      </c>
      <c r="N1215" t="s">
        <v>5</v>
      </c>
      <c r="O1215">
        <v>202503</v>
      </c>
      <c r="P1215">
        <v>150007.5</v>
      </c>
      <c r="Q1215" t="s">
        <v>210</v>
      </c>
      <c r="R1215" t="s">
        <v>211</v>
      </c>
      <c r="S1215" t="s">
        <v>39</v>
      </c>
      <c r="T1215" t="s">
        <v>40</v>
      </c>
      <c r="U1215" t="s">
        <v>20</v>
      </c>
      <c r="V1215">
        <v>1</v>
      </c>
      <c r="W1215" t="s">
        <v>10</v>
      </c>
      <c r="X1215" t="s">
        <v>12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 t="s">
        <v>12</v>
      </c>
      <c r="AG1215" t="s">
        <v>12</v>
      </c>
      <c r="AH1215" t="s">
        <v>12</v>
      </c>
      <c r="AI1215" t="s">
        <v>12</v>
      </c>
      <c r="AJ1215" t="s">
        <v>12</v>
      </c>
      <c r="AK1215">
        <v>1</v>
      </c>
      <c r="AL1215">
        <v>1</v>
      </c>
      <c r="AM1215" t="s">
        <v>12</v>
      </c>
      <c r="AN1215" t="s">
        <v>12</v>
      </c>
      <c r="AO1215" t="s">
        <v>12</v>
      </c>
    </row>
    <row r="1216" spans="1:41" x14ac:dyDescent="0.35">
      <c r="A1216">
        <v>14445769</v>
      </c>
      <c r="B1216">
        <v>202601</v>
      </c>
      <c r="C1216">
        <v>20600869419</v>
      </c>
      <c r="D1216" t="s">
        <v>1477</v>
      </c>
      <c r="E1216" t="s">
        <v>1</v>
      </c>
      <c r="F1216">
        <v>10274928</v>
      </c>
      <c r="G1216" t="s">
        <v>24</v>
      </c>
      <c r="H1216" t="s">
        <v>159</v>
      </c>
      <c r="I1216">
        <v>80003.9921875</v>
      </c>
      <c r="J1216" s="1">
        <v>46045</v>
      </c>
      <c r="K1216">
        <v>15</v>
      </c>
      <c r="L1216" t="s">
        <v>37</v>
      </c>
      <c r="M1216" t="s">
        <v>75</v>
      </c>
      <c r="N1216" t="s">
        <v>98</v>
      </c>
      <c r="O1216">
        <v>202601</v>
      </c>
      <c r="P1216">
        <v>80004</v>
      </c>
      <c r="Q1216" t="s">
        <v>1478</v>
      </c>
      <c r="R1216" t="s">
        <v>1479</v>
      </c>
      <c r="S1216" t="s">
        <v>558</v>
      </c>
      <c r="T1216" t="s">
        <v>559</v>
      </c>
      <c r="U1216" t="s">
        <v>98</v>
      </c>
      <c r="V1216">
        <v>3</v>
      </c>
      <c r="W1216" t="s">
        <v>90</v>
      </c>
      <c r="X1216" t="s">
        <v>59</v>
      </c>
      <c r="Y1216">
        <v>1</v>
      </c>
      <c r="Z1216">
        <v>1</v>
      </c>
      <c r="AA1216">
        <v>1</v>
      </c>
      <c r="AB1216">
        <v>1</v>
      </c>
      <c r="AC1216">
        <v>1</v>
      </c>
      <c r="AD1216" t="s">
        <v>12</v>
      </c>
      <c r="AE1216">
        <v>80004</v>
      </c>
      <c r="AF1216">
        <v>15</v>
      </c>
      <c r="AG1216" s="1">
        <v>46045</v>
      </c>
      <c r="AH1216" t="s">
        <v>98</v>
      </c>
      <c r="AI1216" t="s">
        <v>75</v>
      </c>
      <c r="AJ1216" t="s">
        <v>33</v>
      </c>
      <c r="AK1216">
        <v>200000</v>
      </c>
      <c r="AL1216">
        <v>0.20399999999999999</v>
      </c>
      <c r="AM1216">
        <v>0.184</v>
      </c>
      <c r="AN1216" t="s">
        <v>197</v>
      </c>
      <c r="AO1216" t="s">
        <v>33</v>
      </c>
    </row>
    <row r="1217" spans="1:41" x14ac:dyDescent="0.35">
      <c r="A1217">
        <v>17359506</v>
      </c>
      <c r="B1217">
        <v>202508</v>
      </c>
      <c r="C1217">
        <v>20448150951</v>
      </c>
      <c r="D1217" t="s">
        <v>1480</v>
      </c>
      <c r="E1217" t="s">
        <v>1</v>
      </c>
      <c r="F1217">
        <v>10257248</v>
      </c>
      <c r="G1217" t="s">
        <v>45</v>
      </c>
      <c r="H1217" t="s">
        <v>159</v>
      </c>
      <c r="I1217">
        <v>32910.95703125</v>
      </c>
      <c r="J1217" s="1">
        <v>45488</v>
      </c>
      <c r="K1217">
        <v>15.5</v>
      </c>
      <c r="L1217" t="s">
        <v>37</v>
      </c>
      <c r="M1217" t="s">
        <v>37</v>
      </c>
      <c r="N1217" t="s">
        <v>47</v>
      </c>
      <c r="O1217">
        <v>202407</v>
      </c>
      <c r="P1217">
        <v>44622.2</v>
      </c>
      <c r="Q1217" t="s">
        <v>12</v>
      </c>
      <c r="R1217" t="s">
        <v>12</v>
      </c>
      <c r="S1217" t="s">
        <v>12</v>
      </c>
      <c r="T1217" t="s">
        <v>12</v>
      </c>
      <c r="U1217" t="s">
        <v>12</v>
      </c>
      <c r="V1217" t="s">
        <v>12</v>
      </c>
      <c r="W1217" t="s">
        <v>12</v>
      </c>
      <c r="X1217" t="s">
        <v>12</v>
      </c>
      <c r="Y1217" t="s">
        <v>12</v>
      </c>
      <c r="Z1217" t="s">
        <v>12</v>
      </c>
      <c r="AA1217" t="s">
        <v>12</v>
      </c>
      <c r="AB1217" t="s">
        <v>12</v>
      </c>
      <c r="AC1217" t="s">
        <v>12</v>
      </c>
      <c r="AD1217" t="s">
        <v>12</v>
      </c>
      <c r="AE1217" t="s">
        <v>12</v>
      </c>
      <c r="AF1217" t="s">
        <v>12</v>
      </c>
      <c r="AG1217" t="s">
        <v>12</v>
      </c>
      <c r="AH1217" t="s">
        <v>12</v>
      </c>
      <c r="AI1217" t="s">
        <v>12</v>
      </c>
      <c r="AJ1217" t="s">
        <v>12</v>
      </c>
      <c r="AK1217" t="s">
        <v>12</v>
      </c>
      <c r="AL1217" t="s">
        <v>12</v>
      </c>
      <c r="AM1217" t="s">
        <v>12</v>
      </c>
      <c r="AN1217" t="s">
        <v>12</v>
      </c>
      <c r="AO1217" t="s">
        <v>12</v>
      </c>
    </row>
    <row r="1218" spans="1:41" x14ac:dyDescent="0.35">
      <c r="A1218">
        <v>20180867</v>
      </c>
      <c r="B1218">
        <v>202509</v>
      </c>
      <c r="C1218">
        <v>20604502510</v>
      </c>
      <c r="D1218" t="s">
        <v>547</v>
      </c>
      <c r="E1218" t="s">
        <v>1</v>
      </c>
      <c r="F1218">
        <v>10261597</v>
      </c>
      <c r="G1218" t="s">
        <v>65</v>
      </c>
      <c r="H1218" t="s">
        <v>206</v>
      </c>
      <c r="I1218">
        <v>3470.7509765625</v>
      </c>
      <c r="J1218" s="1">
        <v>45581</v>
      </c>
      <c r="K1218">
        <v>15.2</v>
      </c>
      <c r="L1218" t="s">
        <v>37</v>
      </c>
      <c r="M1218" t="s">
        <v>37</v>
      </c>
      <c r="N1218" t="s">
        <v>47</v>
      </c>
      <c r="O1218">
        <v>202410</v>
      </c>
      <c r="P1218">
        <v>90004.5</v>
      </c>
      <c r="Q1218" t="s">
        <v>12</v>
      </c>
      <c r="R1218" t="s">
        <v>12</v>
      </c>
      <c r="S1218" t="s">
        <v>12</v>
      </c>
      <c r="T1218" t="s">
        <v>12</v>
      </c>
      <c r="U1218" t="s">
        <v>12</v>
      </c>
      <c r="V1218" t="s">
        <v>12</v>
      </c>
      <c r="W1218" t="s">
        <v>12</v>
      </c>
      <c r="X1218" t="s">
        <v>12</v>
      </c>
      <c r="Y1218" t="s">
        <v>12</v>
      </c>
      <c r="Z1218" t="s">
        <v>12</v>
      </c>
      <c r="AA1218" t="s">
        <v>12</v>
      </c>
      <c r="AB1218" t="s">
        <v>12</v>
      </c>
      <c r="AC1218" t="s">
        <v>12</v>
      </c>
      <c r="AD1218" t="s">
        <v>12</v>
      </c>
      <c r="AE1218" t="s">
        <v>12</v>
      </c>
      <c r="AF1218" t="s">
        <v>12</v>
      </c>
      <c r="AG1218" t="s">
        <v>12</v>
      </c>
      <c r="AH1218" t="s">
        <v>12</v>
      </c>
      <c r="AI1218" t="s">
        <v>12</v>
      </c>
      <c r="AJ1218" t="s">
        <v>12</v>
      </c>
      <c r="AK1218" t="s">
        <v>12</v>
      </c>
      <c r="AL1218" t="s">
        <v>12</v>
      </c>
      <c r="AM1218" t="s">
        <v>12</v>
      </c>
      <c r="AN1218" t="s">
        <v>12</v>
      </c>
      <c r="AO1218" t="s">
        <v>12</v>
      </c>
    </row>
    <row r="1219" spans="1:41" x14ac:dyDescent="0.35">
      <c r="A1219">
        <v>17362545</v>
      </c>
      <c r="B1219">
        <v>202506</v>
      </c>
      <c r="C1219">
        <v>20603663668</v>
      </c>
      <c r="D1219" t="s">
        <v>1481</v>
      </c>
      <c r="E1219" t="s">
        <v>1</v>
      </c>
      <c r="F1219">
        <v>10267027</v>
      </c>
      <c r="G1219" t="s">
        <v>268</v>
      </c>
      <c r="H1219" t="s">
        <v>159</v>
      </c>
      <c r="I1219">
        <v>46550.09765625</v>
      </c>
      <c r="J1219" s="1">
        <v>45758</v>
      </c>
      <c r="K1219">
        <v>21.5</v>
      </c>
      <c r="L1219" t="s">
        <v>37</v>
      </c>
      <c r="M1219" t="s">
        <v>37</v>
      </c>
      <c r="N1219" t="s">
        <v>98</v>
      </c>
      <c r="O1219">
        <v>202504</v>
      </c>
      <c r="P1219">
        <v>50002.5</v>
      </c>
      <c r="Q1219" t="s">
        <v>12</v>
      </c>
      <c r="R1219" t="s">
        <v>12</v>
      </c>
      <c r="S1219" t="s">
        <v>12</v>
      </c>
      <c r="T1219" t="s">
        <v>12</v>
      </c>
      <c r="U1219" t="s">
        <v>12</v>
      </c>
      <c r="V1219" t="s">
        <v>12</v>
      </c>
      <c r="W1219" t="s">
        <v>12</v>
      </c>
      <c r="X1219" t="s">
        <v>12</v>
      </c>
      <c r="Y1219" t="s">
        <v>12</v>
      </c>
      <c r="Z1219" t="s">
        <v>12</v>
      </c>
      <c r="AA1219" t="s">
        <v>12</v>
      </c>
      <c r="AB1219" t="s">
        <v>12</v>
      </c>
      <c r="AC1219" t="s">
        <v>12</v>
      </c>
      <c r="AD1219" t="s">
        <v>12</v>
      </c>
      <c r="AE1219" t="s">
        <v>12</v>
      </c>
      <c r="AF1219" t="s">
        <v>12</v>
      </c>
      <c r="AG1219" t="s">
        <v>12</v>
      </c>
      <c r="AH1219" t="s">
        <v>12</v>
      </c>
      <c r="AI1219" t="s">
        <v>12</v>
      </c>
      <c r="AJ1219" t="s">
        <v>12</v>
      </c>
      <c r="AK1219" t="s">
        <v>12</v>
      </c>
      <c r="AL1219" t="s">
        <v>12</v>
      </c>
      <c r="AM1219" t="s">
        <v>12</v>
      </c>
      <c r="AN1219" t="s">
        <v>12</v>
      </c>
      <c r="AO1219" t="s">
        <v>12</v>
      </c>
    </row>
    <row r="1220" spans="1:41" x14ac:dyDescent="0.35">
      <c r="A1220">
        <v>11534791</v>
      </c>
      <c r="B1220">
        <v>202502</v>
      </c>
      <c r="C1220">
        <v>10449401471</v>
      </c>
      <c r="D1220" t="s">
        <v>1482</v>
      </c>
      <c r="E1220">
        <v>44940147</v>
      </c>
      <c r="F1220">
        <v>10265766</v>
      </c>
      <c r="G1220" t="s">
        <v>92</v>
      </c>
      <c r="H1220" t="s">
        <v>377</v>
      </c>
      <c r="I1220">
        <v>60003.015625</v>
      </c>
      <c r="J1220" s="1">
        <v>45715</v>
      </c>
      <c r="K1220">
        <v>23</v>
      </c>
      <c r="L1220" t="s">
        <v>4</v>
      </c>
      <c r="M1220" t="s">
        <v>4</v>
      </c>
      <c r="N1220" t="s">
        <v>41</v>
      </c>
      <c r="O1220">
        <v>202502</v>
      </c>
      <c r="P1220">
        <v>42059.82</v>
      </c>
      <c r="Q1220" t="s">
        <v>234</v>
      </c>
      <c r="R1220" t="s">
        <v>235</v>
      </c>
      <c r="S1220" t="s">
        <v>49</v>
      </c>
      <c r="T1220" t="s">
        <v>50</v>
      </c>
      <c r="U1220" t="s">
        <v>41</v>
      </c>
      <c r="V1220">
        <v>1</v>
      </c>
      <c r="W1220" t="s">
        <v>90</v>
      </c>
      <c r="X1220" t="s">
        <v>12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0</v>
      </c>
      <c r="AE1220">
        <v>42059.82</v>
      </c>
      <c r="AF1220">
        <v>23</v>
      </c>
      <c r="AG1220" s="1">
        <v>45715</v>
      </c>
      <c r="AH1220" t="s">
        <v>41</v>
      </c>
      <c r="AI1220" t="s">
        <v>4</v>
      </c>
      <c r="AJ1220" t="s">
        <v>33</v>
      </c>
      <c r="AK1220">
        <v>70000</v>
      </c>
      <c r="AL1220">
        <v>0.23</v>
      </c>
      <c r="AM1220">
        <v>0.21179999999999999</v>
      </c>
      <c r="AN1220" t="s">
        <v>12</v>
      </c>
      <c r="AO1220" t="s">
        <v>12</v>
      </c>
    </row>
    <row r="1221" spans="1:41" x14ac:dyDescent="0.35">
      <c r="A1221">
        <v>15352283</v>
      </c>
      <c r="B1221">
        <v>202507</v>
      </c>
      <c r="C1221">
        <v>10401070741</v>
      </c>
      <c r="D1221" t="s">
        <v>1483</v>
      </c>
      <c r="E1221">
        <v>40107074</v>
      </c>
      <c r="F1221">
        <v>10264270</v>
      </c>
      <c r="G1221" t="s">
        <v>65</v>
      </c>
      <c r="H1221" t="s">
        <v>1484</v>
      </c>
      <c r="I1221">
        <v>30001.509765625</v>
      </c>
      <c r="J1221" s="1">
        <v>45653</v>
      </c>
      <c r="K1221">
        <v>15.7</v>
      </c>
      <c r="L1221" t="s">
        <v>37</v>
      </c>
      <c r="M1221" t="s">
        <v>37</v>
      </c>
      <c r="N1221" t="s">
        <v>47</v>
      </c>
      <c r="O1221">
        <v>202412</v>
      </c>
      <c r="P1221">
        <v>30001.5</v>
      </c>
      <c r="Q1221" t="s">
        <v>12</v>
      </c>
      <c r="R1221" t="s">
        <v>12</v>
      </c>
      <c r="S1221" t="s">
        <v>12</v>
      </c>
      <c r="T1221" t="s">
        <v>12</v>
      </c>
      <c r="U1221" t="s">
        <v>12</v>
      </c>
      <c r="V1221" t="s">
        <v>12</v>
      </c>
      <c r="W1221" t="s">
        <v>12</v>
      </c>
      <c r="X1221" t="s">
        <v>12</v>
      </c>
      <c r="Y1221" t="s">
        <v>12</v>
      </c>
      <c r="Z1221" t="s">
        <v>12</v>
      </c>
      <c r="AA1221" t="s">
        <v>12</v>
      </c>
      <c r="AB1221" t="s">
        <v>12</v>
      </c>
      <c r="AC1221" t="s">
        <v>12</v>
      </c>
      <c r="AD1221" t="s">
        <v>12</v>
      </c>
      <c r="AE1221" t="s">
        <v>12</v>
      </c>
      <c r="AF1221" t="s">
        <v>12</v>
      </c>
      <c r="AG1221" t="s">
        <v>12</v>
      </c>
      <c r="AH1221" t="s">
        <v>12</v>
      </c>
      <c r="AI1221" t="s">
        <v>12</v>
      </c>
      <c r="AJ1221" t="s">
        <v>12</v>
      </c>
      <c r="AK1221" t="s">
        <v>12</v>
      </c>
      <c r="AL1221" t="s">
        <v>12</v>
      </c>
      <c r="AM1221" t="s">
        <v>12</v>
      </c>
      <c r="AN1221" t="s">
        <v>12</v>
      </c>
      <c r="AO1221" t="s">
        <v>12</v>
      </c>
    </row>
    <row r="1222" spans="1:41" x14ac:dyDescent="0.35">
      <c r="A1222">
        <v>16701695</v>
      </c>
      <c r="B1222">
        <v>202508</v>
      </c>
      <c r="C1222">
        <v>10081465768</v>
      </c>
      <c r="D1222" t="s">
        <v>1485</v>
      </c>
      <c r="E1222">
        <v>8146576</v>
      </c>
      <c r="F1222">
        <v>10265509</v>
      </c>
      <c r="G1222" t="s">
        <v>100</v>
      </c>
      <c r="H1222" t="s">
        <v>101</v>
      </c>
      <c r="I1222">
        <v>35687.875</v>
      </c>
      <c r="J1222" s="1">
        <v>45708</v>
      </c>
      <c r="K1222">
        <v>14</v>
      </c>
      <c r="L1222" t="s">
        <v>37</v>
      </c>
      <c r="M1222" t="s">
        <v>37</v>
      </c>
      <c r="N1222" t="s">
        <v>102</v>
      </c>
      <c r="O1222">
        <v>202502</v>
      </c>
      <c r="P1222">
        <v>51752.55</v>
      </c>
      <c r="Q1222" t="s">
        <v>101</v>
      </c>
      <c r="R1222" t="s">
        <v>103</v>
      </c>
      <c r="S1222" t="s">
        <v>88</v>
      </c>
      <c r="T1222" t="s">
        <v>89</v>
      </c>
      <c r="U1222" t="s">
        <v>41</v>
      </c>
      <c r="V1222">
        <v>2</v>
      </c>
      <c r="W1222" t="s">
        <v>90</v>
      </c>
      <c r="X1222" t="s">
        <v>12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 t="s">
        <v>12</v>
      </c>
      <c r="AG1222" t="s">
        <v>12</v>
      </c>
      <c r="AH1222" t="s">
        <v>12</v>
      </c>
      <c r="AI1222" t="s">
        <v>12</v>
      </c>
      <c r="AJ1222" t="s">
        <v>12</v>
      </c>
      <c r="AK1222">
        <v>200000</v>
      </c>
      <c r="AL1222">
        <v>0.25</v>
      </c>
      <c r="AM1222">
        <v>0.23330000000000001</v>
      </c>
      <c r="AN1222" t="s">
        <v>12</v>
      </c>
      <c r="AO1222" t="s">
        <v>12</v>
      </c>
    </row>
    <row r="1223" spans="1:41" x14ac:dyDescent="0.35">
      <c r="A1223">
        <v>20910791</v>
      </c>
      <c r="B1223">
        <v>202601</v>
      </c>
      <c r="C1223">
        <v>20536376632</v>
      </c>
      <c r="D1223" t="s">
        <v>1486</v>
      </c>
      <c r="E1223" t="s">
        <v>1</v>
      </c>
      <c r="F1223">
        <v>10268025</v>
      </c>
      <c r="G1223" t="s">
        <v>92</v>
      </c>
      <c r="H1223" t="s">
        <v>135</v>
      </c>
      <c r="I1223">
        <v>91584.046875</v>
      </c>
      <c r="J1223" s="1">
        <v>45799</v>
      </c>
      <c r="K1223">
        <v>17</v>
      </c>
      <c r="L1223" t="s">
        <v>4</v>
      </c>
      <c r="M1223" t="s">
        <v>4</v>
      </c>
      <c r="N1223" t="s">
        <v>41</v>
      </c>
      <c r="O1223">
        <v>202505</v>
      </c>
      <c r="P1223">
        <v>350017.5</v>
      </c>
      <c r="Q1223" t="s">
        <v>135</v>
      </c>
      <c r="R1223" t="s">
        <v>136</v>
      </c>
      <c r="S1223" t="s">
        <v>18</v>
      </c>
      <c r="T1223" t="s">
        <v>19</v>
      </c>
      <c r="U1223" t="s">
        <v>63</v>
      </c>
      <c r="V1223">
        <v>1</v>
      </c>
      <c r="W1223" t="s">
        <v>21</v>
      </c>
      <c r="X1223" t="s">
        <v>22</v>
      </c>
      <c r="Y1223">
        <v>1</v>
      </c>
      <c r="Z1223">
        <v>1</v>
      </c>
      <c r="AA1223">
        <v>0</v>
      </c>
      <c r="AB1223">
        <v>0</v>
      </c>
      <c r="AC1223">
        <v>1</v>
      </c>
      <c r="AD1223">
        <v>1</v>
      </c>
      <c r="AE1223">
        <v>0</v>
      </c>
      <c r="AF1223" t="s">
        <v>12</v>
      </c>
      <c r="AG1223" t="s">
        <v>12</v>
      </c>
      <c r="AH1223" t="s">
        <v>12</v>
      </c>
      <c r="AI1223" t="s">
        <v>12</v>
      </c>
      <c r="AJ1223" t="s">
        <v>12</v>
      </c>
      <c r="AK1223">
        <v>105000</v>
      </c>
      <c r="AL1223">
        <v>0.21</v>
      </c>
      <c r="AM1223">
        <v>0.19</v>
      </c>
      <c r="AN1223" t="s">
        <v>12</v>
      </c>
      <c r="AO1223" t="s">
        <v>12</v>
      </c>
    </row>
    <row r="1224" spans="1:41" x14ac:dyDescent="0.35">
      <c r="A1224">
        <v>21654484</v>
      </c>
      <c r="B1224">
        <v>202509</v>
      </c>
      <c r="C1224">
        <v>20606795875</v>
      </c>
      <c r="D1224" t="s">
        <v>1487</v>
      </c>
      <c r="E1224" t="s">
        <v>1</v>
      </c>
      <c r="F1224">
        <v>10268115</v>
      </c>
      <c r="G1224" t="s">
        <v>28</v>
      </c>
      <c r="H1224" t="s">
        <v>244</v>
      </c>
      <c r="I1224">
        <v>52037.92578125</v>
      </c>
      <c r="J1224" s="1">
        <v>45803</v>
      </c>
      <c r="K1224">
        <v>23.1</v>
      </c>
      <c r="L1224" t="s">
        <v>4</v>
      </c>
      <c r="M1224" t="s">
        <v>4</v>
      </c>
      <c r="N1224" t="s">
        <v>26</v>
      </c>
      <c r="O1224">
        <v>202505</v>
      </c>
      <c r="P1224">
        <v>60003</v>
      </c>
      <c r="Q1224" t="s">
        <v>244</v>
      </c>
      <c r="R1224" t="s">
        <v>297</v>
      </c>
      <c r="S1224" t="s">
        <v>7</v>
      </c>
      <c r="T1224" t="s">
        <v>8</v>
      </c>
      <c r="U1224" t="s">
        <v>20</v>
      </c>
      <c r="V1224">
        <v>1</v>
      </c>
      <c r="W1224" t="s">
        <v>10</v>
      </c>
      <c r="X1224" t="s">
        <v>22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 t="s">
        <v>12</v>
      </c>
      <c r="AG1224" t="s">
        <v>12</v>
      </c>
      <c r="AH1224" t="s">
        <v>12</v>
      </c>
      <c r="AI1224" t="s">
        <v>12</v>
      </c>
      <c r="AJ1224" t="s">
        <v>12</v>
      </c>
      <c r="AK1224">
        <v>1</v>
      </c>
      <c r="AL1224">
        <v>1</v>
      </c>
      <c r="AM1224" t="s">
        <v>12</v>
      </c>
      <c r="AN1224" t="s">
        <v>12</v>
      </c>
      <c r="AO1224" t="s">
        <v>12</v>
      </c>
    </row>
    <row r="1225" spans="1:41" x14ac:dyDescent="0.35">
      <c r="A1225">
        <v>15959991</v>
      </c>
      <c r="B1225">
        <v>202507</v>
      </c>
      <c r="C1225">
        <v>20604176094</v>
      </c>
      <c r="D1225" t="s">
        <v>1488</v>
      </c>
      <c r="E1225" t="s">
        <v>1</v>
      </c>
      <c r="F1225">
        <v>10266358</v>
      </c>
      <c r="G1225" t="s">
        <v>268</v>
      </c>
      <c r="H1225" t="s">
        <v>140</v>
      </c>
      <c r="I1225">
        <v>40189.5625</v>
      </c>
      <c r="J1225" s="1">
        <v>45736</v>
      </c>
      <c r="K1225">
        <v>23</v>
      </c>
      <c r="L1225" t="s">
        <v>37</v>
      </c>
      <c r="M1225" t="s">
        <v>37</v>
      </c>
      <c r="N1225" t="s">
        <v>98</v>
      </c>
      <c r="O1225">
        <v>202503</v>
      </c>
      <c r="P1225">
        <v>50002.5</v>
      </c>
      <c r="Q1225" t="s">
        <v>140</v>
      </c>
      <c r="R1225" t="s">
        <v>141</v>
      </c>
      <c r="S1225" t="s">
        <v>111</v>
      </c>
      <c r="T1225" t="s">
        <v>112</v>
      </c>
      <c r="U1225" t="s">
        <v>20</v>
      </c>
      <c r="V1225">
        <v>2</v>
      </c>
      <c r="W1225" t="s">
        <v>10</v>
      </c>
      <c r="X1225" t="s">
        <v>12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 t="s">
        <v>12</v>
      </c>
      <c r="AG1225" t="s">
        <v>12</v>
      </c>
      <c r="AH1225" t="s">
        <v>12</v>
      </c>
      <c r="AI1225" t="s">
        <v>12</v>
      </c>
      <c r="AJ1225" t="s">
        <v>12</v>
      </c>
      <c r="AK1225">
        <v>1</v>
      </c>
      <c r="AL1225">
        <v>0.24979999999999999</v>
      </c>
      <c r="AM1225" t="s">
        <v>12</v>
      </c>
      <c r="AN1225" t="s">
        <v>12</v>
      </c>
      <c r="AO1225" t="s">
        <v>12</v>
      </c>
    </row>
    <row r="1226" spans="1:41" x14ac:dyDescent="0.35">
      <c r="A1226">
        <v>17237643</v>
      </c>
      <c r="B1226">
        <v>202507</v>
      </c>
      <c r="C1226">
        <v>20544045904</v>
      </c>
      <c r="D1226" t="s">
        <v>1489</v>
      </c>
      <c r="E1226" t="s">
        <v>1</v>
      </c>
      <c r="F1226">
        <v>10267305</v>
      </c>
      <c r="G1226" t="s">
        <v>14</v>
      </c>
      <c r="H1226" t="s">
        <v>127</v>
      </c>
      <c r="I1226">
        <v>206525.828125</v>
      </c>
      <c r="J1226" s="1">
        <v>45771</v>
      </c>
      <c r="K1226">
        <v>16.5</v>
      </c>
      <c r="L1226" t="s">
        <v>4</v>
      </c>
      <c r="M1226" t="s">
        <v>4</v>
      </c>
      <c r="N1226" t="s">
        <v>26</v>
      </c>
      <c r="O1226">
        <v>202504</v>
      </c>
      <c r="P1226">
        <v>220011</v>
      </c>
      <c r="Q1226" t="s">
        <v>12</v>
      </c>
      <c r="R1226" t="s">
        <v>12</v>
      </c>
      <c r="S1226" t="s">
        <v>12</v>
      </c>
      <c r="T1226" t="s">
        <v>12</v>
      </c>
      <c r="U1226" t="s">
        <v>12</v>
      </c>
      <c r="V1226" t="s">
        <v>12</v>
      </c>
      <c r="W1226" t="s">
        <v>12</v>
      </c>
      <c r="X1226" t="s">
        <v>12</v>
      </c>
      <c r="Y1226" t="s">
        <v>12</v>
      </c>
      <c r="Z1226" t="s">
        <v>12</v>
      </c>
      <c r="AA1226" t="s">
        <v>12</v>
      </c>
      <c r="AB1226" t="s">
        <v>12</v>
      </c>
      <c r="AC1226" t="s">
        <v>12</v>
      </c>
      <c r="AD1226" t="s">
        <v>12</v>
      </c>
      <c r="AE1226" t="s">
        <v>12</v>
      </c>
      <c r="AF1226" t="s">
        <v>12</v>
      </c>
      <c r="AG1226" t="s">
        <v>12</v>
      </c>
      <c r="AH1226" t="s">
        <v>12</v>
      </c>
      <c r="AI1226" t="s">
        <v>12</v>
      </c>
      <c r="AJ1226" t="s">
        <v>12</v>
      </c>
      <c r="AK1226" t="s">
        <v>12</v>
      </c>
      <c r="AL1226" t="s">
        <v>12</v>
      </c>
      <c r="AM1226" t="s">
        <v>12</v>
      </c>
      <c r="AN1226" t="s">
        <v>12</v>
      </c>
      <c r="AO1226" t="s">
        <v>12</v>
      </c>
    </row>
    <row r="1227" spans="1:41" x14ac:dyDescent="0.35">
      <c r="A1227">
        <v>16878265</v>
      </c>
      <c r="B1227">
        <v>202510</v>
      </c>
      <c r="C1227">
        <v>10713488254</v>
      </c>
      <c r="D1227" t="s">
        <v>1490</v>
      </c>
      <c r="E1227">
        <v>71348825</v>
      </c>
      <c r="F1227">
        <v>10250037</v>
      </c>
      <c r="G1227" t="s">
        <v>45</v>
      </c>
      <c r="H1227" t="s">
        <v>153</v>
      </c>
      <c r="I1227">
        <v>24609.08203125</v>
      </c>
      <c r="J1227" s="1">
        <v>45377</v>
      </c>
      <c r="K1227">
        <v>14.3</v>
      </c>
      <c r="L1227" t="s">
        <v>37</v>
      </c>
      <c r="M1227" t="s">
        <v>37</v>
      </c>
      <c r="N1227" t="s">
        <v>47</v>
      </c>
      <c r="O1227">
        <v>202403</v>
      </c>
      <c r="P1227">
        <v>50002.5</v>
      </c>
      <c r="Q1227" t="s">
        <v>153</v>
      </c>
      <c r="R1227" t="s">
        <v>154</v>
      </c>
      <c r="S1227" t="s">
        <v>88</v>
      </c>
      <c r="T1227" t="s">
        <v>89</v>
      </c>
      <c r="U1227" t="s">
        <v>20</v>
      </c>
      <c r="V1227">
        <v>2</v>
      </c>
      <c r="W1227" t="s">
        <v>90</v>
      </c>
      <c r="X1227" t="s">
        <v>12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 t="s">
        <v>12</v>
      </c>
      <c r="AG1227" t="s">
        <v>12</v>
      </c>
      <c r="AH1227" t="s">
        <v>12</v>
      </c>
      <c r="AI1227" t="s">
        <v>12</v>
      </c>
      <c r="AJ1227" t="s">
        <v>12</v>
      </c>
      <c r="AK1227">
        <v>1</v>
      </c>
      <c r="AL1227">
        <v>1</v>
      </c>
      <c r="AM1227" t="s">
        <v>12</v>
      </c>
      <c r="AN1227" t="s">
        <v>12</v>
      </c>
      <c r="AO1227" t="s">
        <v>12</v>
      </c>
    </row>
    <row r="1228" spans="1:41" x14ac:dyDescent="0.35">
      <c r="A1228">
        <v>14326680</v>
      </c>
      <c r="B1228">
        <v>202509</v>
      </c>
      <c r="C1228">
        <v>10464196949</v>
      </c>
      <c r="D1228" t="s">
        <v>1491</v>
      </c>
      <c r="E1228">
        <v>46419694</v>
      </c>
      <c r="F1228">
        <v>10248696</v>
      </c>
      <c r="G1228" t="s">
        <v>65</v>
      </c>
      <c r="H1228" t="s">
        <v>111</v>
      </c>
      <c r="I1228">
        <v>44391.60546875</v>
      </c>
      <c r="J1228" s="1">
        <v>45350</v>
      </c>
      <c r="K1228">
        <v>14.7</v>
      </c>
      <c r="L1228" t="s">
        <v>4</v>
      </c>
      <c r="M1228" t="s">
        <v>4</v>
      </c>
      <c r="N1228" t="s">
        <v>47</v>
      </c>
      <c r="O1228">
        <v>202402</v>
      </c>
      <c r="P1228">
        <v>90004.5</v>
      </c>
      <c r="Q1228" t="s">
        <v>170</v>
      </c>
      <c r="R1228" t="s">
        <v>678</v>
      </c>
      <c r="S1228" t="s">
        <v>111</v>
      </c>
      <c r="T1228" t="s">
        <v>112</v>
      </c>
      <c r="U1228" t="s">
        <v>41</v>
      </c>
      <c r="V1228">
        <v>2</v>
      </c>
      <c r="W1228" t="s">
        <v>10</v>
      </c>
      <c r="X1228" t="s">
        <v>59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 t="s">
        <v>12</v>
      </c>
      <c r="AG1228" t="s">
        <v>12</v>
      </c>
      <c r="AH1228" t="s">
        <v>12</v>
      </c>
      <c r="AI1228" t="s">
        <v>12</v>
      </c>
      <c r="AJ1228" t="s">
        <v>12</v>
      </c>
      <c r="AK1228">
        <v>300000</v>
      </c>
      <c r="AL1228">
        <v>0.2</v>
      </c>
      <c r="AM1228">
        <v>0.18</v>
      </c>
      <c r="AN1228" t="s">
        <v>12</v>
      </c>
      <c r="AO1228" t="s">
        <v>12</v>
      </c>
    </row>
    <row r="1229" spans="1:41" x14ac:dyDescent="0.35">
      <c r="A1229">
        <v>20448288</v>
      </c>
      <c r="B1229">
        <v>202502</v>
      </c>
      <c r="C1229">
        <v>20480392435</v>
      </c>
      <c r="D1229" t="s">
        <v>1492</v>
      </c>
      <c r="E1229" t="s">
        <v>1</v>
      </c>
      <c r="F1229">
        <v>10246038</v>
      </c>
      <c r="G1229" t="s">
        <v>28</v>
      </c>
      <c r="H1229" t="s">
        <v>257</v>
      </c>
      <c r="I1229">
        <v>70118.84375</v>
      </c>
      <c r="J1229" s="1">
        <v>45254</v>
      </c>
      <c r="K1229">
        <v>21.299990000000001</v>
      </c>
      <c r="L1229" t="s">
        <v>4</v>
      </c>
      <c r="M1229" t="s">
        <v>4</v>
      </c>
      <c r="N1229" t="s">
        <v>26</v>
      </c>
      <c r="O1229">
        <v>202311</v>
      </c>
      <c r="P1229">
        <v>150007.5</v>
      </c>
      <c r="Q1229" t="s">
        <v>257</v>
      </c>
      <c r="R1229" t="s">
        <v>258</v>
      </c>
      <c r="S1229" t="s">
        <v>49</v>
      </c>
      <c r="T1229" t="s">
        <v>50</v>
      </c>
      <c r="U1229" t="s">
        <v>20</v>
      </c>
      <c r="V1229">
        <v>1</v>
      </c>
      <c r="W1229" t="s">
        <v>10</v>
      </c>
      <c r="X1229" t="s">
        <v>12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 t="s">
        <v>12</v>
      </c>
      <c r="AG1229" t="s">
        <v>12</v>
      </c>
      <c r="AH1229" t="s">
        <v>12</v>
      </c>
      <c r="AI1229" t="s">
        <v>12</v>
      </c>
      <c r="AJ1229" t="s">
        <v>12</v>
      </c>
      <c r="AK1229">
        <v>924975661</v>
      </c>
      <c r="AL1229">
        <v>0</v>
      </c>
      <c r="AM1229">
        <v>0</v>
      </c>
      <c r="AN1229" t="s">
        <v>12</v>
      </c>
      <c r="AO1229" t="s">
        <v>12</v>
      </c>
    </row>
    <row r="1230" spans="1:41" x14ac:dyDescent="0.35">
      <c r="A1230">
        <v>12664520</v>
      </c>
      <c r="B1230">
        <v>202509</v>
      </c>
      <c r="C1230">
        <v>10468543821</v>
      </c>
      <c r="D1230" t="s">
        <v>1493</v>
      </c>
      <c r="E1230">
        <v>46854382</v>
      </c>
      <c r="F1230">
        <v>10267367</v>
      </c>
      <c r="G1230" t="s">
        <v>24</v>
      </c>
      <c r="H1230" t="s">
        <v>865</v>
      </c>
      <c r="I1230">
        <v>51671.0078125</v>
      </c>
      <c r="J1230" s="1">
        <v>45772</v>
      </c>
      <c r="K1230">
        <v>19</v>
      </c>
      <c r="L1230" t="s">
        <v>37</v>
      </c>
      <c r="M1230" t="s">
        <v>37</v>
      </c>
      <c r="N1230" t="s">
        <v>98</v>
      </c>
      <c r="O1230">
        <v>202504</v>
      </c>
      <c r="P1230">
        <v>60003</v>
      </c>
      <c r="Q1230" t="s">
        <v>12</v>
      </c>
      <c r="R1230" t="s">
        <v>12</v>
      </c>
      <c r="S1230" t="s">
        <v>12</v>
      </c>
      <c r="T1230" t="s">
        <v>12</v>
      </c>
      <c r="U1230" t="s">
        <v>41</v>
      </c>
      <c r="V1230">
        <v>2</v>
      </c>
      <c r="W1230" t="s">
        <v>90</v>
      </c>
      <c r="X1230" t="s">
        <v>59</v>
      </c>
      <c r="Y1230">
        <v>1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 t="s">
        <v>12</v>
      </c>
      <c r="AG1230" t="s">
        <v>12</v>
      </c>
      <c r="AH1230" t="s">
        <v>12</v>
      </c>
      <c r="AI1230" t="s">
        <v>12</v>
      </c>
      <c r="AJ1230" t="s">
        <v>12</v>
      </c>
      <c r="AK1230">
        <v>200000</v>
      </c>
      <c r="AL1230">
        <v>0.26</v>
      </c>
      <c r="AM1230">
        <v>0.24</v>
      </c>
      <c r="AN1230" t="s">
        <v>12</v>
      </c>
      <c r="AO1230" t="s">
        <v>12</v>
      </c>
    </row>
    <row r="1231" spans="1:41" x14ac:dyDescent="0.35">
      <c r="A1231">
        <v>19736879</v>
      </c>
      <c r="B1231">
        <v>202508</v>
      </c>
      <c r="C1231">
        <v>20602346596</v>
      </c>
      <c r="D1231" t="s">
        <v>1494</v>
      </c>
      <c r="E1231" t="s">
        <v>1</v>
      </c>
      <c r="F1231">
        <v>10260441</v>
      </c>
      <c r="G1231" t="s">
        <v>45</v>
      </c>
      <c r="H1231" t="s">
        <v>7</v>
      </c>
      <c r="I1231">
        <v>278892.6875</v>
      </c>
      <c r="J1231" s="1">
        <v>45552</v>
      </c>
      <c r="K1231">
        <v>13</v>
      </c>
      <c r="L1231" t="s">
        <v>4</v>
      </c>
      <c r="M1231" t="s">
        <v>4</v>
      </c>
      <c r="N1231" t="s">
        <v>47</v>
      </c>
      <c r="O1231">
        <v>202409</v>
      </c>
      <c r="P1231">
        <v>300015</v>
      </c>
      <c r="Q1231" t="s">
        <v>12</v>
      </c>
      <c r="R1231" t="s">
        <v>12</v>
      </c>
      <c r="S1231" t="s">
        <v>12</v>
      </c>
      <c r="T1231" t="s">
        <v>12</v>
      </c>
      <c r="U1231" t="s">
        <v>12</v>
      </c>
      <c r="V1231" t="s">
        <v>12</v>
      </c>
      <c r="W1231" t="s">
        <v>12</v>
      </c>
      <c r="X1231" t="s">
        <v>12</v>
      </c>
      <c r="Y1231" t="s">
        <v>12</v>
      </c>
      <c r="Z1231" t="s">
        <v>12</v>
      </c>
      <c r="AA1231" t="s">
        <v>12</v>
      </c>
      <c r="AB1231" t="s">
        <v>12</v>
      </c>
      <c r="AC1231" t="s">
        <v>12</v>
      </c>
      <c r="AD1231" t="s">
        <v>12</v>
      </c>
      <c r="AE1231" t="s">
        <v>12</v>
      </c>
      <c r="AF1231" t="s">
        <v>12</v>
      </c>
      <c r="AG1231" t="s">
        <v>12</v>
      </c>
      <c r="AH1231" t="s">
        <v>12</v>
      </c>
      <c r="AI1231" t="s">
        <v>12</v>
      </c>
      <c r="AJ1231" t="s">
        <v>12</v>
      </c>
      <c r="AK1231" t="s">
        <v>12</v>
      </c>
      <c r="AL1231" t="s">
        <v>12</v>
      </c>
      <c r="AM1231" t="s">
        <v>12</v>
      </c>
      <c r="AN1231" t="s">
        <v>12</v>
      </c>
      <c r="AO1231" t="s">
        <v>12</v>
      </c>
    </row>
    <row r="1232" spans="1:41" x14ac:dyDescent="0.35">
      <c r="A1232">
        <v>11684176</v>
      </c>
      <c r="B1232">
        <v>202602</v>
      </c>
      <c r="C1232">
        <v>10328320946</v>
      </c>
      <c r="D1232" t="s">
        <v>1495</v>
      </c>
      <c r="E1232">
        <v>32832094</v>
      </c>
      <c r="F1232">
        <v>10258565</v>
      </c>
      <c r="G1232" t="s">
        <v>65</v>
      </c>
      <c r="H1232" t="s">
        <v>917</v>
      </c>
      <c r="I1232">
        <v>16143.7568359375</v>
      </c>
      <c r="J1232" s="1">
        <v>45504</v>
      </c>
      <c r="K1232">
        <v>15.5</v>
      </c>
      <c r="L1232" t="s">
        <v>37</v>
      </c>
      <c r="M1232" t="s">
        <v>37</v>
      </c>
      <c r="N1232" t="s">
        <v>47</v>
      </c>
      <c r="O1232">
        <v>202407</v>
      </c>
      <c r="P1232">
        <v>50002.5</v>
      </c>
      <c r="Q1232" t="s">
        <v>12</v>
      </c>
      <c r="R1232" t="s">
        <v>12</v>
      </c>
      <c r="S1232" t="s">
        <v>12</v>
      </c>
      <c r="T1232" t="s">
        <v>12</v>
      </c>
      <c r="U1232" t="s">
        <v>196</v>
      </c>
      <c r="V1232">
        <v>3</v>
      </c>
      <c r="W1232" t="s">
        <v>647</v>
      </c>
      <c r="X1232" t="s">
        <v>59</v>
      </c>
      <c r="Y1232">
        <v>1</v>
      </c>
      <c r="Z1232">
        <v>1</v>
      </c>
      <c r="AA1232">
        <v>0</v>
      </c>
      <c r="AB1232">
        <v>0</v>
      </c>
      <c r="AC1232">
        <v>1</v>
      </c>
      <c r="AD1232" t="s">
        <v>12</v>
      </c>
      <c r="AE1232">
        <v>0</v>
      </c>
      <c r="AF1232" t="s">
        <v>12</v>
      </c>
      <c r="AG1232" t="s">
        <v>12</v>
      </c>
      <c r="AH1232" t="s">
        <v>12</v>
      </c>
      <c r="AI1232" t="s">
        <v>12</v>
      </c>
      <c r="AJ1232" t="s">
        <v>12</v>
      </c>
      <c r="AK1232" t="s">
        <v>12</v>
      </c>
      <c r="AL1232" t="s">
        <v>12</v>
      </c>
      <c r="AM1232" t="s">
        <v>12</v>
      </c>
      <c r="AN1232" t="s">
        <v>269</v>
      </c>
      <c r="AO1232" t="s">
        <v>270</v>
      </c>
    </row>
    <row r="1233" spans="1:41" x14ac:dyDescent="0.35">
      <c r="A1233">
        <v>11684176</v>
      </c>
      <c r="B1233">
        <v>202602</v>
      </c>
      <c r="C1233">
        <v>10328320946</v>
      </c>
      <c r="D1233" t="s">
        <v>1495</v>
      </c>
      <c r="E1233">
        <v>32832094</v>
      </c>
      <c r="F1233">
        <v>10258565</v>
      </c>
      <c r="G1233" t="s">
        <v>65</v>
      </c>
      <c r="H1233" t="s">
        <v>917</v>
      </c>
      <c r="I1233">
        <v>16143.7568359375</v>
      </c>
      <c r="J1233" s="1">
        <v>45504</v>
      </c>
      <c r="K1233">
        <v>15.5</v>
      </c>
      <c r="L1233" t="s">
        <v>37</v>
      </c>
      <c r="M1233" t="s">
        <v>37</v>
      </c>
      <c r="N1233" t="s">
        <v>47</v>
      </c>
      <c r="O1233">
        <v>202407</v>
      </c>
      <c r="P1233">
        <v>50002.5</v>
      </c>
      <c r="Q1233" t="s">
        <v>422</v>
      </c>
      <c r="R1233" t="s">
        <v>424</v>
      </c>
      <c r="S1233" t="s">
        <v>88</v>
      </c>
      <c r="T1233" t="s">
        <v>89</v>
      </c>
      <c r="U1233" t="s">
        <v>63</v>
      </c>
      <c r="V1233">
        <v>2</v>
      </c>
      <c r="W1233" t="s">
        <v>647</v>
      </c>
      <c r="X1233" t="s">
        <v>59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 t="s">
        <v>12</v>
      </c>
      <c r="AG1233" t="s">
        <v>12</v>
      </c>
      <c r="AH1233" t="s">
        <v>12</v>
      </c>
      <c r="AI1233" t="s">
        <v>12</v>
      </c>
      <c r="AJ1233" t="s">
        <v>12</v>
      </c>
      <c r="AK1233">
        <v>400000</v>
      </c>
      <c r="AL1233">
        <v>0.21</v>
      </c>
      <c r="AM1233">
        <v>0.19</v>
      </c>
      <c r="AN1233" t="s">
        <v>12</v>
      </c>
      <c r="AO1233" t="s">
        <v>12</v>
      </c>
    </row>
    <row r="1234" spans="1:41" x14ac:dyDescent="0.35">
      <c r="A1234">
        <v>15128546</v>
      </c>
      <c r="B1234">
        <v>202510</v>
      </c>
      <c r="C1234">
        <v>10760830386</v>
      </c>
      <c r="D1234" t="s">
        <v>1496</v>
      </c>
      <c r="E1234">
        <v>76083038</v>
      </c>
      <c r="F1234">
        <v>10268788</v>
      </c>
      <c r="G1234" t="s">
        <v>100</v>
      </c>
      <c r="H1234" t="s">
        <v>85</v>
      </c>
      <c r="I1234">
        <v>119777.53125</v>
      </c>
      <c r="J1234" s="1">
        <v>45826</v>
      </c>
      <c r="K1234">
        <v>17.5</v>
      </c>
      <c r="L1234" t="s">
        <v>37</v>
      </c>
      <c r="M1234" t="s">
        <v>37</v>
      </c>
      <c r="N1234" t="s">
        <v>102</v>
      </c>
      <c r="O1234">
        <v>202506</v>
      </c>
      <c r="P1234">
        <v>149852.45000000001</v>
      </c>
      <c r="Q1234" t="s">
        <v>85</v>
      </c>
      <c r="R1234" t="s">
        <v>87</v>
      </c>
      <c r="S1234" t="s">
        <v>88</v>
      </c>
      <c r="T1234" t="s">
        <v>89</v>
      </c>
      <c r="U1234" t="s">
        <v>20</v>
      </c>
      <c r="V1234">
        <v>2</v>
      </c>
      <c r="W1234" t="s">
        <v>10</v>
      </c>
      <c r="X1234" t="s">
        <v>12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 t="s">
        <v>12</v>
      </c>
      <c r="AG1234" t="s">
        <v>12</v>
      </c>
      <c r="AH1234" t="s">
        <v>12</v>
      </c>
      <c r="AI1234" t="s">
        <v>12</v>
      </c>
      <c r="AJ1234" t="s">
        <v>12</v>
      </c>
      <c r="AK1234">
        <v>1</v>
      </c>
      <c r="AL1234">
        <v>1</v>
      </c>
      <c r="AM1234" t="s">
        <v>12</v>
      </c>
      <c r="AN1234" t="s">
        <v>12</v>
      </c>
      <c r="AO1234" t="s">
        <v>12</v>
      </c>
    </row>
    <row r="1235" spans="1:41" x14ac:dyDescent="0.35">
      <c r="A1235">
        <v>16311489</v>
      </c>
      <c r="B1235">
        <v>202601</v>
      </c>
      <c r="C1235">
        <v>10468934758</v>
      </c>
      <c r="D1235" t="s">
        <v>1497</v>
      </c>
      <c r="E1235">
        <v>46893475</v>
      </c>
      <c r="F1235">
        <v>10265284</v>
      </c>
      <c r="G1235" t="s">
        <v>209</v>
      </c>
      <c r="H1235" t="s">
        <v>49</v>
      </c>
      <c r="I1235">
        <v>75670.5625</v>
      </c>
      <c r="J1235" s="1">
        <v>45700</v>
      </c>
      <c r="K1235">
        <v>16.68</v>
      </c>
      <c r="L1235" t="s">
        <v>4</v>
      </c>
      <c r="M1235" t="s">
        <v>4</v>
      </c>
      <c r="N1235" t="s">
        <v>41</v>
      </c>
      <c r="O1235">
        <v>202502</v>
      </c>
      <c r="P1235">
        <v>98960.95</v>
      </c>
      <c r="Q1235" t="s">
        <v>1498</v>
      </c>
      <c r="R1235" t="s">
        <v>1499</v>
      </c>
      <c r="S1235" t="s">
        <v>49</v>
      </c>
      <c r="T1235" t="s">
        <v>50</v>
      </c>
      <c r="U1235" t="s">
        <v>20</v>
      </c>
      <c r="V1235">
        <v>1</v>
      </c>
      <c r="W1235" t="s">
        <v>21</v>
      </c>
      <c r="X1235" t="s">
        <v>59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 t="s">
        <v>12</v>
      </c>
      <c r="AG1235" t="s">
        <v>12</v>
      </c>
      <c r="AH1235" t="s">
        <v>12</v>
      </c>
      <c r="AI1235" t="s">
        <v>12</v>
      </c>
      <c r="AJ1235" t="s">
        <v>12</v>
      </c>
      <c r="AK1235">
        <v>1</v>
      </c>
      <c r="AL1235">
        <v>1</v>
      </c>
      <c r="AM1235">
        <v>0.24</v>
      </c>
      <c r="AN1235" t="s">
        <v>12</v>
      </c>
      <c r="AO1235" t="s">
        <v>12</v>
      </c>
    </row>
    <row r="1236" spans="1:41" x14ac:dyDescent="0.35">
      <c r="A1236">
        <v>21506224</v>
      </c>
      <c r="B1236">
        <v>202509</v>
      </c>
      <c r="C1236">
        <v>20602753761</v>
      </c>
      <c r="D1236" t="s">
        <v>1500</v>
      </c>
      <c r="E1236" t="s">
        <v>1</v>
      </c>
      <c r="F1236">
        <v>10265977</v>
      </c>
      <c r="G1236" t="s">
        <v>14</v>
      </c>
      <c r="H1236" t="s">
        <v>124</v>
      </c>
      <c r="I1236">
        <v>66112.2109375</v>
      </c>
      <c r="J1236" s="1">
        <v>45721</v>
      </c>
      <c r="K1236">
        <v>18.5</v>
      </c>
      <c r="L1236" t="s">
        <v>37</v>
      </c>
      <c r="M1236" t="s">
        <v>37</v>
      </c>
      <c r="N1236" t="s">
        <v>16</v>
      </c>
      <c r="O1236">
        <v>202503</v>
      </c>
      <c r="P1236">
        <v>84604.2</v>
      </c>
      <c r="Q1236" t="s">
        <v>124</v>
      </c>
      <c r="R1236" t="s">
        <v>125</v>
      </c>
      <c r="S1236" t="s">
        <v>88</v>
      </c>
      <c r="T1236" t="s">
        <v>89</v>
      </c>
      <c r="U1236" t="s">
        <v>41</v>
      </c>
      <c r="V1236">
        <v>2</v>
      </c>
      <c r="W1236" t="s">
        <v>10</v>
      </c>
      <c r="X1236" t="s">
        <v>51</v>
      </c>
      <c r="Y1236">
        <v>1</v>
      </c>
      <c r="Z1236">
        <v>1</v>
      </c>
      <c r="AA1236">
        <v>0</v>
      </c>
      <c r="AB1236">
        <v>0</v>
      </c>
      <c r="AC1236">
        <v>1</v>
      </c>
      <c r="AD1236">
        <v>1</v>
      </c>
      <c r="AE1236">
        <v>0</v>
      </c>
      <c r="AF1236" t="s">
        <v>12</v>
      </c>
      <c r="AG1236" t="s">
        <v>12</v>
      </c>
      <c r="AH1236" t="s">
        <v>12</v>
      </c>
      <c r="AI1236" t="s">
        <v>12</v>
      </c>
      <c r="AJ1236" t="s">
        <v>12</v>
      </c>
      <c r="AK1236">
        <v>250000</v>
      </c>
      <c r="AL1236">
        <v>0.22</v>
      </c>
      <c r="AM1236">
        <v>0.2</v>
      </c>
      <c r="AN1236" t="s">
        <v>12</v>
      </c>
      <c r="AO1236" t="s">
        <v>12</v>
      </c>
    </row>
    <row r="1237" spans="1:41" x14ac:dyDescent="0.35">
      <c r="A1237">
        <v>21423421</v>
      </c>
      <c r="B1237">
        <v>202503</v>
      </c>
      <c r="C1237">
        <v>20605720529</v>
      </c>
      <c r="D1237" t="s">
        <v>1501</v>
      </c>
      <c r="E1237" t="s">
        <v>1</v>
      </c>
      <c r="F1237">
        <v>10264573</v>
      </c>
      <c r="G1237" t="s">
        <v>24</v>
      </c>
      <c r="H1237" t="s">
        <v>159</v>
      </c>
      <c r="I1237">
        <v>45067.91015625</v>
      </c>
      <c r="J1237" s="1">
        <v>45672</v>
      </c>
      <c r="K1237">
        <v>21</v>
      </c>
      <c r="L1237" t="s">
        <v>37</v>
      </c>
      <c r="M1237" t="s">
        <v>37</v>
      </c>
      <c r="N1237" t="s">
        <v>98</v>
      </c>
      <c r="O1237">
        <v>202501</v>
      </c>
      <c r="P1237">
        <v>50002.5</v>
      </c>
      <c r="Q1237" t="s">
        <v>12</v>
      </c>
      <c r="R1237" t="s">
        <v>12</v>
      </c>
      <c r="S1237" t="s">
        <v>12</v>
      </c>
      <c r="T1237" t="s">
        <v>12</v>
      </c>
      <c r="U1237" t="s">
        <v>12</v>
      </c>
      <c r="V1237" t="s">
        <v>12</v>
      </c>
      <c r="W1237" t="s">
        <v>12</v>
      </c>
      <c r="X1237" t="s">
        <v>12</v>
      </c>
      <c r="Y1237" t="s">
        <v>12</v>
      </c>
      <c r="Z1237" t="s">
        <v>12</v>
      </c>
      <c r="AA1237" t="s">
        <v>12</v>
      </c>
      <c r="AB1237" t="s">
        <v>12</v>
      </c>
      <c r="AC1237" t="s">
        <v>12</v>
      </c>
      <c r="AD1237" t="s">
        <v>12</v>
      </c>
      <c r="AE1237" t="s">
        <v>12</v>
      </c>
      <c r="AF1237" t="s">
        <v>12</v>
      </c>
      <c r="AG1237" t="s">
        <v>12</v>
      </c>
      <c r="AH1237" t="s">
        <v>12</v>
      </c>
      <c r="AI1237" t="s">
        <v>12</v>
      </c>
      <c r="AJ1237" t="s">
        <v>12</v>
      </c>
      <c r="AK1237" t="s">
        <v>12</v>
      </c>
      <c r="AL1237" t="s">
        <v>12</v>
      </c>
      <c r="AM1237" t="s">
        <v>12</v>
      </c>
      <c r="AN1237" t="s">
        <v>12</v>
      </c>
      <c r="AO1237" t="s">
        <v>12</v>
      </c>
    </row>
    <row r="1238" spans="1:41" x14ac:dyDescent="0.35">
      <c r="A1238">
        <v>17654247</v>
      </c>
      <c r="B1238">
        <v>202511</v>
      </c>
      <c r="C1238">
        <v>20602895913</v>
      </c>
      <c r="D1238" t="s">
        <v>1502</v>
      </c>
      <c r="E1238" t="s">
        <v>1</v>
      </c>
      <c r="F1238">
        <v>10264980</v>
      </c>
      <c r="G1238" t="s">
        <v>24</v>
      </c>
      <c r="H1238" t="s">
        <v>85</v>
      </c>
      <c r="I1238">
        <v>26599.068359375</v>
      </c>
      <c r="J1238" s="1">
        <v>45687</v>
      </c>
      <c r="K1238">
        <v>17</v>
      </c>
      <c r="L1238" t="s">
        <v>37</v>
      </c>
      <c r="M1238" t="s">
        <v>37</v>
      </c>
      <c r="N1238" t="s">
        <v>98</v>
      </c>
      <c r="O1238">
        <v>202501</v>
      </c>
      <c r="P1238">
        <v>40002</v>
      </c>
      <c r="Q1238" t="s">
        <v>85</v>
      </c>
      <c r="R1238" t="s">
        <v>87</v>
      </c>
      <c r="S1238" t="s">
        <v>88</v>
      </c>
      <c r="T1238" t="s">
        <v>89</v>
      </c>
      <c r="U1238" t="s">
        <v>41</v>
      </c>
      <c r="V1238">
        <v>2</v>
      </c>
      <c r="W1238" t="s">
        <v>10</v>
      </c>
      <c r="X1238" t="s">
        <v>51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 t="s">
        <v>12</v>
      </c>
      <c r="AG1238" t="s">
        <v>12</v>
      </c>
      <c r="AH1238" t="s">
        <v>12</v>
      </c>
      <c r="AI1238" t="s">
        <v>12</v>
      </c>
      <c r="AJ1238" t="s">
        <v>12</v>
      </c>
      <c r="AK1238">
        <v>250000</v>
      </c>
      <c r="AL1238">
        <v>0.24079999999999999</v>
      </c>
      <c r="AM1238">
        <v>0.2208</v>
      </c>
      <c r="AN1238" t="s">
        <v>12</v>
      </c>
      <c r="AO1238" t="s">
        <v>12</v>
      </c>
    </row>
    <row r="1239" spans="1:41" x14ac:dyDescent="0.35">
      <c r="A1239">
        <v>20101991</v>
      </c>
      <c r="B1239">
        <v>202510</v>
      </c>
      <c r="C1239">
        <v>20605400966</v>
      </c>
      <c r="D1239" t="s">
        <v>1503</v>
      </c>
      <c r="E1239" t="s">
        <v>1</v>
      </c>
      <c r="F1239">
        <v>10252837</v>
      </c>
      <c r="G1239" t="s">
        <v>53</v>
      </c>
      <c r="H1239" t="s">
        <v>644</v>
      </c>
      <c r="I1239">
        <v>51867.47265625</v>
      </c>
      <c r="J1239" s="1">
        <v>45427</v>
      </c>
      <c r="K1239">
        <v>14.9</v>
      </c>
      <c r="L1239" t="s">
        <v>4</v>
      </c>
      <c r="M1239" t="s">
        <v>4</v>
      </c>
      <c r="N1239" t="s">
        <v>47</v>
      </c>
      <c r="O1239">
        <v>202405</v>
      </c>
      <c r="P1239">
        <v>90004.5</v>
      </c>
      <c r="Q1239" t="s">
        <v>644</v>
      </c>
      <c r="R1239" t="s">
        <v>12</v>
      </c>
      <c r="S1239" t="s">
        <v>12</v>
      </c>
      <c r="T1239" t="s">
        <v>12</v>
      </c>
      <c r="U1239" t="s">
        <v>20</v>
      </c>
      <c r="V1239">
        <v>2</v>
      </c>
      <c r="W1239" t="s">
        <v>10</v>
      </c>
      <c r="X1239" t="s">
        <v>12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 t="s">
        <v>12</v>
      </c>
      <c r="AG1239" t="s">
        <v>12</v>
      </c>
      <c r="AH1239" t="s">
        <v>12</v>
      </c>
      <c r="AI1239" t="s">
        <v>12</v>
      </c>
      <c r="AJ1239" t="s">
        <v>12</v>
      </c>
      <c r="AK1239">
        <v>1</v>
      </c>
      <c r="AL1239">
        <v>1</v>
      </c>
      <c r="AM1239" t="s">
        <v>12</v>
      </c>
      <c r="AN1239" t="s">
        <v>12</v>
      </c>
      <c r="AO1239" t="s">
        <v>12</v>
      </c>
    </row>
    <row r="1240" spans="1:41" x14ac:dyDescent="0.35">
      <c r="A1240">
        <v>16336893</v>
      </c>
      <c r="B1240">
        <v>202502</v>
      </c>
      <c r="C1240">
        <v>20600218311</v>
      </c>
      <c r="D1240" t="s">
        <v>1504</v>
      </c>
      <c r="E1240" t="s">
        <v>1</v>
      </c>
      <c r="F1240">
        <v>10170200</v>
      </c>
      <c r="G1240" t="s">
        <v>2</v>
      </c>
      <c r="H1240" t="s">
        <v>29</v>
      </c>
      <c r="I1240">
        <v>15306.28515625</v>
      </c>
      <c r="J1240" s="1">
        <v>45335</v>
      </c>
      <c r="K1240">
        <v>16</v>
      </c>
      <c r="L1240" t="s">
        <v>4</v>
      </c>
      <c r="M1240" t="s">
        <v>4</v>
      </c>
      <c r="N1240" t="s">
        <v>5</v>
      </c>
      <c r="O1240">
        <v>202402</v>
      </c>
      <c r="P1240">
        <v>170008.5</v>
      </c>
      <c r="Q1240" t="s">
        <v>29</v>
      </c>
      <c r="R1240" t="s">
        <v>30</v>
      </c>
      <c r="S1240" t="s">
        <v>31</v>
      </c>
      <c r="T1240" t="s">
        <v>32</v>
      </c>
      <c r="U1240" t="s">
        <v>41</v>
      </c>
      <c r="V1240">
        <v>1</v>
      </c>
      <c r="W1240" t="s">
        <v>10</v>
      </c>
      <c r="X1240" t="s">
        <v>12</v>
      </c>
      <c r="Y1240">
        <v>1</v>
      </c>
      <c r="Z1240">
        <v>1</v>
      </c>
      <c r="AA1240">
        <v>0</v>
      </c>
      <c r="AB1240">
        <v>0</v>
      </c>
      <c r="AC1240">
        <v>1</v>
      </c>
      <c r="AD1240">
        <v>0</v>
      </c>
      <c r="AE1240">
        <v>0</v>
      </c>
      <c r="AF1240" t="s">
        <v>12</v>
      </c>
      <c r="AG1240" t="s">
        <v>12</v>
      </c>
      <c r="AH1240" t="s">
        <v>12</v>
      </c>
      <c r="AI1240" t="s">
        <v>12</v>
      </c>
      <c r="AJ1240" t="s">
        <v>12</v>
      </c>
      <c r="AK1240">
        <v>80000</v>
      </c>
      <c r="AL1240">
        <v>0.22</v>
      </c>
      <c r="AM1240">
        <v>0.20280000000000001</v>
      </c>
      <c r="AN1240" t="s">
        <v>12</v>
      </c>
      <c r="AO1240" t="s">
        <v>12</v>
      </c>
    </row>
    <row r="1241" spans="1:41" x14ac:dyDescent="0.35">
      <c r="A1241">
        <v>11188726</v>
      </c>
      <c r="B1241">
        <v>202508</v>
      </c>
      <c r="C1241">
        <v>10463882423</v>
      </c>
      <c r="D1241" t="s">
        <v>1505</v>
      </c>
      <c r="E1241">
        <v>46388242</v>
      </c>
      <c r="F1241">
        <v>10268485</v>
      </c>
      <c r="G1241" t="s">
        <v>100</v>
      </c>
      <c r="H1241" t="s">
        <v>317</v>
      </c>
      <c r="I1241">
        <v>79756.4609375</v>
      </c>
      <c r="J1241" s="1">
        <v>45814</v>
      </c>
      <c r="K1241">
        <v>16</v>
      </c>
      <c r="L1241" t="s">
        <v>37</v>
      </c>
      <c r="M1241" t="s">
        <v>37</v>
      </c>
      <c r="N1241" t="s">
        <v>102</v>
      </c>
      <c r="O1241">
        <v>202506</v>
      </c>
      <c r="P1241">
        <v>90004.5</v>
      </c>
      <c r="Q1241" t="s">
        <v>317</v>
      </c>
      <c r="R1241" t="s">
        <v>318</v>
      </c>
      <c r="S1241" t="s">
        <v>88</v>
      </c>
      <c r="T1241" t="s">
        <v>89</v>
      </c>
      <c r="U1241" t="s">
        <v>20</v>
      </c>
      <c r="V1241">
        <v>2</v>
      </c>
      <c r="W1241" t="s">
        <v>90</v>
      </c>
      <c r="X1241" t="s">
        <v>12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 t="s">
        <v>12</v>
      </c>
      <c r="AG1241" t="s">
        <v>12</v>
      </c>
      <c r="AH1241" t="s">
        <v>12</v>
      </c>
      <c r="AI1241" t="s">
        <v>12</v>
      </c>
      <c r="AJ1241" t="s">
        <v>12</v>
      </c>
      <c r="AK1241">
        <v>1</v>
      </c>
      <c r="AL1241">
        <v>0.20130000000000001</v>
      </c>
      <c r="AM1241" t="s">
        <v>12</v>
      </c>
      <c r="AN1241" t="s">
        <v>12</v>
      </c>
      <c r="AO1241" t="s">
        <v>12</v>
      </c>
    </row>
    <row r="1242" spans="1:41" x14ac:dyDescent="0.35">
      <c r="A1242">
        <v>12953906</v>
      </c>
      <c r="B1242">
        <v>202508</v>
      </c>
      <c r="C1242">
        <v>10414532085</v>
      </c>
      <c r="D1242" t="s">
        <v>1506</v>
      </c>
      <c r="E1242">
        <v>41453208</v>
      </c>
      <c r="F1242">
        <v>10265303</v>
      </c>
      <c r="G1242" t="s">
        <v>24</v>
      </c>
      <c r="H1242" t="s">
        <v>917</v>
      </c>
      <c r="I1242">
        <v>12133.427734375</v>
      </c>
      <c r="J1242" s="1">
        <v>45701</v>
      </c>
      <c r="K1242">
        <v>24</v>
      </c>
      <c r="L1242" t="s">
        <v>37</v>
      </c>
      <c r="M1242" t="s">
        <v>37</v>
      </c>
      <c r="N1242" t="s">
        <v>98</v>
      </c>
      <c r="O1242">
        <v>202502</v>
      </c>
      <c r="P1242">
        <v>17250.849999999999</v>
      </c>
      <c r="Q1242" t="s">
        <v>12</v>
      </c>
      <c r="R1242" t="s">
        <v>12</v>
      </c>
      <c r="S1242" t="s">
        <v>12</v>
      </c>
      <c r="T1242" t="s">
        <v>12</v>
      </c>
      <c r="U1242" t="s">
        <v>12</v>
      </c>
      <c r="V1242" t="s">
        <v>12</v>
      </c>
      <c r="W1242" t="s">
        <v>12</v>
      </c>
      <c r="X1242" t="s">
        <v>12</v>
      </c>
      <c r="Y1242" t="s">
        <v>12</v>
      </c>
      <c r="Z1242" t="s">
        <v>12</v>
      </c>
      <c r="AA1242" t="s">
        <v>12</v>
      </c>
      <c r="AB1242" t="s">
        <v>12</v>
      </c>
      <c r="AC1242" t="s">
        <v>12</v>
      </c>
      <c r="AD1242" t="s">
        <v>12</v>
      </c>
      <c r="AE1242" t="s">
        <v>12</v>
      </c>
      <c r="AF1242" t="s">
        <v>12</v>
      </c>
      <c r="AG1242" t="s">
        <v>12</v>
      </c>
      <c r="AH1242" t="s">
        <v>12</v>
      </c>
      <c r="AI1242" t="s">
        <v>12</v>
      </c>
      <c r="AJ1242" t="s">
        <v>12</v>
      </c>
      <c r="AK1242" t="s">
        <v>12</v>
      </c>
      <c r="AL1242" t="s">
        <v>12</v>
      </c>
      <c r="AM1242" t="s">
        <v>12</v>
      </c>
      <c r="AN1242" t="s">
        <v>12</v>
      </c>
      <c r="AO1242" t="s">
        <v>12</v>
      </c>
    </row>
    <row r="1243" spans="1:41" x14ac:dyDescent="0.35">
      <c r="A1243">
        <v>17312882</v>
      </c>
      <c r="B1243">
        <v>202505</v>
      </c>
      <c r="C1243">
        <v>20600564316</v>
      </c>
      <c r="D1243" t="s">
        <v>1507</v>
      </c>
      <c r="E1243" t="s">
        <v>1</v>
      </c>
      <c r="F1243">
        <v>10254688</v>
      </c>
      <c r="G1243" t="s">
        <v>65</v>
      </c>
      <c r="H1243" t="s">
        <v>240</v>
      </c>
      <c r="I1243">
        <v>32602.779296875</v>
      </c>
      <c r="J1243" s="1">
        <v>45447</v>
      </c>
      <c r="K1243">
        <v>15.5</v>
      </c>
      <c r="L1243" t="s">
        <v>37</v>
      </c>
      <c r="M1243" t="s">
        <v>37</v>
      </c>
      <c r="N1243" t="s">
        <v>47</v>
      </c>
      <c r="O1243">
        <v>202406</v>
      </c>
      <c r="P1243">
        <v>40002</v>
      </c>
      <c r="Q1243" t="s">
        <v>240</v>
      </c>
      <c r="R1243" t="s">
        <v>241</v>
      </c>
      <c r="S1243" t="s">
        <v>39</v>
      </c>
      <c r="T1243" t="s">
        <v>40</v>
      </c>
      <c r="U1243" t="s">
        <v>70</v>
      </c>
      <c r="V1243">
        <v>1</v>
      </c>
      <c r="W1243" t="s">
        <v>10</v>
      </c>
      <c r="X1243" t="s">
        <v>12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 t="s">
        <v>12</v>
      </c>
      <c r="AG1243" t="s">
        <v>12</v>
      </c>
      <c r="AH1243" t="s">
        <v>12</v>
      </c>
      <c r="AI1243" t="s">
        <v>12</v>
      </c>
      <c r="AJ1243" t="s">
        <v>12</v>
      </c>
      <c r="AK1243">
        <v>118000</v>
      </c>
      <c r="AL1243">
        <v>0.22</v>
      </c>
      <c r="AM1243">
        <v>0.20380000000000001</v>
      </c>
      <c r="AN1243" t="s">
        <v>12</v>
      </c>
      <c r="AO1243" t="s">
        <v>12</v>
      </c>
    </row>
    <row r="1244" spans="1:41" x14ac:dyDescent="0.35">
      <c r="A1244">
        <v>21717367</v>
      </c>
      <c r="B1244">
        <v>202512</v>
      </c>
      <c r="C1244">
        <v>20607505412</v>
      </c>
      <c r="D1244" t="s">
        <v>1508</v>
      </c>
      <c r="E1244" t="s">
        <v>1</v>
      </c>
      <c r="F1244">
        <v>10269301</v>
      </c>
      <c r="G1244" t="s">
        <v>73</v>
      </c>
      <c r="H1244" t="s">
        <v>385</v>
      </c>
      <c r="I1244">
        <v>30570.005859375</v>
      </c>
      <c r="J1244" s="1">
        <v>45838</v>
      </c>
      <c r="K1244">
        <v>25</v>
      </c>
      <c r="L1244" t="s">
        <v>4</v>
      </c>
      <c r="M1244" t="s">
        <v>4</v>
      </c>
      <c r="N1244" t="s">
        <v>20</v>
      </c>
      <c r="O1244">
        <v>202506</v>
      </c>
      <c r="P1244">
        <v>50002.5</v>
      </c>
      <c r="Q1244" t="s">
        <v>12</v>
      </c>
      <c r="R1244" t="s">
        <v>12</v>
      </c>
      <c r="S1244" t="s">
        <v>12</v>
      </c>
      <c r="T1244" t="s">
        <v>12</v>
      </c>
      <c r="U1244" t="s">
        <v>12</v>
      </c>
      <c r="V1244" t="s">
        <v>12</v>
      </c>
      <c r="W1244" t="s">
        <v>12</v>
      </c>
      <c r="X1244" t="s">
        <v>12</v>
      </c>
      <c r="Y1244" t="s">
        <v>12</v>
      </c>
      <c r="Z1244" t="s">
        <v>12</v>
      </c>
      <c r="AA1244" t="s">
        <v>12</v>
      </c>
      <c r="AB1244" t="s">
        <v>12</v>
      </c>
      <c r="AC1244" t="s">
        <v>12</v>
      </c>
      <c r="AD1244" t="s">
        <v>12</v>
      </c>
      <c r="AE1244" t="s">
        <v>12</v>
      </c>
      <c r="AF1244" t="s">
        <v>12</v>
      </c>
      <c r="AG1244" t="s">
        <v>12</v>
      </c>
      <c r="AH1244" t="s">
        <v>12</v>
      </c>
      <c r="AI1244" t="s">
        <v>12</v>
      </c>
      <c r="AJ1244" t="s">
        <v>12</v>
      </c>
      <c r="AK1244" t="s">
        <v>12</v>
      </c>
      <c r="AL1244" t="s">
        <v>12</v>
      </c>
      <c r="AM1244" t="s">
        <v>12</v>
      </c>
      <c r="AN1244" t="s">
        <v>12</v>
      </c>
      <c r="AO1244" t="s">
        <v>12</v>
      </c>
    </row>
    <row r="1245" spans="1:41" x14ac:dyDescent="0.35">
      <c r="A1245">
        <v>21527245</v>
      </c>
      <c r="B1245">
        <v>202601</v>
      </c>
      <c r="C1245">
        <v>20601798060</v>
      </c>
      <c r="D1245" t="s">
        <v>852</v>
      </c>
      <c r="E1245" t="s">
        <v>1</v>
      </c>
      <c r="F1245">
        <v>10266159</v>
      </c>
      <c r="G1245" t="s">
        <v>24</v>
      </c>
      <c r="H1245" t="s">
        <v>54</v>
      </c>
      <c r="I1245">
        <v>49180.7109375</v>
      </c>
      <c r="J1245" s="1">
        <v>45729</v>
      </c>
      <c r="K1245">
        <v>22</v>
      </c>
      <c r="L1245" t="s">
        <v>37</v>
      </c>
      <c r="M1245" t="s">
        <v>37</v>
      </c>
      <c r="N1245" t="s">
        <v>98</v>
      </c>
      <c r="O1245">
        <v>202503</v>
      </c>
      <c r="P1245">
        <v>102005.1</v>
      </c>
      <c r="Q1245" t="s">
        <v>54</v>
      </c>
      <c r="R1245" t="s">
        <v>55</v>
      </c>
      <c r="S1245" t="s">
        <v>31</v>
      </c>
      <c r="T1245" t="s">
        <v>32</v>
      </c>
      <c r="U1245" t="s">
        <v>168</v>
      </c>
      <c r="V1245">
        <v>1</v>
      </c>
      <c r="W1245" t="s">
        <v>21</v>
      </c>
      <c r="X1245" t="s">
        <v>11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 t="s">
        <v>12</v>
      </c>
      <c r="AG1245" t="s">
        <v>12</v>
      </c>
      <c r="AH1245" t="s">
        <v>12</v>
      </c>
      <c r="AI1245" t="s">
        <v>12</v>
      </c>
      <c r="AJ1245" t="s">
        <v>12</v>
      </c>
      <c r="AK1245">
        <v>0</v>
      </c>
      <c r="AL1245">
        <v>0</v>
      </c>
      <c r="AM1245">
        <v>0</v>
      </c>
      <c r="AN1245" t="s">
        <v>12</v>
      </c>
      <c r="AO1245" t="s">
        <v>12</v>
      </c>
    </row>
    <row r="1246" spans="1:41" x14ac:dyDescent="0.35">
      <c r="A1246">
        <v>21319278</v>
      </c>
      <c r="B1246">
        <v>202503</v>
      </c>
      <c r="C1246">
        <v>20607864340</v>
      </c>
      <c r="D1246" t="s">
        <v>1509</v>
      </c>
      <c r="E1246" t="s">
        <v>1</v>
      </c>
      <c r="F1246">
        <v>10262765</v>
      </c>
      <c r="G1246" t="s">
        <v>45</v>
      </c>
      <c r="H1246" t="s">
        <v>159</v>
      </c>
      <c r="I1246">
        <v>70003.484375</v>
      </c>
      <c r="J1246" s="1">
        <v>45615</v>
      </c>
      <c r="K1246">
        <v>14.8</v>
      </c>
      <c r="L1246" t="s">
        <v>37</v>
      </c>
      <c r="M1246" t="s">
        <v>37</v>
      </c>
      <c r="N1246" t="s">
        <v>47</v>
      </c>
      <c r="O1246">
        <v>202411</v>
      </c>
      <c r="P1246">
        <v>70003.5</v>
      </c>
      <c r="Q1246" t="s">
        <v>12</v>
      </c>
      <c r="R1246" t="s">
        <v>12</v>
      </c>
      <c r="S1246" t="s">
        <v>12</v>
      </c>
      <c r="T1246" t="s">
        <v>12</v>
      </c>
      <c r="U1246" t="s">
        <v>12</v>
      </c>
      <c r="V1246" t="s">
        <v>12</v>
      </c>
      <c r="W1246" t="s">
        <v>12</v>
      </c>
      <c r="X1246" t="s">
        <v>12</v>
      </c>
      <c r="Y1246" t="s">
        <v>12</v>
      </c>
      <c r="Z1246" t="s">
        <v>12</v>
      </c>
      <c r="AA1246" t="s">
        <v>12</v>
      </c>
      <c r="AB1246" t="s">
        <v>12</v>
      </c>
      <c r="AC1246" t="s">
        <v>12</v>
      </c>
      <c r="AD1246" t="s">
        <v>12</v>
      </c>
      <c r="AE1246" t="s">
        <v>12</v>
      </c>
      <c r="AF1246" t="s">
        <v>12</v>
      </c>
      <c r="AG1246" t="s">
        <v>12</v>
      </c>
      <c r="AH1246" t="s">
        <v>12</v>
      </c>
      <c r="AI1246" t="s">
        <v>12</v>
      </c>
      <c r="AJ1246" t="s">
        <v>12</v>
      </c>
      <c r="AK1246" t="s">
        <v>12</v>
      </c>
      <c r="AL1246" t="s">
        <v>12</v>
      </c>
      <c r="AM1246" t="s">
        <v>12</v>
      </c>
      <c r="AN1246" t="s">
        <v>12</v>
      </c>
      <c r="AO1246" t="s">
        <v>12</v>
      </c>
    </row>
    <row r="1247" spans="1:41" x14ac:dyDescent="0.35">
      <c r="A1247">
        <v>13244496</v>
      </c>
      <c r="B1247">
        <v>202505</v>
      </c>
      <c r="C1247">
        <v>20546319793</v>
      </c>
      <c r="D1247" t="s">
        <v>1510</v>
      </c>
      <c r="E1247" t="s">
        <v>1</v>
      </c>
      <c r="F1247">
        <v>10263271</v>
      </c>
      <c r="G1247" t="s">
        <v>92</v>
      </c>
      <c r="H1247" t="s">
        <v>105</v>
      </c>
      <c r="I1247">
        <v>152514.125</v>
      </c>
      <c r="J1247" s="1">
        <v>45624</v>
      </c>
      <c r="K1247">
        <v>16.5</v>
      </c>
      <c r="L1247" t="s">
        <v>4</v>
      </c>
      <c r="M1247" t="s">
        <v>4</v>
      </c>
      <c r="N1247" t="s">
        <v>41</v>
      </c>
      <c r="O1247">
        <v>202411</v>
      </c>
      <c r="P1247">
        <v>185009.25</v>
      </c>
      <c r="Q1247" t="s">
        <v>105</v>
      </c>
      <c r="R1247" t="s">
        <v>164</v>
      </c>
      <c r="S1247" t="s">
        <v>88</v>
      </c>
      <c r="T1247" t="s">
        <v>89</v>
      </c>
      <c r="U1247" t="s">
        <v>20</v>
      </c>
      <c r="V1247">
        <v>2</v>
      </c>
      <c r="W1247" t="s">
        <v>10</v>
      </c>
      <c r="X1247" t="s">
        <v>12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 t="s">
        <v>12</v>
      </c>
      <c r="AG1247" t="s">
        <v>12</v>
      </c>
      <c r="AH1247" t="s">
        <v>12</v>
      </c>
      <c r="AI1247" t="s">
        <v>12</v>
      </c>
      <c r="AJ1247" t="s">
        <v>12</v>
      </c>
      <c r="AK1247">
        <v>0</v>
      </c>
      <c r="AL1247">
        <v>0</v>
      </c>
      <c r="AM1247">
        <v>0</v>
      </c>
      <c r="AN1247" t="s">
        <v>12</v>
      </c>
      <c r="AO1247" t="s">
        <v>12</v>
      </c>
    </row>
    <row r="1248" spans="1:41" x14ac:dyDescent="0.35">
      <c r="A1248">
        <v>21305369</v>
      </c>
      <c r="B1248">
        <v>202602</v>
      </c>
      <c r="C1248">
        <v>20601172144</v>
      </c>
      <c r="D1248" t="s">
        <v>1511</v>
      </c>
      <c r="E1248" t="s">
        <v>1</v>
      </c>
      <c r="F1248">
        <v>10262679</v>
      </c>
      <c r="G1248" t="s">
        <v>65</v>
      </c>
      <c r="H1248" t="s">
        <v>217</v>
      </c>
      <c r="I1248">
        <v>59181.52734375</v>
      </c>
      <c r="J1248" s="1">
        <v>45614</v>
      </c>
      <c r="K1248">
        <v>14.5</v>
      </c>
      <c r="L1248" t="s">
        <v>37</v>
      </c>
      <c r="M1248" t="s">
        <v>37</v>
      </c>
      <c r="N1248" t="s">
        <v>47</v>
      </c>
      <c r="O1248">
        <v>202411</v>
      </c>
      <c r="P1248">
        <v>90004.5</v>
      </c>
      <c r="Q1248" t="s">
        <v>217</v>
      </c>
      <c r="R1248" t="s">
        <v>218</v>
      </c>
      <c r="S1248" t="s">
        <v>18</v>
      </c>
      <c r="T1248" t="s">
        <v>19</v>
      </c>
      <c r="U1248" t="s">
        <v>70</v>
      </c>
      <c r="V1248">
        <v>1</v>
      </c>
      <c r="W1248" t="s">
        <v>10</v>
      </c>
      <c r="X1248" t="s">
        <v>11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 t="s">
        <v>12</v>
      </c>
      <c r="AG1248" t="s">
        <v>12</v>
      </c>
      <c r="AH1248" t="s">
        <v>12</v>
      </c>
      <c r="AI1248" t="s">
        <v>12</v>
      </c>
      <c r="AJ1248" t="s">
        <v>12</v>
      </c>
      <c r="AK1248">
        <v>280000</v>
      </c>
      <c r="AL1248">
        <v>0.19</v>
      </c>
      <c r="AM1248">
        <v>0.17</v>
      </c>
      <c r="AN1248" t="s">
        <v>12</v>
      </c>
      <c r="AO1248" t="s">
        <v>12</v>
      </c>
    </row>
    <row r="1249" spans="1:41" x14ac:dyDescent="0.35">
      <c r="A1249">
        <v>10072476</v>
      </c>
      <c r="B1249">
        <v>202512</v>
      </c>
      <c r="C1249">
        <v>10084224290</v>
      </c>
      <c r="D1249" t="s">
        <v>1512</v>
      </c>
      <c r="E1249">
        <v>8422429</v>
      </c>
      <c r="F1249">
        <v>10272027</v>
      </c>
      <c r="G1249" t="s">
        <v>78</v>
      </c>
      <c r="H1249" t="s">
        <v>93</v>
      </c>
      <c r="I1249">
        <v>45272.234375</v>
      </c>
      <c r="J1249" s="1">
        <v>45936</v>
      </c>
      <c r="K1249">
        <v>19.97</v>
      </c>
      <c r="L1249" t="s">
        <v>4</v>
      </c>
      <c r="M1249" t="s">
        <v>4</v>
      </c>
      <c r="N1249" t="s">
        <v>41</v>
      </c>
      <c r="O1249">
        <v>202510</v>
      </c>
      <c r="P1249">
        <v>50002.5</v>
      </c>
      <c r="Q1249" t="s">
        <v>93</v>
      </c>
      <c r="R1249" t="s">
        <v>94</v>
      </c>
      <c r="S1249" t="s">
        <v>7</v>
      </c>
      <c r="T1249" t="s">
        <v>8</v>
      </c>
      <c r="U1249" t="s">
        <v>9</v>
      </c>
      <c r="V1249">
        <v>1</v>
      </c>
      <c r="W1249" t="s">
        <v>10</v>
      </c>
      <c r="X1249" t="s">
        <v>59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 t="s">
        <v>12</v>
      </c>
      <c r="AG1249" t="s">
        <v>12</v>
      </c>
      <c r="AH1249" t="s">
        <v>12</v>
      </c>
      <c r="AI1249" t="s">
        <v>12</v>
      </c>
      <c r="AJ1249" t="s">
        <v>12</v>
      </c>
      <c r="AK1249">
        <v>0</v>
      </c>
      <c r="AL1249">
        <v>0</v>
      </c>
      <c r="AM1249">
        <v>0</v>
      </c>
      <c r="AN1249" t="s">
        <v>12</v>
      </c>
      <c r="AO1249" t="s">
        <v>12</v>
      </c>
    </row>
    <row r="1250" spans="1:41" x14ac:dyDescent="0.35">
      <c r="A1250">
        <v>14755022</v>
      </c>
      <c r="B1250">
        <v>202502</v>
      </c>
      <c r="C1250">
        <v>20601256437</v>
      </c>
      <c r="D1250" t="s">
        <v>1513</v>
      </c>
      <c r="E1250" t="s">
        <v>1</v>
      </c>
      <c r="F1250">
        <v>10221935</v>
      </c>
      <c r="G1250" t="s">
        <v>2</v>
      </c>
      <c r="H1250" t="s">
        <v>159</v>
      </c>
      <c r="I1250">
        <v>116391.1328125</v>
      </c>
      <c r="J1250" s="1">
        <v>45572</v>
      </c>
      <c r="K1250">
        <v>17.8</v>
      </c>
      <c r="L1250" t="s">
        <v>4</v>
      </c>
      <c r="M1250" t="s">
        <v>4</v>
      </c>
      <c r="N1250" t="s">
        <v>5</v>
      </c>
      <c r="O1250">
        <v>202410</v>
      </c>
      <c r="P1250">
        <v>150007.5</v>
      </c>
      <c r="Q1250" t="s">
        <v>120</v>
      </c>
      <c r="R1250" t="s">
        <v>121</v>
      </c>
      <c r="S1250" t="s">
        <v>18</v>
      </c>
      <c r="T1250" t="s">
        <v>122</v>
      </c>
      <c r="U1250" t="s">
        <v>41</v>
      </c>
      <c r="V1250">
        <v>1</v>
      </c>
      <c r="W1250" t="s">
        <v>10</v>
      </c>
      <c r="X1250" t="s">
        <v>12</v>
      </c>
      <c r="Y1250">
        <v>1</v>
      </c>
      <c r="Z1250">
        <v>1</v>
      </c>
      <c r="AA1250">
        <v>0</v>
      </c>
      <c r="AB1250">
        <v>0</v>
      </c>
      <c r="AC1250">
        <v>1</v>
      </c>
      <c r="AD1250">
        <v>0</v>
      </c>
      <c r="AE1250">
        <v>0</v>
      </c>
      <c r="AF1250" t="s">
        <v>12</v>
      </c>
      <c r="AG1250" t="s">
        <v>12</v>
      </c>
      <c r="AH1250" t="s">
        <v>12</v>
      </c>
      <c r="AI1250" t="s">
        <v>12</v>
      </c>
      <c r="AJ1250" t="s">
        <v>12</v>
      </c>
      <c r="AK1250">
        <v>100000</v>
      </c>
      <c r="AL1250">
        <v>0.18</v>
      </c>
      <c r="AM1250">
        <v>0.1628</v>
      </c>
      <c r="AN1250" t="s">
        <v>12</v>
      </c>
      <c r="AO1250" t="s">
        <v>12</v>
      </c>
    </row>
    <row r="1251" spans="1:41" x14ac:dyDescent="0.35">
      <c r="A1251">
        <v>20637081</v>
      </c>
      <c r="B1251">
        <v>202602</v>
      </c>
      <c r="C1251">
        <v>20559869598</v>
      </c>
      <c r="D1251" t="s">
        <v>1514</v>
      </c>
      <c r="E1251" t="s">
        <v>1</v>
      </c>
      <c r="F1251">
        <v>10271256</v>
      </c>
      <c r="G1251" t="s">
        <v>268</v>
      </c>
      <c r="H1251" t="s">
        <v>153</v>
      </c>
      <c r="I1251">
        <v>17386.716796875</v>
      </c>
      <c r="J1251" s="1">
        <v>45911</v>
      </c>
      <c r="K1251">
        <v>27.9</v>
      </c>
      <c r="L1251" t="s">
        <v>37</v>
      </c>
      <c r="M1251" t="s">
        <v>37</v>
      </c>
      <c r="N1251" t="s">
        <v>98</v>
      </c>
      <c r="O1251">
        <v>202509</v>
      </c>
      <c r="P1251">
        <v>50002.5</v>
      </c>
      <c r="Q1251" t="s">
        <v>153</v>
      </c>
      <c r="R1251" t="s">
        <v>154</v>
      </c>
      <c r="S1251" t="s">
        <v>88</v>
      </c>
      <c r="T1251" t="s">
        <v>89</v>
      </c>
      <c r="U1251" t="s">
        <v>63</v>
      </c>
      <c r="V1251">
        <v>2</v>
      </c>
      <c r="W1251" t="s">
        <v>10</v>
      </c>
      <c r="X1251" t="s">
        <v>51</v>
      </c>
      <c r="Y1251">
        <v>1</v>
      </c>
      <c r="Z1251">
        <v>1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 t="s">
        <v>12</v>
      </c>
      <c r="AG1251" t="s">
        <v>12</v>
      </c>
      <c r="AH1251" t="s">
        <v>12</v>
      </c>
      <c r="AI1251" t="s">
        <v>12</v>
      </c>
      <c r="AJ1251" t="s">
        <v>12</v>
      </c>
      <c r="AK1251">
        <v>130000</v>
      </c>
      <c r="AL1251">
        <v>0.28689999999999999</v>
      </c>
      <c r="AM1251">
        <v>0.26690000000000003</v>
      </c>
      <c r="AN1251" t="s">
        <v>12</v>
      </c>
      <c r="AO1251" t="s">
        <v>12</v>
      </c>
    </row>
    <row r="1252" spans="1:41" x14ac:dyDescent="0.35">
      <c r="A1252">
        <v>15637523</v>
      </c>
      <c r="B1252">
        <v>202510</v>
      </c>
      <c r="C1252">
        <v>20544510836</v>
      </c>
      <c r="D1252" t="s">
        <v>1515</v>
      </c>
      <c r="E1252" t="s">
        <v>1</v>
      </c>
      <c r="F1252">
        <v>10269371</v>
      </c>
      <c r="G1252" t="s">
        <v>24</v>
      </c>
      <c r="H1252" t="s">
        <v>170</v>
      </c>
      <c r="I1252">
        <v>195849.1875</v>
      </c>
      <c r="J1252" s="1">
        <v>45845</v>
      </c>
      <c r="K1252">
        <v>19</v>
      </c>
      <c r="L1252" t="s">
        <v>86</v>
      </c>
      <c r="M1252" t="s">
        <v>86</v>
      </c>
      <c r="N1252" t="s">
        <v>98</v>
      </c>
      <c r="O1252">
        <v>202507</v>
      </c>
      <c r="P1252">
        <v>230011.5</v>
      </c>
      <c r="Q1252" t="s">
        <v>170</v>
      </c>
      <c r="R1252" t="s">
        <v>171</v>
      </c>
      <c r="S1252" t="s">
        <v>111</v>
      </c>
      <c r="T1252" t="s">
        <v>112</v>
      </c>
      <c r="U1252" t="s">
        <v>20</v>
      </c>
      <c r="V1252">
        <v>2</v>
      </c>
      <c r="W1252" t="s">
        <v>10</v>
      </c>
      <c r="X1252" t="s">
        <v>12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 t="s">
        <v>12</v>
      </c>
      <c r="AG1252" t="s">
        <v>12</v>
      </c>
      <c r="AH1252" t="s">
        <v>12</v>
      </c>
      <c r="AI1252" t="s">
        <v>12</v>
      </c>
      <c r="AJ1252" t="s">
        <v>12</v>
      </c>
      <c r="AK1252">
        <v>1</v>
      </c>
      <c r="AL1252">
        <v>1</v>
      </c>
      <c r="AM1252" t="s">
        <v>12</v>
      </c>
      <c r="AN1252" t="s">
        <v>12</v>
      </c>
      <c r="AO1252" t="s">
        <v>12</v>
      </c>
    </row>
    <row r="1253" spans="1:41" x14ac:dyDescent="0.35">
      <c r="A1253">
        <v>15799858</v>
      </c>
      <c r="B1253">
        <v>202602</v>
      </c>
      <c r="C1253">
        <v>10266558193</v>
      </c>
      <c r="D1253" t="s">
        <v>1516</v>
      </c>
      <c r="E1253">
        <v>26655819</v>
      </c>
      <c r="F1253">
        <v>10253264</v>
      </c>
      <c r="G1253" t="s">
        <v>53</v>
      </c>
      <c r="H1253" t="s">
        <v>230</v>
      </c>
      <c r="I1253">
        <v>31661.4375</v>
      </c>
      <c r="J1253" s="1">
        <v>45435</v>
      </c>
      <c r="K1253">
        <v>16.899999999999999</v>
      </c>
      <c r="L1253" t="s">
        <v>37</v>
      </c>
      <c r="M1253" t="s">
        <v>37</v>
      </c>
      <c r="N1253" t="s">
        <v>47</v>
      </c>
      <c r="O1253">
        <v>202405</v>
      </c>
      <c r="P1253">
        <v>76723.8</v>
      </c>
      <c r="Q1253" t="s">
        <v>12</v>
      </c>
      <c r="R1253" t="s">
        <v>12</v>
      </c>
      <c r="S1253" t="s">
        <v>12</v>
      </c>
      <c r="T1253" t="s">
        <v>12</v>
      </c>
      <c r="U1253" t="s">
        <v>196</v>
      </c>
      <c r="V1253">
        <v>3</v>
      </c>
      <c r="W1253" t="s">
        <v>10</v>
      </c>
      <c r="X1253" t="s">
        <v>59</v>
      </c>
      <c r="Y1253">
        <v>1</v>
      </c>
      <c r="Z1253">
        <v>1</v>
      </c>
      <c r="AA1253">
        <v>0</v>
      </c>
      <c r="AB1253">
        <v>0</v>
      </c>
      <c r="AC1253">
        <v>0</v>
      </c>
      <c r="AD1253" t="s">
        <v>12</v>
      </c>
      <c r="AE1253">
        <v>0</v>
      </c>
      <c r="AF1253" t="s">
        <v>12</v>
      </c>
      <c r="AG1253" t="s">
        <v>12</v>
      </c>
      <c r="AH1253" t="s">
        <v>12</v>
      </c>
      <c r="AI1253" t="s">
        <v>12</v>
      </c>
      <c r="AJ1253" t="s">
        <v>12</v>
      </c>
      <c r="AK1253" t="s">
        <v>12</v>
      </c>
      <c r="AL1253" t="s">
        <v>12</v>
      </c>
      <c r="AM1253" t="s">
        <v>12</v>
      </c>
      <c r="AN1253" t="s">
        <v>269</v>
      </c>
      <c r="AO1253" t="s">
        <v>270</v>
      </c>
    </row>
    <row r="1254" spans="1:41" x14ac:dyDescent="0.35">
      <c r="A1254">
        <v>9628400</v>
      </c>
      <c r="B1254">
        <v>202510</v>
      </c>
      <c r="C1254">
        <v>10401808448</v>
      </c>
      <c r="D1254" t="s">
        <v>1517</v>
      </c>
      <c r="E1254">
        <v>40180844</v>
      </c>
      <c r="F1254">
        <v>10266996</v>
      </c>
      <c r="G1254" t="s">
        <v>24</v>
      </c>
      <c r="H1254" t="s">
        <v>288</v>
      </c>
      <c r="I1254">
        <v>27361.564453125</v>
      </c>
      <c r="J1254" s="1">
        <v>45758</v>
      </c>
      <c r="K1254">
        <v>18</v>
      </c>
      <c r="L1254" t="s">
        <v>37</v>
      </c>
      <c r="M1254" t="s">
        <v>37</v>
      </c>
      <c r="N1254" t="s">
        <v>20</v>
      </c>
      <c r="O1254">
        <v>202504</v>
      </c>
      <c r="P1254">
        <v>35001.75</v>
      </c>
      <c r="Q1254" t="s">
        <v>12</v>
      </c>
      <c r="R1254" t="s">
        <v>12</v>
      </c>
      <c r="S1254" t="s">
        <v>12</v>
      </c>
      <c r="T1254" t="s">
        <v>12</v>
      </c>
      <c r="U1254" t="s">
        <v>12</v>
      </c>
      <c r="V1254" t="s">
        <v>12</v>
      </c>
      <c r="W1254" t="s">
        <v>12</v>
      </c>
      <c r="X1254" t="s">
        <v>12</v>
      </c>
      <c r="Y1254" t="s">
        <v>12</v>
      </c>
      <c r="Z1254" t="s">
        <v>12</v>
      </c>
      <c r="AA1254" t="s">
        <v>12</v>
      </c>
      <c r="AB1254" t="s">
        <v>12</v>
      </c>
      <c r="AC1254" t="s">
        <v>12</v>
      </c>
      <c r="AD1254" t="s">
        <v>12</v>
      </c>
      <c r="AE1254" t="s">
        <v>12</v>
      </c>
      <c r="AF1254" t="s">
        <v>12</v>
      </c>
      <c r="AG1254" t="s">
        <v>12</v>
      </c>
      <c r="AH1254" t="s">
        <v>12</v>
      </c>
      <c r="AI1254" t="s">
        <v>12</v>
      </c>
      <c r="AJ1254" t="s">
        <v>12</v>
      </c>
      <c r="AK1254" t="s">
        <v>12</v>
      </c>
      <c r="AL1254" t="s">
        <v>12</v>
      </c>
      <c r="AM1254" t="s">
        <v>12</v>
      </c>
      <c r="AN1254" t="s">
        <v>12</v>
      </c>
      <c r="AO1254" t="s">
        <v>12</v>
      </c>
    </row>
    <row r="1255" spans="1:41" x14ac:dyDescent="0.35">
      <c r="A1255">
        <v>12901812</v>
      </c>
      <c r="B1255">
        <v>202601</v>
      </c>
      <c r="C1255">
        <v>20544119363</v>
      </c>
      <c r="D1255" t="s">
        <v>1339</v>
      </c>
      <c r="E1255" t="s">
        <v>1</v>
      </c>
      <c r="F1255">
        <v>10267069</v>
      </c>
      <c r="G1255" t="s">
        <v>68</v>
      </c>
      <c r="H1255" t="s">
        <v>606</v>
      </c>
      <c r="I1255">
        <v>148139.15625</v>
      </c>
      <c r="J1255" s="1">
        <v>45761</v>
      </c>
      <c r="K1255">
        <v>16.5</v>
      </c>
      <c r="L1255" t="s">
        <v>4</v>
      </c>
      <c r="M1255" t="s">
        <v>4</v>
      </c>
      <c r="N1255" t="s">
        <v>70</v>
      </c>
      <c r="O1255">
        <v>202504</v>
      </c>
      <c r="P1255">
        <v>187009.35</v>
      </c>
      <c r="Q1255" t="s">
        <v>204</v>
      </c>
      <c r="R1255" t="s">
        <v>291</v>
      </c>
      <c r="S1255" t="s">
        <v>127</v>
      </c>
      <c r="T1255" t="s">
        <v>147</v>
      </c>
      <c r="U1255" t="s">
        <v>63</v>
      </c>
      <c r="V1255">
        <v>1</v>
      </c>
      <c r="W1255" t="s">
        <v>21</v>
      </c>
      <c r="X1255" t="s">
        <v>22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 t="s">
        <v>12</v>
      </c>
      <c r="AG1255" t="s">
        <v>12</v>
      </c>
      <c r="AH1255" t="s">
        <v>12</v>
      </c>
      <c r="AI1255" t="s">
        <v>12</v>
      </c>
      <c r="AJ1255" t="s">
        <v>12</v>
      </c>
      <c r="AK1255">
        <v>56100</v>
      </c>
      <c r="AL1255">
        <v>0.21</v>
      </c>
      <c r="AM1255">
        <v>0.19</v>
      </c>
      <c r="AN1255" t="s">
        <v>12</v>
      </c>
      <c r="AO1255" t="s">
        <v>12</v>
      </c>
    </row>
    <row r="1256" spans="1:41" x14ac:dyDescent="0.35">
      <c r="A1256">
        <v>13695630</v>
      </c>
      <c r="B1256">
        <v>202506</v>
      </c>
      <c r="C1256">
        <v>20492974243</v>
      </c>
      <c r="D1256" t="s">
        <v>1365</v>
      </c>
      <c r="E1256" t="s">
        <v>1</v>
      </c>
      <c r="F1256">
        <v>10160614</v>
      </c>
      <c r="G1256" t="s">
        <v>2</v>
      </c>
      <c r="H1256" t="s">
        <v>69</v>
      </c>
      <c r="I1256">
        <v>58475.94140625</v>
      </c>
      <c r="J1256" s="1">
        <v>45334</v>
      </c>
      <c r="K1256">
        <v>18.5</v>
      </c>
      <c r="L1256" t="s">
        <v>4</v>
      </c>
      <c r="M1256" t="s">
        <v>4</v>
      </c>
      <c r="N1256" t="s">
        <v>5</v>
      </c>
      <c r="O1256">
        <v>202402</v>
      </c>
      <c r="P1256">
        <v>59002.95</v>
      </c>
      <c r="Q1256" t="s">
        <v>12</v>
      </c>
      <c r="R1256" t="s">
        <v>12</v>
      </c>
      <c r="S1256" t="s">
        <v>12</v>
      </c>
      <c r="T1256" t="s">
        <v>12</v>
      </c>
      <c r="U1256" t="s">
        <v>12</v>
      </c>
      <c r="V1256" t="s">
        <v>12</v>
      </c>
      <c r="W1256" t="s">
        <v>12</v>
      </c>
      <c r="X1256" t="s">
        <v>12</v>
      </c>
      <c r="Y1256" t="s">
        <v>12</v>
      </c>
      <c r="Z1256" t="s">
        <v>12</v>
      </c>
      <c r="AA1256" t="s">
        <v>12</v>
      </c>
      <c r="AB1256" t="s">
        <v>12</v>
      </c>
      <c r="AC1256" t="s">
        <v>12</v>
      </c>
      <c r="AD1256" t="s">
        <v>12</v>
      </c>
      <c r="AE1256" t="s">
        <v>12</v>
      </c>
      <c r="AF1256" t="s">
        <v>12</v>
      </c>
      <c r="AG1256" t="s">
        <v>12</v>
      </c>
      <c r="AH1256" t="s">
        <v>12</v>
      </c>
      <c r="AI1256" t="s">
        <v>12</v>
      </c>
      <c r="AJ1256" t="s">
        <v>12</v>
      </c>
      <c r="AK1256" t="s">
        <v>12</v>
      </c>
      <c r="AL1256" t="s">
        <v>12</v>
      </c>
      <c r="AM1256" t="s">
        <v>12</v>
      </c>
      <c r="AN1256" t="s">
        <v>12</v>
      </c>
      <c r="AO1256" t="s">
        <v>12</v>
      </c>
    </row>
    <row r="1257" spans="1:41" x14ac:dyDescent="0.35">
      <c r="A1257">
        <v>10687340</v>
      </c>
      <c r="B1257">
        <v>202509</v>
      </c>
      <c r="C1257">
        <v>10436226409</v>
      </c>
      <c r="D1257" t="s">
        <v>1518</v>
      </c>
      <c r="E1257">
        <v>43622640</v>
      </c>
      <c r="F1257">
        <v>10255756</v>
      </c>
      <c r="G1257" t="s">
        <v>65</v>
      </c>
      <c r="H1257" t="s">
        <v>1519</v>
      </c>
      <c r="I1257">
        <v>46120.359375</v>
      </c>
      <c r="J1257" s="1">
        <v>45463</v>
      </c>
      <c r="K1257">
        <v>15.5</v>
      </c>
      <c r="L1257" t="s">
        <v>37</v>
      </c>
      <c r="M1257" t="s">
        <v>37</v>
      </c>
      <c r="N1257" t="s">
        <v>47</v>
      </c>
      <c r="O1257">
        <v>202406</v>
      </c>
      <c r="P1257">
        <v>70003.5</v>
      </c>
      <c r="Q1257" t="s">
        <v>12</v>
      </c>
      <c r="R1257" t="s">
        <v>12</v>
      </c>
      <c r="S1257" t="s">
        <v>12</v>
      </c>
      <c r="T1257" t="s">
        <v>12</v>
      </c>
      <c r="U1257" t="s">
        <v>41</v>
      </c>
      <c r="V1257">
        <v>2</v>
      </c>
      <c r="W1257" t="s">
        <v>10</v>
      </c>
      <c r="X1257" t="s">
        <v>59</v>
      </c>
      <c r="Y1257">
        <v>1</v>
      </c>
      <c r="Z1257">
        <v>1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 t="s">
        <v>12</v>
      </c>
      <c r="AG1257" t="s">
        <v>12</v>
      </c>
      <c r="AH1257" t="s">
        <v>12</v>
      </c>
      <c r="AI1257" t="s">
        <v>12</v>
      </c>
      <c r="AJ1257" t="s">
        <v>12</v>
      </c>
      <c r="AK1257">
        <v>200000</v>
      </c>
      <c r="AL1257">
        <v>0.26</v>
      </c>
      <c r="AM1257">
        <v>0.24</v>
      </c>
      <c r="AN1257" t="s">
        <v>12</v>
      </c>
      <c r="AO1257" t="s">
        <v>12</v>
      </c>
    </row>
    <row r="1258" spans="1:41" x14ac:dyDescent="0.35">
      <c r="A1258">
        <v>21563350</v>
      </c>
      <c r="B1258">
        <v>202510</v>
      </c>
      <c r="C1258">
        <v>20559233022</v>
      </c>
      <c r="D1258" t="s">
        <v>1520</v>
      </c>
      <c r="E1258" t="s">
        <v>1</v>
      </c>
      <c r="F1258">
        <v>10266872</v>
      </c>
      <c r="G1258" t="s">
        <v>100</v>
      </c>
      <c r="H1258" t="s">
        <v>412</v>
      </c>
      <c r="I1258">
        <v>108729.5390625</v>
      </c>
      <c r="J1258" s="1">
        <v>45751</v>
      </c>
      <c r="K1258">
        <v>14</v>
      </c>
      <c r="L1258" t="s">
        <v>37</v>
      </c>
      <c r="M1258" t="s">
        <v>37</v>
      </c>
      <c r="N1258" t="s">
        <v>102</v>
      </c>
      <c r="O1258">
        <v>202504</v>
      </c>
      <c r="P1258">
        <v>140399</v>
      </c>
      <c r="Q1258" t="s">
        <v>412</v>
      </c>
      <c r="R1258" t="s">
        <v>413</v>
      </c>
      <c r="S1258" t="s">
        <v>88</v>
      </c>
      <c r="T1258" t="s">
        <v>89</v>
      </c>
      <c r="U1258" t="s">
        <v>41</v>
      </c>
      <c r="V1258">
        <v>2</v>
      </c>
      <c r="W1258" t="s">
        <v>10</v>
      </c>
      <c r="X1258" t="s">
        <v>12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 t="s">
        <v>12</v>
      </c>
      <c r="AG1258" t="s">
        <v>12</v>
      </c>
      <c r="AH1258" t="s">
        <v>12</v>
      </c>
      <c r="AI1258" t="s">
        <v>12</v>
      </c>
      <c r="AJ1258" t="s">
        <v>12</v>
      </c>
      <c r="AK1258">
        <v>250000</v>
      </c>
      <c r="AL1258">
        <v>0.2127</v>
      </c>
      <c r="AM1258">
        <v>0.19270000000000001</v>
      </c>
      <c r="AN1258" t="s">
        <v>12</v>
      </c>
      <c r="AO1258" t="s">
        <v>12</v>
      </c>
    </row>
    <row r="1259" spans="1:41" x14ac:dyDescent="0.35">
      <c r="A1259">
        <v>20470247</v>
      </c>
      <c r="B1259">
        <v>202511</v>
      </c>
      <c r="C1259">
        <v>20519325871</v>
      </c>
      <c r="D1259" t="s">
        <v>1521</v>
      </c>
      <c r="E1259" t="s">
        <v>1</v>
      </c>
      <c r="F1259">
        <v>10272907</v>
      </c>
      <c r="G1259" t="s">
        <v>14</v>
      </c>
      <c r="H1259" t="s">
        <v>159</v>
      </c>
      <c r="I1259">
        <v>170008.5</v>
      </c>
      <c r="J1259" s="1">
        <v>45967</v>
      </c>
      <c r="K1259">
        <v>16</v>
      </c>
      <c r="L1259" t="s">
        <v>37</v>
      </c>
      <c r="M1259" t="s">
        <v>75</v>
      </c>
      <c r="N1259" t="s">
        <v>16</v>
      </c>
      <c r="O1259">
        <v>202511</v>
      </c>
      <c r="P1259">
        <v>170008.5</v>
      </c>
      <c r="Q1259" t="s">
        <v>1276</v>
      </c>
      <c r="R1259" t="s">
        <v>1277</v>
      </c>
      <c r="S1259" t="s">
        <v>585</v>
      </c>
      <c r="T1259" t="s">
        <v>586</v>
      </c>
      <c r="U1259" t="s">
        <v>16</v>
      </c>
      <c r="V1259">
        <v>3</v>
      </c>
      <c r="W1259" t="s">
        <v>10</v>
      </c>
      <c r="X1259" t="s">
        <v>59</v>
      </c>
      <c r="Y1259">
        <v>1</v>
      </c>
      <c r="Z1259">
        <v>1</v>
      </c>
      <c r="AA1259">
        <v>1</v>
      </c>
      <c r="AB1259">
        <v>1</v>
      </c>
      <c r="AC1259">
        <v>1</v>
      </c>
      <c r="AD1259" t="s">
        <v>12</v>
      </c>
      <c r="AE1259">
        <v>170008.5</v>
      </c>
      <c r="AF1259">
        <v>16</v>
      </c>
      <c r="AG1259" s="1">
        <v>45967</v>
      </c>
      <c r="AH1259" t="s">
        <v>16</v>
      </c>
      <c r="AI1259" t="s">
        <v>75</v>
      </c>
      <c r="AJ1259" t="s">
        <v>33</v>
      </c>
      <c r="AK1259">
        <v>170000</v>
      </c>
      <c r="AL1259">
        <v>0.2278</v>
      </c>
      <c r="AM1259">
        <v>0.20780000000000001</v>
      </c>
      <c r="AN1259" t="s">
        <v>12</v>
      </c>
      <c r="AO1259" t="s">
        <v>33</v>
      </c>
    </row>
    <row r="1260" spans="1:41" x14ac:dyDescent="0.35">
      <c r="A1260">
        <v>21761946</v>
      </c>
      <c r="B1260">
        <v>202509</v>
      </c>
      <c r="C1260">
        <v>20554200843</v>
      </c>
      <c r="D1260" t="s">
        <v>1522</v>
      </c>
      <c r="E1260" t="s">
        <v>1</v>
      </c>
      <c r="F1260">
        <v>10269895</v>
      </c>
      <c r="G1260" t="s">
        <v>24</v>
      </c>
      <c r="H1260" t="s">
        <v>159</v>
      </c>
      <c r="I1260">
        <v>96900.4453125</v>
      </c>
      <c r="J1260" s="1">
        <v>45862</v>
      </c>
      <c r="K1260">
        <v>18</v>
      </c>
      <c r="L1260" t="s">
        <v>37</v>
      </c>
      <c r="M1260" t="s">
        <v>37</v>
      </c>
      <c r="N1260" t="s">
        <v>98</v>
      </c>
      <c r="O1260">
        <v>202507</v>
      </c>
      <c r="P1260">
        <v>100005</v>
      </c>
      <c r="Q1260" t="s">
        <v>12</v>
      </c>
      <c r="R1260" t="s">
        <v>12</v>
      </c>
      <c r="S1260" t="s">
        <v>12</v>
      </c>
      <c r="T1260" t="s">
        <v>12</v>
      </c>
      <c r="U1260" t="s">
        <v>12</v>
      </c>
      <c r="V1260" t="s">
        <v>12</v>
      </c>
      <c r="W1260" t="s">
        <v>12</v>
      </c>
      <c r="X1260" t="s">
        <v>12</v>
      </c>
      <c r="Y1260" t="s">
        <v>12</v>
      </c>
      <c r="Z1260" t="s">
        <v>12</v>
      </c>
      <c r="AA1260" t="s">
        <v>12</v>
      </c>
      <c r="AB1260" t="s">
        <v>12</v>
      </c>
      <c r="AC1260" t="s">
        <v>12</v>
      </c>
      <c r="AD1260" t="s">
        <v>12</v>
      </c>
      <c r="AE1260" t="s">
        <v>12</v>
      </c>
      <c r="AF1260" t="s">
        <v>12</v>
      </c>
      <c r="AG1260" t="s">
        <v>12</v>
      </c>
      <c r="AH1260" t="s">
        <v>12</v>
      </c>
      <c r="AI1260" t="s">
        <v>12</v>
      </c>
      <c r="AJ1260" t="s">
        <v>12</v>
      </c>
      <c r="AK1260" t="s">
        <v>12</v>
      </c>
      <c r="AL1260" t="s">
        <v>12</v>
      </c>
      <c r="AM1260" t="s">
        <v>12</v>
      </c>
      <c r="AN1260" t="s">
        <v>12</v>
      </c>
      <c r="AO1260" t="s">
        <v>12</v>
      </c>
    </row>
    <row r="1261" spans="1:41" x14ac:dyDescent="0.35">
      <c r="A1261">
        <v>19708813</v>
      </c>
      <c r="B1261">
        <v>202507</v>
      </c>
      <c r="C1261">
        <v>20606096021</v>
      </c>
      <c r="D1261" t="s">
        <v>1226</v>
      </c>
      <c r="E1261" t="s">
        <v>1</v>
      </c>
      <c r="F1261">
        <v>10260252</v>
      </c>
      <c r="G1261" t="s">
        <v>53</v>
      </c>
      <c r="H1261" t="s">
        <v>74</v>
      </c>
      <c r="I1261">
        <v>38382.08984375</v>
      </c>
      <c r="J1261" s="1">
        <v>45547</v>
      </c>
      <c r="K1261">
        <v>15.4</v>
      </c>
      <c r="L1261" t="s">
        <v>4</v>
      </c>
      <c r="M1261" t="s">
        <v>4</v>
      </c>
      <c r="N1261" t="s">
        <v>47</v>
      </c>
      <c r="O1261">
        <v>202409</v>
      </c>
      <c r="P1261">
        <v>45002.25</v>
      </c>
      <c r="Q1261" t="s">
        <v>12</v>
      </c>
      <c r="R1261" t="s">
        <v>12</v>
      </c>
      <c r="S1261" t="s">
        <v>12</v>
      </c>
      <c r="T1261" t="s">
        <v>12</v>
      </c>
      <c r="U1261" t="s">
        <v>12</v>
      </c>
      <c r="V1261" t="s">
        <v>12</v>
      </c>
      <c r="W1261" t="s">
        <v>12</v>
      </c>
      <c r="X1261" t="s">
        <v>12</v>
      </c>
      <c r="Y1261" t="s">
        <v>12</v>
      </c>
      <c r="Z1261" t="s">
        <v>12</v>
      </c>
      <c r="AA1261" t="s">
        <v>12</v>
      </c>
      <c r="AB1261" t="s">
        <v>12</v>
      </c>
      <c r="AC1261" t="s">
        <v>12</v>
      </c>
      <c r="AD1261" t="s">
        <v>12</v>
      </c>
      <c r="AE1261" t="s">
        <v>12</v>
      </c>
      <c r="AF1261" t="s">
        <v>12</v>
      </c>
      <c r="AG1261" t="s">
        <v>12</v>
      </c>
      <c r="AH1261" t="s">
        <v>12</v>
      </c>
      <c r="AI1261" t="s">
        <v>12</v>
      </c>
      <c r="AJ1261" t="s">
        <v>12</v>
      </c>
      <c r="AK1261" t="s">
        <v>12</v>
      </c>
      <c r="AL1261" t="s">
        <v>12</v>
      </c>
      <c r="AM1261" t="s">
        <v>12</v>
      </c>
      <c r="AN1261" t="s">
        <v>12</v>
      </c>
      <c r="AO1261" t="s">
        <v>12</v>
      </c>
    </row>
    <row r="1262" spans="1:41" x14ac:dyDescent="0.35">
      <c r="A1262">
        <v>13329701</v>
      </c>
      <c r="B1262">
        <v>202509</v>
      </c>
      <c r="C1262">
        <v>20549741089</v>
      </c>
      <c r="D1262" t="s">
        <v>1523</v>
      </c>
      <c r="E1262" t="s">
        <v>1</v>
      </c>
      <c r="F1262">
        <v>10268114</v>
      </c>
      <c r="G1262" t="s">
        <v>73</v>
      </c>
      <c r="H1262" t="s">
        <v>7</v>
      </c>
      <c r="I1262">
        <v>357335.46875</v>
      </c>
      <c r="J1262" s="1">
        <v>45803</v>
      </c>
      <c r="K1262">
        <v>16</v>
      </c>
      <c r="L1262" t="s">
        <v>4</v>
      </c>
      <c r="M1262" t="s">
        <v>4</v>
      </c>
      <c r="N1262" t="s">
        <v>20</v>
      </c>
      <c r="O1262">
        <v>202505</v>
      </c>
      <c r="P1262">
        <v>400020</v>
      </c>
      <c r="Q1262" t="s">
        <v>12</v>
      </c>
      <c r="R1262" t="s">
        <v>12</v>
      </c>
      <c r="S1262" t="s">
        <v>12</v>
      </c>
      <c r="T1262" t="s">
        <v>12</v>
      </c>
      <c r="U1262" t="s">
        <v>12</v>
      </c>
      <c r="V1262" t="s">
        <v>12</v>
      </c>
      <c r="W1262" t="s">
        <v>12</v>
      </c>
      <c r="X1262" t="s">
        <v>12</v>
      </c>
      <c r="Y1262" t="s">
        <v>12</v>
      </c>
      <c r="Z1262" t="s">
        <v>12</v>
      </c>
      <c r="AA1262" t="s">
        <v>12</v>
      </c>
      <c r="AB1262" t="s">
        <v>12</v>
      </c>
      <c r="AC1262" t="s">
        <v>12</v>
      </c>
      <c r="AD1262" t="s">
        <v>12</v>
      </c>
      <c r="AE1262" t="s">
        <v>12</v>
      </c>
      <c r="AF1262" t="s">
        <v>12</v>
      </c>
      <c r="AG1262" t="s">
        <v>12</v>
      </c>
      <c r="AH1262" t="s">
        <v>12</v>
      </c>
      <c r="AI1262" t="s">
        <v>12</v>
      </c>
      <c r="AJ1262" t="s">
        <v>12</v>
      </c>
      <c r="AK1262" t="s">
        <v>12</v>
      </c>
      <c r="AL1262" t="s">
        <v>12</v>
      </c>
      <c r="AM1262" t="s">
        <v>12</v>
      </c>
      <c r="AN1262" t="s">
        <v>12</v>
      </c>
      <c r="AO1262" t="s">
        <v>12</v>
      </c>
    </row>
    <row r="1263" spans="1:41" x14ac:dyDescent="0.35">
      <c r="A1263">
        <v>21295324</v>
      </c>
      <c r="B1263">
        <v>202601</v>
      </c>
      <c r="C1263">
        <v>20610609962</v>
      </c>
      <c r="D1263" t="s">
        <v>1524</v>
      </c>
      <c r="E1263" t="s">
        <v>1</v>
      </c>
      <c r="F1263">
        <v>10269441</v>
      </c>
      <c r="G1263" t="s">
        <v>268</v>
      </c>
      <c r="H1263" t="s">
        <v>7</v>
      </c>
      <c r="I1263">
        <v>45726.9765625</v>
      </c>
      <c r="J1263" s="1">
        <v>45847</v>
      </c>
      <c r="K1263">
        <v>26</v>
      </c>
      <c r="L1263" t="s">
        <v>37</v>
      </c>
      <c r="M1263" t="s">
        <v>37</v>
      </c>
      <c r="N1263" t="s">
        <v>98</v>
      </c>
      <c r="O1263">
        <v>202507</v>
      </c>
      <c r="P1263">
        <v>70003.5</v>
      </c>
      <c r="Q1263" t="s">
        <v>69</v>
      </c>
      <c r="R1263" t="s">
        <v>71</v>
      </c>
      <c r="S1263" t="s">
        <v>7</v>
      </c>
      <c r="T1263" t="s">
        <v>8</v>
      </c>
      <c r="U1263" t="s">
        <v>177</v>
      </c>
      <c r="V1263">
        <v>1</v>
      </c>
      <c r="W1263" t="s">
        <v>10</v>
      </c>
      <c r="X1263" t="s">
        <v>51</v>
      </c>
      <c r="Y1263">
        <v>1</v>
      </c>
      <c r="Z1263">
        <v>1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 t="s">
        <v>12</v>
      </c>
      <c r="AG1263" t="s">
        <v>12</v>
      </c>
      <c r="AH1263" t="s">
        <v>12</v>
      </c>
      <c r="AI1263" t="s">
        <v>12</v>
      </c>
      <c r="AJ1263" t="s">
        <v>12</v>
      </c>
      <c r="AK1263">
        <v>500000</v>
      </c>
      <c r="AL1263">
        <v>0.22</v>
      </c>
      <c r="AM1263">
        <v>0.2</v>
      </c>
      <c r="AN1263" t="s">
        <v>12</v>
      </c>
      <c r="AO1263" t="s">
        <v>12</v>
      </c>
    </row>
    <row r="1264" spans="1:41" x14ac:dyDescent="0.35">
      <c r="A1264">
        <v>16362832</v>
      </c>
      <c r="B1264">
        <v>202510</v>
      </c>
      <c r="C1264">
        <v>10445044704</v>
      </c>
      <c r="D1264" t="s">
        <v>1525</v>
      </c>
      <c r="E1264">
        <v>44504470</v>
      </c>
      <c r="F1264">
        <v>10266643</v>
      </c>
      <c r="G1264" t="s">
        <v>100</v>
      </c>
      <c r="H1264" t="s">
        <v>412</v>
      </c>
      <c r="I1264">
        <v>78751.578125</v>
      </c>
      <c r="J1264" s="1">
        <v>45743</v>
      </c>
      <c r="K1264">
        <v>18.5</v>
      </c>
      <c r="L1264" t="s">
        <v>37</v>
      </c>
      <c r="M1264" t="s">
        <v>37</v>
      </c>
      <c r="N1264" t="s">
        <v>102</v>
      </c>
      <c r="O1264">
        <v>202503</v>
      </c>
      <c r="P1264">
        <v>93154.65</v>
      </c>
      <c r="Q1264" t="s">
        <v>412</v>
      </c>
      <c r="R1264" t="s">
        <v>413</v>
      </c>
      <c r="S1264" t="s">
        <v>88</v>
      </c>
      <c r="T1264" t="s">
        <v>89</v>
      </c>
      <c r="U1264" t="s">
        <v>41</v>
      </c>
      <c r="V1264">
        <v>2</v>
      </c>
      <c r="W1264" t="s">
        <v>90</v>
      </c>
      <c r="X1264" t="s">
        <v>12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 t="s">
        <v>12</v>
      </c>
      <c r="AG1264" t="s">
        <v>12</v>
      </c>
      <c r="AH1264" t="s">
        <v>12</v>
      </c>
      <c r="AI1264" t="s">
        <v>12</v>
      </c>
      <c r="AJ1264" t="s">
        <v>12</v>
      </c>
      <c r="AK1264">
        <v>200000</v>
      </c>
      <c r="AL1264">
        <v>0.2417</v>
      </c>
      <c r="AM1264">
        <v>0.22170000000000001</v>
      </c>
      <c r="AN1264" t="s">
        <v>12</v>
      </c>
      <c r="AO1264" t="s">
        <v>12</v>
      </c>
    </row>
    <row r="1265" spans="1:41" x14ac:dyDescent="0.35">
      <c r="A1265">
        <v>18371255</v>
      </c>
      <c r="B1265">
        <v>202512</v>
      </c>
      <c r="C1265">
        <v>20602986927</v>
      </c>
      <c r="D1265" t="s">
        <v>1526</v>
      </c>
      <c r="E1265" t="s">
        <v>1</v>
      </c>
      <c r="F1265">
        <v>10262567</v>
      </c>
      <c r="G1265" t="s">
        <v>65</v>
      </c>
      <c r="H1265" t="s">
        <v>109</v>
      </c>
      <c r="I1265">
        <v>44954.09375</v>
      </c>
      <c r="J1265" s="1">
        <v>45610</v>
      </c>
      <c r="K1265">
        <v>15.5</v>
      </c>
      <c r="L1265" t="s">
        <v>37</v>
      </c>
      <c r="M1265" t="s">
        <v>37</v>
      </c>
      <c r="N1265" t="s">
        <v>47</v>
      </c>
      <c r="O1265">
        <v>202411</v>
      </c>
      <c r="P1265">
        <v>70003.5</v>
      </c>
      <c r="Q1265" t="s">
        <v>109</v>
      </c>
      <c r="R1265" t="s">
        <v>110</v>
      </c>
      <c r="S1265" t="s">
        <v>111</v>
      </c>
      <c r="T1265" t="s">
        <v>112</v>
      </c>
      <c r="U1265" t="s">
        <v>41</v>
      </c>
      <c r="V1265">
        <v>2</v>
      </c>
      <c r="W1265" t="s">
        <v>10</v>
      </c>
      <c r="X1265" t="s">
        <v>11</v>
      </c>
      <c r="Y1265">
        <v>1</v>
      </c>
      <c r="Z1265">
        <v>1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 t="s">
        <v>12</v>
      </c>
      <c r="AG1265" t="s">
        <v>12</v>
      </c>
      <c r="AH1265" t="s">
        <v>12</v>
      </c>
      <c r="AI1265" t="s">
        <v>12</v>
      </c>
      <c r="AJ1265" t="s">
        <v>12</v>
      </c>
      <c r="AK1265">
        <v>400000</v>
      </c>
      <c r="AL1265">
        <v>0.21</v>
      </c>
      <c r="AM1265">
        <v>0.19</v>
      </c>
      <c r="AN1265" t="s">
        <v>12</v>
      </c>
      <c r="AO1265" t="s">
        <v>12</v>
      </c>
    </row>
    <row r="1266" spans="1:41" x14ac:dyDescent="0.35">
      <c r="A1266">
        <v>11804178</v>
      </c>
      <c r="B1266">
        <v>202510</v>
      </c>
      <c r="C1266">
        <v>10296062419</v>
      </c>
      <c r="D1266" t="s">
        <v>1527</v>
      </c>
      <c r="E1266">
        <v>29606241</v>
      </c>
      <c r="F1266">
        <v>10258692</v>
      </c>
      <c r="G1266" t="s">
        <v>65</v>
      </c>
      <c r="H1266" t="s">
        <v>311</v>
      </c>
      <c r="I1266">
        <v>62666.359375</v>
      </c>
      <c r="J1266" s="1">
        <v>45512</v>
      </c>
      <c r="K1266">
        <v>14.5</v>
      </c>
      <c r="L1266" t="s">
        <v>37</v>
      </c>
      <c r="M1266" t="s">
        <v>37</v>
      </c>
      <c r="N1266" t="s">
        <v>47</v>
      </c>
      <c r="O1266">
        <v>202408</v>
      </c>
      <c r="P1266">
        <v>90004.5</v>
      </c>
      <c r="Q1266" t="s">
        <v>12</v>
      </c>
      <c r="R1266" t="s">
        <v>12</v>
      </c>
      <c r="S1266" t="s">
        <v>12</v>
      </c>
      <c r="T1266" t="s">
        <v>12</v>
      </c>
      <c r="U1266" t="s">
        <v>12</v>
      </c>
      <c r="V1266" t="s">
        <v>12</v>
      </c>
      <c r="W1266" t="s">
        <v>12</v>
      </c>
      <c r="X1266" t="s">
        <v>12</v>
      </c>
      <c r="Y1266" t="s">
        <v>12</v>
      </c>
      <c r="Z1266" t="s">
        <v>12</v>
      </c>
      <c r="AA1266" t="s">
        <v>12</v>
      </c>
      <c r="AB1266" t="s">
        <v>12</v>
      </c>
      <c r="AC1266" t="s">
        <v>12</v>
      </c>
      <c r="AD1266" t="s">
        <v>12</v>
      </c>
      <c r="AE1266" t="s">
        <v>12</v>
      </c>
      <c r="AF1266" t="s">
        <v>12</v>
      </c>
      <c r="AG1266" t="s">
        <v>12</v>
      </c>
      <c r="AH1266" t="s">
        <v>12</v>
      </c>
      <c r="AI1266" t="s">
        <v>12</v>
      </c>
      <c r="AJ1266" t="s">
        <v>12</v>
      </c>
      <c r="AK1266" t="s">
        <v>12</v>
      </c>
      <c r="AL1266" t="s">
        <v>12</v>
      </c>
      <c r="AM1266" t="s">
        <v>12</v>
      </c>
      <c r="AN1266" t="s">
        <v>12</v>
      </c>
      <c r="AO1266" t="s">
        <v>12</v>
      </c>
    </row>
    <row r="1267" spans="1:41" x14ac:dyDescent="0.35">
      <c r="A1267">
        <v>17846840</v>
      </c>
      <c r="B1267">
        <v>202508</v>
      </c>
      <c r="C1267">
        <v>20605023348</v>
      </c>
      <c r="D1267" t="s">
        <v>1528</v>
      </c>
      <c r="E1267" t="s">
        <v>1</v>
      </c>
      <c r="F1267">
        <v>10268167</v>
      </c>
      <c r="G1267" t="s">
        <v>92</v>
      </c>
      <c r="H1267" t="s">
        <v>265</v>
      </c>
      <c r="I1267">
        <v>225829.65625</v>
      </c>
      <c r="J1267" s="1">
        <v>45804</v>
      </c>
      <c r="K1267">
        <v>17.78</v>
      </c>
      <c r="L1267" t="s">
        <v>4</v>
      </c>
      <c r="M1267" t="s">
        <v>4</v>
      </c>
      <c r="N1267" t="s">
        <v>41</v>
      </c>
      <c r="O1267">
        <v>202505</v>
      </c>
      <c r="P1267">
        <v>250012.5</v>
      </c>
      <c r="Q1267" t="s">
        <v>265</v>
      </c>
      <c r="R1267" t="s">
        <v>266</v>
      </c>
      <c r="S1267" t="s">
        <v>18</v>
      </c>
      <c r="T1267" t="s">
        <v>122</v>
      </c>
      <c r="U1267" t="s">
        <v>20</v>
      </c>
      <c r="V1267">
        <v>1</v>
      </c>
      <c r="W1267" t="s">
        <v>10</v>
      </c>
      <c r="X1267" t="s">
        <v>12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 t="s">
        <v>12</v>
      </c>
      <c r="AG1267" t="s">
        <v>12</v>
      </c>
      <c r="AH1267" t="s">
        <v>12</v>
      </c>
      <c r="AI1267" t="s">
        <v>12</v>
      </c>
      <c r="AJ1267" t="s">
        <v>12</v>
      </c>
      <c r="AK1267">
        <v>1</v>
      </c>
      <c r="AL1267">
        <v>0.17829999999999999</v>
      </c>
      <c r="AM1267">
        <v>0</v>
      </c>
      <c r="AN1267" t="s">
        <v>12</v>
      </c>
      <c r="AO1267" t="s">
        <v>12</v>
      </c>
    </row>
    <row r="1268" spans="1:41" x14ac:dyDescent="0.35">
      <c r="A1268">
        <v>19300448</v>
      </c>
      <c r="B1268">
        <v>202510</v>
      </c>
      <c r="C1268">
        <v>20601363802</v>
      </c>
      <c r="D1268" t="s">
        <v>300</v>
      </c>
      <c r="E1268" t="s">
        <v>1</v>
      </c>
      <c r="F1268">
        <v>10267546</v>
      </c>
      <c r="G1268" t="s">
        <v>68</v>
      </c>
      <c r="H1268" t="s">
        <v>301</v>
      </c>
      <c r="I1268">
        <v>245438.140625</v>
      </c>
      <c r="J1268" s="1">
        <v>45777</v>
      </c>
      <c r="K1268">
        <v>17</v>
      </c>
      <c r="L1268" t="s">
        <v>4</v>
      </c>
      <c r="M1268" t="s">
        <v>4</v>
      </c>
      <c r="N1268" t="s">
        <v>70</v>
      </c>
      <c r="O1268">
        <v>202504</v>
      </c>
      <c r="P1268">
        <v>300015</v>
      </c>
      <c r="Q1268" t="s">
        <v>12</v>
      </c>
      <c r="R1268" t="s">
        <v>12</v>
      </c>
      <c r="S1268" t="s">
        <v>12</v>
      </c>
      <c r="T1268" t="s">
        <v>12</v>
      </c>
      <c r="U1268" t="s">
        <v>12</v>
      </c>
      <c r="V1268" t="s">
        <v>12</v>
      </c>
      <c r="W1268" t="s">
        <v>12</v>
      </c>
      <c r="X1268" t="s">
        <v>12</v>
      </c>
      <c r="Y1268" t="s">
        <v>12</v>
      </c>
      <c r="Z1268" t="s">
        <v>12</v>
      </c>
      <c r="AA1268" t="s">
        <v>12</v>
      </c>
      <c r="AB1268" t="s">
        <v>12</v>
      </c>
      <c r="AC1268" t="s">
        <v>12</v>
      </c>
      <c r="AD1268" t="s">
        <v>12</v>
      </c>
      <c r="AE1268" t="s">
        <v>12</v>
      </c>
      <c r="AF1268" t="s">
        <v>12</v>
      </c>
      <c r="AG1268" t="s">
        <v>12</v>
      </c>
      <c r="AH1268" t="s">
        <v>12</v>
      </c>
      <c r="AI1268" t="s">
        <v>12</v>
      </c>
      <c r="AJ1268" t="s">
        <v>12</v>
      </c>
      <c r="AK1268" t="s">
        <v>12</v>
      </c>
      <c r="AL1268" t="s">
        <v>12</v>
      </c>
      <c r="AM1268" t="s">
        <v>12</v>
      </c>
      <c r="AN1268" t="s">
        <v>12</v>
      </c>
      <c r="AO1268" t="s">
        <v>12</v>
      </c>
    </row>
    <row r="1269" spans="1:41" x14ac:dyDescent="0.35">
      <c r="A1269">
        <v>21449386</v>
      </c>
      <c r="B1269">
        <v>202505</v>
      </c>
      <c r="C1269">
        <v>20610936572</v>
      </c>
      <c r="D1269" t="s">
        <v>1529</v>
      </c>
      <c r="E1269" t="s">
        <v>1</v>
      </c>
      <c r="F1269">
        <v>10264979</v>
      </c>
      <c r="G1269" t="s">
        <v>28</v>
      </c>
      <c r="H1269" t="s">
        <v>428</v>
      </c>
      <c r="I1269">
        <v>76743.78125</v>
      </c>
      <c r="J1269" s="1">
        <v>45687</v>
      </c>
      <c r="K1269">
        <v>20</v>
      </c>
      <c r="L1269" t="s">
        <v>4</v>
      </c>
      <c r="M1269" t="s">
        <v>4</v>
      </c>
      <c r="N1269" t="s">
        <v>26</v>
      </c>
      <c r="O1269">
        <v>202501</v>
      </c>
      <c r="P1269">
        <v>90004.5</v>
      </c>
      <c r="Q1269" t="s">
        <v>12</v>
      </c>
      <c r="R1269" t="s">
        <v>12</v>
      </c>
      <c r="S1269" t="s">
        <v>12</v>
      </c>
      <c r="T1269" t="s">
        <v>12</v>
      </c>
      <c r="U1269" t="s">
        <v>12</v>
      </c>
      <c r="V1269" t="s">
        <v>12</v>
      </c>
      <c r="W1269" t="s">
        <v>12</v>
      </c>
      <c r="X1269" t="s">
        <v>12</v>
      </c>
      <c r="Y1269" t="s">
        <v>12</v>
      </c>
      <c r="Z1269" t="s">
        <v>12</v>
      </c>
      <c r="AA1269" t="s">
        <v>12</v>
      </c>
      <c r="AB1269" t="s">
        <v>12</v>
      </c>
      <c r="AC1269" t="s">
        <v>12</v>
      </c>
      <c r="AD1269" t="s">
        <v>12</v>
      </c>
      <c r="AE1269" t="s">
        <v>12</v>
      </c>
      <c r="AF1269" t="s">
        <v>12</v>
      </c>
      <c r="AG1269" t="s">
        <v>12</v>
      </c>
      <c r="AH1269" t="s">
        <v>12</v>
      </c>
      <c r="AI1269" t="s">
        <v>12</v>
      </c>
      <c r="AJ1269" t="s">
        <v>12</v>
      </c>
      <c r="AK1269" t="s">
        <v>12</v>
      </c>
      <c r="AL1269" t="s">
        <v>12</v>
      </c>
      <c r="AM1269" t="s">
        <v>12</v>
      </c>
      <c r="AN1269" t="s">
        <v>12</v>
      </c>
      <c r="AO1269" t="s">
        <v>12</v>
      </c>
    </row>
    <row r="1270" spans="1:41" x14ac:dyDescent="0.35">
      <c r="A1270">
        <v>21328227</v>
      </c>
      <c r="B1270">
        <v>202505</v>
      </c>
      <c r="C1270">
        <v>20539896599</v>
      </c>
      <c r="D1270" t="s">
        <v>1530</v>
      </c>
      <c r="E1270" t="s">
        <v>1</v>
      </c>
      <c r="F1270">
        <v>10263257</v>
      </c>
      <c r="G1270" t="s">
        <v>14</v>
      </c>
      <c r="H1270" t="s">
        <v>159</v>
      </c>
      <c r="I1270">
        <v>31230.267578125</v>
      </c>
      <c r="J1270" s="1">
        <v>45624</v>
      </c>
      <c r="K1270">
        <v>18.5</v>
      </c>
      <c r="L1270" t="s">
        <v>37</v>
      </c>
      <c r="M1270" t="s">
        <v>37</v>
      </c>
      <c r="N1270" t="s">
        <v>16</v>
      </c>
      <c r="O1270">
        <v>202411</v>
      </c>
      <c r="P1270">
        <v>40002</v>
      </c>
      <c r="Q1270" t="s">
        <v>201</v>
      </c>
      <c r="R1270" t="s">
        <v>202</v>
      </c>
      <c r="S1270" t="s">
        <v>111</v>
      </c>
      <c r="T1270" t="s">
        <v>112</v>
      </c>
      <c r="U1270" t="s">
        <v>41</v>
      </c>
      <c r="V1270">
        <v>2</v>
      </c>
      <c r="W1270" t="s">
        <v>10</v>
      </c>
      <c r="X1270" t="s">
        <v>12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12</v>
      </c>
      <c r="AG1270" t="s">
        <v>12</v>
      </c>
      <c r="AH1270" t="s">
        <v>12</v>
      </c>
      <c r="AI1270" t="s">
        <v>12</v>
      </c>
      <c r="AJ1270" t="s">
        <v>12</v>
      </c>
      <c r="AK1270">
        <v>250000</v>
      </c>
      <c r="AL1270">
        <v>0.24</v>
      </c>
      <c r="AM1270">
        <v>0.21779999999999999</v>
      </c>
      <c r="AN1270" t="s">
        <v>12</v>
      </c>
      <c r="AO1270" t="s">
        <v>12</v>
      </c>
    </row>
    <row r="1271" spans="1:41" x14ac:dyDescent="0.35">
      <c r="A1271">
        <v>12235804</v>
      </c>
      <c r="B1271">
        <v>202601</v>
      </c>
      <c r="C1271">
        <v>10103943375</v>
      </c>
      <c r="D1271" t="s">
        <v>1531</v>
      </c>
      <c r="E1271">
        <v>10394337</v>
      </c>
      <c r="F1271">
        <v>10256342</v>
      </c>
      <c r="G1271" t="s">
        <v>65</v>
      </c>
      <c r="H1271" t="s">
        <v>170</v>
      </c>
      <c r="I1271">
        <v>73214.1796875</v>
      </c>
      <c r="J1271" s="1">
        <v>45468</v>
      </c>
      <c r="K1271">
        <v>14.7</v>
      </c>
      <c r="L1271" t="s">
        <v>4</v>
      </c>
      <c r="M1271" t="s">
        <v>4</v>
      </c>
      <c r="N1271" t="s">
        <v>47</v>
      </c>
      <c r="O1271">
        <v>202406</v>
      </c>
      <c r="P1271">
        <v>90004.5</v>
      </c>
      <c r="Q1271" t="s">
        <v>170</v>
      </c>
      <c r="R1271" t="s">
        <v>171</v>
      </c>
      <c r="S1271" t="s">
        <v>111</v>
      </c>
      <c r="T1271" t="s">
        <v>112</v>
      </c>
      <c r="U1271" t="s">
        <v>63</v>
      </c>
      <c r="V1271">
        <v>2</v>
      </c>
      <c r="W1271" t="s">
        <v>21</v>
      </c>
      <c r="X1271" t="s">
        <v>59</v>
      </c>
      <c r="Y1271">
        <v>1</v>
      </c>
      <c r="Z1271">
        <v>1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 t="s">
        <v>12</v>
      </c>
      <c r="AG1271" t="s">
        <v>12</v>
      </c>
      <c r="AH1271" t="s">
        <v>12</v>
      </c>
      <c r="AI1271" t="s">
        <v>12</v>
      </c>
      <c r="AJ1271" t="s">
        <v>12</v>
      </c>
      <c r="AK1271">
        <v>400000</v>
      </c>
      <c r="AL1271">
        <v>0.21</v>
      </c>
      <c r="AM1271">
        <v>0.19</v>
      </c>
      <c r="AN1271" t="s">
        <v>12</v>
      </c>
      <c r="AO1271" t="s">
        <v>12</v>
      </c>
    </row>
    <row r="1272" spans="1:41" x14ac:dyDescent="0.35">
      <c r="A1272">
        <v>18876525</v>
      </c>
      <c r="B1272">
        <v>202601</v>
      </c>
      <c r="C1272">
        <v>20608105043</v>
      </c>
      <c r="D1272" t="s">
        <v>1532</v>
      </c>
      <c r="E1272" t="s">
        <v>1</v>
      </c>
      <c r="F1272">
        <v>10255680</v>
      </c>
      <c r="G1272" t="s">
        <v>53</v>
      </c>
      <c r="H1272" t="s">
        <v>412</v>
      </c>
      <c r="I1272">
        <v>40554.13671875</v>
      </c>
      <c r="J1272" s="1">
        <v>45463</v>
      </c>
      <c r="K1272">
        <v>15.7</v>
      </c>
      <c r="L1272" t="s">
        <v>37</v>
      </c>
      <c r="M1272" t="s">
        <v>37</v>
      </c>
      <c r="N1272" t="s">
        <v>47</v>
      </c>
      <c r="O1272">
        <v>202406</v>
      </c>
      <c r="P1272">
        <v>81894.05</v>
      </c>
      <c r="Q1272" t="s">
        <v>412</v>
      </c>
      <c r="R1272" t="s">
        <v>413</v>
      </c>
      <c r="S1272" t="s">
        <v>88</v>
      </c>
      <c r="T1272" t="s">
        <v>89</v>
      </c>
      <c r="U1272" t="s">
        <v>9</v>
      </c>
      <c r="V1272">
        <v>2</v>
      </c>
      <c r="W1272" t="s">
        <v>21</v>
      </c>
      <c r="X1272" t="s">
        <v>51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 t="s">
        <v>12</v>
      </c>
      <c r="AG1272" t="s">
        <v>12</v>
      </c>
      <c r="AH1272" t="s">
        <v>12</v>
      </c>
      <c r="AI1272" t="s">
        <v>12</v>
      </c>
      <c r="AJ1272" t="s">
        <v>12</v>
      </c>
      <c r="AK1272">
        <v>0</v>
      </c>
      <c r="AL1272">
        <v>0</v>
      </c>
      <c r="AM1272">
        <v>0</v>
      </c>
      <c r="AN1272" t="s">
        <v>12</v>
      </c>
      <c r="AO1272" t="s">
        <v>12</v>
      </c>
    </row>
    <row r="1273" spans="1:41" x14ac:dyDescent="0.35">
      <c r="A1273">
        <v>21787128</v>
      </c>
      <c r="B1273">
        <v>202508</v>
      </c>
      <c r="C1273">
        <v>20602632386</v>
      </c>
      <c r="D1273" t="s">
        <v>1533</v>
      </c>
      <c r="E1273" t="s">
        <v>1</v>
      </c>
      <c r="F1273">
        <v>10270322</v>
      </c>
      <c r="G1273" t="s">
        <v>100</v>
      </c>
      <c r="H1273" t="s">
        <v>159</v>
      </c>
      <c r="I1273">
        <v>241512.046875</v>
      </c>
      <c r="J1273" s="1">
        <v>45881</v>
      </c>
      <c r="K1273">
        <v>13.5</v>
      </c>
      <c r="L1273" t="s">
        <v>37</v>
      </c>
      <c r="M1273" t="s">
        <v>37</v>
      </c>
      <c r="N1273" t="s">
        <v>102</v>
      </c>
      <c r="O1273">
        <v>202508</v>
      </c>
      <c r="P1273">
        <v>241512.05</v>
      </c>
      <c r="Q1273" t="s">
        <v>1534</v>
      </c>
      <c r="R1273" t="s">
        <v>1535</v>
      </c>
      <c r="S1273" t="s">
        <v>558</v>
      </c>
      <c r="T1273" t="s">
        <v>559</v>
      </c>
      <c r="U1273" t="s">
        <v>102</v>
      </c>
      <c r="V1273">
        <v>3</v>
      </c>
      <c r="W1273" t="s">
        <v>10</v>
      </c>
      <c r="X1273" t="s">
        <v>12</v>
      </c>
      <c r="Y1273">
        <v>1</v>
      </c>
      <c r="Z1273">
        <v>1</v>
      </c>
      <c r="AA1273">
        <v>1</v>
      </c>
      <c r="AB1273">
        <v>1</v>
      </c>
      <c r="AC1273">
        <v>1</v>
      </c>
      <c r="AD1273" t="s">
        <v>12</v>
      </c>
      <c r="AE1273">
        <v>241512.05</v>
      </c>
      <c r="AF1273">
        <v>13.5</v>
      </c>
      <c r="AG1273" s="1">
        <v>45881</v>
      </c>
      <c r="AH1273" t="s">
        <v>102</v>
      </c>
      <c r="AI1273" t="s">
        <v>37</v>
      </c>
      <c r="AJ1273" t="s">
        <v>560</v>
      </c>
      <c r="AK1273">
        <v>255000</v>
      </c>
      <c r="AL1273">
        <v>0.20499999999999999</v>
      </c>
      <c r="AM1273">
        <v>0.185</v>
      </c>
      <c r="AN1273" t="s">
        <v>197</v>
      </c>
      <c r="AO1273" t="s">
        <v>561</v>
      </c>
    </row>
    <row r="1274" spans="1:41" x14ac:dyDescent="0.35">
      <c r="A1274">
        <v>15899683</v>
      </c>
      <c r="B1274">
        <v>202512</v>
      </c>
      <c r="C1274">
        <v>10454423360</v>
      </c>
      <c r="D1274" t="s">
        <v>1536</v>
      </c>
      <c r="E1274">
        <v>45442336</v>
      </c>
      <c r="F1274">
        <v>10270884</v>
      </c>
      <c r="G1274" t="s">
        <v>293</v>
      </c>
      <c r="H1274" t="s">
        <v>124</v>
      </c>
      <c r="I1274">
        <v>50904.3515625</v>
      </c>
      <c r="J1274" s="1">
        <v>45898</v>
      </c>
      <c r="K1274">
        <v>12</v>
      </c>
      <c r="L1274" t="s">
        <v>86</v>
      </c>
      <c r="M1274" t="s">
        <v>86</v>
      </c>
      <c r="N1274" t="s">
        <v>20</v>
      </c>
      <c r="O1274">
        <v>202508</v>
      </c>
      <c r="P1274">
        <v>776788.8</v>
      </c>
      <c r="Q1274" t="s">
        <v>124</v>
      </c>
      <c r="R1274" t="s">
        <v>125</v>
      </c>
      <c r="S1274" t="s">
        <v>88</v>
      </c>
      <c r="T1274" t="s">
        <v>89</v>
      </c>
      <c r="U1274" t="s">
        <v>20</v>
      </c>
      <c r="V1274">
        <v>2</v>
      </c>
      <c r="W1274" t="s">
        <v>90</v>
      </c>
      <c r="X1274" t="s">
        <v>59</v>
      </c>
      <c r="Y1274">
        <v>1</v>
      </c>
      <c r="Z1274">
        <v>1</v>
      </c>
      <c r="AA1274">
        <v>0</v>
      </c>
      <c r="AB1274">
        <v>0</v>
      </c>
      <c r="AC1274">
        <v>1</v>
      </c>
      <c r="AD1274">
        <v>1</v>
      </c>
      <c r="AE1274">
        <v>0</v>
      </c>
      <c r="AF1274" t="s">
        <v>12</v>
      </c>
      <c r="AG1274" t="s">
        <v>12</v>
      </c>
      <c r="AH1274" t="s">
        <v>12</v>
      </c>
      <c r="AI1274" t="s">
        <v>12</v>
      </c>
      <c r="AJ1274" t="s">
        <v>12</v>
      </c>
      <c r="AK1274">
        <v>1</v>
      </c>
      <c r="AL1274">
        <v>1</v>
      </c>
      <c r="AM1274" t="s">
        <v>12</v>
      </c>
      <c r="AN1274" t="s">
        <v>12</v>
      </c>
      <c r="AO1274" t="s">
        <v>12</v>
      </c>
    </row>
    <row r="1275" spans="1:41" x14ac:dyDescent="0.35">
      <c r="A1275">
        <v>15899683</v>
      </c>
      <c r="B1275">
        <v>202510</v>
      </c>
      <c r="C1275">
        <v>10454423360</v>
      </c>
      <c r="D1275" t="s">
        <v>1536</v>
      </c>
      <c r="E1275">
        <v>45442336</v>
      </c>
      <c r="F1275">
        <v>10270884</v>
      </c>
      <c r="G1275" t="s">
        <v>293</v>
      </c>
      <c r="H1275" t="s">
        <v>124</v>
      </c>
      <c r="I1275">
        <v>725013.75</v>
      </c>
      <c r="J1275" s="1">
        <v>45898</v>
      </c>
      <c r="K1275">
        <v>12</v>
      </c>
      <c r="L1275" t="s">
        <v>86</v>
      </c>
      <c r="M1275" t="s">
        <v>86</v>
      </c>
      <c r="N1275" t="s">
        <v>20</v>
      </c>
      <c r="O1275">
        <v>202508</v>
      </c>
      <c r="P1275">
        <v>776788.8</v>
      </c>
      <c r="Q1275" t="s">
        <v>124</v>
      </c>
      <c r="R1275" t="s">
        <v>125</v>
      </c>
      <c r="S1275" t="s">
        <v>88</v>
      </c>
      <c r="T1275" t="s">
        <v>89</v>
      </c>
      <c r="U1275" t="s">
        <v>20</v>
      </c>
      <c r="V1275">
        <v>2</v>
      </c>
      <c r="W1275" t="s">
        <v>90</v>
      </c>
      <c r="X1275" t="s">
        <v>12</v>
      </c>
      <c r="Y1275">
        <v>1</v>
      </c>
      <c r="Z1275">
        <v>1</v>
      </c>
      <c r="AA1275">
        <v>0</v>
      </c>
      <c r="AB1275">
        <v>0</v>
      </c>
      <c r="AC1275">
        <v>1</v>
      </c>
      <c r="AD1275">
        <v>1</v>
      </c>
      <c r="AE1275">
        <v>0</v>
      </c>
      <c r="AF1275" t="s">
        <v>12</v>
      </c>
      <c r="AG1275" t="s">
        <v>12</v>
      </c>
      <c r="AH1275" t="s">
        <v>12</v>
      </c>
      <c r="AI1275" t="s">
        <v>12</v>
      </c>
      <c r="AJ1275" t="s">
        <v>12</v>
      </c>
      <c r="AK1275">
        <v>1</v>
      </c>
      <c r="AL1275">
        <v>1</v>
      </c>
      <c r="AM1275" t="s">
        <v>12</v>
      </c>
      <c r="AN1275" t="s">
        <v>12</v>
      </c>
      <c r="AO1275" t="s">
        <v>12</v>
      </c>
    </row>
    <row r="1276" spans="1:41" x14ac:dyDescent="0.35">
      <c r="A1276">
        <v>20718941</v>
      </c>
      <c r="B1276">
        <v>202507</v>
      </c>
      <c r="C1276">
        <v>20557930770</v>
      </c>
      <c r="D1276" t="s">
        <v>666</v>
      </c>
      <c r="E1276" t="s">
        <v>1</v>
      </c>
      <c r="F1276">
        <v>10268913</v>
      </c>
      <c r="G1276" t="s">
        <v>78</v>
      </c>
      <c r="H1276" t="s">
        <v>294</v>
      </c>
      <c r="I1276">
        <v>356822.21875</v>
      </c>
      <c r="J1276" s="1">
        <v>45828</v>
      </c>
      <c r="K1276">
        <v>17.5</v>
      </c>
      <c r="L1276" t="s">
        <v>4</v>
      </c>
      <c r="M1276" t="s">
        <v>4</v>
      </c>
      <c r="N1276" t="s">
        <v>41</v>
      </c>
      <c r="O1276">
        <v>202506</v>
      </c>
      <c r="P1276">
        <v>239577.12</v>
      </c>
      <c r="Q1276" t="s">
        <v>294</v>
      </c>
      <c r="R1276" t="s">
        <v>295</v>
      </c>
      <c r="S1276" t="s">
        <v>7</v>
      </c>
      <c r="T1276" t="s">
        <v>8</v>
      </c>
      <c r="U1276" t="s">
        <v>20</v>
      </c>
      <c r="V1276">
        <v>1</v>
      </c>
      <c r="W1276" t="s">
        <v>10</v>
      </c>
      <c r="X1276" t="s">
        <v>12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 t="s">
        <v>12</v>
      </c>
      <c r="AG1276" t="s">
        <v>12</v>
      </c>
      <c r="AH1276" t="s">
        <v>12</v>
      </c>
      <c r="AI1276" t="s">
        <v>12</v>
      </c>
      <c r="AJ1276" t="s">
        <v>12</v>
      </c>
      <c r="AK1276">
        <v>1</v>
      </c>
      <c r="AL1276">
        <v>0.20380000000000001</v>
      </c>
      <c r="AM1276">
        <v>0</v>
      </c>
      <c r="AN1276" t="s">
        <v>12</v>
      </c>
      <c r="AO1276" t="s">
        <v>12</v>
      </c>
    </row>
    <row r="1277" spans="1:41" x14ac:dyDescent="0.35">
      <c r="A1277">
        <v>19019122</v>
      </c>
      <c r="B1277">
        <v>202507</v>
      </c>
      <c r="C1277">
        <v>20609047900</v>
      </c>
      <c r="D1277" t="s">
        <v>787</v>
      </c>
      <c r="E1277" t="s">
        <v>1</v>
      </c>
      <c r="F1277">
        <v>10267658</v>
      </c>
      <c r="G1277" t="s">
        <v>92</v>
      </c>
      <c r="H1277" t="s">
        <v>513</v>
      </c>
      <c r="I1277">
        <v>111390.0859375</v>
      </c>
      <c r="J1277" s="1">
        <v>45785</v>
      </c>
      <c r="K1277">
        <v>17.5</v>
      </c>
      <c r="L1277" t="s">
        <v>86</v>
      </c>
      <c r="M1277" t="s">
        <v>86</v>
      </c>
      <c r="N1277" t="s">
        <v>41</v>
      </c>
      <c r="O1277">
        <v>202505</v>
      </c>
      <c r="P1277">
        <v>120006</v>
      </c>
      <c r="Q1277" t="s">
        <v>513</v>
      </c>
      <c r="R1277" t="s">
        <v>514</v>
      </c>
      <c r="S1277" t="s">
        <v>111</v>
      </c>
      <c r="T1277" t="s">
        <v>112</v>
      </c>
      <c r="U1277" t="s">
        <v>20</v>
      </c>
      <c r="V1277">
        <v>2</v>
      </c>
      <c r="W1277" t="s">
        <v>10</v>
      </c>
      <c r="X1277" t="s">
        <v>12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 t="s">
        <v>12</v>
      </c>
      <c r="AG1277" t="s">
        <v>12</v>
      </c>
      <c r="AH1277" t="s">
        <v>12</v>
      </c>
      <c r="AI1277" t="s">
        <v>12</v>
      </c>
      <c r="AJ1277" t="s">
        <v>12</v>
      </c>
      <c r="AK1277">
        <v>1</v>
      </c>
      <c r="AL1277">
        <v>0.20480000000000001</v>
      </c>
      <c r="AM1277">
        <v>0</v>
      </c>
      <c r="AN1277" t="s">
        <v>12</v>
      </c>
      <c r="AO1277" t="s">
        <v>12</v>
      </c>
    </row>
    <row r="1278" spans="1:41" x14ac:dyDescent="0.35">
      <c r="A1278">
        <v>20640706</v>
      </c>
      <c r="B1278">
        <v>202511</v>
      </c>
      <c r="C1278">
        <v>10296586884</v>
      </c>
      <c r="D1278" t="s">
        <v>1537</v>
      </c>
      <c r="E1278">
        <v>29658688</v>
      </c>
      <c r="F1278">
        <v>10250303</v>
      </c>
      <c r="G1278" t="s">
        <v>53</v>
      </c>
      <c r="H1278" t="s">
        <v>140</v>
      </c>
      <c r="I1278">
        <v>20651.421875</v>
      </c>
      <c r="J1278" s="1">
        <v>45384</v>
      </c>
      <c r="K1278">
        <v>14</v>
      </c>
      <c r="L1278" t="s">
        <v>37</v>
      </c>
      <c r="M1278" t="s">
        <v>37</v>
      </c>
      <c r="N1278" t="s">
        <v>47</v>
      </c>
      <c r="O1278">
        <v>202404</v>
      </c>
      <c r="P1278">
        <v>42002.1</v>
      </c>
      <c r="Q1278" t="s">
        <v>329</v>
      </c>
      <c r="R1278" t="s">
        <v>12</v>
      </c>
      <c r="S1278" t="s">
        <v>12</v>
      </c>
      <c r="T1278" t="s">
        <v>12</v>
      </c>
      <c r="U1278" t="s">
        <v>20</v>
      </c>
      <c r="V1278">
        <v>2</v>
      </c>
      <c r="W1278" t="s">
        <v>90</v>
      </c>
      <c r="X1278" t="s">
        <v>59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 t="s">
        <v>12</v>
      </c>
      <c r="AG1278" t="s">
        <v>12</v>
      </c>
      <c r="AH1278" t="s">
        <v>12</v>
      </c>
      <c r="AI1278" t="s">
        <v>12</v>
      </c>
      <c r="AJ1278" t="s">
        <v>12</v>
      </c>
      <c r="AK1278">
        <v>1</v>
      </c>
      <c r="AL1278">
        <v>1</v>
      </c>
      <c r="AM1278" t="s">
        <v>12</v>
      </c>
      <c r="AN1278" t="s">
        <v>12</v>
      </c>
      <c r="AO1278" t="s">
        <v>12</v>
      </c>
    </row>
    <row r="1279" spans="1:41" x14ac:dyDescent="0.35">
      <c r="A1279">
        <v>10718195</v>
      </c>
      <c r="B1279">
        <v>202504</v>
      </c>
      <c r="C1279">
        <v>10295577032</v>
      </c>
      <c r="D1279" t="s">
        <v>1538</v>
      </c>
      <c r="E1279">
        <v>29557703</v>
      </c>
      <c r="F1279">
        <v>10212119</v>
      </c>
      <c r="G1279" t="s">
        <v>696</v>
      </c>
      <c r="H1279" t="s">
        <v>230</v>
      </c>
      <c r="I1279">
        <v>26131.345703125</v>
      </c>
      <c r="J1279" t="s">
        <v>12</v>
      </c>
      <c r="K1279" t="s">
        <v>12</v>
      </c>
      <c r="L1279" t="s">
        <v>12</v>
      </c>
      <c r="M1279" t="s">
        <v>12</v>
      </c>
      <c r="N1279" t="s">
        <v>12</v>
      </c>
      <c r="O1279" t="s">
        <v>12</v>
      </c>
      <c r="P1279" t="s">
        <v>12</v>
      </c>
      <c r="Q1279" t="s">
        <v>12</v>
      </c>
      <c r="R1279" t="s">
        <v>12</v>
      </c>
      <c r="S1279" t="s">
        <v>12</v>
      </c>
      <c r="T1279" t="s">
        <v>12</v>
      </c>
      <c r="U1279" t="s">
        <v>12</v>
      </c>
      <c r="V1279" t="s">
        <v>12</v>
      </c>
      <c r="W1279" t="s">
        <v>12</v>
      </c>
      <c r="X1279" t="s">
        <v>12</v>
      </c>
      <c r="Y1279" t="s">
        <v>12</v>
      </c>
      <c r="Z1279" t="s">
        <v>12</v>
      </c>
      <c r="AA1279" t="s">
        <v>12</v>
      </c>
      <c r="AB1279" t="s">
        <v>12</v>
      </c>
      <c r="AC1279" t="s">
        <v>12</v>
      </c>
      <c r="AD1279" t="s">
        <v>12</v>
      </c>
      <c r="AE1279" t="s">
        <v>12</v>
      </c>
      <c r="AF1279" t="s">
        <v>12</v>
      </c>
      <c r="AG1279" t="s">
        <v>12</v>
      </c>
      <c r="AH1279" t="s">
        <v>12</v>
      </c>
      <c r="AI1279" t="s">
        <v>12</v>
      </c>
      <c r="AJ1279" t="s">
        <v>12</v>
      </c>
      <c r="AK1279" t="s">
        <v>12</v>
      </c>
      <c r="AL1279" t="s">
        <v>12</v>
      </c>
      <c r="AM1279" t="s">
        <v>12</v>
      </c>
      <c r="AN1279" t="s">
        <v>12</v>
      </c>
      <c r="AO1279" t="s">
        <v>12</v>
      </c>
    </row>
    <row r="1280" spans="1:41" x14ac:dyDescent="0.35">
      <c r="A1280">
        <v>15825273</v>
      </c>
      <c r="B1280">
        <v>202502</v>
      </c>
      <c r="C1280">
        <v>20504787690</v>
      </c>
      <c r="D1280" t="s">
        <v>1539</v>
      </c>
      <c r="E1280" t="s">
        <v>1</v>
      </c>
      <c r="F1280">
        <v>10252057</v>
      </c>
      <c r="G1280" t="s">
        <v>2</v>
      </c>
      <c r="H1280" t="s">
        <v>74</v>
      </c>
      <c r="I1280">
        <v>10142.1220703125</v>
      </c>
      <c r="J1280" t="s">
        <v>12</v>
      </c>
      <c r="K1280" t="s">
        <v>12</v>
      </c>
      <c r="L1280" t="s">
        <v>12</v>
      </c>
      <c r="M1280" t="s">
        <v>12</v>
      </c>
      <c r="N1280" t="s">
        <v>12</v>
      </c>
      <c r="O1280" t="s">
        <v>12</v>
      </c>
      <c r="P1280" t="s">
        <v>12</v>
      </c>
      <c r="Q1280" t="s">
        <v>74</v>
      </c>
      <c r="R1280" t="s">
        <v>76</v>
      </c>
      <c r="S1280" t="s">
        <v>31</v>
      </c>
      <c r="T1280" t="s">
        <v>32</v>
      </c>
      <c r="U1280" t="s">
        <v>5</v>
      </c>
      <c r="V1280">
        <v>1</v>
      </c>
      <c r="W1280" t="s">
        <v>10</v>
      </c>
      <c r="X1280" t="s">
        <v>12</v>
      </c>
      <c r="Y1280">
        <v>1</v>
      </c>
      <c r="Z1280">
        <v>1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 t="s">
        <v>12</v>
      </c>
      <c r="AG1280" t="s">
        <v>12</v>
      </c>
      <c r="AH1280" t="s">
        <v>12</v>
      </c>
      <c r="AI1280" t="s">
        <v>12</v>
      </c>
      <c r="AJ1280" t="s">
        <v>12</v>
      </c>
      <c r="AK1280">
        <v>73695</v>
      </c>
      <c r="AL1280">
        <v>0.2</v>
      </c>
      <c r="AM1280">
        <v>0.18279999999999999</v>
      </c>
      <c r="AN1280" t="s">
        <v>12</v>
      </c>
      <c r="AO1280" t="s">
        <v>12</v>
      </c>
    </row>
    <row r="1281" spans="1:41" x14ac:dyDescent="0.35">
      <c r="A1281">
        <v>14452585</v>
      </c>
      <c r="B1281">
        <v>202504</v>
      </c>
      <c r="C1281">
        <v>10082872081</v>
      </c>
      <c r="D1281" t="s">
        <v>1540</v>
      </c>
      <c r="E1281">
        <v>8287208</v>
      </c>
      <c r="F1281">
        <v>10150401</v>
      </c>
      <c r="G1281" t="s">
        <v>2</v>
      </c>
      <c r="H1281" t="s">
        <v>29</v>
      </c>
      <c r="I1281">
        <v>38282.5859375</v>
      </c>
      <c r="J1281" s="1">
        <v>45685</v>
      </c>
      <c r="K1281">
        <v>18</v>
      </c>
      <c r="L1281" t="s">
        <v>4</v>
      </c>
      <c r="M1281" t="s">
        <v>4</v>
      </c>
      <c r="N1281" t="s">
        <v>5</v>
      </c>
      <c r="O1281">
        <v>202501</v>
      </c>
      <c r="P1281">
        <v>50002.5</v>
      </c>
      <c r="Q1281" t="s">
        <v>12</v>
      </c>
      <c r="R1281" t="s">
        <v>12</v>
      </c>
      <c r="S1281" t="s">
        <v>12</v>
      </c>
      <c r="T1281" t="s">
        <v>12</v>
      </c>
      <c r="U1281" t="s">
        <v>12</v>
      </c>
      <c r="V1281" t="s">
        <v>12</v>
      </c>
      <c r="W1281" t="s">
        <v>12</v>
      </c>
      <c r="X1281" t="s">
        <v>12</v>
      </c>
      <c r="Y1281" t="s">
        <v>12</v>
      </c>
      <c r="Z1281" t="s">
        <v>12</v>
      </c>
      <c r="AA1281" t="s">
        <v>12</v>
      </c>
      <c r="AB1281" t="s">
        <v>12</v>
      </c>
      <c r="AC1281" t="s">
        <v>12</v>
      </c>
      <c r="AD1281" t="s">
        <v>12</v>
      </c>
      <c r="AE1281" t="s">
        <v>12</v>
      </c>
      <c r="AF1281" t="s">
        <v>12</v>
      </c>
      <c r="AG1281" t="s">
        <v>12</v>
      </c>
      <c r="AH1281" t="s">
        <v>12</v>
      </c>
      <c r="AI1281" t="s">
        <v>12</v>
      </c>
      <c r="AJ1281" t="s">
        <v>12</v>
      </c>
      <c r="AK1281" t="s">
        <v>12</v>
      </c>
      <c r="AL1281" t="s">
        <v>12</v>
      </c>
      <c r="AM1281" t="s">
        <v>12</v>
      </c>
      <c r="AN1281" t="s">
        <v>12</v>
      </c>
      <c r="AO1281" t="s">
        <v>12</v>
      </c>
    </row>
    <row r="1282" spans="1:41" x14ac:dyDescent="0.35">
      <c r="A1282">
        <v>16691084</v>
      </c>
      <c r="B1282">
        <v>202601</v>
      </c>
      <c r="C1282">
        <v>20530305059</v>
      </c>
      <c r="D1282" t="s">
        <v>934</v>
      </c>
      <c r="E1282" t="s">
        <v>1</v>
      </c>
      <c r="F1282">
        <v>10271603</v>
      </c>
      <c r="G1282" t="s">
        <v>92</v>
      </c>
      <c r="H1282" t="s">
        <v>49</v>
      </c>
      <c r="I1282">
        <v>112757.59375</v>
      </c>
      <c r="J1282" s="1">
        <v>45923</v>
      </c>
      <c r="K1282">
        <v>29</v>
      </c>
      <c r="L1282" t="s">
        <v>4</v>
      </c>
      <c r="M1282" t="s">
        <v>4</v>
      </c>
      <c r="N1282" t="s">
        <v>41</v>
      </c>
      <c r="O1282">
        <v>202509</v>
      </c>
      <c r="P1282">
        <v>130006.5</v>
      </c>
      <c r="Q1282" t="s">
        <v>492</v>
      </c>
      <c r="R1282" t="s">
        <v>493</v>
      </c>
      <c r="S1282" t="s">
        <v>49</v>
      </c>
      <c r="T1282" t="s">
        <v>50</v>
      </c>
      <c r="U1282" t="s">
        <v>41</v>
      </c>
      <c r="V1282">
        <v>1</v>
      </c>
      <c r="W1282" t="s">
        <v>21</v>
      </c>
      <c r="X1282" t="s">
        <v>22</v>
      </c>
      <c r="Y1282">
        <v>1</v>
      </c>
      <c r="Z1282">
        <v>1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 t="s">
        <v>12</v>
      </c>
      <c r="AG1282" t="s">
        <v>12</v>
      </c>
      <c r="AH1282" t="s">
        <v>12</v>
      </c>
      <c r="AI1282" t="s">
        <v>12</v>
      </c>
      <c r="AJ1282" t="s">
        <v>12</v>
      </c>
      <c r="AK1282">
        <v>85500</v>
      </c>
      <c r="AL1282">
        <v>0.26169999999999999</v>
      </c>
      <c r="AM1282">
        <v>0.2417</v>
      </c>
      <c r="AN1282" t="s">
        <v>12</v>
      </c>
      <c r="AO1282" t="s">
        <v>12</v>
      </c>
    </row>
    <row r="1283" spans="1:41" x14ac:dyDescent="0.35">
      <c r="A1283">
        <v>20113433</v>
      </c>
      <c r="B1283">
        <v>202510</v>
      </c>
      <c r="C1283">
        <v>20609942844</v>
      </c>
      <c r="D1283" t="s">
        <v>1384</v>
      </c>
      <c r="E1283" t="s">
        <v>1</v>
      </c>
      <c r="F1283">
        <v>10269765</v>
      </c>
      <c r="G1283" t="s">
        <v>92</v>
      </c>
      <c r="H1283" t="s">
        <v>246</v>
      </c>
      <c r="I1283">
        <v>81119</v>
      </c>
      <c r="J1283" s="1">
        <v>45856</v>
      </c>
      <c r="K1283">
        <v>17</v>
      </c>
      <c r="L1283" t="s">
        <v>4</v>
      </c>
      <c r="M1283" t="s">
        <v>4</v>
      </c>
      <c r="N1283" t="s">
        <v>41</v>
      </c>
      <c r="O1283">
        <v>202507</v>
      </c>
      <c r="P1283">
        <v>93351.66</v>
      </c>
      <c r="Q1283" t="s">
        <v>1373</v>
      </c>
      <c r="R1283" t="s">
        <v>247</v>
      </c>
      <c r="S1283" t="s">
        <v>18</v>
      </c>
      <c r="T1283" t="s">
        <v>122</v>
      </c>
      <c r="U1283" t="s">
        <v>209</v>
      </c>
      <c r="V1283">
        <v>1</v>
      </c>
      <c r="W1283" t="s">
        <v>10</v>
      </c>
      <c r="X1283" t="s">
        <v>12</v>
      </c>
      <c r="Y1283">
        <v>1</v>
      </c>
      <c r="Z1283">
        <v>1</v>
      </c>
      <c r="AA1283">
        <v>0</v>
      </c>
      <c r="AB1283">
        <v>1</v>
      </c>
      <c r="AC1283">
        <v>1</v>
      </c>
      <c r="AD1283">
        <v>1</v>
      </c>
      <c r="AE1283">
        <v>0</v>
      </c>
      <c r="AF1283" t="s">
        <v>12</v>
      </c>
      <c r="AG1283" t="s">
        <v>12</v>
      </c>
      <c r="AH1283" t="s">
        <v>12</v>
      </c>
      <c r="AI1283" t="s">
        <v>12</v>
      </c>
      <c r="AJ1283" t="s">
        <v>12</v>
      </c>
      <c r="AK1283" t="s">
        <v>12</v>
      </c>
      <c r="AL1283" t="s">
        <v>12</v>
      </c>
      <c r="AM1283" t="s">
        <v>12</v>
      </c>
      <c r="AN1283" t="s">
        <v>12</v>
      </c>
      <c r="AO1283" t="s">
        <v>12</v>
      </c>
    </row>
    <row r="1284" spans="1:41" x14ac:dyDescent="0.35">
      <c r="A1284">
        <v>21772084</v>
      </c>
      <c r="B1284">
        <v>202602</v>
      </c>
      <c r="C1284">
        <v>20552225504</v>
      </c>
      <c r="D1284" t="s">
        <v>1541</v>
      </c>
      <c r="E1284" t="s">
        <v>1</v>
      </c>
      <c r="F1284">
        <v>10270139</v>
      </c>
      <c r="G1284" t="s">
        <v>24</v>
      </c>
      <c r="H1284" t="s">
        <v>478</v>
      </c>
      <c r="I1284">
        <v>56063.9609375</v>
      </c>
      <c r="J1284" s="1">
        <v>45869</v>
      </c>
      <c r="K1284">
        <v>20</v>
      </c>
      <c r="L1284" t="s">
        <v>37</v>
      </c>
      <c r="M1284" t="s">
        <v>37</v>
      </c>
      <c r="N1284" t="s">
        <v>98</v>
      </c>
      <c r="O1284">
        <v>202507</v>
      </c>
      <c r="P1284">
        <v>80004</v>
      </c>
      <c r="Q1284" t="s">
        <v>217</v>
      </c>
      <c r="R1284" t="s">
        <v>218</v>
      </c>
      <c r="S1284" t="s">
        <v>18</v>
      </c>
      <c r="T1284" t="s">
        <v>19</v>
      </c>
      <c r="U1284" t="s">
        <v>63</v>
      </c>
      <c r="V1284">
        <v>1</v>
      </c>
      <c r="W1284" t="s">
        <v>10</v>
      </c>
      <c r="X1284" t="s">
        <v>22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 t="s">
        <v>12</v>
      </c>
      <c r="AG1284" t="s">
        <v>12</v>
      </c>
      <c r="AH1284" t="s">
        <v>12</v>
      </c>
      <c r="AI1284" t="s">
        <v>12</v>
      </c>
      <c r="AJ1284" t="s">
        <v>12</v>
      </c>
      <c r="AK1284">
        <v>50000</v>
      </c>
      <c r="AL1284">
        <v>0.18890000000000001</v>
      </c>
      <c r="AM1284">
        <v>0.16889999999999999</v>
      </c>
      <c r="AN1284" t="s">
        <v>12</v>
      </c>
      <c r="AO1284" t="s">
        <v>12</v>
      </c>
    </row>
    <row r="1285" spans="1:41" x14ac:dyDescent="0.35">
      <c r="A1285">
        <v>21614457</v>
      </c>
      <c r="B1285">
        <v>202506</v>
      </c>
      <c r="C1285">
        <v>20434823278</v>
      </c>
      <c r="D1285" t="s">
        <v>1542</v>
      </c>
      <c r="E1285" t="s">
        <v>1</v>
      </c>
      <c r="F1285">
        <v>10267540</v>
      </c>
      <c r="G1285" t="s">
        <v>28</v>
      </c>
      <c r="H1285" t="s">
        <v>117</v>
      </c>
      <c r="I1285">
        <v>34501.2421875</v>
      </c>
      <c r="J1285" s="1">
        <v>45777</v>
      </c>
      <c r="K1285">
        <v>24</v>
      </c>
      <c r="L1285" t="s">
        <v>4</v>
      </c>
      <c r="M1285" t="s">
        <v>75</v>
      </c>
      <c r="N1285" t="s">
        <v>26</v>
      </c>
      <c r="O1285">
        <v>202504</v>
      </c>
      <c r="P1285">
        <v>80004</v>
      </c>
      <c r="Q1285" t="s">
        <v>117</v>
      </c>
      <c r="R1285" t="s">
        <v>118</v>
      </c>
      <c r="S1285" t="s">
        <v>39</v>
      </c>
      <c r="T1285" t="s">
        <v>40</v>
      </c>
      <c r="U1285" t="s">
        <v>20</v>
      </c>
      <c r="V1285">
        <v>1</v>
      </c>
      <c r="W1285" t="s">
        <v>10</v>
      </c>
      <c r="X1285" t="s">
        <v>12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 t="s">
        <v>12</v>
      </c>
      <c r="AG1285" t="s">
        <v>12</v>
      </c>
      <c r="AH1285" t="s">
        <v>12</v>
      </c>
      <c r="AI1285" t="s">
        <v>12</v>
      </c>
      <c r="AJ1285" t="s">
        <v>12</v>
      </c>
      <c r="AK1285">
        <v>1</v>
      </c>
      <c r="AL1285">
        <v>0.23930000000000001</v>
      </c>
      <c r="AM1285" t="s">
        <v>12</v>
      </c>
      <c r="AN1285" t="s">
        <v>12</v>
      </c>
      <c r="AO1285" t="s">
        <v>12</v>
      </c>
    </row>
    <row r="1286" spans="1:41" x14ac:dyDescent="0.35">
      <c r="A1286">
        <v>21492710</v>
      </c>
      <c r="B1286">
        <v>202510</v>
      </c>
      <c r="C1286">
        <v>20564342590</v>
      </c>
      <c r="D1286" t="s">
        <v>1543</v>
      </c>
      <c r="E1286" t="s">
        <v>1</v>
      </c>
      <c r="F1286">
        <v>10265536</v>
      </c>
      <c r="G1286" t="s">
        <v>14</v>
      </c>
      <c r="H1286" t="s">
        <v>117</v>
      </c>
      <c r="I1286">
        <v>70372.125</v>
      </c>
      <c r="J1286" s="1">
        <v>45709</v>
      </c>
      <c r="K1286">
        <v>18.200001</v>
      </c>
      <c r="L1286" t="s">
        <v>37</v>
      </c>
      <c r="M1286" t="s">
        <v>37</v>
      </c>
      <c r="N1286" t="s">
        <v>98</v>
      </c>
      <c r="O1286">
        <v>202502</v>
      </c>
      <c r="P1286">
        <v>100005</v>
      </c>
      <c r="Q1286" t="s">
        <v>117</v>
      </c>
      <c r="R1286" t="s">
        <v>118</v>
      </c>
      <c r="S1286" t="s">
        <v>39</v>
      </c>
      <c r="T1286" t="s">
        <v>40</v>
      </c>
      <c r="U1286" t="s">
        <v>41</v>
      </c>
      <c r="V1286">
        <v>1</v>
      </c>
      <c r="W1286" t="s">
        <v>10</v>
      </c>
      <c r="X1286" t="s">
        <v>12</v>
      </c>
      <c r="Y1286">
        <v>1</v>
      </c>
      <c r="Z1286">
        <v>1</v>
      </c>
      <c r="AA1286">
        <v>0</v>
      </c>
      <c r="AB1286">
        <v>0</v>
      </c>
      <c r="AC1286">
        <v>1</v>
      </c>
      <c r="AD1286">
        <v>1</v>
      </c>
      <c r="AE1286">
        <v>0</v>
      </c>
      <c r="AF1286" t="s">
        <v>12</v>
      </c>
      <c r="AG1286" t="s">
        <v>12</v>
      </c>
      <c r="AH1286" t="s">
        <v>12</v>
      </c>
      <c r="AI1286" t="s">
        <v>12</v>
      </c>
      <c r="AJ1286" t="s">
        <v>12</v>
      </c>
      <c r="AK1286">
        <v>400000</v>
      </c>
      <c r="AL1286">
        <v>0.21</v>
      </c>
      <c r="AM1286">
        <v>0.19</v>
      </c>
      <c r="AN1286" t="s">
        <v>12</v>
      </c>
      <c r="AO1286" t="s">
        <v>12</v>
      </c>
    </row>
    <row r="1287" spans="1:41" x14ac:dyDescent="0.35">
      <c r="A1287">
        <v>21411528</v>
      </c>
      <c r="B1287">
        <v>202506</v>
      </c>
      <c r="C1287">
        <v>20605274669</v>
      </c>
      <c r="D1287" t="s">
        <v>1544</v>
      </c>
      <c r="E1287" t="s">
        <v>1</v>
      </c>
      <c r="F1287">
        <v>10264463</v>
      </c>
      <c r="G1287" t="s">
        <v>14</v>
      </c>
      <c r="H1287" t="s">
        <v>85</v>
      </c>
      <c r="I1287">
        <v>119818</v>
      </c>
      <c r="J1287" s="1">
        <v>45665</v>
      </c>
      <c r="K1287">
        <v>18.2</v>
      </c>
      <c r="L1287" t="s">
        <v>37</v>
      </c>
      <c r="M1287" t="s">
        <v>37</v>
      </c>
      <c r="N1287" t="s">
        <v>16</v>
      </c>
      <c r="O1287">
        <v>202501</v>
      </c>
      <c r="P1287">
        <v>146507.29999999999</v>
      </c>
      <c r="Q1287" t="s">
        <v>85</v>
      </c>
      <c r="R1287" t="s">
        <v>87</v>
      </c>
      <c r="S1287" t="s">
        <v>88</v>
      </c>
      <c r="T1287" t="s">
        <v>89</v>
      </c>
      <c r="U1287" t="s">
        <v>20</v>
      </c>
      <c r="V1287">
        <v>2</v>
      </c>
      <c r="W1287" t="s">
        <v>10</v>
      </c>
      <c r="X1287" t="s">
        <v>12</v>
      </c>
      <c r="Y1287">
        <v>1</v>
      </c>
      <c r="Z1287">
        <v>1</v>
      </c>
      <c r="AA1287">
        <v>0</v>
      </c>
      <c r="AB1287">
        <v>1</v>
      </c>
      <c r="AC1287">
        <v>1</v>
      </c>
      <c r="AD1287">
        <v>1</v>
      </c>
      <c r="AE1287">
        <v>0</v>
      </c>
      <c r="AF1287" t="s">
        <v>12</v>
      </c>
      <c r="AG1287" t="s">
        <v>12</v>
      </c>
      <c r="AH1287" t="s">
        <v>12</v>
      </c>
      <c r="AI1287" t="s">
        <v>12</v>
      </c>
      <c r="AJ1287" t="s">
        <v>12</v>
      </c>
      <c r="AK1287">
        <v>1</v>
      </c>
      <c r="AL1287">
        <v>0.2233</v>
      </c>
      <c r="AM1287" t="s">
        <v>12</v>
      </c>
      <c r="AN1287" t="s">
        <v>12</v>
      </c>
      <c r="AO1287" t="s">
        <v>12</v>
      </c>
    </row>
    <row r="1288" spans="1:41" x14ac:dyDescent="0.35">
      <c r="A1288">
        <v>20781761</v>
      </c>
      <c r="B1288">
        <v>202512</v>
      </c>
      <c r="C1288">
        <v>20605291075</v>
      </c>
      <c r="D1288" t="s">
        <v>1545</v>
      </c>
      <c r="E1288" t="s">
        <v>1</v>
      </c>
      <c r="F1288">
        <v>10250918</v>
      </c>
      <c r="G1288" t="s">
        <v>65</v>
      </c>
      <c r="H1288" t="s">
        <v>159</v>
      </c>
      <c r="I1288">
        <v>22624.34765625</v>
      </c>
      <c r="J1288" s="1">
        <v>45398</v>
      </c>
      <c r="K1288">
        <v>15.5</v>
      </c>
      <c r="L1288" t="s">
        <v>37</v>
      </c>
      <c r="M1288" t="s">
        <v>37</v>
      </c>
      <c r="N1288" t="s">
        <v>47</v>
      </c>
      <c r="O1288">
        <v>202404</v>
      </c>
      <c r="P1288">
        <v>50002.5</v>
      </c>
      <c r="Q1288" t="s">
        <v>61</v>
      </c>
      <c r="R1288" t="s">
        <v>62</v>
      </c>
      <c r="S1288" t="s">
        <v>39</v>
      </c>
      <c r="T1288" t="s">
        <v>40</v>
      </c>
      <c r="U1288" t="s">
        <v>41</v>
      </c>
      <c r="V1288">
        <v>1</v>
      </c>
      <c r="W1288" t="s">
        <v>10</v>
      </c>
      <c r="X1288" t="s">
        <v>22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s">
        <v>12</v>
      </c>
      <c r="AG1288" t="s">
        <v>12</v>
      </c>
      <c r="AH1288" t="s">
        <v>12</v>
      </c>
      <c r="AI1288" t="s">
        <v>12</v>
      </c>
      <c r="AJ1288" t="s">
        <v>12</v>
      </c>
      <c r="AK1288">
        <v>250000</v>
      </c>
      <c r="AL1288">
        <v>0.21</v>
      </c>
      <c r="AM1288">
        <v>0.19</v>
      </c>
      <c r="AN1288" t="s">
        <v>12</v>
      </c>
      <c r="AO1288" t="s">
        <v>12</v>
      </c>
    </row>
    <row r="1289" spans="1:41" x14ac:dyDescent="0.35">
      <c r="A1289">
        <v>21014756</v>
      </c>
      <c r="B1289">
        <v>202602</v>
      </c>
      <c r="C1289">
        <v>20610855301</v>
      </c>
      <c r="D1289" t="s">
        <v>1546</v>
      </c>
      <c r="E1289" t="s">
        <v>1</v>
      </c>
      <c r="F1289">
        <v>10257480</v>
      </c>
      <c r="G1289" t="s">
        <v>45</v>
      </c>
      <c r="H1289" t="s">
        <v>159</v>
      </c>
      <c r="I1289">
        <v>2569.34033203125</v>
      </c>
      <c r="J1289" s="1">
        <v>45491</v>
      </c>
      <c r="K1289">
        <v>16.399999999999999</v>
      </c>
      <c r="L1289" t="s">
        <v>37</v>
      </c>
      <c r="M1289" t="s">
        <v>37</v>
      </c>
      <c r="N1289" t="s">
        <v>47</v>
      </c>
      <c r="O1289">
        <v>202407</v>
      </c>
      <c r="P1289">
        <v>60003</v>
      </c>
      <c r="Q1289" t="s">
        <v>484</v>
      </c>
      <c r="R1289" t="s">
        <v>485</v>
      </c>
      <c r="S1289" t="s">
        <v>88</v>
      </c>
      <c r="T1289" t="s">
        <v>89</v>
      </c>
      <c r="U1289" t="s">
        <v>95</v>
      </c>
      <c r="V1289">
        <v>2</v>
      </c>
      <c r="W1289" t="s">
        <v>10</v>
      </c>
      <c r="X1289" t="s">
        <v>22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 t="s">
        <v>12</v>
      </c>
      <c r="AG1289" t="s">
        <v>12</v>
      </c>
      <c r="AH1289" t="s">
        <v>12</v>
      </c>
      <c r="AI1289" t="s">
        <v>12</v>
      </c>
      <c r="AJ1289" t="s">
        <v>12</v>
      </c>
      <c r="AK1289">
        <v>250000</v>
      </c>
      <c r="AL1289">
        <v>0.21</v>
      </c>
      <c r="AM1289">
        <v>0.19</v>
      </c>
      <c r="AN1289" t="s">
        <v>12</v>
      </c>
      <c r="AO1289" t="s">
        <v>12</v>
      </c>
    </row>
    <row r="1290" spans="1:41" x14ac:dyDescent="0.35">
      <c r="A1290">
        <v>19811483</v>
      </c>
      <c r="B1290">
        <v>202509</v>
      </c>
      <c r="C1290">
        <v>20606054131</v>
      </c>
      <c r="D1290" t="s">
        <v>623</v>
      </c>
      <c r="E1290" t="s">
        <v>1</v>
      </c>
      <c r="F1290">
        <v>10248409</v>
      </c>
      <c r="G1290" t="s">
        <v>65</v>
      </c>
      <c r="H1290" t="s">
        <v>74</v>
      </c>
      <c r="I1290">
        <v>44380.5703125</v>
      </c>
      <c r="J1290" s="1">
        <v>45349</v>
      </c>
      <c r="K1290">
        <v>14.7</v>
      </c>
      <c r="L1290" t="s">
        <v>4</v>
      </c>
      <c r="M1290" t="s">
        <v>4</v>
      </c>
      <c r="N1290" t="s">
        <v>47</v>
      </c>
      <c r="O1290">
        <v>202402</v>
      </c>
      <c r="P1290">
        <v>90004.5</v>
      </c>
      <c r="Q1290" t="s">
        <v>74</v>
      </c>
      <c r="R1290" t="s">
        <v>76</v>
      </c>
      <c r="S1290" t="s">
        <v>31</v>
      </c>
      <c r="T1290" t="s">
        <v>32</v>
      </c>
      <c r="U1290" t="s">
        <v>41</v>
      </c>
      <c r="V1290">
        <v>1</v>
      </c>
      <c r="W1290" t="s">
        <v>10</v>
      </c>
      <c r="X1290" t="s">
        <v>51</v>
      </c>
      <c r="Y1290">
        <v>1</v>
      </c>
      <c r="Z1290">
        <v>1</v>
      </c>
      <c r="AA1290">
        <v>0</v>
      </c>
      <c r="AB1290">
        <v>0</v>
      </c>
      <c r="AC1290">
        <v>1</v>
      </c>
      <c r="AD1290">
        <v>1</v>
      </c>
      <c r="AE1290">
        <v>0</v>
      </c>
      <c r="AF1290" t="s">
        <v>12</v>
      </c>
      <c r="AG1290" t="s">
        <v>12</v>
      </c>
      <c r="AH1290" t="s">
        <v>12</v>
      </c>
      <c r="AI1290" t="s">
        <v>12</v>
      </c>
      <c r="AJ1290" t="s">
        <v>12</v>
      </c>
      <c r="AK1290">
        <v>78700</v>
      </c>
      <c r="AL1290">
        <v>0.21</v>
      </c>
      <c r="AM1290">
        <v>0.19</v>
      </c>
      <c r="AN1290" t="s">
        <v>12</v>
      </c>
      <c r="AO1290" t="s">
        <v>12</v>
      </c>
    </row>
    <row r="1291" spans="1:41" x14ac:dyDescent="0.35">
      <c r="A1291">
        <v>17564930</v>
      </c>
      <c r="B1291">
        <v>202502</v>
      </c>
      <c r="C1291">
        <v>10453284153</v>
      </c>
      <c r="D1291" t="s">
        <v>1547</v>
      </c>
      <c r="E1291">
        <v>45328415</v>
      </c>
      <c r="F1291">
        <v>10249049</v>
      </c>
      <c r="G1291" t="s">
        <v>65</v>
      </c>
      <c r="H1291" t="s">
        <v>183</v>
      </c>
      <c r="I1291">
        <v>73175.9375</v>
      </c>
      <c r="J1291" s="1">
        <v>45362</v>
      </c>
      <c r="K1291">
        <v>13.8</v>
      </c>
      <c r="L1291" t="s">
        <v>37</v>
      </c>
      <c r="M1291" t="s">
        <v>37</v>
      </c>
      <c r="N1291" t="s">
        <v>47</v>
      </c>
      <c r="O1291">
        <v>202403</v>
      </c>
      <c r="P1291">
        <v>90004.5</v>
      </c>
      <c r="Q1291" t="s">
        <v>12</v>
      </c>
      <c r="R1291" t="s">
        <v>12</v>
      </c>
      <c r="S1291" t="s">
        <v>12</v>
      </c>
      <c r="T1291" t="s">
        <v>12</v>
      </c>
      <c r="U1291" t="s">
        <v>12</v>
      </c>
      <c r="V1291" t="s">
        <v>12</v>
      </c>
      <c r="W1291" t="s">
        <v>12</v>
      </c>
      <c r="X1291" t="s">
        <v>12</v>
      </c>
      <c r="Y1291" t="s">
        <v>12</v>
      </c>
      <c r="Z1291" t="s">
        <v>12</v>
      </c>
      <c r="AA1291" t="s">
        <v>12</v>
      </c>
      <c r="AB1291" t="s">
        <v>12</v>
      </c>
      <c r="AC1291" t="s">
        <v>12</v>
      </c>
      <c r="AD1291" t="s">
        <v>12</v>
      </c>
      <c r="AE1291" t="s">
        <v>12</v>
      </c>
      <c r="AF1291" t="s">
        <v>12</v>
      </c>
      <c r="AG1291" t="s">
        <v>12</v>
      </c>
      <c r="AH1291" t="s">
        <v>12</v>
      </c>
      <c r="AI1291" t="s">
        <v>12</v>
      </c>
      <c r="AJ1291" t="s">
        <v>12</v>
      </c>
      <c r="AK1291" t="s">
        <v>12</v>
      </c>
      <c r="AL1291" t="s">
        <v>12</v>
      </c>
      <c r="AM1291" t="s">
        <v>12</v>
      </c>
      <c r="AN1291" t="s">
        <v>12</v>
      </c>
      <c r="AO1291" t="s">
        <v>12</v>
      </c>
    </row>
    <row r="1292" spans="1:41" x14ac:dyDescent="0.35">
      <c r="A1292">
        <v>13609737</v>
      </c>
      <c r="B1292">
        <v>202507</v>
      </c>
      <c r="C1292">
        <v>10461339510</v>
      </c>
      <c r="D1292" t="s">
        <v>1548</v>
      </c>
      <c r="E1292">
        <v>46133951</v>
      </c>
      <c r="F1292">
        <v>10248217</v>
      </c>
      <c r="G1292" t="s">
        <v>45</v>
      </c>
      <c r="H1292" t="s">
        <v>246</v>
      </c>
      <c r="I1292">
        <v>51890.8046875</v>
      </c>
      <c r="J1292" s="1">
        <v>45344</v>
      </c>
      <c r="K1292">
        <v>15</v>
      </c>
      <c r="L1292" t="s">
        <v>37</v>
      </c>
      <c r="M1292" t="s">
        <v>37</v>
      </c>
      <c r="N1292" t="s">
        <v>47</v>
      </c>
      <c r="O1292">
        <v>202402</v>
      </c>
      <c r="P1292">
        <v>90004.5</v>
      </c>
      <c r="Q1292" t="s">
        <v>246</v>
      </c>
      <c r="R1292" t="s">
        <v>247</v>
      </c>
      <c r="S1292" t="s">
        <v>18</v>
      </c>
      <c r="T1292" t="s">
        <v>122</v>
      </c>
      <c r="U1292" t="s">
        <v>20</v>
      </c>
      <c r="V1292">
        <v>1</v>
      </c>
      <c r="W1292" t="s">
        <v>647</v>
      </c>
      <c r="X1292" t="s">
        <v>12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 t="s">
        <v>12</v>
      </c>
      <c r="AG1292" t="s">
        <v>12</v>
      </c>
      <c r="AH1292" t="s">
        <v>12</v>
      </c>
      <c r="AI1292" t="s">
        <v>12</v>
      </c>
      <c r="AJ1292" t="s">
        <v>12</v>
      </c>
      <c r="AK1292">
        <v>1</v>
      </c>
      <c r="AL1292">
        <v>0.24</v>
      </c>
      <c r="AM1292" t="s">
        <v>12</v>
      </c>
      <c r="AN1292" t="s">
        <v>12</v>
      </c>
      <c r="AO1292" t="s">
        <v>12</v>
      </c>
    </row>
    <row r="1293" spans="1:41" x14ac:dyDescent="0.35">
      <c r="A1293">
        <v>11027478</v>
      </c>
      <c r="B1293">
        <v>202507</v>
      </c>
      <c r="C1293">
        <v>20515048953</v>
      </c>
      <c r="D1293" t="s">
        <v>1549</v>
      </c>
      <c r="E1293" t="s">
        <v>1</v>
      </c>
      <c r="F1293">
        <v>10261003</v>
      </c>
      <c r="G1293" t="s">
        <v>65</v>
      </c>
      <c r="H1293" t="s">
        <v>220</v>
      </c>
      <c r="I1293">
        <v>114031.5</v>
      </c>
      <c r="J1293" s="1">
        <v>45561</v>
      </c>
      <c r="K1293">
        <v>13.48</v>
      </c>
      <c r="L1293" t="s">
        <v>4</v>
      </c>
      <c r="M1293" t="s">
        <v>4</v>
      </c>
      <c r="N1293" t="s">
        <v>47</v>
      </c>
      <c r="O1293">
        <v>202409</v>
      </c>
      <c r="P1293">
        <v>300015</v>
      </c>
      <c r="Q1293" t="s">
        <v>220</v>
      </c>
      <c r="R1293" t="s">
        <v>221</v>
      </c>
      <c r="S1293" t="s">
        <v>127</v>
      </c>
      <c r="T1293" t="s">
        <v>147</v>
      </c>
      <c r="U1293" t="s">
        <v>41</v>
      </c>
      <c r="V1293">
        <v>1</v>
      </c>
      <c r="W1293" t="s">
        <v>10</v>
      </c>
      <c r="X1293" t="s">
        <v>12</v>
      </c>
      <c r="Y1293">
        <v>1</v>
      </c>
      <c r="Z1293">
        <v>1</v>
      </c>
      <c r="AA1293">
        <v>0</v>
      </c>
      <c r="AB1293">
        <v>0</v>
      </c>
      <c r="AC1293">
        <v>1</v>
      </c>
      <c r="AD1293">
        <v>1</v>
      </c>
      <c r="AE1293">
        <v>0</v>
      </c>
      <c r="AF1293" t="s">
        <v>12</v>
      </c>
      <c r="AG1293" t="s">
        <v>12</v>
      </c>
      <c r="AH1293" t="s">
        <v>12</v>
      </c>
      <c r="AI1293" t="s">
        <v>12</v>
      </c>
      <c r="AJ1293" t="s">
        <v>12</v>
      </c>
      <c r="AK1293">
        <v>400000</v>
      </c>
      <c r="AL1293">
        <v>0.23</v>
      </c>
      <c r="AM1293">
        <v>0.21</v>
      </c>
      <c r="AN1293" t="s">
        <v>12</v>
      </c>
      <c r="AO1293" t="s">
        <v>12</v>
      </c>
    </row>
    <row r="1294" spans="1:41" x14ac:dyDescent="0.35">
      <c r="A1294">
        <v>19001231</v>
      </c>
      <c r="B1294">
        <v>202602</v>
      </c>
      <c r="C1294">
        <v>20603649746</v>
      </c>
      <c r="D1294" t="s">
        <v>1550</v>
      </c>
      <c r="E1294" t="s">
        <v>1</v>
      </c>
      <c r="F1294">
        <v>10252816</v>
      </c>
      <c r="G1294" t="s">
        <v>65</v>
      </c>
      <c r="H1294" t="s">
        <v>109</v>
      </c>
      <c r="I1294">
        <v>33002.59765625</v>
      </c>
      <c r="J1294" s="1">
        <v>45425</v>
      </c>
      <c r="K1294">
        <v>14.6</v>
      </c>
      <c r="L1294" t="s">
        <v>37</v>
      </c>
      <c r="M1294" t="s">
        <v>37</v>
      </c>
      <c r="N1294" t="s">
        <v>47</v>
      </c>
      <c r="O1294">
        <v>202405</v>
      </c>
      <c r="P1294">
        <v>80924</v>
      </c>
      <c r="Q1294" t="s">
        <v>109</v>
      </c>
      <c r="R1294" t="s">
        <v>110</v>
      </c>
      <c r="S1294" t="s">
        <v>111</v>
      </c>
      <c r="T1294" t="s">
        <v>112</v>
      </c>
      <c r="U1294" t="s">
        <v>41</v>
      </c>
      <c r="V1294">
        <v>2</v>
      </c>
      <c r="W1294" t="s">
        <v>10</v>
      </c>
      <c r="X1294" t="s">
        <v>11</v>
      </c>
      <c r="Y1294">
        <v>1</v>
      </c>
      <c r="Z1294">
        <v>1</v>
      </c>
      <c r="AA1294">
        <v>0</v>
      </c>
      <c r="AB1294">
        <v>0</v>
      </c>
      <c r="AC1294">
        <v>1</v>
      </c>
      <c r="AD1294">
        <v>1</v>
      </c>
      <c r="AE1294">
        <v>0</v>
      </c>
      <c r="AF1294" t="s">
        <v>12</v>
      </c>
      <c r="AG1294" t="s">
        <v>12</v>
      </c>
      <c r="AH1294" t="s">
        <v>12</v>
      </c>
      <c r="AI1294" t="s">
        <v>12</v>
      </c>
      <c r="AJ1294" t="s">
        <v>12</v>
      </c>
      <c r="AK1294">
        <v>500000</v>
      </c>
      <c r="AL1294">
        <v>0.21</v>
      </c>
      <c r="AM1294">
        <v>0.19</v>
      </c>
      <c r="AN1294" t="s">
        <v>12</v>
      </c>
      <c r="AO1294" t="s">
        <v>12</v>
      </c>
    </row>
    <row r="1295" spans="1:41" x14ac:dyDescent="0.35">
      <c r="A1295">
        <v>13718626</v>
      </c>
      <c r="B1295">
        <v>202512</v>
      </c>
      <c r="C1295">
        <v>20547961961</v>
      </c>
      <c r="D1295" t="s">
        <v>1551</v>
      </c>
      <c r="E1295" t="s">
        <v>1</v>
      </c>
      <c r="F1295">
        <v>10272823</v>
      </c>
      <c r="G1295" t="s">
        <v>14</v>
      </c>
      <c r="H1295" t="s">
        <v>644</v>
      </c>
      <c r="I1295">
        <v>131631.078125</v>
      </c>
      <c r="J1295" s="1">
        <v>45961</v>
      </c>
      <c r="K1295">
        <v>15.28</v>
      </c>
      <c r="L1295" t="s">
        <v>86</v>
      </c>
      <c r="M1295" t="s">
        <v>86</v>
      </c>
      <c r="N1295" t="s">
        <v>16</v>
      </c>
      <c r="O1295">
        <v>202510</v>
      </c>
      <c r="P1295">
        <v>150007.5</v>
      </c>
      <c r="Q1295" t="s">
        <v>644</v>
      </c>
      <c r="R1295" t="s">
        <v>775</v>
      </c>
      <c r="S1295" t="s">
        <v>111</v>
      </c>
      <c r="T1295" t="s">
        <v>112</v>
      </c>
      <c r="U1295" t="s">
        <v>20</v>
      </c>
      <c r="V1295">
        <v>2</v>
      </c>
      <c r="W1295" t="s">
        <v>10</v>
      </c>
      <c r="X1295" t="s">
        <v>22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 t="s">
        <v>12</v>
      </c>
      <c r="AG1295" t="s">
        <v>12</v>
      </c>
      <c r="AH1295" t="s">
        <v>12</v>
      </c>
      <c r="AI1295" t="s">
        <v>12</v>
      </c>
      <c r="AJ1295" t="s">
        <v>12</v>
      </c>
      <c r="AK1295">
        <v>1</v>
      </c>
      <c r="AL1295">
        <v>1</v>
      </c>
      <c r="AM1295" t="s">
        <v>12</v>
      </c>
      <c r="AN1295" t="s">
        <v>12</v>
      </c>
      <c r="AO1295" t="s">
        <v>12</v>
      </c>
    </row>
    <row r="1296" spans="1:41" x14ac:dyDescent="0.35">
      <c r="A1296">
        <v>13087672</v>
      </c>
      <c r="B1296">
        <v>202601</v>
      </c>
      <c r="C1296">
        <v>20515784811</v>
      </c>
      <c r="D1296" t="s">
        <v>1552</v>
      </c>
      <c r="E1296" t="s">
        <v>1</v>
      </c>
      <c r="F1296">
        <v>10159329</v>
      </c>
      <c r="G1296" t="s">
        <v>2</v>
      </c>
      <c r="H1296" t="s">
        <v>396</v>
      </c>
      <c r="I1296">
        <v>35309.09765625</v>
      </c>
      <c r="J1296" s="1">
        <v>45636</v>
      </c>
      <c r="K1296">
        <v>17.38</v>
      </c>
      <c r="L1296" t="s">
        <v>4</v>
      </c>
      <c r="M1296" t="s">
        <v>4</v>
      </c>
      <c r="N1296" t="s">
        <v>5</v>
      </c>
      <c r="O1296">
        <v>202412</v>
      </c>
      <c r="P1296">
        <v>100005</v>
      </c>
      <c r="Q1296" t="s">
        <v>396</v>
      </c>
      <c r="R1296" t="s">
        <v>397</v>
      </c>
      <c r="S1296" t="s">
        <v>18</v>
      </c>
      <c r="T1296" t="s">
        <v>19</v>
      </c>
      <c r="U1296" t="s">
        <v>70</v>
      </c>
      <c r="V1296">
        <v>1</v>
      </c>
      <c r="W1296" t="s">
        <v>10</v>
      </c>
      <c r="X1296" t="s">
        <v>51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 t="s">
        <v>12</v>
      </c>
      <c r="AG1296" t="s">
        <v>12</v>
      </c>
      <c r="AH1296" t="s">
        <v>12</v>
      </c>
      <c r="AI1296" t="s">
        <v>12</v>
      </c>
      <c r="AJ1296" t="s">
        <v>12</v>
      </c>
      <c r="AK1296">
        <v>106000</v>
      </c>
      <c r="AL1296">
        <v>0.19</v>
      </c>
      <c r="AM1296">
        <v>0.17</v>
      </c>
      <c r="AN1296" t="s">
        <v>12</v>
      </c>
      <c r="AO1296" t="s">
        <v>12</v>
      </c>
    </row>
    <row r="1297" spans="1:41" x14ac:dyDescent="0.35">
      <c r="A1297">
        <v>20730883</v>
      </c>
      <c r="B1297">
        <v>202602</v>
      </c>
      <c r="C1297">
        <v>20536173286</v>
      </c>
      <c r="D1297" t="s">
        <v>1111</v>
      </c>
      <c r="E1297" t="s">
        <v>1</v>
      </c>
      <c r="F1297">
        <v>10249718</v>
      </c>
      <c r="G1297" t="s">
        <v>65</v>
      </c>
      <c r="H1297" t="s">
        <v>7</v>
      </c>
      <c r="I1297">
        <v>2602.24169921875</v>
      </c>
      <c r="J1297" s="1">
        <v>45372</v>
      </c>
      <c r="K1297">
        <v>13.8</v>
      </c>
      <c r="L1297" t="s">
        <v>37</v>
      </c>
      <c r="M1297" t="s">
        <v>37</v>
      </c>
      <c r="N1297" t="s">
        <v>47</v>
      </c>
      <c r="O1297">
        <v>202403</v>
      </c>
      <c r="P1297">
        <v>58626.9</v>
      </c>
      <c r="Q1297" t="s">
        <v>244</v>
      </c>
      <c r="R1297" t="s">
        <v>297</v>
      </c>
      <c r="S1297" t="s">
        <v>7</v>
      </c>
      <c r="T1297" t="s">
        <v>8</v>
      </c>
      <c r="U1297" t="s">
        <v>41</v>
      </c>
      <c r="V1297">
        <v>1</v>
      </c>
      <c r="W1297" t="s">
        <v>10</v>
      </c>
      <c r="X1297" t="s">
        <v>22</v>
      </c>
      <c r="Y1297">
        <v>1</v>
      </c>
      <c r="Z1297">
        <v>1</v>
      </c>
      <c r="AA1297">
        <v>0</v>
      </c>
      <c r="AB1297">
        <v>1</v>
      </c>
      <c r="AC1297">
        <v>1</v>
      </c>
      <c r="AD1297">
        <v>1</v>
      </c>
      <c r="AE1297">
        <v>0</v>
      </c>
      <c r="AF1297" t="s">
        <v>12</v>
      </c>
      <c r="AG1297" t="s">
        <v>12</v>
      </c>
      <c r="AH1297" t="s">
        <v>12</v>
      </c>
      <c r="AI1297" t="s">
        <v>12</v>
      </c>
      <c r="AJ1297" t="s">
        <v>12</v>
      </c>
      <c r="AK1297">
        <v>138300</v>
      </c>
      <c r="AL1297">
        <v>0.21</v>
      </c>
      <c r="AM1297">
        <v>0.19</v>
      </c>
      <c r="AN1297" t="s">
        <v>12</v>
      </c>
      <c r="AO1297" t="s">
        <v>12</v>
      </c>
    </row>
    <row r="1298" spans="1:41" x14ac:dyDescent="0.35">
      <c r="A1298">
        <v>9070512</v>
      </c>
      <c r="B1298">
        <v>202601</v>
      </c>
      <c r="C1298">
        <v>10066728485</v>
      </c>
      <c r="D1298" t="s">
        <v>1553</v>
      </c>
      <c r="E1298">
        <v>6672848</v>
      </c>
      <c r="F1298">
        <v>10250459</v>
      </c>
      <c r="G1298" t="s">
        <v>65</v>
      </c>
      <c r="H1298" t="s">
        <v>1554</v>
      </c>
      <c r="I1298">
        <v>24288.357421875</v>
      </c>
      <c r="J1298" s="1">
        <v>45390</v>
      </c>
      <c r="K1298">
        <v>14.2</v>
      </c>
      <c r="L1298" t="s">
        <v>37</v>
      </c>
      <c r="M1298" t="s">
        <v>37</v>
      </c>
      <c r="N1298" t="s">
        <v>47</v>
      </c>
      <c r="O1298">
        <v>202404</v>
      </c>
      <c r="P1298">
        <v>59706.95</v>
      </c>
      <c r="Q1298" t="s">
        <v>101</v>
      </c>
      <c r="R1298" t="s">
        <v>103</v>
      </c>
      <c r="S1298" t="s">
        <v>88</v>
      </c>
      <c r="T1298" t="s">
        <v>89</v>
      </c>
      <c r="U1298" t="s">
        <v>63</v>
      </c>
      <c r="V1298">
        <v>2</v>
      </c>
      <c r="W1298" t="s">
        <v>21</v>
      </c>
      <c r="X1298" t="s">
        <v>59</v>
      </c>
      <c r="Y1298">
        <v>1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12</v>
      </c>
      <c r="AG1298" t="s">
        <v>12</v>
      </c>
      <c r="AH1298" t="s">
        <v>12</v>
      </c>
      <c r="AI1298" t="s">
        <v>12</v>
      </c>
      <c r="AJ1298" t="s">
        <v>12</v>
      </c>
      <c r="AK1298">
        <v>100000</v>
      </c>
      <c r="AL1298">
        <v>0.32769999999999999</v>
      </c>
      <c r="AM1298">
        <v>0.30769999999999997</v>
      </c>
      <c r="AN1298" t="s">
        <v>12</v>
      </c>
      <c r="AO1298" t="s">
        <v>12</v>
      </c>
    </row>
    <row r="1299" spans="1:41" x14ac:dyDescent="0.35">
      <c r="A1299">
        <v>11466558</v>
      </c>
      <c r="B1299">
        <v>202507</v>
      </c>
      <c r="C1299">
        <v>20448114482</v>
      </c>
      <c r="D1299" t="s">
        <v>1555</v>
      </c>
      <c r="E1299" t="s">
        <v>1</v>
      </c>
      <c r="F1299">
        <v>10251164</v>
      </c>
      <c r="G1299" t="s">
        <v>65</v>
      </c>
      <c r="H1299" t="s">
        <v>732</v>
      </c>
      <c r="I1299">
        <v>59129.6171875</v>
      </c>
      <c r="J1299" s="1">
        <v>45401</v>
      </c>
      <c r="K1299">
        <v>14.7</v>
      </c>
      <c r="L1299" t="s">
        <v>37</v>
      </c>
      <c r="M1299" t="s">
        <v>37</v>
      </c>
      <c r="N1299" t="s">
        <v>47</v>
      </c>
      <c r="O1299">
        <v>202404</v>
      </c>
      <c r="P1299">
        <v>90004.5</v>
      </c>
      <c r="Q1299" t="s">
        <v>732</v>
      </c>
      <c r="R1299" t="s">
        <v>814</v>
      </c>
      <c r="S1299" t="s">
        <v>39</v>
      </c>
      <c r="T1299" t="s">
        <v>40</v>
      </c>
      <c r="U1299" t="s">
        <v>41</v>
      </c>
      <c r="V1299">
        <v>1</v>
      </c>
      <c r="W1299" t="s">
        <v>10</v>
      </c>
      <c r="X1299" t="s">
        <v>12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 t="s">
        <v>12</v>
      </c>
      <c r="AG1299" t="s">
        <v>12</v>
      </c>
      <c r="AH1299" t="s">
        <v>12</v>
      </c>
      <c r="AI1299" t="s">
        <v>12</v>
      </c>
      <c r="AJ1299" t="s">
        <v>12</v>
      </c>
      <c r="AK1299">
        <v>250000</v>
      </c>
      <c r="AL1299">
        <v>0.23</v>
      </c>
      <c r="AM1299">
        <v>0.21</v>
      </c>
      <c r="AN1299" t="s">
        <v>12</v>
      </c>
      <c r="AO1299" t="s">
        <v>12</v>
      </c>
    </row>
    <row r="1300" spans="1:41" x14ac:dyDescent="0.35">
      <c r="A1300">
        <v>17249228</v>
      </c>
      <c r="B1300">
        <v>202512</v>
      </c>
      <c r="C1300">
        <v>10483177700</v>
      </c>
      <c r="D1300" t="s">
        <v>1556</v>
      </c>
      <c r="E1300">
        <v>48317770</v>
      </c>
      <c r="F1300">
        <v>10265762</v>
      </c>
      <c r="G1300" t="s">
        <v>100</v>
      </c>
      <c r="H1300" t="s">
        <v>644</v>
      </c>
      <c r="I1300">
        <v>39471.46484375</v>
      </c>
      <c r="J1300" s="1">
        <v>45715</v>
      </c>
      <c r="K1300">
        <v>17</v>
      </c>
      <c r="L1300" t="s">
        <v>37</v>
      </c>
      <c r="M1300" t="s">
        <v>37</v>
      </c>
      <c r="N1300" t="s">
        <v>102</v>
      </c>
      <c r="O1300">
        <v>202502</v>
      </c>
      <c r="P1300">
        <v>74003.7</v>
      </c>
      <c r="Q1300" t="s">
        <v>644</v>
      </c>
      <c r="R1300" t="s">
        <v>775</v>
      </c>
      <c r="S1300" t="s">
        <v>111</v>
      </c>
      <c r="T1300" t="s">
        <v>112</v>
      </c>
      <c r="U1300" t="s">
        <v>41</v>
      </c>
      <c r="V1300">
        <v>2</v>
      </c>
      <c r="W1300" t="s">
        <v>90</v>
      </c>
      <c r="X1300" t="s">
        <v>59</v>
      </c>
      <c r="Y1300">
        <v>1</v>
      </c>
      <c r="Z1300">
        <v>1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 t="s">
        <v>12</v>
      </c>
      <c r="AG1300" t="s">
        <v>12</v>
      </c>
      <c r="AH1300" t="s">
        <v>12</v>
      </c>
      <c r="AI1300" t="s">
        <v>12</v>
      </c>
      <c r="AJ1300" t="s">
        <v>12</v>
      </c>
      <c r="AK1300">
        <v>200000</v>
      </c>
      <c r="AL1300">
        <v>0.21920000000000001</v>
      </c>
      <c r="AM1300">
        <v>0.19919999999999999</v>
      </c>
      <c r="AN1300" t="s">
        <v>12</v>
      </c>
      <c r="AO1300" t="s">
        <v>12</v>
      </c>
    </row>
    <row r="1301" spans="1:41" x14ac:dyDescent="0.35">
      <c r="A1301">
        <v>18038730</v>
      </c>
      <c r="B1301">
        <v>202512</v>
      </c>
      <c r="C1301">
        <v>20537832364</v>
      </c>
      <c r="D1301" t="s">
        <v>1557</v>
      </c>
      <c r="E1301" t="s">
        <v>1</v>
      </c>
      <c r="F1301">
        <v>10268395</v>
      </c>
      <c r="G1301" t="s">
        <v>14</v>
      </c>
      <c r="H1301" t="s">
        <v>85</v>
      </c>
      <c r="I1301">
        <v>27772.595703125</v>
      </c>
      <c r="J1301" s="1">
        <v>45807</v>
      </c>
      <c r="K1301">
        <v>18</v>
      </c>
      <c r="L1301" t="s">
        <v>37</v>
      </c>
      <c r="M1301" t="s">
        <v>37</v>
      </c>
      <c r="N1301" t="s">
        <v>98</v>
      </c>
      <c r="O1301">
        <v>202505</v>
      </c>
      <c r="P1301">
        <v>80004</v>
      </c>
      <c r="Q1301" t="s">
        <v>85</v>
      </c>
      <c r="R1301" t="s">
        <v>87</v>
      </c>
      <c r="S1301" t="s">
        <v>88</v>
      </c>
      <c r="T1301" t="s">
        <v>89</v>
      </c>
      <c r="U1301" t="s">
        <v>41</v>
      </c>
      <c r="V1301">
        <v>2</v>
      </c>
      <c r="W1301" t="s">
        <v>10</v>
      </c>
      <c r="X1301" t="s">
        <v>11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0</v>
      </c>
      <c r="AF1301" t="s">
        <v>12</v>
      </c>
      <c r="AG1301" t="s">
        <v>12</v>
      </c>
      <c r="AH1301" t="s">
        <v>12</v>
      </c>
      <c r="AI1301" t="s">
        <v>12</v>
      </c>
      <c r="AJ1301" t="s">
        <v>12</v>
      </c>
      <c r="AK1301">
        <v>400000</v>
      </c>
      <c r="AL1301">
        <v>0.21</v>
      </c>
      <c r="AM1301">
        <v>0.19</v>
      </c>
      <c r="AN1301" t="s">
        <v>12</v>
      </c>
      <c r="AO1301" t="s">
        <v>12</v>
      </c>
    </row>
    <row r="1302" spans="1:41" x14ac:dyDescent="0.35">
      <c r="A1302">
        <v>21459375</v>
      </c>
      <c r="B1302">
        <v>202507</v>
      </c>
      <c r="C1302">
        <v>20600596501</v>
      </c>
      <c r="D1302" t="s">
        <v>1558</v>
      </c>
      <c r="E1302" t="s">
        <v>1</v>
      </c>
      <c r="F1302">
        <v>10265075</v>
      </c>
      <c r="G1302" t="s">
        <v>14</v>
      </c>
      <c r="H1302" t="s">
        <v>124</v>
      </c>
      <c r="I1302">
        <v>82209.1640625</v>
      </c>
      <c r="J1302" s="1">
        <v>45688</v>
      </c>
      <c r="K1302">
        <v>18</v>
      </c>
      <c r="L1302" t="s">
        <v>37</v>
      </c>
      <c r="M1302" t="s">
        <v>37</v>
      </c>
      <c r="N1302" t="s">
        <v>98</v>
      </c>
      <c r="O1302">
        <v>202501</v>
      </c>
      <c r="P1302">
        <v>100005</v>
      </c>
      <c r="Q1302" t="s">
        <v>124</v>
      </c>
      <c r="R1302" t="s">
        <v>125</v>
      </c>
      <c r="S1302" t="s">
        <v>88</v>
      </c>
      <c r="T1302" t="s">
        <v>89</v>
      </c>
      <c r="U1302" t="s">
        <v>20</v>
      </c>
      <c r="V1302">
        <v>2</v>
      </c>
      <c r="W1302" t="s">
        <v>10</v>
      </c>
      <c r="X1302" t="s">
        <v>12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 t="s">
        <v>12</v>
      </c>
      <c r="AG1302" t="s">
        <v>12</v>
      </c>
      <c r="AH1302" t="s">
        <v>12</v>
      </c>
      <c r="AI1302" t="s">
        <v>12</v>
      </c>
      <c r="AJ1302" t="s">
        <v>12</v>
      </c>
      <c r="AK1302">
        <v>1</v>
      </c>
      <c r="AL1302">
        <v>0.2198</v>
      </c>
      <c r="AM1302" t="s">
        <v>12</v>
      </c>
      <c r="AN1302" t="s">
        <v>12</v>
      </c>
      <c r="AO1302" t="s">
        <v>12</v>
      </c>
    </row>
    <row r="1303" spans="1:41" x14ac:dyDescent="0.35">
      <c r="A1303">
        <v>21739459</v>
      </c>
      <c r="B1303">
        <v>202510</v>
      </c>
      <c r="C1303">
        <v>20434887837</v>
      </c>
      <c r="D1303" t="s">
        <v>1559</v>
      </c>
      <c r="E1303" t="s">
        <v>1</v>
      </c>
      <c r="F1303">
        <v>10269545</v>
      </c>
      <c r="G1303" t="s">
        <v>24</v>
      </c>
      <c r="H1303" t="s">
        <v>109</v>
      </c>
      <c r="I1303">
        <v>256056.96875</v>
      </c>
      <c r="J1303" s="1">
        <v>45849</v>
      </c>
      <c r="K1303">
        <v>22</v>
      </c>
      <c r="L1303" t="s">
        <v>37</v>
      </c>
      <c r="M1303" t="s">
        <v>37</v>
      </c>
      <c r="N1303" t="s">
        <v>98</v>
      </c>
      <c r="O1303">
        <v>202507</v>
      </c>
      <c r="P1303">
        <v>300015</v>
      </c>
      <c r="Q1303" t="s">
        <v>109</v>
      </c>
      <c r="R1303" t="s">
        <v>110</v>
      </c>
      <c r="S1303" t="s">
        <v>111</v>
      </c>
      <c r="T1303" t="s">
        <v>112</v>
      </c>
      <c r="U1303" t="s">
        <v>9</v>
      </c>
      <c r="V1303">
        <v>2</v>
      </c>
      <c r="W1303" t="s">
        <v>10</v>
      </c>
      <c r="X1303" t="s">
        <v>12</v>
      </c>
      <c r="Y1303">
        <v>1</v>
      </c>
      <c r="Z1303">
        <v>1</v>
      </c>
      <c r="AA1303">
        <v>0</v>
      </c>
      <c r="AB1303">
        <v>1</v>
      </c>
      <c r="AC1303">
        <v>1</v>
      </c>
      <c r="AD1303">
        <v>1</v>
      </c>
      <c r="AE1303">
        <v>0</v>
      </c>
      <c r="AF1303" t="s">
        <v>12</v>
      </c>
      <c r="AG1303" t="s">
        <v>12</v>
      </c>
      <c r="AH1303" t="s">
        <v>12</v>
      </c>
      <c r="AI1303" t="s">
        <v>12</v>
      </c>
      <c r="AJ1303" t="s">
        <v>12</v>
      </c>
      <c r="AK1303">
        <v>0</v>
      </c>
      <c r="AL1303">
        <v>0</v>
      </c>
      <c r="AM1303">
        <v>0</v>
      </c>
      <c r="AN1303" t="s">
        <v>12</v>
      </c>
      <c r="AO1303" t="s">
        <v>12</v>
      </c>
    </row>
    <row r="1304" spans="1:41" x14ac:dyDescent="0.35">
      <c r="A1304">
        <v>20175440</v>
      </c>
      <c r="B1304">
        <v>202602</v>
      </c>
      <c r="C1304">
        <v>20611469374</v>
      </c>
      <c r="D1304" t="s">
        <v>1560</v>
      </c>
      <c r="E1304" t="s">
        <v>1</v>
      </c>
      <c r="F1304">
        <v>10272612</v>
      </c>
      <c r="G1304" t="s">
        <v>268</v>
      </c>
      <c r="H1304" t="s">
        <v>105</v>
      </c>
      <c r="I1304">
        <v>79155.328125</v>
      </c>
      <c r="J1304" s="1">
        <v>45958</v>
      </c>
      <c r="K1304">
        <v>19</v>
      </c>
      <c r="L1304" t="s">
        <v>37</v>
      </c>
      <c r="M1304" t="s">
        <v>37</v>
      </c>
      <c r="N1304" t="s">
        <v>98</v>
      </c>
      <c r="O1304">
        <v>202510</v>
      </c>
      <c r="P1304">
        <v>96004.800000000003</v>
      </c>
      <c r="Q1304" t="s">
        <v>105</v>
      </c>
      <c r="R1304" t="s">
        <v>106</v>
      </c>
      <c r="S1304" t="s">
        <v>88</v>
      </c>
      <c r="T1304" t="s">
        <v>89</v>
      </c>
      <c r="U1304" t="s">
        <v>20</v>
      </c>
      <c r="V1304">
        <v>2</v>
      </c>
      <c r="W1304" t="s">
        <v>10</v>
      </c>
      <c r="X1304" t="s">
        <v>51</v>
      </c>
      <c r="Y1304">
        <v>1</v>
      </c>
      <c r="Z1304">
        <v>1</v>
      </c>
      <c r="AA1304">
        <v>0</v>
      </c>
      <c r="AB1304">
        <v>0</v>
      </c>
      <c r="AC1304">
        <v>1</v>
      </c>
      <c r="AD1304">
        <v>1</v>
      </c>
      <c r="AE1304">
        <v>0</v>
      </c>
      <c r="AF1304" t="s">
        <v>12</v>
      </c>
      <c r="AG1304" t="s">
        <v>12</v>
      </c>
      <c r="AH1304" t="s">
        <v>12</v>
      </c>
      <c r="AI1304" t="s">
        <v>12</v>
      </c>
      <c r="AJ1304" t="s">
        <v>12</v>
      </c>
      <c r="AK1304">
        <v>1</v>
      </c>
      <c r="AL1304">
        <v>1</v>
      </c>
      <c r="AM1304" t="s">
        <v>12</v>
      </c>
      <c r="AN1304" t="s">
        <v>12</v>
      </c>
      <c r="AO1304" t="s">
        <v>12</v>
      </c>
    </row>
    <row r="1305" spans="1:41" x14ac:dyDescent="0.35">
      <c r="A1305">
        <v>21763312</v>
      </c>
      <c r="B1305">
        <v>202602</v>
      </c>
      <c r="C1305">
        <v>20602806023</v>
      </c>
      <c r="D1305" t="s">
        <v>390</v>
      </c>
      <c r="E1305" t="s">
        <v>1</v>
      </c>
      <c r="F1305">
        <v>10270078</v>
      </c>
      <c r="G1305" t="s">
        <v>24</v>
      </c>
      <c r="H1305" t="s">
        <v>145</v>
      </c>
      <c r="I1305">
        <v>195962.265625</v>
      </c>
      <c r="J1305" s="1">
        <v>45869</v>
      </c>
      <c r="K1305">
        <v>19</v>
      </c>
      <c r="L1305" t="s">
        <v>4</v>
      </c>
      <c r="M1305" t="s">
        <v>75</v>
      </c>
      <c r="N1305" t="s">
        <v>26</v>
      </c>
      <c r="O1305">
        <v>202507</v>
      </c>
      <c r="P1305">
        <v>250012.5</v>
      </c>
      <c r="Q1305" t="s">
        <v>145</v>
      </c>
      <c r="R1305" t="s">
        <v>146</v>
      </c>
      <c r="S1305" t="s">
        <v>127</v>
      </c>
      <c r="T1305" t="s">
        <v>147</v>
      </c>
      <c r="U1305" t="s">
        <v>95</v>
      </c>
      <c r="V1305">
        <v>1</v>
      </c>
      <c r="W1305" t="s">
        <v>10</v>
      </c>
      <c r="X1305" t="s">
        <v>22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 t="s">
        <v>12</v>
      </c>
      <c r="AG1305" t="s">
        <v>12</v>
      </c>
      <c r="AH1305" t="s">
        <v>12</v>
      </c>
      <c r="AI1305" t="s">
        <v>12</v>
      </c>
      <c r="AJ1305" t="s">
        <v>12</v>
      </c>
      <c r="AK1305">
        <v>250000</v>
      </c>
      <c r="AL1305">
        <v>0.26090000000000002</v>
      </c>
      <c r="AM1305">
        <v>0.2409</v>
      </c>
      <c r="AN1305" t="s">
        <v>12</v>
      </c>
      <c r="AO1305" t="s">
        <v>12</v>
      </c>
    </row>
    <row r="1306" spans="1:41" x14ac:dyDescent="0.35">
      <c r="A1306">
        <v>13917604</v>
      </c>
      <c r="B1306">
        <v>202511</v>
      </c>
      <c r="C1306">
        <v>20511623660</v>
      </c>
      <c r="D1306" t="s">
        <v>1561</v>
      </c>
      <c r="E1306" t="s">
        <v>1</v>
      </c>
      <c r="F1306">
        <v>10270308</v>
      </c>
      <c r="G1306" t="s">
        <v>268</v>
      </c>
      <c r="H1306" t="s">
        <v>54</v>
      </c>
      <c r="I1306">
        <v>141475.953125</v>
      </c>
      <c r="J1306" s="1">
        <v>45881</v>
      </c>
      <c r="K1306">
        <v>19</v>
      </c>
      <c r="L1306" t="s">
        <v>4</v>
      </c>
      <c r="M1306" t="s">
        <v>4</v>
      </c>
      <c r="N1306" t="s">
        <v>26</v>
      </c>
      <c r="O1306">
        <v>202508</v>
      </c>
      <c r="P1306">
        <v>150007.5</v>
      </c>
      <c r="Q1306" t="s">
        <v>54</v>
      </c>
      <c r="R1306" t="s">
        <v>55</v>
      </c>
      <c r="S1306" t="s">
        <v>31</v>
      </c>
      <c r="T1306" t="s">
        <v>32</v>
      </c>
      <c r="U1306" t="s">
        <v>20</v>
      </c>
      <c r="V1306">
        <v>1</v>
      </c>
      <c r="W1306" t="s">
        <v>10</v>
      </c>
      <c r="X1306" t="s">
        <v>51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 t="s">
        <v>12</v>
      </c>
      <c r="AG1306" t="s">
        <v>12</v>
      </c>
      <c r="AH1306" t="s">
        <v>12</v>
      </c>
      <c r="AI1306" t="s">
        <v>12</v>
      </c>
      <c r="AJ1306" t="s">
        <v>12</v>
      </c>
      <c r="AK1306">
        <v>1</v>
      </c>
      <c r="AL1306">
        <v>1</v>
      </c>
      <c r="AM1306" t="s">
        <v>12</v>
      </c>
      <c r="AN1306" t="s">
        <v>12</v>
      </c>
      <c r="AO1306" t="s">
        <v>12</v>
      </c>
    </row>
    <row r="1307" spans="1:41" x14ac:dyDescent="0.35">
      <c r="A1307">
        <v>21791275</v>
      </c>
      <c r="B1307">
        <v>202601</v>
      </c>
      <c r="C1307">
        <v>20609708108</v>
      </c>
      <c r="D1307" t="s">
        <v>1562</v>
      </c>
      <c r="E1307" t="s">
        <v>1</v>
      </c>
      <c r="F1307">
        <v>10270369</v>
      </c>
      <c r="G1307" t="s">
        <v>100</v>
      </c>
      <c r="H1307" t="s">
        <v>732</v>
      </c>
      <c r="I1307">
        <v>210579.4375</v>
      </c>
      <c r="J1307" s="1">
        <v>45882</v>
      </c>
      <c r="K1307">
        <v>15</v>
      </c>
      <c r="L1307" t="s">
        <v>37</v>
      </c>
      <c r="M1307" t="s">
        <v>37</v>
      </c>
      <c r="N1307" t="s">
        <v>102</v>
      </c>
      <c r="O1307">
        <v>202508</v>
      </c>
      <c r="P1307">
        <v>272876.40000000002</v>
      </c>
      <c r="Q1307" t="s">
        <v>117</v>
      </c>
      <c r="R1307" t="s">
        <v>118</v>
      </c>
      <c r="S1307" t="s">
        <v>39</v>
      </c>
      <c r="T1307" t="s">
        <v>40</v>
      </c>
      <c r="U1307" t="s">
        <v>63</v>
      </c>
      <c r="V1307">
        <v>1</v>
      </c>
      <c r="W1307" t="s">
        <v>21</v>
      </c>
      <c r="X1307" t="s">
        <v>22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 t="s">
        <v>12</v>
      </c>
      <c r="AG1307" t="s">
        <v>12</v>
      </c>
      <c r="AH1307" t="s">
        <v>12</v>
      </c>
      <c r="AI1307" t="s">
        <v>12</v>
      </c>
      <c r="AJ1307" t="s">
        <v>12</v>
      </c>
      <c r="AK1307">
        <v>250000</v>
      </c>
      <c r="AL1307">
        <v>0.21</v>
      </c>
      <c r="AM1307">
        <v>0.19</v>
      </c>
      <c r="AN1307" t="s">
        <v>12</v>
      </c>
      <c r="AO1307" t="s">
        <v>12</v>
      </c>
    </row>
    <row r="1308" spans="1:41" x14ac:dyDescent="0.35">
      <c r="A1308">
        <v>16129551</v>
      </c>
      <c r="B1308">
        <v>202511</v>
      </c>
      <c r="C1308">
        <v>20510685645</v>
      </c>
      <c r="D1308" t="s">
        <v>1563</v>
      </c>
      <c r="E1308" t="s">
        <v>1</v>
      </c>
      <c r="F1308">
        <v>10269010</v>
      </c>
      <c r="G1308" t="s">
        <v>100</v>
      </c>
      <c r="H1308" t="s">
        <v>145</v>
      </c>
      <c r="I1308">
        <v>220795.265625</v>
      </c>
      <c r="J1308" s="1">
        <v>45833</v>
      </c>
      <c r="K1308">
        <v>18</v>
      </c>
      <c r="L1308" t="s">
        <v>37</v>
      </c>
      <c r="M1308" t="s">
        <v>37</v>
      </c>
      <c r="N1308" t="s">
        <v>102</v>
      </c>
      <c r="O1308">
        <v>202506</v>
      </c>
      <c r="P1308">
        <v>267013.34999999998</v>
      </c>
      <c r="Q1308" t="s">
        <v>220</v>
      </c>
      <c r="R1308" t="s">
        <v>221</v>
      </c>
      <c r="S1308" t="s">
        <v>127</v>
      </c>
      <c r="T1308" t="s">
        <v>147</v>
      </c>
      <c r="U1308" t="s">
        <v>9</v>
      </c>
      <c r="V1308">
        <v>1</v>
      </c>
      <c r="W1308" t="s">
        <v>10</v>
      </c>
      <c r="X1308" t="s">
        <v>22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 t="s">
        <v>12</v>
      </c>
      <c r="AG1308" t="s">
        <v>12</v>
      </c>
      <c r="AH1308" t="s">
        <v>12</v>
      </c>
      <c r="AI1308" t="s">
        <v>12</v>
      </c>
      <c r="AJ1308" t="s">
        <v>12</v>
      </c>
      <c r="AK1308">
        <v>0</v>
      </c>
      <c r="AL1308">
        <v>0</v>
      </c>
      <c r="AM1308">
        <v>0</v>
      </c>
      <c r="AN1308" t="s">
        <v>12</v>
      </c>
      <c r="AO1308" t="s">
        <v>12</v>
      </c>
    </row>
    <row r="1309" spans="1:41" x14ac:dyDescent="0.35">
      <c r="A1309">
        <v>17049996</v>
      </c>
      <c r="B1309">
        <v>202508</v>
      </c>
      <c r="C1309">
        <v>20465986957</v>
      </c>
      <c r="D1309" t="s">
        <v>1564</v>
      </c>
      <c r="E1309" t="s">
        <v>1</v>
      </c>
      <c r="F1309">
        <v>10268535</v>
      </c>
      <c r="G1309" t="s">
        <v>24</v>
      </c>
      <c r="H1309" t="s">
        <v>124</v>
      </c>
      <c r="I1309">
        <v>89866.59375</v>
      </c>
      <c r="J1309" s="1">
        <v>45818</v>
      </c>
      <c r="K1309">
        <v>18</v>
      </c>
      <c r="L1309" t="s">
        <v>37</v>
      </c>
      <c r="M1309" t="s">
        <v>37</v>
      </c>
      <c r="N1309" t="s">
        <v>98</v>
      </c>
      <c r="O1309">
        <v>202506</v>
      </c>
      <c r="P1309">
        <v>96254.8</v>
      </c>
      <c r="Q1309" t="s">
        <v>124</v>
      </c>
      <c r="R1309" t="s">
        <v>125</v>
      </c>
      <c r="S1309" t="s">
        <v>88</v>
      </c>
      <c r="T1309" t="s">
        <v>89</v>
      </c>
      <c r="U1309" t="s">
        <v>20</v>
      </c>
      <c r="V1309">
        <v>2</v>
      </c>
      <c r="W1309" t="s">
        <v>10</v>
      </c>
      <c r="X1309" t="s">
        <v>12</v>
      </c>
      <c r="Y1309">
        <v>1</v>
      </c>
      <c r="Z1309">
        <v>1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 t="s">
        <v>12</v>
      </c>
      <c r="AG1309" t="s">
        <v>12</v>
      </c>
      <c r="AH1309" t="s">
        <v>12</v>
      </c>
      <c r="AI1309" t="s">
        <v>12</v>
      </c>
      <c r="AJ1309" t="s">
        <v>12</v>
      </c>
      <c r="AK1309">
        <v>1</v>
      </c>
      <c r="AL1309">
        <v>0.1613</v>
      </c>
      <c r="AM1309" t="s">
        <v>12</v>
      </c>
      <c r="AN1309" t="s">
        <v>12</v>
      </c>
      <c r="AO1309" t="s">
        <v>12</v>
      </c>
    </row>
    <row r="1310" spans="1:41" x14ac:dyDescent="0.35">
      <c r="A1310">
        <v>21503601</v>
      </c>
      <c r="B1310">
        <v>202506</v>
      </c>
      <c r="C1310">
        <v>20606900482</v>
      </c>
      <c r="D1310" t="s">
        <v>1565</v>
      </c>
      <c r="E1310" t="s">
        <v>1</v>
      </c>
      <c r="F1310">
        <v>10265942</v>
      </c>
      <c r="G1310" t="s">
        <v>100</v>
      </c>
      <c r="H1310" t="s">
        <v>159</v>
      </c>
      <c r="I1310">
        <v>143180.28125</v>
      </c>
      <c r="J1310" s="1">
        <v>45719</v>
      </c>
      <c r="K1310">
        <v>12</v>
      </c>
      <c r="L1310" t="s">
        <v>37</v>
      </c>
      <c r="M1310" t="s">
        <v>37</v>
      </c>
      <c r="N1310" t="s">
        <v>102</v>
      </c>
      <c r="O1310">
        <v>202503</v>
      </c>
      <c r="P1310">
        <v>336016.8</v>
      </c>
      <c r="Q1310" t="s">
        <v>12</v>
      </c>
      <c r="R1310" t="s">
        <v>12</v>
      </c>
      <c r="S1310" t="s">
        <v>12</v>
      </c>
      <c r="T1310" t="s">
        <v>12</v>
      </c>
      <c r="U1310" t="s">
        <v>12</v>
      </c>
      <c r="V1310" t="s">
        <v>12</v>
      </c>
      <c r="W1310" t="s">
        <v>12</v>
      </c>
      <c r="X1310" t="s">
        <v>12</v>
      </c>
      <c r="Y1310" t="s">
        <v>12</v>
      </c>
      <c r="Z1310" t="s">
        <v>12</v>
      </c>
      <c r="AA1310" t="s">
        <v>12</v>
      </c>
      <c r="AB1310" t="s">
        <v>12</v>
      </c>
      <c r="AC1310" t="s">
        <v>12</v>
      </c>
      <c r="AD1310" t="s">
        <v>12</v>
      </c>
      <c r="AE1310" t="s">
        <v>12</v>
      </c>
      <c r="AF1310" t="s">
        <v>12</v>
      </c>
      <c r="AG1310" t="s">
        <v>12</v>
      </c>
      <c r="AH1310" t="s">
        <v>12</v>
      </c>
      <c r="AI1310" t="s">
        <v>12</v>
      </c>
      <c r="AJ1310" t="s">
        <v>12</v>
      </c>
      <c r="AK1310" t="s">
        <v>12</v>
      </c>
      <c r="AL1310" t="s">
        <v>12</v>
      </c>
      <c r="AM1310" t="s">
        <v>12</v>
      </c>
      <c r="AN1310" t="s">
        <v>12</v>
      </c>
      <c r="AO1310" t="s">
        <v>12</v>
      </c>
    </row>
    <row r="1311" spans="1:41" x14ac:dyDescent="0.35">
      <c r="A1311">
        <v>18329514</v>
      </c>
      <c r="B1311">
        <v>202507</v>
      </c>
      <c r="C1311">
        <v>20523262816</v>
      </c>
      <c r="D1311" t="s">
        <v>999</v>
      </c>
      <c r="E1311" t="s">
        <v>1</v>
      </c>
      <c r="F1311">
        <v>10249535</v>
      </c>
      <c r="G1311" t="s">
        <v>45</v>
      </c>
      <c r="H1311" t="s">
        <v>79</v>
      </c>
      <c r="I1311">
        <v>55454.7578125</v>
      </c>
      <c r="J1311" s="1">
        <v>45369</v>
      </c>
      <c r="K1311">
        <v>14.5</v>
      </c>
      <c r="L1311" t="s">
        <v>4</v>
      </c>
      <c r="M1311" t="s">
        <v>4</v>
      </c>
      <c r="N1311" t="s">
        <v>47</v>
      </c>
      <c r="O1311">
        <v>202403</v>
      </c>
      <c r="P1311">
        <v>90004.5</v>
      </c>
      <c r="Q1311" t="s">
        <v>79</v>
      </c>
      <c r="R1311" t="s">
        <v>80</v>
      </c>
      <c r="S1311" t="s">
        <v>31</v>
      </c>
      <c r="T1311" t="s">
        <v>32</v>
      </c>
      <c r="U1311" t="s">
        <v>41</v>
      </c>
      <c r="V1311">
        <v>1</v>
      </c>
      <c r="W1311" t="s">
        <v>10</v>
      </c>
      <c r="X1311" t="s">
        <v>12</v>
      </c>
      <c r="Y1311">
        <v>1</v>
      </c>
      <c r="Z1311">
        <v>1</v>
      </c>
      <c r="AA1311">
        <v>0</v>
      </c>
      <c r="AB1311">
        <v>0</v>
      </c>
      <c r="AC1311">
        <v>1</v>
      </c>
      <c r="AD1311">
        <v>1</v>
      </c>
      <c r="AE1311">
        <v>0</v>
      </c>
      <c r="AF1311" t="s">
        <v>12</v>
      </c>
      <c r="AG1311" t="s">
        <v>12</v>
      </c>
      <c r="AH1311" t="s">
        <v>12</v>
      </c>
      <c r="AI1311" t="s">
        <v>12</v>
      </c>
      <c r="AJ1311" t="s">
        <v>12</v>
      </c>
      <c r="AK1311">
        <v>250000</v>
      </c>
      <c r="AL1311">
        <v>0.24</v>
      </c>
      <c r="AM1311">
        <v>0.22</v>
      </c>
      <c r="AN1311" t="s">
        <v>12</v>
      </c>
      <c r="AO1311" t="s">
        <v>12</v>
      </c>
    </row>
    <row r="1312" spans="1:41" x14ac:dyDescent="0.35">
      <c r="A1312">
        <v>13923327</v>
      </c>
      <c r="B1312">
        <v>202506</v>
      </c>
      <c r="C1312">
        <v>20519100950</v>
      </c>
      <c r="D1312" t="s">
        <v>1566</v>
      </c>
      <c r="E1312" t="s">
        <v>1</v>
      </c>
      <c r="F1312">
        <v>10240400</v>
      </c>
      <c r="G1312" t="s">
        <v>92</v>
      </c>
      <c r="H1312" t="s">
        <v>145</v>
      </c>
      <c r="I1312">
        <v>12050.0966796875</v>
      </c>
      <c r="J1312" s="1">
        <v>45099</v>
      </c>
      <c r="K1312">
        <v>20.100000000000001</v>
      </c>
      <c r="L1312" t="s">
        <v>4</v>
      </c>
      <c r="M1312" t="s">
        <v>4</v>
      </c>
      <c r="N1312" t="s">
        <v>41</v>
      </c>
      <c r="O1312">
        <v>202306</v>
      </c>
      <c r="P1312">
        <v>240012</v>
      </c>
      <c r="Q1312" t="s">
        <v>145</v>
      </c>
      <c r="R1312" t="s">
        <v>146</v>
      </c>
      <c r="S1312" t="s">
        <v>127</v>
      </c>
      <c r="T1312" t="s">
        <v>147</v>
      </c>
      <c r="U1312" t="s">
        <v>41</v>
      </c>
      <c r="V1312">
        <v>1</v>
      </c>
      <c r="W1312" t="s">
        <v>10</v>
      </c>
      <c r="X1312" t="s">
        <v>12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 t="s">
        <v>12</v>
      </c>
      <c r="AG1312" t="s">
        <v>12</v>
      </c>
      <c r="AH1312" t="s">
        <v>12</v>
      </c>
      <c r="AI1312" t="s">
        <v>12</v>
      </c>
      <c r="AJ1312" t="s">
        <v>12</v>
      </c>
      <c r="AK1312">
        <v>250000</v>
      </c>
      <c r="AL1312">
        <v>0.22</v>
      </c>
      <c r="AM1312">
        <v>0.20330000000000001</v>
      </c>
      <c r="AN1312" t="s">
        <v>12</v>
      </c>
      <c r="AO1312" t="s">
        <v>12</v>
      </c>
    </row>
    <row r="1313" spans="1:41" x14ac:dyDescent="0.35">
      <c r="A1313">
        <v>18931382</v>
      </c>
      <c r="B1313">
        <v>202602</v>
      </c>
      <c r="C1313">
        <v>20602957749</v>
      </c>
      <c r="D1313" t="s">
        <v>1567</v>
      </c>
      <c r="E1313" t="s">
        <v>1</v>
      </c>
      <c r="F1313">
        <v>10268452</v>
      </c>
      <c r="G1313" t="s">
        <v>100</v>
      </c>
      <c r="H1313" t="s">
        <v>82</v>
      </c>
      <c r="I1313">
        <v>11795.8779296875</v>
      </c>
      <c r="J1313" s="1">
        <v>45813</v>
      </c>
      <c r="K1313">
        <v>15.5</v>
      </c>
      <c r="L1313" t="s">
        <v>37</v>
      </c>
      <c r="M1313" t="s">
        <v>37</v>
      </c>
      <c r="N1313" t="s">
        <v>102</v>
      </c>
      <c r="O1313">
        <v>202506</v>
      </c>
      <c r="P1313">
        <v>140307</v>
      </c>
      <c r="Q1313" t="s">
        <v>82</v>
      </c>
      <c r="R1313" t="s">
        <v>83</v>
      </c>
      <c r="S1313" t="s">
        <v>49</v>
      </c>
      <c r="T1313" t="s">
        <v>50</v>
      </c>
      <c r="U1313" t="s">
        <v>20</v>
      </c>
      <c r="V1313">
        <v>1</v>
      </c>
      <c r="W1313" t="s">
        <v>10</v>
      </c>
      <c r="X1313" t="s">
        <v>22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 t="s">
        <v>12</v>
      </c>
      <c r="AG1313" t="s">
        <v>12</v>
      </c>
      <c r="AH1313" t="s">
        <v>12</v>
      </c>
      <c r="AI1313" t="s">
        <v>12</v>
      </c>
      <c r="AJ1313" t="s">
        <v>12</v>
      </c>
      <c r="AK1313">
        <v>1</v>
      </c>
      <c r="AL1313">
        <v>1</v>
      </c>
      <c r="AM1313" t="s">
        <v>12</v>
      </c>
      <c r="AN1313" t="s">
        <v>12</v>
      </c>
      <c r="AO1313" t="s">
        <v>12</v>
      </c>
    </row>
    <row r="1314" spans="1:41" x14ac:dyDescent="0.35">
      <c r="A1314">
        <v>18931382</v>
      </c>
      <c r="B1314">
        <v>202506</v>
      </c>
      <c r="C1314">
        <v>20602957749</v>
      </c>
      <c r="D1314" t="s">
        <v>1567</v>
      </c>
      <c r="E1314" t="s">
        <v>1</v>
      </c>
      <c r="F1314">
        <v>10268452</v>
      </c>
      <c r="G1314" t="s">
        <v>100</v>
      </c>
      <c r="H1314" t="s">
        <v>183</v>
      </c>
      <c r="I1314">
        <v>125321.28125</v>
      </c>
      <c r="J1314" s="1">
        <v>45813</v>
      </c>
      <c r="K1314">
        <v>15.5</v>
      </c>
      <c r="L1314" t="s">
        <v>37</v>
      </c>
      <c r="M1314" t="s">
        <v>37</v>
      </c>
      <c r="N1314" t="s">
        <v>102</v>
      </c>
      <c r="O1314">
        <v>202506</v>
      </c>
      <c r="P1314">
        <v>140307</v>
      </c>
      <c r="Q1314" t="s">
        <v>1568</v>
      </c>
      <c r="R1314" t="s">
        <v>1569</v>
      </c>
      <c r="S1314" t="s">
        <v>585</v>
      </c>
      <c r="T1314" t="s">
        <v>586</v>
      </c>
      <c r="U1314" t="s">
        <v>102</v>
      </c>
      <c r="V1314">
        <v>3</v>
      </c>
      <c r="W1314" t="s">
        <v>10</v>
      </c>
      <c r="X1314" t="s">
        <v>12</v>
      </c>
      <c r="Y1314">
        <v>1</v>
      </c>
      <c r="Z1314">
        <v>1</v>
      </c>
      <c r="AA1314">
        <v>1</v>
      </c>
      <c r="AB1314">
        <v>1</v>
      </c>
      <c r="AC1314">
        <v>1</v>
      </c>
      <c r="AD1314" t="s">
        <v>12</v>
      </c>
      <c r="AE1314">
        <v>140307</v>
      </c>
      <c r="AF1314">
        <v>15.5</v>
      </c>
      <c r="AG1314" s="1">
        <v>45813</v>
      </c>
      <c r="AH1314" t="s">
        <v>102</v>
      </c>
      <c r="AI1314" t="s">
        <v>37</v>
      </c>
      <c r="AJ1314" t="s">
        <v>560</v>
      </c>
      <c r="AK1314">
        <v>146000</v>
      </c>
      <c r="AL1314">
        <v>0.19</v>
      </c>
      <c r="AM1314">
        <v>0.17</v>
      </c>
      <c r="AN1314" t="s">
        <v>197</v>
      </c>
      <c r="AO1314" t="s">
        <v>561</v>
      </c>
    </row>
    <row r="1315" spans="1:41" x14ac:dyDescent="0.35">
      <c r="A1315">
        <v>17595640</v>
      </c>
      <c r="B1315">
        <v>202601</v>
      </c>
      <c r="C1315">
        <v>20606569123</v>
      </c>
      <c r="D1315" t="s">
        <v>395</v>
      </c>
      <c r="E1315" t="s">
        <v>1</v>
      </c>
      <c r="F1315">
        <v>10267350</v>
      </c>
      <c r="G1315" t="s">
        <v>92</v>
      </c>
      <c r="H1315" t="s">
        <v>396</v>
      </c>
      <c r="I1315">
        <v>69399.40625</v>
      </c>
      <c r="J1315" s="1">
        <v>45772</v>
      </c>
      <c r="K1315">
        <v>17</v>
      </c>
      <c r="L1315" t="s">
        <v>4</v>
      </c>
      <c r="M1315" t="s">
        <v>4</v>
      </c>
      <c r="N1315" t="s">
        <v>41</v>
      </c>
      <c r="O1315">
        <v>202504</v>
      </c>
      <c r="P1315">
        <v>350017.5</v>
      </c>
      <c r="Q1315" t="s">
        <v>396</v>
      </c>
      <c r="R1315" t="s">
        <v>397</v>
      </c>
      <c r="S1315" t="s">
        <v>18</v>
      </c>
      <c r="T1315" t="s">
        <v>19</v>
      </c>
      <c r="U1315" t="s">
        <v>41</v>
      </c>
      <c r="V1315">
        <v>1</v>
      </c>
      <c r="W1315" t="s">
        <v>21</v>
      </c>
      <c r="X1315" t="s">
        <v>11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256612.8</v>
      </c>
      <c r="AF1315">
        <v>16</v>
      </c>
      <c r="AG1315" s="1">
        <v>46035</v>
      </c>
      <c r="AH1315" t="s">
        <v>41</v>
      </c>
      <c r="AI1315" t="s">
        <v>4</v>
      </c>
      <c r="AJ1315" t="s">
        <v>33</v>
      </c>
      <c r="AK1315">
        <v>256600</v>
      </c>
      <c r="AL1315">
        <v>0.21</v>
      </c>
      <c r="AM1315">
        <v>0.19</v>
      </c>
      <c r="AN1315" t="s">
        <v>12</v>
      </c>
      <c r="AO1315" t="s">
        <v>12</v>
      </c>
    </row>
    <row r="1316" spans="1:41" x14ac:dyDescent="0.35">
      <c r="A1316">
        <v>15754158</v>
      </c>
      <c r="B1316">
        <v>202507</v>
      </c>
      <c r="C1316">
        <v>20539982835</v>
      </c>
      <c r="D1316" t="s">
        <v>573</v>
      </c>
      <c r="E1316" t="s">
        <v>1</v>
      </c>
      <c r="F1316">
        <v>10267784</v>
      </c>
      <c r="G1316" t="s">
        <v>73</v>
      </c>
      <c r="H1316" t="s">
        <v>129</v>
      </c>
      <c r="I1316">
        <v>139393.46875</v>
      </c>
      <c r="J1316" s="1">
        <v>45791</v>
      </c>
      <c r="K1316">
        <v>18.5</v>
      </c>
      <c r="L1316" t="s">
        <v>4</v>
      </c>
      <c r="M1316" t="s">
        <v>4</v>
      </c>
      <c r="N1316" t="s">
        <v>20</v>
      </c>
      <c r="O1316">
        <v>202505</v>
      </c>
      <c r="P1316">
        <v>150007.5</v>
      </c>
      <c r="Q1316" t="s">
        <v>257</v>
      </c>
      <c r="R1316" t="s">
        <v>258</v>
      </c>
      <c r="S1316" t="s">
        <v>49</v>
      </c>
      <c r="T1316" t="s">
        <v>50</v>
      </c>
      <c r="U1316" t="s">
        <v>20</v>
      </c>
      <c r="V1316">
        <v>1</v>
      </c>
      <c r="W1316" t="s">
        <v>10</v>
      </c>
      <c r="X1316" t="s">
        <v>12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 t="s">
        <v>12</v>
      </c>
      <c r="AG1316" t="s">
        <v>12</v>
      </c>
      <c r="AH1316" t="s">
        <v>12</v>
      </c>
      <c r="AI1316" t="s">
        <v>12</v>
      </c>
      <c r="AJ1316" t="s">
        <v>12</v>
      </c>
      <c r="AK1316">
        <v>1</v>
      </c>
      <c r="AL1316">
        <v>0.18579999999999999</v>
      </c>
      <c r="AM1316" t="s">
        <v>12</v>
      </c>
      <c r="AN1316" t="s">
        <v>12</v>
      </c>
      <c r="AO1316" t="s">
        <v>12</v>
      </c>
    </row>
    <row r="1317" spans="1:41" x14ac:dyDescent="0.35">
      <c r="A1317">
        <v>13324113</v>
      </c>
      <c r="B1317">
        <v>202507</v>
      </c>
      <c r="C1317">
        <v>10427464933</v>
      </c>
      <c r="D1317" t="s">
        <v>1570</v>
      </c>
      <c r="E1317">
        <v>42746493</v>
      </c>
      <c r="F1317">
        <v>10266359</v>
      </c>
      <c r="G1317" t="s">
        <v>100</v>
      </c>
      <c r="H1317" t="s">
        <v>124</v>
      </c>
      <c r="I1317">
        <v>131748.609375</v>
      </c>
      <c r="J1317" s="1">
        <v>45736</v>
      </c>
      <c r="K1317">
        <v>15</v>
      </c>
      <c r="L1317" t="s">
        <v>37</v>
      </c>
      <c r="M1317" t="s">
        <v>37</v>
      </c>
      <c r="N1317" t="s">
        <v>102</v>
      </c>
      <c r="O1317">
        <v>202503</v>
      </c>
      <c r="P1317">
        <v>144907.20000000001</v>
      </c>
      <c r="Q1317" t="s">
        <v>124</v>
      </c>
      <c r="R1317" t="s">
        <v>125</v>
      </c>
      <c r="S1317" t="s">
        <v>88</v>
      </c>
      <c r="T1317" t="s">
        <v>89</v>
      </c>
      <c r="U1317" t="s">
        <v>20</v>
      </c>
      <c r="V1317">
        <v>2</v>
      </c>
      <c r="W1317" t="s">
        <v>90</v>
      </c>
      <c r="X1317" t="s">
        <v>12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 t="s">
        <v>12</v>
      </c>
      <c r="AG1317" t="s">
        <v>12</v>
      </c>
      <c r="AH1317" t="s">
        <v>12</v>
      </c>
      <c r="AI1317" t="s">
        <v>12</v>
      </c>
      <c r="AJ1317" t="s">
        <v>12</v>
      </c>
      <c r="AK1317">
        <v>1</v>
      </c>
      <c r="AL1317">
        <v>0.1978</v>
      </c>
      <c r="AM1317" t="s">
        <v>12</v>
      </c>
      <c r="AN1317" t="s">
        <v>12</v>
      </c>
      <c r="AO1317" t="s">
        <v>12</v>
      </c>
    </row>
    <row r="1318" spans="1:41" x14ac:dyDescent="0.35">
      <c r="A1318">
        <v>13088470</v>
      </c>
      <c r="B1318">
        <v>202511</v>
      </c>
      <c r="C1318">
        <v>20448667571</v>
      </c>
      <c r="D1318" t="s">
        <v>1571</v>
      </c>
      <c r="E1318" t="s">
        <v>1</v>
      </c>
      <c r="F1318">
        <v>10260506</v>
      </c>
      <c r="G1318" t="s">
        <v>65</v>
      </c>
      <c r="H1318" t="s">
        <v>531</v>
      </c>
      <c r="I1318">
        <v>62740.30078125</v>
      </c>
      <c r="J1318" s="1">
        <v>45553</v>
      </c>
      <c r="K1318">
        <v>14.5</v>
      </c>
      <c r="L1318" t="s">
        <v>37</v>
      </c>
      <c r="M1318" t="s">
        <v>37</v>
      </c>
      <c r="N1318" t="s">
        <v>47</v>
      </c>
      <c r="O1318">
        <v>202409</v>
      </c>
      <c r="P1318">
        <v>90004.5</v>
      </c>
      <c r="Q1318" t="s">
        <v>531</v>
      </c>
      <c r="R1318" t="s">
        <v>532</v>
      </c>
      <c r="S1318" t="s">
        <v>39</v>
      </c>
      <c r="T1318" t="s">
        <v>40</v>
      </c>
      <c r="U1318" t="s">
        <v>41</v>
      </c>
      <c r="V1318">
        <v>1</v>
      </c>
      <c r="W1318" t="s">
        <v>10</v>
      </c>
      <c r="X1318" t="s">
        <v>51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 t="s">
        <v>12</v>
      </c>
      <c r="AG1318" t="s">
        <v>12</v>
      </c>
      <c r="AH1318" t="s">
        <v>12</v>
      </c>
      <c r="AI1318" t="s">
        <v>12</v>
      </c>
      <c r="AJ1318" t="s">
        <v>12</v>
      </c>
      <c r="AK1318">
        <v>250000</v>
      </c>
      <c r="AL1318">
        <v>0.21</v>
      </c>
      <c r="AM1318">
        <v>0.19</v>
      </c>
      <c r="AN1318" t="s">
        <v>12</v>
      </c>
      <c r="AO1318" t="s">
        <v>12</v>
      </c>
    </row>
    <row r="1319" spans="1:41" x14ac:dyDescent="0.35">
      <c r="A1319">
        <v>20448288</v>
      </c>
      <c r="B1319">
        <v>202502</v>
      </c>
      <c r="C1319">
        <v>20480392435</v>
      </c>
      <c r="D1319" t="s">
        <v>1492</v>
      </c>
      <c r="E1319" t="s">
        <v>1</v>
      </c>
      <c r="F1319">
        <v>10256957</v>
      </c>
      <c r="G1319" t="s">
        <v>45</v>
      </c>
      <c r="H1319" t="s">
        <v>257</v>
      </c>
      <c r="I1319">
        <v>77140.6640625</v>
      </c>
      <c r="J1319" s="1">
        <v>45471</v>
      </c>
      <c r="K1319">
        <v>15.7</v>
      </c>
      <c r="L1319" t="s">
        <v>4</v>
      </c>
      <c r="M1319" t="s">
        <v>4</v>
      </c>
      <c r="N1319" t="s">
        <v>47</v>
      </c>
      <c r="O1319">
        <v>202406</v>
      </c>
      <c r="P1319">
        <v>80004</v>
      </c>
      <c r="Q1319" t="s">
        <v>257</v>
      </c>
      <c r="R1319" t="s">
        <v>258</v>
      </c>
      <c r="S1319" t="s">
        <v>49</v>
      </c>
      <c r="T1319" t="s">
        <v>50</v>
      </c>
      <c r="U1319" t="s">
        <v>20</v>
      </c>
      <c r="V1319">
        <v>1</v>
      </c>
      <c r="W1319" t="s">
        <v>10</v>
      </c>
      <c r="X1319" t="s">
        <v>12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12</v>
      </c>
      <c r="AG1319" t="s">
        <v>12</v>
      </c>
      <c r="AH1319" t="s">
        <v>12</v>
      </c>
      <c r="AI1319" t="s">
        <v>12</v>
      </c>
      <c r="AJ1319" t="s">
        <v>12</v>
      </c>
      <c r="AK1319">
        <v>924975661</v>
      </c>
      <c r="AL1319">
        <v>0</v>
      </c>
      <c r="AM1319">
        <v>0</v>
      </c>
      <c r="AN1319" t="s">
        <v>12</v>
      </c>
      <c r="AO1319" t="s">
        <v>12</v>
      </c>
    </row>
    <row r="1320" spans="1:41" x14ac:dyDescent="0.35">
      <c r="A1320">
        <v>20580055</v>
      </c>
      <c r="B1320">
        <v>202502</v>
      </c>
      <c r="C1320">
        <v>20601140749</v>
      </c>
      <c r="D1320" t="s">
        <v>1572</v>
      </c>
      <c r="E1320" t="s">
        <v>1</v>
      </c>
      <c r="F1320">
        <v>10252716</v>
      </c>
      <c r="G1320" t="s">
        <v>53</v>
      </c>
      <c r="H1320" t="s">
        <v>260</v>
      </c>
      <c r="I1320">
        <v>69248.390625</v>
      </c>
      <c r="J1320" s="1">
        <v>45421</v>
      </c>
      <c r="K1320">
        <v>16</v>
      </c>
      <c r="L1320" t="s">
        <v>4</v>
      </c>
      <c r="M1320" t="s">
        <v>4</v>
      </c>
      <c r="N1320" t="s">
        <v>47</v>
      </c>
      <c r="O1320">
        <v>202405</v>
      </c>
      <c r="P1320">
        <v>77673.850000000006</v>
      </c>
      <c r="Q1320" t="s">
        <v>260</v>
      </c>
      <c r="R1320" t="s">
        <v>261</v>
      </c>
      <c r="S1320" t="s">
        <v>18</v>
      </c>
      <c r="T1320" t="s">
        <v>122</v>
      </c>
      <c r="U1320" t="s">
        <v>20</v>
      </c>
      <c r="V1320">
        <v>1</v>
      </c>
      <c r="W1320" t="s">
        <v>10</v>
      </c>
      <c r="X1320" t="s">
        <v>12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12</v>
      </c>
      <c r="AG1320" t="s">
        <v>12</v>
      </c>
      <c r="AH1320" t="s">
        <v>12</v>
      </c>
      <c r="AI1320" t="s">
        <v>12</v>
      </c>
      <c r="AJ1320" t="s">
        <v>12</v>
      </c>
      <c r="AK1320">
        <v>968183913</v>
      </c>
      <c r="AL1320">
        <v>0</v>
      </c>
      <c r="AM1320">
        <v>0</v>
      </c>
      <c r="AN1320" t="s">
        <v>12</v>
      </c>
      <c r="AO1320" t="s">
        <v>12</v>
      </c>
    </row>
    <row r="1321" spans="1:41" x14ac:dyDescent="0.35">
      <c r="A1321">
        <v>14431456</v>
      </c>
      <c r="B1321">
        <v>202508</v>
      </c>
      <c r="C1321">
        <v>20516680068</v>
      </c>
      <c r="D1321" t="s">
        <v>1573</v>
      </c>
      <c r="E1321" t="s">
        <v>1</v>
      </c>
      <c r="F1321">
        <v>10153780</v>
      </c>
      <c r="G1321" t="s">
        <v>2</v>
      </c>
      <c r="H1321" t="s">
        <v>204</v>
      </c>
      <c r="I1321">
        <v>172013.453125</v>
      </c>
      <c r="J1321" s="1">
        <v>45743</v>
      </c>
      <c r="K1321">
        <v>14.5</v>
      </c>
      <c r="L1321" t="s">
        <v>4</v>
      </c>
      <c r="M1321" t="s">
        <v>4</v>
      </c>
      <c r="N1321" t="s">
        <v>5</v>
      </c>
      <c r="O1321">
        <v>202503</v>
      </c>
      <c r="P1321">
        <v>200010</v>
      </c>
      <c r="Q1321" t="s">
        <v>204</v>
      </c>
      <c r="R1321" t="s">
        <v>291</v>
      </c>
      <c r="S1321" t="s">
        <v>127</v>
      </c>
      <c r="T1321" t="s">
        <v>147</v>
      </c>
      <c r="U1321" t="s">
        <v>41</v>
      </c>
      <c r="V1321">
        <v>1</v>
      </c>
      <c r="W1321" t="s">
        <v>10</v>
      </c>
      <c r="X1321" t="s">
        <v>12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 t="s">
        <v>12</v>
      </c>
      <c r="AG1321" t="s">
        <v>12</v>
      </c>
      <c r="AH1321" t="s">
        <v>12</v>
      </c>
      <c r="AI1321" t="s">
        <v>12</v>
      </c>
      <c r="AJ1321" t="s">
        <v>12</v>
      </c>
      <c r="AK1321">
        <v>400000</v>
      </c>
      <c r="AL1321">
        <v>0.21</v>
      </c>
      <c r="AM1321">
        <v>0.19</v>
      </c>
      <c r="AN1321" t="s">
        <v>12</v>
      </c>
      <c r="AO1321" t="s">
        <v>12</v>
      </c>
    </row>
    <row r="1322" spans="1:41" x14ac:dyDescent="0.35">
      <c r="A1322">
        <v>18050178</v>
      </c>
      <c r="B1322">
        <v>202504</v>
      </c>
      <c r="C1322">
        <v>10406493976</v>
      </c>
      <c r="D1322" t="s">
        <v>1574</v>
      </c>
      <c r="E1322">
        <v>40649397</v>
      </c>
      <c r="F1322">
        <v>10259963</v>
      </c>
      <c r="G1322" t="s">
        <v>45</v>
      </c>
      <c r="H1322" t="s">
        <v>1007</v>
      </c>
      <c r="I1322">
        <v>86740.328125</v>
      </c>
      <c r="J1322" s="1">
        <v>45533</v>
      </c>
      <c r="K1322">
        <v>15.5</v>
      </c>
      <c r="L1322" t="s">
        <v>37</v>
      </c>
      <c r="M1322" t="s">
        <v>37</v>
      </c>
      <c r="N1322" t="s">
        <v>47</v>
      </c>
      <c r="O1322">
        <v>202408</v>
      </c>
      <c r="P1322">
        <v>90004.5</v>
      </c>
      <c r="Q1322" t="s">
        <v>1007</v>
      </c>
      <c r="R1322" t="s">
        <v>1575</v>
      </c>
      <c r="S1322" t="s">
        <v>49</v>
      </c>
      <c r="T1322" t="s">
        <v>50</v>
      </c>
      <c r="U1322" t="s">
        <v>20</v>
      </c>
      <c r="V1322">
        <v>1</v>
      </c>
      <c r="W1322" t="s">
        <v>10</v>
      </c>
      <c r="X1322" t="s">
        <v>12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s">
        <v>12</v>
      </c>
      <c r="AG1322" t="s">
        <v>12</v>
      </c>
      <c r="AH1322" t="s">
        <v>12</v>
      </c>
      <c r="AI1322" t="s">
        <v>12</v>
      </c>
      <c r="AJ1322" t="s">
        <v>12</v>
      </c>
      <c r="AK1322">
        <v>0</v>
      </c>
      <c r="AL1322">
        <v>0</v>
      </c>
      <c r="AM1322">
        <v>0</v>
      </c>
      <c r="AN1322" t="s">
        <v>12</v>
      </c>
      <c r="AO1322" t="s">
        <v>12</v>
      </c>
    </row>
    <row r="1323" spans="1:41" x14ac:dyDescent="0.35">
      <c r="A1323">
        <v>10543480</v>
      </c>
      <c r="B1323">
        <v>202508</v>
      </c>
      <c r="C1323">
        <v>10457520277</v>
      </c>
      <c r="D1323" t="s">
        <v>1576</v>
      </c>
      <c r="E1323">
        <v>45752027</v>
      </c>
      <c r="F1323">
        <v>10260005</v>
      </c>
      <c r="G1323" t="s">
        <v>65</v>
      </c>
      <c r="H1323" t="s">
        <v>1577</v>
      </c>
      <c r="I1323">
        <v>12057.4609375</v>
      </c>
      <c r="J1323" s="1">
        <v>45538</v>
      </c>
      <c r="K1323">
        <v>14.8</v>
      </c>
      <c r="L1323" t="s">
        <v>37</v>
      </c>
      <c r="M1323" t="s">
        <v>37</v>
      </c>
      <c r="N1323" t="s">
        <v>47</v>
      </c>
      <c r="O1323">
        <v>202409</v>
      </c>
      <c r="P1323">
        <v>14800.7</v>
      </c>
      <c r="Q1323" t="s">
        <v>273</v>
      </c>
      <c r="R1323" t="s">
        <v>12</v>
      </c>
      <c r="S1323" t="s">
        <v>12</v>
      </c>
      <c r="T1323" t="s">
        <v>12</v>
      </c>
      <c r="U1323" t="s">
        <v>41</v>
      </c>
      <c r="V1323">
        <v>2</v>
      </c>
      <c r="W1323" t="s">
        <v>912</v>
      </c>
      <c r="X1323" t="s">
        <v>12</v>
      </c>
      <c r="Y1323">
        <v>1</v>
      </c>
      <c r="Z1323">
        <v>1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 t="s">
        <v>12</v>
      </c>
      <c r="AG1323" t="s">
        <v>12</v>
      </c>
      <c r="AH1323" t="s">
        <v>12</v>
      </c>
      <c r="AI1323" t="s">
        <v>12</v>
      </c>
      <c r="AJ1323" t="s">
        <v>12</v>
      </c>
      <c r="AK1323">
        <v>24800</v>
      </c>
      <c r="AL1323">
        <v>0.21</v>
      </c>
      <c r="AM1323">
        <v>0.1923</v>
      </c>
      <c r="AN1323" t="s">
        <v>12</v>
      </c>
      <c r="AO1323" t="s">
        <v>12</v>
      </c>
    </row>
    <row r="1324" spans="1:41" x14ac:dyDescent="0.35">
      <c r="A1324">
        <v>10543480</v>
      </c>
      <c r="B1324">
        <v>202508</v>
      </c>
      <c r="C1324">
        <v>10457520277</v>
      </c>
      <c r="D1324" t="s">
        <v>1576</v>
      </c>
      <c r="E1324">
        <v>45752027</v>
      </c>
      <c r="F1324">
        <v>10260005</v>
      </c>
      <c r="G1324" t="s">
        <v>65</v>
      </c>
      <c r="H1324" t="s">
        <v>1577</v>
      </c>
      <c r="I1324">
        <v>12057.4609375</v>
      </c>
      <c r="J1324" s="1">
        <v>45538</v>
      </c>
      <c r="K1324">
        <v>14.8</v>
      </c>
      <c r="L1324" t="s">
        <v>37</v>
      </c>
      <c r="M1324" t="s">
        <v>37</v>
      </c>
      <c r="N1324" t="s">
        <v>47</v>
      </c>
      <c r="O1324">
        <v>202409</v>
      </c>
      <c r="P1324">
        <v>14800.7</v>
      </c>
      <c r="Q1324" t="s">
        <v>273</v>
      </c>
      <c r="R1324" t="s">
        <v>274</v>
      </c>
      <c r="S1324" t="s">
        <v>39</v>
      </c>
      <c r="T1324" t="s">
        <v>40</v>
      </c>
      <c r="U1324" t="s">
        <v>41</v>
      </c>
      <c r="V1324">
        <v>1</v>
      </c>
      <c r="W1324" t="s">
        <v>912</v>
      </c>
      <c r="X1324" t="s">
        <v>12</v>
      </c>
      <c r="Y1324">
        <v>1</v>
      </c>
      <c r="Z1324">
        <v>1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 t="s">
        <v>12</v>
      </c>
      <c r="AG1324" t="s">
        <v>12</v>
      </c>
      <c r="AH1324" t="s">
        <v>12</v>
      </c>
      <c r="AI1324" t="s">
        <v>12</v>
      </c>
      <c r="AJ1324" t="s">
        <v>12</v>
      </c>
      <c r="AK1324">
        <v>24800</v>
      </c>
      <c r="AL1324">
        <v>0.21</v>
      </c>
      <c r="AM1324">
        <v>0.1923</v>
      </c>
      <c r="AN1324" t="s">
        <v>12</v>
      </c>
      <c r="AO1324" t="s">
        <v>12</v>
      </c>
    </row>
    <row r="1325" spans="1:41" x14ac:dyDescent="0.35">
      <c r="A1325">
        <v>21014756</v>
      </c>
      <c r="B1325">
        <v>202602</v>
      </c>
      <c r="C1325">
        <v>20610855301</v>
      </c>
      <c r="D1325" t="s">
        <v>1546</v>
      </c>
      <c r="E1325" t="s">
        <v>1</v>
      </c>
      <c r="F1325">
        <v>10274354</v>
      </c>
      <c r="G1325" t="s">
        <v>92</v>
      </c>
      <c r="H1325" t="s">
        <v>159</v>
      </c>
      <c r="I1325">
        <v>193108.265625</v>
      </c>
      <c r="J1325" s="1">
        <v>46022</v>
      </c>
      <c r="K1325">
        <v>17</v>
      </c>
      <c r="L1325" t="s">
        <v>4</v>
      </c>
      <c r="M1325" t="s">
        <v>75</v>
      </c>
      <c r="N1325" t="s">
        <v>41</v>
      </c>
      <c r="O1325">
        <v>202512</v>
      </c>
      <c r="P1325">
        <v>200010</v>
      </c>
      <c r="Q1325" t="s">
        <v>484</v>
      </c>
      <c r="R1325" t="s">
        <v>485</v>
      </c>
      <c r="S1325" t="s">
        <v>88</v>
      </c>
      <c r="T1325" t="s">
        <v>89</v>
      </c>
      <c r="U1325" t="s">
        <v>95</v>
      </c>
      <c r="V1325">
        <v>2</v>
      </c>
      <c r="W1325" t="s">
        <v>10</v>
      </c>
      <c r="X1325" t="s">
        <v>22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12</v>
      </c>
      <c r="AG1325" t="s">
        <v>12</v>
      </c>
      <c r="AH1325" t="s">
        <v>12</v>
      </c>
      <c r="AI1325" t="s">
        <v>12</v>
      </c>
      <c r="AJ1325" t="s">
        <v>12</v>
      </c>
      <c r="AK1325">
        <v>250000</v>
      </c>
      <c r="AL1325">
        <v>0.21</v>
      </c>
      <c r="AM1325">
        <v>0.19</v>
      </c>
      <c r="AN1325" t="s">
        <v>12</v>
      </c>
      <c r="AO1325" t="s">
        <v>12</v>
      </c>
    </row>
    <row r="1326" spans="1:41" x14ac:dyDescent="0.35">
      <c r="A1326">
        <v>15206598</v>
      </c>
      <c r="B1326">
        <v>202509</v>
      </c>
      <c r="C1326">
        <v>20555229101</v>
      </c>
      <c r="D1326" t="s">
        <v>298</v>
      </c>
      <c r="E1326" t="s">
        <v>1</v>
      </c>
      <c r="F1326">
        <v>10269929</v>
      </c>
      <c r="G1326" t="s">
        <v>73</v>
      </c>
      <c r="H1326" t="s">
        <v>227</v>
      </c>
      <c r="I1326">
        <v>300015</v>
      </c>
      <c r="J1326" s="1">
        <v>45863</v>
      </c>
      <c r="K1326">
        <v>15.5</v>
      </c>
      <c r="L1326" t="s">
        <v>4</v>
      </c>
      <c r="M1326" t="s">
        <v>4</v>
      </c>
      <c r="N1326" t="s">
        <v>20</v>
      </c>
      <c r="O1326">
        <v>202507</v>
      </c>
      <c r="P1326">
        <v>300015</v>
      </c>
      <c r="Q1326" t="s">
        <v>227</v>
      </c>
      <c r="R1326" t="s">
        <v>228</v>
      </c>
      <c r="S1326" t="s">
        <v>127</v>
      </c>
      <c r="T1326" t="s">
        <v>147</v>
      </c>
      <c r="U1326" t="s">
        <v>20</v>
      </c>
      <c r="V1326">
        <v>1</v>
      </c>
      <c r="W1326" t="s">
        <v>10</v>
      </c>
      <c r="X1326" t="s">
        <v>22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 t="s">
        <v>12</v>
      </c>
      <c r="AG1326" t="s">
        <v>12</v>
      </c>
      <c r="AH1326" t="s">
        <v>12</v>
      </c>
      <c r="AI1326" t="s">
        <v>12</v>
      </c>
      <c r="AJ1326" t="s">
        <v>12</v>
      </c>
      <c r="AK1326">
        <v>1</v>
      </c>
      <c r="AL1326">
        <v>1</v>
      </c>
      <c r="AM1326" t="s">
        <v>12</v>
      </c>
      <c r="AN1326" t="s">
        <v>12</v>
      </c>
      <c r="AO1326" t="s">
        <v>12</v>
      </c>
    </row>
    <row r="1327" spans="1:41" x14ac:dyDescent="0.35">
      <c r="A1327">
        <v>21640820</v>
      </c>
      <c r="B1327">
        <v>202508</v>
      </c>
      <c r="C1327">
        <v>20610982884</v>
      </c>
      <c r="D1327" t="s">
        <v>391</v>
      </c>
      <c r="E1327" t="s">
        <v>1</v>
      </c>
      <c r="F1327">
        <v>10267825</v>
      </c>
      <c r="G1327" t="s">
        <v>28</v>
      </c>
      <c r="H1327" t="s">
        <v>210</v>
      </c>
      <c r="I1327">
        <v>153108.234375</v>
      </c>
      <c r="J1327" s="1">
        <v>45792</v>
      </c>
      <c r="K1327">
        <v>18</v>
      </c>
      <c r="L1327" t="s">
        <v>4</v>
      </c>
      <c r="M1327" t="s">
        <v>75</v>
      </c>
      <c r="N1327" t="s">
        <v>26</v>
      </c>
      <c r="O1327">
        <v>202505</v>
      </c>
      <c r="P1327">
        <v>180009</v>
      </c>
      <c r="Q1327" t="s">
        <v>210</v>
      </c>
      <c r="R1327" t="s">
        <v>211</v>
      </c>
      <c r="S1327" t="s">
        <v>39</v>
      </c>
      <c r="T1327" t="s">
        <v>40</v>
      </c>
      <c r="U1327" t="s">
        <v>20</v>
      </c>
      <c r="V1327">
        <v>1</v>
      </c>
      <c r="W1327" t="s">
        <v>10</v>
      </c>
      <c r="X1327" t="s">
        <v>12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0</v>
      </c>
      <c r="AF1327" t="s">
        <v>12</v>
      </c>
      <c r="AG1327" t="s">
        <v>12</v>
      </c>
      <c r="AH1327" t="s">
        <v>12</v>
      </c>
      <c r="AI1327" t="s">
        <v>12</v>
      </c>
      <c r="AJ1327" t="s">
        <v>12</v>
      </c>
      <c r="AK1327">
        <v>1</v>
      </c>
      <c r="AL1327">
        <v>0.17829999999999999</v>
      </c>
      <c r="AM1327" t="s">
        <v>12</v>
      </c>
      <c r="AN1327" t="s">
        <v>12</v>
      </c>
      <c r="AO1327" t="s">
        <v>12</v>
      </c>
    </row>
    <row r="1328" spans="1:41" x14ac:dyDescent="0.35">
      <c r="A1328">
        <v>7610413</v>
      </c>
      <c r="B1328">
        <v>202602</v>
      </c>
      <c r="C1328">
        <v>20331119751</v>
      </c>
      <c r="D1328" t="s">
        <v>1578</v>
      </c>
      <c r="E1328" t="s">
        <v>1</v>
      </c>
      <c r="F1328">
        <v>10265684</v>
      </c>
      <c r="G1328" t="s">
        <v>100</v>
      </c>
      <c r="H1328" t="s">
        <v>127</v>
      </c>
      <c r="I1328">
        <v>88231.265625</v>
      </c>
      <c r="J1328" s="1">
        <v>45713</v>
      </c>
      <c r="K1328">
        <v>14</v>
      </c>
      <c r="L1328" t="s">
        <v>37</v>
      </c>
      <c r="M1328" t="s">
        <v>37</v>
      </c>
      <c r="N1328" t="s">
        <v>102</v>
      </c>
      <c r="O1328">
        <v>202502</v>
      </c>
      <c r="P1328">
        <v>124206.2</v>
      </c>
      <c r="Q1328" t="s">
        <v>522</v>
      </c>
      <c r="R1328" t="s">
        <v>523</v>
      </c>
      <c r="S1328" t="s">
        <v>127</v>
      </c>
      <c r="T1328" t="s">
        <v>147</v>
      </c>
      <c r="U1328" t="s">
        <v>70</v>
      </c>
      <c r="V1328">
        <v>1</v>
      </c>
      <c r="W1328" t="s">
        <v>10</v>
      </c>
      <c r="X1328" t="s">
        <v>22</v>
      </c>
      <c r="Y1328">
        <v>1</v>
      </c>
      <c r="Z1328">
        <v>1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 t="s">
        <v>12</v>
      </c>
      <c r="AG1328" t="s">
        <v>12</v>
      </c>
      <c r="AH1328" t="s">
        <v>12</v>
      </c>
      <c r="AI1328" t="s">
        <v>12</v>
      </c>
      <c r="AJ1328" t="s">
        <v>12</v>
      </c>
      <c r="AK1328">
        <v>271000</v>
      </c>
      <c r="AL1328">
        <v>0.19589999999999999</v>
      </c>
      <c r="AM1328">
        <v>0.14699999999999999</v>
      </c>
      <c r="AN1328" t="s">
        <v>12</v>
      </c>
      <c r="AO1328" t="s">
        <v>12</v>
      </c>
    </row>
    <row r="1329" spans="1:41" x14ac:dyDescent="0.35">
      <c r="A1329">
        <v>21493206</v>
      </c>
      <c r="B1329">
        <v>202510</v>
      </c>
      <c r="C1329">
        <v>20604059101</v>
      </c>
      <c r="D1329" t="s">
        <v>1579</v>
      </c>
      <c r="E1329" t="s">
        <v>1</v>
      </c>
      <c r="F1329">
        <v>10265717</v>
      </c>
      <c r="G1329" t="s">
        <v>14</v>
      </c>
      <c r="H1329" t="s">
        <v>124</v>
      </c>
      <c r="I1329">
        <v>184539.84375</v>
      </c>
      <c r="J1329" s="1">
        <v>45714</v>
      </c>
      <c r="K1329">
        <v>15</v>
      </c>
      <c r="L1329" t="s">
        <v>4</v>
      </c>
      <c r="M1329" t="s">
        <v>75</v>
      </c>
      <c r="N1329" t="s">
        <v>26</v>
      </c>
      <c r="O1329">
        <v>202502</v>
      </c>
      <c r="P1329">
        <v>250012.5</v>
      </c>
      <c r="Q1329" t="s">
        <v>124</v>
      </c>
      <c r="R1329" t="s">
        <v>125</v>
      </c>
      <c r="S1329" t="s">
        <v>88</v>
      </c>
      <c r="T1329" t="s">
        <v>89</v>
      </c>
      <c r="U1329" t="s">
        <v>20</v>
      </c>
      <c r="V1329">
        <v>2</v>
      </c>
      <c r="W1329" t="s">
        <v>10</v>
      </c>
      <c r="X1329" t="s">
        <v>12</v>
      </c>
      <c r="Y1329">
        <v>1</v>
      </c>
      <c r="Z1329">
        <v>1</v>
      </c>
      <c r="AA1329">
        <v>0</v>
      </c>
      <c r="AB1329">
        <v>0</v>
      </c>
      <c r="AC1329">
        <v>1</v>
      </c>
      <c r="AD1329">
        <v>1</v>
      </c>
      <c r="AE1329">
        <v>0</v>
      </c>
      <c r="AF1329" t="s">
        <v>12</v>
      </c>
      <c r="AG1329" t="s">
        <v>12</v>
      </c>
      <c r="AH1329" t="s">
        <v>12</v>
      </c>
      <c r="AI1329" t="s">
        <v>12</v>
      </c>
      <c r="AJ1329" t="s">
        <v>12</v>
      </c>
      <c r="AK1329">
        <v>1</v>
      </c>
      <c r="AL1329">
        <v>1</v>
      </c>
      <c r="AM1329" t="s">
        <v>12</v>
      </c>
      <c r="AN1329" t="s">
        <v>12</v>
      </c>
      <c r="AO1329" t="s">
        <v>12</v>
      </c>
    </row>
    <row r="1330" spans="1:41" x14ac:dyDescent="0.35">
      <c r="A1330">
        <v>16030939</v>
      </c>
      <c r="B1330">
        <v>202601</v>
      </c>
      <c r="C1330">
        <v>20600762177</v>
      </c>
      <c r="D1330" t="s">
        <v>1580</v>
      </c>
      <c r="E1330" t="s">
        <v>1</v>
      </c>
      <c r="F1330">
        <v>10268752</v>
      </c>
      <c r="G1330" t="s">
        <v>92</v>
      </c>
      <c r="H1330" t="s">
        <v>117</v>
      </c>
      <c r="I1330">
        <v>147997.96875</v>
      </c>
      <c r="J1330" s="1">
        <v>45825</v>
      </c>
      <c r="K1330">
        <v>16.5</v>
      </c>
      <c r="L1330" t="s">
        <v>4</v>
      </c>
      <c r="M1330" t="s">
        <v>4</v>
      </c>
      <c r="N1330" t="s">
        <v>41</v>
      </c>
      <c r="O1330">
        <v>202506</v>
      </c>
      <c r="P1330">
        <v>200010</v>
      </c>
      <c r="Q1330" t="s">
        <v>117</v>
      </c>
      <c r="R1330" t="s">
        <v>118</v>
      </c>
      <c r="S1330" t="s">
        <v>39</v>
      </c>
      <c r="T1330" t="s">
        <v>40</v>
      </c>
      <c r="U1330" t="s">
        <v>63</v>
      </c>
      <c r="V1330">
        <v>1</v>
      </c>
      <c r="W1330" t="s">
        <v>21</v>
      </c>
      <c r="X1330" t="s">
        <v>51</v>
      </c>
      <c r="Y1330">
        <v>1</v>
      </c>
      <c r="Z1330">
        <v>1</v>
      </c>
      <c r="AA1330">
        <v>0</v>
      </c>
      <c r="AB1330">
        <v>0</v>
      </c>
      <c r="AC1330">
        <v>1</v>
      </c>
      <c r="AD1330">
        <v>1</v>
      </c>
      <c r="AE1330">
        <v>0</v>
      </c>
      <c r="AF1330" t="s">
        <v>12</v>
      </c>
      <c r="AG1330" t="s">
        <v>12</v>
      </c>
      <c r="AH1330" t="s">
        <v>12</v>
      </c>
      <c r="AI1330" t="s">
        <v>12</v>
      </c>
      <c r="AJ1330" t="s">
        <v>12</v>
      </c>
      <c r="AK1330">
        <v>60000</v>
      </c>
      <c r="AL1330">
        <v>0.21</v>
      </c>
      <c r="AM1330">
        <v>0.19</v>
      </c>
      <c r="AN1330" t="s">
        <v>12</v>
      </c>
      <c r="AO1330" t="s">
        <v>12</v>
      </c>
    </row>
    <row r="1331" spans="1:41" x14ac:dyDescent="0.35">
      <c r="A1331">
        <v>10072476</v>
      </c>
      <c r="B1331">
        <v>202512</v>
      </c>
      <c r="C1331">
        <v>10084224290</v>
      </c>
      <c r="D1331" t="s">
        <v>1512</v>
      </c>
      <c r="E1331">
        <v>8422429</v>
      </c>
      <c r="F1331">
        <v>10262385</v>
      </c>
      <c r="G1331" t="s">
        <v>53</v>
      </c>
      <c r="H1331" t="s">
        <v>93</v>
      </c>
      <c r="I1331">
        <v>66813.59375</v>
      </c>
      <c r="J1331" s="1">
        <v>45602</v>
      </c>
      <c r="K1331">
        <v>17.899999999999999</v>
      </c>
      <c r="L1331" t="s">
        <v>4</v>
      </c>
      <c r="M1331" t="s">
        <v>4</v>
      </c>
      <c r="N1331" t="s">
        <v>47</v>
      </c>
      <c r="O1331">
        <v>202411</v>
      </c>
      <c r="P1331">
        <v>90004.5</v>
      </c>
      <c r="Q1331" t="s">
        <v>93</v>
      </c>
      <c r="R1331" t="s">
        <v>94</v>
      </c>
      <c r="S1331" t="s">
        <v>7</v>
      </c>
      <c r="T1331" t="s">
        <v>8</v>
      </c>
      <c r="U1331" t="s">
        <v>9</v>
      </c>
      <c r="V1331">
        <v>1</v>
      </c>
      <c r="W1331" t="s">
        <v>10</v>
      </c>
      <c r="X1331" t="s">
        <v>59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 t="s">
        <v>12</v>
      </c>
      <c r="AG1331" t="s">
        <v>12</v>
      </c>
      <c r="AH1331" t="s">
        <v>12</v>
      </c>
      <c r="AI1331" t="s">
        <v>12</v>
      </c>
      <c r="AJ1331" t="s">
        <v>12</v>
      </c>
      <c r="AK1331">
        <v>0</v>
      </c>
      <c r="AL1331">
        <v>0</v>
      </c>
      <c r="AM1331">
        <v>0</v>
      </c>
      <c r="AN1331" t="s">
        <v>12</v>
      </c>
      <c r="AO1331" t="s">
        <v>12</v>
      </c>
    </row>
    <row r="1332" spans="1:41" x14ac:dyDescent="0.35">
      <c r="A1332">
        <v>20390538</v>
      </c>
      <c r="B1332">
        <v>202508</v>
      </c>
      <c r="C1332">
        <v>20546437214</v>
      </c>
      <c r="D1332" t="s">
        <v>1581</v>
      </c>
      <c r="E1332" t="s">
        <v>1</v>
      </c>
      <c r="F1332">
        <v>10259612</v>
      </c>
      <c r="G1332" t="s">
        <v>65</v>
      </c>
      <c r="H1332" t="s">
        <v>305</v>
      </c>
      <c r="I1332">
        <v>69749.015625</v>
      </c>
      <c r="J1332" s="1">
        <v>45531</v>
      </c>
      <c r="K1332">
        <v>14.7</v>
      </c>
      <c r="L1332" t="s">
        <v>4</v>
      </c>
      <c r="M1332" t="s">
        <v>4</v>
      </c>
      <c r="N1332" t="s">
        <v>47</v>
      </c>
      <c r="O1332">
        <v>202408</v>
      </c>
      <c r="P1332">
        <v>90004.5</v>
      </c>
      <c r="Q1332" t="s">
        <v>305</v>
      </c>
      <c r="R1332" t="s">
        <v>306</v>
      </c>
      <c r="S1332" t="s">
        <v>7</v>
      </c>
      <c r="T1332" t="s">
        <v>8</v>
      </c>
      <c r="U1332" t="s">
        <v>20</v>
      </c>
      <c r="V1332">
        <v>1</v>
      </c>
      <c r="W1332" t="s">
        <v>10</v>
      </c>
      <c r="X1332" t="s">
        <v>12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 t="s">
        <v>12</v>
      </c>
      <c r="AG1332" t="s">
        <v>12</v>
      </c>
      <c r="AH1332" t="s">
        <v>12</v>
      </c>
      <c r="AI1332" t="s">
        <v>12</v>
      </c>
      <c r="AJ1332" t="s">
        <v>12</v>
      </c>
      <c r="AK1332">
        <v>1</v>
      </c>
      <c r="AL1332">
        <v>0.26929999999999998</v>
      </c>
      <c r="AM1332" t="s">
        <v>12</v>
      </c>
      <c r="AN1332" t="s">
        <v>12</v>
      </c>
      <c r="AO1332" t="s">
        <v>12</v>
      </c>
    </row>
    <row r="1333" spans="1:41" x14ac:dyDescent="0.35">
      <c r="A1333">
        <v>21554472</v>
      </c>
      <c r="B1333">
        <v>202508</v>
      </c>
      <c r="C1333">
        <v>10443660084</v>
      </c>
      <c r="D1333" t="s">
        <v>1582</v>
      </c>
      <c r="E1333">
        <v>44366008</v>
      </c>
      <c r="F1333">
        <v>10266689</v>
      </c>
      <c r="G1333" t="s">
        <v>24</v>
      </c>
      <c r="H1333" t="s">
        <v>183</v>
      </c>
      <c r="I1333">
        <v>40488.265625</v>
      </c>
      <c r="J1333" s="1">
        <v>45744</v>
      </c>
      <c r="K1333">
        <v>23</v>
      </c>
      <c r="L1333" t="s">
        <v>37</v>
      </c>
      <c r="M1333" t="s">
        <v>37</v>
      </c>
      <c r="N1333" t="s">
        <v>98</v>
      </c>
      <c r="O1333">
        <v>202503</v>
      </c>
      <c r="P1333">
        <v>50002.5</v>
      </c>
      <c r="Q1333" t="s">
        <v>12</v>
      </c>
      <c r="R1333" t="s">
        <v>12</v>
      </c>
      <c r="S1333" t="s">
        <v>12</v>
      </c>
      <c r="T1333" t="s">
        <v>12</v>
      </c>
      <c r="U1333" t="s">
        <v>12</v>
      </c>
      <c r="V1333" t="s">
        <v>12</v>
      </c>
      <c r="W1333" t="s">
        <v>12</v>
      </c>
      <c r="X1333" t="s">
        <v>12</v>
      </c>
      <c r="Y1333" t="s">
        <v>12</v>
      </c>
      <c r="Z1333" t="s">
        <v>12</v>
      </c>
      <c r="AA1333" t="s">
        <v>12</v>
      </c>
      <c r="AB1333" t="s">
        <v>12</v>
      </c>
      <c r="AC1333" t="s">
        <v>12</v>
      </c>
      <c r="AD1333" t="s">
        <v>12</v>
      </c>
      <c r="AE1333" t="s">
        <v>12</v>
      </c>
      <c r="AF1333" t="s">
        <v>12</v>
      </c>
      <c r="AG1333" t="s">
        <v>12</v>
      </c>
      <c r="AH1333" t="s">
        <v>12</v>
      </c>
      <c r="AI1333" t="s">
        <v>12</v>
      </c>
      <c r="AJ1333" t="s">
        <v>12</v>
      </c>
      <c r="AK1333" t="s">
        <v>12</v>
      </c>
      <c r="AL1333" t="s">
        <v>12</v>
      </c>
      <c r="AM1333" t="s">
        <v>12</v>
      </c>
      <c r="AN1333" t="s">
        <v>12</v>
      </c>
      <c r="AO1333" t="s">
        <v>12</v>
      </c>
    </row>
    <row r="1334" spans="1:41" x14ac:dyDescent="0.35">
      <c r="A1334">
        <v>19073307</v>
      </c>
      <c r="B1334">
        <v>202511</v>
      </c>
      <c r="C1334">
        <v>20600686501</v>
      </c>
      <c r="D1334" t="s">
        <v>1583</v>
      </c>
      <c r="E1334" t="s">
        <v>1</v>
      </c>
      <c r="F1334">
        <v>10266877</v>
      </c>
      <c r="G1334" t="s">
        <v>24</v>
      </c>
      <c r="H1334" t="s">
        <v>159</v>
      </c>
      <c r="I1334">
        <v>32201.03515625</v>
      </c>
      <c r="J1334" s="1">
        <v>45751</v>
      </c>
      <c r="K1334">
        <v>20</v>
      </c>
      <c r="L1334" t="s">
        <v>37</v>
      </c>
      <c r="M1334" t="s">
        <v>37</v>
      </c>
      <c r="N1334" t="s">
        <v>98</v>
      </c>
      <c r="O1334">
        <v>202504</v>
      </c>
      <c r="P1334">
        <v>50002.5</v>
      </c>
      <c r="Q1334" t="s">
        <v>305</v>
      </c>
      <c r="R1334" t="s">
        <v>306</v>
      </c>
      <c r="S1334" t="s">
        <v>7</v>
      </c>
      <c r="T1334" t="s">
        <v>8</v>
      </c>
      <c r="U1334" t="s">
        <v>41</v>
      </c>
      <c r="V1334">
        <v>1</v>
      </c>
      <c r="W1334" t="s">
        <v>10</v>
      </c>
      <c r="X1334" t="s">
        <v>22</v>
      </c>
      <c r="Y1334">
        <v>1</v>
      </c>
      <c r="Z1334">
        <v>1</v>
      </c>
      <c r="AA1334">
        <v>0</v>
      </c>
      <c r="AB1334">
        <v>1</v>
      </c>
      <c r="AC1334">
        <v>1</v>
      </c>
      <c r="AD1334">
        <v>0</v>
      </c>
      <c r="AE1334">
        <v>0</v>
      </c>
      <c r="AF1334" t="s">
        <v>12</v>
      </c>
      <c r="AG1334" t="s">
        <v>12</v>
      </c>
      <c r="AH1334" t="s">
        <v>12</v>
      </c>
      <c r="AI1334" t="s">
        <v>12</v>
      </c>
      <c r="AJ1334" t="s">
        <v>12</v>
      </c>
      <c r="AK1334">
        <v>250000</v>
      </c>
      <c r="AL1334">
        <v>0.22</v>
      </c>
      <c r="AM1334">
        <v>0.2</v>
      </c>
      <c r="AN1334" t="s">
        <v>12</v>
      </c>
      <c r="AO1334" t="s">
        <v>12</v>
      </c>
    </row>
    <row r="1335" spans="1:41" x14ac:dyDescent="0.35">
      <c r="A1335">
        <v>18037056</v>
      </c>
      <c r="B1335">
        <v>202511</v>
      </c>
      <c r="C1335">
        <v>20603109261</v>
      </c>
      <c r="D1335" t="s">
        <v>1584</v>
      </c>
      <c r="E1335" t="s">
        <v>1</v>
      </c>
      <c r="F1335">
        <v>10263756</v>
      </c>
      <c r="G1335" t="s">
        <v>65</v>
      </c>
      <c r="H1335" t="s">
        <v>166</v>
      </c>
      <c r="I1335">
        <v>73377.8046875</v>
      </c>
      <c r="J1335" s="1">
        <v>45642</v>
      </c>
      <c r="K1335">
        <v>15.2</v>
      </c>
      <c r="L1335" t="s">
        <v>37</v>
      </c>
      <c r="M1335" t="s">
        <v>37</v>
      </c>
      <c r="N1335" t="s">
        <v>47</v>
      </c>
      <c r="O1335">
        <v>202412</v>
      </c>
      <c r="P1335">
        <v>90004.5</v>
      </c>
      <c r="Q1335" t="s">
        <v>166</v>
      </c>
      <c r="R1335" t="s">
        <v>167</v>
      </c>
      <c r="S1335" t="s">
        <v>111</v>
      </c>
      <c r="T1335" t="s">
        <v>112</v>
      </c>
      <c r="U1335" t="s">
        <v>20</v>
      </c>
      <c r="V1335">
        <v>2</v>
      </c>
      <c r="W1335" t="s">
        <v>10</v>
      </c>
      <c r="X1335" t="s">
        <v>51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 t="s">
        <v>12</v>
      </c>
      <c r="AG1335" t="s">
        <v>12</v>
      </c>
      <c r="AH1335" t="s">
        <v>12</v>
      </c>
      <c r="AI1335" t="s">
        <v>12</v>
      </c>
      <c r="AJ1335" t="s">
        <v>12</v>
      </c>
      <c r="AK1335">
        <v>1</v>
      </c>
      <c r="AL1335">
        <v>1</v>
      </c>
      <c r="AM1335" t="s">
        <v>12</v>
      </c>
      <c r="AN1335" t="s">
        <v>12</v>
      </c>
      <c r="AO1335" t="s">
        <v>12</v>
      </c>
    </row>
    <row r="1336" spans="1:41" x14ac:dyDescent="0.35">
      <c r="A1336">
        <v>21442067</v>
      </c>
      <c r="B1336">
        <v>202503</v>
      </c>
      <c r="C1336">
        <v>20489959934</v>
      </c>
      <c r="D1336" t="s">
        <v>1585</v>
      </c>
      <c r="E1336" t="s">
        <v>1</v>
      </c>
      <c r="F1336">
        <v>10264762</v>
      </c>
      <c r="G1336" t="s">
        <v>24</v>
      </c>
      <c r="H1336" t="s">
        <v>159</v>
      </c>
      <c r="I1336">
        <v>76534.3984375</v>
      </c>
      <c r="J1336" s="1">
        <v>45680</v>
      </c>
      <c r="K1336">
        <v>21.200001</v>
      </c>
      <c r="L1336" t="s">
        <v>37</v>
      </c>
      <c r="M1336" t="s">
        <v>37</v>
      </c>
      <c r="N1336" t="s">
        <v>98</v>
      </c>
      <c r="O1336">
        <v>202501</v>
      </c>
      <c r="P1336">
        <v>80004</v>
      </c>
      <c r="Q1336" t="s">
        <v>12</v>
      </c>
      <c r="R1336" t="s">
        <v>12</v>
      </c>
      <c r="S1336" t="s">
        <v>12</v>
      </c>
      <c r="T1336" t="s">
        <v>12</v>
      </c>
      <c r="U1336" t="s">
        <v>12</v>
      </c>
      <c r="V1336" t="s">
        <v>12</v>
      </c>
      <c r="W1336" t="s">
        <v>12</v>
      </c>
      <c r="X1336" t="s">
        <v>12</v>
      </c>
      <c r="Y1336" t="s">
        <v>12</v>
      </c>
      <c r="Z1336" t="s">
        <v>12</v>
      </c>
      <c r="AA1336" t="s">
        <v>12</v>
      </c>
      <c r="AB1336" t="s">
        <v>12</v>
      </c>
      <c r="AC1336" t="s">
        <v>12</v>
      </c>
      <c r="AD1336" t="s">
        <v>12</v>
      </c>
      <c r="AE1336" t="s">
        <v>12</v>
      </c>
      <c r="AF1336" t="s">
        <v>12</v>
      </c>
      <c r="AG1336" t="s">
        <v>12</v>
      </c>
      <c r="AH1336" t="s">
        <v>12</v>
      </c>
      <c r="AI1336" t="s">
        <v>12</v>
      </c>
      <c r="AJ1336" t="s">
        <v>12</v>
      </c>
      <c r="AK1336" t="s">
        <v>12</v>
      </c>
      <c r="AL1336" t="s">
        <v>12</v>
      </c>
      <c r="AM1336" t="s">
        <v>12</v>
      </c>
      <c r="AN1336" t="s">
        <v>12</v>
      </c>
      <c r="AO1336" t="s">
        <v>12</v>
      </c>
    </row>
    <row r="1337" spans="1:41" x14ac:dyDescent="0.35">
      <c r="A1337">
        <v>11969545</v>
      </c>
      <c r="B1337">
        <v>202510</v>
      </c>
      <c r="C1337">
        <v>20276211391</v>
      </c>
      <c r="D1337" t="s">
        <v>1586</v>
      </c>
      <c r="E1337" t="s">
        <v>1</v>
      </c>
      <c r="F1337">
        <v>10154229</v>
      </c>
      <c r="G1337" t="s">
        <v>2</v>
      </c>
      <c r="H1337" t="s">
        <v>49</v>
      </c>
      <c r="I1337">
        <v>47062.62109375</v>
      </c>
      <c r="J1337" s="1">
        <v>45337</v>
      </c>
      <c r="K1337">
        <v>17</v>
      </c>
      <c r="L1337" t="s">
        <v>4</v>
      </c>
      <c r="M1337" t="s">
        <v>4</v>
      </c>
      <c r="N1337" t="s">
        <v>5</v>
      </c>
      <c r="O1337">
        <v>202402</v>
      </c>
      <c r="P1337">
        <v>190525.5</v>
      </c>
      <c r="Q1337" t="s">
        <v>12</v>
      </c>
      <c r="R1337" t="s">
        <v>12</v>
      </c>
      <c r="S1337" t="s">
        <v>12</v>
      </c>
      <c r="T1337" t="s">
        <v>12</v>
      </c>
      <c r="U1337" t="s">
        <v>12</v>
      </c>
      <c r="V1337" t="s">
        <v>12</v>
      </c>
      <c r="W1337" t="s">
        <v>12</v>
      </c>
      <c r="X1337" t="s">
        <v>12</v>
      </c>
      <c r="Y1337" t="s">
        <v>12</v>
      </c>
      <c r="Z1337" t="s">
        <v>12</v>
      </c>
      <c r="AA1337" t="s">
        <v>12</v>
      </c>
      <c r="AB1337" t="s">
        <v>12</v>
      </c>
      <c r="AC1337" t="s">
        <v>12</v>
      </c>
      <c r="AD1337" t="s">
        <v>12</v>
      </c>
      <c r="AE1337" t="s">
        <v>12</v>
      </c>
      <c r="AF1337" t="s">
        <v>12</v>
      </c>
      <c r="AG1337" t="s">
        <v>12</v>
      </c>
      <c r="AH1337" t="s">
        <v>12</v>
      </c>
      <c r="AI1337" t="s">
        <v>12</v>
      </c>
      <c r="AJ1337" t="s">
        <v>12</v>
      </c>
      <c r="AK1337" t="s">
        <v>12</v>
      </c>
      <c r="AL1337" t="s">
        <v>12</v>
      </c>
      <c r="AM1337" t="s">
        <v>12</v>
      </c>
      <c r="AN1337" t="s">
        <v>12</v>
      </c>
      <c r="AO1337" t="s">
        <v>12</v>
      </c>
    </row>
    <row r="1338" spans="1:41" x14ac:dyDescent="0.35">
      <c r="A1338">
        <v>19952614</v>
      </c>
      <c r="B1338">
        <v>202512</v>
      </c>
      <c r="C1338">
        <v>20607037117</v>
      </c>
      <c r="D1338" t="s">
        <v>1587</v>
      </c>
      <c r="E1338" t="s">
        <v>1</v>
      </c>
      <c r="F1338">
        <v>10269640</v>
      </c>
      <c r="G1338" t="s">
        <v>78</v>
      </c>
      <c r="H1338" t="s">
        <v>166</v>
      </c>
      <c r="I1338">
        <v>81439.3125</v>
      </c>
      <c r="J1338" s="1">
        <v>45854</v>
      </c>
      <c r="K1338">
        <v>15</v>
      </c>
      <c r="L1338" t="s">
        <v>86</v>
      </c>
      <c r="M1338" t="s">
        <v>86</v>
      </c>
      <c r="N1338" t="s">
        <v>41</v>
      </c>
      <c r="O1338">
        <v>202507</v>
      </c>
      <c r="P1338">
        <v>100005</v>
      </c>
      <c r="Q1338" t="s">
        <v>166</v>
      </c>
      <c r="R1338" t="s">
        <v>167</v>
      </c>
      <c r="S1338" t="s">
        <v>111</v>
      </c>
      <c r="T1338" t="s">
        <v>112</v>
      </c>
      <c r="U1338" t="s">
        <v>41</v>
      </c>
      <c r="V1338">
        <v>2</v>
      </c>
      <c r="W1338" t="s">
        <v>10</v>
      </c>
      <c r="X1338" t="s">
        <v>51</v>
      </c>
      <c r="Y1338">
        <v>1</v>
      </c>
      <c r="Z1338">
        <v>1</v>
      </c>
      <c r="AA1338">
        <v>0</v>
      </c>
      <c r="AB1338">
        <v>1</v>
      </c>
      <c r="AC1338">
        <v>1</v>
      </c>
      <c r="AD1338">
        <v>1</v>
      </c>
      <c r="AE1338">
        <v>0</v>
      </c>
      <c r="AF1338" t="s">
        <v>12</v>
      </c>
      <c r="AG1338" t="s">
        <v>12</v>
      </c>
      <c r="AH1338" t="s">
        <v>12</v>
      </c>
      <c r="AI1338" t="s">
        <v>12</v>
      </c>
      <c r="AJ1338" t="s">
        <v>12</v>
      </c>
      <c r="AK1338">
        <v>250000</v>
      </c>
      <c r="AL1338">
        <v>0.2122</v>
      </c>
      <c r="AM1338">
        <v>0.19220000000000001</v>
      </c>
      <c r="AN1338" t="s">
        <v>12</v>
      </c>
      <c r="AO1338" t="s">
        <v>12</v>
      </c>
    </row>
    <row r="1339" spans="1:41" x14ac:dyDescent="0.35">
      <c r="A1339">
        <v>14401305</v>
      </c>
      <c r="B1339">
        <v>202505</v>
      </c>
      <c r="C1339">
        <v>10759232343</v>
      </c>
      <c r="D1339" t="s">
        <v>1588</v>
      </c>
      <c r="E1339">
        <v>75923234</v>
      </c>
      <c r="F1339">
        <v>10267283</v>
      </c>
      <c r="G1339" t="s">
        <v>100</v>
      </c>
      <c r="H1339" t="s">
        <v>183</v>
      </c>
      <c r="I1339">
        <v>73612.40625</v>
      </c>
      <c r="J1339" s="1">
        <v>45771</v>
      </c>
      <c r="K1339">
        <v>21</v>
      </c>
      <c r="L1339" t="s">
        <v>37</v>
      </c>
      <c r="M1339" t="s">
        <v>37</v>
      </c>
      <c r="N1339" t="s">
        <v>102</v>
      </c>
      <c r="O1339">
        <v>202504</v>
      </c>
      <c r="P1339">
        <v>75863.75</v>
      </c>
      <c r="Q1339" t="s">
        <v>12</v>
      </c>
      <c r="R1339" t="s">
        <v>12</v>
      </c>
      <c r="S1339" t="s">
        <v>12</v>
      </c>
      <c r="T1339" t="s">
        <v>12</v>
      </c>
      <c r="U1339" t="s">
        <v>12</v>
      </c>
      <c r="V1339" t="s">
        <v>12</v>
      </c>
      <c r="W1339" t="s">
        <v>12</v>
      </c>
      <c r="X1339" t="s">
        <v>12</v>
      </c>
      <c r="Y1339" t="s">
        <v>12</v>
      </c>
      <c r="Z1339" t="s">
        <v>12</v>
      </c>
      <c r="AA1339" t="s">
        <v>12</v>
      </c>
      <c r="AB1339" t="s">
        <v>12</v>
      </c>
      <c r="AC1339" t="s">
        <v>12</v>
      </c>
      <c r="AD1339" t="s">
        <v>12</v>
      </c>
      <c r="AE1339" t="s">
        <v>12</v>
      </c>
      <c r="AF1339" t="s">
        <v>12</v>
      </c>
      <c r="AG1339" t="s">
        <v>12</v>
      </c>
      <c r="AH1339" t="s">
        <v>12</v>
      </c>
      <c r="AI1339" t="s">
        <v>12</v>
      </c>
      <c r="AJ1339" t="s">
        <v>12</v>
      </c>
      <c r="AK1339" t="s">
        <v>12</v>
      </c>
      <c r="AL1339" t="s">
        <v>12</v>
      </c>
      <c r="AM1339" t="s">
        <v>12</v>
      </c>
      <c r="AN1339" t="s">
        <v>12</v>
      </c>
      <c r="AO1339" t="s">
        <v>12</v>
      </c>
    </row>
    <row r="1340" spans="1:41" x14ac:dyDescent="0.35">
      <c r="A1340">
        <v>15840783</v>
      </c>
      <c r="B1340">
        <v>202509</v>
      </c>
      <c r="C1340">
        <v>20603695128</v>
      </c>
      <c r="D1340" t="s">
        <v>1589</v>
      </c>
      <c r="E1340" t="s">
        <v>1</v>
      </c>
      <c r="F1340">
        <v>10268034</v>
      </c>
      <c r="G1340" t="s">
        <v>14</v>
      </c>
      <c r="H1340" t="s">
        <v>93</v>
      </c>
      <c r="I1340">
        <v>128274.65625</v>
      </c>
      <c r="J1340" s="1">
        <v>45799</v>
      </c>
      <c r="K1340">
        <v>17</v>
      </c>
      <c r="L1340" t="s">
        <v>37</v>
      </c>
      <c r="M1340" t="s">
        <v>37</v>
      </c>
      <c r="N1340" t="s">
        <v>98</v>
      </c>
      <c r="O1340">
        <v>202505</v>
      </c>
      <c r="P1340">
        <v>150007.5</v>
      </c>
      <c r="Q1340" t="s">
        <v>93</v>
      </c>
      <c r="R1340" t="s">
        <v>94</v>
      </c>
      <c r="S1340" t="s">
        <v>7</v>
      </c>
      <c r="T1340" t="s">
        <v>8</v>
      </c>
      <c r="U1340" t="s">
        <v>20</v>
      </c>
      <c r="V1340">
        <v>1</v>
      </c>
      <c r="W1340" t="s">
        <v>10</v>
      </c>
      <c r="X1340" t="s">
        <v>22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 t="s">
        <v>12</v>
      </c>
      <c r="AG1340" t="s">
        <v>12</v>
      </c>
      <c r="AH1340" t="s">
        <v>12</v>
      </c>
      <c r="AI1340" t="s">
        <v>12</v>
      </c>
      <c r="AJ1340" t="s">
        <v>12</v>
      </c>
      <c r="AK1340">
        <v>1</v>
      </c>
      <c r="AL1340">
        <v>1</v>
      </c>
      <c r="AM1340" t="s">
        <v>12</v>
      </c>
      <c r="AN1340" t="s">
        <v>12</v>
      </c>
      <c r="AO1340" t="s">
        <v>12</v>
      </c>
    </row>
    <row r="1341" spans="1:41" x14ac:dyDescent="0.35">
      <c r="A1341">
        <v>13480998</v>
      </c>
      <c r="B1341">
        <v>202509</v>
      </c>
      <c r="C1341">
        <v>10097306651</v>
      </c>
      <c r="D1341" t="s">
        <v>1590</v>
      </c>
      <c r="E1341">
        <v>9730665</v>
      </c>
      <c r="F1341">
        <v>10266802</v>
      </c>
      <c r="G1341" t="s">
        <v>24</v>
      </c>
      <c r="H1341" t="s">
        <v>159</v>
      </c>
      <c r="I1341">
        <v>11050.943359375</v>
      </c>
      <c r="J1341" s="1">
        <v>45747</v>
      </c>
      <c r="K1341">
        <v>25.5</v>
      </c>
      <c r="L1341" t="s">
        <v>37</v>
      </c>
      <c r="M1341" t="s">
        <v>37</v>
      </c>
      <c r="N1341" t="s">
        <v>98</v>
      </c>
      <c r="O1341">
        <v>202503</v>
      </c>
      <c r="P1341">
        <v>14500.7</v>
      </c>
      <c r="Q1341" t="s">
        <v>79</v>
      </c>
      <c r="R1341" t="s">
        <v>80</v>
      </c>
      <c r="S1341" t="s">
        <v>31</v>
      </c>
      <c r="T1341" t="s">
        <v>32</v>
      </c>
      <c r="U1341" t="s">
        <v>70</v>
      </c>
      <c r="V1341">
        <v>1</v>
      </c>
      <c r="W1341" t="s">
        <v>90</v>
      </c>
      <c r="X1341" t="s">
        <v>59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 t="s">
        <v>12</v>
      </c>
      <c r="AG1341" t="s">
        <v>12</v>
      </c>
      <c r="AH1341" t="s">
        <v>12</v>
      </c>
      <c r="AI1341" t="s">
        <v>12</v>
      </c>
      <c r="AJ1341" t="s">
        <v>12</v>
      </c>
      <c r="AK1341">
        <v>83000</v>
      </c>
      <c r="AL1341">
        <v>0.26</v>
      </c>
      <c r="AM1341">
        <v>0.24</v>
      </c>
      <c r="AN1341" t="s">
        <v>12</v>
      </c>
      <c r="AO1341" t="s">
        <v>12</v>
      </c>
    </row>
    <row r="1342" spans="1:41" x14ac:dyDescent="0.35">
      <c r="A1342">
        <v>21476329</v>
      </c>
      <c r="B1342">
        <v>202511</v>
      </c>
      <c r="C1342">
        <v>20608382403</v>
      </c>
      <c r="D1342" t="s">
        <v>1591</v>
      </c>
      <c r="E1342" t="s">
        <v>1</v>
      </c>
      <c r="F1342">
        <v>10265252</v>
      </c>
      <c r="G1342" t="s">
        <v>28</v>
      </c>
      <c r="H1342" t="s">
        <v>210</v>
      </c>
      <c r="I1342">
        <v>121782.03125</v>
      </c>
      <c r="J1342" s="1">
        <v>45699</v>
      </c>
      <c r="K1342">
        <v>18.5</v>
      </c>
      <c r="L1342" t="s">
        <v>4</v>
      </c>
      <c r="M1342" t="s">
        <v>75</v>
      </c>
      <c r="N1342" t="s">
        <v>26</v>
      </c>
      <c r="O1342">
        <v>202502</v>
      </c>
      <c r="P1342">
        <v>170008.5</v>
      </c>
      <c r="Q1342" t="s">
        <v>210</v>
      </c>
      <c r="R1342" t="s">
        <v>211</v>
      </c>
      <c r="S1342" t="s">
        <v>39</v>
      </c>
      <c r="T1342" t="s">
        <v>40</v>
      </c>
      <c r="U1342" t="s">
        <v>20</v>
      </c>
      <c r="V1342">
        <v>1</v>
      </c>
      <c r="W1342" t="s">
        <v>10</v>
      </c>
      <c r="X1342" t="s">
        <v>51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 t="s">
        <v>12</v>
      </c>
      <c r="AG1342" t="s">
        <v>12</v>
      </c>
      <c r="AH1342" t="s">
        <v>12</v>
      </c>
      <c r="AI1342" t="s">
        <v>12</v>
      </c>
      <c r="AJ1342" t="s">
        <v>12</v>
      </c>
      <c r="AK1342">
        <v>1</v>
      </c>
      <c r="AL1342">
        <v>1</v>
      </c>
      <c r="AM1342" t="s">
        <v>12</v>
      </c>
      <c r="AN1342" t="s">
        <v>12</v>
      </c>
      <c r="AO1342" t="s">
        <v>12</v>
      </c>
    </row>
    <row r="1343" spans="1:41" x14ac:dyDescent="0.35">
      <c r="A1343">
        <v>22088912</v>
      </c>
      <c r="B1343">
        <v>202601</v>
      </c>
      <c r="C1343">
        <v>20602157394</v>
      </c>
      <c r="D1343" t="s">
        <v>1592</v>
      </c>
      <c r="E1343" t="s">
        <v>1</v>
      </c>
      <c r="F1343">
        <v>10274876</v>
      </c>
      <c r="G1343" t="s">
        <v>24</v>
      </c>
      <c r="H1343" t="s">
        <v>159</v>
      </c>
      <c r="I1343">
        <v>297614.875</v>
      </c>
      <c r="J1343" s="1">
        <v>46044</v>
      </c>
      <c r="K1343">
        <v>16</v>
      </c>
      <c r="L1343" t="s">
        <v>37</v>
      </c>
      <c r="M1343" t="s">
        <v>75</v>
      </c>
      <c r="N1343" t="s">
        <v>98</v>
      </c>
      <c r="O1343">
        <v>202601</v>
      </c>
      <c r="P1343">
        <v>297614.84999999998</v>
      </c>
      <c r="Q1343" t="s">
        <v>1593</v>
      </c>
      <c r="R1343" t="s">
        <v>1594</v>
      </c>
      <c r="S1343" t="s">
        <v>585</v>
      </c>
      <c r="T1343" t="s">
        <v>586</v>
      </c>
      <c r="U1343" t="s">
        <v>98</v>
      </c>
      <c r="V1343">
        <v>3</v>
      </c>
      <c r="W1343" t="s">
        <v>10</v>
      </c>
      <c r="X1343" t="s">
        <v>51</v>
      </c>
      <c r="Y1343">
        <v>1</v>
      </c>
      <c r="Z1343">
        <v>1</v>
      </c>
      <c r="AA1343">
        <v>1</v>
      </c>
      <c r="AB1343">
        <v>1</v>
      </c>
      <c r="AC1343">
        <v>1</v>
      </c>
      <c r="AD1343" t="s">
        <v>12</v>
      </c>
      <c r="AE1343">
        <v>297614.84999999998</v>
      </c>
      <c r="AF1343">
        <v>16</v>
      </c>
      <c r="AG1343" s="1">
        <v>46044</v>
      </c>
      <c r="AH1343" t="s">
        <v>98</v>
      </c>
      <c r="AI1343" t="s">
        <v>75</v>
      </c>
      <c r="AJ1343" t="s">
        <v>33</v>
      </c>
      <c r="AK1343">
        <v>300000</v>
      </c>
      <c r="AL1343">
        <v>0.19900000000000001</v>
      </c>
      <c r="AM1343">
        <v>0.17899999999999999</v>
      </c>
      <c r="AN1343" t="s">
        <v>197</v>
      </c>
      <c r="AO1343" t="s">
        <v>33</v>
      </c>
    </row>
    <row r="1344" spans="1:41" x14ac:dyDescent="0.35">
      <c r="A1344">
        <v>18535574</v>
      </c>
      <c r="B1344">
        <v>202601</v>
      </c>
      <c r="C1344">
        <v>20601852081</v>
      </c>
      <c r="D1344" t="s">
        <v>1595</v>
      </c>
      <c r="E1344" t="s">
        <v>1</v>
      </c>
      <c r="F1344">
        <v>10270928</v>
      </c>
      <c r="G1344" t="s">
        <v>100</v>
      </c>
      <c r="H1344" t="s">
        <v>220</v>
      </c>
      <c r="I1344">
        <v>154427.4375</v>
      </c>
      <c r="J1344" s="1">
        <v>45898</v>
      </c>
      <c r="K1344">
        <v>17.200001</v>
      </c>
      <c r="L1344" t="s">
        <v>37</v>
      </c>
      <c r="M1344" t="s">
        <v>37</v>
      </c>
      <c r="N1344" t="s">
        <v>102</v>
      </c>
      <c r="O1344">
        <v>202508</v>
      </c>
      <c r="P1344">
        <v>207010.35</v>
      </c>
      <c r="Q1344" t="s">
        <v>220</v>
      </c>
      <c r="R1344" t="s">
        <v>221</v>
      </c>
      <c r="S1344" t="s">
        <v>127</v>
      </c>
      <c r="T1344" t="s">
        <v>147</v>
      </c>
      <c r="U1344" t="s">
        <v>20</v>
      </c>
      <c r="V1344">
        <v>1</v>
      </c>
      <c r="W1344" t="s">
        <v>21</v>
      </c>
      <c r="X1344" t="s">
        <v>51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 t="s">
        <v>12</v>
      </c>
      <c r="AG1344" t="s">
        <v>12</v>
      </c>
      <c r="AH1344" t="s">
        <v>12</v>
      </c>
      <c r="AI1344" t="s">
        <v>12</v>
      </c>
      <c r="AJ1344" t="s">
        <v>12</v>
      </c>
      <c r="AK1344">
        <v>1</v>
      </c>
      <c r="AL1344">
        <v>1</v>
      </c>
      <c r="AM1344">
        <v>0.24</v>
      </c>
      <c r="AN1344" t="s">
        <v>12</v>
      </c>
      <c r="AO1344" t="s">
        <v>12</v>
      </c>
    </row>
    <row r="1345" spans="1:41" x14ac:dyDescent="0.35">
      <c r="A1345">
        <v>18513865</v>
      </c>
      <c r="B1345">
        <v>202512</v>
      </c>
      <c r="C1345">
        <v>20557895419</v>
      </c>
      <c r="D1345" t="s">
        <v>1596</v>
      </c>
      <c r="E1345" t="s">
        <v>1</v>
      </c>
      <c r="F1345">
        <v>10265142</v>
      </c>
      <c r="G1345" t="s">
        <v>14</v>
      </c>
      <c r="H1345" t="s">
        <v>105</v>
      </c>
      <c r="I1345">
        <v>81275</v>
      </c>
      <c r="J1345" s="1">
        <v>45693</v>
      </c>
      <c r="K1345">
        <v>18.5</v>
      </c>
      <c r="L1345" t="s">
        <v>37</v>
      </c>
      <c r="M1345" t="s">
        <v>37</v>
      </c>
      <c r="N1345" t="s">
        <v>16</v>
      </c>
      <c r="O1345">
        <v>202502</v>
      </c>
      <c r="P1345">
        <v>130006.5</v>
      </c>
      <c r="Q1345" t="s">
        <v>105</v>
      </c>
      <c r="R1345" t="s">
        <v>106</v>
      </c>
      <c r="S1345" t="s">
        <v>88</v>
      </c>
      <c r="T1345" t="s">
        <v>89</v>
      </c>
      <c r="U1345" t="s">
        <v>41</v>
      </c>
      <c r="V1345">
        <v>2</v>
      </c>
      <c r="W1345" t="s">
        <v>10</v>
      </c>
      <c r="X1345" t="s">
        <v>11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 t="s">
        <v>12</v>
      </c>
      <c r="AG1345" t="s">
        <v>12</v>
      </c>
      <c r="AH1345" t="s">
        <v>12</v>
      </c>
      <c r="AI1345" t="s">
        <v>12</v>
      </c>
      <c r="AJ1345" t="s">
        <v>12</v>
      </c>
      <c r="AK1345">
        <v>400000</v>
      </c>
      <c r="AL1345">
        <v>0.21</v>
      </c>
      <c r="AM1345">
        <v>0.19</v>
      </c>
      <c r="AN1345" t="s">
        <v>12</v>
      </c>
      <c r="AO1345" t="s">
        <v>12</v>
      </c>
    </row>
    <row r="1346" spans="1:41" x14ac:dyDescent="0.35">
      <c r="A1346">
        <v>15793261</v>
      </c>
      <c r="B1346">
        <v>202505</v>
      </c>
      <c r="C1346">
        <v>20600410858</v>
      </c>
      <c r="D1346" t="s">
        <v>1597</v>
      </c>
      <c r="E1346" t="s">
        <v>1</v>
      </c>
      <c r="F1346">
        <v>10159456</v>
      </c>
      <c r="G1346" t="s">
        <v>2</v>
      </c>
      <c r="H1346" t="s">
        <v>79</v>
      </c>
      <c r="I1346">
        <v>22933.03515625</v>
      </c>
      <c r="J1346" s="1">
        <v>45456</v>
      </c>
      <c r="K1346">
        <v>18.600000000000001</v>
      </c>
      <c r="L1346" t="s">
        <v>4</v>
      </c>
      <c r="M1346" t="s">
        <v>4</v>
      </c>
      <c r="N1346" t="s">
        <v>5</v>
      </c>
      <c r="O1346">
        <v>202406</v>
      </c>
      <c r="P1346">
        <v>127006.35</v>
      </c>
      <c r="Q1346" t="s">
        <v>79</v>
      </c>
      <c r="R1346" t="s">
        <v>80</v>
      </c>
      <c r="S1346" t="s">
        <v>31</v>
      </c>
      <c r="T1346" t="s">
        <v>32</v>
      </c>
      <c r="U1346" t="s">
        <v>20</v>
      </c>
      <c r="V1346">
        <v>1</v>
      </c>
      <c r="W1346" t="s">
        <v>10</v>
      </c>
      <c r="X1346" t="s">
        <v>12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t="s">
        <v>12</v>
      </c>
      <c r="AG1346" t="s">
        <v>12</v>
      </c>
      <c r="AH1346" t="s">
        <v>12</v>
      </c>
      <c r="AI1346" t="s">
        <v>12</v>
      </c>
      <c r="AJ1346" t="s">
        <v>12</v>
      </c>
      <c r="AK1346">
        <v>0</v>
      </c>
      <c r="AL1346">
        <v>0</v>
      </c>
      <c r="AM1346">
        <v>0.27079999999999999</v>
      </c>
      <c r="AN1346" t="s">
        <v>12</v>
      </c>
      <c r="AO1346" t="s">
        <v>12</v>
      </c>
    </row>
    <row r="1347" spans="1:41" x14ac:dyDescent="0.35">
      <c r="A1347">
        <v>10483216</v>
      </c>
      <c r="B1347">
        <v>202505</v>
      </c>
      <c r="C1347">
        <v>20514627852</v>
      </c>
      <c r="D1347" t="s">
        <v>1598</v>
      </c>
      <c r="E1347" t="s">
        <v>1</v>
      </c>
      <c r="F1347">
        <v>10150000</v>
      </c>
      <c r="G1347" t="s">
        <v>2</v>
      </c>
      <c r="H1347" t="s">
        <v>1201</v>
      </c>
      <c r="I1347">
        <v>104021.3828125</v>
      </c>
      <c r="J1347" s="1">
        <v>45880</v>
      </c>
      <c r="K1347">
        <v>16</v>
      </c>
      <c r="L1347" t="s">
        <v>4</v>
      </c>
      <c r="M1347" t="s">
        <v>4</v>
      </c>
      <c r="N1347" t="s">
        <v>5</v>
      </c>
      <c r="O1347">
        <v>202508</v>
      </c>
      <c r="P1347">
        <v>200010</v>
      </c>
      <c r="Q1347" t="s">
        <v>1201</v>
      </c>
      <c r="R1347" t="s">
        <v>1599</v>
      </c>
      <c r="S1347" t="s">
        <v>18</v>
      </c>
      <c r="T1347" t="s">
        <v>122</v>
      </c>
      <c r="U1347" t="s">
        <v>20</v>
      </c>
      <c r="V1347">
        <v>1</v>
      </c>
      <c r="W1347" t="s">
        <v>10</v>
      </c>
      <c r="X1347" t="s">
        <v>12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12</v>
      </c>
      <c r="AG1347" t="s">
        <v>12</v>
      </c>
      <c r="AH1347" t="s">
        <v>12</v>
      </c>
      <c r="AI1347" t="s">
        <v>12</v>
      </c>
      <c r="AJ1347" t="s">
        <v>12</v>
      </c>
      <c r="AK1347">
        <v>0</v>
      </c>
      <c r="AL1347">
        <v>0</v>
      </c>
      <c r="AM1347">
        <v>0.27079999999999999</v>
      </c>
      <c r="AN1347" t="s">
        <v>12</v>
      </c>
      <c r="AO1347" t="s">
        <v>12</v>
      </c>
    </row>
    <row r="1348" spans="1:41" x14ac:dyDescent="0.35">
      <c r="A1348">
        <v>21796003</v>
      </c>
      <c r="B1348">
        <v>202511</v>
      </c>
      <c r="C1348">
        <v>20608367633</v>
      </c>
      <c r="D1348" t="s">
        <v>1600</v>
      </c>
      <c r="E1348" t="s">
        <v>1</v>
      </c>
      <c r="F1348">
        <v>10270380</v>
      </c>
      <c r="G1348" t="s">
        <v>100</v>
      </c>
      <c r="H1348" t="s">
        <v>114</v>
      </c>
      <c r="I1348">
        <v>102310.7734375</v>
      </c>
      <c r="J1348" s="1">
        <v>45883</v>
      </c>
      <c r="K1348">
        <v>20</v>
      </c>
      <c r="L1348" t="s">
        <v>37</v>
      </c>
      <c r="M1348" t="s">
        <v>37</v>
      </c>
      <c r="N1348" t="s">
        <v>102</v>
      </c>
      <c r="O1348">
        <v>202508</v>
      </c>
      <c r="P1348">
        <v>120100</v>
      </c>
      <c r="Q1348" t="s">
        <v>114</v>
      </c>
      <c r="R1348" t="s">
        <v>115</v>
      </c>
      <c r="S1348" t="s">
        <v>111</v>
      </c>
      <c r="T1348" t="s">
        <v>112</v>
      </c>
      <c r="U1348" t="s">
        <v>20</v>
      </c>
      <c r="V1348">
        <v>2</v>
      </c>
      <c r="W1348" t="s">
        <v>10</v>
      </c>
      <c r="X1348" t="s">
        <v>51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 t="s">
        <v>12</v>
      </c>
      <c r="AG1348" t="s">
        <v>12</v>
      </c>
      <c r="AH1348" t="s">
        <v>12</v>
      </c>
      <c r="AI1348" t="s">
        <v>12</v>
      </c>
      <c r="AJ1348" t="s">
        <v>12</v>
      </c>
      <c r="AK1348">
        <v>1</v>
      </c>
      <c r="AL1348">
        <v>1</v>
      </c>
      <c r="AM1348" t="s">
        <v>12</v>
      </c>
      <c r="AN1348" t="s">
        <v>12</v>
      </c>
      <c r="AO1348" t="s">
        <v>12</v>
      </c>
    </row>
    <row r="1349" spans="1:41" x14ac:dyDescent="0.35">
      <c r="A1349">
        <v>21558194</v>
      </c>
      <c r="B1349">
        <v>202509</v>
      </c>
      <c r="C1349">
        <v>20480386974</v>
      </c>
      <c r="D1349" t="s">
        <v>1601</v>
      </c>
      <c r="E1349" t="s">
        <v>1</v>
      </c>
      <c r="F1349">
        <v>10266771</v>
      </c>
      <c r="G1349" t="s">
        <v>24</v>
      </c>
      <c r="H1349" t="s">
        <v>513</v>
      </c>
      <c r="I1349">
        <v>76938.7109375</v>
      </c>
      <c r="J1349" s="1">
        <v>45747</v>
      </c>
      <c r="K1349">
        <v>20.5</v>
      </c>
      <c r="L1349" t="s">
        <v>37</v>
      </c>
      <c r="M1349" t="s">
        <v>37</v>
      </c>
      <c r="N1349" t="s">
        <v>98</v>
      </c>
      <c r="O1349">
        <v>202503</v>
      </c>
      <c r="P1349">
        <v>102005.1</v>
      </c>
      <c r="Q1349" t="s">
        <v>513</v>
      </c>
      <c r="R1349" t="s">
        <v>514</v>
      </c>
      <c r="S1349" t="s">
        <v>111</v>
      </c>
      <c r="T1349" t="s">
        <v>112</v>
      </c>
      <c r="U1349" t="s">
        <v>20</v>
      </c>
      <c r="V1349">
        <v>2</v>
      </c>
      <c r="W1349" t="s">
        <v>10</v>
      </c>
      <c r="X1349" t="s">
        <v>22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 t="s">
        <v>12</v>
      </c>
      <c r="AG1349" t="s">
        <v>12</v>
      </c>
      <c r="AH1349" t="s">
        <v>12</v>
      </c>
      <c r="AI1349" t="s">
        <v>12</v>
      </c>
      <c r="AJ1349" t="s">
        <v>12</v>
      </c>
      <c r="AK1349">
        <v>1</v>
      </c>
      <c r="AL1349">
        <v>1</v>
      </c>
      <c r="AM1349" t="s">
        <v>12</v>
      </c>
      <c r="AN1349" t="s">
        <v>12</v>
      </c>
      <c r="AO1349" t="s">
        <v>12</v>
      </c>
    </row>
    <row r="1350" spans="1:41" x14ac:dyDescent="0.35">
      <c r="A1350">
        <v>11777258</v>
      </c>
      <c r="B1350">
        <v>202602</v>
      </c>
      <c r="C1350">
        <v>20515632124</v>
      </c>
      <c r="D1350" t="s">
        <v>1043</v>
      </c>
      <c r="E1350" t="s">
        <v>1</v>
      </c>
      <c r="F1350">
        <v>10264223</v>
      </c>
      <c r="G1350" t="s">
        <v>92</v>
      </c>
      <c r="H1350" t="s">
        <v>246</v>
      </c>
      <c r="I1350">
        <v>69553.375</v>
      </c>
      <c r="J1350" s="1">
        <v>45652</v>
      </c>
      <c r="K1350">
        <v>18</v>
      </c>
      <c r="L1350" t="s">
        <v>4</v>
      </c>
      <c r="M1350" t="s">
        <v>4</v>
      </c>
      <c r="N1350" t="s">
        <v>41</v>
      </c>
      <c r="O1350">
        <v>202412</v>
      </c>
      <c r="P1350">
        <v>144551.20000000001</v>
      </c>
      <c r="Q1350" t="s">
        <v>246</v>
      </c>
      <c r="R1350" t="s">
        <v>247</v>
      </c>
      <c r="S1350" t="s">
        <v>18</v>
      </c>
      <c r="T1350" t="s">
        <v>19</v>
      </c>
      <c r="U1350" t="s">
        <v>20</v>
      </c>
      <c r="V1350">
        <v>1</v>
      </c>
      <c r="W1350" t="s">
        <v>10</v>
      </c>
      <c r="X1350" t="s">
        <v>22</v>
      </c>
      <c r="Y1350">
        <v>1</v>
      </c>
      <c r="Z1350">
        <v>1</v>
      </c>
      <c r="AA1350">
        <v>0</v>
      </c>
      <c r="AB1350">
        <v>0</v>
      </c>
      <c r="AC1350">
        <v>1</v>
      </c>
      <c r="AD1350">
        <v>1</v>
      </c>
      <c r="AE1350">
        <v>0</v>
      </c>
      <c r="AF1350" t="s">
        <v>12</v>
      </c>
      <c r="AG1350" t="s">
        <v>12</v>
      </c>
      <c r="AH1350" t="s">
        <v>12</v>
      </c>
      <c r="AI1350" t="s">
        <v>12</v>
      </c>
      <c r="AJ1350" t="s">
        <v>12</v>
      </c>
      <c r="AK1350">
        <v>1</v>
      </c>
      <c r="AL1350">
        <v>1</v>
      </c>
      <c r="AM1350" t="s">
        <v>12</v>
      </c>
      <c r="AN1350" t="s">
        <v>12</v>
      </c>
      <c r="AO1350" t="s">
        <v>12</v>
      </c>
    </row>
    <row r="1351" spans="1:41" x14ac:dyDescent="0.35">
      <c r="A1351">
        <v>17120512</v>
      </c>
      <c r="B1351">
        <v>202507</v>
      </c>
      <c r="C1351">
        <v>20549219269</v>
      </c>
      <c r="D1351" t="s">
        <v>794</v>
      </c>
      <c r="E1351" t="s">
        <v>1</v>
      </c>
      <c r="F1351">
        <v>10263429</v>
      </c>
      <c r="G1351" t="s">
        <v>293</v>
      </c>
      <c r="H1351" t="s">
        <v>294</v>
      </c>
      <c r="I1351">
        <v>270710.75</v>
      </c>
      <c r="J1351" s="1">
        <v>45625</v>
      </c>
      <c r="K1351">
        <v>12</v>
      </c>
      <c r="L1351" t="s">
        <v>4</v>
      </c>
      <c r="M1351" t="s">
        <v>4</v>
      </c>
      <c r="N1351" t="s">
        <v>12</v>
      </c>
      <c r="O1351">
        <v>202411</v>
      </c>
      <c r="P1351">
        <v>307015.34999999998</v>
      </c>
      <c r="Q1351" t="s">
        <v>294</v>
      </c>
      <c r="R1351" t="s">
        <v>295</v>
      </c>
      <c r="S1351" t="s">
        <v>7</v>
      </c>
      <c r="T1351" t="s">
        <v>8</v>
      </c>
      <c r="U1351" t="s">
        <v>20</v>
      </c>
      <c r="V1351">
        <v>1</v>
      </c>
      <c r="W1351" t="s">
        <v>10</v>
      </c>
      <c r="X1351" t="s">
        <v>12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 t="s">
        <v>12</v>
      </c>
      <c r="AG1351" t="s">
        <v>12</v>
      </c>
      <c r="AH1351" t="s">
        <v>12</v>
      </c>
      <c r="AI1351" t="s">
        <v>12</v>
      </c>
      <c r="AJ1351" t="s">
        <v>12</v>
      </c>
      <c r="AK1351">
        <v>1</v>
      </c>
      <c r="AL1351">
        <v>0.18779999999999999</v>
      </c>
      <c r="AM1351" t="s">
        <v>12</v>
      </c>
      <c r="AN1351" t="s">
        <v>12</v>
      </c>
      <c r="AO1351" t="s">
        <v>12</v>
      </c>
    </row>
    <row r="1352" spans="1:41" x14ac:dyDescent="0.35">
      <c r="A1352">
        <v>22037055</v>
      </c>
      <c r="B1352">
        <v>202602</v>
      </c>
      <c r="C1352">
        <v>20493491491</v>
      </c>
      <c r="D1352" t="s">
        <v>1602</v>
      </c>
      <c r="E1352" t="s">
        <v>1</v>
      </c>
      <c r="F1352">
        <v>10274239</v>
      </c>
      <c r="G1352" t="s">
        <v>14</v>
      </c>
      <c r="H1352" t="s">
        <v>159</v>
      </c>
      <c r="I1352">
        <v>144834.484375</v>
      </c>
      <c r="J1352" s="1">
        <v>46020</v>
      </c>
      <c r="K1352">
        <v>16</v>
      </c>
      <c r="L1352" t="s">
        <v>86</v>
      </c>
      <c r="M1352" t="s">
        <v>86</v>
      </c>
      <c r="N1352" t="s">
        <v>16</v>
      </c>
      <c r="O1352">
        <v>202512</v>
      </c>
      <c r="P1352">
        <v>150007.5</v>
      </c>
      <c r="Q1352" t="s">
        <v>12</v>
      </c>
      <c r="R1352" t="s">
        <v>12</v>
      </c>
      <c r="S1352" t="s">
        <v>12</v>
      </c>
      <c r="T1352" t="s">
        <v>12</v>
      </c>
      <c r="U1352" t="s">
        <v>12</v>
      </c>
      <c r="V1352" t="s">
        <v>12</v>
      </c>
      <c r="W1352" t="s">
        <v>12</v>
      </c>
      <c r="X1352" t="s">
        <v>12</v>
      </c>
      <c r="Y1352" t="s">
        <v>12</v>
      </c>
      <c r="Z1352" t="s">
        <v>12</v>
      </c>
      <c r="AA1352" t="s">
        <v>12</v>
      </c>
      <c r="AB1352" t="s">
        <v>12</v>
      </c>
      <c r="AC1352" t="s">
        <v>12</v>
      </c>
      <c r="AD1352" t="s">
        <v>12</v>
      </c>
      <c r="AE1352" t="s">
        <v>12</v>
      </c>
      <c r="AF1352" t="s">
        <v>12</v>
      </c>
      <c r="AG1352" t="s">
        <v>12</v>
      </c>
      <c r="AH1352" t="s">
        <v>12</v>
      </c>
      <c r="AI1352" t="s">
        <v>12</v>
      </c>
      <c r="AJ1352" t="s">
        <v>12</v>
      </c>
      <c r="AK1352" t="s">
        <v>12</v>
      </c>
      <c r="AL1352" t="s">
        <v>12</v>
      </c>
      <c r="AM1352" t="s">
        <v>12</v>
      </c>
      <c r="AN1352" t="s">
        <v>12</v>
      </c>
      <c r="AO1352" t="s">
        <v>12</v>
      </c>
    </row>
    <row r="1353" spans="1:41" x14ac:dyDescent="0.35">
      <c r="A1353">
        <v>12999749</v>
      </c>
      <c r="B1353">
        <v>202601</v>
      </c>
      <c r="C1353">
        <v>20549226044</v>
      </c>
      <c r="D1353" t="s">
        <v>913</v>
      </c>
      <c r="E1353" t="s">
        <v>1</v>
      </c>
      <c r="F1353">
        <v>10271686</v>
      </c>
      <c r="G1353" t="s">
        <v>78</v>
      </c>
      <c r="H1353" t="s">
        <v>7</v>
      </c>
      <c r="I1353">
        <v>100055.40625</v>
      </c>
      <c r="J1353" s="1">
        <v>45924</v>
      </c>
      <c r="K1353">
        <v>16.989999999999998</v>
      </c>
      <c r="L1353" t="s">
        <v>86</v>
      </c>
      <c r="M1353" t="s">
        <v>86</v>
      </c>
      <c r="N1353" t="s">
        <v>41</v>
      </c>
      <c r="O1353">
        <v>202509</v>
      </c>
      <c r="P1353">
        <v>112405.6</v>
      </c>
      <c r="Q1353" t="s">
        <v>305</v>
      </c>
      <c r="R1353" t="s">
        <v>306</v>
      </c>
      <c r="S1353" t="s">
        <v>7</v>
      </c>
      <c r="T1353" t="s">
        <v>8</v>
      </c>
      <c r="U1353" t="s">
        <v>168</v>
      </c>
      <c r="V1353">
        <v>1</v>
      </c>
      <c r="W1353" t="s">
        <v>21</v>
      </c>
      <c r="X1353" t="s">
        <v>11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 t="s">
        <v>12</v>
      </c>
      <c r="AG1353" t="s">
        <v>12</v>
      </c>
      <c r="AH1353" t="s">
        <v>12</v>
      </c>
      <c r="AI1353" t="s">
        <v>12</v>
      </c>
      <c r="AJ1353" t="s">
        <v>12</v>
      </c>
      <c r="AK1353">
        <v>0</v>
      </c>
      <c r="AL1353">
        <v>0</v>
      </c>
      <c r="AM1353">
        <v>0</v>
      </c>
      <c r="AN1353" t="s">
        <v>12</v>
      </c>
      <c r="AO1353" t="s">
        <v>12</v>
      </c>
    </row>
    <row r="1354" spans="1:41" x14ac:dyDescent="0.35">
      <c r="A1354">
        <v>21675957</v>
      </c>
      <c r="B1354">
        <v>202602</v>
      </c>
      <c r="C1354">
        <v>20600131819</v>
      </c>
      <c r="D1354" t="s">
        <v>1603</v>
      </c>
      <c r="E1354" t="s">
        <v>1</v>
      </c>
      <c r="F1354">
        <v>10268456</v>
      </c>
      <c r="G1354" t="s">
        <v>332</v>
      </c>
      <c r="H1354" t="s">
        <v>531</v>
      </c>
      <c r="I1354">
        <v>98345.8828125</v>
      </c>
      <c r="J1354" s="1">
        <v>45813</v>
      </c>
      <c r="K1354">
        <v>18.530000999999999</v>
      </c>
      <c r="L1354" t="s">
        <v>37</v>
      </c>
      <c r="M1354" t="s">
        <v>75</v>
      </c>
      <c r="N1354" t="s">
        <v>47</v>
      </c>
      <c r="O1354">
        <v>202506</v>
      </c>
      <c r="P1354">
        <v>120006</v>
      </c>
      <c r="Q1354" t="s">
        <v>531</v>
      </c>
      <c r="R1354" t="s">
        <v>532</v>
      </c>
      <c r="S1354" t="s">
        <v>39</v>
      </c>
      <c r="T1354" t="s">
        <v>40</v>
      </c>
      <c r="U1354" t="s">
        <v>20</v>
      </c>
      <c r="V1354">
        <v>1</v>
      </c>
      <c r="W1354" t="s">
        <v>10</v>
      </c>
      <c r="X1354" t="s">
        <v>22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 t="s">
        <v>12</v>
      </c>
      <c r="AG1354" t="s">
        <v>12</v>
      </c>
      <c r="AH1354" t="s">
        <v>12</v>
      </c>
      <c r="AI1354" t="s">
        <v>12</v>
      </c>
      <c r="AJ1354" t="s">
        <v>12</v>
      </c>
      <c r="AK1354">
        <v>1</v>
      </c>
      <c r="AL1354">
        <v>1</v>
      </c>
      <c r="AM1354" t="s">
        <v>12</v>
      </c>
      <c r="AN1354" t="s">
        <v>12</v>
      </c>
      <c r="AO1354" t="s">
        <v>12</v>
      </c>
    </row>
    <row r="1355" spans="1:41" x14ac:dyDescent="0.35">
      <c r="A1355">
        <v>21050173</v>
      </c>
      <c r="B1355">
        <v>202509</v>
      </c>
      <c r="C1355">
        <v>20125374680</v>
      </c>
      <c r="D1355" t="s">
        <v>1604</v>
      </c>
      <c r="E1355" t="s">
        <v>1</v>
      </c>
      <c r="F1355">
        <v>10258440</v>
      </c>
      <c r="G1355" t="s">
        <v>45</v>
      </c>
      <c r="H1355" t="s">
        <v>1605</v>
      </c>
      <c r="I1355">
        <v>13206.78515625</v>
      </c>
      <c r="J1355" s="1">
        <v>45504</v>
      </c>
      <c r="K1355">
        <v>16.399999999999999</v>
      </c>
      <c r="L1355" t="s">
        <v>37</v>
      </c>
      <c r="M1355" t="s">
        <v>37</v>
      </c>
      <c r="N1355" t="s">
        <v>47</v>
      </c>
      <c r="O1355">
        <v>202407</v>
      </c>
      <c r="P1355">
        <v>20001</v>
      </c>
      <c r="Q1355" t="s">
        <v>12</v>
      </c>
      <c r="R1355" t="s">
        <v>12</v>
      </c>
      <c r="S1355" t="s">
        <v>12</v>
      </c>
      <c r="T1355" t="s">
        <v>12</v>
      </c>
      <c r="U1355" t="s">
        <v>41</v>
      </c>
      <c r="V1355">
        <v>2</v>
      </c>
      <c r="W1355" t="s">
        <v>10</v>
      </c>
      <c r="X1355" t="s">
        <v>59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 t="s">
        <v>12</v>
      </c>
      <c r="AG1355" t="s">
        <v>12</v>
      </c>
      <c r="AH1355" t="s">
        <v>12</v>
      </c>
      <c r="AI1355" t="s">
        <v>12</v>
      </c>
      <c r="AJ1355" t="s">
        <v>12</v>
      </c>
      <c r="AK1355">
        <v>250000</v>
      </c>
      <c r="AL1355">
        <v>0.23</v>
      </c>
      <c r="AM1355">
        <v>0.21</v>
      </c>
      <c r="AN1355" t="s">
        <v>12</v>
      </c>
      <c r="AO1355" t="s">
        <v>12</v>
      </c>
    </row>
    <row r="1356" spans="1:41" x14ac:dyDescent="0.35">
      <c r="A1356">
        <v>21523888</v>
      </c>
      <c r="B1356">
        <v>202509</v>
      </c>
      <c r="C1356">
        <v>20604938652</v>
      </c>
      <c r="D1356" t="s">
        <v>1606</v>
      </c>
      <c r="E1356" t="s">
        <v>1</v>
      </c>
      <c r="F1356">
        <v>10266095</v>
      </c>
      <c r="G1356" t="s">
        <v>28</v>
      </c>
      <c r="H1356" t="s">
        <v>39</v>
      </c>
      <c r="I1356">
        <v>72643.3359375</v>
      </c>
      <c r="J1356" s="1">
        <v>45728</v>
      </c>
      <c r="K1356">
        <v>21</v>
      </c>
      <c r="L1356" t="s">
        <v>4</v>
      </c>
      <c r="M1356" t="s">
        <v>75</v>
      </c>
      <c r="N1356" t="s">
        <v>26</v>
      </c>
      <c r="O1356">
        <v>202503</v>
      </c>
      <c r="P1356">
        <v>104005.2</v>
      </c>
      <c r="Q1356" t="s">
        <v>12</v>
      </c>
      <c r="R1356" t="s">
        <v>12</v>
      </c>
      <c r="S1356" t="s">
        <v>12</v>
      </c>
      <c r="T1356" t="s">
        <v>12</v>
      </c>
      <c r="U1356" t="s">
        <v>12</v>
      </c>
      <c r="V1356" t="s">
        <v>12</v>
      </c>
      <c r="W1356" t="s">
        <v>12</v>
      </c>
      <c r="X1356" t="s">
        <v>12</v>
      </c>
      <c r="Y1356" t="s">
        <v>12</v>
      </c>
      <c r="Z1356" t="s">
        <v>12</v>
      </c>
      <c r="AA1356" t="s">
        <v>12</v>
      </c>
      <c r="AB1356" t="s">
        <v>12</v>
      </c>
      <c r="AC1356" t="s">
        <v>12</v>
      </c>
      <c r="AD1356" t="s">
        <v>12</v>
      </c>
      <c r="AE1356" t="s">
        <v>12</v>
      </c>
      <c r="AF1356" t="s">
        <v>12</v>
      </c>
      <c r="AG1356" t="s">
        <v>12</v>
      </c>
      <c r="AH1356" t="s">
        <v>12</v>
      </c>
      <c r="AI1356" t="s">
        <v>12</v>
      </c>
      <c r="AJ1356" t="s">
        <v>12</v>
      </c>
      <c r="AK1356" t="s">
        <v>12</v>
      </c>
      <c r="AL1356" t="s">
        <v>12</v>
      </c>
      <c r="AM1356" t="s">
        <v>12</v>
      </c>
      <c r="AN1356" t="s">
        <v>12</v>
      </c>
      <c r="AO1356" t="s">
        <v>12</v>
      </c>
    </row>
    <row r="1357" spans="1:41" x14ac:dyDescent="0.35">
      <c r="A1357">
        <v>19969368</v>
      </c>
      <c r="B1357">
        <v>202512</v>
      </c>
      <c r="C1357">
        <v>20603704267</v>
      </c>
      <c r="D1357" t="s">
        <v>662</v>
      </c>
      <c r="E1357" t="s">
        <v>1</v>
      </c>
      <c r="F1357">
        <v>10260093</v>
      </c>
      <c r="G1357" t="s">
        <v>92</v>
      </c>
      <c r="H1357" t="s">
        <v>458</v>
      </c>
      <c r="I1357">
        <v>91512.0703125</v>
      </c>
      <c r="J1357" s="1">
        <v>45544</v>
      </c>
      <c r="K1357">
        <v>19.5</v>
      </c>
      <c r="L1357" t="s">
        <v>4</v>
      </c>
      <c r="M1357" t="s">
        <v>4</v>
      </c>
      <c r="N1357" t="s">
        <v>41</v>
      </c>
      <c r="O1357">
        <v>202409</v>
      </c>
      <c r="P1357">
        <v>200379.84</v>
      </c>
      <c r="Q1357" t="s">
        <v>458</v>
      </c>
      <c r="R1357" t="s">
        <v>459</v>
      </c>
      <c r="S1357" t="s">
        <v>31</v>
      </c>
      <c r="T1357" t="s">
        <v>32</v>
      </c>
      <c r="U1357" t="s">
        <v>9</v>
      </c>
      <c r="V1357">
        <v>1</v>
      </c>
      <c r="W1357" t="s">
        <v>10</v>
      </c>
      <c r="X1357" t="s">
        <v>51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 t="s">
        <v>12</v>
      </c>
      <c r="AG1357" t="s">
        <v>12</v>
      </c>
      <c r="AH1357" t="s">
        <v>12</v>
      </c>
      <c r="AI1357" t="s">
        <v>12</v>
      </c>
      <c r="AJ1357" t="s">
        <v>12</v>
      </c>
      <c r="AK1357">
        <v>0</v>
      </c>
      <c r="AL1357">
        <v>0</v>
      </c>
      <c r="AM1357">
        <v>0</v>
      </c>
      <c r="AN1357" t="s">
        <v>12</v>
      </c>
      <c r="AO1357" t="s">
        <v>12</v>
      </c>
    </row>
    <row r="1358" spans="1:41" x14ac:dyDescent="0.35">
      <c r="A1358">
        <v>21539967</v>
      </c>
      <c r="B1358">
        <v>202512</v>
      </c>
      <c r="C1358">
        <v>10174463218</v>
      </c>
      <c r="D1358" t="s">
        <v>1607</v>
      </c>
      <c r="E1358">
        <v>17446321</v>
      </c>
      <c r="F1358">
        <v>10266354</v>
      </c>
      <c r="G1358" t="s">
        <v>24</v>
      </c>
      <c r="H1358" t="s">
        <v>49</v>
      </c>
      <c r="I1358">
        <v>46559.390625</v>
      </c>
      <c r="J1358" s="1">
        <v>45736</v>
      </c>
      <c r="K1358">
        <v>18</v>
      </c>
      <c r="L1358" t="s">
        <v>37</v>
      </c>
      <c r="M1358" t="s">
        <v>37</v>
      </c>
      <c r="N1358" t="s">
        <v>98</v>
      </c>
      <c r="O1358">
        <v>202503</v>
      </c>
      <c r="P1358">
        <v>70003.5</v>
      </c>
      <c r="Q1358" t="s">
        <v>46</v>
      </c>
      <c r="R1358" t="s">
        <v>48</v>
      </c>
      <c r="S1358" t="s">
        <v>49</v>
      </c>
      <c r="T1358" t="s">
        <v>50</v>
      </c>
      <c r="U1358" t="s">
        <v>41</v>
      </c>
      <c r="V1358">
        <v>1</v>
      </c>
      <c r="W1358" t="s">
        <v>10</v>
      </c>
      <c r="X1358" t="s">
        <v>59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 t="s">
        <v>12</v>
      </c>
      <c r="AG1358" t="s">
        <v>12</v>
      </c>
      <c r="AH1358" t="s">
        <v>12</v>
      </c>
      <c r="AI1358" t="s">
        <v>12</v>
      </c>
      <c r="AJ1358" t="s">
        <v>12</v>
      </c>
      <c r="AK1358">
        <v>200000</v>
      </c>
      <c r="AL1358">
        <v>0.2442</v>
      </c>
      <c r="AM1358">
        <v>0.22420000000000001</v>
      </c>
      <c r="AN1358" t="s">
        <v>12</v>
      </c>
      <c r="AO1358" t="s">
        <v>12</v>
      </c>
    </row>
    <row r="1359" spans="1:41" x14ac:dyDescent="0.35">
      <c r="A1359">
        <v>14536413</v>
      </c>
      <c r="B1359">
        <v>202511</v>
      </c>
      <c r="C1359">
        <v>10484656296</v>
      </c>
      <c r="D1359" t="s">
        <v>1608</v>
      </c>
      <c r="E1359">
        <v>48465629</v>
      </c>
      <c r="F1359">
        <v>10266919</v>
      </c>
      <c r="G1359" t="s">
        <v>100</v>
      </c>
      <c r="H1359" t="s">
        <v>257</v>
      </c>
      <c r="I1359">
        <v>133533.53125</v>
      </c>
      <c r="J1359" s="1">
        <v>45755</v>
      </c>
      <c r="K1359">
        <v>20</v>
      </c>
      <c r="L1359" t="s">
        <v>37</v>
      </c>
      <c r="M1359" t="s">
        <v>37</v>
      </c>
      <c r="N1359" t="s">
        <v>102</v>
      </c>
      <c r="O1359">
        <v>202504</v>
      </c>
      <c r="P1359">
        <v>207010.35</v>
      </c>
      <c r="Q1359" t="s">
        <v>12</v>
      </c>
      <c r="R1359" t="s">
        <v>12</v>
      </c>
      <c r="S1359" t="s">
        <v>12</v>
      </c>
      <c r="T1359" t="s">
        <v>12</v>
      </c>
      <c r="U1359" t="s">
        <v>12</v>
      </c>
      <c r="V1359" t="s">
        <v>12</v>
      </c>
      <c r="W1359" t="s">
        <v>12</v>
      </c>
      <c r="X1359" t="s">
        <v>12</v>
      </c>
      <c r="Y1359" t="s">
        <v>12</v>
      </c>
      <c r="Z1359" t="s">
        <v>12</v>
      </c>
      <c r="AA1359" t="s">
        <v>12</v>
      </c>
      <c r="AB1359" t="s">
        <v>12</v>
      </c>
      <c r="AC1359" t="s">
        <v>12</v>
      </c>
      <c r="AD1359" t="s">
        <v>12</v>
      </c>
      <c r="AE1359" t="s">
        <v>12</v>
      </c>
      <c r="AF1359" t="s">
        <v>12</v>
      </c>
      <c r="AG1359" t="s">
        <v>12</v>
      </c>
      <c r="AH1359" t="s">
        <v>12</v>
      </c>
      <c r="AI1359" t="s">
        <v>12</v>
      </c>
      <c r="AJ1359" t="s">
        <v>12</v>
      </c>
      <c r="AK1359" t="s">
        <v>12</v>
      </c>
      <c r="AL1359" t="s">
        <v>12</v>
      </c>
      <c r="AM1359" t="s">
        <v>12</v>
      </c>
      <c r="AN1359" t="s">
        <v>12</v>
      </c>
      <c r="AO1359" t="s">
        <v>12</v>
      </c>
    </row>
    <row r="1360" spans="1:41" x14ac:dyDescent="0.35">
      <c r="A1360">
        <v>21459752</v>
      </c>
      <c r="B1360">
        <v>202508</v>
      </c>
      <c r="C1360">
        <v>20482497951</v>
      </c>
      <c r="D1360" t="s">
        <v>1609</v>
      </c>
      <c r="E1360" t="s">
        <v>1</v>
      </c>
      <c r="F1360">
        <v>10265711</v>
      </c>
      <c r="G1360" t="s">
        <v>14</v>
      </c>
      <c r="H1360" t="s">
        <v>85</v>
      </c>
      <c r="I1360">
        <v>54307.640625</v>
      </c>
      <c r="J1360" s="1">
        <v>45714</v>
      </c>
      <c r="K1360">
        <v>18.5</v>
      </c>
      <c r="L1360" t="s">
        <v>37</v>
      </c>
      <c r="M1360" t="s">
        <v>37</v>
      </c>
      <c r="N1360" t="s">
        <v>16</v>
      </c>
      <c r="O1360">
        <v>202502</v>
      </c>
      <c r="P1360">
        <v>69503.45</v>
      </c>
      <c r="Q1360" t="s">
        <v>85</v>
      </c>
      <c r="R1360" t="s">
        <v>87</v>
      </c>
      <c r="S1360" t="s">
        <v>88</v>
      </c>
      <c r="T1360" t="s">
        <v>89</v>
      </c>
      <c r="U1360" t="s">
        <v>41</v>
      </c>
      <c r="V1360">
        <v>2</v>
      </c>
      <c r="W1360" t="s">
        <v>10</v>
      </c>
      <c r="X1360" t="s">
        <v>12</v>
      </c>
      <c r="Y1360">
        <v>1</v>
      </c>
      <c r="Z1360">
        <v>1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 t="s">
        <v>12</v>
      </c>
      <c r="AG1360" t="s">
        <v>12</v>
      </c>
      <c r="AH1360" t="s">
        <v>12</v>
      </c>
      <c r="AI1360" t="s">
        <v>12</v>
      </c>
      <c r="AJ1360" t="s">
        <v>12</v>
      </c>
      <c r="AK1360">
        <v>250000</v>
      </c>
      <c r="AL1360">
        <v>0.21</v>
      </c>
      <c r="AM1360">
        <v>0.19</v>
      </c>
      <c r="AN1360" t="s">
        <v>12</v>
      </c>
      <c r="AO1360" t="s">
        <v>12</v>
      </c>
    </row>
    <row r="1361" spans="1:41" x14ac:dyDescent="0.35">
      <c r="A1361">
        <v>18012082</v>
      </c>
      <c r="B1361">
        <v>202506</v>
      </c>
      <c r="C1361">
        <v>20510564775</v>
      </c>
      <c r="D1361" t="s">
        <v>1610</v>
      </c>
      <c r="E1361" t="s">
        <v>1</v>
      </c>
      <c r="F1361">
        <v>10239654</v>
      </c>
      <c r="G1361" t="s">
        <v>92</v>
      </c>
      <c r="H1361" t="s">
        <v>246</v>
      </c>
      <c r="I1361">
        <v>12552.24609375</v>
      </c>
      <c r="J1361" s="1">
        <v>45086</v>
      </c>
      <c r="K1361">
        <v>20.100000000000001</v>
      </c>
      <c r="L1361" t="s">
        <v>4</v>
      </c>
      <c r="M1361" t="s">
        <v>4</v>
      </c>
      <c r="N1361" t="s">
        <v>41</v>
      </c>
      <c r="O1361">
        <v>202306</v>
      </c>
      <c r="P1361">
        <v>250012.5</v>
      </c>
      <c r="Q1361" t="s">
        <v>1373</v>
      </c>
      <c r="R1361" t="s">
        <v>247</v>
      </c>
      <c r="S1361" t="s">
        <v>18</v>
      </c>
      <c r="T1361" t="s">
        <v>122</v>
      </c>
      <c r="U1361" t="s">
        <v>41</v>
      </c>
      <c r="V1361">
        <v>1</v>
      </c>
      <c r="W1361" t="s">
        <v>10</v>
      </c>
      <c r="X1361" t="s">
        <v>12</v>
      </c>
      <c r="Y1361">
        <v>1</v>
      </c>
      <c r="Z1361">
        <v>1</v>
      </c>
      <c r="AA1361">
        <v>0</v>
      </c>
      <c r="AB1361">
        <v>1</v>
      </c>
      <c r="AC1361">
        <v>1</v>
      </c>
      <c r="AD1361">
        <v>1</v>
      </c>
      <c r="AE1361">
        <v>0</v>
      </c>
      <c r="AF1361" t="s">
        <v>12</v>
      </c>
      <c r="AG1361" t="s">
        <v>12</v>
      </c>
      <c r="AH1361" t="s">
        <v>12</v>
      </c>
      <c r="AI1361" t="s">
        <v>12</v>
      </c>
      <c r="AJ1361" t="s">
        <v>12</v>
      </c>
      <c r="AK1361">
        <v>250000</v>
      </c>
      <c r="AL1361">
        <v>0.24</v>
      </c>
      <c r="AM1361">
        <v>0.2233</v>
      </c>
      <c r="AN1361" t="s">
        <v>12</v>
      </c>
      <c r="AO1361" t="s">
        <v>12</v>
      </c>
    </row>
    <row r="1362" spans="1:41" x14ac:dyDescent="0.35">
      <c r="A1362">
        <v>14440564</v>
      </c>
      <c r="B1362">
        <v>202601</v>
      </c>
      <c r="C1362">
        <v>20600875605</v>
      </c>
      <c r="D1362" t="s">
        <v>1611</v>
      </c>
      <c r="E1362" t="s">
        <v>1</v>
      </c>
      <c r="F1362">
        <v>10228958</v>
      </c>
      <c r="G1362" t="s">
        <v>92</v>
      </c>
      <c r="H1362" t="s">
        <v>492</v>
      </c>
      <c r="I1362">
        <v>26481.939453125</v>
      </c>
      <c r="J1362" s="1">
        <v>44813</v>
      </c>
      <c r="K1362">
        <v>21.1</v>
      </c>
      <c r="L1362" t="s">
        <v>4</v>
      </c>
      <c r="M1362" t="s">
        <v>4</v>
      </c>
      <c r="N1362" t="s">
        <v>41</v>
      </c>
      <c r="O1362">
        <v>202209</v>
      </c>
      <c r="P1362">
        <v>156007.79999999999</v>
      </c>
      <c r="Q1362" t="s">
        <v>492</v>
      </c>
      <c r="R1362" t="s">
        <v>493</v>
      </c>
      <c r="S1362" t="s">
        <v>49</v>
      </c>
      <c r="T1362" t="s">
        <v>50</v>
      </c>
      <c r="U1362" t="s">
        <v>63</v>
      </c>
      <c r="V1362">
        <v>1</v>
      </c>
      <c r="W1362" t="s">
        <v>21</v>
      </c>
      <c r="X1362" t="s">
        <v>51</v>
      </c>
      <c r="Y1362">
        <v>1</v>
      </c>
      <c r="Z1362">
        <v>1</v>
      </c>
      <c r="AA1362">
        <v>0</v>
      </c>
      <c r="AB1362">
        <v>0</v>
      </c>
      <c r="AC1362">
        <v>1</v>
      </c>
      <c r="AD1362">
        <v>1</v>
      </c>
      <c r="AE1362">
        <v>0</v>
      </c>
      <c r="AF1362" t="s">
        <v>12</v>
      </c>
      <c r="AG1362" t="s">
        <v>12</v>
      </c>
      <c r="AH1362" t="s">
        <v>12</v>
      </c>
      <c r="AI1362" t="s">
        <v>12</v>
      </c>
      <c r="AJ1362" t="s">
        <v>12</v>
      </c>
      <c r="AK1362">
        <v>250000</v>
      </c>
      <c r="AL1362">
        <v>0.21</v>
      </c>
      <c r="AM1362">
        <v>0.19</v>
      </c>
      <c r="AN1362" t="s">
        <v>12</v>
      </c>
      <c r="AO1362" t="s">
        <v>12</v>
      </c>
    </row>
    <row r="1363" spans="1:41" x14ac:dyDescent="0.35">
      <c r="A1363">
        <v>16898363</v>
      </c>
      <c r="B1363">
        <v>202502</v>
      </c>
      <c r="C1363">
        <v>20600073649</v>
      </c>
      <c r="D1363" t="s">
        <v>1612</v>
      </c>
      <c r="E1363" t="s">
        <v>1</v>
      </c>
      <c r="F1363">
        <v>10244996</v>
      </c>
      <c r="G1363" t="s">
        <v>35</v>
      </c>
      <c r="H1363" t="s">
        <v>159</v>
      </c>
      <c r="I1363">
        <v>34473.56640625</v>
      </c>
      <c r="J1363" s="1">
        <v>45219</v>
      </c>
      <c r="K1363">
        <v>18</v>
      </c>
      <c r="L1363" t="s">
        <v>37</v>
      </c>
      <c r="M1363" t="s">
        <v>37</v>
      </c>
      <c r="N1363" t="s">
        <v>12</v>
      </c>
      <c r="O1363">
        <v>202310</v>
      </c>
      <c r="P1363">
        <v>92794.6</v>
      </c>
      <c r="Q1363" t="s">
        <v>500</v>
      </c>
      <c r="R1363" t="s">
        <v>501</v>
      </c>
      <c r="S1363" t="s">
        <v>31</v>
      </c>
      <c r="T1363" t="s">
        <v>32</v>
      </c>
      <c r="U1363" t="s">
        <v>70</v>
      </c>
      <c r="V1363">
        <v>1</v>
      </c>
      <c r="W1363" t="s">
        <v>10</v>
      </c>
      <c r="X1363" t="s">
        <v>12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 t="s">
        <v>12</v>
      </c>
      <c r="AG1363" t="s">
        <v>12</v>
      </c>
      <c r="AH1363" t="s">
        <v>12</v>
      </c>
      <c r="AI1363" t="s">
        <v>12</v>
      </c>
      <c r="AJ1363" t="s">
        <v>12</v>
      </c>
      <c r="AK1363">
        <v>69000</v>
      </c>
      <c r="AL1363">
        <v>0.22</v>
      </c>
      <c r="AM1363">
        <v>0.20280000000000001</v>
      </c>
      <c r="AN1363" t="s">
        <v>12</v>
      </c>
      <c r="AO1363" t="s">
        <v>12</v>
      </c>
    </row>
    <row r="1364" spans="1:41" x14ac:dyDescent="0.35">
      <c r="A1364">
        <v>13244496</v>
      </c>
      <c r="B1364">
        <v>202505</v>
      </c>
      <c r="C1364">
        <v>20546319793</v>
      </c>
      <c r="D1364" t="s">
        <v>1510</v>
      </c>
      <c r="E1364" t="s">
        <v>1</v>
      </c>
      <c r="F1364">
        <v>10163239</v>
      </c>
      <c r="G1364" t="s">
        <v>2</v>
      </c>
      <c r="H1364" t="s">
        <v>105</v>
      </c>
      <c r="I1364">
        <v>9943.3984375</v>
      </c>
      <c r="J1364" t="s">
        <v>12</v>
      </c>
      <c r="K1364" t="s">
        <v>12</v>
      </c>
      <c r="L1364" t="s">
        <v>12</v>
      </c>
      <c r="M1364" t="s">
        <v>12</v>
      </c>
      <c r="N1364" t="s">
        <v>12</v>
      </c>
      <c r="O1364" t="s">
        <v>12</v>
      </c>
      <c r="P1364" t="s">
        <v>12</v>
      </c>
      <c r="Q1364" t="s">
        <v>105</v>
      </c>
      <c r="R1364" t="s">
        <v>164</v>
      </c>
      <c r="S1364" t="s">
        <v>88</v>
      </c>
      <c r="T1364" t="s">
        <v>89</v>
      </c>
      <c r="U1364" t="s">
        <v>20</v>
      </c>
      <c r="V1364">
        <v>2</v>
      </c>
      <c r="W1364" t="s">
        <v>10</v>
      </c>
      <c r="X1364" t="s">
        <v>12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 t="s">
        <v>12</v>
      </c>
      <c r="AG1364" t="s">
        <v>12</v>
      </c>
      <c r="AH1364" t="s">
        <v>12</v>
      </c>
      <c r="AI1364" t="s">
        <v>12</v>
      </c>
      <c r="AJ1364" t="s">
        <v>12</v>
      </c>
      <c r="AK1364">
        <v>0</v>
      </c>
      <c r="AL1364">
        <v>0</v>
      </c>
      <c r="AM1364">
        <v>0</v>
      </c>
      <c r="AN1364" t="s">
        <v>12</v>
      </c>
      <c r="AO1364" t="s">
        <v>12</v>
      </c>
    </row>
    <row r="1365" spans="1:41" x14ac:dyDescent="0.35">
      <c r="A1365">
        <v>21133771</v>
      </c>
      <c r="B1365">
        <v>202510</v>
      </c>
      <c r="C1365">
        <v>20559154157</v>
      </c>
      <c r="D1365" t="s">
        <v>1613</v>
      </c>
      <c r="E1365" t="s">
        <v>1</v>
      </c>
      <c r="F1365">
        <v>10259952</v>
      </c>
      <c r="G1365" t="s">
        <v>45</v>
      </c>
      <c r="H1365" t="s">
        <v>210</v>
      </c>
      <c r="I1365">
        <v>119850.5</v>
      </c>
      <c r="J1365" t="s">
        <v>12</v>
      </c>
      <c r="K1365" t="s">
        <v>12</v>
      </c>
      <c r="L1365" t="s">
        <v>12</v>
      </c>
      <c r="M1365" t="s">
        <v>12</v>
      </c>
      <c r="N1365" t="s">
        <v>12</v>
      </c>
      <c r="O1365" t="s">
        <v>12</v>
      </c>
      <c r="P1365" t="s">
        <v>12</v>
      </c>
      <c r="Q1365" t="s">
        <v>210</v>
      </c>
      <c r="R1365" t="s">
        <v>211</v>
      </c>
      <c r="S1365" t="s">
        <v>39</v>
      </c>
      <c r="T1365" t="s">
        <v>40</v>
      </c>
      <c r="U1365" t="s">
        <v>41</v>
      </c>
      <c r="V1365">
        <v>1</v>
      </c>
      <c r="W1365" t="s">
        <v>10</v>
      </c>
      <c r="X1365" t="s">
        <v>12</v>
      </c>
      <c r="Y1365">
        <v>1</v>
      </c>
      <c r="Z1365">
        <v>1</v>
      </c>
      <c r="AA1365">
        <v>0</v>
      </c>
      <c r="AB1365">
        <v>0</v>
      </c>
      <c r="AC1365">
        <v>1</v>
      </c>
      <c r="AD1365">
        <v>1</v>
      </c>
      <c r="AE1365">
        <v>0</v>
      </c>
      <c r="AF1365" t="s">
        <v>12</v>
      </c>
      <c r="AG1365" t="s">
        <v>12</v>
      </c>
      <c r="AH1365" t="s">
        <v>12</v>
      </c>
      <c r="AI1365" t="s">
        <v>12</v>
      </c>
      <c r="AJ1365" t="s">
        <v>12</v>
      </c>
      <c r="AK1365">
        <v>250000</v>
      </c>
      <c r="AL1365">
        <v>0.21</v>
      </c>
      <c r="AM1365">
        <v>0.19</v>
      </c>
      <c r="AN1365" t="s">
        <v>12</v>
      </c>
      <c r="AO1365" t="s">
        <v>12</v>
      </c>
    </row>
    <row r="1366" spans="1:41" x14ac:dyDescent="0.35">
      <c r="A1366">
        <v>8257527</v>
      </c>
      <c r="B1366">
        <v>202504</v>
      </c>
      <c r="C1366">
        <v>10239520508</v>
      </c>
      <c r="D1366" t="s">
        <v>1000</v>
      </c>
      <c r="E1366">
        <v>23952050</v>
      </c>
      <c r="F1366">
        <v>10189132</v>
      </c>
      <c r="G1366" t="s">
        <v>199</v>
      </c>
      <c r="H1366" t="s">
        <v>732</v>
      </c>
      <c r="I1366">
        <v>33212.0390625</v>
      </c>
      <c r="J1366" t="s">
        <v>12</v>
      </c>
      <c r="K1366" t="s">
        <v>12</v>
      </c>
      <c r="L1366" t="s">
        <v>12</v>
      </c>
      <c r="M1366" t="s">
        <v>12</v>
      </c>
      <c r="N1366" t="s">
        <v>12</v>
      </c>
      <c r="O1366" t="s">
        <v>12</v>
      </c>
      <c r="P1366" t="s">
        <v>12</v>
      </c>
      <c r="Q1366" t="s">
        <v>12</v>
      </c>
      <c r="R1366" t="s">
        <v>12</v>
      </c>
      <c r="S1366" t="s">
        <v>12</v>
      </c>
      <c r="T1366" t="s">
        <v>12</v>
      </c>
      <c r="U1366" t="s">
        <v>12</v>
      </c>
      <c r="V1366" t="s">
        <v>12</v>
      </c>
      <c r="W1366" t="s">
        <v>12</v>
      </c>
      <c r="X1366" t="s">
        <v>12</v>
      </c>
      <c r="Y1366" t="s">
        <v>12</v>
      </c>
      <c r="Z1366" t="s">
        <v>12</v>
      </c>
      <c r="AA1366" t="s">
        <v>12</v>
      </c>
      <c r="AB1366" t="s">
        <v>12</v>
      </c>
      <c r="AC1366" t="s">
        <v>12</v>
      </c>
      <c r="AD1366" t="s">
        <v>12</v>
      </c>
      <c r="AE1366" t="s">
        <v>12</v>
      </c>
      <c r="AF1366" t="s">
        <v>12</v>
      </c>
      <c r="AG1366" t="s">
        <v>12</v>
      </c>
      <c r="AH1366" t="s">
        <v>12</v>
      </c>
      <c r="AI1366" t="s">
        <v>12</v>
      </c>
      <c r="AJ1366" t="s">
        <v>12</v>
      </c>
      <c r="AK1366" t="s">
        <v>12</v>
      </c>
      <c r="AL1366" t="s">
        <v>12</v>
      </c>
      <c r="AM1366" t="s">
        <v>12</v>
      </c>
      <c r="AN1366" t="s">
        <v>12</v>
      </c>
      <c r="AO1366" t="s">
        <v>12</v>
      </c>
    </row>
    <row r="1367" spans="1:41" x14ac:dyDescent="0.35">
      <c r="A1367">
        <v>16257010</v>
      </c>
      <c r="B1367">
        <v>202505</v>
      </c>
      <c r="C1367">
        <v>20552706944</v>
      </c>
      <c r="D1367" t="s">
        <v>1614</v>
      </c>
      <c r="E1367" t="s">
        <v>1</v>
      </c>
      <c r="F1367">
        <v>10169180</v>
      </c>
      <c r="G1367" t="s">
        <v>2</v>
      </c>
      <c r="H1367" t="s">
        <v>246</v>
      </c>
      <c r="I1367">
        <v>14707.3095703125</v>
      </c>
      <c r="J1367" t="s">
        <v>12</v>
      </c>
      <c r="K1367" t="s">
        <v>12</v>
      </c>
      <c r="L1367" t="s">
        <v>12</v>
      </c>
      <c r="M1367" t="s">
        <v>12</v>
      </c>
      <c r="N1367" t="s">
        <v>12</v>
      </c>
      <c r="O1367" t="s">
        <v>12</v>
      </c>
      <c r="P1367" t="s">
        <v>12</v>
      </c>
      <c r="Q1367" t="s">
        <v>246</v>
      </c>
      <c r="R1367" t="s">
        <v>247</v>
      </c>
      <c r="S1367" t="s">
        <v>18</v>
      </c>
      <c r="T1367" t="s">
        <v>122</v>
      </c>
      <c r="U1367" t="s">
        <v>70</v>
      </c>
      <c r="V1367">
        <v>1</v>
      </c>
      <c r="W1367" t="s">
        <v>10</v>
      </c>
      <c r="X1367" t="s">
        <v>12</v>
      </c>
      <c r="Y1367">
        <v>1</v>
      </c>
      <c r="Z1367">
        <v>1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 t="s">
        <v>12</v>
      </c>
      <c r="AG1367" t="s">
        <v>12</v>
      </c>
      <c r="AH1367" t="s">
        <v>12</v>
      </c>
      <c r="AI1367" t="s">
        <v>12</v>
      </c>
      <c r="AJ1367" t="s">
        <v>12</v>
      </c>
      <c r="AK1367">
        <v>199000</v>
      </c>
      <c r="AL1367">
        <v>0.26</v>
      </c>
      <c r="AM1367">
        <v>0.23780000000000001</v>
      </c>
      <c r="AN1367" t="s">
        <v>12</v>
      </c>
      <c r="AO136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fuga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Barrozo Razo, Karen Sofia</dc:creator>
  <cp:lastModifiedBy>Barrozo Razo, Karen Sofia</cp:lastModifiedBy>
  <dcterms:created xsi:type="dcterms:W3CDTF">2026-06-16T21:29:58Z</dcterms:created>
  <dcterms:modified xsi:type="dcterms:W3CDTF">2026-06-17T01:54:48Z</dcterms:modified>
</cp:coreProperties>
</file>