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46417\Downloads\Proy_Zonas Potenciales Negocios IBK - APOYO Consultoria\Proyectos Zonas Potenciales Negocios IBK - APOYO Consultoría\01 Metodología\"/>
    </mc:Choice>
  </mc:AlternateContent>
  <xr:revisionPtr revIDLastSave="0" documentId="13_ncr:1_{C1A4BA7C-A318-4301-901C-862150ABAEBA}" xr6:coauthVersionLast="47" xr6:coauthVersionMax="47" xr10:uidLastSave="{00000000-0000-0000-0000-000000000000}"/>
  <bookViews>
    <workbookView xWindow="-110" yWindow="-110" windowWidth="19420" windowHeight="11620" tabRatio="893" firstSheet="6" activeTab="10" xr2:uid="{96B482C3-8C68-4BC1-966B-EC742C9A2770}"/>
  </bookViews>
  <sheets>
    <sheet name="Definic tipos cred SBS" sheetId="2" state="hidden" r:id="rId1"/>
    <sheet name="BaseIBK" sheetId="8" state="hidden" r:id="rId2"/>
    <sheet name="Fuentes y conceptos" sheetId="31" r:id="rId3"/>
    <sheet name="Tablas" sheetId="32" r:id="rId4"/>
    <sheet name="BaseIBK distritos filt" sheetId="1" r:id="rId5"/>
    <sheet name="Tamaño mcdo pyme" sheetId="24" r:id="rId6"/>
    <sheet name="Penetración fin pyme" sheetId="25" r:id="rId7"/>
    <sheet name="Calidad cartera pyme" sheetId="23" r:id="rId8"/>
    <sheet name="Transaccionalidad Intercorp" sheetId="27" r:id="rId9"/>
    <sheet name="Resum pilares" sheetId="15" r:id="rId10"/>
    <sheet name="Ranking distritos" sheetId="33" r:id="rId11"/>
    <sheet name="Ranking clústeres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BaseIBK!$A$1:$BH$1893</definedName>
    <definedName name="_xlnm._FilterDatabase" localSheetId="4" hidden="1">'BaseIBK distritos filt'!$A$1:$AN$170</definedName>
    <definedName name="_xlnm._FilterDatabase" localSheetId="7" hidden="1">'Calidad cartera pyme'!$B$2:$I$2</definedName>
    <definedName name="_xlnm._FilterDatabase" localSheetId="10" hidden="1">'Ranking distritos'!$C$4:$K$4</definedName>
    <definedName name="_xlnm._FilterDatabase" localSheetId="9" hidden="1">'Resum pilares'!$L$2:$P$2</definedName>
    <definedName name="_xlnm.Print_Area" localSheetId="0">'Definic tipos cred SBS'!$A$1:$I$26</definedName>
    <definedName name="CM">#REF!</definedName>
    <definedName name="CMAC" localSheetId="2">[1]CM!#REF!</definedName>
    <definedName name="CMAC">[2]CM!#REF!</definedName>
    <definedName name="CR">#REF!</definedName>
    <definedName name="CRAC" localSheetId="2">[1]CR!#REF!</definedName>
    <definedName name="CRAC">[2]CR!#REF!</definedName>
    <definedName name="CREDEP">#REF!</definedName>
    <definedName name="d">#REF!</definedName>
    <definedName name="DATA11" localSheetId="2">'[3]BASE DATA'!$A$1:$B$111</definedName>
    <definedName name="DATA11">'[4]BASE DATA'!$A$1:$B$111</definedName>
    <definedName name="DATA12" localSheetId="2">'[3]BASE DATA'!$A$2:$B$112</definedName>
    <definedName name="DATA12">'[4]BASE DATA'!$A$2:$B$112</definedName>
    <definedName name="DATA13" localSheetId="2">'[3]BASE DATA'!$A$2:$B$113</definedName>
    <definedName name="DATA13">'[4]BASE DATA'!$A$2:$B$113</definedName>
    <definedName name="DATA14" localSheetId="2">'[3]BASE DATA'!$A$1:$B$114</definedName>
    <definedName name="DATA14">'[4]BASE DATA'!$A$1:$B$114</definedName>
    <definedName name="DATA4" localSheetId="2">'[3]BASE DATA'!$A$2:$B$85</definedName>
    <definedName name="DATA4">'[4]BASE DATA'!$A$2:$B$85</definedName>
    <definedName name="DATA5" localSheetId="2">'[3]BASE DATA'!$A$1:$B$87</definedName>
    <definedName name="DATA5">'[4]BASE DATA'!$A$1:$B$87</definedName>
    <definedName name="DATA6" localSheetId="2">'[3]BASE DATA'!$A$1:$B$88</definedName>
    <definedName name="DATA6">'[4]BASE DATA'!$A$1:$B$88</definedName>
    <definedName name="DATA7" localSheetId="2">'[3]BASE DATA'!$A$2:$B$89</definedName>
    <definedName name="DATA7">'[4]BASE DATA'!$A$2:$B$89</definedName>
    <definedName name="DATA8" localSheetId="2">'[3]BASE DATA'!$A$1:$B$90</definedName>
    <definedName name="DATA8">'[4]BASE DATA'!$A$1:$B$90</definedName>
    <definedName name="DATA9" localSheetId="2">'[3]BASE DATA'!$A$1:$B$91</definedName>
    <definedName name="DATA9">'[4]BASE DATA'!$A$1:$B$91</definedName>
    <definedName name="DEPDEP">#REF!</definedName>
    <definedName name="EDP" localSheetId="2">[1]ED!#REF!</definedName>
    <definedName name="EDP">[2]ED!#REF!</definedName>
    <definedName name="EDPYME">#REF!</definedName>
    <definedName name="EstatalAgregado">#REF!</definedName>
    <definedName name="EstatalPorTipo">#REF!</definedName>
    <definedName name="FECHA" localSheetId="2">'[5]GRUPOS POR TIPO'!$D$3:$IV$3</definedName>
    <definedName name="FECHA">'[6]GRUPOS POR TIPO'!$D$3:$IV$3</definedName>
    <definedName name="GAdmin" localSheetId="0">#REF!</definedName>
    <definedName name="GAdmin">#REF!</definedName>
    <definedName name="Indic.Propuestos">#REF!</definedName>
    <definedName name="INDICE">#REF!</definedName>
    <definedName name="IngresF" localSheetId="0">#REF!</definedName>
    <definedName name="IngresF">#REF!</definedName>
    <definedName name="MFinanc" localSheetId="0">#REF!</definedName>
    <definedName name="MFinanc">#REF!</definedName>
    <definedName name="PrivadoAgregado">#REF!</definedName>
    <definedName name="PrivadoPorTipos">#REF!</definedName>
    <definedName name="SIFAgregado">#REF!</definedName>
    <definedName name="SIFporTipo">'[7]SIST FIN TOTAL POR TIPO'!$3:$8</definedName>
    <definedName name="Utilid" localSheetId="0">#REF!</definedName>
    <definedName name="Utilid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3" i="33" l="1"/>
  <c r="N173" i="33"/>
  <c r="M173" i="33"/>
  <c r="L173" i="33"/>
  <c r="O172" i="33"/>
  <c r="N172" i="33"/>
  <c r="M172" i="33"/>
  <c r="L172" i="33"/>
  <c r="O171" i="33"/>
  <c r="N171" i="33"/>
  <c r="M171" i="33"/>
  <c r="L171" i="33"/>
  <c r="O170" i="33"/>
  <c r="N170" i="33"/>
  <c r="M170" i="33"/>
  <c r="L170" i="33"/>
  <c r="O169" i="33"/>
  <c r="N169" i="33"/>
  <c r="M169" i="33"/>
  <c r="L169" i="33"/>
  <c r="O168" i="33"/>
  <c r="N168" i="33"/>
  <c r="M168" i="33"/>
  <c r="L168" i="33"/>
  <c r="O167" i="33"/>
  <c r="N167" i="33"/>
  <c r="M167" i="33"/>
  <c r="L167" i="33"/>
  <c r="O166" i="33"/>
  <c r="N166" i="33"/>
  <c r="M166" i="33"/>
  <c r="L166" i="33"/>
  <c r="O165" i="33"/>
  <c r="N165" i="33"/>
  <c r="M165" i="33"/>
  <c r="L165" i="33"/>
  <c r="O164" i="33"/>
  <c r="N164" i="33"/>
  <c r="M164" i="33"/>
  <c r="L164" i="33"/>
  <c r="O163" i="33"/>
  <c r="N163" i="33"/>
  <c r="M163" i="33"/>
  <c r="L163" i="33"/>
  <c r="O162" i="33"/>
  <c r="N162" i="33"/>
  <c r="M162" i="33"/>
  <c r="L162" i="33"/>
  <c r="O161" i="33"/>
  <c r="N161" i="33"/>
  <c r="M161" i="33"/>
  <c r="L161" i="33"/>
  <c r="O160" i="33"/>
  <c r="N160" i="33"/>
  <c r="M160" i="33"/>
  <c r="L160" i="33"/>
  <c r="O159" i="33"/>
  <c r="N159" i="33"/>
  <c r="M159" i="33"/>
  <c r="L159" i="33"/>
  <c r="O158" i="33"/>
  <c r="N158" i="33"/>
  <c r="M158" i="33"/>
  <c r="L158" i="33"/>
  <c r="O157" i="33"/>
  <c r="N157" i="33"/>
  <c r="M157" i="33"/>
  <c r="L157" i="33"/>
  <c r="O156" i="33"/>
  <c r="N156" i="33"/>
  <c r="M156" i="33"/>
  <c r="L156" i="33"/>
  <c r="O155" i="33"/>
  <c r="N155" i="33"/>
  <c r="M155" i="33"/>
  <c r="L155" i="33"/>
  <c r="O154" i="33"/>
  <c r="N154" i="33"/>
  <c r="M154" i="33"/>
  <c r="L154" i="33"/>
  <c r="O153" i="33"/>
  <c r="N153" i="33"/>
  <c r="M153" i="33"/>
  <c r="L153" i="33"/>
  <c r="O152" i="33"/>
  <c r="N152" i="33"/>
  <c r="M152" i="33"/>
  <c r="L152" i="33"/>
  <c r="O151" i="33"/>
  <c r="N151" i="33"/>
  <c r="M151" i="33"/>
  <c r="L151" i="33"/>
  <c r="O150" i="33"/>
  <c r="N150" i="33"/>
  <c r="M150" i="33"/>
  <c r="L150" i="33"/>
  <c r="O149" i="33"/>
  <c r="N149" i="33"/>
  <c r="M149" i="33"/>
  <c r="L149" i="33"/>
  <c r="O148" i="33"/>
  <c r="N148" i="33"/>
  <c r="M148" i="33"/>
  <c r="L148" i="33"/>
  <c r="O147" i="33"/>
  <c r="N147" i="33"/>
  <c r="M147" i="33"/>
  <c r="L147" i="33"/>
  <c r="O146" i="33"/>
  <c r="N146" i="33"/>
  <c r="M146" i="33"/>
  <c r="L146" i="33"/>
  <c r="O145" i="33"/>
  <c r="N145" i="33"/>
  <c r="M145" i="33"/>
  <c r="L145" i="33"/>
  <c r="O144" i="33"/>
  <c r="N144" i="33"/>
  <c r="M144" i="33"/>
  <c r="L144" i="33"/>
  <c r="O143" i="33"/>
  <c r="N143" i="33"/>
  <c r="M143" i="33"/>
  <c r="L143" i="33"/>
  <c r="O142" i="33"/>
  <c r="N142" i="33"/>
  <c r="M142" i="33"/>
  <c r="L142" i="33"/>
  <c r="O141" i="33"/>
  <c r="N141" i="33"/>
  <c r="M141" i="33"/>
  <c r="L141" i="33"/>
  <c r="O140" i="33"/>
  <c r="N140" i="33"/>
  <c r="M140" i="33"/>
  <c r="L140" i="33"/>
  <c r="O139" i="33"/>
  <c r="N139" i="33"/>
  <c r="M139" i="33"/>
  <c r="L139" i="33"/>
  <c r="O138" i="33"/>
  <c r="N138" i="33"/>
  <c r="M138" i="33"/>
  <c r="L138" i="33"/>
  <c r="O137" i="33"/>
  <c r="N137" i="33"/>
  <c r="M137" i="33"/>
  <c r="L137" i="33"/>
  <c r="O136" i="33"/>
  <c r="N136" i="33"/>
  <c r="M136" i="33"/>
  <c r="L136" i="33"/>
  <c r="O135" i="33"/>
  <c r="N135" i="33"/>
  <c r="M135" i="33"/>
  <c r="L135" i="33"/>
  <c r="O134" i="33"/>
  <c r="N134" i="33"/>
  <c r="M134" i="33"/>
  <c r="L134" i="33"/>
  <c r="O133" i="33"/>
  <c r="N133" i="33"/>
  <c r="M133" i="33"/>
  <c r="L133" i="33"/>
  <c r="O132" i="33"/>
  <c r="N132" i="33"/>
  <c r="M132" i="33"/>
  <c r="L132" i="33"/>
  <c r="O131" i="33"/>
  <c r="N131" i="33"/>
  <c r="M131" i="33"/>
  <c r="L131" i="33"/>
  <c r="O130" i="33"/>
  <c r="N130" i="33"/>
  <c r="M130" i="33"/>
  <c r="L130" i="33"/>
  <c r="O129" i="33"/>
  <c r="N129" i="33"/>
  <c r="M129" i="33"/>
  <c r="L129" i="33"/>
  <c r="O128" i="33"/>
  <c r="N128" i="33"/>
  <c r="M128" i="33"/>
  <c r="L128" i="33"/>
  <c r="O127" i="33"/>
  <c r="N127" i="33"/>
  <c r="M127" i="33"/>
  <c r="L127" i="33"/>
  <c r="O126" i="33"/>
  <c r="N126" i="33"/>
  <c r="M126" i="33"/>
  <c r="L126" i="33"/>
  <c r="O125" i="33"/>
  <c r="N125" i="33"/>
  <c r="M125" i="33"/>
  <c r="L125" i="33"/>
  <c r="O124" i="33"/>
  <c r="N124" i="33"/>
  <c r="M124" i="33"/>
  <c r="L124" i="33"/>
  <c r="O123" i="33"/>
  <c r="N123" i="33"/>
  <c r="M123" i="33"/>
  <c r="L123" i="33"/>
  <c r="O122" i="33"/>
  <c r="N122" i="33"/>
  <c r="M122" i="33"/>
  <c r="L122" i="33"/>
  <c r="O121" i="33"/>
  <c r="N121" i="33"/>
  <c r="M121" i="33"/>
  <c r="L121" i="33"/>
  <c r="O120" i="33"/>
  <c r="N120" i="33"/>
  <c r="M120" i="33"/>
  <c r="L120" i="33"/>
  <c r="O119" i="33"/>
  <c r="N119" i="33"/>
  <c r="M119" i="33"/>
  <c r="L119" i="33"/>
  <c r="O118" i="33"/>
  <c r="N118" i="33"/>
  <c r="M118" i="33"/>
  <c r="L118" i="33"/>
  <c r="O117" i="33"/>
  <c r="N117" i="33"/>
  <c r="M117" i="33"/>
  <c r="L117" i="33"/>
  <c r="O116" i="33"/>
  <c r="N116" i="33"/>
  <c r="M116" i="33"/>
  <c r="L116" i="33"/>
  <c r="O115" i="33"/>
  <c r="N115" i="33"/>
  <c r="M115" i="33"/>
  <c r="L115" i="33"/>
  <c r="O114" i="33"/>
  <c r="N114" i="33"/>
  <c r="M114" i="33"/>
  <c r="L114" i="33"/>
  <c r="O113" i="33"/>
  <c r="N113" i="33"/>
  <c r="M113" i="33"/>
  <c r="L113" i="33"/>
  <c r="O112" i="33"/>
  <c r="N112" i="33"/>
  <c r="M112" i="33"/>
  <c r="L112" i="33"/>
  <c r="O111" i="33"/>
  <c r="N111" i="33"/>
  <c r="M111" i="33"/>
  <c r="L111" i="33"/>
  <c r="O110" i="33"/>
  <c r="N110" i="33"/>
  <c r="M110" i="33"/>
  <c r="L110" i="33"/>
  <c r="O109" i="33"/>
  <c r="N109" i="33"/>
  <c r="M109" i="33"/>
  <c r="L109" i="33"/>
  <c r="O108" i="33"/>
  <c r="N108" i="33"/>
  <c r="M108" i="33"/>
  <c r="L108" i="33"/>
  <c r="O107" i="33"/>
  <c r="N107" i="33"/>
  <c r="M107" i="33"/>
  <c r="L107" i="33"/>
  <c r="O106" i="33"/>
  <c r="N106" i="33"/>
  <c r="M106" i="33"/>
  <c r="L106" i="33"/>
  <c r="O105" i="33"/>
  <c r="N105" i="33"/>
  <c r="M105" i="33"/>
  <c r="L105" i="33"/>
  <c r="O104" i="33"/>
  <c r="N104" i="33"/>
  <c r="M104" i="33"/>
  <c r="L104" i="33"/>
  <c r="O103" i="33"/>
  <c r="N103" i="33"/>
  <c r="M103" i="33"/>
  <c r="L103" i="33"/>
  <c r="O102" i="33"/>
  <c r="N102" i="33"/>
  <c r="M102" i="33"/>
  <c r="L102" i="33"/>
  <c r="O101" i="33"/>
  <c r="N101" i="33"/>
  <c r="M101" i="33"/>
  <c r="L101" i="33"/>
  <c r="O100" i="33"/>
  <c r="N100" i="33"/>
  <c r="M100" i="33"/>
  <c r="L100" i="33"/>
  <c r="O99" i="33"/>
  <c r="N99" i="33"/>
  <c r="M99" i="33"/>
  <c r="L99" i="33"/>
  <c r="O98" i="33"/>
  <c r="N98" i="33"/>
  <c r="M98" i="33"/>
  <c r="L98" i="33"/>
  <c r="O97" i="33"/>
  <c r="N97" i="33"/>
  <c r="M97" i="33"/>
  <c r="L97" i="33"/>
  <c r="O96" i="33"/>
  <c r="N96" i="33"/>
  <c r="M96" i="33"/>
  <c r="L96" i="33"/>
  <c r="O95" i="33"/>
  <c r="N95" i="33"/>
  <c r="M95" i="33"/>
  <c r="L95" i="33"/>
  <c r="O94" i="33"/>
  <c r="N94" i="33"/>
  <c r="M94" i="33"/>
  <c r="L94" i="33"/>
  <c r="O93" i="33"/>
  <c r="N93" i="33"/>
  <c r="M93" i="33"/>
  <c r="L93" i="33"/>
  <c r="O92" i="33"/>
  <c r="N92" i="33"/>
  <c r="M92" i="33"/>
  <c r="L92" i="33"/>
  <c r="O91" i="33"/>
  <c r="N91" i="33"/>
  <c r="M91" i="33"/>
  <c r="L91" i="33"/>
  <c r="O90" i="33"/>
  <c r="N90" i="33"/>
  <c r="M90" i="33"/>
  <c r="L90" i="33"/>
  <c r="O89" i="33"/>
  <c r="N89" i="33"/>
  <c r="M89" i="33"/>
  <c r="L89" i="33"/>
  <c r="O88" i="33"/>
  <c r="N88" i="33"/>
  <c r="M88" i="33"/>
  <c r="L88" i="33"/>
  <c r="O87" i="33"/>
  <c r="N87" i="33"/>
  <c r="M87" i="33"/>
  <c r="L87" i="33"/>
  <c r="O86" i="33"/>
  <c r="N86" i="33"/>
  <c r="M86" i="33"/>
  <c r="L86" i="33"/>
  <c r="O85" i="33"/>
  <c r="N85" i="33"/>
  <c r="M85" i="33"/>
  <c r="L85" i="33"/>
  <c r="O84" i="33"/>
  <c r="N84" i="33"/>
  <c r="M84" i="33"/>
  <c r="L84" i="33"/>
  <c r="O83" i="33"/>
  <c r="N83" i="33"/>
  <c r="M83" i="33"/>
  <c r="L83" i="33"/>
  <c r="O82" i="33"/>
  <c r="N82" i="33"/>
  <c r="M82" i="33"/>
  <c r="L82" i="33"/>
  <c r="O81" i="33"/>
  <c r="N81" i="33"/>
  <c r="M81" i="33"/>
  <c r="L81" i="33"/>
  <c r="O80" i="33"/>
  <c r="N80" i="33"/>
  <c r="M80" i="33"/>
  <c r="L80" i="33"/>
  <c r="O79" i="33"/>
  <c r="N79" i="33"/>
  <c r="M79" i="33"/>
  <c r="L79" i="33"/>
  <c r="O78" i="33"/>
  <c r="N78" i="33"/>
  <c r="M78" i="33"/>
  <c r="L78" i="33"/>
  <c r="O77" i="33"/>
  <c r="N77" i="33"/>
  <c r="M77" i="33"/>
  <c r="L77" i="33"/>
  <c r="O76" i="33"/>
  <c r="N76" i="33"/>
  <c r="M76" i="33"/>
  <c r="L76" i="33"/>
  <c r="O75" i="33"/>
  <c r="N75" i="33"/>
  <c r="M75" i="33"/>
  <c r="L75" i="33"/>
  <c r="O74" i="33"/>
  <c r="N74" i="33"/>
  <c r="M74" i="33"/>
  <c r="L74" i="33"/>
  <c r="O73" i="33"/>
  <c r="N73" i="33"/>
  <c r="M73" i="33"/>
  <c r="L73" i="33"/>
  <c r="O72" i="33"/>
  <c r="N72" i="33"/>
  <c r="M72" i="33"/>
  <c r="L72" i="33"/>
  <c r="O71" i="33"/>
  <c r="N71" i="33"/>
  <c r="M71" i="33"/>
  <c r="L71" i="33"/>
  <c r="O70" i="33"/>
  <c r="N70" i="33"/>
  <c r="M70" i="33"/>
  <c r="L70" i="33"/>
  <c r="O69" i="33"/>
  <c r="N69" i="33"/>
  <c r="M69" i="33"/>
  <c r="L69" i="33"/>
  <c r="O68" i="33"/>
  <c r="N68" i="33"/>
  <c r="M68" i="33"/>
  <c r="L68" i="33"/>
  <c r="O67" i="33"/>
  <c r="N67" i="33"/>
  <c r="M67" i="33"/>
  <c r="L67" i="33"/>
  <c r="O66" i="33"/>
  <c r="N66" i="33"/>
  <c r="M66" i="33"/>
  <c r="L66" i="33"/>
  <c r="O65" i="33"/>
  <c r="N65" i="33"/>
  <c r="M65" i="33"/>
  <c r="L65" i="33"/>
  <c r="O64" i="33"/>
  <c r="N64" i="33"/>
  <c r="M64" i="33"/>
  <c r="L64" i="33"/>
  <c r="O63" i="33"/>
  <c r="N63" i="33"/>
  <c r="M63" i="33"/>
  <c r="L63" i="33"/>
  <c r="O62" i="33"/>
  <c r="N62" i="33"/>
  <c r="M62" i="33"/>
  <c r="L62" i="33"/>
  <c r="O61" i="33"/>
  <c r="N61" i="33"/>
  <c r="M61" i="33"/>
  <c r="L61" i="33"/>
  <c r="O60" i="33"/>
  <c r="N60" i="33"/>
  <c r="M60" i="33"/>
  <c r="L60" i="33"/>
  <c r="O59" i="33"/>
  <c r="N59" i="33"/>
  <c r="M59" i="33"/>
  <c r="L59" i="33"/>
  <c r="O58" i="33"/>
  <c r="N58" i="33"/>
  <c r="M58" i="33"/>
  <c r="L58" i="33"/>
  <c r="O57" i="33"/>
  <c r="N57" i="33"/>
  <c r="M57" i="33"/>
  <c r="L57" i="33"/>
  <c r="O56" i="33"/>
  <c r="N56" i="33"/>
  <c r="M56" i="33"/>
  <c r="L56" i="33"/>
  <c r="O55" i="33"/>
  <c r="N55" i="33"/>
  <c r="M55" i="33"/>
  <c r="L55" i="33"/>
  <c r="O54" i="33"/>
  <c r="N54" i="33"/>
  <c r="M54" i="33"/>
  <c r="L54" i="33"/>
  <c r="O53" i="33"/>
  <c r="N53" i="33"/>
  <c r="M53" i="33"/>
  <c r="L53" i="33"/>
  <c r="O52" i="33"/>
  <c r="N52" i="33"/>
  <c r="M52" i="33"/>
  <c r="L52" i="33"/>
  <c r="O51" i="33"/>
  <c r="N51" i="33"/>
  <c r="M51" i="33"/>
  <c r="L51" i="33"/>
  <c r="O50" i="33"/>
  <c r="N50" i="33"/>
  <c r="M50" i="33"/>
  <c r="L50" i="33"/>
  <c r="O49" i="33"/>
  <c r="N49" i="33"/>
  <c r="M49" i="33"/>
  <c r="L49" i="33"/>
  <c r="O48" i="33"/>
  <c r="N48" i="33"/>
  <c r="M48" i="33"/>
  <c r="L48" i="33"/>
  <c r="O47" i="33"/>
  <c r="N47" i="33"/>
  <c r="M47" i="33"/>
  <c r="L47" i="33"/>
  <c r="O46" i="33"/>
  <c r="N46" i="33"/>
  <c r="M46" i="33"/>
  <c r="L46" i="33"/>
  <c r="O45" i="33"/>
  <c r="N45" i="33"/>
  <c r="M45" i="33"/>
  <c r="L45" i="33"/>
  <c r="O44" i="33"/>
  <c r="N44" i="33"/>
  <c r="M44" i="33"/>
  <c r="L44" i="33"/>
  <c r="O43" i="33"/>
  <c r="N43" i="33"/>
  <c r="M43" i="33"/>
  <c r="L43" i="33"/>
  <c r="O42" i="33"/>
  <c r="N42" i="33"/>
  <c r="M42" i="33"/>
  <c r="L42" i="33"/>
  <c r="O41" i="33"/>
  <c r="N41" i="33"/>
  <c r="M41" i="33"/>
  <c r="L41" i="33"/>
  <c r="O40" i="33"/>
  <c r="N40" i="33"/>
  <c r="M40" i="33"/>
  <c r="L40" i="33"/>
  <c r="O39" i="33"/>
  <c r="N39" i="33"/>
  <c r="M39" i="33"/>
  <c r="L39" i="33"/>
  <c r="O38" i="33"/>
  <c r="N38" i="33"/>
  <c r="M38" i="33"/>
  <c r="L38" i="33"/>
  <c r="O37" i="33"/>
  <c r="N37" i="33"/>
  <c r="M37" i="33"/>
  <c r="L37" i="33"/>
  <c r="O36" i="33"/>
  <c r="N36" i="33"/>
  <c r="M36" i="33"/>
  <c r="L36" i="33"/>
  <c r="O35" i="33"/>
  <c r="N35" i="33"/>
  <c r="M35" i="33"/>
  <c r="L35" i="33"/>
  <c r="O34" i="33"/>
  <c r="N34" i="33"/>
  <c r="M34" i="33"/>
  <c r="L34" i="33"/>
  <c r="O33" i="33"/>
  <c r="N33" i="33"/>
  <c r="M33" i="33"/>
  <c r="L33" i="33"/>
  <c r="O32" i="33"/>
  <c r="N32" i="33"/>
  <c r="M32" i="33"/>
  <c r="L32" i="33"/>
  <c r="O31" i="33"/>
  <c r="N31" i="33"/>
  <c r="M31" i="33"/>
  <c r="L31" i="33"/>
  <c r="O30" i="33"/>
  <c r="N30" i="33"/>
  <c r="M30" i="33"/>
  <c r="L30" i="33"/>
  <c r="O29" i="33"/>
  <c r="N29" i="33"/>
  <c r="M29" i="33"/>
  <c r="L29" i="33"/>
  <c r="O28" i="33"/>
  <c r="N28" i="33"/>
  <c r="M28" i="33"/>
  <c r="L28" i="33"/>
  <c r="O27" i="33"/>
  <c r="N27" i="33"/>
  <c r="M27" i="33"/>
  <c r="L27" i="33"/>
  <c r="O26" i="33"/>
  <c r="N26" i="33"/>
  <c r="M26" i="33"/>
  <c r="L26" i="33"/>
  <c r="O25" i="33"/>
  <c r="N25" i="33"/>
  <c r="M25" i="33"/>
  <c r="L25" i="33"/>
  <c r="O24" i="33"/>
  <c r="N24" i="33"/>
  <c r="M24" i="33"/>
  <c r="L24" i="33"/>
  <c r="O23" i="33"/>
  <c r="N23" i="33"/>
  <c r="M23" i="33"/>
  <c r="L23" i="33"/>
  <c r="O22" i="33"/>
  <c r="N22" i="33"/>
  <c r="M22" i="33"/>
  <c r="L22" i="33"/>
  <c r="O21" i="33"/>
  <c r="N21" i="33"/>
  <c r="M21" i="33"/>
  <c r="L21" i="33"/>
  <c r="O20" i="33"/>
  <c r="N20" i="33"/>
  <c r="M20" i="33"/>
  <c r="L20" i="33"/>
  <c r="O19" i="33"/>
  <c r="N19" i="33"/>
  <c r="M19" i="33"/>
  <c r="L19" i="33"/>
  <c r="O18" i="33"/>
  <c r="N18" i="33"/>
  <c r="M18" i="33"/>
  <c r="L18" i="33"/>
  <c r="O17" i="33"/>
  <c r="N17" i="33"/>
  <c r="M17" i="33"/>
  <c r="L17" i="33"/>
  <c r="O16" i="33"/>
  <c r="N16" i="33"/>
  <c r="M16" i="33"/>
  <c r="L16" i="33"/>
  <c r="O15" i="33"/>
  <c r="N15" i="33"/>
  <c r="M15" i="33"/>
  <c r="L15" i="33"/>
  <c r="O14" i="33"/>
  <c r="N14" i="33"/>
  <c r="M14" i="33"/>
  <c r="L14" i="33"/>
  <c r="O13" i="33"/>
  <c r="N13" i="33"/>
  <c r="M13" i="33"/>
  <c r="L13" i="33"/>
  <c r="O12" i="33"/>
  <c r="N12" i="33"/>
  <c r="M12" i="33"/>
  <c r="L12" i="33"/>
  <c r="O11" i="33"/>
  <c r="N11" i="33"/>
  <c r="M11" i="33"/>
  <c r="L11" i="33"/>
  <c r="O10" i="33"/>
  <c r="N10" i="33"/>
  <c r="M10" i="33"/>
  <c r="L10" i="33"/>
  <c r="O9" i="33"/>
  <c r="N9" i="33"/>
  <c r="M9" i="33"/>
  <c r="L9" i="33"/>
  <c r="O8" i="33"/>
  <c r="N8" i="33"/>
  <c r="M8" i="33"/>
  <c r="L8" i="33"/>
  <c r="O7" i="33"/>
  <c r="N7" i="33"/>
  <c r="M7" i="33"/>
  <c r="L7" i="33"/>
  <c r="O6" i="33"/>
  <c r="N6" i="33"/>
  <c r="M6" i="33"/>
  <c r="L6" i="33"/>
  <c r="O5" i="33"/>
  <c r="N5" i="33"/>
  <c r="M5" i="33"/>
  <c r="L5" i="3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2" i="1"/>
  <c r="M173" i="15" l="1"/>
  <c r="N173" i="15"/>
  <c r="O173" i="15"/>
  <c r="L173" i="15"/>
  <c r="G173" i="27"/>
  <c r="H173" i="27"/>
  <c r="I173" i="27"/>
  <c r="J173" i="27"/>
  <c r="O93" i="27" s="1"/>
  <c r="K173" i="27"/>
  <c r="O116" i="27" s="1"/>
  <c r="L173" i="27"/>
  <c r="M173" i="27"/>
  <c r="N173" i="27"/>
  <c r="O171" i="27" s="1"/>
  <c r="F173" i="27"/>
  <c r="O62" i="27" s="1"/>
  <c r="G173" i="25"/>
  <c r="H173" i="25"/>
  <c r="F173" i="25"/>
  <c r="I6" i="25" s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2" i="1"/>
  <c r="G173" i="24"/>
  <c r="H173" i="24"/>
  <c r="I173" i="24"/>
  <c r="J173" i="24"/>
  <c r="K173" i="24"/>
  <c r="O135" i="24" s="1"/>
  <c r="L173" i="24"/>
  <c r="M173" i="24"/>
  <c r="N173" i="24"/>
  <c r="F173" i="24"/>
  <c r="G173" i="23"/>
  <c r="F173" i="23"/>
  <c r="AO99" i="1" l="1"/>
  <c r="AO18" i="1"/>
  <c r="AO105" i="1"/>
  <c r="AO17" i="1"/>
  <c r="AO2" i="1"/>
  <c r="AO123" i="1"/>
  <c r="AO35" i="1"/>
  <c r="AO58" i="1"/>
  <c r="AO41" i="1"/>
  <c r="AO163" i="1"/>
  <c r="AO59" i="1"/>
  <c r="AO146" i="1"/>
  <c r="AO122" i="1"/>
  <c r="AO145" i="1"/>
  <c r="AO147" i="1"/>
  <c r="AO131" i="1"/>
  <c r="AO115" i="1"/>
  <c r="AO83" i="1"/>
  <c r="AO75" i="1"/>
  <c r="AO51" i="1"/>
  <c r="AO27" i="1"/>
  <c r="AO11" i="1"/>
  <c r="AO162" i="1"/>
  <c r="AO130" i="1"/>
  <c r="AO114" i="1"/>
  <c r="AO106" i="1"/>
  <c r="AO90" i="1"/>
  <c r="AO74" i="1"/>
  <c r="AO42" i="1"/>
  <c r="AO34" i="1"/>
  <c r="AO153" i="1"/>
  <c r="AO137" i="1"/>
  <c r="AO121" i="1"/>
  <c r="AO113" i="1"/>
  <c r="AO97" i="1"/>
  <c r="AO65" i="1"/>
  <c r="AO49" i="1"/>
  <c r="AO25" i="1"/>
  <c r="AO9" i="1"/>
  <c r="AO168" i="1"/>
  <c r="AO160" i="1"/>
  <c r="AO144" i="1"/>
  <c r="AO128" i="1"/>
  <c r="AO112" i="1"/>
  <c r="AO96" i="1"/>
  <c r="AO80" i="1"/>
  <c r="AO64" i="1"/>
  <c r="AO48" i="1"/>
  <c r="AO40" i="1"/>
  <c r="AO24" i="1"/>
  <c r="AO16" i="1"/>
  <c r="AO8" i="1"/>
  <c r="AO155" i="1"/>
  <c r="AO139" i="1"/>
  <c r="AO107" i="1"/>
  <c r="AO91" i="1"/>
  <c r="AO67" i="1"/>
  <c r="AO43" i="1"/>
  <c r="AO19" i="1"/>
  <c r="AO3" i="1"/>
  <c r="AO169" i="1"/>
  <c r="AO82" i="1"/>
  <c r="AO170" i="1"/>
  <c r="AO154" i="1"/>
  <c r="AO138" i="1"/>
  <c r="AO98" i="1"/>
  <c r="AO66" i="1"/>
  <c r="AO50" i="1"/>
  <c r="AO26" i="1"/>
  <c r="AO10" i="1"/>
  <c r="AO81" i="1"/>
  <c r="AO161" i="1"/>
  <c r="AO129" i="1"/>
  <c r="AO89" i="1"/>
  <c r="AO73" i="1"/>
  <c r="AO57" i="1"/>
  <c r="AO33" i="1"/>
  <c r="AO152" i="1"/>
  <c r="AO136" i="1"/>
  <c r="AO120" i="1"/>
  <c r="AO104" i="1"/>
  <c r="AO88" i="1"/>
  <c r="AO72" i="1"/>
  <c r="AO56" i="1"/>
  <c r="AO32" i="1"/>
  <c r="AO167" i="1"/>
  <c r="AO159" i="1"/>
  <c r="AO151" i="1"/>
  <c r="AO143" i="1"/>
  <c r="AO135" i="1"/>
  <c r="AO127" i="1"/>
  <c r="AO119" i="1"/>
  <c r="AO111" i="1"/>
  <c r="AO103" i="1"/>
  <c r="AO95" i="1"/>
  <c r="AO87" i="1"/>
  <c r="AO79" i="1"/>
  <c r="AO71" i="1"/>
  <c r="AO63" i="1"/>
  <c r="AO55" i="1"/>
  <c r="AO47" i="1"/>
  <c r="AO39" i="1"/>
  <c r="AO31" i="1"/>
  <c r="AO23" i="1"/>
  <c r="AO15" i="1"/>
  <c r="AO7" i="1"/>
  <c r="AO166" i="1"/>
  <c r="AO158" i="1"/>
  <c r="AO150" i="1"/>
  <c r="AO142" i="1"/>
  <c r="AO134" i="1"/>
  <c r="AO126" i="1"/>
  <c r="AO118" i="1"/>
  <c r="AO110" i="1"/>
  <c r="AO102" i="1"/>
  <c r="AO94" i="1"/>
  <c r="AO86" i="1"/>
  <c r="AO78" i="1"/>
  <c r="AO70" i="1"/>
  <c r="AO62" i="1"/>
  <c r="AO54" i="1"/>
  <c r="AO46" i="1"/>
  <c r="AO38" i="1"/>
  <c r="AO30" i="1"/>
  <c r="AO22" i="1"/>
  <c r="AO14" i="1"/>
  <c r="AO6" i="1"/>
  <c r="AO165" i="1"/>
  <c r="AO157" i="1"/>
  <c r="AO149" i="1"/>
  <c r="AO141" i="1"/>
  <c r="AO133" i="1"/>
  <c r="AO125" i="1"/>
  <c r="AO117" i="1"/>
  <c r="AO109" i="1"/>
  <c r="AO101" i="1"/>
  <c r="AO93" i="1"/>
  <c r="AO85" i="1"/>
  <c r="AO77" i="1"/>
  <c r="AO69" i="1"/>
  <c r="AO61" i="1"/>
  <c r="AO53" i="1"/>
  <c r="AO45" i="1"/>
  <c r="AO37" i="1"/>
  <c r="AO29" i="1"/>
  <c r="AO21" i="1"/>
  <c r="AO13" i="1"/>
  <c r="AO5" i="1"/>
  <c r="AO164" i="1"/>
  <c r="AO156" i="1"/>
  <c r="AO148" i="1"/>
  <c r="AO140" i="1"/>
  <c r="AO132" i="1"/>
  <c r="AO124" i="1"/>
  <c r="AO116" i="1"/>
  <c r="AO108" i="1"/>
  <c r="AO100" i="1"/>
  <c r="AO92" i="1"/>
  <c r="AO84" i="1"/>
  <c r="AO76" i="1"/>
  <c r="AO68" i="1"/>
  <c r="AO60" i="1"/>
  <c r="AO52" i="1"/>
  <c r="AO44" i="1"/>
  <c r="AO36" i="1"/>
  <c r="AO28" i="1"/>
  <c r="AO20" i="1"/>
  <c r="AO12" i="1"/>
  <c r="AO4" i="1"/>
  <c r="O119" i="24"/>
  <c r="O128" i="24"/>
  <c r="O127" i="24"/>
  <c r="O88" i="24"/>
  <c r="O103" i="24"/>
  <c r="O40" i="24"/>
  <c r="O96" i="24"/>
  <c r="O32" i="24"/>
  <c r="O167" i="24"/>
  <c r="O24" i="24"/>
  <c r="O160" i="24"/>
  <c r="O159" i="24"/>
  <c r="I160" i="25"/>
  <c r="I145" i="25"/>
  <c r="I125" i="25"/>
  <c r="I112" i="25"/>
  <c r="I92" i="25"/>
  <c r="I74" i="25"/>
  <c r="I59" i="25"/>
  <c r="I41" i="25"/>
  <c r="I26" i="25"/>
  <c r="I8" i="25"/>
  <c r="I157" i="25"/>
  <c r="I144" i="25"/>
  <c r="I124" i="25"/>
  <c r="I106" i="25"/>
  <c r="I91" i="25"/>
  <c r="I73" i="25"/>
  <c r="I58" i="25"/>
  <c r="I40" i="25"/>
  <c r="I20" i="25"/>
  <c r="I5" i="25"/>
  <c r="I11" i="25"/>
  <c r="I156" i="25"/>
  <c r="I138" i="25"/>
  <c r="I123" i="25"/>
  <c r="I105" i="25"/>
  <c r="I90" i="25"/>
  <c r="I72" i="25"/>
  <c r="I52" i="25"/>
  <c r="I37" i="25"/>
  <c r="I19" i="25"/>
  <c r="I4" i="25"/>
  <c r="I170" i="25"/>
  <c r="I155" i="25"/>
  <c r="I137" i="25"/>
  <c r="I122" i="25"/>
  <c r="I104" i="25"/>
  <c r="I84" i="25"/>
  <c r="I69" i="25"/>
  <c r="I51" i="25"/>
  <c r="I36" i="25"/>
  <c r="I18" i="25"/>
  <c r="I169" i="25"/>
  <c r="I154" i="25"/>
  <c r="I136" i="25"/>
  <c r="I116" i="25"/>
  <c r="I101" i="25"/>
  <c r="I83" i="25"/>
  <c r="I68" i="25"/>
  <c r="I50" i="25"/>
  <c r="I32" i="25"/>
  <c r="I17" i="25"/>
  <c r="I168" i="25"/>
  <c r="I148" i="25"/>
  <c r="I133" i="25"/>
  <c r="I115" i="25"/>
  <c r="I100" i="25"/>
  <c r="I82" i="25"/>
  <c r="I64" i="25"/>
  <c r="I49" i="25"/>
  <c r="I29" i="25"/>
  <c r="I16" i="25"/>
  <c r="I165" i="25"/>
  <c r="I147" i="25"/>
  <c r="I132" i="25"/>
  <c r="I114" i="25"/>
  <c r="I96" i="25"/>
  <c r="I81" i="25"/>
  <c r="I61" i="25"/>
  <c r="I48" i="25"/>
  <c r="I28" i="25"/>
  <c r="I10" i="25"/>
  <c r="I164" i="25"/>
  <c r="I146" i="25"/>
  <c r="I128" i="25"/>
  <c r="I113" i="25"/>
  <c r="I93" i="25"/>
  <c r="I80" i="25"/>
  <c r="I60" i="25"/>
  <c r="I42" i="25"/>
  <c r="I27" i="25"/>
  <c r="I9" i="25"/>
  <c r="I13" i="25"/>
  <c r="I3" i="25"/>
  <c r="I162" i="25"/>
  <c r="I152" i="25"/>
  <c r="I140" i="25"/>
  <c r="I130" i="25"/>
  <c r="I120" i="25"/>
  <c r="I108" i="25"/>
  <c r="I98" i="25"/>
  <c r="I88" i="25"/>
  <c r="I76" i="25"/>
  <c r="I66" i="25"/>
  <c r="I56" i="25"/>
  <c r="I44" i="25"/>
  <c r="I34" i="25"/>
  <c r="I24" i="25"/>
  <c r="I163" i="25"/>
  <c r="I153" i="25"/>
  <c r="I141" i="25"/>
  <c r="I131" i="25"/>
  <c r="I121" i="25"/>
  <c r="I109" i="25"/>
  <c r="I99" i="25"/>
  <c r="I89" i="25"/>
  <c r="I77" i="25"/>
  <c r="I67" i="25"/>
  <c r="I57" i="25"/>
  <c r="I45" i="25"/>
  <c r="I35" i="25"/>
  <c r="I25" i="25"/>
  <c r="I12" i="25"/>
  <c r="I171" i="25"/>
  <c r="I161" i="25"/>
  <c r="I149" i="25"/>
  <c r="I139" i="25"/>
  <c r="I129" i="25"/>
  <c r="I117" i="25"/>
  <c r="I107" i="25"/>
  <c r="I97" i="25"/>
  <c r="I85" i="25"/>
  <c r="I75" i="25"/>
  <c r="I65" i="25"/>
  <c r="I53" i="25"/>
  <c r="I43" i="25"/>
  <c r="I33" i="25"/>
  <c r="I21" i="25"/>
  <c r="I167" i="25"/>
  <c r="I159" i="25"/>
  <c r="I151" i="25"/>
  <c r="I143" i="25"/>
  <c r="I135" i="25"/>
  <c r="I127" i="25"/>
  <c r="I119" i="25"/>
  <c r="I111" i="25"/>
  <c r="I103" i="25"/>
  <c r="I95" i="25"/>
  <c r="I87" i="25"/>
  <c r="I79" i="25"/>
  <c r="I71" i="25"/>
  <c r="I63" i="25"/>
  <c r="I55" i="25"/>
  <c r="I47" i="25"/>
  <c r="I39" i="25"/>
  <c r="I31" i="25"/>
  <c r="I23" i="25"/>
  <c r="I15" i="25"/>
  <c r="I7" i="25"/>
  <c r="I166" i="25"/>
  <c r="I158" i="25"/>
  <c r="I150" i="25"/>
  <c r="I142" i="25"/>
  <c r="I134" i="25"/>
  <c r="I126" i="25"/>
  <c r="I118" i="25"/>
  <c r="I110" i="25"/>
  <c r="I102" i="25"/>
  <c r="I94" i="25"/>
  <c r="I86" i="25"/>
  <c r="I78" i="25"/>
  <c r="I70" i="25"/>
  <c r="I62" i="25"/>
  <c r="I54" i="25"/>
  <c r="I46" i="25"/>
  <c r="I38" i="25"/>
  <c r="I30" i="25"/>
  <c r="I22" i="25"/>
  <c r="I14" i="25"/>
  <c r="O29" i="27"/>
  <c r="O61" i="27"/>
  <c r="O33" i="27"/>
  <c r="O21" i="27"/>
  <c r="O30" i="27"/>
  <c r="O9" i="27"/>
  <c r="O85" i="27"/>
  <c r="O148" i="27"/>
  <c r="O147" i="27"/>
  <c r="O117" i="27"/>
  <c r="O170" i="27"/>
  <c r="O139" i="27"/>
  <c r="O115" i="27"/>
  <c r="O84" i="27"/>
  <c r="O53" i="27"/>
  <c r="O5" i="27"/>
  <c r="O17" i="27"/>
  <c r="O27" i="27"/>
  <c r="O37" i="27"/>
  <c r="O49" i="27"/>
  <c r="O59" i="27"/>
  <c r="O69" i="27"/>
  <c r="O81" i="27"/>
  <c r="O91" i="27"/>
  <c r="O101" i="27"/>
  <c r="O113" i="27"/>
  <c r="O123" i="27"/>
  <c r="O133" i="27"/>
  <c r="O145" i="27"/>
  <c r="O155" i="27"/>
  <c r="O165" i="27"/>
  <c r="O6" i="27"/>
  <c r="O18" i="27"/>
  <c r="O28" i="27"/>
  <c r="O38" i="27"/>
  <c r="O50" i="27"/>
  <c r="O60" i="27"/>
  <c r="O70" i="27"/>
  <c r="O82" i="27"/>
  <c r="O92" i="27"/>
  <c r="O102" i="27"/>
  <c r="O114" i="27"/>
  <c r="O124" i="27"/>
  <c r="O134" i="27"/>
  <c r="O146" i="27"/>
  <c r="O156" i="27"/>
  <c r="O166" i="27"/>
  <c r="O137" i="27"/>
  <c r="O106" i="27"/>
  <c r="O75" i="27"/>
  <c r="O51" i="27"/>
  <c r="O20" i="27"/>
  <c r="O158" i="27"/>
  <c r="O129" i="27"/>
  <c r="O105" i="27"/>
  <c r="O74" i="27"/>
  <c r="O43" i="27"/>
  <c r="O19" i="27"/>
  <c r="O157" i="27"/>
  <c r="O126" i="27"/>
  <c r="O97" i="27"/>
  <c r="O73" i="27"/>
  <c r="O42" i="27"/>
  <c r="O11" i="27"/>
  <c r="O169" i="27"/>
  <c r="O138" i="27"/>
  <c r="O107" i="27"/>
  <c r="O83" i="27"/>
  <c r="O52" i="27"/>
  <c r="O161" i="27"/>
  <c r="O4" i="27"/>
  <c r="O149" i="27"/>
  <c r="O125" i="27"/>
  <c r="O94" i="27"/>
  <c r="O65" i="27"/>
  <c r="O41" i="27"/>
  <c r="O10" i="27"/>
  <c r="O164" i="27"/>
  <c r="O154" i="27"/>
  <c r="O142" i="27"/>
  <c r="O132" i="27"/>
  <c r="O122" i="27"/>
  <c r="O110" i="27"/>
  <c r="O100" i="27"/>
  <c r="O90" i="27"/>
  <c r="O78" i="27"/>
  <c r="O68" i="27"/>
  <c r="O58" i="27"/>
  <c r="O46" i="27"/>
  <c r="O36" i="27"/>
  <c r="O26" i="27"/>
  <c r="O14" i="27"/>
  <c r="O7" i="27"/>
  <c r="O15" i="27"/>
  <c r="O23" i="27"/>
  <c r="O31" i="27"/>
  <c r="O39" i="27"/>
  <c r="O47" i="27"/>
  <c r="O55" i="27"/>
  <c r="O63" i="27"/>
  <c r="O71" i="27"/>
  <c r="O79" i="27"/>
  <c r="O87" i="27"/>
  <c r="O95" i="27"/>
  <c r="O103" i="27"/>
  <c r="O111" i="27"/>
  <c r="O119" i="27"/>
  <c r="O127" i="27"/>
  <c r="O135" i="27"/>
  <c r="O143" i="27"/>
  <c r="O151" i="27"/>
  <c r="O159" i="27"/>
  <c r="O167" i="27"/>
  <c r="O8" i="27"/>
  <c r="O16" i="27"/>
  <c r="O24" i="27"/>
  <c r="O32" i="27"/>
  <c r="O40" i="27"/>
  <c r="O48" i="27"/>
  <c r="O56" i="27"/>
  <c r="O64" i="27"/>
  <c r="O72" i="27"/>
  <c r="O80" i="27"/>
  <c r="O88" i="27"/>
  <c r="O96" i="27"/>
  <c r="O104" i="27"/>
  <c r="O112" i="27"/>
  <c r="O120" i="27"/>
  <c r="O128" i="27"/>
  <c r="O136" i="27"/>
  <c r="O144" i="27"/>
  <c r="O152" i="27"/>
  <c r="O160" i="27"/>
  <c r="O168" i="27"/>
  <c r="O163" i="27"/>
  <c r="O153" i="27"/>
  <c r="O141" i="27"/>
  <c r="O131" i="27"/>
  <c r="O121" i="27"/>
  <c r="O109" i="27"/>
  <c r="O99" i="27"/>
  <c r="O89" i="27"/>
  <c r="O77" i="27"/>
  <c r="O67" i="27"/>
  <c r="O57" i="27"/>
  <c r="O45" i="27"/>
  <c r="O35" i="27"/>
  <c r="O25" i="27"/>
  <c r="O13" i="27"/>
  <c r="O3" i="27"/>
  <c r="O162" i="27"/>
  <c r="O150" i="27"/>
  <c r="O140" i="27"/>
  <c r="O130" i="27"/>
  <c r="O118" i="27"/>
  <c r="O108" i="27"/>
  <c r="O98" i="27"/>
  <c r="O86" i="27"/>
  <c r="O76" i="27"/>
  <c r="O66" i="27"/>
  <c r="O54" i="27"/>
  <c r="O44" i="27"/>
  <c r="O34" i="27"/>
  <c r="O22" i="27"/>
  <c r="O12" i="27"/>
  <c r="H161" i="23"/>
  <c r="H97" i="23"/>
  <c r="H81" i="23"/>
  <c r="H65" i="23"/>
  <c r="H49" i="23"/>
  <c r="H33" i="23"/>
  <c r="H113" i="23"/>
  <c r="H129" i="23"/>
  <c r="H17" i="23"/>
  <c r="H145" i="23"/>
  <c r="O152" i="24"/>
  <c r="O120" i="24"/>
  <c r="O80" i="24"/>
  <c r="O16" i="24"/>
  <c r="O7" i="24"/>
  <c r="O15" i="24"/>
  <c r="O23" i="24"/>
  <c r="O31" i="24"/>
  <c r="O47" i="24"/>
  <c r="O55" i="24"/>
  <c r="O63" i="24"/>
  <c r="O71" i="24"/>
  <c r="O79" i="24"/>
  <c r="O95" i="24"/>
  <c r="O39" i="24"/>
  <c r="O87" i="24"/>
  <c r="O151" i="24"/>
  <c r="O72" i="24"/>
  <c r="O8" i="24"/>
  <c r="O6" i="24"/>
  <c r="O144" i="24"/>
  <c r="O64" i="24"/>
  <c r="O9" i="24"/>
  <c r="O143" i="24"/>
  <c r="O111" i="24"/>
  <c r="O56" i="24"/>
  <c r="O112" i="24"/>
  <c r="O168" i="24"/>
  <c r="O136" i="24"/>
  <c r="O104" i="24"/>
  <c r="O48" i="24"/>
  <c r="O158" i="24"/>
  <c r="O142" i="24"/>
  <c r="O126" i="24"/>
  <c r="O94" i="24"/>
  <c r="O22" i="24"/>
  <c r="O3" i="24"/>
  <c r="O156" i="24"/>
  <c r="O140" i="24"/>
  <c r="O108" i="24"/>
  <c r="O44" i="24"/>
  <c r="O166" i="24"/>
  <c r="O150" i="24"/>
  <c r="O134" i="24"/>
  <c r="O118" i="24"/>
  <c r="O110" i="24"/>
  <c r="O102" i="24"/>
  <c r="O86" i="24"/>
  <c r="O78" i="24"/>
  <c r="O70" i="24"/>
  <c r="O62" i="24"/>
  <c r="O54" i="24"/>
  <c r="O46" i="24"/>
  <c r="O38" i="24"/>
  <c r="O30" i="24"/>
  <c r="O14" i="24"/>
  <c r="O165" i="24"/>
  <c r="O157" i="24"/>
  <c r="O149" i="24"/>
  <c r="O141" i="24"/>
  <c r="O133" i="24"/>
  <c r="O125" i="24"/>
  <c r="O117" i="24"/>
  <c r="O109" i="24"/>
  <c r="O101" i="24"/>
  <c r="O93" i="24"/>
  <c r="O85" i="24"/>
  <c r="O77" i="24"/>
  <c r="O69" i="24"/>
  <c r="O61" i="24"/>
  <c r="O53" i="24"/>
  <c r="O45" i="24"/>
  <c r="O37" i="24"/>
  <c r="O29" i="24"/>
  <c r="O21" i="24"/>
  <c r="O13" i="24"/>
  <c r="O5" i="24"/>
  <c r="O164" i="24"/>
  <c r="O148" i="24"/>
  <c r="O132" i="24"/>
  <c r="O124" i="24"/>
  <c r="O116" i="24"/>
  <c r="O100" i="24"/>
  <c r="O92" i="24"/>
  <c r="O84" i="24"/>
  <c r="O76" i="24"/>
  <c r="O68" i="24"/>
  <c r="O60" i="24"/>
  <c r="O52" i="24"/>
  <c r="O36" i="24"/>
  <c r="O28" i="24"/>
  <c r="O20" i="24"/>
  <c r="O12" i="24"/>
  <c r="O4" i="24"/>
  <c r="O170" i="24"/>
  <c r="O162" i="24"/>
  <c r="O154" i="24"/>
  <c r="O146" i="24"/>
  <c r="O138" i="24"/>
  <c r="O130" i="24"/>
  <c r="O122" i="24"/>
  <c r="O114" i="24"/>
  <c r="O106" i="24"/>
  <c r="O98" i="24"/>
  <c r="O90" i="24"/>
  <c r="O82" i="24"/>
  <c r="O74" i="24"/>
  <c r="O66" i="24"/>
  <c r="O58" i="24"/>
  <c r="O50" i="24"/>
  <c r="O42" i="24"/>
  <c r="O34" i="24"/>
  <c r="O26" i="24"/>
  <c r="O18" i="24"/>
  <c r="O10" i="24"/>
  <c r="O171" i="24"/>
  <c r="O163" i="24"/>
  <c r="O155" i="24"/>
  <c r="O147" i="24"/>
  <c r="O139" i="24"/>
  <c r="O131" i="24"/>
  <c r="O123" i="24"/>
  <c r="O115" i="24"/>
  <c r="O107" i="24"/>
  <c r="O99" i="24"/>
  <c r="O91" i="24"/>
  <c r="O83" i="24"/>
  <c r="O75" i="24"/>
  <c r="O67" i="24"/>
  <c r="O59" i="24"/>
  <c r="O51" i="24"/>
  <c r="O43" i="24"/>
  <c r="O35" i="24"/>
  <c r="O27" i="24"/>
  <c r="O19" i="24"/>
  <c r="O11" i="24"/>
  <c r="O169" i="24"/>
  <c r="O161" i="24"/>
  <c r="O153" i="24"/>
  <c r="O145" i="24"/>
  <c r="O137" i="24"/>
  <c r="O129" i="24"/>
  <c r="O121" i="24"/>
  <c r="O113" i="24"/>
  <c r="O105" i="24"/>
  <c r="O97" i="24"/>
  <c r="O89" i="24"/>
  <c r="O81" i="24"/>
  <c r="O73" i="24"/>
  <c r="O65" i="24"/>
  <c r="O57" i="24"/>
  <c r="O49" i="24"/>
  <c r="O41" i="24"/>
  <c r="O33" i="24"/>
  <c r="O25" i="24"/>
  <c r="O17" i="24"/>
  <c r="H10" i="23"/>
  <c r="H11" i="23"/>
  <c r="H19" i="23"/>
  <c r="H27" i="23"/>
  <c r="H35" i="23"/>
  <c r="H43" i="23"/>
  <c r="H51" i="23"/>
  <c r="H59" i="23"/>
  <c r="H67" i="23"/>
  <c r="H75" i="23"/>
  <c r="H83" i="23"/>
  <c r="H91" i="23"/>
  <c r="H99" i="23"/>
  <c r="H107" i="23"/>
  <c r="H115" i="23"/>
  <c r="H123" i="23"/>
  <c r="H131" i="23"/>
  <c r="H139" i="23"/>
  <c r="H147" i="23"/>
  <c r="H155" i="23"/>
  <c r="H163" i="23"/>
  <c r="H171" i="23"/>
  <c r="H4" i="23"/>
  <c r="H12" i="23"/>
  <c r="H20" i="23"/>
  <c r="H28" i="23"/>
  <c r="H36" i="23"/>
  <c r="H44" i="23"/>
  <c r="H52" i="23"/>
  <c r="H60" i="23"/>
  <c r="H68" i="23"/>
  <c r="H76" i="23"/>
  <c r="H84" i="23"/>
  <c r="H92" i="23"/>
  <c r="H100" i="23"/>
  <c r="H108" i="23"/>
  <c r="H116" i="23"/>
  <c r="H124" i="23"/>
  <c r="H132" i="23"/>
  <c r="H140" i="23"/>
  <c r="H148" i="23"/>
  <c r="H156" i="23"/>
  <c r="H164" i="23"/>
  <c r="H3" i="23"/>
  <c r="H5" i="23"/>
  <c r="H13" i="23"/>
  <c r="H21" i="23"/>
  <c r="H29" i="23"/>
  <c r="H37" i="23"/>
  <c r="H45" i="23"/>
  <c r="H53" i="23"/>
  <c r="H61" i="23"/>
  <c r="H69" i="23"/>
  <c r="H77" i="23"/>
  <c r="H85" i="23"/>
  <c r="H93" i="23"/>
  <c r="H101" i="23"/>
  <c r="H109" i="23"/>
  <c r="H117" i="23"/>
  <c r="H125" i="23"/>
  <c r="H133" i="23"/>
  <c r="H141" i="23"/>
  <c r="H149" i="23"/>
  <c r="H157" i="23"/>
  <c r="H165" i="23"/>
  <c r="H6" i="23"/>
  <c r="H14" i="23"/>
  <c r="H22" i="23"/>
  <c r="H30" i="23"/>
  <c r="H38" i="23"/>
  <c r="H46" i="23"/>
  <c r="H54" i="23"/>
  <c r="H62" i="23"/>
  <c r="H70" i="23"/>
  <c r="H78" i="23"/>
  <c r="H86" i="23"/>
  <c r="H94" i="23"/>
  <c r="H102" i="23"/>
  <c r="H110" i="23"/>
  <c r="H118" i="23"/>
  <c r="H126" i="23"/>
  <c r="H134" i="23"/>
  <c r="H142" i="23"/>
  <c r="H150" i="23"/>
  <c r="H158" i="23"/>
  <c r="H166" i="23"/>
  <c r="H160" i="23"/>
  <c r="H144" i="23"/>
  <c r="H128" i="23"/>
  <c r="H112" i="23"/>
  <c r="H96" i="23"/>
  <c r="H80" i="23"/>
  <c r="H64" i="23"/>
  <c r="H48" i="23"/>
  <c r="H32" i="23"/>
  <c r="H16" i="23"/>
  <c r="H159" i="23"/>
  <c r="H143" i="23"/>
  <c r="H127" i="23"/>
  <c r="H111" i="23"/>
  <c r="H95" i="23"/>
  <c r="H79" i="23"/>
  <c r="H63" i="23"/>
  <c r="H47" i="23"/>
  <c r="H31" i="23"/>
  <c r="H15" i="23"/>
  <c r="H170" i="23"/>
  <c r="H154" i="23"/>
  <c r="H138" i="23"/>
  <c r="H122" i="23"/>
  <c r="H106" i="23"/>
  <c r="H90" i="23"/>
  <c r="H74" i="23"/>
  <c r="H58" i="23"/>
  <c r="H42" i="23"/>
  <c r="H26" i="23"/>
  <c r="H9" i="23"/>
  <c r="H169" i="23"/>
  <c r="H153" i="23"/>
  <c r="H137" i="23"/>
  <c r="H121" i="23"/>
  <c r="H105" i="23"/>
  <c r="H89" i="23"/>
  <c r="H73" i="23"/>
  <c r="H57" i="23"/>
  <c r="H41" i="23"/>
  <c r="H25" i="23"/>
  <c r="H8" i="23"/>
  <c r="H168" i="23"/>
  <c r="H152" i="23"/>
  <c r="H136" i="23"/>
  <c r="H120" i="23"/>
  <c r="H104" i="23"/>
  <c r="H88" i="23"/>
  <c r="H72" i="23"/>
  <c r="H56" i="23"/>
  <c r="H40" i="23"/>
  <c r="H24" i="23"/>
  <c r="H7" i="23"/>
  <c r="H167" i="23"/>
  <c r="H151" i="23"/>
  <c r="H135" i="23"/>
  <c r="H119" i="23"/>
  <c r="H103" i="23"/>
  <c r="H87" i="23"/>
  <c r="H71" i="23"/>
  <c r="H55" i="23"/>
  <c r="H39" i="23"/>
  <c r="H23" i="23"/>
  <c r="H162" i="23"/>
  <c r="H146" i="23"/>
  <c r="H130" i="23"/>
  <c r="H114" i="23"/>
  <c r="H98" i="23"/>
  <c r="H82" i="23"/>
  <c r="H66" i="23"/>
  <c r="H50" i="23"/>
  <c r="H34" i="23"/>
  <c r="H18" i="23"/>
  <c r="P5" i="15"/>
  <c r="P6" i="15"/>
  <c r="P7" i="15"/>
  <c r="P12" i="15"/>
  <c r="P20" i="15"/>
  <c r="P21" i="15"/>
  <c r="P22" i="15"/>
  <c r="P23" i="15"/>
  <c r="P28" i="15"/>
  <c r="P36" i="15"/>
  <c r="P37" i="15"/>
  <c r="P38" i="15"/>
  <c r="P39" i="15"/>
  <c r="P44" i="15"/>
  <c r="P52" i="15"/>
  <c r="P53" i="15"/>
  <c r="P54" i="15"/>
  <c r="P55" i="15"/>
  <c r="P60" i="15"/>
  <c r="P68" i="15"/>
  <c r="P69" i="15"/>
  <c r="P70" i="15"/>
  <c r="P71" i="15"/>
  <c r="P76" i="15"/>
  <c r="P84" i="15"/>
  <c r="P85" i="15"/>
  <c r="P86" i="15"/>
  <c r="P87" i="15"/>
  <c r="P92" i="15"/>
  <c r="P100" i="15"/>
  <c r="P101" i="15"/>
  <c r="P102" i="15"/>
  <c r="P103" i="15"/>
  <c r="P108" i="15"/>
  <c r="P116" i="15"/>
  <c r="P117" i="15"/>
  <c r="P118" i="15"/>
  <c r="P119" i="15"/>
  <c r="P124" i="15"/>
  <c r="P132" i="15"/>
  <c r="P133" i="15"/>
  <c r="P134" i="15"/>
  <c r="P135" i="15"/>
  <c r="P140" i="15"/>
  <c r="P148" i="15"/>
  <c r="P149" i="15"/>
  <c r="P150" i="15"/>
  <c r="P151" i="15"/>
  <c r="P156" i="15"/>
  <c r="P164" i="15"/>
  <c r="P165" i="15"/>
  <c r="P166" i="15"/>
  <c r="P167" i="15"/>
  <c r="P3" i="15"/>
  <c r="P14" i="15"/>
  <c r="P15" i="15"/>
  <c r="P8" i="15"/>
  <c r="AP128" i="1"/>
  <c r="AQ128" i="1" s="1"/>
  <c r="AP170" i="1"/>
  <c r="AQ170" i="1" s="1"/>
  <c r="AY169" i="1"/>
  <c r="AX168" i="1"/>
  <c r="AW167" i="1"/>
  <c r="AL166" i="1"/>
  <c r="AK157" i="1"/>
  <c r="AK165" i="1"/>
  <c r="AJ156" i="1"/>
  <c r="AJ164" i="1"/>
  <c r="AV169" i="1"/>
  <c r="AU2" i="1"/>
  <c r="AT25" i="1"/>
  <c r="AF76" i="1"/>
  <c r="AE167" i="1"/>
  <c r="AD167" i="1"/>
  <c r="AT162" i="1" l="1"/>
  <c r="AT146" i="1"/>
  <c r="AT122" i="1"/>
  <c r="AT106" i="1"/>
  <c r="AT82" i="1"/>
  <c r="AT74" i="1"/>
  <c r="AT58" i="1"/>
  <c r="AT42" i="1"/>
  <c r="AT34" i="1"/>
  <c r="AT18" i="1"/>
  <c r="AU163" i="1"/>
  <c r="AU147" i="1"/>
  <c r="AU123" i="1"/>
  <c r="AU99" i="1"/>
  <c r="AU75" i="1"/>
  <c r="AU51" i="1"/>
  <c r="AU35" i="1"/>
  <c r="AU19" i="1"/>
  <c r="AV81" i="1"/>
  <c r="AV73" i="1"/>
  <c r="AV49" i="1"/>
  <c r="AV17" i="1"/>
  <c r="AJ162" i="1"/>
  <c r="AJ130" i="1"/>
  <c r="AJ98" i="1"/>
  <c r="AJ74" i="1"/>
  <c r="AJ42" i="1"/>
  <c r="AJ10" i="1"/>
  <c r="AK139" i="1"/>
  <c r="AK99" i="1"/>
  <c r="AK27" i="1"/>
  <c r="AV72" i="1"/>
  <c r="AD143" i="1"/>
  <c r="AD127" i="1"/>
  <c r="AD111" i="1"/>
  <c r="AD95" i="1"/>
  <c r="AD71" i="1"/>
  <c r="AD47" i="1"/>
  <c r="AD31" i="1"/>
  <c r="AE138" i="1"/>
  <c r="AE116" i="1"/>
  <c r="AE82" i="1"/>
  <c r="AE56" i="1"/>
  <c r="AE26" i="1"/>
  <c r="AE6" i="1"/>
  <c r="AF154" i="1"/>
  <c r="AF123" i="1"/>
  <c r="AF105" i="1"/>
  <c r="AF81" i="1"/>
  <c r="AF49" i="1"/>
  <c r="AF30" i="1"/>
  <c r="AF2" i="1"/>
  <c r="AE105" i="1"/>
  <c r="AE18" i="1"/>
  <c r="AT170" i="1"/>
  <c r="AT138" i="1"/>
  <c r="AT98" i="1"/>
  <c r="AU131" i="1"/>
  <c r="AU91" i="1"/>
  <c r="AU67" i="1"/>
  <c r="AU27" i="1"/>
  <c r="AD150" i="1"/>
  <c r="AD134" i="1"/>
  <c r="AD118" i="1"/>
  <c r="AD94" i="1"/>
  <c r="AD78" i="1"/>
  <c r="AD54" i="1"/>
  <c r="AD30" i="1"/>
  <c r="AE166" i="1"/>
  <c r="AE137" i="1"/>
  <c r="AE112" i="1"/>
  <c r="AE81" i="1"/>
  <c r="AE55" i="1"/>
  <c r="AE25" i="1"/>
  <c r="AF162" i="1"/>
  <c r="AF133" i="1"/>
  <c r="AF104" i="1"/>
  <c r="AF71" i="1"/>
  <c r="AF29" i="1"/>
  <c r="AF11" i="1"/>
  <c r="AE102" i="1"/>
  <c r="AE14" i="1"/>
  <c r="AF101" i="1"/>
  <c r="AF35" i="1"/>
  <c r="AT161" i="1"/>
  <c r="AT145" i="1"/>
  <c r="AT121" i="1"/>
  <c r="AT97" i="1"/>
  <c r="AT81" i="1"/>
  <c r="AT73" i="1"/>
  <c r="AT65" i="1"/>
  <c r="AT49" i="1"/>
  <c r="AT41" i="1"/>
  <c r="AT33" i="1"/>
  <c r="AT17" i="1"/>
  <c r="AT9" i="1"/>
  <c r="AU162" i="1"/>
  <c r="AU138" i="1"/>
  <c r="AU114" i="1"/>
  <c r="AU90" i="1"/>
  <c r="AU66" i="1"/>
  <c r="AU42" i="1"/>
  <c r="AU26" i="1"/>
  <c r="AU10" i="1"/>
  <c r="AV163" i="1"/>
  <c r="AV139" i="1"/>
  <c r="AV123" i="1"/>
  <c r="AV99" i="1"/>
  <c r="AV67" i="1"/>
  <c r="AV43" i="1"/>
  <c r="AV27" i="1"/>
  <c r="AV11" i="1"/>
  <c r="AJ140" i="1"/>
  <c r="AJ116" i="1"/>
  <c r="AJ92" i="1"/>
  <c r="AJ68" i="1"/>
  <c r="AJ52" i="1"/>
  <c r="AJ20" i="1"/>
  <c r="AJ4" i="1"/>
  <c r="AK141" i="1"/>
  <c r="AK101" i="1"/>
  <c r="AK61" i="1"/>
  <c r="AK37" i="1"/>
  <c r="AK13" i="1"/>
  <c r="AL134" i="1"/>
  <c r="AL94" i="1"/>
  <c r="AL62" i="1"/>
  <c r="AL30" i="1"/>
  <c r="AL14" i="1"/>
  <c r="AW135" i="1"/>
  <c r="AX128" i="1"/>
  <c r="AX80" i="1"/>
  <c r="AX32" i="1"/>
  <c r="AX16" i="1"/>
  <c r="AY153" i="1"/>
  <c r="AY113" i="1"/>
  <c r="AY73" i="1"/>
  <c r="AY41" i="1"/>
  <c r="AY17" i="1"/>
  <c r="AP162" i="1"/>
  <c r="AQ162" i="1" s="1"/>
  <c r="AP122" i="1"/>
  <c r="AQ122" i="1" s="1"/>
  <c r="AP90" i="1"/>
  <c r="AQ90" i="1" s="1"/>
  <c r="AP26" i="1"/>
  <c r="AQ26" i="1" s="1"/>
  <c r="AD141" i="1"/>
  <c r="AD85" i="1"/>
  <c r="AD45" i="1"/>
  <c r="AE144" i="1"/>
  <c r="AE80" i="1"/>
  <c r="AE24" i="1"/>
  <c r="AF160" i="1"/>
  <c r="AF111" i="1"/>
  <c r="AF58" i="1"/>
  <c r="AE121" i="1"/>
  <c r="AF66" i="1"/>
  <c r="AT120" i="1"/>
  <c r="AU169" i="1"/>
  <c r="AU145" i="1"/>
  <c r="AU105" i="1"/>
  <c r="AU41" i="1"/>
  <c r="AU9" i="1"/>
  <c r="AV130" i="1"/>
  <c r="AV106" i="1"/>
  <c r="AV74" i="1"/>
  <c r="AV18" i="1"/>
  <c r="AJ147" i="1"/>
  <c r="AJ107" i="1"/>
  <c r="AJ67" i="1"/>
  <c r="AJ35" i="1"/>
  <c r="AK156" i="1"/>
  <c r="AK116" i="1"/>
  <c r="AK60" i="1"/>
  <c r="AK12" i="1"/>
  <c r="AL157" i="1"/>
  <c r="AL109" i="1"/>
  <c r="AL37" i="1"/>
  <c r="AW150" i="1"/>
  <c r="AW94" i="1"/>
  <c r="AW54" i="1"/>
  <c r="AW14" i="1"/>
  <c r="AX135" i="1"/>
  <c r="AX63" i="1"/>
  <c r="AX15" i="1"/>
  <c r="AY112" i="1"/>
  <c r="AP169" i="1"/>
  <c r="AQ169" i="1" s="1"/>
  <c r="AP129" i="1"/>
  <c r="AQ129" i="1" s="1"/>
  <c r="AP105" i="1"/>
  <c r="AQ105" i="1" s="1"/>
  <c r="AP65" i="1"/>
  <c r="AQ65" i="1" s="1"/>
  <c r="AP25" i="1"/>
  <c r="AQ25" i="1" s="1"/>
  <c r="AD140" i="1"/>
  <c r="AD68" i="1"/>
  <c r="AE164" i="1"/>
  <c r="AE53" i="1"/>
  <c r="AF140" i="1"/>
  <c r="AF46" i="1"/>
  <c r="AE89" i="1"/>
  <c r="AF27" i="1"/>
  <c r="AT103" i="1"/>
  <c r="AT31" i="1"/>
  <c r="AU160" i="1"/>
  <c r="AU72" i="1"/>
  <c r="AV145" i="1"/>
  <c r="AV25" i="1"/>
  <c r="AJ26" i="1"/>
  <c r="AK3" i="1"/>
  <c r="AL124" i="1"/>
  <c r="AD159" i="1"/>
  <c r="AD151" i="1"/>
  <c r="AD135" i="1"/>
  <c r="AD119" i="1"/>
  <c r="AD103" i="1"/>
  <c r="AD87" i="1"/>
  <c r="AD79" i="1"/>
  <c r="AD63" i="1"/>
  <c r="AD55" i="1"/>
  <c r="AD39" i="1"/>
  <c r="AD23" i="1"/>
  <c r="AD15" i="1"/>
  <c r="AD7" i="1"/>
  <c r="AE158" i="1"/>
  <c r="AE150" i="1"/>
  <c r="AE127" i="1"/>
  <c r="AE104" i="1"/>
  <c r="AE94" i="1"/>
  <c r="AE71" i="1"/>
  <c r="AE48" i="1"/>
  <c r="AE39" i="1"/>
  <c r="AE16" i="1"/>
  <c r="AF163" i="1"/>
  <c r="AF143" i="1"/>
  <c r="AF134" i="1"/>
  <c r="AF115" i="1"/>
  <c r="AF91" i="1"/>
  <c r="AF72" i="1"/>
  <c r="AF61" i="1"/>
  <c r="AF40" i="1"/>
  <c r="AF20" i="1"/>
  <c r="AF12" i="1"/>
  <c r="AE133" i="1"/>
  <c r="AE73" i="1"/>
  <c r="AE59" i="1"/>
  <c r="AF147" i="1"/>
  <c r="AF102" i="1"/>
  <c r="AF45" i="1"/>
  <c r="AT154" i="1"/>
  <c r="AT130" i="1"/>
  <c r="AT114" i="1"/>
  <c r="AT90" i="1"/>
  <c r="AT66" i="1"/>
  <c r="AT50" i="1"/>
  <c r="AT26" i="1"/>
  <c r="AT10" i="1"/>
  <c r="AU155" i="1"/>
  <c r="AU139" i="1"/>
  <c r="AU115" i="1"/>
  <c r="AU107" i="1"/>
  <c r="AU83" i="1"/>
  <c r="AU59" i="1"/>
  <c r="AU43" i="1"/>
  <c r="AU11" i="1"/>
  <c r="AD166" i="1"/>
  <c r="AD158" i="1"/>
  <c r="AD142" i="1"/>
  <c r="AD126" i="1"/>
  <c r="AD110" i="1"/>
  <c r="AD102" i="1"/>
  <c r="AD86" i="1"/>
  <c r="AD70" i="1"/>
  <c r="AD62" i="1"/>
  <c r="AD46" i="1"/>
  <c r="AD38" i="1"/>
  <c r="AD22" i="1"/>
  <c r="AD14" i="1"/>
  <c r="AD6" i="1"/>
  <c r="AE157" i="1"/>
  <c r="AE149" i="1"/>
  <c r="AE126" i="1"/>
  <c r="AE103" i="1"/>
  <c r="AE93" i="1"/>
  <c r="AE67" i="1"/>
  <c r="AE47" i="1"/>
  <c r="AE37" i="1"/>
  <c r="AE15" i="1"/>
  <c r="AE5" i="1"/>
  <c r="AF153" i="1"/>
  <c r="AF142" i="1"/>
  <c r="AF122" i="1"/>
  <c r="AF114" i="1"/>
  <c r="AF90" i="1"/>
  <c r="AF80" i="1"/>
  <c r="AF59" i="1"/>
  <c r="AF48" i="1"/>
  <c r="AF39" i="1"/>
  <c r="AF19" i="1"/>
  <c r="AE2" i="1"/>
  <c r="AE132" i="1"/>
  <c r="AE72" i="1"/>
  <c r="AE45" i="1"/>
  <c r="AF146" i="1"/>
  <c r="AF68" i="1"/>
  <c r="AT169" i="1"/>
  <c r="AT153" i="1"/>
  <c r="AT137" i="1"/>
  <c r="AT129" i="1"/>
  <c r="AT113" i="1"/>
  <c r="AT105" i="1"/>
  <c r="AT89" i="1"/>
  <c r="AT57" i="1"/>
  <c r="AK133" i="1"/>
  <c r="AK117" i="1"/>
  <c r="AK93" i="1"/>
  <c r="AK77" i="1"/>
  <c r="AK53" i="1"/>
  <c r="AK29" i="1"/>
  <c r="AK21" i="1"/>
  <c r="AK5" i="1"/>
  <c r="AL158" i="1"/>
  <c r="AL142" i="1"/>
  <c r="AL118" i="1"/>
  <c r="AL102" i="1"/>
  <c r="AL78" i="1"/>
  <c r="AL46" i="1"/>
  <c r="AW151" i="1"/>
  <c r="AW127" i="1"/>
  <c r="AW111" i="1"/>
  <c r="AW95" i="1"/>
  <c r="AW87" i="1"/>
  <c r="AW71" i="1"/>
  <c r="AW55" i="1"/>
  <c r="AW39" i="1"/>
  <c r="AW23" i="1"/>
  <c r="AW7" i="1"/>
  <c r="AX152" i="1"/>
  <c r="AX136" i="1"/>
  <c r="AX112" i="1"/>
  <c r="AX96" i="1"/>
  <c r="AX72" i="1"/>
  <c r="AX56" i="1"/>
  <c r="AX40" i="1"/>
  <c r="AX24" i="1"/>
  <c r="AX8" i="1"/>
  <c r="AY161" i="1"/>
  <c r="AY137" i="1"/>
  <c r="AY121" i="1"/>
  <c r="AY97" i="1"/>
  <c r="AY81" i="1"/>
  <c r="AY65" i="1"/>
  <c r="AY49" i="1"/>
  <c r="AY33" i="1"/>
  <c r="AY25" i="1"/>
  <c r="AY9" i="1"/>
  <c r="AP154" i="1"/>
  <c r="AQ154" i="1" s="1"/>
  <c r="AP138" i="1"/>
  <c r="AQ138" i="1" s="1"/>
  <c r="AP106" i="1"/>
  <c r="AQ106" i="1" s="1"/>
  <c r="AP82" i="1"/>
  <c r="AQ82" i="1" s="1"/>
  <c r="AP66" i="1"/>
  <c r="AQ66" i="1" s="1"/>
  <c r="AP42" i="1"/>
  <c r="AQ42" i="1" s="1"/>
  <c r="AP18" i="1"/>
  <c r="AQ18" i="1" s="1"/>
  <c r="AR115" i="1"/>
  <c r="AS115" i="1" s="1"/>
  <c r="AD149" i="1"/>
  <c r="AD125" i="1"/>
  <c r="AD109" i="1"/>
  <c r="AD93" i="1"/>
  <c r="AD69" i="1"/>
  <c r="AD53" i="1"/>
  <c r="AD37" i="1"/>
  <c r="AD21" i="1"/>
  <c r="AD13" i="1"/>
  <c r="AD5" i="1"/>
  <c r="AE136" i="1"/>
  <c r="AE111" i="1"/>
  <c r="AE92" i="1"/>
  <c r="AE54" i="1"/>
  <c r="AE36" i="1"/>
  <c r="AE13" i="1"/>
  <c r="AF141" i="1"/>
  <c r="AF121" i="1"/>
  <c r="AF89" i="1"/>
  <c r="AF70" i="1"/>
  <c r="AF38" i="1"/>
  <c r="AF18" i="1"/>
  <c r="AE163" i="1"/>
  <c r="AE70" i="1"/>
  <c r="AE12" i="1"/>
  <c r="AF96" i="1"/>
  <c r="AF34" i="1"/>
  <c r="AT160" i="1"/>
  <c r="AT144" i="1"/>
  <c r="AT128" i="1"/>
  <c r="AT104" i="1"/>
  <c r="AT88" i="1"/>
  <c r="AT72" i="1"/>
  <c r="AT56" i="1"/>
  <c r="AT40" i="1"/>
  <c r="AT24" i="1"/>
  <c r="AT8" i="1"/>
  <c r="AU153" i="1"/>
  <c r="AU129" i="1"/>
  <c r="AU113" i="1"/>
  <c r="AU89" i="1"/>
  <c r="AU73" i="1"/>
  <c r="AU57" i="1"/>
  <c r="AU33" i="1"/>
  <c r="AU25" i="1"/>
  <c r="AU17" i="1"/>
  <c r="AV162" i="1"/>
  <c r="AV138" i="1"/>
  <c r="AV114" i="1"/>
  <c r="AV90" i="1"/>
  <c r="AV66" i="1"/>
  <c r="AV50" i="1"/>
  <c r="AV26" i="1"/>
  <c r="AJ2" i="1"/>
  <c r="AJ155" i="1"/>
  <c r="AJ131" i="1"/>
  <c r="AJ115" i="1"/>
  <c r="AJ91" i="1"/>
  <c r="AJ75" i="1"/>
  <c r="AJ51" i="1"/>
  <c r="AJ27" i="1"/>
  <c r="AJ11" i="1"/>
  <c r="AK164" i="1"/>
  <c r="AK140" i="1"/>
  <c r="AK124" i="1"/>
  <c r="AK100" i="1"/>
  <c r="AK92" i="1"/>
  <c r="AK76" i="1"/>
  <c r="AK52" i="1"/>
  <c r="AK36" i="1"/>
  <c r="AK20" i="1"/>
  <c r="AK4" i="1"/>
  <c r="AL149" i="1"/>
  <c r="AL133" i="1"/>
  <c r="AL117" i="1"/>
  <c r="AL93" i="1"/>
  <c r="AL77" i="1"/>
  <c r="AL61" i="1"/>
  <c r="AL45" i="1"/>
  <c r="AL21" i="1"/>
  <c r="AW166" i="1"/>
  <c r="AW142" i="1"/>
  <c r="AW126" i="1"/>
  <c r="AW110" i="1"/>
  <c r="AW86" i="1"/>
  <c r="AW70" i="1"/>
  <c r="AW46" i="1"/>
  <c r="AW22" i="1"/>
  <c r="AX167" i="1"/>
  <c r="AX151" i="1"/>
  <c r="AX127" i="1"/>
  <c r="AX111" i="1"/>
  <c r="AX95" i="1"/>
  <c r="AX79" i="1"/>
  <c r="AX55" i="1"/>
  <c r="AX39" i="1"/>
  <c r="AY168" i="1"/>
  <c r="AY160" i="1"/>
  <c r="AY144" i="1"/>
  <c r="AY128" i="1"/>
  <c r="AY104" i="1"/>
  <c r="AY80" i="1"/>
  <c r="AY64" i="1"/>
  <c r="AY48" i="1"/>
  <c r="AY32" i="1"/>
  <c r="AY16" i="1"/>
  <c r="AP161" i="1"/>
  <c r="AQ161" i="1" s="1"/>
  <c r="AP145" i="1"/>
  <c r="AQ145" i="1" s="1"/>
  <c r="AP121" i="1"/>
  <c r="AQ121" i="1" s="1"/>
  <c r="AP89" i="1"/>
  <c r="AQ89" i="1" s="1"/>
  <c r="AP73" i="1"/>
  <c r="AQ73" i="1" s="1"/>
  <c r="AP41" i="1"/>
  <c r="AQ41" i="1" s="1"/>
  <c r="AP17" i="1"/>
  <c r="AQ17" i="1" s="1"/>
  <c r="AD164" i="1"/>
  <c r="AD148" i="1"/>
  <c r="AD124" i="1"/>
  <c r="AD108" i="1"/>
  <c r="AD92" i="1"/>
  <c r="AD76" i="1"/>
  <c r="AD52" i="1"/>
  <c r="AD36" i="1"/>
  <c r="AD20" i="1"/>
  <c r="AD4" i="1"/>
  <c r="AE143" i="1"/>
  <c r="AE124" i="1"/>
  <c r="AE91" i="1"/>
  <c r="AE65" i="1"/>
  <c r="AE35" i="1"/>
  <c r="AE11" i="1"/>
  <c r="AF159" i="1"/>
  <c r="AF131" i="1"/>
  <c r="AF110" i="1"/>
  <c r="AF88" i="1"/>
  <c r="AF57" i="1"/>
  <c r="AF26" i="1"/>
  <c r="AF9" i="1"/>
  <c r="AE118" i="1"/>
  <c r="AE69" i="1"/>
  <c r="AE33" i="1"/>
  <c r="AF130" i="1"/>
  <c r="AF62" i="1"/>
  <c r="AT159" i="1"/>
  <c r="AT143" i="1"/>
  <c r="AT127" i="1"/>
  <c r="AT111" i="1"/>
  <c r="AT87" i="1"/>
  <c r="AT71" i="1"/>
  <c r="AT47" i="1"/>
  <c r="AU168" i="1"/>
  <c r="AU144" i="1"/>
  <c r="AU128" i="1"/>
  <c r="AU112" i="1"/>
  <c r="AU96" i="1"/>
  <c r="AU80" i="1"/>
  <c r="AU56" i="1"/>
  <c r="AU40" i="1"/>
  <c r="AU24" i="1"/>
  <c r="AU8" i="1"/>
  <c r="AV153" i="1"/>
  <c r="AV129" i="1"/>
  <c r="AV113" i="1"/>
  <c r="AV89" i="1"/>
  <c r="AV57" i="1"/>
  <c r="AV33" i="1"/>
  <c r="AV9" i="1"/>
  <c r="AJ154" i="1"/>
  <c r="AJ138" i="1"/>
  <c r="AJ114" i="1"/>
  <c r="AJ90" i="1"/>
  <c r="AJ66" i="1"/>
  <c r="AJ50" i="1"/>
  <c r="AK2" i="1"/>
  <c r="AK147" i="1"/>
  <c r="AK123" i="1"/>
  <c r="AK107" i="1"/>
  <c r="AK83" i="1"/>
  <c r="AK67" i="1"/>
  <c r="AK43" i="1"/>
  <c r="AK11" i="1"/>
  <c r="AL140" i="1"/>
  <c r="AL116" i="1"/>
  <c r="AU170" i="1"/>
  <c r="AU154" i="1"/>
  <c r="AU146" i="1"/>
  <c r="AU130" i="1"/>
  <c r="AU122" i="1"/>
  <c r="AU106" i="1"/>
  <c r="AU98" i="1"/>
  <c r="AU82" i="1"/>
  <c r="AU74" i="1"/>
  <c r="AU58" i="1"/>
  <c r="AU50" i="1"/>
  <c r="AU34" i="1"/>
  <c r="AU18" i="1"/>
  <c r="AV2" i="1"/>
  <c r="AV155" i="1"/>
  <c r="AV147" i="1"/>
  <c r="AV131" i="1"/>
  <c r="AV115" i="1"/>
  <c r="AV107" i="1"/>
  <c r="AV91" i="1"/>
  <c r="AV83" i="1"/>
  <c r="AV75" i="1"/>
  <c r="AV59" i="1"/>
  <c r="AV51" i="1"/>
  <c r="AV35" i="1"/>
  <c r="AV19" i="1"/>
  <c r="AV3" i="1"/>
  <c r="AJ148" i="1"/>
  <c r="AJ132" i="1"/>
  <c r="AJ124" i="1"/>
  <c r="AJ108" i="1"/>
  <c r="AJ100" i="1"/>
  <c r="AJ84" i="1"/>
  <c r="AJ76" i="1"/>
  <c r="AJ60" i="1"/>
  <c r="AJ44" i="1"/>
  <c r="AJ36" i="1"/>
  <c r="AJ28" i="1"/>
  <c r="AJ12" i="1"/>
  <c r="AK149" i="1"/>
  <c r="AK125" i="1"/>
  <c r="AK109" i="1"/>
  <c r="AK85" i="1"/>
  <c r="AK69" i="1"/>
  <c r="AK45" i="1"/>
  <c r="AL150" i="1"/>
  <c r="AL126" i="1"/>
  <c r="AL110" i="1"/>
  <c r="AL86" i="1"/>
  <c r="AL70" i="1"/>
  <c r="AL54" i="1"/>
  <c r="AL38" i="1"/>
  <c r="AL22" i="1"/>
  <c r="AL6" i="1"/>
  <c r="AW159" i="1"/>
  <c r="AW143" i="1"/>
  <c r="AW119" i="1"/>
  <c r="AW103" i="1"/>
  <c r="AW79" i="1"/>
  <c r="AW63" i="1"/>
  <c r="AW47" i="1"/>
  <c r="AW31" i="1"/>
  <c r="AW15" i="1"/>
  <c r="AX160" i="1"/>
  <c r="AX144" i="1"/>
  <c r="AX120" i="1"/>
  <c r="AX104" i="1"/>
  <c r="AX88" i="1"/>
  <c r="AX64" i="1"/>
  <c r="AX48" i="1"/>
  <c r="AY145" i="1"/>
  <c r="AY129" i="1"/>
  <c r="AY105" i="1"/>
  <c r="AY89" i="1"/>
  <c r="AY57" i="1"/>
  <c r="AP146" i="1"/>
  <c r="AQ146" i="1" s="1"/>
  <c r="AP130" i="1"/>
  <c r="AQ130" i="1" s="1"/>
  <c r="AP114" i="1"/>
  <c r="AQ114" i="1" s="1"/>
  <c r="AP98" i="1"/>
  <c r="AQ98" i="1" s="1"/>
  <c r="AP74" i="1"/>
  <c r="AQ74" i="1" s="1"/>
  <c r="AP58" i="1"/>
  <c r="AQ58" i="1" s="1"/>
  <c r="AP50" i="1"/>
  <c r="AQ50" i="1" s="1"/>
  <c r="AP34" i="1"/>
  <c r="AQ34" i="1" s="1"/>
  <c r="AP10" i="1"/>
  <c r="AQ10" i="1" s="1"/>
  <c r="AD165" i="1"/>
  <c r="AD157" i="1"/>
  <c r="AD133" i="1"/>
  <c r="AD117" i="1"/>
  <c r="AD101" i="1"/>
  <c r="AD77" i="1"/>
  <c r="AD61" i="1"/>
  <c r="AD29" i="1"/>
  <c r="AE165" i="1"/>
  <c r="AE156" i="1"/>
  <c r="AE125" i="1"/>
  <c r="AE100" i="1"/>
  <c r="AE66" i="1"/>
  <c r="AE46" i="1"/>
  <c r="AE4" i="1"/>
  <c r="AF152" i="1"/>
  <c r="AF132" i="1"/>
  <c r="AF103" i="1"/>
  <c r="AF79" i="1"/>
  <c r="AF47" i="1"/>
  <c r="AF28" i="1"/>
  <c r="AF10" i="1"/>
  <c r="AE101" i="1"/>
  <c r="AE38" i="1"/>
  <c r="AF138" i="1"/>
  <c r="AT168" i="1"/>
  <c r="AT152" i="1"/>
  <c r="AT136" i="1"/>
  <c r="AT112" i="1"/>
  <c r="AT96" i="1"/>
  <c r="AT80" i="1"/>
  <c r="AT64" i="1"/>
  <c r="AT48" i="1"/>
  <c r="AT32" i="1"/>
  <c r="AT16" i="1"/>
  <c r="AU161" i="1"/>
  <c r="AU137" i="1"/>
  <c r="AU121" i="1"/>
  <c r="AU97" i="1"/>
  <c r="AU81" i="1"/>
  <c r="AU65" i="1"/>
  <c r="AU49" i="1"/>
  <c r="AV170" i="1"/>
  <c r="AV154" i="1"/>
  <c r="AV146" i="1"/>
  <c r="AV122" i="1"/>
  <c r="AV98" i="1"/>
  <c r="AV82" i="1"/>
  <c r="AV58" i="1"/>
  <c r="AV42" i="1"/>
  <c r="AV34" i="1"/>
  <c r="AV10" i="1"/>
  <c r="AJ163" i="1"/>
  <c r="AJ139" i="1"/>
  <c r="AJ123" i="1"/>
  <c r="AJ99" i="1"/>
  <c r="AJ83" i="1"/>
  <c r="AJ59" i="1"/>
  <c r="AJ43" i="1"/>
  <c r="AJ19" i="1"/>
  <c r="AJ3" i="1"/>
  <c r="AK148" i="1"/>
  <c r="AK132" i="1"/>
  <c r="AK108" i="1"/>
  <c r="AK84" i="1"/>
  <c r="AK68" i="1"/>
  <c r="AK44" i="1"/>
  <c r="AK28" i="1"/>
  <c r="AL165" i="1"/>
  <c r="AL141" i="1"/>
  <c r="AL125" i="1"/>
  <c r="AL101" i="1"/>
  <c r="AL85" i="1"/>
  <c r="AL69" i="1"/>
  <c r="AL53" i="1"/>
  <c r="AL29" i="1"/>
  <c r="AL13" i="1"/>
  <c r="AL5" i="1"/>
  <c r="AW158" i="1"/>
  <c r="AW134" i="1"/>
  <c r="AW118" i="1"/>
  <c r="AW102" i="1"/>
  <c r="AW78" i="1"/>
  <c r="AW62" i="1"/>
  <c r="AW38" i="1"/>
  <c r="AW30" i="1"/>
  <c r="AW6" i="1"/>
  <c r="AX159" i="1"/>
  <c r="AX143" i="1"/>
  <c r="AX119" i="1"/>
  <c r="AX103" i="1"/>
  <c r="AX87" i="1"/>
  <c r="AX71" i="1"/>
  <c r="AX47" i="1"/>
  <c r="AX31" i="1"/>
  <c r="AX23" i="1"/>
  <c r="AX7" i="1"/>
  <c r="AY152" i="1"/>
  <c r="AY136" i="1"/>
  <c r="AY120" i="1"/>
  <c r="AY96" i="1"/>
  <c r="AY88" i="1"/>
  <c r="AY72" i="1"/>
  <c r="AY56" i="1"/>
  <c r="AY40" i="1"/>
  <c r="AY24" i="1"/>
  <c r="AY8" i="1"/>
  <c r="AP153" i="1"/>
  <c r="AQ153" i="1" s="1"/>
  <c r="AP137" i="1"/>
  <c r="AQ137" i="1" s="1"/>
  <c r="AP113" i="1"/>
  <c r="AQ113" i="1" s="1"/>
  <c r="AP97" i="1"/>
  <c r="AQ97" i="1" s="1"/>
  <c r="AP81" i="1"/>
  <c r="AQ81" i="1" s="1"/>
  <c r="AP57" i="1"/>
  <c r="AQ57" i="1" s="1"/>
  <c r="AP49" i="1"/>
  <c r="AQ49" i="1" s="1"/>
  <c r="AP33" i="1"/>
  <c r="AQ33" i="1" s="1"/>
  <c r="AP9" i="1"/>
  <c r="AQ9" i="1" s="1"/>
  <c r="AD156" i="1"/>
  <c r="AD132" i="1"/>
  <c r="AD116" i="1"/>
  <c r="AD100" i="1"/>
  <c r="AD84" i="1"/>
  <c r="AD60" i="1"/>
  <c r="AD44" i="1"/>
  <c r="AD28" i="1"/>
  <c r="AD12" i="1"/>
  <c r="AE155" i="1"/>
  <c r="AE135" i="1"/>
  <c r="AE110" i="1"/>
  <c r="AE99" i="1"/>
  <c r="AE79" i="1"/>
  <c r="AE44" i="1"/>
  <c r="AE23" i="1"/>
  <c r="AE3" i="1"/>
  <c r="AF151" i="1"/>
  <c r="AF120" i="1"/>
  <c r="AF100" i="1"/>
  <c r="AF78" i="1"/>
  <c r="AF69" i="1"/>
  <c r="AF37" i="1"/>
  <c r="AF17" i="1"/>
  <c r="AE148" i="1"/>
  <c r="AF169" i="1"/>
  <c r="AF94" i="1"/>
  <c r="AT167" i="1"/>
  <c r="AT151" i="1"/>
  <c r="AT135" i="1"/>
  <c r="AT119" i="1"/>
  <c r="AT95" i="1"/>
  <c r="AT79" i="1"/>
  <c r="AT63" i="1"/>
  <c r="AT55" i="1"/>
  <c r="AT39" i="1"/>
  <c r="AT23" i="1"/>
  <c r="AT15" i="1"/>
  <c r="AT7" i="1"/>
  <c r="AU152" i="1"/>
  <c r="AU136" i="1"/>
  <c r="AU120" i="1"/>
  <c r="AU104" i="1"/>
  <c r="AU88" i="1"/>
  <c r="AU64" i="1"/>
  <c r="AU48" i="1"/>
  <c r="AU32" i="1"/>
  <c r="AU16" i="1"/>
  <c r="AV161" i="1"/>
  <c r="AV137" i="1"/>
  <c r="AV121" i="1"/>
  <c r="AV105" i="1"/>
  <c r="AV97" i="1"/>
  <c r="AV65" i="1"/>
  <c r="AV41" i="1"/>
  <c r="AJ170" i="1"/>
  <c r="AJ146" i="1"/>
  <c r="AJ122" i="1"/>
  <c r="AJ106" i="1"/>
  <c r="AJ82" i="1"/>
  <c r="AJ58" i="1"/>
  <c r="AJ34" i="1"/>
  <c r="AJ18" i="1"/>
  <c r="AK163" i="1"/>
  <c r="AK155" i="1"/>
  <c r="AK131" i="1"/>
  <c r="AK115" i="1"/>
  <c r="AK91" i="1"/>
  <c r="AK75" i="1"/>
  <c r="AK59" i="1"/>
  <c r="AK51" i="1"/>
  <c r="AK35" i="1"/>
  <c r="AK19" i="1"/>
  <c r="AL164" i="1"/>
  <c r="AL156" i="1"/>
  <c r="AL148" i="1"/>
  <c r="AL132" i="1"/>
  <c r="AP120" i="1"/>
  <c r="AQ120" i="1" s="1"/>
  <c r="AP112" i="1"/>
  <c r="AQ112" i="1" s="1"/>
  <c r="AP104" i="1"/>
  <c r="AQ104" i="1" s="1"/>
  <c r="AP96" i="1"/>
  <c r="AQ96" i="1" s="1"/>
  <c r="AP88" i="1"/>
  <c r="AQ88" i="1" s="1"/>
  <c r="AP80" i="1"/>
  <c r="AQ80" i="1" s="1"/>
  <c r="AP72" i="1"/>
  <c r="AQ72" i="1" s="1"/>
  <c r="AP64" i="1"/>
  <c r="AQ64" i="1" s="1"/>
  <c r="AP56" i="1"/>
  <c r="AQ56" i="1" s="1"/>
  <c r="AP48" i="1"/>
  <c r="AQ48" i="1" s="1"/>
  <c r="AP40" i="1"/>
  <c r="AQ40" i="1" s="1"/>
  <c r="AP32" i="1"/>
  <c r="AQ32" i="1" s="1"/>
  <c r="AP24" i="1"/>
  <c r="AQ24" i="1" s="1"/>
  <c r="AP16" i="1"/>
  <c r="AQ16" i="1" s="1"/>
  <c r="AP8" i="1"/>
  <c r="AQ8" i="1" s="1"/>
  <c r="AR99" i="1"/>
  <c r="AS99" i="1" s="1"/>
  <c r="AV64" i="1"/>
  <c r="AV56" i="1"/>
  <c r="AV48" i="1"/>
  <c r="AV40" i="1"/>
  <c r="AV32" i="1"/>
  <c r="AV24" i="1"/>
  <c r="AV16" i="1"/>
  <c r="AV8" i="1"/>
  <c r="AJ169" i="1"/>
  <c r="AJ161" i="1"/>
  <c r="AJ153" i="1"/>
  <c r="AJ145" i="1"/>
  <c r="AJ137" i="1"/>
  <c r="AJ129" i="1"/>
  <c r="AJ121" i="1"/>
  <c r="AJ113" i="1"/>
  <c r="AJ105" i="1"/>
  <c r="AJ97" i="1"/>
  <c r="AJ89" i="1"/>
  <c r="AJ81" i="1"/>
  <c r="AJ73" i="1"/>
  <c r="AJ65" i="1"/>
  <c r="AJ57" i="1"/>
  <c r="AJ49" i="1"/>
  <c r="AJ41" i="1"/>
  <c r="AJ33" i="1"/>
  <c r="AJ25" i="1"/>
  <c r="AJ17" i="1"/>
  <c r="AJ9" i="1"/>
  <c r="AK170" i="1"/>
  <c r="AK162" i="1"/>
  <c r="AK154" i="1"/>
  <c r="AK146" i="1"/>
  <c r="AK138" i="1"/>
  <c r="AK130" i="1"/>
  <c r="AK122" i="1"/>
  <c r="AK114" i="1"/>
  <c r="AK106" i="1"/>
  <c r="AK98" i="1"/>
  <c r="AK90" i="1"/>
  <c r="AK82" i="1"/>
  <c r="AK74" i="1"/>
  <c r="AK66" i="1"/>
  <c r="AK58" i="1"/>
  <c r="AK50" i="1"/>
  <c r="AK42" i="1"/>
  <c r="AK34" i="1"/>
  <c r="AK26" i="1"/>
  <c r="AK18" i="1"/>
  <c r="AK10" i="1"/>
  <c r="AL2" i="1"/>
  <c r="AL163" i="1"/>
  <c r="AL155" i="1"/>
  <c r="AL147" i="1"/>
  <c r="AL139" i="1"/>
  <c r="AL131" i="1"/>
  <c r="AL123" i="1"/>
  <c r="AL115" i="1"/>
  <c r="AL107" i="1"/>
  <c r="AL99" i="1"/>
  <c r="AL91" i="1"/>
  <c r="AL83" i="1"/>
  <c r="AL75" i="1"/>
  <c r="AL67" i="1"/>
  <c r="AL59" i="1"/>
  <c r="AL51" i="1"/>
  <c r="AL43" i="1"/>
  <c r="AL35" i="1"/>
  <c r="AL27" i="1"/>
  <c r="AL19" i="1"/>
  <c r="AL11" i="1"/>
  <c r="AL3" i="1"/>
  <c r="AW164" i="1"/>
  <c r="AW156" i="1"/>
  <c r="AW148" i="1"/>
  <c r="AW140" i="1"/>
  <c r="AW132" i="1"/>
  <c r="AW124" i="1"/>
  <c r="AW116" i="1"/>
  <c r="AW108" i="1"/>
  <c r="AW100" i="1"/>
  <c r="AW92" i="1"/>
  <c r="AW84" i="1"/>
  <c r="AW76" i="1"/>
  <c r="AW68" i="1"/>
  <c r="AW60" i="1"/>
  <c r="AW52" i="1"/>
  <c r="AW44" i="1"/>
  <c r="AW36" i="1"/>
  <c r="AW28" i="1"/>
  <c r="AW20" i="1"/>
  <c r="AW12" i="1"/>
  <c r="AW4" i="1"/>
  <c r="AX165" i="1"/>
  <c r="AX157" i="1"/>
  <c r="AX149" i="1"/>
  <c r="AX141" i="1"/>
  <c r="AX133" i="1"/>
  <c r="AX125" i="1"/>
  <c r="AX117" i="1"/>
  <c r="AX109" i="1"/>
  <c r="AX101" i="1"/>
  <c r="AX93" i="1"/>
  <c r="AX85" i="1"/>
  <c r="AX77" i="1"/>
  <c r="AX69" i="1"/>
  <c r="AX61" i="1"/>
  <c r="AX53" i="1"/>
  <c r="AX45" i="1"/>
  <c r="AX37" i="1"/>
  <c r="AX29" i="1"/>
  <c r="AX21" i="1"/>
  <c r="AX13" i="1"/>
  <c r="AX5" i="1"/>
  <c r="AY166" i="1"/>
  <c r="AY158" i="1"/>
  <c r="AY150" i="1"/>
  <c r="AY142" i="1"/>
  <c r="AY134" i="1"/>
  <c r="AY126" i="1"/>
  <c r="AY118" i="1"/>
  <c r="AY110" i="1"/>
  <c r="AY102" i="1"/>
  <c r="AY94" i="1"/>
  <c r="AY86" i="1"/>
  <c r="AY78" i="1"/>
  <c r="AY70" i="1"/>
  <c r="AY62" i="1"/>
  <c r="AY54" i="1"/>
  <c r="AY46" i="1"/>
  <c r="AY38" i="1"/>
  <c r="AY30" i="1"/>
  <c r="AY22" i="1"/>
  <c r="AY14" i="1"/>
  <c r="AY6" i="1"/>
  <c r="AP167" i="1"/>
  <c r="AQ167" i="1" s="1"/>
  <c r="AP159" i="1"/>
  <c r="AQ159" i="1" s="1"/>
  <c r="AP151" i="1"/>
  <c r="AQ151" i="1" s="1"/>
  <c r="AP143" i="1"/>
  <c r="AQ143" i="1" s="1"/>
  <c r="AP135" i="1"/>
  <c r="AQ135" i="1" s="1"/>
  <c r="AP127" i="1"/>
  <c r="AQ127" i="1" s="1"/>
  <c r="AP119" i="1"/>
  <c r="AQ119" i="1" s="1"/>
  <c r="AP111" i="1"/>
  <c r="AQ111" i="1" s="1"/>
  <c r="AP103" i="1"/>
  <c r="AQ103" i="1" s="1"/>
  <c r="AP95" i="1"/>
  <c r="AQ95" i="1" s="1"/>
  <c r="AP87" i="1"/>
  <c r="AQ87" i="1" s="1"/>
  <c r="AP79" i="1"/>
  <c r="AQ79" i="1" s="1"/>
  <c r="AP71" i="1"/>
  <c r="AQ71" i="1" s="1"/>
  <c r="AP63" i="1"/>
  <c r="AQ63" i="1" s="1"/>
  <c r="AP55" i="1"/>
  <c r="AQ55" i="1" s="1"/>
  <c r="AP47" i="1"/>
  <c r="AQ47" i="1" s="1"/>
  <c r="AP39" i="1"/>
  <c r="AQ39" i="1" s="1"/>
  <c r="AP31" i="1"/>
  <c r="AQ31" i="1" s="1"/>
  <c r="AP23" i="1"/>
  <c r="AQ23" i="1" s="1"/>
  <c r="AP15" i="1"/>
  <c r="AQ15" i="1" s="1"/>
  <c r="AP7" i="1"/>
  <c r="AQ7" i="1" s="1"/>
  <c r="AL100" i="1"/>
  <c r="AL76" i="1"/>
  <c r="AL52" i="1"/>
  <c r="AL28" i="1"/>
  <c r="AW165" i="1"/>
  <c r="AW149" i="1"/>
  <c r="AW125" i="1"/>
  <c r="AW117" i="1"/>
  <c r="AW93" i="1"/>
  <c r="AW69" i="1"/>
  <c r="AW53" i="1"/>
  <c r="AW37" i="1"/>
  <c r="AW21" i="1"/>
  <c r="AX166" i="1"/>
  <c r="AX142" i="1"/>
  <c r="AX126" i="1"/>
  <c r="AX102" i="1"/>
  <c r="AX86" i="1"/>
  <c r="AX70" i="1"/>
  <c r="AX46" i="1"/>
  <c r="AX38" i="1"/>
  <c r="AX14" i="1"/>
  <c r="AX6" i="1"/>
  <c r="AY159" i="1"/>
  <c r="AY143" i="1"/>
  <c r="AY127" i="1"/>
  <c r="AY111" i="1"/>
  <c r="AY95" i="1"/>
  <c r="AY79" i="1"/>
  <c r="AY55" i="1"/>
  <c r="AY39" i="1"/>
  <c r="AY31" i="1"/>
  <c r="AY15" i="1"/>
  <c r="AY7" i="1"/>
  <c r="AP160" i="1"/>
  <c r="AQ160" i="1" s="1"/>
  <c r="AP136" i="1"/>
  <c r="AQ136" i="1" s="1"/>
  <c r="AD163" i="1"/>
  <c r="AD139" i="1"/>
  <c r="AD123" i="1"/>
  <c r="AD107" i="1"/>
  <c r="AD91" i="1"/>
  <c r="AD75" i="1"/>
  <c r="AD59" i="1"/>
  <c r="AD43" i="1"/>
  <c r="AD27" i="1"/>
  <c r="AD11" i="1"/>
  <c r="AE162" i="1"/>
  <c r="AE142" i="1"/>
  <c r="AE123" i="1"/>
  <c r="AE98" i="1"/>
  <c r="AE64" i="1"/>
  <c r="AE43" i="1"/>
  <c r="AE22" i="1"/>
  <c r="AF55" i="1"/>
  <c r="AF43" i="1"/>
  <c r="AF33" i="1"/>
  <c r="AF24" i="1"/>
  <c r="AF15" i="1"/>
  <c r="AF7" i="1"/>
  <c r="AE146" i="1"/>
  <c r="AE115" i="1"/>
  <c r="AE85" i="1"/>
  <c r="AE62" i="1"/>
  <c r="AE30" i="1"/>
  <c r="AF164" i="1"/>
  <c r="AF124" i="1"/>
  <c r="AF92" i="1"/>
  <c r="AF52" i="1"/>
  <c r="AF4" i="1"/>
  <c r="AT165" i="1"/>
  <c r="AT157" i="1"/>
  <c r="AT149" i="1"/>
  <c r="AT141" i="1"/>
  <c r="AT133" i="1"/>
  <c r="AT125" i="1"/>
  <c r="AT117" i="1"/>
  <c r="AT109" i="1"/>
  <c r="AT101" i="1"/>
  <c r="AT93" i="1"/>
  <c r="AT85" i="1"/>
  <c r="AT77" i="1"/>
  <c r="AT69" i="1"/>
  <c r="AT61" i="1"/>
  <c r="AT53" i="1"/>
  <c r="AT45" i="1"/>
  <c r="AT37" i="1"/>
  <c r="AT29" i="1"/>
  <c r="AT21" i="1"/>
  <c r="AT13" i="1"/>
  <c r="AT5" i="1"/>
  <c r="AU166" i="1"/>
  <c r="AU158" i="1"/>
  <c r="AU150" i="1"/>
  <c r="AU142" i="1"/>
  <c r="AU134" i="1"/>
  <c r="AU126" i="1"/>
  <c r="AU118" i="1"/>
  <c r="AU110" i="1"/>
  <c r="AU102" i="1"/>
  <c r="AU94" i="1"/>
  <c r="AU86" i="1"/>
  <c r="AU78" i="1"/>
  <c r="AU70" i="1"/>
  <c r="AU62" i="1"/>
  <c r="AU54" i="1"/>
  <c r="AU46" i="1"/>
  <c r="AU38" i="1"/>
  <c r="AU30" i="1"/>
  <c r="AU22" i="1"/>
  <c r="AU14" i="1"/>
  <c r="AU6" i="1"/>
  <c r="AV167" i="1"/>
  <c r="AV159" i="1"/>
  <c r="AV151" i="1"/>
  <c r="AV143" i="1"/>
  <c r="AV135" i="1"/>
  <c r="AV127" i="1"/>
  <c r="AV119" i="1"/>
  <c r="AV111" i="1"/>
  <c r="AV103" i="1"/>
  <c r="AV95" i="1"/>
  <c r="AV87" i="1"/>
  <c r="AV79" i="1"/>
  <c r="AV71" i="1"/>
  <c r="AV63" i="1"/>
  <c r="AL92" i="1"/>
  <c r="AL68" i="1"/>
  <c r="AL36" i="1"/>
  <c r="AL4" i="1"/>
  <c r="AW141" i="1"/>
  <c r="AW109" i="1"/>
  <c r="AW85" i="1"/>
  <c r="AW61" i="1"/>
  <c r="AW45" i="1"/>
  <c r="AW29" i="1"/>
  <c r="AW13" i="1"/>
  <c r="AX150" i="1"/>
  <c r="AX118" i="1"/>
  <c r="AX22" i="1"/>
  <c r="AF54" i="1"/>
  <c r="AF42" i="1"/>
  <c r="AF32" i="1"/>
  <c r="AF23" i="1"/>
  <c r="AF14" i="1"/>
  <c r="AF6" i="1"/>
  <c r="AE145" i="1"/>
  <c r="AE114" i="1"/>
  <c r="AE83" i="1"/>
  <c r="AE61" i="1"/>
  <c r="AE29" i="1"/>
  <c r="AF161" i="1"/>
  <c r="AF113" i="1"/>
  <c r="AF85" i="1"/>
  <c r="AF51" i="1"/>
  <c r="AF3" i="1"/>
  <c r="AT164" i="1"/>
  <c r="AT156" i="1"/>
  <c r="AT148" i="1"/>
  <c r="AT140" i="1"/>
  <c r="AT132" i="1"/>
  <c r="AT124" i="1"/>
  <c r="AT116" i="1"/>
  <c r="AT108" i="1"/>
  <c r="AT100" i="1"/>
  <c r="AT92" i="1"/>
  <c r="AT84" i="1"/>
  <c r="AT76" i="1"/>
  <c r="AT68" i="1"/>
  <c r="AT60" i="1"/>
  <c r="AT52" i="1"/>
  <c r="AT44" i="1"/>
  <c r="AT36" i="1"/>
  <c r="AT28" i="1"/>
  <c r="AT20" i="1"/>
  <c r="AT12" i="1"/>
  <c r="AT4" i="1"/>
  <c r="AU165" i="1"/>
  <c r="AU157" i="1"/>
  <c r="AU149" i="1"/>
  <c r="AU141" i="1"/>
  <c r="AU133" i="1"/>
  <c r="AU125" i="1"/>
  <c r="AU117" i="1"/>
  <c r="AU109" i="1"/>
  <c r="AU101" i="1"/>
  <c r="AU93" i="1"/>
  <c r="AU85" i="1"/>
  <c r="AU77" i="1"/>
  <c r="AU69" i="1"/>
  <c r="AU61" i="1"/>
  <c r="AU53" i="1"/>
  <c r="AU45" i="1"/>
  <c r="AU37" i="1"/>
  <c r="AU29" i="1"/>
  <c r="AU21" i="1"/>
  <c r="AU13" i="1"/>
  <c r="AU5" i="1"/>
  <c r="AV166" i="1"/>
  <c r="AV158" i="1"/>
  <c r="AV150" i="1"/>
  <c r="AV142" i="1"/>
  <c r="AV134" i="1"/>
  <c r="AV126" i="1"/>
  <c r="AL108" i="1"/>
  <c r="AL84" i="1"/>
  <c r="AL60" i="1"/>
  <c r="AL44" i="1"/>
  <c r="AL20" i="1"/>
  <c r="AL12" i="1"/>
  <c r="AW157" i="1"/>
  <c r="AW133" i="1"/>
  <c r="AW101" i="1"/>
  <c r="AW77" i="1"/>
  <c r="AW5" i="1"/>
  <c r="AX158" i="1"/>
  <c r="AX134" i="1"/>
  <c r="AX110" i="1"/>
  <c r="AX94" i="1"/>
  <c r="AX78" i="1"/>
  <c r="AX62" i="1"/>
  <c r="AX54" i="1"/>
  <c r="AX30" i="1"/>
  <c r="AY167" i="1"/>
  <c r="AY151" i="1"/>
  <c r="AY135" i="1"/>
  <c r="AY119" i="1"/>
  <c r="AY103" i="1"/>
  <c r="AY87" i="1"/>
  <c r="AY71" i="1"/>
  <c r="AY63" i="1"/>
  <c r="AY47" i="1"/>
  <c r="AY23" i="1"/>
  <c r="AP168" i="1"/>
  <c r="AQ168" i="1" s="1"/>
  <c r="AP152" i="1"/>
  <c r="AQ152" i="1" s="1"/>
  <c r="AP144" i="1"/>
  <c r="AQ144" i="1" s="1"/>
  <c r="AD2" i="1"/>
  <c r="AD155" i="1"/>
  <c r="AD147" i="1"/>
  <c r="AD131" i="1"/>
  <c r="AD115" i="1"/>
  <c r="AD99" i="1"/>
  <c r="AD83" i="1"/>
  <c r="AD67" i="1"/>
  <c r="AD51" i="1"/>
  <c r="AD35" i="1"/>
  <c r="AD19" i="1"/>
  <c r="AD3" i="1"/>
  <c r="AE154" i="1"/>
  <c r="AE131" i="1"/>
  <c r="AE109" i="1"/>
  <c r="AE90" i="1"/>
  <c r="AE77" i="1"/>
  <c r="AE52" i="1"/>
  <c r="AE34" i="1"/>
  <c r="AE10" i="1"/>
  <c r="AF170" i="1"/>
  <c r="AF158" i="1"/>
  <c r="AF150" i="1"/>
  <c r="AF139" i="1"/>
  <c r="AF128" i="1"/>
  <c r="AF119" i="1"/>
  <c r="AF109" i="1"/>
  <c r="AF99" i="1"/>
  <c r="AF87" i="1"/>
  <c r="AF77" i="1"/>
  <c r="AF67" i="1"/>
  <c r="AF56" i="1"/>
  <c r="AF44" i="1"/>
  <c r="AF36" i="1"/>
  <c r="AF25" i="1"/>
  <c r="AF16" i="1"/>
  <c r="AF8" i="1"/>
  <c r="AE147" i="1"/>
  <c r="AE117" i="1"/>
  <c r="AE86" i="1"/>
  <c r="AE68" i="1"/>
  <c r="AE32" i="1"/>
  <c r="AF166" i="1"/>
  <c r="AF129" i="1"/>
  <c r="AF93" i="1"/>
  <c r="AF60" i="1"/>
  <c r="AF21" i="1"/>
  <c r="AT166" i="1"/>
  <c r="AT158" i="1"/>
  <c r="AT150" i="1"/>
  <c r="AT142" i="1"/>
  <c r="AT134" i="1"/>
  <c r="AT126" i="1"/>
  <c r="AT118" i="1"/>
  <c r="AT110" i="1"/>
  <c r="AT102" i="1"/>
  <c r="AT94" i="1"/>
  <c r="AT86" i="1"/>
  <c r="AT78" i="1"/>
  <c r="AT70" i="1"/>
  <c r="AT62" i="1"/>
  <c r="AT54" i="1"/>
  <c r="AT46" i="1"/>
  <c r="AT38" i="1"/>
  <c r="AT30" i="1"/>
  <c r="AT22" i="1"/>
  <c r="AT14" i="1"/>
  <c r="AT6" i="1"/>
  <c r="AU167" i="1"/>
  <c r="AU159" i="1"/>
  <c r="AU151" i="1"/>
  <c r="AU143" i="1"/>
  <c r="AU135" i="1"/>
  <c r="AU127" i="1"/>
  <c r="AU119" i="1"/>
  <c r="AU111" i="1"/>
  <c r="AU103" i="1"/>
  <c r="AU95" i="1"/>
  <c r="AU87" i="1"/>
  <c r="AU79" i="1"/>
  <c r="AU71" i="1"/>
  <c r="AU63" i="1"/>
  <c r="AU55" i="1"/>
  <c r="AU47" i="1"/>
  <c r="AU39" i="1"/>
  <c r="AU31" i="1"/>
  <c r="AU23" i="1"/>
  <c r="AU15" i="1"/>
  <c r="AU7" i="1"/>
  <c r="AV168" i="1"/>
  <c r="AV160" i="1"/>
  <c r="AV152" i="1"/>
  <c r="AV144" i="1"/>
  <c r="AV136" i="1"/>
  <c r="AV128" i="1"/>
  <c r="AV120" i="1"/>
  <c r="AV112" i="1"/>
  <c r="AV104" i="1"/>
  <c r="AV96" i="1"/>
  <c r="AV88" i="1"/>
  <c r="AV80" i="1"/>
  <c r="AD170" i="1"/>
  <c r="AD162" i="1"/>
  <c r="AD154" i="1"/>
  <c r="AD146" i="1"/>
  <c r="AD138" i="1"/>
  <c r="AD130" i="1"/>
  <c r="AD122" i="1"/>
  <c r="AD114" i="1"/>
  <c r="AD106" i="1"/>
  <c r="AD98" i="1"/>
  <c r="AD90" i="1"/>
  <c r="AD82" i="1"/>
  <c r="AD74" i="1"/>
  <c r="AD66" i="1"/>
  <c r="AD58" i="1"/>
  <c r="AD50" i="1"/>
  <c r="AD42" i="1"/>
  <c r="AD34" i="1"/>
  <c r="AD26" i="1"/>
  <c r="AD18" i="1"/>
  <c r="AD10" i="1"/>
  <c r="AE170" i="1"/>
  <c r="AE161" i="1"/>
  <c r="AE153" i="1"/>
  <c r="AE141" i="1"/>
  <c r="AE130" i="1"/>
  <c r="AE122" i="1"/>
  <c r="AE108" i="1"/>
  <c r="AE97" i="1"/>
  <c r="AE88" i="1"/>
  <c r="AE76" i="1"/>
  <c r="AE63" i="1"/>
  <c r="AE51" i="1"/>
  <c r="AE42" i="1"/>
  <c r="AE31" i="1"/>
  <c r="AE21" i="1"/>
  <c r="AE9" i="1"/>
  <c r="AF168" i="1"/>
  <c r="AF157" i="1"/>
  <c r="AF149" i="1"/>
  <c r="AF137" i="1"/>
  <c r="AF127" i="1"/>
  <c r="AF118" i="1"/>
  <c r="AF108" i="1"/>
  <c r="AF98" i="1"/>
  <c r="AF86" i="1"/>
  <c r="AF75" i="1"/>
  <c r="AF65" i="1"/>
  <c r="AD169" i="1"/>
  <c r="AD161" i="1"/>
  <c r="AD153" i="1"/>
  <c r="AD145" i="1"/>
  <c r="AD137" i="1"/>
  <c r="AD129" i="1"/>
  <c r="AD121" i="1"/>
  <c r="AD113" i="1"/>
  <c r="AD105" i="1"/>
  <c r="AD97" i="1"/>
  <c r="AD89" i="1"/>
  <c r="AD81" i="1"/>
  <c r="AD73" i="1"/>
  <c r="AD65" i="1"/>
  <c r="AD57" i="1"/>
  <c r="AD49" i="1"/>
  <c r="AD41" i="1"/>
  <c r="AD33" i="1"/>
  <c r="AD25" i="1"/>
  <c r="AD17" i="1"/>
  <c r="AD9" i="1"/>
  <c r="AE169" i="1"/>
  <c r="AE160" i="1"/>
  <c r="AE152" i="1"/>
  <c r="AE140" i="1"/>
  <c r="AE129" i="1"/>
  <c r="AE120" i="1"/>
  <c r="AE107" i="1"/>
  <c r="AE96" i="1"/>
  <c r="AE87" i="1"/>
  <c r="AE75" i="1"/>
  <c r="AE58" i="1"/>
  <c r="AE50" i="1"/>
  <c r="AE41" i="1"/>
  <c r="AE28" i="1"/>
  <c r="AE20" i="1"/>
  <c r="AE8" i="1"/>
  <c r="AF167" i="1"/>
  <c r="AF156" i="1"/>
  <c r="AF145" i="1"/>
  <c r="AF136" i="1"/>
  <c r="AF126" i="1"/>
  <c r="AF117" i="1"/>
  <c r="AF107" i="1"/>
  <c r="AF97" i="1"/>
  <c r="AF83" i="1"/>
  <c r="AF74" i="1"/>
  <c r="AF64" i="1"/>
  <c r="AD168" i="1"/>
  <c r="AD160" i="1"/>
  <c r="AD152" i="1"/>
  <c r="AD144" i="1"/>
  <c r="AD136" i="1"/>
  <c r="AD128" i="1"/>
  <c r="AD120" i="1"/>
  <c r="AD112" i="1"/>
  <c r="AD104" i="1"/>
  <c r="AD96" i="1"/>
  <c r="AD88" i="1"/>
  <c r="AD80" i="1"/>
  <c r="AD72" i="1"/>
  <c r="AD64" i="1"/>
  <c r="AD56" i="1"/>
  <c r="AD48" i="1"/>
  <c r="AD40" i="1"/>
  <c r="AD32" i="1"/>
  <c r="AD24" i="1"/>
  <c r="AD16" i="1"/>
  <c r="AD8" i="1"/>
  <c r="AE168" i="1"/>
  <c r="AE159" i="1"/>
  <c r="AE151" i="1"/>
  <c r="AE139" i="1"/>
  <c r="AE128" i="1"/>
  <c r="AE119" i="1"/>
  <c r="AE106" i="1"/>
  <c r="AE95" i="1"/>
  <c r="AE84" i="1"/>
  <c r="AE74" i="1"/>
  <c r="AE57" i="1"/>
  <c r="AE49" i="1"/>
  <c r="AE40" i="1"/>
  <c r="AE27" i="1"/>
  <c r="AE17" i="1"/>
  <c r="AE7" i="1"/>
  <c r="AF165" i="1"/>
  <c r="AF155" i="1"/>
  <c r="AF144" i="1"/>
  <c r="AF135" i="1"/>
  <c r="AF125" i="1"/>
  <c r="AF116" i="1"/>
  <c r="AF106" i="1"/>
  <c r="AF95" i="1"/>
  <c r="AF82" i="1"/>
  <c r="AF73" i="1"/>
  <c r="AF63" i="1"/>
  <c r="AF53" i="1"/>
  <c r="AF41" i="1"/>
  <c r="AF31" i="1"/>
  <c r="AF22" i="1"/>
  <c r="AF13" i="1"/>
  <c r="AF5" i="1"/>
  <c r="AE134" i="1"/>
  <c r="AE113" i="1"/>
  <c r="AE78" i="1"/>
  <c r="AE60" i="1"/>
  <c r="AE19" i="1"/>
  <c r="AF148" i="1"/>
  <c r="AF112" i="1"/>
  <c r="AF84" i="1"/>
  <c r="AF50" i="1"/>
  <c r="AT2" i="1"/>
  <c r="AT163" i="1"/>
  <c r="AT155" i="1"/>
  <c r="AT147" i="1"/>
  <c r="AT139" i="1"/>
  <c r="AT131" i="1"/>
  <c r="AT123" i="1"/>
  <c r="AT115" i="1"/>
  <c r="AT107" i="1"/>
  <c r="AT99" i="1"/>
  <c r="AT91" i="1"/>
  <c r="AT83" i="1"/>
  <c r="AT75" i="1"/>
  <c r="AT67" i="1"/>
  <c r="AT59" i="1"/>
  <c r="AT51" i="1"/>
  <c r="AT43" i="1"/>
  <c r="AT35" i="1"/>
  <c r="AT27" i="1"/>
  <c r="AT19" i="1"/>
  <c r="AT11" i="1"/>
  <c r="AT3" i="1"/>
  <c r="AU164" i="1"/>
  <c r="AU156" i="1"/>
  <c r="AU148" i="1"/>
  <c r="AU140" i="1"/>
  <c r="AU132" i="1"/>
  <c r="AU124" i="1"/>
  <c r="AU116" i="1"/>
  <c r="AU108" i="1"/>
  <c r="AU100" i="1"/>
  <c r="AU92" i="1"/>
  <c r="AU84" i="1"/>
  <c r="AU76" i="1"/>
  <c r="AU68" i="1"/>
  <c r="AU60" i="1"/>
  <c r="AU52" i="1"/>
  <c r="AU44" i="1"/>
  <c r="AU36" i="1"/>
  <c r="AU28" i="1"/>
  <c r="AU20" i="1"/>
  <c r="AU12" i="1"/>
  <c r="AU4" i="1"/>
  <c r="AV165" i="1"/>
  <c r="AV157" i="1"/>
  <c r="AV149" i="1"/>
  <c r="AV141" i="1"/>
  <c r="AV133" i="1"/>
  <c r="AV125" i="1"/>
  <c r="AV55" i="1"/>
  <c r="AV47" i="1"/>
  <c r="AV39" i="1"/>
  <c r="AV31" i="1"/>
  <c r="AV23" i="1"/>
  <c r="AV15" i="1"/>
  <c r="AV7" i="1"/>
  <c r="AJ168" i="1"/>
  <c r="AJ160" i="1"/>
  <c r="AJ152" i="1"/>
  <c r="AJ144" i="1"/>
  <c r="AJ136" i="1"/>
  <c r="AJ128" i="1"/>
  <c r="AJ120" i="1"/>
  <c r="AJ112" i="1"/>
  <c r="AJ104" i="1"/>
  <c r="AJ96" i="1"/>
  <c r="AJ88" i="1"/>
  <c r="AJ80" i="1"/>
  <c r="AJ72" i="1"/>
  <c r="AJ64" i="1"/>
  <c r="AJ56" i="1"/>
  <c r="AJ48" i="1"/>
  <c r="AJ40" i="1"/>
  <c r="AJ32" i="1"/>
  <c r="AJ24" i="1"/>
  <c r="AJ16" i="1"/>
  <c r="AJ8" i="1"/>
  <c r="AK169" i="1"/>
  <c r="AK161" i="1"/>
  <c r="AK153" i="1"/>
  <c r="AK145" i="1"/>
  <c r="AK137" i="1"/>
  <c r="AK129" i="1"/>
  <c r="AK121" i="1"/>
  <c r="AK113" i="1"/>
  <c r="AK105" i="1"/>
  <c r="AK97" i="1"/>
  <c r="AK89" i="1"/>
  <c r="AK81" i="1"/>
  <c r="AK73" i="1"/>
  <c r="AK65" i="1"/>
  <c r="AK57" i="1"/>
  <c r="AK49" i="1"/>
  <c r="AK41" i="1"/>
  <c r="AK33" i="1"/>
  <c r="AK25" i="1"/>
  <c r="AK17" i="1"/>
  <c r="AK9" i="1"/>
  <c r="AL170" i="1"/>
  <c r="AL162" i="1"/>
  <c r="AL154" i="1"/>
  <c r="AL146" i="1"/>
  <c r="AL138" i="1"/>
  <c r="AL130" i="1"/>
  <c r="AL122" i="1"/>
  <c r="AL114" i="1"/>
  <c r="AL106" i="1"/>
  <c r="AL98" i="1"/>
  <c r="AL90" i="1"/>
  <c r="AL82" i="1"/>
  <c r="AL74" i="1"/>
  <c r="AL66" i="1"/>
  <c r="AL58" i="1"/>
  <c r="AL50" i="1"/>
  <c r="AL42" i="1"/>
  <c r="AL34" i="1"/>
  <c r="AL26" i="1"/>
  <c r="AL18" i="1"/>
  <c r="AL10" i="1"/>
  <c r="AW2" i="1"/>
  <c r="AW163" i="1"/>
  <c r="AW155" i="1"/>
  <c r="AW147" i="1"/>
  <c r="AW139" i="1"/>
  <c r="AW131" i="1"/>
  <c r="AW123" i="1"/>
  <c r="AW115" i="1"/>
  <c r="AW107" i="1"/>
  <c r="AW99" i="1"/>
  <c r="AW91" i="1"/>
  <c r="AW83" i="1"/>
  <c r="AW75" i="1"/>
  <c r="AW67" i="1"/>
  <c r="AW59" i="1"/>
  <c r="AW51" i="1"/>
  <c r="AW43" i="1"/>
  <c r="AW35" i="1"/>
  <c r="AW27" i="1"/>
  <c r="AW19" i="1"/>
  <c r="AW11" i="1"/>
  <c r="AW3" i="1"/>
  <c r="AX164" i="1"/>
  <c r="AX156" i="1"/>
  <c r="AX148" i="1"/>
  <c r="AX140" i="1"/>
  <c r="AX132" i="1"/>
  <c r="AX124" i="1"/>
  <c r="AX116" i="1"/>
  <c r="AX108" i="1"/>
  <c r="AX100" i="1"/>
  <c r="AX92" i="1"/>
  <c r="AX84" i="1"/>
  <c r="AX76" i="1"/>
  <c r="AX68" i="1"/>
  <c r="AX60" i="1"/>
  <c r="AX52" i="1"/>
  <c r="AX44" i="1"/>
  <c r="AX36" i="1"/>
  <c r="AX28" i="1"/>
  <c r="AX20" i="1"/>
  <c r="AX12" i="1"/>
  <c r="AX4" i="1"/>
  <c r="AY165" i="1"/>
  <c r="AY157" i="1"/>
  <c r="AY149" i="1"/>
  <c r="AY141" i="1"/>
  <c r="AY133" i="1"/>
  <c r="AY125" i="1"/>
  <c r="AY117" i="1"/>
  <c r="AY109" i="1"/>
  <c r="AY101" i="1"/>
  <c r="AY93" i="1"/>
  <c r="AY85" i="1"/>
  <c r="AY77" i="1"/>
  <c r="AY69" i="1"/>
  <c r="AY61" i="1"/>
  <c r="AY53" i="1"/>
  <c r="AY45" i="1"/>
  <c r="AY37" i="1"/>
  <c r="AY29" i="1"/>
  <c r="AY21" i="1"/>
  <c r="AY13" i="1"/>
  <c r="AY5" i="1"/>
  <c r="AP166" i="1"/>
  <c r="AQ166" i="1" s="1"/>
  <c r="AP158" i="1"/>
  <c r="AQ158" i="1" s="1"/>
  <c r="AP150" i="1"/>
  <c r="AQ150" i="1" s="1"/>
  <c r="AP142" i="1"/>
  <c r="AQ142" i="1" s="1"/>
  <c r="AP134" i="1"/>
  <c r="AQ134" i="1" s="1"/>
  <c r="AP126" i="1"/>
  <c r="AQ126" i="1" s="1"/>
  <c r="AP118" i="1"/>
  <c r="AQ118" i="1" s="1"/>
  <c r="AP110" i="1"/>
  <c r="AQ110" i="1" s="1"/>
  <c r="AP102" i="1"/>
  <c r="AQ102" i="1" s="1"/>
  <c r="AP94" i="1"/>
  <c r="AQ94" i="1" s="1"/>
  <c r="AP86" i="1"/>
  <c r="AQ86" i="1" s="1"/>
  <c r="AP78" i="1"/>
  <c r="AQ78" i="1" s="1"/>
  <c r="AP70" i="1"/>
  <c r="AQ70" i="1" s="1"/>
  <c r="AP62" i="1"/>
  <c r="AQ62" i="1" s="1"/>
  <c r="AP54" i="1"/>
  <c r="AQ54" i="1" s="1"/>
  <c r="AP46" i="1"/>
  <c r="AQ46" i="1" s="1"/>
  <c r="AP38" i="1"/>
  <c r="AQ38" i="1" s="1"/>
  <c r="AP30" i="1"/>
  <c r="AQ30" i="1" s="1"/>
  <c r="AP22" i="1"/>
  <c r="AQ22" i="1" s="1"/>
  <c r="AP14" i="1"/>
  <c r="AQ14" i="1" s="1"/>
  <c r="AP6" i="1"/>
  <c r="AQ6" i="1" s="1"/>
  <c r="AV118" i="1"/>
  <c r="AV110" i="1"/>
  <c r="AV102" i="1"/>
  <c r="AV94" i="1"/>
  <c r="AV86" i="1"/>
  <c r="AV78" i="1"/>
  <c r="AV70" i="1"/>
  <c r="AV62" i="1"/>
  <c r="AV54" i="1"/>
  <c r="AV46" i="1"/>
  <c r="AV38" i="1"/>
  <c r="AV30" i="1"/>
  <c r="AV22" i="1"/>
  <c r="AV14" i="1"/>
  <c r="AV6" i="1"/>
  <c r="AJ167" i="1"/>
  <c r="AJ159" i="1"/>
  <c r="AJ151" i="1"/>
  <c r="AJ143" i="1"/>
  <c r="AJ135" i="1"/>
  <c r="AJ127" i="1"/>
  <c r="AJ119" i="1"/>
  <c r="AJ111" i="1"/>
  <c r="AJ103" i="1"/>
  <c r="AJ95" i="1"/>
  <c r="AJ87" i="1"/>
  <c r="AJ79" i="1"/>
  <c r="AJ71" i="1"/>
  <c r="AJ63" i="1"/>
  <c r="AJ55" i="1"/>
  <c r="AJ47" i="1"/>
  <c r="AJ39" i="1"/>
  <c r="AJ31" i="1"/>
  <c r="AJ23" i="1"/>
  <c r="AJ15" i="1"/>
  <c r="AJ7" i="1"/>
  <c r="AK168" i="1"/>
  <c r="AK160" i="1"/>
  <c r="AK152" i="1"/>
  <c r="AK144" i="1"/>
  <c r="AK136" i="1"/>
  <c r="AK128" i="1"/>
  <c r="AK120" i="1"/>
  <c r="AK112" i="1"/>
  <c r="AK104" i="1"/>
  <c r="AK96" i="1"/>
  <c r="AK88" i="1"/>
  <c r="AK80" i="1"/>
  <c r="AK72" i="1"/>
  <c r="AK64" i="1"/>
  <c r="AK56" i="1"/>
  <c r="AK48" i="1"/>
  <c r="AK40" i="1"/>
  <c r="AK32" i="1"/>
  <c r="AK24" i="1"/>
  <c r="AK16" i="1"/>
  <c r="AK8" i="1"/>
  <c r="AL169" i="1"/>
  <c r="AL161" i="1"/>
  <c r="AL153" i="1"/>
  <c r="AL145" i="1"/>
  <c r="AL137" i="1"/>
  <c r="AL129" i="1"/>
  <c r="AL121" i="1"/>
  <c r="AL113" i="1"/>
  <c r="AL105" i="1"/>
  <c r="AL97" i="1"/>
  <c r="AL89" i="1"/>
  <c r="AL81" i="1"/>
  <c r="AL73" i="1"/>
  <c r="AL65" i="1"/>
  <c r="AL57" i="1"/>
  <c r="AL49" i="1"/>
  <c r="AL41" i="1"/>
  <c r="AL33" i="1"/>
  <c r="AL25" i="1"/>
  <c r="AL17" i="1"/>
  <c r="AL9" i="1"/>
  <c r="AW170" i="1"/>
  <c r="AW162" i="1"/>
  <c r="AW154" i="1"/>
  <c r="AW146" i="1"/>
  <c r="AW138" i="1"/>
  <c r="AW130" i="1"/>
  <c r="AW122" i="1"/>
  <c r="AW114" i="1"/>
  <c r="AW106" i="1"/>
  <c r="AW98" i="1"/>
  <c r="AW90" i="1"/>
  <c r="AW82" i="1"/>
  <c r="AW74" i="1"/>
  <c r="AW66" i="1"/>
  <c r="AW58" i="1"/>
  <c r="AW50" i="1"/>
  <c r="AW42" i="1"/>
  <c r="AW34" i="1"/>
  <c r="AW26" i="1"/>
  <c r="AW18" i="1"/>
  <c r="AW10" i="1"/>
  <c r="AX2" i="1"/>
  <c r="AX163" i="1"/>
  <c r="AX155" i="1"/>
  <c r="AX147" i="1"/>
  <c r="AX139" i="1"/>
  <c r="AX131" i="1"/>
  <c r="AX123" i="1"/>
  <c r="AX115" i="1"/>
  <c r="AX107" i="1"/>
  <c r="AX99" i="1"/>
  <c r="AX91" i="1"/>
  <c r="AX83" i="1"/>
  <c r="AX75" i="1"/>
  <c r="AX67" i="1"/>
  <c r="AX59" i="1"/>
  <c r="AX51" i="1"/>
  <c r="AX43" i="1"/>
  <c r="AX35" i="1"/>
  <c r="AX27" i="1"/>
  <c r="AX19" i="1"/>
  <c r="AX11" i="1"/>
  <c r="AX3" i="1"/>
  <c r="AY164" i="1"/>
  <c r="AY156" i="1"/>
  <c r="AY148" i="1"/>
  <c r="AY140" i="1"/>
  <c r="AY132" i="1"/>
  <c r="AY124" i="1"/>
  <c r="AY116" i="1"/>
  <c r="AY108" i="1"/>
  <c r="AY100" i="1"/>
  <c r="AY92" i="1"/>
  <c r="AY84" i="1"/>
  <c r="AY76" i="1"/>
  <c r="AY68" i="1"/>
  <c r="AY60" i="1"/>
  <c r="AY52" i="1"/>
  <c r="AY44" i="1"/>
  <c r="AY36" i="1"/>
  <c r="AY28" i="1"/>
  <c r="AY20" i="1"/>
  <c r="AY12" i="1"/>
  <c r="AY4" i="1"/>
  <c r="AP165" i="1"/>
  <c r="AQ165" i="1" s="1"/>
  <c r="AP157" i="1"/>
  <c r="AQ157" i="1" s="1"/>
  <c r="AP149" i="1"/>
  <c r="AQ149" i="1" s="1"/>
  <c r="AP141" i="1"/>
  <c r="AQ141" i="1" s="1"/>
  <c r="AP133" i="1"/>
  <c r="AQ133" i="1" s="1"/>
  <c r="AP125" i="1"/>
  <c r="AQ125" i="1" s="1"/>
  <c r="AP117" i="1"/>
  <c r="AQ117" i="1" s="1"/>
  <c r="AP109" i="1"/>
  <c r="AQ109" i="1" s="1"/>
  <c r="AP101" i="1"/>
  <c r="AQ101" i="1" s="1"/>
  <c r="AP93" i="1"/>
  <c r="AQ93" i="1" s="1"/>
  <c r="AP85" i="1"/>
  <c r="AQ85" i="1" s="1"/>
  <c r="AP77" i="1"/>
  <c r="AQ77" i="1" s="1"/>
  <c r="AP69" i="1"/>
  <c r="AQ69" i="1" s="1"/>
  <c r="AP61" i="1"/>
  <c r="AQ61" i="1" s="1"/>
  <c r="AP53" i="1"/>
  <c r="AQ53" i="1" s="1"/>
  <c r="AP45" i="1"/>
  <c r="AQ45" i="1" s="1"/>
  <c r="AP37" i="1"/>
  <c r="AQ37" i="1" s="1"/>
  <c r="AP29" i="1"/>
  <c r="AQ29" i="1" s="1"/>
  <c r="AP21" i="1"/>
  <c r="AQ21" i="1" s="1"/>
  <c r="AP13" i="1"/>
  <c r="AQ13" i="1" s="1"/>
  <c r="AP5" i="1"/>
  <c r="AQ5" i="1" s="1"/>
  <c r="AV117" i="1"/>
  <c r="AV109" i="1"/>
  <c r="AV101" i="1"/>
  <c r="AV93" i="1"/>
  <c r="AV85" i="1"/>
  <c r="AV77" i="1"/>
  <c r="AV69" i="1"/>
  <c r="AV61" i="1"/>
  <c r="AV53" i="1"/>
  <c r="AV45" i="1"/>
  <c r="AV37" i="1"/>
  <c r="AV29" i="1"/>
  <c r="AV21" i="1"/>
  <c r="AV13" i="1"/>
  <c r="AV5" i="1"/>
  <c r="AJ166" i="1"/>
  <c r="AJ158" i="1"/>
  <c r="AJ150" i="1"/>
  <c r="AJ142" i="1"/>
  <c r="AJ134" i="1"/>
  <c r="AJ126" i="1"/>
  <c r="AJ118" i="1"/>
  <c r="AJ110" i="1"/>
  <c r="AJ102" i="1"/>
  <c r="AJ94" i="1"/>
  <c r="AJ86" i="1"/>
  <c r="AJ78" i="1"/>
  <c r="AJ70" i="1"/>
  <c r="AJ62" i="1"/>
  <c r="AJ54" i="1"/>
  <c r="AJ46" i="1"/>
  <c r="AJ38" i="1"/>
  <c r="AJ30" i="1"/>
  <c r="AJ22" i="1"/>
  <c r="AJ14" i="1"/>
  <c r="AJ6" i="1"/>
  <c r="AK167" i="1"/>
  <c r="AK159" i="1"/>
  <c r="AK151" i="1"/>
  <c r="AK143" i="1"/>
  <c r="AK135" i="1"/>
  <c r="AK127" i="1"/>
  <c r="AK119" i="1"/>
  <c r="AK111" i="1"/>
  <c r="AK103" i="1"/>
  <c r="AK95" i="1"/>
  <c r="AK87" i="1"/>
  <c r="AK79" i="1"/>
  <c r="AK71" i="1"/>
  <c r="AK63" i="1"/>
  <c r="AK55" i="1"/>
  <c r="AK47" i="1"/>
  <c r="AK39" i="1"/>
  <c r="AK31" i="1"/>
  <c r="AK23" i="1"/>
  <c r="AK15" i="1"/>
  <c r="AK7" i="1"/>
  <c r="AL168" i="1"/>
  <c r="AL160" i="1"/>
  <c r="AL152" i="1"/>
  <c r="AL144" i="1"/>
  <c r="AL136" i="1"/>
  <c r="AL128" i="1"/>
  <c r="AL120" i="1"/>
  <c r="AL112" i="1"/>
  <c r="AL104" i="1"/>
  <c r="AL96" i="1"/>
  <c r="AL88" i="1"/>
  <c r="AL80" i="1"/>
  <c r="AL72" i="1"/>
  <c r="AL64" i="1"/>
  <c r="AL56" i="1"/>
  <c r="AL48" i="1"/>
  <c r="AL40" i="1"/>
  <c r="AL32" i="1"/>
  <c r="AL24" i="1"/>
  <c r="AL16" i="1"/>
  <c r="AL8" i="1"/>
  <c r="AW169" i="1"/>
  <c r="AW161" i="1"/>
  <c r="AW153" i="1"/>
  <c r="AW145" i="1"/>
  <c r="AW137" i="1"/>
  <c r="AW129" i="1"/>
  <c r="AW121" i="1"/>
  <c r="AW113" i="1"/>
  <c r="AW105" i="1"/>
  <c r="AW97" i="1"/>
  <c r="AW89" i="1"/>
  <c r="AW81" i="1"/>
  <c r="AW73" i="1"/>
  <c r="AW65" i="1"/>
  <c r="AW57" i="1"/>
  <c r="AW49" i="1"/>
  <c r="AW41" i="1"/>
  <c r="AW33" i="1"/>
  <c r="AW25" i="1"/>
  <c r="AW17" i="1"/>
  <c r="AW9" i="1"/>
  <c r="AX170" i="1"/>
  <c r="AX162" i="1"/>
  <c r="AX154" i="1"/>
  <c r="AX146" i="1"/>
  <c r="AX138" i="1"/>
  <c r="AX130" i="1"/>
  <c r="AX122" i="1"/>
  <c r="AX114" i="1"/>
  <c r="AX106" i="1"/>
  <c r="AX98" i="1"/>
  <c r="AX90" i="1"/>
  <c r="AX82" i="1"/>
  <c r="AX74" i="1"/>
  <c r="AX66" i="1"/>
  <c r="AX58" i="1"/>
  <c r="AX50" i="1"/>
  <c r="AX42" i="1"/>
  <c r="AX34" i="1"/>
  <c r="AX26" i="1"/>
  <c r="AX18" i="1"/>
  <c r="AX10" i="1"/>
  <c r="AY2" i="1"/>
  <c r="AY163" i="1"/>
  <c r="AY155" i="1"/>
  <c r="AY147" i="1"/>
  <c r="AY139" i="1"/>
  <c r="AY131" i="1"/>
  <c r="AY123" i="1"/>
  <c r="AY115" i="1"/>
  <c r="AY107" i="1"/>
  <c r="AY99" i="1"/>
  <c r="AY91" i="1"/>
  <c r="AY83" i="1"/>
  <c r="AY75" i="1"/>
  <c r="AY67" i="1"/>
  <c r="AY59" i="1"/>
  <c r="AY51" i="1"/>
  <c r="AY43" i="1"/>
  <c r="AY35" i="1"/>
  <c r="AY27" i="1"/>
  <c r="AY19" i="1"/>
  <c r="AY11" i="1"/>
  <c r="AY3" i="1"/>
  <c r="AP164" i="1"/>
  <c r="AQ164" i="1" s="1"/>
  <c r="AP156" i="1"/>
  <c r="AQ156" i="1" s="1"/>
  <c r="AP148" i="1"/>
  <c r="AQ148" i="1" s="1"/>
  <c r="AP140" i="1"/>
  <c r="AQ140" i="1" s="1"/>
  <c r="AP132" i="1"/>
  <c r="AQ132" i="1" s="1"/>
  <c r="AP124" i="1"/>
  <c r="AQ124" i="1" s="1"/>
  <c r="AP116" i="1"/>
  <c r="AQ116" i="1" s="1"/>
  <c r="AP108" i="1"/>
  <c r="AQ108" i="1" s="1"/>
  <c r="AP100" i="1"/>
  <c r="AQ100" i="1" s="1"/>
  <c r="AP92" i="1"/>
  <c r="AQ92" i="1" s="1"/>
  <c r="AP84" i="1"/>
  <c r="AQ84" i="1" s="1"/>
  <c r="AP76" i="1"/>
  <c r="AQ76" i="1" s="1"/>
  <c r="AP68" i="1"/>
  <c r="AQ68" i="1" s="1"/>
  <c r="AP60" i="1"/>
  <c r="AQ60" i="1" s="1"/>
  <c r="AP52" i="1"/>
  <c r="AQ52" i="1" s="1"/>
  <c r="AP44" i="1"/>
  <c r="AQ44" i="1" s="1"/>
  <c r="AP36" i="1"/>
  <c r="AQ36" i="1" s="1"/>
  <c r="AP28" i="1"/>
  <c r="AQ28" i="1" s="1"/>
  <c r="AP20" i="1"/>
  <c r="AQ20" i="1" s="1"/>
  <c r="AP12" i="1"/>
  <c r="AQ12" i="1" s="1"/>
  <c r="AP4" i="1"/>
  <c r="AQ4" i="1" s="1"/>
  <c r="AU3" i="1"/>
  <c r="AV164" i="1"/>
  <c r="AV156" i="1"/>
  <c r="AV148" i="1"/>
  <c r="AV140" i="1"/>
  <c r="AV132" i="1"/>
  <c r="AV124" i="1"/>
  <c r="AV116" i="1"/>
  <c r="AV108" i="1"/>
  <c r="AV100" i="1"/>
  <c r="AV92" i="1"/>
  <c r="AV84" i="1"/>
  <c r="AV76" i="1"/>
  <c r="AV68" i="1"/>
  <c r="AV60" i="1"/>
  <c r="AV52" i="1"/>
  <c r="AV44" i="1"/>
  <c r="AV36" i="1"/>
  <c r="AV28" i="1"/>
  <c r="AV20" i="1"/>
  <c r="AV12" i="1"/>
  <c r="AV4" i="1"/>
  <c r="AJ165" i="1"/>
  <c r="AJ157" i="1"/>
  <c r="AJ149" i="1"/>
  <c r="AJ141" i="1"/>
  <c r="AJ133" i="1"/>
  <c r="AJ125" i="1"/>
  <c r="AJ117" i="1"/>
  <c r="AJ109" i="1"/>
  <c r="AJ101" i="1"/>
  <c r="AJ93" i="1"/>
  <c r="AJ85" i="1"/>
  <c r="AJ77" i="1"/>
  <c r="AJ69" i="1"/>
  <c r="AJ61" i="1"/>
  <c r="AJ53" i="1"/>
  <c r="AJ45" i="1"/>
  <c r="AJ37" i="1"/>
  <c r="AJ29" i="1"/>
  <c r="AJ21" i="1"/>
  <c r="AJ13" i="1"/>
  <c r="AJ5" i="1"/>
  <c r="AK166" i="1"/>
  <c r="AK158" i="1"/>
  <c r="AK150" i="1"/>
  <c r="AK142" i="1"/>
  <c r="AK134" i="1"/>
  <c r="AK126" i="1"/>
  <c r="AK118" i="1"/>
  <c r="AK110" i="1"/>
  <c r="AK102" i="1"/>
  <c r="AK94" i="1"/>
  <c r="AK86" i="1"/>
  <c r="AK78" i="1"/>
  <c r="AK70" i="1"/>
  <c r="AK62" i="1"/>
  <c r="AK54" i="1"/>
  <c r="AK46" i="1"/>
  <c r="AK38" i="1"/>
  <c r="AK30" i="1"/>
  <c r="AK22" i="1"/>
  <c r="AK14" i="1"/>
  <c r="AK6" i="1"/>
  <c r="AL167" i="1"/>
  <c r="AL159" i="1"/>
  <c r="AL151" i="1"/>
  <c r="AL143" i="1"/>
  <c r="AL135" i="1"/>
  <c r="AL127" i="1"/>
  <c r="AL119" i="1"/>
  <c r="AL111" i="1"/>
  <c r="AL103" i="1"/>
  <c r="AL95" i="1"/>
  <c r="AL87" i="1"/>
  <c r="AL79" i="1"/>
  <c r="AL71" i="1"/>
  <c r="AL63" i="1"/>
  <c r="AL55" i="1"/>
  <c r="AL47" i="1"/>
  <c r="AL39" i="1"/>
  <c r="AL31" i="1"/>
  <c r="AL23" i="1"/>
  <c r="AL15" i="1"/>
  <c r="AL7" i="1"/>
  <c r="AW168" i="1"/>
  <c r="AW160" i="1"/>
  <c r="AW152" i="1"/>
  <c r="AW144" i="1"/>
  <c r="AW136" i="1"/>
  <c r="AW128" i="1"/>
  <c r="AW120" i="1"/>
  <c r="AW112" i="1"/>
  <c r="AW104" i="1"/>
  <c r="AW96" i="1"/>
  <c r="AW88" i="1"/>
  <c r="AW80" i="1"/>
  <c r="AW72" i="1"/>
  <c r="AW64" i="1"/>
  <c r="AW56" i="1"/>
  <c r="AW48" i="1"/>
  <c r="AW40" i="1"/>
  <c r="AW32" i="1"/>
  <c r="AW24" i="1"/>
  <c r="AW16" i="1"/>
  <c r="AW8" i="1"/>
  <c r="AX169" i="1"/>
  <c r="AX161" i="1"/>
  <c r="AX153" i="1"/>
  <c r="AX145" i="1"/>
  <c r="AX137" i="1"/>
  <c r="AX129" i="1"/>
  <c r="AX121" i="1"/>
  <c r="AX113" i="1"/>
  <c r="AX105" i="1"/>
  <c r="AX97" i="1"/>
  <c r="AX89" i="1"/>
  <c r="AX81" i="1"/>
  <c r="AX73" i="1"/>
  <c r="AX65" i="1"/>
  <c r="AX57" i="1"/>
  <c r="AX49" i="1"/>
  <c r="AX41" i="1"/>
  <c r="AX33" i="1"/>
  <c r="AX25" i="1"/>
  <c r="AX17" i="1"/>
  <c r="AX9" i="1"/>
  <c r="AY170" i="1"/>
  <c r="AY162" i="1"/>
  <c r="AY154" i="1"/>
  <c r="AY146" i="1"/>
  <c r="AY138" i="1"/>
  <c r="AY130" i="1"/>
  <c r="AY122" i="1"/>
  <c r="AY114" i="1"/>
  <c r="AY106" i="1"/>
  <c r="AY98" i="1"/>
  <c r="AY90" i="1"/>
  <c r="AY82" i="1"/>
  <c r="AY74" i="1"/>
  <c r="AY66" i="1"/>
  <c r="AY58" i="1"/>
  <c r="AY50" i="1"/>
  <c r="AY42" i="1"/>
  <c r="AY34" i="1"/>
  <c r="AY26" i="1"/>
  <c r="AY18" i="1"/>
  <c r="AY10" i="1"/>
  <c r="AP2" i="1"/>
  <c r="AQ2" i="1" s="1"/>
  <c r="AP163" i="1"/>
  <c r="AQ163" i="1" s="1"/>
  <c r="AP155" i="1"/>
  <c r="AQ155" i="1" s="1"/>
  <c r="AP147" i="1"/>
  <c r="AQ147" i="1" s="1"/>
  <c r="AP139" i="1"/>
  <c r="AQ139" i="1" s="1"/>
  <c r="AP131" i="1"/>
  <c r="AQ131" i="1" s="1"/>
  <c r="AP123" i="1"/>
  <c r="AQ123" i="1" s="1"/>
  <c r="AP115" i="1"/>
  <c r="AQ115" i="1" s="1"/>
  <c r="AP107" i="1"/>
  <c r="AQ107" i="1" s="1"/>
  <c r="AP99" i="1"/>
  <c r="AQ99" i="1" s="1"/>
  <c r="AP91" i="1"/>
  <c r="AQ91" i="1" s="1"/>
  <c r="AP83" i="1"/>
  <c r="AQ83" i="1" s="1"/>
  <c r="AP75" i="1"/>
  <c r="AQ75" i="1" s="1"/>
  <c r="AP67" i="1"/>
  <c r="AQ67" i="1" s="1"/>
  <c r="AP59" i="1"/>
  <c r="AQ59" i="1" s="1"/>
  <c r="AP51" i="1"/>
  <c r="AQ51" i="1" s="1"/>
  <c r="AP43" i="1"/>
  <c r="AQ43" i="1" s="1"/>
  <c r="AP35" i="1"/>
  <c r="AQ35" i="1" s="1"/>
  <c r="AP27" i="1"/>
  <c r="AQ27" i="1" s="1"/>
  <c r="AP19" i="1"/>
  <c r="AQ19" i="1" s="1"/>
  <c r="AP11" i="1"/>
  <c r="AQ11" i="1" s="1"/>
  <c r="AP3" i="1"/>
  <c r="AQ3" i="1" s="1"/>
  <c r="AR133" i="1"/>
  <c r="AS133" i="1" s="1"/>
  <c r="AR163" i="1"/>
  <c r="AS163" i="1" s="1"/>
  <c r="AR65" i="1"/>
  <c r="AS65" i="1" s="1"/>
  <c r="AR164" i="1"/>
  <c r="AS164" i="1" s="1"/>
  <c r="AR107" i="1"/>
  <c r="AS107" i="1" s="1"/>
  <c r="AR70" i="1"/>
  <c r="AS70" i="1" s="1"/>
  <c r="AR129" i="1"/>
  <c r="AS129" i="1" s="1"/>
  <c r="AR96" i="1"/>
  <c r="AS96" i="1" s="1"/>
  <c r="AR156" i="1"/>
  <c r="AS156" i="1" s="1"/>
  <c r="AR45" i="1"/>
  <c r="AS45" i="1" s="1"/>
  <c r="AR92" i="1"/>
  <c r="AS92" i="1" s="1"/>
  <c r="AR10" i="1"/>
  <c r="AS10" i="1" s="1"/>
  <c r="AR28" i="1"/>
  <c r="AS28" i="1" s="1"/>
  <c r="AR74" i="1"/>
  <c r="AS74" i="1" s="1"/>
  <c r="AR51" i="1"/>
  <c r="AS51" i="1" s="1"/>
  <c r="AR87" i="1"/>
  <c r="AS87" i="1" s="1"/>
  <c r="AR138" i="1"/>
  <c r="AS138" i="1" s="1"/>
  <c r="AR80" i="1"/>
  <c r="AS80" i="1" s="1"/>
  <c r="AR139" i="1"/>
  <c r="AS139" i="1" s="1"/>
  <c r="AR40" i="1"/>
  <c r="AS40" i="1" s="1"/>
  <c r="AR110" i="1"/>
  <c r="AS110" i="1" s="1"/>
  <c r="AR83" i="1"/>
  <c r="AS83" i="1" s="1"/>
  <c r="AR147" i="1"/>
  <c r="AS147" i="1" s="1"/>
  <c r="AR5" i="1"/>
  <c r="AS5" i="1" s="1"/>
  <c r="AR168" i="1"/>
  <c r="AS168" i="1" s="1"/>
  <c r="AR91" i="1"/>
  <c r="AS91" i="1" s="1"/>
  <c r="AR155" i="1"/>
  <c r="AS155" i="1" s="1"/>
  <c r="AR21" i="1"/>
  <c r="AS21" i="1" s="1"/>
  <c r="AR148" i="1"/>
  <c r="AS148" i="1" s="1"/>
  <c r="AR103" i="1"/>
  <c r="AS103" i="1" s="1"/>
  <c r="AR9" i="1"/>
  <c r="AS9" i="1" s="1"/>
  <c r="AR137" i="1"/>
  <c r="AS137" i="1" s="1"/>
  <c r="AR61" i="1"/>
  <c r="AS61" i="1" s="1"/>
  <c r="AR18" i="1"/>
  <c r="AS18" i="1" s="1"/>
  <c r="AR46" i="1"/>
  <c r="AS46" i="1" s="1"/>
  <c r="AR31" i="1"/>
  <c r="AS31" i="1" s="1"/>
  <c r="AR143" i="1"/>
  <c r="AS143" i="1" s="1"/>
  <c r="AR131" i="1"/>
  <c r="AS131" i="1" s="1"/>
  <c r="AR102" i="1"/>
  <c r="AS102" i="1" s="1"/>
  <c r="AR12" i="1"/>
  <c r="AS12" i="1" s="1"/>
  <c r="AR119" i="1"/>
  <c r="AS119" i="1" s="1"/>
  <c r="AR81" i="1"/>
  <c r="AS81" i="1" s="1"/>
  <c r="AR145" i="1"/>
  <c r="AS145" i="1" s="1"/>
  <c r="AR77" i="1"/>
  <c r="AS77" i="1" s="1"/>
  <c r="AR26" i="1"/>
  <c r="AS26" i="1" s="1"/>
  <c r="AR79" i="1"/>
  <c r="AS79" i="1" s="1"/>
  <c r="AR63" i="1"/>
  <c r="AS63" i="1" s="1"/>
  <c r="AR11" i="1"/>
  <c r="AS11" i="1" s="1"/>
  <c r="AR75" i="1"/>
  <c r="AS75" i="1" s="1"/>
  <c r="AR118" i="1"/>
  <c r="AS118" i="1" s="1"/>
  <c r="AR4" i="1"/>
  <c r="AS4" i="1" s="1"/>
  <c r="AR25" i="1"/>
  <c r="AS25" i="1" s="1"/>
  <c r="AR34" i="1"/>
  <c r="AS34" i="1" s="1"/>
  <c r="AR95" i="1"/>
  <c r="AS95" i="1" s="1"/>
  <c r="AR32" i="1"/>
  <c r="AS32" i="1" s="1"/>
  <c r="AR19" i="1"/>
  <c r="AS19" i="1" s="1"/>
  <c r="AR134" i="1"/>
  <c r="AS134" i="1" s="1"/>
  <c r="AR23" i="1"/>
  <c r="AS23" i="1" s="1"/>
  <c r="AR33" i="1"/>
  <c r="AS33" i="1" s="1"/>
  <c r="AR109" i="1"/>
  <c r="AS109" i="1" s="1"/>
  <c r="AR62" i="1"/>
  <c r="AS62" i="1" s="1"/>
  <c r="AR27" i="1"/>
  <c r="AS27" i="1" s="1"/>
  <c r="AR85" i="1"/>
  <c r="AS85" i="1" s="1"/>
  <c r="AR22" i="1"/>
  <c r="AS22" i="1" s="1"/>
  <c r="AR150" i="1"/>
  <c r="AS150" i="1" s="1"/>
  <c r="AR116" i="1"/>
  <c r="AS116" i="1" s="1"/>
  <c r="AR52" i="1"/>
  <c r="AS52" i="1" s="1"/>
  <c r="AR39" i="1"/>
  <c r="AS39" i="1" s="1"/>
  <c r="AR167" i="1"/>
  <c r="AS167" i="1" s="1"/>
  <c r="AR120" i="1"/>
  <c r="AS120" i="1" s="1"/>
  <c r="AR41" i="1"/>
  <c r="AS41" i="1" s="1"/>
  <c r="AR105" i="1"/>
  <c r="AS105" i="1" s="1"/>
  <c r="AR169" i="1"/>
  <c r="AS169" i="1" s="1"/>
  <c r="AR125" i="1"/>
  <c r="AS125" i="1" s="1"/>
  <c r="AR50" i="1"/>
  <c r="AS50" i="1" s="1"/>
  <c r="AR114" i="1"/>
  <c r="AS114" i="1" s="1"/>
  <c r="AR47" i="1"/>
  <c r="AS47" i="1" s="1"/>
  <c r="AR159" i="1"/>
  <c r="AS159" i="1" s="1"/>
  <c r="AR14" i="1"/>
  <c r="AS14" i="1" s="1"/>
  <c r="AR64" i="1"/>
  <c r="AS64" i="1" s="1"/>
  <c r="AR144" i="1"/>
  <c r="AS144" i="1" s="1"/>
  <c r="AR15" i="1"/>
  <c r="AS15" i="1" s="1"/>
  <c r="AR123" i="1"/>
  <c r="AS123" i="1" s="1"/>
  <c r="AR86" i="1"/>
  <c r="AS86" i="1" s="1"/>
  <c r="AR20" i="1"/>
  <c r="AS20" i="1" s="1"/>
  <c r="AR73" i="1"/>
  <c r="AS73" i="1" s="1"/>
  <c r="AR146" i="1"/>
  <c r="AS146" i="1" s="1"/>
  <c r="AR37" i="1"/>
  <c r="AS37" i="1" s="1"/>
  <c r="AR140" i="1"/>
  <c r="AS140" i="1" s="1"/>
  <c r="AR72" i="1"/>
  <c r="AS72" i="1" s="1"/>
  <c r="AR90" i="1"/>
  <c r="AS90" i="1" s="1"/>
  <c r="AR3" i="1"/>
  <c r="AS3" i="1" s="1"/>
  <c r="AR68" i="1"/>
  <c r="AS68" i="1" s="1"/>
  <c r="AR88" i="1"/>
  <c r="AS88" i="1" s="1"/>
  <c r="AR153" i="1"/>
  <c r="AS153" i="1" s="1"/>
  <c r="AR98" i="1"/>
  <c r="AS98" i="1" s="1"/>
  <c r="AR126" i="1"/>
  <c r="AS126" i="1" s="1"/>
  <c r="AR6" i="1"/>
  <c r="AS6" i="1" s="1"/>
  <c r="AR60" i="1"/>
  <c r="AS60" i="1" s="1"/>
  <c r="AR104" i="1"/>
  <c r="AS104" i="1" s="1"/>
  <c r="AR161" i="1"/>
  <c r="AS161" i="1" s="1"/>
  <c r="AR106" i="1"/>
  <c r="AS106" i="1" s="1"/>
  <c r="AR78" i="1"/>
  <c r="AS78" i="1" s="1"/>
  <c r="AR16" i="1"/>
  <c r="AS16" i="1" s="1"/>
  <c r="AR128" i="1"/>
  <c r="AS128" i="1" s="1"/>
  <c r="AR35" i="1"/>
  <c r="AS35" i="1" s="1"/>
  <c r="AR101" i="1"/>
  <c r="AS101" i="1" s="1"/>
  <c r="AR38" i="1"/>
  <c r="AS38" i="1" s="1"/>
  <c r="AR166" i="1"/>
  <c r="AS166" i="1" s="1"/>
  <c r="AR108" i="1"/>
  <c r="AS108" i="1" s="1"/>
  <c r="AR44" i="1"/>
  <c r="AS44" i="1" s="1"/>
  <c r="AR55" i="1"/>
  <c r="AS55" i="1" s="1"/>
  <c r="AR8" i="1"/>
  <c r="AS8" i="1" s="1"/>
  <c r="AR136" i="1"/>
  <c r="AS136" i="1" s="1"/>
  <c r="AR49" i="1"/>
  <c r="AS49" i="1" s="1"/>
  <c r="AR113" i="1"/>
  <c r="AS113" i="1" s="1"/>
  <c r="AR13" i="1"/>
  <c r="AS13" i="1" s="1"/>
  <c r="AR141" i="1"/>
  <c r="AS141" i="1" s="1"/>
  <c r="AR58" i="1"/>
  <c r="AS58" i="1" s="1"/>
  <c r="AR122" i="1"/>
  <c r="AS122" i="1" s="1"/>
  <c r="AR94" i="1"/>
  <c r="AS94" i="1" s="1"/>
  <c r="AR170" i="1"/>
  <c r="AS170" i="1" s="1"/>
  <c r="AR142" i="1"/>
  <c r="AS142" i="1" s="1"/>
  <c r="AR160" i="1"/>
  <c r="AS160" i="1" s="1"/>
  <c r="AR112" i="1"/>
  <c r="AS112" i="1" s="1"/>
  <c r="AR127" i="1"/>
  <c r="AS127" i="1" s="1"/>
  <c r="AR59" i="1"/>
  <c r="AS59" i="1" s="1"/>
  <c r="AR149" i="1"/>
  <c r="AS149" i="1" s="1"/>
  <c r="AR84" i="1"/>
  <c r="AS84" i="1" s="1"/>
  <c r="AR56" i="1"/>
  <c r="AS56" i="1" s="1"/>
  <c r="AR82" i="1"/>
  <c r="AS82" i="1" s="1"/>
  <c r="AR67" i="1"/>
  <c r="AS67" i="1" s="1"/>
  <c r="AR165" i="1"/>
  <c r="AS165" i="1" s="1"/>
  <c r="AR76" i="1"/>
  <c r="AS76" i="1" s="1"/>
  <c r="AR17" i="1"/>
  <c r="AS17" i="1" s="1"/>
  <c r="AR154" i="1"/>
  <c r="AS154" i="1" s="1"/>
  <c r="AR53" i="1"/>
  <c r="AS53" i="1" s="1"/>
  <c r="AR132" i="1"/>
  <c r="AS132" i="1" s="1"/>
  <c r="AR135" i="1"/>
  <c r="AS135" i="1" s="1"/>
  <c r="AR89" i="1"/>
  <c r="AS89" i="1" s="1"/>
  <c r="AR93" i="1"/>
  <c r="AS93" i="1" s="1"/>
  <c r="AR162" i="1"/>
  <c r="AS162" i="1" s="1"/>
  <c r="AR158" i="1"/>
  <c r="AS158" i="1" s="1"/>
  <c r="AR69" i="1"/>
  <c r="AS69" i="1" s="1"/>
  <c r="AR124" i="1"/>
  <c r="AS124" i="1" s="1"/>
  <c r="AR151" i="1"/>
  <c r="AS151" i="1" s="1"/>
  <c r="AR97" i="1"/>
  <c r="AS97" i="1" s="1"/>
  <c r="AR42" i="1"/>
  <c r="AS42" i="1" s="1"/>
  <c r="AR111" i="1"/>
  <c r="AS111" i="1" s="1"/>
  <c r="AR43" i="1"/>
  <c r="AS43" i="1" s="1"/>
  <c r="AR2" i="1"/>
  <c r="AS2" i="1" s="1"/>
  <c r="AR117" i="1"/>
  <c r="AS117" i="1" s="1"/>
  <c r="AR54" i="1"/>
  <c r="AS54" i="1" s="1"/>
  <c r="AR100" i="1"/>
  <c r="AS100" i="1" s="1"/>
  <c r="AR36" i="1"/>
  <c r="AS36" i="1" s="1"/>
  <c r="AR71" i="1"/>
  <c r="AS71" i="1" s="1"/>
  <c r="AR24" i="1"/>
  <c r="AS24" i="1" s="1"/>
  <c r="AR152" i="1"/>
  <c r="AS152" i="1" s="1"/>
  <c r="AR57" i="1"/>
  <c r="AS57" i="1" s="1"/>
  <c r="AR121" i="1"/>
  <c r="AS121" i="1" s="1"/>
  <c r="AR29" i="1"/>
  <c r="AS29" i="1" s="1"/>
  <c r="AR157" i="1"/>
  <c r="AS157" i="1" s="1"/>
  <c r="AR66" i="1"/>
  <c r="AS66" i="1" s="1"/>
  <c r="AR130" i="1"/>
  <c r="AS130" i="1" s="1"/>
  <c r="AR48" i="1"/>
  <c r="AS48" i="1" s="1"/>
  <c r="AR30" i="1"/>
  <c r="AS30" i="1" s="1"/>
  <c r="AR7" i="1"/>
  <c r="AS7" i="1" s="1"/>
  <c r="P49" i="24"/>
  <c r="P113" i="24"/>
  <c r="P11" i="24"/>
  <c r="P75" i="24"/>
  <c r="P139" i="24"/>
  <c r="P34" i="24"/>
  <c r="P98" i="24"/>
  <c r="P162" i="24"/>
  <c r="P60" i="24"/>
  <c r="P132" i="24"/>
  <c r="P45" i="24"/>
  <c r="P109" i="24"/>
  <c r="P14" i="24"/>
  <c r="P86" i="24"/>
  <c r="P108" i="24"/>
  <c r="P158" i="24"/>
  <c r="P143" i="24"/>
  <c r="P87" i="24"/>
  <c r="P31" i="24"/>
  <c r="P96" i="24"/>
  <c r="P57" i="24"/>
  <c r="P19" i="24"/>
  <c r="P83" i="24"/>
  <c r="P42" i="24"/>
  <c r="P170" i="24"/>
  <c r="P148" i="24"/>
  <c r="P117" i="24"/>
  <c r="P102" i="24"/>
  <c r="P48" i="24"/>
  <c r="P9" i="24"/>
  <c r="P23" i="24"/>
  <c r="P40" i="24"/>
  <c r="P129" i="24"/>
  <c r="P91" i="24"/>
  <c r="P114" i="24"/>
  <c r="P76" i="24"/>
  <c r="P164" i="24"/>
  <c r="P125" i="24"/>
  <c r="P110" i="24"/>
  <c r="P104" i="24"/>
  <c r="P64" i="24"/>
  <c r="P15" i="24"/>
  <c r="P103" i="24"/>
  <c r="P137" i="24"/>
  <c r="P99" i="24"/>
  <c r="P58" i="24"/>
  <c r="P12" i="24"/>
  <c r="P5" i="24"/>
  <c r="P133" i="24"/>
  <c r="P118" i="24"/>
  <c r="P3" i="24"/>
  <c r="P144" i="24"/>
  <c r="P79" i="24"/>
  <c r="P7" i="24"/>
  <c r="P88" i="24"/>
  <c r="P17" i="24"/>
  <c r="P145" i="24"/>
  <c r="P107" i="24"/>
  <c r="P66" i="24"/>
  <c r="P20" i="24"/>
  <c r="P13" i="24"/>
  <c r="P141" i="24"/>
  <c r="P54" i="24"/>
  <c r="P134" i="24"/>
  <c r="P168" i="24"/>
  <c r="P6" i="24"/>
  <c r="P71" i="24"/>
  <c r="P16" i="24"/>
  <c r="P127" i="24"/>
  <c r="P89" i="24"/>
  <c r="P153" i="24"/>
  <c r="P115" i="24"/>
  <c r="P74" i="24"/>
  <c r="P28" i="24"/>
  <c r="P21" i="24"/>
  <c r="P85" i="24"/>
  <c r="P62" i="24"/>
  <c r="P150" i="24"/>
  <c r="P94" i="24"/>
  <c r="P8" i="24"/>
  <c r="P63" i="24"/>
  <c r="P80" i="24"/>
  <c r="P128" i="24"/>
  <c r="P33" i="24"/>
  <c r="P97" i="24"/>
  <c r="P161" i="24"/>
  <c r="P59" i="24"/>
  <c r="P123" i="24"/>
  <c r="P18" i="24"/>
  <c r="P82" i="24"/>
  <c r="P146" i="24"/>
  <c r="P36" i="24"/>
  <c r="P116" i="24"/>
  <c r="P29" i="24"/>
  <c r="P93" i="24"/>
  <c r="P157" i="24"/>
  <c r="P70" i="24"/>
  <c r="P166" i="24"/>
  <c r="P126" i="24"/>
  <c r="P56" i="24"/>
  <c r="P72" i="24"/>
  <c r="P55" i="24"/>
  <c r="P120" i="24"/>
  <c r="P167" i="24"/>
  <c r="P119" i="24"/>
  <c r="P121" i="24"/>
  <c r="P147" i="24"/>
  <c r="P106" i="24"/>
  <c r="P68" i="24"/>
  <c r="P53" i="24"/>
  <c r="P30" i="24"/>
  <c r="P140" i="24"/>
  <c r="P39" i="24"/>
  <c r="P65" i="24"/>
  <c r="P27" i="24"/>
  <c r="P155" i="24"/>
  <c r="P50" i="24"/>
  <c r="P4" i="24"/>
  <c r="P61" i="24"/>
  <c r="P38" i="24"/>
  <c r="P156" i="24"/>
  <c r="P95" i="24"/>
  <c r="P73" i="24"/>
  <c r="P35" i="24"/>
  <c r="P163" i="24"/>
  <c r="P122" i="24"/>
  <c r="P84" i="24"/>
  <c r="P69" i="24"/>
  <c r="P46" i="24"/>
  <c r="P136" i="24"/>
  <c r="P159" i="24"/>
  <c r="P81" i="24"/>
  <c r="P43" i="24"/>
  <c r="P171" i="24"/>
  <c r="P130" i="24"/>
  <c r="P92" i="24"/>
  <c r="P77" i="24"/>
  <c r="P22" i="24"/>
  <c r="P160" i="24"/>
  <c r="P25" i="24"/>
  <c r="P51" i="24"/>
  <c r="P10" i="24"/>
  <c r="P138" i="24"/>
  <c r="P100" i="24"/>
  <c r="P149" i="24"/>
  <c r="P112" i="24"/>
  <c r="P24" i="24"/>
  <c r="P41" i="24"/>
  <c r="P105" i="24"/>
  <c r="P169" i="24"/>
  <c r="P67" i="24"/>
  <c r="P131" i="24"/>
  <c r="P26" i="24"/>
  <c r="P90" i="24"/>
  <c r="P154" i="24"/>
  <c r="P52" i="24"/>
  <c r="P124" i="24"/>
  <c r="P37" i="24"/>
  <c r="P101" i="24"/>
  <c r="P165" i="24"/>
  <c r="P78" i="24"/>
  <c r="P44" i="24"/>
  <c r="P142" i="24"/>
  <c r="P111" i="24"/>
  <c r="P151" i="24"/>
  <c r="P47" i="24"/>
  <c r="P152" i="24"/>
  <c r="P32" i="24"/>
  <c r="P135" i="24"/>
  <c r="J46" i="25"/>
  <c r="J110" i="25"/>
  <c r="J64" i="25"/>
  <c r="J128" i="25"/>
  <c r="J54" i="25"/>
  <c r="J96" i="25"/>
  <c r="J74" i="25"/>
  <c r="J160" i="25"/>
  <c r="J12" i="25"/>
  <c r="J7" i="25"/>
  <c r="J71" i="25"/>
  <c r="J135" i="25"/>
  <c r="J53" i="25"/>
  <c r="J139" i="25"/>
  <c r="J57" i="25"/>
  <c r="J141" i="25"/>
  <c r="J104" i="25"/>
  <c r="J88" i="25"/>
  <c r="J132" i="25"/>
  <c r="J17" i="25"/>
  <c r="J27" i="25"/>
  <c r="J37" i="25"/>
  <c r="J49" i="25"/>
  <c r="J59" i="25"/>
  <c r="J69" i="25"/>
  <c r="J81" i="25"/>
  <c r="J91" i="25"/>
  <c r="J101" i="25"/>
  <c r="J113" i="25"/>
  <c r="J123" i="25"/>
  <c r="J133" i="25"/>
  <c r="J145" i="25"/>
  <c r="J155" i="25"/>
  <c r="J165" i="25"/>
  <c r="J5" i="25"/>
  <c r="J3" i="25"/>
  <c r="J26" i="25"/>
  <c r="J36" i="25"/>
  <c r="J58" i="25"/>
  <c r="J68" i="25"/>
  <c r="J90" i="25"/>
  <c r="J100" i="25"/>
  <c r="J122" i="25"/>
  <c r="J154" i="25"/>
  <c r="J164" i="25"/>
  <c r="J4" i="25"/>
  <c r="J18" i="25"/>
  <c r="J28" i="25"/>
  <c r="J50" i="25"/>
  <c r="J60" i="25"/>
  <c r="J82" i="25"/>
  <c r="J92" i="25"/>
  <c r="J114" i="25"/>
  <c r="J124" i="25"/>
  <c r="J146" i="25"/>
  <c r="J156" i="25"/>
  <c r="J19" i="25"/>
  <c r="J29" i="25"/>
  <c r="J41" i="25"/>
  <c r="J51" i="25"/>
  <c r="J61" i="25"/>
  <c r="J73" i="25"/>
  <c r="J83" i="25"/>
  <c r="J93" i="25"/>
  <c r="J105" i="25"/>
  <c r="J115" i="25"/>
  <c r="J125" i="25"/>
  <c r="J137" i="25"/>
  <c r="J147" i="25"/>
  <c r="J157" i="25"/>
  <c r="J169" i="25"/>
  <c r="J6" i="25"/>
  <c r="J116" i="25"/>
  <c r="J118" i="25"/>
  <c r="J15" i="25"/>
  <c r="J79" i="25"/>
  <c r="J143" i="25"/>
  <c r="J65" i="25"/>
  <c r="J149" i="25"/>
  <c r="J67" i="25"/>
  <c r="J153" i="25"/>
  <c r="J168" i="25"/>
  <c r="J98" i="25"/>
  <c r="J13" i="25"/>
  <c r="J84" i="25"/>
  <c r="J62" i="25"/>
  <c r="J126" i="25"/>
  <c r="J23" i="25"/>
  <c r="J87" i="25"/>
  <c r="J151" i="25"/>
  <c r="J75" i="25"/>
  <c r="J161" i="25"/>
  <c r="J77" i="25"/>
  <c r="J163" i="25"/>
  <c r="J24" i="25"/>
  <c r="J108" i="25"/>
  <c r="J112" i="25"/>
  <c r="J170" i="25"/>
  <c r="J70" i="25"/>
  <c r="J134" i="25"/>
  <c r="J31" i="25"/>
  <c r="J95" i="25"/>
  <c r="J159" i="25"/>
  <c r="J85" i="25"/>
  <c r="J171" i="25"/>
  <c r="J89" i="25"/>
  <c r="J16" i="25"/>
  <c r="J34" i="25"/>
  <c r="J120" i="25"/>
  <c r="J8" i="25"/>
  <c r="J52" i="25"/>
  <c r="J14" i="25"/>
  <c r="J78" i="25"/>
  <c r="J142" i="25"/>
  <c r="J39" i="25"/>
  <c r="J103" i="25"/>
  <c r="J167" i="25"/>
  <c r="J97" i="25"/>
  <c r="J99" i="25"/>
  <c r="J48" i="25"/>
  <c r="J44" i="25"/>
  <c r="J130" i="25"/>
  <c r="J72" i="25"/>
  <c r="J42" i="25"/>
  <c r="J138" i="25"/>
  <c r="J22" i="25"/>
  <c r="J86" i="25"/>
  <c r="J150" i="25"/>
  <c r="J47" i="25"/>
  <c r="J111" i="25"/>
  <c r="J21" i="25"/>
  <c r="J107" i="25"/>
  <c r="J25" i="25"/>
  <c r="J109" i="25"/>
  <c r="J80" i="25"/>
  <c r="J56" i="25"/>
  <c r="J140" i="25"/>
  <c r="J136" i="25"/>
  <c r="J11" i="25"/>
  <c r="J30" i="25"/>
  <c r="J94" i="25"/>
  <c r="J158" i="25"/>
  <c r="J55" i="25"/>
  <c r="J119" i="25"/>
  <c r="J33" i="25"/>
  <c r="J117" i="25"/>
  <c r="J35" i="25"/>
  <c r="J121" i="25"/>
  <c r="J144" i="25"/>
  <c r="J66" i="25"/>
  <c r="J152" i="25"/>
  <c r="J9" i="25"/>
  <c r="J10" i="25"/>
  <c r="J20" i="25"/>
  <c r="J38" i="25"/>
  <c r="J102" i="25"/>
  <c r="J166" i="25"/>
  <c r="J63" i="25"/>
  <c r="J127" i="25"/>
  <c r="J43" i="25"/>
  <c r="J129" i="25"/>
  <c r="J45" i="25"/>
  <c r="J131" i="25"/>
  <c r="J40" i="25"/>
  <c r="J76" i="25"/>
  <c r="J162" i="25"/>
  <c r="J32" i="25"/>
  <c r="J148" i="25"/>
  <c r="J106" i="25"/>
  <c r="I65" i="23"/>
  <c r="P76" i="27"/>
  <c r="P162" i="27"/>
  <c r="P77" i="27"/>
  <c r="P163" i="27"/>
  <c r="P112" i="27"/>
  <c r="P48" i="27"/>
  <c r="P151" i="27"/>
  <c r="P87" i="27"/>
  <c r="P23" i="27"/>
  <c r="P68" i="27"/>
  <c r="P154" i="27"/>
  <c r="P4" i="27"/>
  <c r="P171" i="27"/>
  <c r="P43" i="27"/>
  <c r="P106" i="27"/>
  <c r="P102" i="27"/>
  <c r="P18" i="27"/>
  <c r="P101" i="27"/>
  <c r="P17" i="27"/>
  <c r="P33" i="27"/>
  <c r="P86" i="27"/>
  <c r="P3" i="27"/>
  <c r="P62" i="27"/>
  <c r="P61" i="27"/>
  <c r="P147" i="27"/>
  <c r="P89" i="27"/>
  <c r="P168" i="27"/>
  <c r="P104" i="27"/>
  <c r="P40" i="27"/>
  <c r="P143" i="27"/>
  <c r="P79" i="27"/>
  <c r="P15" i="27"/>
  <c r="P78" i="27"/>
  <c r="P164" i="27"/>
  <c r="P161" i="27"/>
  <c r="P11" i="27"/>
  <c r="P74" i="27"/>
  <c r="P137" i="27"/>
  <c r="P92" i="27"/>
  <c r="P6" i="27"/>
  <c r="P91" i="27"/>
  <c r="P5" i="27"/>
  <c r="P117" i="27"/>
  <c r="P12" i="27"/>
  <c r="P98" i="27"/>
  <c r="P13" i="27"/>
  <c r="P99" i="27"/>
  <c r="P160" i="27"/>
  <c r="P96" i="27"/>
  <c r="P32" i="27"/>
  <c r="P135" i="27"/>
  <c r="P71" i="27"/>
  <c r="P7" i="27"/>
  <c r="P90" i="27"/>
  <c r="P10" i="27"/>
  <c r="P52" i="27"/>
  <c r="P42" i="27"/>
  <c r="P105" i="27"/>
  <c r="P166" i="27"/>
  <c r="P82" i="27"/>
  <c r="P165" i="27"/>
  <c r="P81" i="27"/>
  <c r="P53" i="27"/>
  <c r="P93" i="27"/>
  <c r="P22" i="27"/>
  <c r="P108" i="27"/>
  <c r="P25" i="27"/>
  <c r="P109" i="27"/>
  <c r="P152" i="27"/>
  <c r="P88" i="27"/>
  <c r="P24" i="27"/>
  <c r="P127" i="27"/>
  <c r="P63" i="27"/>
  <c r="P14" i="27"/>
  <c r="P100" i="27"/>
  <c r="P41" i="27"/>
  <c r="P83" i="27"/>
  <c r="P73" i="27"/>
  <c r="P129" i="27"/>
  <c r="P156" i="27"/>
  <c r="P70" i="27"/>
  <c r="P155" i="27"/>
  <c r="P69" i="27"/>
  <c r="P84" i="27"/>
  <c r="P116" i="27"/>
  <c r="P34" i="27"/>
  <c r="P118" i="27"/>
  <c r="P35" i="27"/>
  <c r="P121" i="27"/>
  <c r="P144" i="27"/>
  <c r="P80" i="27"/>
  <c r="P16" i="27"/>
  <c r="P119" i="27"/>
  <c r="P55" i="27"/>
  <c r="P26" i="27"/>
  <c r="P110" i="27"/>
  <c r="P65" i="27"/>
  <c r="P107" i="27"/>
  <c r="P97" i="27"/>
  <c r="P158" i="27"/>
  <c r="P146" i="27"/>
  <c r="P60" i="27"/>
  <c r="P145" i="27"/>
  <c r="P59" i="27"/>
  <c r="P115" i="27"/>
  <c r="P30" i="27"/>
  <c r="P44" i="27"/>
  <c r="P130" i="27"/>
  <c r="P45" i="27"/>
  <c r="P131" i="27"/>
  <c r="P136" i="27"/>
  <c r="P72" i="27"/>
  <c r="P8" i="27"/>
  <c r="P111" i="27"/>
  <c r="P47" i="27"/>
  <c r="P36" i="27"/>
  <c r="P122" i="27"/>
  <c r="P94" i="27"/>
  <c r="P138" i="27"/>
  <c r="P126" i="27"/>
  <c r="P20" i="27"/>
  <c r="P134" i="27"/>
  <c r="P50" i="27"/>
  <c r="P133" i="27"/>
  <c r="P49" i="27"/>
  <c r="P139" i="27"/>
  <c r="P21" i="27"/>
  <c r="P54" i="27"/>
  <c r="P140" i="27"/>
  <c r="P57" i="27"/>
  <c r="P141" i="27"/>
  <c r="P128" i="27"/>
  <c r="P64" i="27"/>
  <c r="P167" i="27"/>
  <c r="P103" i="27"/>
  <c r="P39" i="27"/>
  <c r="P46" i="27"/>
  <c r="P132" i="27"/>
  <c r="P125" i="27"/>
  <c r="P169" i="27"/>
  <c r="P157" i="27"/>
  <c r="P51" i="27"/>
  <c r="P124" i="27"/>
  <c r="P38" i="27"/>
  <c r="P123" i="27"/>
  <c r="P37" i="27"/>
  <c r="P170" i="27"/>
  <c r="P148" i="27"/>
  <c r="P66" i="27"/>
  <c r="P150" i="27"/>
  <c r="P67" i="27"/>
  <c r="P153" i="27"/>
  <c r="P120" i="27"/>
  <c r="P56" i="27"/>
  <c r="P159" i="27"/>
  <c r="P95" i="27"/>
  <c r="P31" i="27"/>
  <c r="P58" i="27"/>
  <c r="P142" i="27"/>
  <c r="P149" i="27"/>
  <c r="P85" i="27"/>
  <c r="P19" i="27"/>
  <c r="P75" i="27"/>
  <c r="P114" i="27"/>
  <c r="P28" i="27"/>
  <c r="P113" i="27"/>
  <c r="P27" i="27"/>
  <c r="P9" i="27"/>
  <c r="P29" i="27"/>
  <c r="P159" i="15"/>
  <c r="P143" i="15"/>
  <c r="P127" i="15"/>
  <c r="P111" i="15"/>
  <c r="P95" i="15"/>
  <c r="P79" i="15"/>
  <c r="P63" i="15"/>
  <c r="P47" i="15"/>
  <c r="P31" i="15"/>
  <c r="P158" i="15"/>
  <c r="P142" i="15"/>
  <c r="P126" i="15"/>
  <c r="P110" i="15"/>
  <c r="P94" i="15"/>
  <c r="P78" i="15"/>
  <c r="P62" i="15"/>
  <c r="P46" i="15"/>
  <c r="P30" i="15"/>
  <c r="P9" i="15"/>
  <c r="P17" i="15"/>
  <c r="P25" i="15"/>
  <c r="P33" i="15"/>
  <c r="P41" i="15"/>
  <c r="P49" i="15"/>
  <c r="P57" i="15"/>
  <c r="P65" i="15"/>
  <c r="P73" i="15"/>
  <c r="P81" i="15"/>
  <c r="P89" i="15"/>
  <c r="P97" i="15"/>
  <c r="P105" i="15"/>
  <c r="P113" i="15"/>
  <c r="P121" i="15"/>
  <c r="P129" i="15"/>
  <c r="P137" i="15"/>
  <c r="P145" i="15"/>
  <c r="P153" i="15"/>
  <c r="P161" i="15"/>
  <c r="P169" i="15"/>
  <c r="P10" i="15"/>
  <c r="P18" i="15"/>
  <c r="P26" i="15"/>
  <c r="P34" i="15"/>
  <c r="P42" i="15"/>
  <c r="P50" i="15"/>
  <c r="P58" i="15"/>
  <c r="P66" i="15"/>
  <c r="P74" i="15"/>
  <c r="P82" i="15"/>
  <c r="P90" i="15"/>
  <c r="P98" i="15"/>
  <c r="P106" i="15"/>
  <c r="P114" i="15"/>
  <c r="P122" i="15"/>
  <c r="P130" i="15"/>
  <c r="P138" i="15"/>
  <c r="P146" i="15"/>
  <c r="P154" i="15"/>
  <c r="P162" i="15"/>
  <c r="P170" i="15"/>
  <c r="P11" i="15"/>
  <c r="P19" i="15"/>
  <c r="P27" i="15"/>
  <c r="P35" i="15"/>
  <c r="P43" i="15"/>
  <c r="P51" i="15"/>
  <c r="P59" i="15"/>
  <c r="P67" i="15"/>
  <c r="P75" i="15"/>
  <c r="P83" i="15"/>
  <c r="P91" i="15"/>
  <c r="P99" i="15"/>
  <c r="P107" i="15"/>
  <c r="P115" i="15"/>
  <c r="P123" i="15"/>
  <c r="P131" i="15"/>
  <c r="P139" i="15"/>
  <c r="P147" i="15"/>
  <c r="P155" i="15"/>
  <c r="P163" i="15"/>
  <c r="P171" i="15"/>
  <c r="P4" i="15"/>
  <c r="P157" i="15"/>
  <c r="P141" i="15"/>
  <c r="P125" i="15"/>
  <c r="P109" i="15"/>
  <c r="P93" i="15"/>
  <c r="P77" i="15"/>
  <c r="P61" i="15"/>
  <c r="P45" i="15"/>
  <c r="P29" i="15"/>
  <c r="P13" i="15"/>
  <c r="P168" i="15"/>
  <c r="P160" i="15"/>
  <c r="P152" i="15"/>
  <c r="P144" i="15"/>
  <c r="P136" i="15"/>
  <c r="P128" i="15"/>
  <c r="P120" i="15"/>
  <c r="P112" i="15"/>
  <c r="P104" i="15"/>
  <c r="P96" i="15"/>
  <c r="P88" i="15"/>
  <c r="P80" i="15"/>
  <c r="P72" i="15"/>
  <c r="P64" i="15"/>
  <c r="P56" i="15"/>
  <c r="P48" i="15"/>
  <c r="P40" i="15"/>
  <c r="P32" i="15"/>
  <c r="P24" i="15"/>
  <c r="P16" i="15"/>
  <c r="I81" i="23"/>
  <c r="I97" i="23"/>
  <c r="I82" i="23"/>
  <c r="I55" i="23"/>
  <c r="I7" i="23"/>
  <c r="I136" i="23"/>
  <c r="I89" i="23"/>
  <c r="I42" i="23"/>
  <c r="I170" i="23"/>
  <c r="I127" i="23"/>
  <c r="I96" i="23"/>
  <c r="I142" i="23"/>
  <c r="I78" i="23"/>
  <c r="I14" i="23"/>
  <c r="I117" i="23"/>
  <c r="I53" i="23"/>
  <c r="I164" i="23"/>
  <c r="I100" i="23"/>
  <c r="I36" i="23"/>
  <c r="I147" i="23"/>
  <c r="I83" i="23"/>
  <c r="I19" i="23"/>
  <c r="I98" i="23"/>
  <c r="I71" i="23"/>
  <c r="I24" i="23"/>
  <c r="I152" i="23"/>
  <c r="I105" i="23"/>
  <c r="I58" i="23"/>
  <c r="I15" i="23"/>
  <c r="I143" i="23"/>
  <c r="I112" i="23"/>
  <c r="I134" i="23"/>
  <c r="I70" i="23"/>
  <c r="I6" i="23"/>
  <c r="I109" i="23"/>
  <c r="I45" i="23"/>
  <c r="I156" i="23"/>
  <c r="I92" i="23"/>
  <c r="I28" i="23"/>
  <c r="I139" i="23"/>
  <c r="I75" i="23"/>
  <c r="I11" i="23"/>
  <c r="I114" i="23"/>
  <c r="I87" i="23"/>
  <c r="I40" i="23"/>
  <c r="I168" i="23"/>
  <c r="I121" i="23"/>
  <c r="I74" i="23"/>
  <c r="I31" i="23"/>
  <c r="I159" i="23"/>
  <c r="I128" i="23"/>
  <c r="I126" i="23"/>
  <c r="I62" i="23"/>
  <c r="I165" i="23"/>
  <c r="I101" i="23"/>
  <c r="I37" i="23"/>
  <c r="I148" i="23"/>
  <c r="I84" i="23"/>
  <c r="I20" i="23"/>
  <c r="I131" i="23"/>
  <c r="I67" i="23"/>
  <c r="I10" i="23"/>
  <c r="I145" i="23"/>
  <c r="I130" i="23"/>
  <c r="I103" i="23"/>
  <c r="I56" i="23"/>
  <c r="I8" i="23"/>
  <c r="I137" i="23"/>
  <c r="I90" i="23"/>
  <c r="I47" i="23"/>
  <c r="I16" i="23"/>
  <c r="I144" i="23"/>
  <c r="I118" i="23"/>
  <c r="I54" i="23"/>
  <c r="I157" i="23"/>
  <c r="I93" i="23"/>
  <c r="I29" i="23"/>
  <c r="I140" i="23"/>
  <c r="I76" i="23"/>
  <c r="I12" i="23"/>
  <c r="I123" i="23"/>
  <c r="I59" i="23"/>
  <c r="I17" i="23"/>
  <c r="I161" i="23"/>
  <c r="I18" i="23"/>
  <c r="I146" i="23"/>
  <c r="I119" i="23"/>
  <c r="I72" i="23"/>
  <c r="I25" i="23"/>
  <c r="I153" i="23"/>
  <c r="I106" i="23"/>
  <c r="I63" i="23"/>
  <c r="I32" i="23"/>
  <c r="I160" i="23"/>
  <c r="I110" i="23"/>
  <c r="I46" i="23"/>
  <c r="I149" i="23"/>
  <c r="I85" i="23"/>
  <c r="I21" i="23"/>
  <c r="I132" i="23"/>
  <c r="I68" i="23"/>
  <c r="I4" i="23"/>
  <c r="I115" i="23"/>
  <c r="I51" i="23"/>
  <c r="I129" i="23"/>
  <c r="I34" i="23"/>
  <c r="I162" i="23"/>
  <c r="I135" i="23"/>
  <c r="I88" i="23"/>
  <c r="I41" i="23"/>
  <c r="I169" i="23"/>
  <c r="I122" i="23"/>
  <c r="I79" i="23"/>
  <c r="I48" i="23"/>
  <c r="I166" i="23"/>
  <c r="I102" i="23"/>
  <c r="I38" i="23"/>
  <c r="I141" i="23"/>
  <c r="I77" i="23"/>
  <c r="I13" i="23"/>
  <c r="I124" i="23"/>
  <c r="I60" i="23"/>
  <c r="I171" i="23"/>
  <c r="I107" i="23"/>
  <c r="I43" i="23"/>
  <c r="I113" i="23"/>
  <c r="I50" i="23"/>
  <c r="I23" i="23"/>
  <c r="I151" i="23"/>
  <c r="I104" i="23"/>
  <c r="I57" i="23"/>
  <c r="I9" i="23"/>
  <c r="I138" i="23"/>
  <c r="I95" i="23"/>
  <c r="I64" i="23"/>
  <c r="I158" i="23"/>
  <c r="I94" i="23"/>
  <c r="I30" i="23"/>
  <c r="I133" i="23"/>
  <c r="I69" i="23"/>
  <c r="I5" i="23"/>
  <c r="I116" i="23"/>
  <c r="I52" i="23"/>
  <c r="I163" i="23"/>
  <c r="I99" i="23"/>
  <c r="I35" i="23"/>
  <c r="I33" i="23"/>
  <c r="I66" i="23"/>
  <c r="I39" i="23"/>
  <c r="I167" i="23"/>
  <c r="I120" i="23"/>
  <c r="I73" i="23"/>
  <c r="I26" i="23"/>
  <c r="I154" i="23"/>
  <c r="I111" i="23"/>
  <c r="I80" i="23"/>
  <c r="I150" i="23"/>
  <c r="I86" i="23"/>
  <c r="I22" i="23"/>
  <c r="I125" i="23"/>
  <c r="I61" i="23"/>
  <c r="I3" i="23"/>
  <c r="I108" i="23"/>
  <c r="I44" i="23"/>
  <c r="I155" i="23"/>
  <c r="I91" i="23"/>
  <c r="I27" i="23"/>
  <c r="I49" i="23"/>
  <c r="BA4" i="1" l="1"/>
  <c r="BA12" i="1"/>
  <c r="BA20" i="1"/>
  <c r="BA28" i="1"/>
  <c r="BA36" i="1"/>
  <c r="BA44" i="1"/>
  <c r="BA52" i="1"/>
  <c r="BA60" i="1"/>
  <c r="BA68" i="1"/>
  <c r="BA76" i="1"/>
  <c r="BA84" i="1"/>
  <c r="BA92" i="1"/>
  <c r="BA100" i="1"/>
  <c r="BA108" i="1"/>
  <c r="BA116" i="1"/>
  <c r="BA124" i="1"/>
  <c r="BA132" i="1"/>
  <c r="BA140" i="1"/>
  <c r="BA148" i="1"/>
  <c r="BA156" i="1"/>
  <c r="BA164" i="1"/>
  <c r="BA5" i="1"/>
  <c r="BA13" i="1"/>
  <c r="BA21" i="1"/>
  <c r="BA29" i="1"/>
  <c r="BA37" i="1"/>
  <c r="BA45" i="1"/>
  <c r="BA53" i="1"/>
  <c r="BA61" i="1"/>
  <c r="BA69" i="1"/>
  <c r="BA77" i="1"/>
  <c r="BA85" i="1"/>
  <c r="BA93" i="1"/>
  <c r="BA101" i="1"/>
  <c r="BA109" i="1"/>
  <c r="BA117" i="1"/>
  <c r="BA125" i="1"/>
  <c r="BA133" i="1"/>
  <c r="BA141" i="1"/>
  <c r="BA149" i="1"/>
  <c r="BA157" i="1"/>
  <c r="BA165" i="1"/>
  <c r="BA3" i="1"/>
  <c r="BA15" i="1"/>
  <c r="BA25" i="1"/>
  <c r="BA35" i="1"/>
  <c r="BA47" i="1"/>
  <c r="BA57" i="1"/>
  <c r="BA67" i="1"/>
  <c r="BA79" i="1"/>
  <c r="BA89" i="1"/>
  <c r="BA99" i="1"/>
  <c r="BA111" i="1"/>
  <c r="BA121" i="1"/>
  <c r="BA131" i="1"/>
  <c r="BA143" i="1"/>
  <c r="BA153" i="1"/>
  <c r="BA163" i="1"/>
  <c r="BA6" i="1"/>
  <c r="BA16" i="1"/>
  <c r="BA26" i="1"/>
  <c r="BA38" i="1"/>
  <c r="BA48" i="1"/>
  <c r="BA58" i="1"/>
  <c r="BA70" i="1"/>
  <c r="BA80" i="1"/>
  <c r="BA90" i="1"/>
  <c r="BA102" i="1"/>
  <c r="BA112" i="1"/>
  <c r="BA122" i="1"/>
  <c r="BA134" i="1"/>
  <c r="BA144" i="1"/>
  <c r="BA154" i="1"/>
  <c r="BA166" i="1"/>
  <c r="BA8" i="1"/>
  <c r="BA22" i="1"/>
  <c r="BA34" i="1"/>
  <c r="BA50" i="1"/>
  <c r="BA64" i="1"/>
  <c r="BA78" i="1"/>
  <c r="BA94" i="1"/>
  <c r="BA106" i="1"/>
  <c r="BA120" i="1"/>
  <c r="BA136" i="1"/>
  <c r="BA150" i="1"/>
  <c r="BA162" i="1"/>
  <c r="BA9" i="1"/>
  <c r="BA23" i="1"/>
  <c r="BA39" i="1"/>
  <c r="BA51" i="1"/>
  <c r="BA65" i="1"/>
  <c r="BA81" i="1"/>
  <c r="BA95" i="1"/>
  <c r="BA107" i="1"/>
  <c r="BA123" i="1"/>
  <c r="BA137" i="1"/>
  <c r="BA151" i="1"/>
  <c r="BA167" i="1"/>
  <c r="BA10" i="1"/>
  <c r="BA24" i="1"/>
  <c r="BA40" i="1"/>
  <c r="BA54" i="1"/>
  <c r="BA66" i="1"/>
  <c r="BA82" i="1"/>
  <c r="BA96" i="1"/>
  <c r="BA110" i="1"/>
  <c r="BA126" i="1"/>
  <c r="BA138" i="1"/>
  <c r="BA152" i="1"/>
  <c r="BA168" i="1"/>
  <c r="BA7" i="1"/>
  <c r="BA31" i="1"/>
  <c r="BA55" i="1"/>
  <c r="BA74" i="1"/>
  <c r="BA98" i="1"/>
  <c r="BA119" i="1"/>
  <c r="BA145" i="1"/>
  <c r="BA169" i="1"/>
  <c r="BA11" i="1"/>
  <c r="BA32" i="1"/>
  <c r="BA56" i="1"/>
  <c r="BA75" i="1"/>
  <c r="BA103" i="1"/>
  <c r="BA127" i="1"/>
  <c r="BA146" i="1"/>
  <c r="BA170" i="1"/>
  <c r="BA14" i="1"/>
  <c r="BA33" i="1"/>
  <c r="BA59" i="1"/>
  <c r="BA83" i="1"/>
  <c r="BA104" i="1"/>
  <c r="BA128" i="1"/>
  <c r="BA147" i="1"/>
  <c r="BA2" i="1"/>
  <c r="BA17" i="1"/>
  <c r="BA41" i="1"/>
  <c r="BA62" i="1"/>
  <c r="BA86" i="1"/>
  <c r="BA105" i="1"/>
  <c r="BA129" i="1"/>
  <c r="BA155" i="1"/>
  <c r="BA49" i="1"/>
  <c r="BA97" i="1"/>
  <c r="BA142" i="1"/>
  <c r="BA18" i="1"/>
  <c r="BA63" i="1"/>
  <c r="BA113" i="1"/>
  <c r="BA158" i="1"/>
  <c r="BA19" i="1"/>
  <c r="BA71" i="1"/>
  <c r="BA114" i="1"/>
  <c r="BA159" i="1"/>
  <c r="BA27" i="1"/>
  <c r="BA72" i="1"/>
  <c r="BA115" i="1"/>
  <c r="BA160" i="1"/>
  <c r="BA43" i="1"/>
  <c r="BA135" i="1"/>
  <c r="BA46" i="1"/>
  <c r="BA139" i="1"/>
  <c r="BA73" i="1"/>
  <c r="BA161" i="1"/>
  <c r="BA87" i="1"/>
  <c r="BA88" i="1"/>
  <c r="BA30" i="1"/>
  <c r="BA130" i="1"/>
  <c r="BA42" i="1"/>
  <c r="BA91" i="1"/>
  <c r="BA1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tc={CAC40A60-CCAE-4C64-9AD1-E8E0D8823D7D}</author>
    <author>tc={F328E004-DEA1-4017-9FFE-7017CE568B0C}</author>
    <author>tc={9D75218F-4A58-4A66-A87E-A8878E14103F}</author>
    <author>tc={177491DC-EF9C-4273-949B-D2EBA1C71D92}</author>
  </authors>
  <commentList>
    <comment ref="K1" authorId="0" shapeId="0" xr:uid="{CAC40A60-CCAE-4C64-9AD1-E8E0D8823D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Total de ventas RT de clientes mype IBK (Filtro univ accionable y filtro de ventas)</t>
      </text>
    </comment>
    <comment ref="X1" authorId="1" shapeId="0" xr:uid="{F328E004-DEA1-4017-9FFE-7017CE568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Negocios - mtos transaccionales - Mercado accionable</t>
      </text>
    </comment>
    <comment ref="AJ1" authorId="2" shapeId="0" xr:uid="{9D75218F-4A58-4A66-A87E-A8878E1410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Total de ventas RT de clientes mype IBK (Filtro univ accionable y filtro de ventas)</t>
      </text>
    </comment>
    <comment ref="AW1" authorId="3" shapeId="0" xr:uid="{177491DC-EF9C-4273-949B-D2EBA1C71D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Negocios - mtos transaccionales - Mercado accionable</t>
      </text>
    </comment>
  </commentList>
</comments>
</file>

<file path=xl/sharedStrings.xml><?xml version="1.0" encoding="utf-8"?>
<sst xmlns="http://schemas.openxmlformats.org/spreadsheetml/2006/main" count="18789" uniqueCount="4291">
  <si>
    <t>CLASIFICACIÓN DE CRÉDITOS</t>
  </si>
  <si>
    <t>La Resolución SBS N° 2368-2023, que modifica el "Reglamento para la Evaluación y Clasificación del Deudor y la Exigencia de Provisiones" (Resolución SBS N° 11356-2008), establece nuevos criterios para la tipificación de créditos los cuales entraron en vigor en octubre de 2024, estableciéndose las siguientes definiciones:</t>
  </si>
  <si>
    <t>Corporativos</t>
  </si>
  <si>
    <r>
      <rPr>
        <i/>
        <sz val="11"/>
        <rFont val="Arial Narrow"/>
        <family val="2"/>
      </rPr>
      <t>Créditos corporativos del sector real</t>
    </r>
    <r>
      <rPr>
        <sz val="11"/>
        <rFont val="Arial Narrow"/>
        <family val="2"/>
      </rPr>
      <t>: Créditos otorgados a personas o entes jurídicos con ventas o ingresos anuales mayores a S/ 200 millones en los dos últimos periodos, declarados a la Autoridad Tributaria o de acuerdo a los estados financieros anuales auditados más recientes. 
Adicionalmente, se consideran como créditos corporativos a los créditos soberanos, créditos concedidos a bancos multilaterales de desarrollo, a entidades del sector público, a intermediarios de valores, a empresas del sistema financiero, a empresas del sistema de seguros, a los patrimonios autónomos de seguro de crédito, a fondos de garantía constituidos conforme a Ley y a otros fondos de garantía</t>
    </r>
  </si>
  <si>
    <t>Créditos a Grandes empresas</t>
  </si>
  <si>
    <t>Créditos otorgados a personas o entes jurídicos con ventas o ingresos anuales mayores a S/ 20 millones en los dos últimos períodos, declarados a la Autoridad Tributaria.</t>
  </si>
  <si>
    <t>Créditos a Medianas empresas</t>
  </si>
  <si>
    <t>Créditos otorgados a personas o entes jurídicos que no cumplen con las condiciones para ser tipificados como corporativos o grandes empresas y que hayan registrado ventas o ingresos anuales de actividades ordinarias en el último período declarado a la Autoridad Tributaria mayores a S/ 5 millones y no cumplen con las características para ser clasificados como corporativos o grandes empresas.</t>
  </si>
  <si>
    <t>Créditos a Pequeñas empresas</t>
  </si>
  <si>
    <t>Créditos destinados a financiar actividades de producción, comercialización, prestación de servicios u otras actividades empresariales, otorgados a personas jurídicas o personas naturales que hayan registrado un nivel de ventas o ingresos anuales de actividades ordinarias en el último período no mayor a S/ 5 millones y siempre que su nivel de endeudamiento total en el sistema financiero sea mayor a S/ 20 mil en al menos uno de los últimos 6 meses, o siempre que el nuevo crédito desembolsado sea mayor a dicho monto. En el caso de persona natural, el nivel de endeudamiento total en el sistema financiero antes mencionado no incluye los créditos hipotecarios para vivienda.</t>
  </si>
  <si>
    <t>Créditos a Microempresas</t>
  </si>
  <si>
    <t>Créditos destinados a financiar actividades de producción, comercialización, prestación de servicios u otras actividades empresariales, otorgados a personas jurídicas o personas naturales que hayan registrado un nivel de ventas o ingresos anuales en el último período no mayor a S/ 5 millones, y siempre que su nivel de endeudamiento total en el sistema financiero sea no mayor a S/ 20 mil en los últimos 6 meses, y que el nuevo crédito desembolsado sea no mayor a S/ 20 mil. En el caso de persona natural, el nivel de endeudamiento total en el sistema financiero antes mencionado no incluye los créditos hipotecarios para vivienda.</t>
  </si>
  <si>
    <t>Créditos de Consumo</t>
  </si>
  <si>
    <t>Créditos otorgados a personas naturales, con la finalidad de atender el pago de bienes, servicios o gastos no relacionados con actividades de producción, comercialización, prestación de servicios u otras actividades empresariales.</t>
  </si>
  <si>
    <t>Créditos Hipotecarios para vivienda</t>
  </si>
  <si>
    <t>Créditos otorgados a personas naturales para la adquisición, construcción, refacción, remodelación, ampliación, mejoramiento y subdivisión de vivienda propia, siempre que tales créditos se otorguen amparados con hipotecas debidamente inscritas; sea que estos créditos se otorguen por el sistema convencional de préstamo hipotecario, de letras hipotecarias o por cualquier otro sistema de similares características.</t>
  </si>
  <si>
    <t>Departamento</t>
  </si>
  <si>
    <t>Provincia</t>
  </si>
  <si>
    <t>Distrito</t>
  </si>
  <si>
    <t>Ubigeo</t>
  </si>
  <si>
    <t>Poblacion</t>
  </si>
  <si>
    <t>Nro_mypes</t>
  </si>
  <si>
    <t>ventas_mypes_totales</t>
  </si>
  <si>
    <t>ventas_mypes_promedio</t>
  </si>
  <si>
    <t>Corp_Banca_Multiple</t>
  </si>
  <si>
    <t>Corp_Empresas_Financieras</t>
  </si>
  <si>
    <t>Corp_Cajas_Municipales</t>
  </si>
  <si>
    <t>Corp_Cajas_Rurales_Ah_y_Cred</t>
  </si>
  <si>
    <t>Corp_Empresas_Creditos</t>
  </si>
  <si>
    <t>Corp_Total</t>
  </si>
  <si>
    <t>GE_Banca_Multiple</t>
  </si>
  <si>
    <t>GE_Empresas_Financieras</t>
  </si>
  <si>
    <t>GE_Cajas_Municipales</t>
  </si>
  <si>
    <t>GE_Cajas_Rurales_Ah_y_Cred</t>
  </si>
  <si>
    <t>GE_Empresas_Creditos</t>
  </si>
  <si>
    <t>GE_Total</t>
  </si>
  <si>
    <t>ME_Banca_Multiple</t>
  </si>
  <si>
    <t>ME_Empresas_Financieras</t>
  </si>
  <si>
    <t>ME_Cajas_Municipales</t>
  </si>
  <si>
    <t>ME_Cajas_Rurales_Ah_y_Cred</t>
  </si>
  <si>
    <t>ME_Empresas_Creditos</t>
  </si>
  <si>
    <t>ME_Total</t>
  </si>
  <si>
    <t>PE_Banca_Multiple</t>
  </si>
  <si>
    <t>PE_Empresas_Financieras</t>
  </si>
  <si>
    <t>PE_Cajas_Municipales</t>
  </si>
  <si>
    <t>PE_Cajas_Rurales_Ah_y_Cred</t>
  </si>
  <si>
    <t>PE_Empresas_Creditos</t>
  </si>
  <si>
    <t>PE_Total</t>
  </si>
  <si>
    <t>MI_Banca_Multiple</t>
  </si>
  <si>
    <t>MI_Empresas_Financieras</t>
  </si>
  <si>
    <t>MI_Cajas_Municipales</t>
  </si>
  <si>
    <t>MI_Cajas_Rurales_Ah_y_Cred</t>
  </si>
  <si>
    <t>MI_Empresas_Creditos</t>
  </si>
  <si>
    <t>MI_Total</t>
  </si>
  <si>
    <t>Con_Banca_Multiple</t>
  </si>
  <si>
    <t>Con_Empresas_Financieras</t>
  </si>
  <si>
    <t>Con_Cajas_Municipales</t>
  </si>
  <si>
    <t>Con_Cajas_Rurales_Ah_y_Cred</t>
  </si>
  <si>
    <t>Con_Empresas_Creditos</t>
  </si>
  <si>
    <t>Con_Total</t>
  </si>
  <si>
    <t>Hi_Banca_Multiple</t>
  </si>
  <si>
    <t>Hi_Empresas_Financieras</t>
  </si>
  <si>
    <t>Hi_Cajas_Municipales</t>
  </si>
  <si>
    <t>Hi_Cajas_Rurales_Ah_y_Cred</t>
  </si>
  <si>
    <t>Hi_Empresas_Creditos</t>
  </si>
  <si>
    <t>Hi_Total</t>
  </si>
  <si>
    <t>CD_Total</t>
  </si>
  <si>
    <t>Mas100milhab</t>
  </si>
  <si>
    <t>n_rt</t>
  </si>
  <si>
    <t>venta_mean_rt</t>
  </si>
  <si>
    <t>venta_sum_rt</t>
  </si>
  <si>
    <t>plin_mean_rt</t>
  </si>
  <si>
    <t>izipay_mean_rt</t>
  </si>
  <si>
    <t>n_univ</t>
  </si>
  <si>
    <t>plin_mean_univ</t>
  </si>
  <si>
    <t>izipay_mean_univ</t>
  </si>
  <si>
    <t>AMAZONAS</t>
  </si>
  <si>
    <t>CHACHAPOYAS</t>
  </si>
  <si>
    <t>010101</t>
  </si>
  <si>
    <t>ASUNCION</t>
  </si>
  <si>
    <t>010102</t>
  </si>
  <si>
    <t>.</t>
  </si>
  <si>
    <t>BALSAS</t>
  </si>
  <si>
    <t>010103</t>
  </si>
  <si>
    <t>CHETO</t>
  </si>
  <si>
    <t>010104</t>
  </si>
  <si>
    <t>CHILIQUIN</t>
  </si>
  <si>
    <t>010105</t>
  </si>
  <si>
    <t>CHUQUIBAMBA</t>
  </si>
  <si>
    <t>010106</t>
  </si>
  <si>
    <t>GRANADA</t>
  </si>
  <si>
    <t>010107</t>
  </si>
  <si>
    <t>HUANCAS</t>
  </si>
  <si>
    <t>010108</t>
  </si>
  <si>
    <t>LA JALCA</t>
  </si>
  <si>
    <t>010109</t>
  </si>
  <si>
    <t>LEIMEBAMBA</t>
  </si>
  <si>
    <t>010110</t>
  </si>
  <si>
    <t>LEVANTO</t>
  </si>
  <si>
    <t>010111</t>
  </si>
  <si>
    <t>MAGDALENA</t>
  </si>
  <si>
    <t>010112</t>
  </si>
  <si>
    <t>MARISCAL CASTILLA</t>
  </si>
  <si>
    <t>010113</t>
  </si>
  <si>
    <t>MOLINOPAMPA</t>
  </si>
  <si>
    <t>010114</t>
  </si>
  <si>
    <t>MONTEVIDEO</t>
  </si>
  <si>
    <t>010115</t>
  </si>
  <si>
    <t>OLLEROS</t>
  </si>
  <si>
    <t>010116</t>
  </si>
  <si>
    <t>QUINJALCA</t>
  </si>
  <si>
    <t>010117</t>
  </si>
  <si>
    <t>SAN FRANCISCO DE DAGUAS</t>
  </si>
  <si>
    <t>010118</t>
  </si>
  <si>
    <t>SAN ISIDRO DE MAINO</t>
  </si>
  <si>
    <t>010119</t>
  </si>
  <si>
    <t>SOLOCO</t>
  </si>
  <si>
    <t>010120</t>
  </si>
  <si>
    <t>SONCHE</t>
  </si>
  <si>
    <t>010121</t>
  </si>
  <si>
    <t>BAGUA</t>
  </si>
  <si>
    <t>010201</t>
  </si>
  <si>
    <t>ARAMANGO</t>
  </si>
  <si>
    <t>010202</t>
  </si>
  <si>
    <t>COPALLIN</t>
  </si>
  <si>
    <t>010203</t>
  </si>
  <si>
    <t>EL PARCO</t>
  </si>
  <si>
    <t>010204</t>
  </si>
  <si>
    <t>IMAZA</t>
  </si>
  <si>
    <t>010205</t>
  </si>
  <si>
    <t>LA PECA</t>
  </si>
  <si>
    <t>010206</t>
  </si>
  <si>
    <t>BONGARA</t>
  </si>
  <si>
    <t>JUMBILLA</t>
  </si>
  <si>
    <t>010301</t>
  </si>
  <si>
    <t>CHISQUILLA</t>
  </si>
  <si>
    <t>010302</t>
  </si>
  <si>
    <t>CHURUJA</t>
  </si>
  <si>
    <t>010303</t>
  </si>
  <si>
    <t>COROSHA</t>
  </si>
  <si>
    <t>010304</t>
  </si>
  <si>
    <t>CUISPES</t>
  </si>
  <si>
    <t>010305</t>
  </si>
  <si>
    <t>FLORIDA</t>
  </si>
  <si>
    <t>010306</t>
  </si>
  <si>
    <t>JAZAN</t>
  </si>
  <si>
    <t>010307</t>
  </si>
  <si>
    <t>RECTA</t>
  </si>
  <si>
    <t>010308</t>
  </si>
  <si>
    <t>SAN CARLOS</t>
  </si>
  <si>
    <t>010309</t>
  </si>
  <si>
    <t>SHIPASBAMBA</t>
  </si>
  <si>
    <t>010310</t>
  </si>
  <si>
    <t>VALERA</t>
  </si>
  <si>
    <t>010311</t>
  </si>
  <si>
    <t>YAMBRASBAMBA</t>
  </si>
  <si>
    <t>010312</t>
  </si>
  <si>
    <t>CONDORCANQUI</t>
  </si>
  <si>
    <t>NIEVA</t>
  </si>
  <si>
    <t>010401</t>
  </si>
  <si>
    <t>EL CENEPA</t>
  </si>
  <si>
    <t>010402</t>
  </si>
  <si>
    <t>RIO SANTIAGO</t>
  </si>
  <si>
    <t>010403</t>
  </si>
  <si>
    <t>LUYA</t>
  </si>
  <si>
    <t>LAMUD</t>
  </si>
  <si>
    <t>010501</t>
  </si>
  <si>
    <t>CAMPORREDONDO</t>
  </si>
  <si>
    <t>010502</t>
  </si>
  <si>
    <t>COCABAMBA</t>
  </si>
  <si>
    <t>010503</t>
  </si>
  <si>
    <t>COLCAMAR</t>
  </si>
  <si>
    <t>010504</t>
  </si>
  <si>
    <t>CONILA</t>
  </si>
  <si>
    <t>010505</t>
  </si>
  <si>
    <t>INGUILPATA</t>
  </si>
  <si>
    <t>010506</t>
  </si>
  <si>
    <t>LONGUITA</t>
  </si>
  <si>
    <t>010507</t>
  </si>
  <si>
    <t>LONYA CHICO</t>
  </si>
  <si>
    <t>010508</t>
  </si>
  <si>
    <t>010509</t>
  </si>
  <si>
    <t>LUYA VIEJO</t>
  </si>
  <si>
    <t>010510</t>
  </si>
  <si>
    <t>MARIA</t>
  </si>
  <si>
    <t>010511</t>
  </si>
  <si>
    <t>OCALLI</t>
  </si>
  <si>
    <t>010512</t>
  </si>
  <si>
    <t>OCUMAL</t>
  </si>
  <si>
    <t>010513</t>
  </si>
  <si>
    <t>PISUQUIA</t>
  </si>
  <si>
    <t>010514</t>
  </si>
  <si>
    <t>PROVIDENCIA</t>
  </si>
  <si>
    <t>010515</t>
  </si>
  <si>
    <t>SAN CRISTOBAL</t>
  </si>
  <si>
    <t>010516</t>
  </si>
  <si>
    <t>SAN FRANCISCO DEL YESO</t>
  </si>
  <si>
    <t>010517</t>
  </si>
  <si>
    <t>SAN JERONIMO</t>
  </si>
  <si>
    <t>010518</t>
  </si>
  <si>
    <t>SAN JUAN DE LOPECANCHA</t>
  </si>
  <si>
    <t>010519</t>
  </si>
  <si>
    <t>SANTA CATALINA</t>
  </si>
  <si>
    <t>010520</t>
  </si>
  <si>
    <t>SANTO TOMAS</t>
  </si>
  <si>
    <t>010521</t>
  </si>
  <si>
    <t>TINGO</t>
  </si>
  <si>
    <t>010522</t>
  </si>
  <si>
    <t>TRITA</t>
  </si>
  <si>
    <t>010523</t>
  </si>
  <si>
    <t>RODRIGUEZ DE MENDOZA</t>
  </si>
  <si>
    <t>SAN NICOLAS</t>
  </si>
  <si>
    <t>010601</t>
  </si>
  <si>
    <t>CHIRIMOTO</t>
  </si>
  <si>
    <t>010602</t>
  </si>
  <si>
    <t>COCHAMAL</t>
  </si>
  <si>
    <t>010603</t>
  </si>
  <si>
    <t>HUAMBO</t>
  </si>
  <si>
    <t>010604</t>
  </si>
  <si>
    <t>LIMABAMBA</t>
  </si>
  <si>
    <t>010605</t>
  </si>
  <si>
    <t>LONGAR</t>
  </si>
  <si>
    <t>010606</t>
  </si>
  <si>
    <t>MARISCAL BENAVIDES</t>
  </si>
  <si>
    <t>010607</t>
  </si>
  <si>
    <t>MILPUC</t>
  </si>
  <si>
    <t>010608</t>
  </si>
  <si>
    <t>OMIA</t>
  </si>
  <si>
    <t>010609</t>
  </si>
  <si>
    <t>SANTA ROSA</t>
  </si>
  <si>
    <t>010610</t>
  </si>
  <si>
    <t>TOTORA</t>
  </si>
  <si>
    <t>010611</t>
  </si>
  <si>
    <t>VISTA ALEGRE</t>
  </si>
  <si>
    <t>010612</t>
  </si>
  <si>
    <t>UTCUBAMBA</t>
  </si>
  <si>
    <t>BAGUA GRANDE</t>
  </si>
  <si>
    <t>010701</t>
  </si>
  <si>
    <t>CAJARURO</t>
  </si>
  <si>
    <t>010702</t>
  </si>
  <si>
    <t>CUMBA</t>
  </si>
  <si>
    <t>010703</t>
  </si>
  <si>
    <t>EL MILAGRO</t>
  </si>
  <si>
    <t>010704</t>
  </si>
  <si>
    <t>JAMALCA</t>
  </si>
  <si>
    <t>010705</t>
  </si>
  <si>
    <t>LONYA GRANDE</t>
  </si>
  <si>
    <t>010706</t>
  </si>
  <si>
    <t>YAMON</t>
  </si>
  <si>
    <t>010707</t>
  </si>
  <si>
    <t>ÁNCASH</t>
  </si>
  <si>
    <t>HUARAZ</t>
  </si>
  <si>
    <t>020101</t>
  </si>
  <si>
    <t>COCHABAMBA</t>
  </si>
  <si>
    <t>020102</t>
  </si>
  <si>
    <t>COLCABAMBA</t>
  </si>
  <si>
    <t>020103</t>
  </si>
  <si>
    <t>HUANCHAY</t>
  </si>
  <si>
    <t>020104</t>
  </si>
  <si>
    <t>INDEPENDENCIA</t>
  </si>
  <si>
    <t>020105</t>
  </si>
  <si>
    <t>JANGAS</t>
  </si>
  <si>
    <t>020106</t>
  </si>
  <si>
    <t>LA LIBERTAD</t>
  </si>
  <si>
    <t>020107</t>
  </si>
  <si>
    <t>020108</t>
  </si>
  <si>
    <t>PAMPAS GRANDE</t>
  </si>
  <si>
    <t>020109</t>
  </si>
  <si>
    <t>PARIACOTO</t>
  </si>
  <si>
    <t>020110</t>
  </si>
  <si>
    <t>PIRA</t>
  </si>
  <si>
    <t>020111</t>
  </si>
  <si>
    <t>TARICA</t>
  </si>
  <si>
    <t>020112</t>
  </si>
  <si>
    <t>AIJA</t>
  </si>
  <si>
    <t>020201</t>
  </si>
  <si>
    <t>CORIS</t>
  </si>
  <si>
    <t>020202</t>
  </si>
  <si>
    <t>HUACLLAN</t>
  </si>
  <si>
    <t>020203</t>
  </si>
  <si>
    <t>LA MERCED</t>
  </si>
  <si>
    <t>020204</t>
  </si>
  <si>
    <t>SUCCHA</t>
  </si>
  <si>
    <t>020205</t>
  </si>
  <si>
    <t>ANTONIO RAYMONDI</t>
  </si>
  <si>
    <t>LLAMELLIN</t>
  </si>
  <si>
    <t>020301</t>
  </si>
  <si>
    <t>ACZO</t>
  </si>
  <si>
    <t>020302</t>
  </si>
  <si>
    <t>CHACCHO</t>
  </si>
  <si>
    <t>020303</t>
  </si>
  <si>
    <t>CHINGAS</t>
  </si>
  <si>
    <t>020304</t>
  </si>
  <si>
    <t>MIRGAS</t>
  </si>
  <si>
    <t>020305</t>
  </si>
  <si>
    <t>SAN JUAN DE RONTOY</t>
  </si>
  <si>
    <t>020306</t>
  </si>
  <si>
    <t>ASUNCIÓN</t>
  </si>
  <si>
    <t>CHACAS</t>
  </si>
  <si>
    <t>020401</t>
  </si>
  <si>
    <t>ACOCHACA</t>
  </si>
  <si>
    <t>020402</t>
  </si>
  <si>
    <t>BOLOGNESI</t>
  </si>
  <si>
    <t>CHIQUIAN</t>
  </si>
  <si>
    <t>020501</t>
  </si>
  <si>
    <t>ABELARDO PARDO LEZAMETA</t>
  </si>
  <si>
    <t>020502</t>
  </si>
  <si>
    <t>020503</t>
  </si>
  <si>
    <t>AQUIA</t>
  </si>
  <si>
    <t>020504</t>
  </si>
  <si>
    <t>CAJACAY</t>
  </si>
  <si>
    <t>020505</t>
  </si>
  <si>
    <t>CANIS</t>
  </si>
  <si>
    <t>020506</t>
  </si>
  <si>
    <t>COLQUIOC</t>
  </si>
  <si>
    <t>020507</t>
  </si>
  <si>
    <t>HUALLANCA</t>
  </si>
  <si>
    <t>020508</t>
  </si>
  <si>
    <t>HUASTA</t>
  </si>
  <si>
    <t>020509</t>
  </si>
  <si>
    <t>HUAYLLACAYAN</t>
  </si>
  <si>
    <t>020510</t>
  </si>
  <si>
    <t>LA PRIMAVERA</t>
  </si>
  <si>
    <t>020511</t>
  </si>
  <si>
    <t>MANGAS</t>
  </si>
  <si>
    <t>020512</t>
  </si>
  <si>
    <t>PACLLON</t>
  </si>
  <si>
    <t>020513</t>
  </si>
  <si>
    <t>SAN MIGUEL DE CORPANQUI</t>
  </si>
  <si>
    <t>020514</t>
  </si>
  <si>
    <t>TICLLOS</t>
  </si>
  <si>
    <t>020515</t>
  </si>
  <si>
    <t>CARHUAZ</t>
  </si>
  <si>
    <t>020601</t>
  </si>
  <si>
    <t>ACOPAMPA</t>
  </si>
  <si>
    <t>020602</t>
  </si>
  <si>
    <t>AMASHCA</t>
  </si>
  <si>
    <t>020603</t>
  </si>
  <si>
    <t>ANTA</t>
  </si>
  <si>
    <t>020604</t>
  </si>
  <si>
    <t>ATAQUERO</t>
  </si>
  <si>
    <t>020605</t>
  </si>
  <si>
    <t>MARCARA</t>
  </si>
  <si>
    <t>020606</t>
  </si>
  <si>
    <t>PARIAHUANCA</t>
  </si>
  <si>
    <t>020607</t>
  </si>
  <si>
    <t>SAN MIGUEL DE ACO</t>
  </si>
  <si>
    <t>020608</t>
  </si>
  <si>
    <t>SHILLA</t>
  </si>
  <si>
    <t>020609</t>
  </si>
  <si>
    <t>TINCO</t>
  </si>
  <si>
    <t>020610</t>
  </si>
  <si>
    <t>YUNGAR</t>
  </si>
  <si>
    <t>020611</t>
  </si>
  <si>
    <t>CARLOS F. FITZCARRALD</t>
  </si>
  <si>
    <t>SAN LUIS</t>
  </si>
  <si>
    <t>020701</t>
  </si>
  <si>
    <t>020702</t>
  </si>
  <si>
    <t>YAUYA</t>
  </si>
  <si>
    <t>020703</t>
  </si>
  <si>
    <t>CASMA</t>
  </si>
  <si>
    <t>020801</t>
  </si>
  <si>
    <t>BUENA VISTA ALTA</t>
  </si>
  <si>
    <t>020802</t>
  </si>
  <si>
    <t>COMANDANTE NOEL</t>
  </si>
  <si>
    <t>020803</t>
  </si>
  <si>
    <t>YAUTAN</t>
  </si>
  <si>
    <t>020804</t>
  </si>
  <si>
    <t>CORONGO</t>
  </si>
  <si>
    <t>020901</t>
  </si>
  <si>
    <t>ACO</t>
  </si>
  <si>
    <t>020902</t>
  </si>
  <si>
    <t>BAMBAS</t>
  </si>
  <si>
    <t>020903</t>
  </si>
  <si>
    <t>CUSCA</t>
  </si>
  <si>
    <t>020904</t>
  </si>
  <si>
    <t>LA PAMPA</t>
  </si>
  <si>
    <t>020905</t>
  </si>
  <si>
    <t>YANAC</t>
  </si>
  <si>
    <t>020906</t>
  </si>
  <si>
    <t>YUPAN</t>
  </si>
  <si>
    <t>020907</t>
  </si>
  <si>
    <t>HUARI</t>
  </si>
  <si>
    <t>021001</t>
  </si>
  <si>
    <t>ANRA</t>
  </si>
  <si>
    <t>021002</t>
  </si>
  <si>
    <t>CAJAY</t>
  </si>
  <si>
    <t>021003</t>
  </si>
  <si>
    <t>CHAVIN DE HUANTAR</t>
  </si>
  <si>
    <t>021004</t>
  </si>
  <si>
    <t>HUACACHI</t>
  </si>
  <si>
    <t>021005</t>
  </si>
  <si>
    <t>HUACCHIS</t>
  </si>
  <si>
    <t>021006</t>
  </si>
  <si>
    <t>HUACHIS</t>
  </si>
  <si>
    <t>021007</t>
  </si>
  <si>
    <t>HUANTAR</t>
  </si>
  <si>
    <t>021008</t>
  </si>
  <si>
    <t>MASIN</t>
  </si>
  <si>
    <t>021009</t>
  </si>
  <si>
    <t>PAUCAS</t>
  </si>
  <si>
    <t>021010</t>
  </si>
  <si>
    <t>PONTO</t>
  </si>
  <si>
    <t>021011</t>
  </si>
  <si>
    <t>RAHUAPAMPA</t>
  </si>
  <si>
    <t>021012</t>
  </si>
  <si>
    <t>RAPAYAN</t>
  </si>
  <si>
    <t>021013</t>
  </si>
  <si>
    <t>SAN MARCOS</t>
  </si>
  <si>
    <t>021014</t>
  </si>
  <si>
    <t>SAN PEDRO DE CHANA</t>
  </si>
  <si>
    <t>021015</t>
  </si>
  <si>
    <t>UCO</t>
  </si>
  <si>
    <t>021016</t>
  </si>
  <si>
    <t>HUARMEY</t>
  </si>
  <si>
    <t>021101</t>
  </si>
  <si>
    <t>COCHAPETI</t>
  </si>
  <si>
    <t>021102</t>
  </si>
  <si>
    <t>CULEBRAS</t>
  </si>
  <si>
    <t>021103</t>
  </si>
  <si>
    <t>HUAYAN</t>
  </si>
  <si>
    <t>021104</t>
  </si>
  <si>
    <t>MALVAS</t>
  </si>
  <si>
    <t>021105</t>
  </si>
  <si>
    <t>HUAYLAS</t>
  </si>
  <si>
    <t>CARAZ</t>
  </si>
  <si>
    <t>021201</t>
  </si>
  <si>
    <t xml:space="preserve">HUALLANCA </t>
  </si>
  <si>
    <t>021202</t>
  </si>
  <si>
    <t>HUATA</t>
  </si>
  <si>
    <t>021203</t>
  </si>
  <si>
    <t>021204</t>
  </si>
  <si>
    <t>MATO</t>
  </si>
  <si>
    <t>021205</t>
  </si>
  <si>
    <t>PAMPAROMAS</t>
  </si>
  <si>
    <t>021206</t>
  </si>
  <si>
    <t>PUEBLO LIBRE</t>
  </si>
  <si>
    <t>021207</t>
  </si>
  <si>
    <t>SANTA CRUZ</t>
  </si>
  <si>
    <t>021208</t>
  </si>
  <si>
    <t>SANTO TORIBIO</t>
  </si>
  <si>
    <t>021209</t>
  </si>
  <si>
    <t>YURACMARCA</t>
  </si>
  <si>
    <t>021210</t>
  </si>
  <si>
    <t>MARISCAL LUZURIAGA</t>
  </si>
  <si>
    <t>PISCOBAMBA</t>
  </si>
  <si>
    <t>021301</t>
  </si>
  <si>
    <t>CASCA</t>
  </si>
  <si>
    <t>021302</t>
  </si>
  <si>
    <t>ELEAZAR GUZMAN BARRON</t>
  </si>
  <si>
    <t>021303</t>
  </si>
  <si>
    <t>FIDEL OLIVAS ESCUDERO</t>
  </si>
  <si>
    <t>021304</t>
  </si>
  <si>
    <t>LLAMA</t>
  </si>
  <si>
    <t>021305</t>
  </si>
  <si>
    <t>LLUMPA</t>
  </si>
  <si>
    <t>021306</t>
  </si>
  <si>
    <t>LUCMA</t>
  </si>
  <si>
    <t>021307</t>
  </si>
  <si>
    <t>MUSGA</t>
  </si>
  <si>
    <t>021308</t>
  </si>
  <si>
    <t>OCROS</t>
  </si>
  <si>
    <t>021401</t>
  </si>
  <si>
    <t>ACAS</t>
  </si>
  <si>
    <t>021402</t>
  </si>
  <si>
    <t>CAJAMARQUILLA</t>
  </si>
  <si>
    <t>021403</t>
  </si>
  <si>
    <t>CARHUAPAMPA</t>
  </si>
  <si>
    <t>021404</t>
  </si>
  <si>
    <t>COCHAS</t>
  </si>
  <si>
    <t>021405</t>
  </si>
  <si>
    <t>CONGAS</t>
  </si>
  <si>
    <t>021406</t>
  </si>
  <si>
    <t>LLIPA</t>
  </si>
  <si>
    <t>021407</t>
  </si>
  <si>
    <t>SAN CRISTOBAL DE RAJAN</t>
  </si>
  <si>
    <t>021408</t>
  </si>
  <si>
    <t>SAN PEDRO</t>
  </si>
  <si>
    <t>021409</t>
  </si>
  <si>
    <t>SANTIAGO DE CHILCAS</t>
  </si>
  <si>
    <t>021410</t>
  </si>
  <si>
    <t>PALLASCA</t>
  </si>
  <si>
    <t>CABANA</t>
  </si>
  <si>
    <t>021501</t>
  </si>
  <si>
    <t>021502</t>
  </si>
  <si>
    <t>CONCHUCOS</t>
  </si>
  <si>
    <t>021503</t>
  </si>
  <si>
    <t>HUACASCHUQUE</t>
  </si>
  <si>
    <t>021504</t>
  </si>
  <si>
    <t>HUANDOVAL</t>
  </si>
  <si>
    <t>021505</t>
  </si>
  <si>
    <t>LACABAMBA</t>
  </si>
  <si>
    <t>021506</t>
  </si>
  <si>
    <t>LLAPO</t>
  </si>
  <si>
    <t>021507</t>
  </si>
  <si>
    <t>021508</t>
  </si>
  <si>
    <t>PAMPAS</t>
  </si>
  <si>
    <t>021509</t>
  </si>
  <si>
    <t xml:space="preserve">SANTA ROSA </t>
  </si>
  <si>
    <t>021510</t>
  </si>
  <si>
    <t>TAUCA</t>
  </si>
  <si>
    <t>021511</t>
  </si>
  <si>
    <t>POMABAMBA</t>
  </si>
  <si>
    <t>021601</t>
  </si>
  <si>
    <t>HUAYLLAN</t>
  </si>
  <si>
    <t>021602</t>
  </si>
  <si>
    <t>PAROBAMBA</t>
  </si>
  <si>
    <t>021603</t>
  </si>
  <si>
    <t>QUINUABAMBA</t>
  </si>
  <si>
    <t>021604</t>
  </si>
  <si>
    <t>RECUAY</t>
  </si>
  <si>
    <t>021701</t>
  </si>
  <si>
    <t>CATAC</t>
  </si>
  <si>
    <t>021702</t>
  </si>
  <si>
    <t>COTAPARACO</t>
  </si>
  <si>
    <t>021703</t>
  </si>
  <si>
    <t>HUAYLLAPAMPA</t>
  </si>
  <si>
    <t>021704</t>
  </si>
  <si>
    <t>LLACLLIN</t>
  </si>
  <si>
    <t>021705</t>
  </si>
  <si>
    <t>MARCA</t>
  </si>
  <si>
    <t>021706</t>
  </si>
  <si>
    <t>PAMPAS CHICO</t>
  </si>
  <si>
    <t>021707</t>
  </si>
  <si>
    <t>PARARIN</t>
  </si>
  <si>
    <t>021708</t>
  </si>
  <si>
    <t>TAPACOCHA</t>
  </si>
  <si>
    <t>021709</t>
  </si>
  <si>
    <t>TICAPAMPA</t>
  </si>
  <si>
    <t>021710</t>
  </si>
  <si>
    <t>SANTA</t>
  </si>
  <si>
    <t>CHIMBOTE</t>
  </si>
  <si>
    <t>021801</t>
  </si>
  <si>
    <t>CACERES DEL PERU</t>
  </si>
  <si>
    <t>021802</t>
  </si>
  <si>
    <t>COISHCO</t>
  </si>
  <si>
    <t>021803</t>
  </si>
  <si>
    <t>MACATE</t>
  </si>
  <si>
    <t>021804</t>
  </si>
  <si>
    <t>MORO</t>
  </si>
  <si>
    <t>021805</t>
  </si>
  <si>
    <t>NEPEÑA</t>
  </si>
  <si>
    <t>021806</t>
  </si>
  <si>
    <t>SAMANCO</t>
  </si>
  <si>
    <t>021807</t>
  </si>
  <si>
    <t>021808</t>
  </si>
  <si>
    <t>NUEVO CHIMBOTE</t>
  </si>
  <si>
    <t>021809</t>
  </si>
  <si>
    <t>SIHUAS</t>
  </si>
  <si>
    <t>021901</t>
  </si>
  <si>
    <t>ACOBAMBA</t>
  </si>
  <si>
    <t>021902</t>
  </si>
  <si>
    <t>ALFONSO UGARTE</t>
  </si>
  <si>
    <t>021903</t>
  </si>
  <si>
    <t>CASHAPAMPA</t>
  </si>
  <si>
    <t>021904</t>
  </si>
  <si>
    <t>CHINGALPO</t>
  </si>
  <si>
    <t>021905</t>
  </si>
  <si>
    <t>HUAYLLABAMBA</t>
  </si>
  <si>
    <t>021906</t>
  </si>
  <si>
    <t>QUICHES</t>
  </si>
  <si>
    <t>021907</t>
  </si>
  <si>
    <t>RAGASH</t>
  </si>
  <si>
    <t>021908</t>
  </si>
  <si>
    <t>SAN JUAN</t>
  </si>
  <si>
    <t>021909</t>
  </si>
  <si>
    <t>SICSIBAMBA</t>
  </si>
  <si>
    <t>021910</t>
  </si>
  <si>
    <t>YUNGAY</t>
  </si>
  <si>
    <t>022001</t>
  </si>
  <si>
    <t>CASCAPARA</t>
  </si>
  <si>
    <t>022002</t>
  </si>
  <si>
    <t>MANCOS</t>
  </si>
  <si>
    <t>022003</t>
  </si>
  <si>
    <t>MATACOTO</t>
  </si>
  <si>
    <t>022004</t>
  </si>
  <si>
    <t>QUILLO</t>
  </si>
  <si>
    <t>022005</t>
  </si>
  <si>
    <t>RANRAHIRCA</t>
  </si>
  <si>
    <t>022006</t>
  </si>
  <si>
    <t>SHUPLUY</t>
  </si>
  <si>
    <t>022007</t>
  </si>
  <si>
    <t>YANAMA</t>
  </si>
  <si>
    <t>022008</t>
  </si>
  <si>
    <t>APURÍMAC</t>
  </si>
  <si>
    <t>ABANCAY</t>
  </si>
  <si>
    <t>030101</t>
  </si>
  <si>
    <t>CHACOCHE</t>
  </si>
  <si>
    <t>030102</t>
  </si>
  <si>
    <t>CIRCA</t>
  </si>
  <si>
    <t>030103</t>
  </si>
  <si>
    <t>CURAHUASI</t>
  </si>
  <si>
    <t>030104</t>
  </si>
  <si>
    <t>HUANIPACA</t>
  </si>
  <si>
    <t>030105</t>
  </si>
  <si>
    <t>LAMBRAMA</t>
  </si>
  <si>
    <t>030106</t>
  </si>
  <si>
    <t>PICHIRHUA</t>
  </si>
  <si>
    <t>030107</t>
  </si>
  <si>
    <t>SAN PEDRO DE CACHORA</t>
  </si>
  <si>
    <t>030108</t>
  </si>
  <si>
    <t>TAMBURCO</t>
  </si>
  <si>
    <t>030109</t>
  </si>
  <si>
    <t>ANDAHUAYLAS</t>
  </si>
  <si>
    <t xml:space="preserve">ANDAHUAYLAS  </t>
  </si>
  <si>
    <t>030201</t>
  </si>
  <si>
    <t>ANDARAPA</t>
  </si>
  <si>
    <t>030202</t>
  </si>
  <si>
    <t>CHIARA</t>
  </si>
  <si>
    <t>030203</t>
  </si>
  <si>
    <t>HUANCARAMA</t>
  </si>
  <si>
    <t>030204</t>
  </si>
  <si>
    <t>HUANCARAY</t>
  </si>
  <si>
    <t>030205</t>
  </si>
  <si>
    <t>HUAYANA</t>
  </si>
  <si>
    <t>030206</t>
  </si>
  <si>
    <t>KISHUARA</t>
  </si>
  <si>
    <t>030207</t>
  </si>
  <si>
    <t>PACOBAMBA</t>
  </si>
  <si>
    <t>030208</t>
  </si>
  <si>
    <t>PACUCHA</t>
  </si>
  <si>
    <t>030209</t>
  </si>
  <si>
    <t>PAMPACHIRI</t>
  </si>
  <si>
    <t>030210</t>
  </si>
  <si>
    <t>POMACOCHA</t>
  </si>
  <si>
    <t>030211</t>
  </si>
  <si>
    <t>SAN ANTONIO DE CACHI</t>
  </si>
  <si>
    <t>030212</t>
  </si>
  <si>
    <t xml:space="preserve">SAN JERONIMO </t>
  </si>
  <si>
    <t>030213</t>
  </si>
  <si>
    <t>SAN MIGUEL DE CHACCRAMPA</t>
  </si>
  <si>
    <t>030214</t>
  </si>
  <si>
    <t>SANTA MARIA DE CHICMO</t>
  </si>
  <si>
    <t>030215</t>
  </si>
  <si>
    <t>TALAVERA</t>
  </si>
  <si>
    <t>030216</t>
  </si>
  <si>
    <t>TUMAY HUARACA</t>
  </si>
  <si>
    <t>030217</t>
  </si>
  <si>
    <t>TURPO</t>
  </si>
  <si>
    <t>030218</t>
  </si>
  <si>
    <t>KAQUIABAMBA</t>
  </si>
  <si>
    <t>030219</t>
  </si>
  <si>
    <t xml:space="preserve">JOSÉ MARÍA ARGUEDAS  </t>
  </si>
  <si>
    <t>030220</t>
  </si>
  <si>
    <t>ANTABAMBA</t>
  </si>
  <si>
    <t>030301</t>
  </si>
  <si>
    <t>EL ORO</t>
  </si>
  <si>
    <t>030302</t>
  </si>
  <si>
    <t>HUAQUIRCA</t>
  </si>
  <si>
    <t>030303</t>
  </si>
  <si>
    <t>JUAN ESPINOZA MEDRANO</t>
  </si>
  <si>
    <t>030304</t>
  </si>
  <si>
    <t>OROPESA</t>
  </si>
  <si>
    <t>030305</t>
  </si>
  <si>
    <t>PACHACONAS</t>
  </si>
  <si>
    <t>030306</t>
  </si>
  <si>
    <t>SABAINO</t>
  </si>
  <si>
    <t>030307</t>
  </si>
  <si>
    <t>AYMARAES</t>
  </si>
  <si>
    <t>CHALHUANCA</t>
  </si>
  <si>
    <t>030401</t>
  </si>
  <si>
    <t>CAPAYA</t>
  </si>
  <si>
    <t>030402</t>
  </si>
  <si>
    <t>CARAYBAMBA</t>
  </si>
  <si>
    <t>030403</t>
  </si>
  <si>
    <t>CHAPIMARCA</t>
  </si>
  <si>
    <t>030404</t>
  </si>
  <si>
    <t>030405</t>
  </si>
  <si>
    <t>COTARUSE</t>
  </si>
  <si>
    <t>030406</t>
  </si>
  <si>
    <t>IHUAYLLO</t>
  </si>
  <si>
    <t>030407</t>
  </si>
  <si>
    <t>JUSTO APU SAHUARAURA</t>
  </si>
  <si>
    <t>030408</t>
  </si>
  <si>
    <t>LUCRE</t>
  </si>
  <si>
    <t>030409</t>
  </si>
  <si>
    <t>POCOHUANCA</t>
  </si>
  <si>
    <t>030410</t>
  </si>
  <si>
    <t>SAN JUAN DE CHACÑA</t>
  </si>
  <si>
    <t>030411</t>
  </si>
  <si>
    <t>SAÑAYCA</t>
  </si>
  <si>
    <t>030412</t>
  </si>
  <si>
    <t>SORAYA</t>
  </si>
  <si>
    <t>030413</t>
  </si>
  <si>
    <t>TAPAIRIHUA</t>
  </si>
  <si>
    <t>030414</t>
  </si>
  <si>
    <t>TINTAY</t>
  </si>
  <si>
    <t>030415</t>
  </si>
  <si>
    <t>TORAYA</t>
  </si>
  <si>
    <t>030416</t>
  </si>
  <si>
    <t>YANACA</t>
  </si>
  <si>
    <t>030417</t>
  </si>
  <si>
    <t>COTABAMBAS</t>
  </si>
  <si>
    <t>TAMBOBAMBA</t>
  </si>
  <si>
    <t>030501</t>
  </si>
  <si>
    <t>030502</t>
  </si>
  <si>
    <t>COYLLURQUI</t>
  </si>
  <si>
    <t>030503</t>
  </si>
  <si>
    <t>HAQUIRA</t>
  </si>
  <si>
    <t>030504</t>
  </si>
  <si>
    <t>MARA</t>
  </si>
  <si>
    <t>030505</t>
  </si>
  <si>
    <t>CHALLHUAHUACHO</t>
  </si>
  <si>
    <t>030506</t>
  </si>
  <si>
    <t>CHINCHEROS</t>
  </si>
  <si>
    <t>030601</t>
  </si>
  <si>
    <t>ANCO-HUALLO</t>
  </si>
  <si>
    <t>030602</t>
  </si>
  <si>
    <t>COCHARCAS</t>
  </si>
  <si>
    <t>030603</t>
  </si>
  <si>
    <t>HUACCANA</t>
  </si>
  <si>
    <t>030604</t>
  </si>
  <si>
    <t>OCOBAMBA</t>
  </si>
  <si>
    <t>030605</t>
  </si>
  <si>
    <t>ONGOY</t>
  </si>
  <si>
    <t>030606</t>
  </si>
  <si>
    <t>URANMARCA</t>
  </si>
  <si>
    <t>030607</t>
  </si>
  <si>
    <t>RANRACANCHA</t>
  </si>
  <si>
    <t>030608</t>
  </si>
  <si>
    <t>ROCCHACC</t>
  </si>
  <si>
    <t>030609</t>
  </si>
  <si>
    <t>EL PORVENIR</t>
  </si>
  <si>
    <t>030610</t>
  </si>
  <si>
    <t xml:space="preserve">LOS CHANKAS  </t>
  </si>
  <si>
    <t>030611</t>
  </si>
  <si>
    <t>AHUAYRO</t>
  </si>
  <si>
    <t>030612</t>
  </si>
  <si>
    <t>GRAU</t>
  </si>
  <si>
    <t>CHUQUIBAMBILLA</t>
  </si>
  <si>
    <t>030701</t>
  </si>
  <si>
    <t>CURPAHUASI</t>
  </si>
  <si>
    <t>030702</t>
  </si>
  <si>
    <t>GAMARRA</t>
  </si>
  <si>
    <t>030703</t>
  </si>
  <si>
    <t>HUAYLLATI</t>
  </si>
  <si>
    <t>030704</t>
  </si>
  <si>
    <t>MAMARA</t>
  </si>
  <si>
    <t>030705</t>
  </si>
  <si>
    <t>MICAELA BASTIDAS</t>
  </si>
  <si>
    <t>030706</t>
  </si>
  <si>
    <t>PATAYPAMPA</t>
  </si>
  <si>
    <t>030707</t>
  </si>
  <si>
    <t>PROGRESO</t>
  </si>
  <si>
    <t>030708</t>
  </si>
  <si>
    <t>SAN ANTONIO</t>
  </si>
  <si>
    <t>030709</t>
  </si>
  <si>
    <t xml:space="preserve">SANTA ROSA   </t>
  </si>
  <si>
    <t>030710</t>
  </si>
  <si>
    <t>TURPAY</t>
  </si>
  <si>
    <t>030711</t>
  </si>
  <si>
    <t>VILCABAMBA</t>
  </si>
  <si>
    <t>030712</t>
  </si>
  <si>
    <t>VIRUNDO</t>
  </si>
  <si>
    <t>030713</t>
  </si>
  <si>
    <t>CURASCO</t>
  </si>
  <si>
    <t>030714</t>
  </si>
  <si>
    <t>AREQUIPA</t>
  </si>
  <si>
    <t>040101</t>
  </si>
  <si>
    <t>ALTO SELVA ALEGRE</t>
  </si>
  <si>
    <t>040102</t>
  </si>
  <si>
    <t>CAYMA</t>
  </si>
  <si>
    <t>040103</t>
  </si>
  <si>
    <t>CERRO COLORADO</t>
  </si>
  <si>
    <t>040104</t>
  </si>
  <si>
    <t>CHARACATO</t>
  </si>
  <si>
    <t>040105</t>
  </si>
  <si>
    <t>CHIGUATA</t>
  </si>
  <si>
    <t>040106</t>
  </si>
  <si>
    <t>JACOBO HUNTER</t>
  </si>
  <si>
    <t>040107</t>
  </si>
  <si>
    <t>LA JOYA</t>
  </si>
  <si>
    <t>040108</t>
  </si>
  <si>
    <t>MARIANO MELGAR</t>
  </si>
  <si>
    <t>040109</t>
  </si>
  <si>
    <t>MIRAFLORES</t>
  </si>
  <si>
    <t>040110</t>
  </si>
  <si>
    <t>MOLLEBAYA</t>
  </si>
  <si>
    <t>040111</t>
  </si>
  <si>
    <t>PAUCARPATA</t>
  </si>
  <si>
    <t>040112</t>
  </si>
  <si>
    <t>POCSI</t>
  </si>
  <si>
    <t>040113</t>
  </si>
  <si>
    <t>POLOBAYA</t>
  </si>
  <si>
    <t>040114</t>
  </si>
  <si>
    <t>QUEQUEÑA</t>
  </si>
  <si>
    <t>040115</t>
  </si>
  <si>
    <t>SABANDIA</t>
  </si>
  <si>
    <t>040116</t>
  </si>
  <si>
    <t>SACHACA</t>
  </si>
  <si>
    <t>040117</t>
  </si>
  <si>
    <t>SAN JUAN DE SIGUAS</t>
  </si>
  <si>
    <t>040118</t>
  </si>
  <si>
    <t>SAN JUAN DE TARUCANI</t>
  </si>
  <si>
    <t>040119</t>
  </si>
  <si>
    <t>SANTA ISABEL DE SIGUAS</t>
  </si>
  <si>
    <t>040120</t>
  </si>
  <si>
    <t>SANTA RITA DE SIGUAS</t>
  </si>
  <si>
    <t>040121</t>
  </si>
  <si>
    <t>SOCABAYA</t>
  </si>
  <si>
    <t>040122</t>
  </si>
  <si>
    <t>TIABAYA</t>
  </si>
  <si>
    <t>040123</t>
  </si>
  <si>
    <t>UCHUMAYO</t>
  </si>
  <si>
    <t>040124</t>
  </si>
  <si>
    <t xml:space="preserve">VITOR  </t>
  </si>
  <si>
    <t>040125</t>
  </si>
  <si>
    <t>YANAHUARA</t>
  </si>
  <si>
    <t>040126</t>
  </si>
  <si>
    <t>YARABAMBA</t>
  </si>
  <si>
    <t>040127</t>
  </si>
  <si>
    <t>YURA</t>
  </si>
  <si>
    <t>040128</t>
  </si>
  <si>
    <t>JOSE LUIS BUSTAMANTE Y RIVERO</t>
  </si>
  <si>
    <t>040129</t>
  </si>
  <si>
    <t>CAMANA</t>
  </si>
  <si>
    <t>040201</t>
  </si>
  <si>
    <t>JOSE MARIA QUIMPER</t>
  </si>
  <si>
    <t>040202</t>
  </si>
  <si>
    <t>MARIANO NICOLAS VALCARCEL</t>
  </si>
  <si>
    <t>040203</t>
  </si>
  <si>
    <t>MARISCAL CACERES</t>
  </si>
  <si>
    <t>040204</t>
  </si>
  <si>
    <t>NICOLAS DE PIEROLA</t>
  </si>
  <si>
    <t>040205</t>
  </si>
  <si>
    <t>OCOÑA</t>
  </si>
  <si>
    <t>040206</t>
  </si>
  <si>
    <t>QUILCA</t>
  </si>
  <si>
    <t>040207</t>
  </si>
  <si>
    <t>SAMUEL PASTOR</t>
  </si>
  <si>
    <t>040208</t>
  </si>
  <si>
    <t>CARAVELI</t>
  </si>
  <si>
    <t>040301</t>
  </si>
  <si>
    <t>ACARI</t>
  </si>
  <si>
    <t>040302</t>
  </si>
  <si>
    <t>ATICO</t>
  </si>
  <si>
    <t>040303</t>
  </si>
  <si>
    <t>ATIQUIPA</t>
  </si>
  <si>
    <t>040304</t>
  </si>
  <si>
    <t>BELLA UNION</t>
  </si>
  <si>
    <t>040305</t>
  </si>
  <si>
    <t>CAHUACHO</t>
  </si>
  <si>
    <t>040306</t>
  </si>
  <si>
    <t>CHALA</t>
  </si>
  <si>
    <t>040307</t>
  </si>
  <si>
    <t>CHAPARRA</t>
  </si>
  <si>
    <t>040308</t>
  </si>
  <si>
    <t>HUANUHUANU</t>
  </si>
  <si>
    <t>040309</t>
  </si>
  <si>
    <t>JAQUI</t>
  </si>
  <si>
    <t>040310</t>
  </si>
  <si>
    <t>LOMAS</t>
  </si>
  <si>
    <t>040311</t>
  </si>
  <si>
    <t>QUICACHA</t>
  </si>
  <si>
    <t>040312</t>
  </si>
  <si>
    <t>YAUCA</t>
  </si>
  <si>
    <t>040313</t>
  </si>
  <si>
    <t>CASTILLA</t>
  </si>
  <si>
    <t>APLAO</t>
  </si>
  <si>
    <t>040401</t>
  </si>
  <si>
    <t>ANDAGUA</t>
  </si>
  <si>
    <t>040402</t>
  </si>
  <si>
    <t>AYO</t>
  </si>
  <si>
    <t>040403</t>
  </si>
  <si>
    <t>CHACHAS</t>
  </si>
  <si>
    <t>040404</t>
  </si>
  <si>
    <t>CHILCAYMARCA</t>
  </si>
  <si>
    <t>040405</t>
  </si>
  <si>
    <t>CHOCO</t>
  </si>
  <si>
    <t>040406</t>
  </si>
  <si>
    <t>HUANCARQUI</t>
  </si>
  <si>
    <t>040407</t>
  </si>
  <si>
    <t>MACHAGUAY</t>
  </si>
  <si>
    <t>040408</t>
  </si>
  <si>
    <t>ORCOPAMPA</t>
  </si>
  <si>
    <t>040409</t>
  </si>
  <si>
    <t>PAMPACOLCA</t>
  </si>
  <si>
    <t>040410</t>
  </si>
  <si>
    <t>TIPAN</t>
  </si>
  <si>
    <t>040411</t>
  </si>
  <si>
    <t>UÑON</t>
  </si>
  <si>
    <t>040412</t>
  </si>
  <si>
    <t>URACA</t>
  </si>
  <si>
    <t>040413</t>
  </si>
  <si>
    <t>VIRACO</t>
  </si>
  <si>
    <t>040414</t>
  </si>
  <si>
    <t>CAYLLOMA</t>
  </si>
  <si>
    <t>CHIVAY</t>
  </si>
  <si>
    <t>040501</t>
  </si>
  <si>
    <t>ACHOMA</t>
  </si>
  <si>
    <t>040502</t>
  </si>
  <si>
    <t>CABANACONDE</t>
  </si>
  <si>
    <t>040503</t>
  </si>
  <si>
    <t>CALLALLI</t>
  </si>
  <si>
    <t>040504</t>
  </si>
  <si>
    <t>040505</t>
  </si>
  <si>
    <t>COPORAQUE</t>
  </si>
  <si>
    <t>040506</t>
  </si>
  <si>
    <t>040507</t>
  </si>
  <si>
    <t>HUANCA</t>
  </si>
  <si>
    <t>040508</t>
  </si>
  <si>
    <t>ICHUPAMPA</t>
  </si>
  <si>
    <t>040509</t>
  </si>
  <si>
    <t>LARI</t>
  </si>
  <si>
    <t>040510</t>
  </si>
  <si>
    <t>LLUTA</t>
  </si>
  <si>
    <t>040511</t>
  </si>
  <si>
    <t>MACA</t>
  </si>
  <si>
    <t>040512</t>
  </si>
  <si>
    <t>MADRIGAL</t>
  </si>
  <si>
    <t>040513</t>
  </si>
  <si>
    <t xml:space="preserve">SAN ANTONIO DE CHUCA </t>
  </si>
  <si>
    <t>040514</t>
  </si>
  <si>
    <t>SIBAYO</t>
  </si>
  <si>
    <t>040515</t>
  </si>
  <si>
    <t>TAPAY</t>
  </si>
  <si>
    <t>040516</t>
  </si>
  <si>
    <t>TISCO</t>
  </si>
  <si>
    <t>040517</t>
  </si>
  <si>
    <t>TUTI</t>
  </si>
  <si>
    <t>040518</t>
  </si>
  <si>
    <t>YANQUE</t>
  </si>
  <si>
    <t>040519</t>
  </si>
  <si>
    <t>MAJES</t>
  </si>
  <si>
    <t>040520</t>
  </si>
  <si>
    <t>CONDESUYOS</t>
  </si>
  <si>
    <t>040601</t>
  </si>
  <si>
    <t>ANDARAY</t>
  </si>
  <si>
    <t>040602</t>
  </si>
  <si>
    <t>CAYARANI</t>
  </si>
  <si>
    <t>040603</t>
  </si>
  <si>
    <t>CHICHAS</t>
  </si>
  <si>
    <t>040604</t>
  </si>
  <si>
    <t>IRAY</t>
  </si>
  <si>
    <t>040605</t>
  </si>
  <si>
    <t>RIO GRANDE</t>
  </si>
  <si>
    <t>040606</t>
  </si>
  <si>
    <t>SALAMANCA</t>
  </si>
  <si>
    <t>040607</t>
  </si>
  <si>
    <t>YANAQUIHUA</t>
  </si>
  <si>
    <t>040608</t>
  </si>
  <si>
    <t>ISLAY</t>
  </si>
  <si>
    <t>MOLLENDO</t>
  </si>
  <si>
    <t>040701</t>
  </si>
  <si>
    <t>COCACHACRA</t>
  </si>
  <si>
    <t>040702</t>
  </si>
  <si>
    <t>DEAN VALDIVIA</t>
  </si>
  <si>
    <t>040703</t>
  </si>
  <si>
    <t>040704</t>
  </si>
  <si>
    <t>MEJIA</t>
  </si>
  <si>
    <t>040705</t>
  </si>
  <si>
    <t>PUNTA DE BOMBON</t>
  </si>
  <si>
    <t>040706</t>
  </si>
  <si>
    <t>LA UNIÓN</t>
  </si>
  <si>
    <t>COTAHUASI</t>
  </si>
  <si>
    <t>040801</t>
  </si>
  <si>
    <t>ALCA</t>
  </si>
  <si>
    <t>040802</t>
  </si>
  <si>
    <t>CHARCANA</t>
  </si>
  <si>
    <t>040803</t>
  </si>
  <si>
    <t>HUAYNACOTAS</t>
  </si>
  <si>
    <t>040804</t>
  </si>
  <si>
    <t>PAMPAMARCA</t>
  </si>
  <si>
    <t>040805</t>
  </si>
  <si>
    <t>PUYCA</t>
  </si>
  <si>
    <t>040806</t>
  </si>
  <si>
    <t>QUECHUALLA</t>
  </si>
  <si>
    <t>040807</t>
  </si>
  <si>
    <t>SAYLA</t>
  </si>
  <si>
    <t>040808</t>
  </si>
  <si>
    <t>TAURIA</t>
  </si>
  <si>
    <t>040809</t>
  </si>
  <si>
    <t>TOMEPAMPA</t>
  </si>
  <si>
    <t>040810</t>
  </si>
  <si>
    <t>TORO</t>
  </si>
  <si>
    <t>040811</t>
  </si>
  <si>
    <t>AYACUCHO</t>
  </si>
  <si>
    <t>HUAMANGA</t>
  </si>
  <si>
    <t xml:space="preserve">AYACUCHO   </t>
  </si>
  <si>
    <t>050101</t>
  </si>
  <si>
    <t>ACOCRO</t>
  </si>
  <si>
    <t>050102</t>
  </si>
  <si>
    <t>ACOS VINCHOS</t>
  </si>
  <si>
    <t>050103</t>
  </si>
  <si>
    <t xml:space="preserve">CARMEN ALTO </t>
  </si>
  <si>
    <t>050104</t>
  </si>
  <si>
    <t>050105</t>
  </si>
  <si>
    <t xml:space="preserve">OCROS   </t>
  </si>
  <si>
    <t>050106</t>
  </si>
  <si>
    <t>PACAYCASA</t>
  </si>
  <si>
    <t>050107</t>
  </si>
  <si>
    <t>QUINUA</t>
  </si>
  <si>
    <t>050108</t>
  </si>
  <si>
    <t>SAN JOSE DE TICLLAS</t>
  </si>
  <si>
    <t>050109</t>
  </si>
  <si>
    <t>SAN JUAN BAUTISTA</t>
  </si>
  <si>
    <t>050110</t>
  </si>
  <si>
    <t>SANTIAGO DE PISCHA</t>
  </si>
  <si>
    <t>050111</t>
  </si>
  <si>
    <t>SOCOS</t>
  </si>
  <si>
    <t>050112</t>
  </si>
  <si>
    <t>TAMBILLO</t>
  </si>
  <si>
    <t>050113</t>
  </si>
  <si>
    <t>VINCHOS</t>
  </si>
  <si>
    <t>050114</t>
  </si>
  <si>
    <t>JESUS NAZARENO</t>
  </si>
  <si>
    <t>050115</t>
  </si>
  <si>
    <t xml:space="preserve">ANDRÉS AVELINO CÁCERES DORREGARAY   </t>
  </si>
  <si>
    <t>050116</t>
  </si>
  <si>
    <t>CANGALLO</t>
  </si>
  <si>
    <t>050201</t>
  </si>
  <si>
    <t>CHUSCHI</t>
  </si>
  <si>
    <t>050202</t>
  </si>
  <si>
    <t>LOS MOROCHUCOS</t>
  </si>
  <si>
    <t>050203</t>
  </si>
  <si>
    <t>MARIA PARADO DE BELLIDO</t>
  </si>
  <si>
    <t>050204</t>
  </si>
  <si>
    <t>PARAS</t>
  </si>
  <si>
    <t>050205</t>
  </si>
  <si>
    <t>TOTOS</t>
  </si>
  <si>
    <t>050206</t>
  </si>
  <si>
    <t>HUANCA SANCOS</t>
  </si>
  <si>
    <t>SANCOS</t>
  </si>
  <si>
    <t>050301</t>
  </si>
  <si>
    <t>CARAPO</t>
  </si>
  <si>
    <t>050302</t>
  </si>
  <si>
    <t>SACSAMARCA</t>
  </si>
  <si>
    <t>050303</t>
  </si>
  <si>
    <t>SANTIAGO DE LUCANAMARCA</t>
  </si>
  <si>
    <t>050304</t>
  </si>
  <si>
    <t>HUANTA</t>
  </si>
  <si>
    <t xml:space="preserve">HUANTA    </t>
  </si>
  <si>
    <t>050401</t>
  </si>
  <si>
    <t xml:space="preserve">AYAHUANCO   </t>
  </si>
  <si>
    <t>050402</t>
  </si>
  <si>
    <t>HUAMANGUILLA</t>
  </si>
  <si>
    <t>050403</t>
  </si>
  <si>
    <t>IGUAIN</t>
  </si>
  <si>
    <t>050404</t>
  </si>
  <si>
    <t>LURICOCHA</t>
  </si>
  <si>
    <t>050405</t>
  </si>
  <si>
    <t>SANTILLANA</t>
  </si>
  <si>
    <t>050406</t>
  </si>
  <si>
    <t xml:space="preserve">SIVIA   </t>
  </si>
  <si>
    <t>050407</t>
  </si>
  <si>
    <t xml:space="preserve">LLOCHEGUA   </t>
  </si>
  <si>
    <t>050408</t>
  </si>
  <si>
    <t>CANAYRE</t>
  </si>
  <si>
    <t>050409</t>
  </si>
  <si>
    <t>UCHURACCAY</t>
  </si>
  <si>
    <t>050410</t>
  </si>
  <si>
    <t>PUCACOLPA</t>
  </si>
  <si>
    <t>050411</t>
  </si>
  <si>
    <t>CHACA</t>
  </si>
  <si>
    <t>050412</t>
  </si>
  <si>
    <t>PUTIS</t>
  </si>
  <si>
    <t>050413</t>
  </si>
  <si>
    <t>LA MAR</t>
  </si>
  <si>
    <t xml:space="preserve">SAN MIGUEL </t>
  </si>
  <si>
    <t>050501</t>
  </si>
  <si>
    <t xml:space="preserve">ANCO </t>
  </si>
  <si>
    <t>050502</t>
  </si>
  <si>
    <t>AYNA</t>
  </si>
  <si>
    <t>050503</t>
  </si>
  <si>
    <t>CHILCAS</t>
  </si>
  <si>
    <t>050504</t>
  </si>
  <si>
    <t xml:space="preserve">CHUNGUI  </t>
  </si>
  <si>
    <t>050505</t>
  </si>
  <si>
    <t>LUIS CARRANZA</t>
  </si>
  <si>
    <t>050506</t>
  </si>
  <si>
    <t xml:space="preserve">SANTA ROSA  </t>
  </si>
  <si>
    <t>050507</t>
  </si>
  <si>
    <t>TAMBO</t>
  </si>
  <si>
    <t>050508</t>
  </si>
  <si>
    <t>SAMUGARI</t>
  </si>
  <si>
    <t>050509</t>
  </si>
  <si>
    <t xml:space="preserve">ANCHIHUAY  </t>
  </si>
  <si>
    <t>050510</t>
  </si>
  <si>
    <t xml:space="preserve">ORONCCOY  </t>
  </si>
  <si>
    <t>050511</t>
  </si>
  <si>
    <t>UNION PROGRESO</t>
  </si>
  <si>
    <t>050512</t>
  </si>
  <si>
    <t>RIO MAGDALENA</t>
  </si>
  <si>
    <t>050513</t>
  </si>
  <si>
    <t xml:space="preserve">NINABAMBA </t>
  </si>
  <si>
    <t>050514</t>
  </si>
  <si>
    <t xml:space="preserve">PATIBAMBA </t>
  </si>
  <si>
    <t>050515</t>
  </si>
  <si>
    <t>LUCANAS</t>
  </si>
  <si>
    <t>PUQUIO</t>
  </si>
  <si>
    <t>050601</t>
  </si>
  <si>
    <t>AUCARA</t>
  </si>
  <si>
    <t>050602</t>
  </si>
  <si>
    <t xml:space="preserve">CABANA </t>
  </si>
  <si>
    <t>050603</t>
  </si>
  <si>
    <t>CARMEN SALCEDO</t>
  </si>
  <si>
    <t>050604</t>
  </si>
  <si>
    <t>CHAVIÑA</t>
  </si>
  <si>
    <t>050605</t>
  </si>
  <si>
    <t>CHIPAO</t>
  </si>
  <si>
    <t>050606</t>
  </si>
  <si>
    <t>HUAC-HUAS</t>
  </si>
  <si>
    <t>050607</t>
  </si>
  <si>
    <t>LARAMATE</t>
  </si>
  <si>
    <t>050608</t>
  </si>
  <si>
    <t>LEONCIO PRADO</t>
  </si>
  <si>
    <t>050609</t>
  </si>
  <si>
    <t>LLAUTA</t>
  </si>
  <si>
    <t>050610</t>
  </si>
  <si>
    <t>050611</t>
  </si>
  <si>
    <t>OCAÑA</t>
  </si>
  <si>
    <t>050612</t>
  </si>
  <si>
    <t>OTOCA</t>
  </si>
  <si>
    <t>050613</t>
  </si>
  <si>
    <t>SAISA</t>
  </si>
  <si>
    <t>050614</t>
  </si>
  <si>
    <t xml:space="preserve">SAN CRISTOBAL </t>
  </si>
  <si>
    <t>050615</t>
  </si>
  <si>
    <t xml:space="preserve">SAN JUAN </t>
  </si>
  <si>
    <t>050616</t>
  </si>
  <si>
    <t xml:space="preserve">SAN PEDRO </t>
  </si>
  <si>
    <t>050617</t>
  </si>
  <si>
    <t>SAN PEDRO DE PALCO</t>
  </si>
  <si>
    <t>050618</t>
  </si>
  <si>
    <t>050619</t>
  </si>
  <si>
    <t>SANTA ANA DE HUAYCAHUACHO</t>
  </si>
  <si>
    <t>050620</t>
  </si>
  <si>
    <t>SANTA LUCIA</t>
  </si>
  <si>
    <t>050621</t>
  </si>
  <si>
    <t>PARINACOCHAS</t>
  </si>
  <si>
    <t>CORACORA</t>
  </si>
  <si>
    <t>050701</t>
  </si>
  <si>
    <t>CHUMPI</t>
  </si>
  <si>
    <t>050702</t>
  </si>
  <si>
    <t>CORONEL CASTAÑEDA</t>
  </si>
  <si>
    <t>050703</t>
  </si>
  <si>
    <t>PACAPAUSA</t>
  </si>
  <si>
    <t>050704</t>
  </si>
  <si>
    <t>PULLO</t>
  </si>
  <si>
    <t>050705</t>
  </si>
  <si>
    <t>PUYUSCA</t>
  </si>
  <si>
    <t>050706</t>
  </si>
  <si>
    <t>SAN FRANCISCO DE RAVACAYCO</t>
  </si>
  <si>
    <t>050707</t>
  </si>
  <si>
    <t>UPAHUACHO</t>
  </si>
  <si>
    <t>050708</t>
  </si>
  <si>
    <t>PAUCAR DEL SARA SARA</t>
  </si>
  <si>
    <t>PAUSA</t>
  </si>
  <si>
    <t>050801</t>
  </si>
  <si>
    <t>COLTA</t>
  </si>
  <si>
    <t>050802</t>
  </si>
  <si>
    <t>CORCULLA</t>
  </si>
  <si>
    <t>050803</t>
  </si>
  <si>
    <t>LAMPA</t>
  </si>
  <si>
    <t>050804</t>
  </si>
  <si>
    <t>MARCABAMBA</t>
  </si>
  <si>
    <t>050805</t>
  </si>
  <si>
    <t>OYOLO</t>
  </si>
  <si>
    <t>050806</t>
  </si>
  <si>
    <t>PARARCA</t>
  </si>
  <si>
    <t>050807</t>
  </si>
  <si>
    <t>SAN JAVIER DE ALPABAMBA</t>
  </si>
  <si>
    <t>050808</t>
  </si>
  <si>
    <t>SAN JOSE DE USHUA</t>
  </si>
  <si>
    <t>050809</t>
  </si>
  <si>
    <t>SARA SARA</t>
  </si>
  <si>
    <t>050810</t>
  </si>
  <si>
    <t>SUCRE</t>
  </si>
  <si>
    <t>QUEROBAMBA</t>
  </si>
  <si>
    <t>050901</t>
  </si>
  <si>
    <t xml:space="preserve">BELEN </t>
  </si>
  <si>
    <t>050902</t>
  </si>
  <si>
    <t>CHALCOS</t>
  </si>
  <si>
    <t>050903</t>
  </si>
  <si>
    <t>CHILCAYOC</t>
  </si>
  <si>
    <t>050904</t>
  </si>
  <si>
    <t>HUACAÑA</t>
  </si>
  <si>
    <t>050905</t>
  </si>
  <si>
    <t>MORCOLLA</t>
  </si>
  <si>
    <t>050906</t>
  </si>
  <si>
    <t>PAICO</t>
  </si>
  <si>
    <t>050907</t>
  </si>
  <si>
    <t>SAN PEDRO DE LARCAY</t>
  </si>
  <si>
    <t>050908</t>
  </si>
  <si>
    <t>SAN SALVADOR DE QUIJE</t>
  </si>
  <si>
    <t>050909</t>
  </si>
  <si>
    <t>SANTIAGO DE PAUCARAY</t>
  </si>
  <si>
    <t>050910</t>
  </si>
  <si>
    <t>SORAS</t>
  </si>
  <si>
    <t>050911</t>
  </si>
  <si>
    <t>VICTOR FAJARDO</t>
  </si>
  <si>
    <t>HUANCAPI</t>
  </si>
  <si>
    <t>051001</t>
  </si>
  <si>
    <t>ALCAMENCA</t>
  </si>
  <si>
    <t>051002</t>
  </si>
  <si>
    <t>APONGO</t>
  </si>
  <si>
    <t>051003</t>
  </si>
  <si>
    <t>ASQUIPATA</t>
  </si>
  <si>
    <t>051004</t>
  </si>
  <si>
    <t>CANARIA</t>
  </si>
  <si>
    <t>051005</t>
  </si>
  <si>
    <t>CAYARA</t>
  </si>
  <si>
    <t>051006</t>
  </si>
  <si>
    <t>COLCA</t>
  </si>
  <si>
    <t>051007</t>
  </si>
  <si>
    <t>HUAMANQUIQUIA</t>
  </si>
  <si>
    <t>051008</t>
  </si>
  <si>
    <t>HUANCARAYLLA</t>
  </si>
  <si>
    <t>051009</t>
  </si>
  <si>
    <t xml:space="preserve">HUALLA </t>
  </si>
  <si>
    <t>051010</t>
  </si>
  <si>
    <t>SARHUA</t>
  </si>
  <si>
    <t>051011</t>
  </si>
  <si>
    <t>VILCANCHOS</t>
  </si>
  <si>
    <t>051012</t>
  </si>
  <si>
    <t>VILCAS HUAMAN</t>
  </si>
  <si>
    <t>051101</t>
  </si>
  <si>
    <t>ACCOMARCA</t>
  </si>
  <si>
    <t>051102</t>
  </si>
  <si>
    <t>CARHUANCA</t>
  </si>
  <si>
    <t>051103</t>
  </si>
  <si>
    <t>CONCEPCION</t>
  </si>
  <si>
    <t>051104</t>
  </si>
  <si>
    <t>HUAMBALPA</t>
  </si>
  <si>
    <t>051105</t>
  </si>
  <si>
    <t xml:space="preserve">INDEPENDENCIA </t>
  </si>
  <si>
    <t>051106</t>
  </si>
  <si>
    <t>SAURAMA</t>
  </si>
  <si>
    <t>051107</t>
  </si>
  <si>
    <t>VISCHONGO</t>
  </si>
  <si>
    <t>051108</t>
  </si>
  <si>
    <t>CAJAMARCA</t>
  </si>
  <si>
    <t>060101</t>
  </si>
  <si>
    <t xml:space="preserve">ASUNCION </t>
  </si>
  <si>
    <t>060102</t>
  </si>
  <si>
    <t>CHETILLA</t>
  </si>
  <si>
    <t>060103</t>
  </si>
  <si>
    <t>COSPAN</t>
  </si>
  <si>
    <t>060104</t>
  </si>
  <si>
    <t>ENCAÑADA</t>
  </si>
  <si>
    <t>060105</t>
  </si>
  <si>
    <t>JESUS</t>
  </si>
  <si>
    <t>060106</t>
  </si>
  <si>
    <t>LLACANORA</t>
  </si>
  <si>
    <t>060107</t>
  </si>
  <si>
    <t>LOS BAÑOS DEL INCA</t>
  </si>
  <si>
    <t>060108</t>
  </si>
  <si>
    <t xml:space="preserve">MAGDALENA </t>
  </si>
  <si>
    <t>060109</t>
  </si>
  <si>
    <t>MATARA</t>
  </si>
  <si>
    <t>060110</t>
  </si>
  <si>
    <t>NAMORA</t>
  </si>
  <si>
    <t>060111</t>
  </si>
  <si>
    <t xml:space="preserve">SAN JUAN  </t>
  </si>
  <si>
    <t>060112</t>
  </si>
  <si>
    <t>CAJABAMBA</t>
  </si>
  <si>
    <t>060201</t>
  </si>
  <si>
    <t>CACHACHI</t>
  </si>
  <si>
    <t>060202</t>
  </si>
  <si>
    <t>CONDEBAMBA</t>
  </si>
  <si>
    <t>060203</t>
  </si>
  <si>
    <t>SITACOCHA</t>
  </si>
  <si>
    <t>060204</t>
  </si>
  <si>
    <t>CELENDIN</t>
  </si>
  <si>
    <t>060301</t>
  </si>
  <si>
    <t>CHUMUCH</t>
  </si>
  <si>
    <t>060302</t>
  </si>
  <si>
    <t>CORTEGANA</t>
  </si>
  <si>
    <t>060303</t>
  </si>
  <si>
    <t>HUASMIN</t>
  </si>
  <si>
    <t>060304</t>
  </si>
  <si>
    <t>JORGE CHAVEZ</t>
  </si>
  <si>
    <t>060305</t>
  </si>
  <si>
    <t>JOSE GALVEZ</t>
  </si>
  <si>
    <t>060306</t>
  </si>
  <si>
    <t>MIGUEL IGLESIAS</t>
  </si>
  <si>
    <t>060307</t>
  </si>
  <si>
    <t>OXAMARCA</t>
  </si>
  <si>
    <t>060308</t>
  </si>
  <si>
    <t>SOROCHUCO</t>
  </si>
  <si>
    <t>060309</t>
  </si>
  <si>
    <t>060310</t>
  </si>
  <si>
    <t>UTCO</t>
  </si>
  <si>
    <t>060311</t>
  </si>
  <si>
    <t>LA LIBERTAD DE PALLAN</t>
  </si>
  <si>
    <t>060312</t>
  </si>
  <si>
    <t>CHOTA</t>
  </si>
  <si>
    <t>060401</t>
  </si>
  <si>
    <t>ANGUIA</t>
  </si>
  <si>
    <t>060402</t>
  </si>
  <si>
    <t>CHADIN</t>
  </si>
  <si>
    <t>060403</t>
  </si>
  <si>
    <t>CHIGUIRIP</t>
  </si>
  <si>
    <t>060404</t>
  </si>
  <si>
    <t>CHIMBAN</t>
  </si>
  <si>
    <t>060405</t>
  </si>
  <si>
    <t>CHOROPAMPA</t>
  </si>
  <si>
    <t>060406</t>
  </si>
  <si>
    <t>060407</t>
  </si>
  <si>
    <t>CONCHAN</t>
  </si>
  <si>
    <t>060408</t>
  </si>
  <si>
    <t>HUAMBOS</t>
  </si>
  <si>
    <t>060409</t>
  </si>
  <si>
    <t>LAJAS</t>
  </si>
  <si>
    <t>060410</t>
  </si>
  <si>
    <t xml:space="preserve">LLAMA </t>
  </si>
  <si>
    <t>060411</t>
  </si>
  <si>
    <t>MIRACOSTA</t>
  </si>
  <si>
    <t>060412</t>
  </si>
  <si>
    <t>PACCHA</t>
  </si>
  <si>
    <t>060413</t>
  </si>
  <si>
    <t>PION</t>
  </si>
  <si>
    <t>060414</t>
  </si>
  <si>
    <t>QUEROCOTO</t>
  </si>
  <si>
    <t>060415</t>
  </si>
  <si>
    <t>SAN JUAN DE LICUPIS</t>
  </si>
  <si>
    <t>060416</t>
  </si>
  <si>
    <t>TACABAMBA</t>
  </si>
  <si>
    <t>060417</t>
  </si>
  <si>
    <t>TOCMOCHE</t>
  </si>
  <si>
    <t>060418</t>
  </si>
  <si>
    <t>CHALAMARCA</t>
  </si>
  <si>
    <t>060419</t>
  </si>
  <si>
    <t>CONTUMAZA</t>
  </si>
  <si>
    <t>060501</t>
  </si>
  <si>
    <t>CHILETE</t>
  </si>
  <si>
    <t>060502</t>
  </si>
  <si>
    <t>CUPISNIQUE</t>
  </si>
  <si>
    <t>060503</t>
  </si>
  <si>
    <t>GUZMANGO</t>
  </si>
  <si>
    <t>060504</t>
  </si>
  <si>
    <t>SAN BENITO</t>
  </si>
  <si>
    <t>060505</t>
  </si>
  <si>
    <t>SANTA CRUZ DE TOLEDO</t>
  </si>
  <si>
    <t>060506</t>
  </si>
  <si>
    <t>TANTARICA</t>
  </si>
  <si>
    <t>060507</t>
  </si>
  <si>
    <t>YONAN</t>
  </si>
  <si>
    <t>060508</t>
  </si>
  <si>
    <t>CUTERVO</t>
  </si>
  <si>
    <t>060601</t>
  </si>
  <si>
    <t>CALLAYUC</t>
  </si>
  <si>
    <t>060602</t>
  </si>
  <si>
    <t>CHOROS</t>
  </si>
  <si>
    <t>060603</t>
  </si>
  <si>
    <t>CUJILLO</t>
  </si>
  <si>
    <t>060604</t>
  </si>
  <si>
    <t>LA RAMADA</t>
  </si>
  <si>
    <t>060605</t>
  </si>
  <si>
    <t>PIMPINGOS</t>
  </si>
  <si>
    <t>060606</t>
  </si>
  <si>
    <t>QUEROCOTILLO</t>
  </si>
  <si>
    <t>060607</t>
  </si>
  <si>
    <t>SAN ANDRES DE CUTERVO</t>
  </si>
  <si>
    <t>060608</t>
  </si>
  <si>
    <t>SAN JUAN DE CUTERVO</t>
  </si>
  <si>
    <t>060609</t>
  </si>
  <si>
    <t>SAN LUIS DE LUCMA</t>
  </si>
  <si>
    <t>060610</t>
  </si>
  <si>
    <t xml:space="preserve">SANTA CRUZ </t>
  </si>
  <si>
    <t>060611</t>
  </si>
  <si>
    <t>SANTO DOMINGO DE LA CAPILLA</t>
  </si>
  <si>
    <t>060612</t>
  </si>
  <si>
    <t xml:space="preserve">SANTO TOMAS </t>
  </si>
  <si>
    <t>060613</t>
  </si>
  <si>
    <t>SOCOTA</t>
  </si>
  <si>
    <t>060614</t>
  </si>
  <si>
    <t>TORIBIO CASANOVA</t>
  </si>
  <si>
    <t>060615</t>
  </si>
  <si>
    <t>HUALGAYOC</t>
  </si>
  <si>
    <t>BAMBAMARCA</t>
  </si>
  <si>
    <t>060701</t>
  </si>
  <si>
    <t>CHUGUR</t>
  </si>
  <si>
    <t>060702</t>
  </si>
  <si>
    <t>060703</t>
  </si>
  <si>
    <t>JAEN</t>
  </si>
  <si>
    <t>060801</t>
  </si>
  <si>
    <t xml:space="preserve">BELLAVISTA </t>
  </si>
  <si>
    <t>060802</t>
  </si>
  <si>
    <t>CHONTALI</t>
  </si>
  <si>
    <t>060803</t>
  </si>
  <si>
    <t>COLASAY</t>
  </si>
  <si>
    <t>060804</t>
  </si>
  <si>
    <t>HUABAL</t>
  </si>
  <si>
    <t>060805</t>
  </si>
  <si>
    <t>LAS PIRIAS</t>
  </si>
  <si>
    <t>060806</t>
  </si>
  <si>
    <t>POMAHUACA</t>
  </si>
  <si>
    <t>060807</t>
  </si>
  <si>
    <t>PUCARA</t>
  </si>
  <si>
    <t>060808</t>
  </si>
  <si>
    <t>SALLIQUE</t>
  </si>
  <si>
    <t>060809</t>
  </si>
  <si>
    <t>SAN FELIPE</t>
  </si>
  <si>
    <t>060810</t>
  </si>
  <si>
    <t>SAN JOSE DEL ALTO</t>
  </si>
  <si>
    <t>060811</t>
  </si>
  <si>
    <t xml:space="preserve">SANTA ROSA    </t>
  </si>
  <si>
    <t>060812</t>
  </si>
  <si>
    <t>SAN IGNACIO</t>
  </si>
  <si>
    <t>060901</t>
  </si>
  <si>
    <t>CHIRINOS</t>
  </si>
  <si>
    <t>060902</t>
  </si>
  <si>
    <t>HUARANGO</t>
  </si>
  <si>
    <t>060903</t>
  </si>
  <si>
    <t>LA COIPA</t>
  </si>
  <si>
    <t>060904</t>
  </si>
  <si>
    <t>NAMBALLE</t>
  </si>
  <si>
    <t>060905</t>
  </si>
  <si>
    <t>SAN JOSE DE LOURDES</t>
  </si>
  <si>
    <t>060906</t>
  </si>
  <si>
    <t>TABACONAS</t>
  </si>
  <si>
    <t>060907</t>
  </si>
  <si>
    <t>PEDRO GALVEZ</t>
  </si>
  <si>
    <t>061001</t>
  </si>
  <si>
    <t>CHANCAY</t>
  </si>
  <si>
    <t>061002</t>
  </si>
  <si>
    <t>EDUARDO VILLANUEVA</t>
  </si>
  <si>
    <t>061003</t>
  </si>
  <si>
    <t>GREGORIO PITA</t>
  </si>
  <si>
    <t>061004</t>
  </si>
  <si>
    <t>ICHOCAN</t>
  </si>
  <si>
    <t>061005</t>
  </si>
  <si>
    <t>JOSE MANUEL QUIROZ</t>
  </si>
  <si>
    <t>061006</t>
  </si>
  <si>
    <t>JOSE SABOGAL</t>
  </si>
  <si>
    <t>061007</t>
  </si>
  <si>
    <t>SAN MIGUEL</t>
  </si>
  <si>
    <t>061101</t>
  </si>
  <si>
    <t>BOLIVAR</t>
  </si>
  <si>
    <t>061102</t>
  </si>
  <si>
    <t>CALQUIS</t>
  </si>
  <si>
    <t>061103</t>
  </si>
  <si>
    <t>CATILLUC</t>
  </si>
  <si>
    <t>061104</t>
  </si>
  <si>
    <t>EL PRADO</t>
  </si>
  <si>
    <t>061105</t>
  </si>
  <si>
    <t>LA FLORIDA</t>
  </si>
  <si>
    <t>061106</t>
  </si>
  <si>
    <t>LLAPA</t>
  </si>
  <si>
    <t>061107</t>
  </si>
  <si>
    <t>NANCHOC</t>
  </si>
  <si>
    <t>061108</t>
  </si>
  <si>
    <t>NIEPOS</t>
  </si>
  <si>
    <t>061109</t>
  </si>
  <si>
    <t>SAN GREGORIO</t>
  </si>
  <si>
    <t>061110</t>
  </si>
  <si>
    <t>SAN SILVESTRE DE COCHAN</t>
  </si>
  <si>
    <t>061111</t>
  </si>
  <si>
    <t>TONGOD</t>
  </si>
  <si>
    <t>061112</t>
  </si>
  <si>
    <t>UNION AGUA BLANCA</t>
  </si>
  <si>
    <t>061113</t>
  </si>
  <si>
    <t>SAN PABLO</t>
  </si>
  <si>
    <t>061201</t>
  </si>
  <si>
    <t>SAN BERNARDINO</t>
  </si>
  <si>
    <t>061202</t>
  </si>
  <si>
    <t xml:space="preserve">SAN LUIS </t>
  </si>
  <si>
    <t>061203</t>
  </si>
  <si>
    <t>TUMBADEN</t>
  </si>
  <si>
    <t>061204</t>
  </si>
  <si>
    <t>061301</t>
  </si>
  <si>
    <t>ANDABAMBA</t>
  </si>
  <si>
    <t>061302</t>
  </si>
  <si>
    <t>CATACHE</t>
  </si>
  <si>
    <t>061303</t>
  </si>
  <si>
    <t>CHANCAYBAÑOS</t>
  </si>
  <si>
    <t>061304</t>
  </si>
  <si>
    <t>LA ESPERANZA</t>
  </si>
  <si>
    <t>061305</t>
  </si>
  <si>
    <t>NINABAMBA</t>
  </si>
  <si>
    <t>061306</t>
  </si>
  <si>
    <t>PULAN</t>
  </si>
  <si>
    <t>061307</t>
  </si>
  <si>
    <t>SAUCEPAMPA</t>
  </si>
  <si>
    <t>061308</t>
  </si>
  <si>
    <t>SEXI</t>
  </si>
  <si>
    <t>061309</t>
  </si>
  <si>
    <t>UTICYACU</t>
  </si>
  <si>
    <t>061310</t>
  </si>
  <si>
    <t>YAUYUCAN</t>
  </si>
  <si>
    <t>061311</t>
  </si>
  <si>
    <t>CALLAO</t>
  </si>
  <si>
    <t>070101</t>
  </si>
  <si>
    <t>BELLAVISTA</t>
  </si>
  <si>
    <t>070102</t>
  </si>
  <si>
    <t>CARMEN DE LA LEGUA REYNOSO</t>
  </si>
  <si>
    <t>070103</t>
  </si>
  <si>
    <t>LA PERLA</t>
  </si>
  <si>
    <t>070104</t>
  </si>
  <si>
    <t>LA PUNTA</t>
  </si>
  <si>
    <t>070105</t>
  </si>
  <si>
    <t xml:space="preserve">VENTANILLA  </t>
  </si>
  <si>
    <t>070106</t>
  </si>
  <si>
    <t xml:space="preserve">MI PERU  </t>
  </si>
  <si>
    <t>070107</t>
  </si>
  <si>
    <t>CUSCO</t>
  </si>
  <si>
    <t>080101</t>
  </si>
  <si>
    <t>CCORCA</t>
  </si>
  <si>
    <t>080102</t>
  </si>
  <si>
    <t>POROY</t>
  </si>
  <si>
    <t>080103</t>
  </si>
  <si>
    <t xml:space="preserve">SAN JERONIMO  </t>
  </si>
  <si>
    <t>080104</t>
  </si>
  <si>
    <t>SAN SEBASTIAN</t>
  </si>
  <si>
    <t>080105</t>
  </si>
  <si>
    <t>SANTIAGO</t>
  </si>
  <si>
    <t>080106</t>
  </si>
  <si>
    <t>SAYLLA</t>
  </si>
  <si>
    <t>080107</t>
  </si>
  <si>
    <t>WANCHAQ</t>
  </si>
  <si>
    <t>080108</t>
  </si>
  <si>
    <t>ACOMAYO</t>
  </si>
  <si>
    <t>080201</t>
  </si>
  <si>
    <t>ACOPIA</t>
  </si>
  <si>
    <t>080202</t>
  </si>
  <si>
    <t>ACOS</t>
  </si>
  <si>
    <t>080203</t>
  </si>
  <si>
    <t>MOSOC LLACTA</t>
  </si>
  <si>
    <t>080204</t>
  </si>
  <si>
    <t>POMACANCHI</t>
  </si>
  <si>
    <t>080205</t>
  </si>
  <si>
    <t>RONDOCAN</t>
  </si>
  <si>
    <t>080206</t>
  </si>
  <si>
    <t>SANGARARA</t>
  </si>
  <si>
    <t>080207</t>
  </si>
  <si>
    <t xml:space="preserve">ANTA </t>
  </si>
  <si>
    <t>080301</t>
  </si>
  <si>
    <t>ANCAHUASI</t>
  </si>
  <si>
    <t>080302</t>
  </si>
  <si>
    <t>CACHIMAYO</t>
  </si>
  <si>
    <t>080303</t>
  </si>
  <si>
    <t>CHINCHAYPUJIO</t>
  </si>
  <si>
    <t>080304</t>
  </si>
  <si>
    <t>HUAROCONDO</t>
  </si>
  <si>
    <t>080305</t>
  </si>
  <si>
    <t>LIMATAMBO</t>
  </si>
  <si>
    <t>080306</t>
  </si>
  <si>
    <t>MOLLEPATA</t>
  </si>
  <si>
    <t>080307</t>
  </si>
  <si>
    <t>PUCYURA</t>
  </si>
  <si>
    <t>080308</t>
  </si>
  <si>
    <t>ZURITE</t>
  </si>
  <si>
    <t>080309</t>
  </si>
  <si>
    <t>CALCA</t>
  </si>
  <si>
    <t>080401</t>
  </si>
  <si>
    <t>COYA</t>
  </si>
  <si>
    <t>080402</t>
  </si>
  <si>
    <t>LAMAY</t>
  </si>
  <si>
    <t>080403</t>
  </si>
  <si>
    <t>LARES</t>
  </si>
  <si>
    <t>080404</t>
  </si>
  <si>
    <t>PISAC</t>
  </si>
  <si>
    <t>080405</t>
  </si>
  <si>
    <t>SAN SALVADOR</t>
  </si>
  <si>
    <t>080406</t>
  </si>
  <si>
    <t>TARAY</t>
  </si>
  <si>
    <t>080407</t>
  </si>
  <si>
    <t>YANATILE</t>
  </si>
  <si>
    <t>080408</t>
  </si>
  <si>
    <t>CANAS</t>
  </si>
  <si>
    <t>YANAOCA</t>
  </si>
  <si>
    <t>080501</t>
  </si>
  <si>
    <t>CHECCA</t>
  </si>
  <si>
    <t>080502</t>
  </si>
  <si>
    <t>KUNTURKANKI</t>
  </si>
  <si>
    <t>080503</t>
  </si>
  <si>
    <t>LANGUI</t>
  </si>
  <si>
    <t>080504</t>
  </si>
  <si>
    <t>LAYO</t>
  </si>
  <si>
    <t>080505</t>
  </si>
  <si>
    <t xml:space="preserve">PAMPAMARCA </t>
  </si>
  <si>
    <t>080506</t>
  </si>
  <si>
    <t>QUEHUE</t>
  </si>
  <si>
    <t>080507</t>
  </si>
  <si>
    <t>TUPAC AMARU</t>
  </si>
  <si>
    <t>080508</t>
  </si>
  <si>
    <t>CANCHIS</t>
  </si>
  <si>
    <t>SICUANI</t>
  </si>
  <si>
    <t>080601</t>
  </si>
  <si>
    <t>CHECACUPE</t>
  </si>
  <si>
    <t>080602</t>
  </si>
  <si>
    <t>COMBAPATA</t>
  </si>
  <si>
    <t>080603</t>
  </si>
  <si>
    <t>MARANGANI</t>
  </si>
  <si>
    <t>080604</t>
  </si>
  <si>
    <t>PITUMARCA</t>
  </si>
  <si>
    <t>080605</t>
  </si>
  <si>
    <t xml:space="preserve">SAN PABLO </t>
  </si>
  <si>
    <t>080606</t>
  </si>
  <si>
    <t xml:space="preserve">SAN PEDRO  </t>
  </si>
  <si>
    <t>080607</t>
  </si>
  <si>
    <t>TINTA</t>
  </si>
  <si>
    <t>080608</t>
  </si>
  <si>
    <t>CHUMBIVILCAS</t>
  </si>
  <si>
    <t xml:space="preserve">SANTO TOMAS  </t>
  </si>
  <si>
    <t>080701</t>
  </si>
  <si>
    <t>CAPACMARCA</t>
  </si>
  <si>
    <t>080702</t>
  </si>
  <si>
    <t>CHAMACA</t>
  </si>
  <si>
    <t>080703</t>
  </si>
  <si>
    <t>COLQUEMARCA</t>
  </si>
  <si>
    <t>080704</t>
  </si>
  <si>
    <t>LIVITACA</t>
  </si>
  <si>
    <t>080705</t>
  </si>
  <si>
    <t>LLUSCO</t>
  </si>
  <si>
    <t>080706</t>
  </si>
  <si>
    <t>QUIÑOTA</t>
  </si>
  <si>
    <t>080707</t>
  </si>
  <si>
    <t>VELILLE</t>
  </si>
  <si>
    <t>080708</t>
  </si>
  <si>
    <t>ESPINAR</t>
  </si>
  <si>
    <t>080801</t>
  </si>
  <si>
    <t>CONDOROMA</t>
  </si>
  <si>
    <t>080802</t>
  </si>
  <si>
    <t>080803</t>
  </si>
  <si>
    <t>OCORURO</t>
  </si>
  <si>
    <t>080804</t>
  </si>
  <si>
    <t>PALLPATA</t>
  </si>
  <si>
    <t>080805</t>
  </si>
  <si>
    <t>PICHIGUA</t>
  </si>
  <si>
    <t>080806</t>
  </si>
  <si>
    <t>SUYCKUTAMBO</t>
  </si>
  <si>
    <t>080807</t>
  </si>
  <si>
    <t>ALTO PICHIGUA</t>
  </si>
  <si>
    <t>080808</t>
  </si>
  <si>
    <t>LA CONVENCIÓN</t>
  </si>
  <si>
    <t>SANTA ANA</t>
  </si>
  <si>
    <t>080901</t>
  </si>
  <si>
    <t>ECHARATE</t>
  </si>
  <si>
    <t>080902</t>
  </si>
  <si>
    <t>HUAYOPATA</t>
  </si>
  <si>
    <t>080903</t>
  </si>
  <si>
    <t>MARANURA</t>
  </si>
  <si>
    <t>080904</t>
  </si>
  <si>
    <t xml:space="preserve">OCOBAMBA </t>
  </si>
  <si>
    <t>080905</t>
  </si>
  <si>
    <t>QUELLOUNO</t>
  </si>
  <si>
    <t>080906</t>
  </si>
  <si>
    <t xml:space="preserve">KIMBIRI </t>
  </si>
  <si>
    <t>080907</t>
  </si>
  <si>
    <t>SANTA TERESA</t>
  </si>
  <si>
    <t>080908</t>
  </si>
  <si>
    <t xml:space="preserve">VILCABAMBA    </t>
  </si>
  <si>
    <t>080909</t>
  </si>
  <si>
    <t>PICHARI</t>
  </si>
  <si>
    <t>080910</t>
  </si>
  <si>
    <t>INKAWASI</t>
  </si>
  <si>
    <t>080911</t>
  </si>
  <si>
    <t>VILLA VIRGEN</t>
  </si>
  <si>
    <t>080912</t>
  </si>
  <si>
    <t>VILLA KINTIARINA</t>
  </si>
  <si>
    <t>080913</t>
  </si>
  <si>
    <t>MEGANTONI</t>
  </si>
  <si>
    <t>080914</t>
  </si>
  <si>
    <t>KUMPIRUSHIATO</t>
  </si>
  <si>
    <t>080915</t>
  </si>
  <si>
    <t>CIELO PUNCO</t>
  </si>
  <si>
    <t>080916</t>
  </si>
  <si>
    <t>MANITEA</t>
  </si>
  <si>
    <t>080917</t>
  </si>
  <si>
    <t>UNION ASHANINKA</t>
  </si>
  <si>
    <t>080918</t>
  </si>
  <si>
    <t>PARURO</t>
  </si>
  <si>
    <t>081001</t>
  </si>
  <si>
    <t>ACCHA</t>
  </si>
  <si>
    <t>081002</t>
  </si>
  <si>
    <t>CCAPI</t>
  </si>
  <si>
    <t>081003</t>
  </si>
  <si>
    <t>COLCHA</t>
  </si>
  <si>
    <t>081004</t>
  </si>
  <si>
    <t>HUANOQUITE</t>
  </si>
  <si>
    <t>081005</t>
  </si>
  <si>
    <t>OMACHA</t>
  </si>
  <si>
    <t>081006</t>
  </si>
  <si>
    <t>PACCARITAMBO</t>
  </si>
  <si>
    <t>081007</t>
  </si>
  <si>
    <t>PILLPINTO</t>
  </si>
  <si>
    <t>081008</t>
  </si>
  <si>
    <t>YAURISQUE</t>
  </si>
  <si>
    <t>081009</t>
  </si>
  <si>
    <t>PAUCARTAMBO</t>
  </si>
  <si>
    <t>081101</t>
  </si>
  <si>
    <t>CAICAY</t>
  </si>
  <si>
    <t>081102</t>
  </si>
  <si>
    <t>CHALLABAMBA</t>
  </si>
  <si>
    <t>081103</t>
  </si>
  <si>
    <t>COLQUEPATA</t>
  </si>
  <si>
    <t>081104</t>
  </si>
  <si>
    <t>HUANCARANI</t>
  </si>
  <si>
    <t>081105</t>
  </si>
  <si>
    <t>KOSÑIPATA</t>
  </si>
  <si>
    <t>081106</t>
  </si>
  <si>
    <t>QUISPICANCHI</t>
  </si>
  <si>
    <t>URCOS</t>
  </si>
  <si>
    <t>081201</t>
  </si>
  <si>
    <t>ANDAHUAYLILLAS</t>
  </si>
  <si>
    <t>081202</t>
  </si>
  <si>
    <t>CAMANTI</t>
  </si>
  <si>
    <t>081203</t>
  </si>
  <si>
    <t>CCARHUAYO</t>
  </si>
  <si>
    <t>081204</t>
  </si>
  <si>
    <t>CCATCA</t>
  </si>
  <si>
    <t>081205</t>
  </si>
  <si>
    <t>CUSIPATA</t>
  </si>
  <si>
    <t>081206</t>
  </si>
  <si>
    <t>HUARO</t>
  </si>
  <si>
    <t>081207</t>
  </si>
  <si>
    <t>081208</t>
  </si>
  <si>
    <t>MARCAPATA</t>
  </si>
  <si>
    <t>081209</t>
  </si>
  <si>
    <t>OCONGATE</t>
  </si>
  <si>
    <t>081210</t>
  </si>
  <si>
    <t xml:space="preserve">OROPESA </t>
  </si>
  <si>
    <t>081211</t>
  </si>
  <si>
    <t>QUIQUIJANA</t>
  </si>
  <si>
    <t>081212</t>
  </si>
  <si>
    <t>URUBAMBA</t>
  </si>
  <si>
    <t>081301</t>
  </si>
  <si>
    <t>CHINCHERO</t>
  </si>
  <si>
    <t>081302</t>
  </si>
  <si>
    <t xml:space="preserve">HUAYLLABAMBA </t>
  </si>
  <si>
    <t>081303</t>
  </si>
  <si>
    <t>MACHUPICCHU</t>
  </si>
  <si>
    <t>081304</t>
  </si>
  <si>
    <t>MARAS</t>
  </si>
  <si>
    <t>081305</t>
  </si>
  <si>
    <t>OLLANTAYTAMBO</t>
  </si>
  <si>
    <t>081306</t>
  </si>
  <si>
    <t>YUCAY</t>
  </si>
  <si>
    <t>081307</t>
  </si>
  <si>
    <t>HUANCAVELICA</t>
  </si>
  <si>
    <t>090101</t>
  </si>
  <si>
    <t>ACOBAMBILLA</t>
  </si>
  <si>
    <t>090102</t>
  </si>
  <si>
    <t>ACORIA</t>
  </si>
  <si>
    <t>090103</t>
  </si>
  <si>
    <t>CONAYCA</t>
  </si>
  <si>
    <t>090104</t>
  </si>
  <si>
    <t>CUENCA</t>
  </si>
  <si>
    <t>090105</t>
  </si>
  <si>
    <t>HUACHOCOLPA</t>
  </si>
  <si>
    <t>090106</t>
  </si>
  <si>
    <t>HUAYLLAHUARA</t>
  </si>
  <si>
    <t>090107</t>
  </si>
  <si>
    <t>IZCUCHACA</t>
  </si>
  <si>
    <t>090108</t>
  </si>
  <si>
    <t>LARIA</t>
  </si>
  <si>
    <t>090109</t>
  </si>
  <si>
    <t>MANTA</t>
  </si>
  <si>
    <t>090110</t>
  </si>
  <si>
    <t xml:space="preserve">MARISCAL CACERES </t>
  </si>
  <si>
    <t>090111</t>
  </si>
  <si>
    <t>MOYA</t>
  </si>
  <si>
    <t>090112</t>
  </si>
  <si>
    <t>NUEVO OCCORO</t>
  </si>
  <si>
    <t>090113</t>
  </si>
  <si>
    <t>PALCA</t>
  </si>
  <si>
    <t>090114</t>
  </si>
  <si>
    <t>PILCHACA</t>
  </si>
  <si>
    <t>090115</t>
  </si>
  <si>
    <t>VILCA</t>
  </si>
  <si>
    <t>090116</t>
  </si>
  <si>
    <t>YAULI</t>
  </si>
  <si>
    <t>090117</t>
  </si>
  <si>
    <t>ASCENSION</t>
  </si>
  <si>
    <t>090118</t>
  </si>
  <si>
    <t>HUANDO</t>
  </si>
  <si>
    <t>090119</t>
  </si>
  <si>
    <t xml:space="preserve">ACOBAMBA </t>
  </si>
  <si>
    <t>090201</t>
  </si>
  <si>
    <t xml:space="preserve">ANDABAMBA </t>
  </si>
  <si>
    <t>090202</t>
  </si>
  <si>
    <t xml:space="preserve">ANTA  </t>
  </si>
  <si>
    <t>090203</t>
  </si>
  <si>
    <t>CAJA</t>
  </si>
  <si>
    <t>090204</t>
  </si>
  <si>
    <t>MARCAS</t>
  </si>
  <si>
    <t>090205</t>
  </si>
  <si>
    <t>PAUCARA</t>
  </si>
  <si>
    <t>090206</t>
  </si>
  <si>
    <t xml:space="preserve">POMACOCHA </t>
  </si>
  <si>
    <t>090207</t>
  </si>
  <si>
    <t>ROSARIO</t>
  </si>
  <si>
    <t>090208</t>
  </si>
  <si>
    <t>ANGARAES</t>
  </si>
  <si>
    <t>LIRCAY</t>
  </si>
  <si>
    <t>090301</t>
  </si>
  <si>
    <t>ANCHONGA</t>
  </si>
  <si>
    <t>090302</t>
  </si>
  <si>
    <t>CALLANMARCA</t>
  </si>
  <si>
    <t>090303</t>
  </si>
  <si>
    <t>CCOCHACCASA</t>
  </si>
  <si>
    <t>090304</t>
  </si>
  <si>
    <t>CHINCHO</t>
  </si>
  <si>
    <t>090305</t>
  </si>
  <si>
    <t>CONGALLA</t>
  </si>
  <si>
    <t>090306</t>
  </si>
  <si>
    <t>HUANCA-HUANCA</t>
  </si>
  <si>
    <t>090307</t>
  </si>
  <si>
    <t>HUAYLLAY GRANDE</t>
  </si>
  <si>
    <t>090308</t>
  </si>
  <si>
    <t>JULCAMARCA</t>
  </si>
  <si>
    <t>090309</t>
  </si>
  <si>
    <t>SAN ANTONIO DE ANTAPARCO</t>
  </si>
  <si>
    <t>090310</t>
  </si>
  <si>
    <t>SANTO TOMAS DE PATA</t>
  </si>
  <si>
    <t>090311</t>
  </si>
  <si>
    <t>SECCLLA</t>
  </si>
  <si>
    <t>090312</t>
  </si>
  <si>
    <t>CASTROVIRREYNA</t>
  </si>
  <si>
    <t>090401</t>
  </si>
  <si>
    <t>ARMA</t>
  </si>
  <si>
    <t>090402</t>
  </si>
  <si>
    <t>AURAHUA</t>
  </si>
  <si>
    <t>090403</t>
  </si>
  <si>
    <t>CAPILLAS</t>
  </si>
  <si>
    <t>090404</t>
  </si>
  <si>
    <t>CHUPAMARCA</t>
  </si>
  <si>
    <t>090405</t>
  </si>
  <si>
    <t>COCAS</t>
  </si>
  <si>
    <t>090406</t>
  </si>
  <si>
    <t>HUACHOS</t>
  </si>
  <si>
    <t>090407</t>
  </si>
  <si>
    <t>HUAMATAMBO</t>
  </si>
  <si>
    <t>090408</t>
  </si>
  <si>
    <t>MOLLEPAMPA</t>
  </si>
  <si>
    <t>090409</t>
  </si>
  <si>
    <t xml:space="preserve">SAN JUAN   </t>
  </si>
  <si>
    <t>090410</t>
  </si>
  <si>
    <t xml:space="preserve">SANTA ANA </t>
  </si>
  <si>
    <t>090411</t>
  </si>
  <si>
    <t>TANTARA</t>
  </si>
  <si>
    <t>090412</t>
  </si>
  <si>
    <t>TICRAPO</t>
  </si>
  <si>
    <t>090413</t>
  </si>
  <si>
    <t>CHURCAMPA</t>
  </si>
  <si>
    <t>090501</t>
  </si>
  <si>
    <t>ANCO</t>
  </si>
  <si>
    <t>090502</t>
  </si>
  <si>
    <t>CHINCHIHUASI</t>
  </si>
  <si>
    <t>090503</t>
  </si>
  <si>
    <t>EL CARMEN</t>
  </si>
  <si>
    <t>090504</t>
  </si>
  <si>
    <t xml:space="preserve">LA MERCED </t>
  </si>
  <si>
    <t>090505</t>
  </si>
  <si>
    <t>LOCROJA</t>
  </si>
  <si>
    <t>090506</t>
  </si>
  <si>
    <t>PAUCARBAMBA</t>
  </si>
  <si>
    <t>090507</t>
  </si>
  <si>
    <t>SAN MIGUEL DE MAYOCC</t>
  </si>
  <si>
    <t>090508</t>
  </si>
  <si>
    <t>SAN PEDRO DE CORIS</t>
  </si>
  <si>
    <t>090509</t>
  </si>
  <si>
    <t>PACHAMARCA</t>
  </si>
  <si>
    <t>090510</t>
  </si>
  <si>
    <t xml:space="preserve">COSME </t>
  </si>
  <si>
    <t>090511</t>
  </si>
  <si>
    <t>HUAYTARA</t>
  </si>
  <si>
    <t>090601</t>
  </si>
  <si>
    <t>AYAVI</t>
  </si>
  <si>
    <t>090602</t>
  </si>
  <si>
    <t>CORDOVA</t>
  </si>
  <si>
    <t>090603</t>
  </si>
  <si>
    <t>HUAYACUNDO ARMA</t>
  </si>
  <si>
    <t>090604</t>
  </si>
  <si>
    <t>LARAMARCA</t>
  </si>
  <si>
    <t>090605</t>
  </si>
  <si>
    <t>OCOYO</t>
  </si>
  <si>
    <t>090606</t>
  </si>
  <si>
    <t>PILPICHACA</t>
  </si>
  <si>
    <t>090607</t>
  </si>
  <si>
    <t>QUERCO</t>
  </si>
  <si>
    <t>090608</t>
  </si>
  <si>
    <t>QUITO-ARMA</t>
  </si>
  <si>
    <t>090609</t>
  </si>
  <si>
    <t>SAN ANTONIO DE CUSICANCHA</t>
  </si>
  <si>
    <t>090610</t>
  </si>
  <si>
    <t>SAN FRANCISCO DE SANGAYAICO</t>
  </si>
  <si>
    <t>090611</t>
  </si>
  <si>
    <t xml:space="preserve">SAN ISIDRO </t>
  </si>
  <si>
    <t>090612</t>
  </si>
  <si>
    <t>SANTIAGO DE CHOCORVOS</t>
  </si>
  <si>
    <t>090613</t>
  </si>
  <si>
    <t>SANTIAGO DE QUIRAHUARA</t>
  </si>
  <si>
    <t>090614</t>
  </si>
  <si>
    <t>SANTO DOMINGO DE CAPILLAS</t>
  </si>
  <si>
    <t>090615</t>
  </si>
  <si>
    <t xml:space="preserve">TAMBO </t>
  </si>
  <si>
    <t>090616</t>
  </si>
  <si>
    <t>TAYACAJA</t>
  </si>
  <si>
    <t xml:space="preserve">PAMPAS </t>
  </si>
  <si>
    <t>090701</t>
  </si>
  <si>
    <t>ACOSTAMBO</t>
  </si>
  <si>
    <t>090702</t>
  </si>
  <si>
    <t>ACRAQUIA</t>
  </si>
  <si>
    <t>090703</t>
  </si>
  <si>
    <t>AHUAYCHA</t>
  </si>
  <si>
    <t>090704</t>
  </si>
  <si>
    <t xml:space="preserve">COLCABAMBA </t>
  </si>
  <si>
    <t>090705</t>
  </si>
  <si>
    <t xml:space="preserve">DANIEL HERNANDEZ </t>
  </si>
  <si>
    <t>090706</t>
  </si>
  <si>
    <t xml:space="preserve">HUACHOCOLPA </t>
  </si>
  <si>
    <t>090707</t>
  </si>
  <si>
    <t xml:space="preserve">HUARIBAMBA   </t>
  </si>
  <si>
    <t>090709</t>
  </si>
  <si>
    <t>ÑAHUIMPUQUIO</t>
  </si>
  <si>
    <t>090710</t>
  </si>
  <si>
    <t>PAZOS</t>
  </si>
  <si>
    <t>090711</t>
  </si>
  <si>
    <t>QUISHUAR</t>
  </si>
  <si>
    <t>090713</t>
  </si>
  <si>
    <t>SALCABAMBA</t>
  </si>
  <si>
    <t>090714</t>
  </si>
  <si>
    <t>SALCAHUASI</t>
  </si>
  <si>
    <t>090715</t>
  </si>
  <si>
    <t>SAN MARCOS DE ROCCHAC</t>
  </si>
  <si>
    <t>090716</t>
  </si>
  <si>
    <t>SURCUBAMBA</t>
  </si>
  <si>
    <t>090717</t>
  </si>
  <si>
    <t>TINTAY PUNCU</t>
  </si>
  <si>
    <t>090718</t>
  </si>
  <si>
    <t>QUICHUAS</t>
  </si>
  <si>
    <t>090719</t>
  </si>
  <si>
    <t>ANDAYMARCA</t>
  </si>
  <si>
    <t>090720</t>
  </si>
  <si>
    <t>ROBLE</t>
  </si>
  <si>
    <t>090721</t>
  </si>
  <si>
    <t>PICHOS</t>
  </si>
  <si>
    <t>090722</t>
  </si>
  <si>
    <t>SANTIAGO DE TUCUMA</t>
  </si>
  <si>
    <t>090723</t>
  </si>
  <si>
    <t>LAMBRAS</t>
  </si>
  <si>
    <t>090724</t>
  </si>
  <si>
    <t xml:space="preserve">COCHABAMBA </t>
  </si>
  <si>
    <t>090725</t>
  </si>
  <si>
    <t>HUÁNUCO</t>
  </si>
  <si>
    <t xml:space="preserve">HUANUCO </t>
  </si>
  <si>
    <t>100101</t>
  </si>
  <si>
    <t xml:space="preserve">AMARILIS </t>
  </si>
  <si>
    <t>100102</t>
  </si>
  <si>
    <t xml:space="preserve">CHINCHAO </t>
  </si>
  <si>
    <t>100103</t>
  </si>
  <si>
    <t>CHURUBAMBA</t>
  </si>
  <si>
    <t>100104</t>
  </si>
  <si>
    <t>MARGOS</t>
  </si>
  <si>
    <t>100105</t>
  </si>
  <si>
    <t>QUISQUI</t>
  </si>
  <si>
    <t>100106</t>
  </si>
  <si>
    <t xml:space="preserve">SAN FRANCISCO DE CAYRAN </t>
  </si>
  <si>
    <t>100107</t>
  </si>
  <si>
    <t xml:space="preserve">SAN PEDRO DE CHAULAN </t>
  </si>
  <si>
    <t>100108</t>
  </si>
  <si>
    <t>SANTA MARIA DEL VALLE</t>
  </si>
  <si>
    <t>100109</t>
  </si>
  <si>
    <t>YARUMAYO</t>
  </si>
  <si>
    <t>100110</t>
  </si>
  <si>
    <t>PILLCO MARCA</t>
  </si>
  <si>
    <t>100111</t>
  </si>
  <si>
    <t>YACUS</t>
  </si>
  <si>
    <t>100112</t>
  </si>
  <si>
    <t>SAN PABLO DE PILLAO</t>
  </si>
  <si>
    <t>100113</t>
  </si>
  <si>
    <t>AMBO</t>
  </si>
  <si>
    <t>100201</t>
  </si>
  <si>
    <t>CAYNA</t>
  </si>
  <si>
    <t>100202</t>
  </si>
  <si>
    <t>COLPAS</t>
  </si>
  <si>
    <t>100203</t>
  </si>
  <si>
    <t>CONCHAMARCA</t>
  </si>
  <si>
    <t>100204</t>
  </si>
  <si>
    <t>HUACAR</t>
  </si>
  <si>
    <t>100205</t>
  </si>
  <si>
    <t>SAN FRANCISCO</t>
  </si>
  <si>
    <t>100206</t>
  </si>
  <si>
    <t>SAN RAFAEL</t>
  </si>
  <si>
    <t>100207</t>
  </si>
  <si>
    <t>TOMAY KICHWA</t>
  </si>
  <si>
    <t>100208</t>
  </si>
  <si>
    <t>DOS DE MAYO</t>
  </si>
  <si>
    <t>LA UNION</t>
  </si>
  <si>
    <t>100301</t>
  </si>
  <si>
    <t>CHUQUIS</t>
  </si>
  <si>
    <t>100307</t>
  </si>
  <si>
    <t>MARIAS</t>
  </si>
  <si>
    <t>100311</t>
  </si>
  <si>
    <t>PACHAS</t>
  </si>
  <si>
    <t>100313</t>
  </si>
  <si>
    <t>QUIVILLA</t>
  </si>
  <si>
    <t>100316</t>
  </si>
  <si>
    <t>RIPAN</t>
  </si>
  <si>
    <t>100317</t>
  </si>
  <si>
    <t>SHUNQUI</t>
  </si>
  <si>
    <t>100321</t>
  </si>
  <si>
    <t>SILLAPATA</t>
  </si>
  <si>
    <t>100322</t>
  </si>
  <si>
    <t>YANAS</t>
  </si>
  <si>
    <t>100323</t>
  </si>
  <si>
    <t>HUACAYBAMBA</t>
  </si>
  <si>
    <t>100401</t>
  </si>
  <si>
    <t>CANCHABAMBA</t>
  </si>
  <si>
    <t>100402</t>
  </si>
  <si>
    <t>100403</t>
  </si>
  <si>
    <t>PINRA</t>
  </si>
  <si>
    <t>100404</t>
  </si>
  <si>
    <t>HUAMALIES</t>
  </si>
  <si>
    <t>LLATA</t>
  </si>
  <si>
    <t>100501</t>
  </si>
  <si>
    <t>ARANCAY</t>
  </si>
  <si>
    <t>100502</t>
  </si>
  <si>
    <t>CHAVIN DE PARIARCA</t>
  </si>
  <si>
    <t>100503</t>
  </si>
  <si>
    <t>JACAS GRANDE</t>
  </si>
  <si>
    <t>100504</t>
  </si>
  <si>
    <t>JIRCAN</t>
  </si>
  <si>
    <t>100505</t>
  </si>
  <si>
    <t xml:space="preserve">MIRAFLORES </t>
  </si>
  <si>
    <t>100506</t>
  </si>
  <si>
    <t>MONZON</t>
  </si>
  <si>
    <t>100507</t>
  </si>
  <si>
    <t>PUNCHAO</t>
  </si>
  <si>
    <t>100508</t>
  </si>
  <si>
    <t>PUÑOS</t>
  </si>
  <si>
    <t>100509</t>
  </si>
  <si>
    <t>SINGA</t>
  </si>
  <si>
    <t>100510</t>
  </si>
  <si>
    <t>TANTAMAYO</t>
  </si>
  <si>
    <t>100511</t>
  </si>
  <si>
    <t>RUPA-RUPA</t>
  </si>
  <si>
    <t>100601</t>
  </si>
  <si>
    <t>DANIEL ALOMIA ROBLES</t>
  </si>
  <si>
    <t>100602</t>
  </si>
  <si>
    <t>HERMILIO VALDIZAN</t>
  </si>
  <si>
    <t>100603</t>
  </si>
  <si>
    <t>JOSE CRESPO Y CASTILLO</t>
  </si>
  <si>
    <t>100604</t>
  </si>
  <si>
    <t>LUYANDO</t>
  </si>
  <si>
    <t>100605</t>
  </si>
  <si>
    <t>MARIANO DAMASO BERAUN</t>
  </si>
  <si>
    <t>100606</t>
  </si>
  <si>
    <t>PUCAYACU</t>
  </si>
  <si>
    <t>100607</t>
  </si>
  <si>
    <t>CASTILLO GRANDE</t>
  </si>
  <si>
    <t>100608</t>
  </si>
  <si>
    <t>PUEBLO NUEVO</t>
  </si>
  <si>
    <t>100609</t>
  </si>
  <si>
    <t>SANTO DOMINGO DE ANDA</t>
  </si>
  <si>
    <t>100610</t>
  </si>
  <si>
    <t>MARAÑÓN</t>
  </si>
  <si>
    <t>HUACRACHUCO</t>
  </si>
  <si>
    <t>100701</t>
  </si>
  <si>
    <t>CHOLON</t>
  </si>
  <si>
    <t>100702</t>
  </si>
  <si>
    <t>SAN BUENAVENTURA</t>
  </si>
  <si>
    <t>100703</t>
  </si>
  <si>
    <t>LA MORADA</t>
  </si>
  <si>
    <t>100704</t>
  </si>
  <si>
    <t xml:space="preserve">SANTA ROSA DE ALTO YANAJANCA   </t>
  </si>
  <si>
    <t>100705</t>
  </si>
  <si>
    <t>PACHITEA</t>
  </si>
  <si>
    <t>PANAO</t>
  </si>
  <si>
    <t>100801</t>
  </si>
  <si>
    <t>CHAGLLA</t>
  </si>
  <si>
    <t>100802</t>
  </si>
  <si>
    <t>MOLINO</t>
  </si>
  <si>
    <t>100803</t>
  </si>
  <si>
    <t xml:space="preserve">UMARI  </t>
  </si>
  <si>
    <t>100804</t>
  </si>
  <si>
    <t>PUERTO INCA</t>
  </si>
  <si>
    <t>100901</t>
  </si>
  <si>
    <t>CODO DEL POZUZO</t>
  </si>
  <si>
    <t>100902</t>
  </si>
  <si>
    <t>HONORIA</t>
  </si>
  <si>
    <t>100903</t>
  </si>
  <si>
    <t xml:space="preserve">TOURNAVISTA  </t>
  </si>
  <si>
    <t>100904</t>
  </si>
  <si>
    <t>YUYAPICHIS</t>
  </si>
  <si>
    <t>100905</t>
  </si>
  <si>
    <t>LAURICOCHA</t>
  </si>
  <si>
    <t xml:space="preserve">JESUS  </t>
  </si>
  <si>
    <t>101001</t>
  </si>
  <si>
    <t>BAÑOS</t>
  </si>
  <si>
    <t>101002</t>
  </si>
  <si>
    <t>JIVIA</t>
  </si>
  <si>
    <t>101003</t>
  </si>
  <si>
    <t>QUEROPALCA</t>
  </si>
  <si>
    <t>101004</t>
  </si>
  <si>
    <t>RONDOS</t>
  </si>
  <si>
    <t>101005</t>
  </si>
  <si>
    <t>SAN FRANCISCO DE ASIS</t>
  </si>
  <si>
    <t>101006</t>
  </si>
  <si>
    <t>SAN MIGUEL DE CAURI</t>
  </si>
  <si>
    <t>101007</t>
  </si>
  <si>
    <t>YAROWILCA</t>
  </si>
  <si>
    <t>CHAVINILLO</t>
  </si>
  <si>
    <t>101101</t>
  </si>
  <si>
    <t>CAHUAC</t>
  </si>
  <si>
    <t>101102</t>
  </si>
  <si>
    <t>CHACABAMBA</t>
  </si>
  <si>
    <t>101103</t>
  </si>
  <si>
    <t>APARICIO POMARES</t>
  </si>
  <si>
    <t>101104</t>
  </si>
  <si>
    <t>JACAS CHICO</t>
  </si>
  <si>
    <t>101105</t>
  </si>
  <si>
    <t>OBAS</t>
  </si>
  <si>
    <t>101106</t>
  </si>
  <si>
    <t xml:space="preserve">PAMPAMARCA  </t>
  </si>
  <si>
    <t>101107</t>
  </si>
  <si>
    <t>CHORAS</t>
  </si>
  <si>
    <t>101108</t>
  </si>
  <si>
    <t>ICA</t>
  </si>
  <si>
    <t>110101</t>
  </si>
  <si>
    <t>LA TINGUIÑA</t>
  </si>
  <si>
    <t>110102</t>
  </si>
  <si>
    <t>LOS AQUIJES</t>
  </si>
  <si>
    <t>110103</t>
  </si>
  <si>
    <t>OCUCAJE</t>
  </si>
  <si>
    <t>110104</t>
  </si>
  <si>
    <t>PACHACUTEC</t>
  </si>
  <si>
    <t>110105</t>
  </si>
  <si>
    <t>PARCONA</t>
  </si>
  <si>
    <t>110106</t>
  </si>
  <si>
    <t xml:space="preserve">PUEBLO NUEVO  </t>
  </si>
  <si>
    <t>110107</t>
  </si>
  <si>
    <t>SALAS</t>
  </si>
  <si>
    <t>110108</t>
  </si>
  <si>
    <t>SAN JOSE DE LOS MOLINOS</t>
  </si>
  <si>
    <t>110109</t>
  </si>
  <si>
    <t xml:space="preserve">SAN JUAN BAUTISTA  </t>
  </si>
  <si>
    <t>110110</t>
  </si>
  <si>
    <t xml:space="preserve">SANTIAGO  </t>
  </si>
  <si>
    <t>110111</t>
  </si>
  <si>
    <t>SUBTANJALLA</t>
  </si>
  <si>
    <t>110112</t>
  </si>
  <si>
    <t>TATE</t>
  </si>
  <si>
    <t>110113</t>
  </si>
  <si>
    <t xml:space="preserve">YAUCA DEL ROSARIO </t>
  </si>
  <si>
    <t>110114</t>
  </si>
  <si>
    <t>CHINCHA</t>
  </si>
  <si>
    <t>CHINCHA ALTA</t>
  </si>
  <si>
    <t>110201</t>
  </si>
  <si>
    <t>ALTO LARAN</t>
  </si>
  <si>
    <t>110202</t>
  </si>
  <si>
    <t>CHAVIN</t>
  </si>
  <si>
    <t>110203</t>
  </si>
  <si>
    <t>CHINCHA BAJA</t>
  </si>
  <si>
    <t>110204</t>
  </si>
  <si>
    <t xml:space="preserve">EL CARMEN </t>
  </si>
  <si>
    <t>110205</t>
  </si>
  <si>
    <t>GROCIO PRADO</t>
  </si>
  <si>
    <t>110206</t>
  </si>
  <si>
    <t xml:space="preserve">PUEBLO NUEVO   </t>
  </si>
  <si>
    <t>110207</t>
  </si>
  <si>
    <t>SAN JUAN DE YANAC</t>
  </si>
  <si>
    <t>110208</t>
  </si>
  <si>
    <t>SAN PEDRO DE HUACARPANA</t>
  </si>
  <si>
    <t>110209</t>
  </si>
  <si>
    <t>SUNAMPE</t>
  </si>
  <si>
    <t>110210</t>
  </si>
  <si>
    <t>TAMBO DE MORA</t>
  </si>
  <si>
    <t>110211</t>
  </si>
  <si>
    <t xml:space="preserve">NASCA  </t>
  </si>
  <si>
    <t>NASCA</t>
  </si>
  <si>
    <t>110301</t>
  </si>
  <si>
    <t>CHANGUILLO</t>
  </si>
  <si>
    <t>110302</t>
  </si>
  <si>
    <t>EL INGENIO</t>
  </si>
  <si>
    <t>110303</t>
  </si>
  <si>
    <t>MARCONA</t>
  </si>
  <si>
    <t>110304</t>
  </si>
  <si>
    <t xml:space="preserve">VISTA ALEGRE  </t>
  </si>
  <si>
    <t>110305</t>
  </si>
  <si>
    <t>PALPA</t>
  </si>
  <si>
    <t>110401</t>
  </si>
  <si>
    <t>LLIPATA</t>
  </si>
  <si>
    <t>110402</t>
  </si>
  <si>
    <t xml:space="preserve">RIO GRANDE </t>
  </si>
  <si>
    <t>110403</t>
  </si>
  <si>
    <t xml:space="preserve">SANTA CRUZ  </t>
  </si>
  <si>
    <t>110404</t>
  </si>
  <si>
    <t>TIBILLO</t>
  </si>
  <si>
    <t>110405</t>
  </si>
  <si>
    <t>PISCO</t>
  </si>
  <si>
    <t>110501</t>
  </si>
  <si>
    <t>HUANCANO</t>
  </si>
  <si>
    <t>110502</t>
  </si>
  <si>
    <t>HUMAY</t>
  </si>
  <si>
    <t>110503</t>
  </si>
  <si>
    <t xml:space="preserve">INDEPENDENCIA  </t>
  </si>
  <si>
    <t>110504</t>
  </si>
  <si>
    <t>PARACAS</t>
  </si>
  <si>
    <t>110505</t>
  </si>
  <si>
    <t>SAN ANDRES</t>
  </si>
  <si>
    <t>110506</t>
  </si>
  <si>
    <t>SAN CLEMENTE</t>
  </si>
  <si>
    <t>110507</t>
  </si>
  <si>
    <t>TUPAC AMARU INCA</t>
  </si>
  <si>
    <t>110508</t>
  </si>
  <si>
    <t>JUNÍN</t>
  </si>
  <si>
    <t>HUANCAYO</t>
  </si>
  <si>
    <t>120101</t>
  </si>
  <si>
    <t>CARHUACALLANGA</t>
  </si>
  <si>
    <t>120104</t>
  </si>
  <si>
    <t>CHACAPAMPA</t>
  </si>
  <si>
    <t>120105</t>
  </si>
  <si>
    <t>CHICCHE</t>
  </si>
  <si>
    <t>120106</t>
  </si>
  <si>
    <t>CHILCA</t>
  </si>
  <si>
    <t>120107</t>
  </si>
  <si>
    <t>CHONGOS ALTO</t>
  </si>
  <si>
    <t>120108</t>
  </si>
  <si>
    <t>CHUPURO</t>
  </si>
  <si>
    <t>120111</t>
  </si>
  <si>
    <t xml:space="preserve">COLCA  </t>
  </si>
  <si>
    <t>120112</t>
  </si>
  <si>
    <t>CULLHUAS</t>
  </si>
  <si>
    <t>120113</t>
  </si>
  <si>
    <t>EL TAMBO</t>
  </si>
  <si>
    <t>120114</t>
  </si>
  <si>
    <t>HUACRAPUQUIO</t>
  </si>
  <si>
    <t>120116</t>
  </si>
  <si>
    <t>HUALHUAS</t>
  </si>
  <si>
    <t>120117</t>
  </si>
  <si>
    <t>HUANCAN</t>
  </si>
  <si>
    <t>120119</t>
  </si>
  <si>
    <t>HUASICANCHA</t>
  </si>
  <si>
    <t>120120</t>
  </si>
  <si>
    <t>HUAYUCACHI</t>
  </si>
  <si>
    <t>120121</t>
  </si>
  <si>
    <t>INGENIO</t>
  </si>
  <si>
    <t>120122</t>
  </si>
  <si>
    <t xml:space="preserve">PARIAHUANCA </t>
  </si>
  <si>
    <t>120124</t>
  </si>
  <si>
    <t>PILCOMAYO</t>
  </si>
  <si>
    <t>120125</t>
  </si>
  <si>
    <t xml:space="preserve">PUCARA </t>
  </si>
  <si>
    <t>120126</t>
  </si>
  <si>
    <t>QUICHUAY</t>
  </si>
  <si>
    <t>120127</t>
  </si>
  <si>
    <t>QUILCAS</t>
  </si>
  <si>
    <t>120128</t>
  </si>
  <si>
    <t>SAN AGUSTIN</t>
  </si>
  <si>
    <t>120129</t>
  </si>
  <si>
    <t>SAN JERONIMO DE TUNAN</t>
  </si>
  <si>
    <t>120130</t>
  </si>
  <si>
    <t>SAÑO</t>
  </si>
  <si>
    <t>120132</t>
  </si>
  <si>
    <t>SAPALLANGA</t>
  </si>
  <si>
    <t>120133</t>
  </si>
  <si>
    <t>SICAYA</t>
  </si>
  <si>
    <t>120134</t>
  </si>
  <si>
    <t>SANTO DOMINGO DE ACOBAMBA</t>
  </si>
  <si>
    <t>120135</t>
  </si>
  <si>
    <t>VIQUES</t>
  </si>
  <si>
    <t>120136</t>
  </si>
  <si>
    <t>CONCEPCIÓN</t>
  </si>
  <si>
    <t xml:space="preserve">CONCEPCION </t>
  </si>
  <si>
    <t>120201</t>
  </si>
  <si>
    <t xml:space="preserve">ACO </t>
  </si>
  <si>
    <t>120202</t>
  </si>
  <si>
    <t>ANDAMARCA</t>
  </si>
  <si>
    <t>120203</t>
  </si>
  <si>
    <t>CHAMBARA</t>
  </si>
  <si>
    <t>120204</t>
  </si>
  <si>
    <t xml:space="preserve">COCHAS  </t>
  </si>
  <si>
    <t>120205</t>
  </si>
  <si>
    <t>COMAS</t>
  </si>
  <si>
    <t>120206</t>
  </si>
  <si>
    <t>HEROINAS TOLEDO</t>
  </si>
  <si>
    <t>120207</t>
  </si>
  <si>
    <t>MANZANARES</t>
  </si>
  <si>
    <t>120208</t>
  </si>
  <si>
    <t xml:space="preserve">MARISCAL CASTILLA  </t>
  </si>
  <si>
    <t>120209</t>
  </si>
  <si>
    <t>MATAHUASI</t>
  </si>
  <si>
    <t>120210</t>
  </si>
  <si>
    <t>MITO</t>
  </si>
  <si>
    <t>120211</t>
  </si>
  <si>
    <t>NUEVE DE JULIO</t>
  </si>
  <si>
    <t>120212</t>
  </si>
  <si>
    <t>ORCOTUNA</t>
  </si>
  <si>
    <t>120213</t>
  </si>
  <si>
    <t>SAN JOSE DE QUERO</t>
  </si>
  <si>
    <t>120214</t>
  </si>
  <si>
    <t>SANTA ROSA DE OCOPA</t>
  </si>
  <si>
    <t>120215</t>
  </si>
  <si>
    <t>CHANCHAMAYO</t>
  </si>
  <si>
    <t>120301</t>
  </si>
  <si>
    <t>PERENE</t>
  </si>
  <si>
    <t>120302</t>
  </si>
  <si>
    <t>PICHANAQUI</t>
  </si>
  <si>
    <t>120303</t>
  </si>
  <si>
    <t>SAN LUIS DE SHUARO</t>
  </si>
  <si>
    <t>120304</t>
  </si>
  <si>
    <t>SAN RAMON</t>
  </si>
  <si>
    <t>120305</t>
  </si>
  <si>
    <t>VITOC</t>
  </si>
  <si>
    <t>120306</t>
  </si>
  <si>
    <t>JAUJA</t>
  </si>
  <si>
    <t>120401</t>
  </si>
  <si>
    <t>ACOLLA</t>
  </si>
  <si>
    <t>120402</t>
  </si>
  <si>
    <t>APATA</t>
  </si>
  <si>
    <t>120403</t>
  </si>
  <si>
    <t>ATAURA</t>
  </si>
  <si>
    <t>120404</t>
  </si>
  <si>
    <t>CANCHAYLLO</t>
  </si>
  <si>
    <t>120405</t>
  </si>
  <si>
    <t>CURICACA</t>
  </si>
  <si>
    <t>120406</t>
  </si>
  <si>
    <t>EL MANTARO</t>
  </si>
  <si>
    <t>120407</t>
  </si>
  <si>
    <t>HUAMALI</t>
  </si>
  <si>
    <t>120408</t>
  </si>
  <si>
    <t>HUARIPAMPA</t>
  </si>
  <si>
    <t>120409</t>
  </si>
  <si>
    <t>HUERTAS</t>
  </si>
  <si>
    <t>120410</t>
  </si>
  <si>
    <t>JANJAILLO</t>
  </si>
  <si>
    <t>120411</t>
  </si>
  <si>
    <t>JULCAN</t>
  </si>
  <si>
    <t>120412</t>
  </si>
  <si>
    <t>LEONOR ORDOÑEZ</t>
  </si>
  <si>
    <t>120413</t>
  </si>
  <si>
    <t>LLOCLLAPAMPA</t>
  </si>
  <si>
    <t>120414</t>
  </si>
  <si>
    <t>MARCO</t>
  </si>
  <si>
    <t>120415</t>
  </si>
  <si>
    <t>MASMA</t>
  </si>
  <si>
    <t>120416</t>
  </si>
  <si>
    <t>MASMA CHICCHE</t>
  </si>
  <si>
    <t>120417</t>
  </si>
  <si>
    <t>MOLINOS</t>
  </si>
  <si>
    <t>120418</t>
  </si>
  <si>
    <t>MONOBAMBA</t>
  </si>
  <si>
    <t>120419</t>
  </si>
  <si>
    <t>MUQUI</t>
  </si>
  <si>
    <t>120420</t>
  </si>
  <si>
    <t>MUQUIYAUYO</t>
  </si>
  <si>
    <t>120421</t>
  </si>
  <si>
    <t>PACA</t>
  </si>
  <si>
    <t>120422</t>
  </si>
  <si>
    <t xml:space="preserve">PACCHA </t>
  </si>
  <si>
    <t>120423</t>
  </si>
  <si>
    <t>PANCAN</t>
  </si>
  <si>
    <t>120424</t>
  </si>
  <si>
    <t>PARCO</t>
  </si>
  <si>
    <t>120425</t>
  </si>
  <si>
    <t>POMACANCHA</t>
  </si>
  <si>
    <t>120426</t>
  </si>
  <si>
    <t>RICRAN</t>
  </si>
  <si>
    <t>120427</t>
  </si>
  <si>
    <t>SAN LORENZO</t>
  </si>
  <si>
    <t>120428</t>
  </si>
  <si>
    <t>SAN PEDRO DE CHUNAN</t>
  </si>
  <si>
    <t>120429</t>
  </si>
  <si>
    <t>SAUSA</t>
  </si>
  <si>
    <t>120430</t>
  </si>
  <si>
    <t>SINCOS</t>
  </si>
  <si>
    <t>120431</t>
  </si>
  <si>
    <t>TUNAN MARCA</t>
  </si>
  <si>
    <t>120432</t>
  </si>
  <si>
    <t xml:space="preserve">YAULI </t>
  </si>
  <si>
    <t>120433</t>
  </si>
  <si>
    <t>YAUYOS</t>
  </si>
  <si>
    <t>120434</t>
  </si>
  <si>
    <t>JUNIN</t>
  </si>
  <si>
    <t>120501</t>
  </si>
  <si>
    <t>CARHUAMAYO</t>
  </si>
  <si>
    <t>120502</t>
  </si>
  <si>
    <t>ONDORES</t>
  </si>
  <si>
    <t>120503</t>
  </si>
  <si>
    <t>ULCUMAYO</t>
  </si>
  <si>
    <t>120504</t>
  </si>
  <si>
    <t>SATIPO</t>
  </si>
  <si>
    <t>120601</t>
  </si>
  <si>
    <t>COVIRIALI</t>
  </si>
  <si>
    <t>120602</t>
  </si>
  <si>
    <t>LLAYLLA</t>
  </si>
  <si>
    <t>120603</t>
  </si>
  <si>
    <t xml:space="preserve">MAZAMARI </t>
  </si>
  <si>
    <t>120604</t>
  </si>
  <si>
    <t>PAMPA HERMOSA</t>
  </si>
  <si>
    <t>120605</t>
  </si>
  <si>
    <t xml:space="preserve">PANGOA  </t>
  </si>
  <si>
    <t>120606</t>
  </si>
  <si>
    <t xml:space="preserve">RIO NEGRO </t>
  </si>
  <si>
    <t>120607</t>
  </si>
  <si>
    <t>RIO TAMBO</t>
  </si>
  <si>
    <t>120608</t>
  </si>
  <si>
    <t>VIZCATAN DEL ENE</t>
  </si>
  <si>
    <t>120609</t>
  </si>
  <si>
    <t>TARMA</t>
  </si>
  <si>
    <t>120701</t>
  </si>
  <si>
    <t xml:space="preserve">ACOBAMBA  </t>
  </si>
  <si>
    <t>120702</t>
  </si>
  <si>
    <t>HUARICOLCA</t>
  </si>
  <si>
    <t>120703</t>
  </si>
  <si>
    <t>HUASAHUASI</t>
  </si>
  <si>
    <t>120704</t>
  </si>
  <si>
    <t xml:space="preserve">LA UNION  </t>
  </si>
  <si>
    <t>120705</t>
  </si>
  <si>
    <t xml:space="preserve">PALCA </t>
  </si>
  <si>
    <t>120706</t>
  </si>
  <si>
    <t>PALCAMAYO</t>
  </si>
  <si>
    <t>120707</t>
  </si>
  <si>
    <t>SAN PEDRO DE CAJAS</t>
  </si>
  <si>
    <t>120708</t>
  </si>
  <si>
    <t>TAPO</t>
  </si>
  <si>
    <t>120709</t>
  </si>
  <si>
    <t>LA OROYA</t>
  </si>
  <si>
    <t>120801</t>
  </si>
  <si>
    <t>CHACAPALPA</t>
  </si>
  <si>
    <t>120802</t>
  </si>
  <si>
    <t>HUAY-HUAY</t>
  </si>
  <si>
    <t>120803</t>
  </si>
  <si>
    <t>MARCAPOMACOCHA</t>
  </si>
  <si>
    <t>120804</t>
  </si>
  <si>
    <t>MOROCOCHA</t>
  </si>
  <si>
    <t>120805</t>
  </si>
  <si>
    <t xml:space="preserve">PACCHA  </t>
  </si>
  <si>
    <t>120806</t>
  </si>
  <si>
    <t>SANTA BARBARA DE CARHUACAYAN</t>
  </si>
  <si>
    <t>120807</t>
  </si>
  <si>
    <t>SANTA ROSA DE SACCO</t>
  </si>
  <si>
    <t>120808</t>
  </si>
  <si>
    <t>SUITUCANCHA</t>
  </si>
  <si>
    <t>120809</t>
  </si>
  <si>
    <t xml:space="preserve">YAULI  </t>
  </si>
  <si>
    <t>120810</t>
  </si>
  <si>
    <t>CHUPACA</t>
  </si>
  <si>
    <t>120901</t>
  </si>
  <si>
    <t>AHUAC</t>
  </si>
  <si>
    <t>120902</t>
  </si>
  <si>
    <t>CHONGOS BAJO</t>
  </si>
  <si>
    <t>120903</t>
  </si>
  <si>
    <t>HUACHAC</t>
  </si>
  <si>
    <t>120904</t>
  </si>
  <si>
    <t>HUAMANCACA CHICO</t>
  </si>
  <si>
    <t>120905</t>
  </si>
  <si>
    <t>SAN JUAN DE ISCOS</t>
  </si>
  <si>
    <t>120906</t>
  </si>
  <si>
    <t>SAN JUAN DE JARPA</t>
  </si>
  <si>
    <t>120907</t>
  </si>
  <si>
    <t>TRES DE DICIEMBRE</t>
  </si>
  <si>
    <t>120908</t>
  </si>
  <si>
    <t>YANACANCHA</t>
  </si>
  <si>
    <t>120909</t>
  </si>
  <si>
    <t>TRUJILLO</t>
  </si>
  <si>
    <t>130101</t>
  </si>
  <si>
    <t xml:space="preserve">EL PORVENIR </t>
  </si>
  <si>
    <t>130102</t>
  </si>
  <si>
    <t xml:space="preserve">FLORENCIA DE MORA </t>
  </si>
  <si>
    <t>130103</t>
  </si>
  <si>
    <t xml:space="preserve">HUANCHACO </t>
  </si>
  <si>
    <t>130104</t>
  </si>
  <si>
    <t xml:space="preserve">LA ESPERANZA </t>
  </si>
  <si>
    <t>130105</t>
  </si>
  <si>
    <t xml:space="preserve">LAREDO </t>
  </si>
  <si>
    <t>130106</t>
  </si>
  <si>
    <t>MOCHE</t>
  </si>
  <si>
    <t>130107</t>
  </si>
  <si>
    <t>POROTO</t>
  </si>
  <si>
    <t>130108</t>
  </si>
  <si>
    <t>SALAVERRY</t>
  </si>
  <si>
    <t>130109</t>
  </si>
  <si>
    <t>SIMBAL</t>
  </si>
  <si>
    <t>130110</t>
  </si>
  <si>
    <t>VICTOR LARCO HERRERA</t>
  </si>
  <si>
    <t>130111</t>
  </si>
  <si>
    <t xml:space="preserve">ALTO TRUJILLO </t>
  </si>
  <si>
    <t>130112</t>
  </si>
  <si>
    <t>ASCOPE</t>
  </si>
  <si>
    <t>130201</t>
  </si>
  <si>
    <t>CHICAMA</t>
  </si>
  <si>
    <t>130202</t>
  </si>
  <si>
    <t>CHOCOPE</t>
  </si>
  <si>
    <t>130203</t>
  </si>
  <si>
    <t>MAGDALENA DE CAO</t>
  </si>
  <si>
    <t>130204</t>
  </si>
  <si>
    <t>PAIJAN</t>
  </si>
  <si>
    <t>130205</t>
  </si>
  <si>
    <t>RAZURI</t>
  </si>
  <si>
    <t>130206</t>
  </si>
  <si>
    <t>SANTIAGO DE CAO</t>
  </si>
  <si>
    <t>130207</t>
  </si>
  <si>
    <t>CASA GRANDE</t>
  </si>
  <si>
    <t>130208</t>
  </si>
  <si>
    <t xml:space="preserve">BOLIVAR </t>
  </si>
  <si>
    <t>130301</t>
  </si>
  <si>
    <t xml:space="preserve">BAMBAMARCA </t>
  </si>
  <si>
    <t>130302</t>
  </si>
  <si>
    <t>CONDORMARCA</t>
  </si>
  <si>
    <t>130303</t>
  </si>
  <si>
    <t>LONGOTEA</t>
  </si>
  <si>
    <t>130304</t>
  </si>
  <si>
    <t>UCHUMARCA</t>
  </si>
  <si>
    <t>130305</t>
  </si>
  <si>
    <t>UCUNCHA</t>
  </si>
  <si>
    <t>130306</t>
  </si>
  <si>
    <t>CHEPEN</t>
  </si>
  <si>
    <t>130401</t>
  </si>
  <si>
    <t>PACANGA</t>
  </si>
  <si>
    <t>130402</t>
  </si>
  <si>
    <t xml:space="preserve">PUEBLO NUEVO    </t>
  </si>
  <si>
    <t>130403</t>
  </si>
  <si>
    <t xml:space="preserve">JULCAN </t>
  </si>
  <si>
    <t>130501</t>
  </si>
  <si>
    <t>CALAMARCA</t>
  </si>
  <si>
    <t>130502</t>
  </si>
  <si>
    <t>CARABAMBA</t>
  </si>
  <si>
    <t>130503</t>
  </si>
  <si>
    <t>HUASO</t>
  </si>
  <si>
    <t>130504</t>
  </si>
  <si>
    <t>OTUZCO</t>
  </si>
  <si>
    <t>130601</t>
  </si>
  <si>
    <t>AGALLPAMPA</t>
  </si>
  <si>
    <t>130602</t>
  </si>
  <si>
    <t>CHARAT</t>
  </si>
  <si>
    <t>130604</t>
  </si>
  <si>
    <t>HUARANCHAL</t>
  </si>
  <si>
    <t>130605</t>
  </si>
  <si>
    <t>LA CUESTA</t>
  </si>
  <si>
    <t>130606</t>
  </si>
  <si>
    <t>MACHE</t>
  </si>
  <si>
    <t>130608</t>
  </si>
  <si>
    <t>PARANDAY</t>
  </si>
  <si>
    <t>130610</t>
  </si>
  <si>
    <t>SALPO</t>
  </si>
  <si>
    <t>130611</t>
  </si>
  <si>
    <t>SINSICAP</t>
  </si>
  <si>
    <t>130613</t>
  </si>
  <si>
    <t>USQUIL</t>
  </si>
  <si>
    <t>130614</t>
  </si>
  <si>
    <t>PACASMAYO</t>
  </si>
  <si>
    <t>SAN PEDRO DE LLOC</t>
  </si>
  <si>
    <t>130701</t>
  </si>
  <si>
    <t>GUADALUPE</t>
  </si>
  <si>
    <t>130702</t>
  </si>
  <si>
    <t>JEQUETEPEQUE</t>
  </si>
  <si>
    <t>130703</t>
  </si>
  <si>
    <t>130704</t>
  </si>
  <si>
    <t>SAN JOSE</t>
  </si>
  <si>
    <t>130705</t>
  </si>
  <si>
    <t>PATAZ</t>
  </si>
  <si>
    <t>TAYABAMBA</t>
  </si>
  <si>
    <t>130801</t>
  </si>
  <si>
    <t>BULDIBUYO</t>
  </si>
  <si>
    <t>130802</t>
  </si>
  <si>
    <t>CHILLIA</t>
  </si>
  <si>
    <t>130803</t>
  </si>
  <si>
    <t>HUANCASPATA</t>
  </si>
  <si>
    <t>130804</t>
  </si>
  <si>
    <t>HUAYLILLAS</t>
  </si>
  <si>
    <t>130805</t>
  </si>
  <si>
    <t>HUAYO</t>
  </si>
  <si>
    <t>130806</t>
  </si>
  <si>
    <t>ONGON</t>
  </si>
  <si>
    <t>130807</t>
  </si>
  <si>
    <t>PARCOY</t>
  </si>
  <si>
    <t>130808</t>
  </si>
  <si>
    <t>130809</t>
  </si>
  <si>
    <t>PIAS</t>
  </si>
  <si>
    <t>130810</t>
  </si>
  <si>
    <t>SANTIAGO DE CHALLAS</t>
  </si>
  <si>
    <t>130811</t>
  </si>
  <si>
    <t>TAURIJA</t>
  </si>
  <si>
    <t>130812</t>
  </si>
  <si>
    <t>URPAY</t>
  </si>
  <si>
    <t>130813</t>
  </si>
  <si>
    <t>SANCHEZ CARRION</t>
  </si>
  <si>
    <t>HUAMACHUCO</t>
  </si>
  <si>
    <t>130901</t>
  </si>
  <si>
    <t>CHUGAY</t>
  </si>
  <si>
    <t>130902</t>
  </si>
  <si>
    <t>COCHORCO</t>
  </si>
  <si>
    <t>130903</t>
  </si>
  <si>
    <t>CURGOS</t>
  </si>
  <si>
    <t>130904</t>
  </si>
  <si>
    <t>MARCABAL</t>
  </si>
  <si>
    <t>130905</t>
  </si>
  <si>
    <t>SANAGORAN</t>
  </si>
  <si>
    <t>130906</t>
  </si>
  <si>
    <t>SARIN</t>
  </si>
  <si>
    <t>130907</t>
  </si>
  <si>
    <t>SARTIMBAMBA</t>
  </si>
  <si>
    <t>130908</t>
  </si>
  <si>
    <t>SANTIAGO DE CHUCO</t>
  </si>
  <si>
    <t>131001</t>
  </si>
  <si>
    <t>ANGASMARCA</t>
  </si>
  <si>
    <t>131002</t>
  </si>
  <si>
    <t>CACHICADAN</t>
  </si>
  <si>
    <t>131003</t>
  </si>
  <si>
    <t>MOLLEBAMBA</t>
  </si>
  <si>
    <t>131004</t>
  </si>
  <si>
    <t xml:space="preserve">MOLLEPATA </t>
  </si>
  <si>
    <t>131005</t>
  </si>
  <si>
    <t>QUIRUVILCA</t>
  </si>
  <si>
    <t>131006</t>
  </si>
  <si>
    <t>SANTA CRUZ DE CHUCA</t>
  </si>
  <si>
    <t>131007</t>
  </si>
  <si>
    <t>SITABAMBA</t>
  </si>
  <si>
    <t>131008</t>
  </si>
  <si>
    <t>GRAN CHIMU</t>
  </si>
  <si>
    <t>CASCAS</t>
  </si>
  <si>
    <t>131101</t>
  </si>
  <si>
    <t xml:space="preserve">LUCMA </t>
  </si>
  <si>
    <t>131102</t>
  </si>
  <si>
    <t xml:space="preserve">MARMOT </t>
  </si>
  <si>
    <t>131103</t>
  </si>
  <si>
    <t>SAYAPULLO</t>
  </si>
  <si>
    <t>131104</t>
  </si>
  <si>
    <t>VIRU</t>
  </si>
  <si>
    <t>131201</t>
  </si>
  <si>
    <t>CHAO</t>
  </si>
  <si>
    <t>131202</t>
  </si>
  <si>
    <t>GUADALUPITO</t>
  </si>
  <si>
    <t>131203</t>
  </si>
  <si>
    <t>LAMBAYEQUE</t>
  </si>
  <si>
    <t>CHICLAYO</t>
  </si>
  <si>
    <t>140101</t>
  </si>
  <si>
    <t>CHONGOYAPE</t>
  </si>
  <si>
    <t>140102</t>
  </si>
  <si>
    <t>ETEN</t>
  </si>
  <si>
    <t>140103</t>
  </si>
  <si>
    <t>ETEN PUERTO</t>
  </si>
  <si>
    <t>140104</t>
  </si>
  <si>
    <t>JOSE LEONARDO ORTIZ</t>
  </si>
  <si>
    <t>140105</t>
  </si>
  <si>
    <t>LA VICTORIA</t>
  </si>
  <si>
    <t>140106</t>
  </si>
  <si>
    <t>LAGUNAS</t>
  </si>
  <si>
    <t>140107</t>
  </si>
  <si>
    <t>MONSEFU</t>
  </si>
  <si>
    <t>140108</t>
  </si>
  <si>
    <t>NUEVA ARICA</t>
  </si>
  <si>
    <t>140109</t>
  </si>
  <si>
    <t>OYOTUN</t>
  </si>
  <si>
    <t>140110</t>
  </si>
  <si>
    <t>PICSI</t>
  </si>
  <si>
    <t>140111</t>
  </si>
  <si>
    <t>PIMENTEL</t>
  </si>
  <si>
    <t>140112</t>
  </si>
  <si>
    <t>REQUE</t>
  </si>
  <si>
    <t>140113</t>
  </si>
  <si>
    <t xml:space="preserve">SANTA ROSA     </t>
  </si>
  <si>
    <t>140114</t>
  </si>
  <si>
    <t>SAÑA</t>
  </si>
  <si>
    <t>140115</t>
  </si>
  <si>
    <t>CAYALTI</t>
  </si>
  <si>
    <t>140116</t>
  </si>
  <si>
    <t>PATAPO</t>
  </si>
  <si>
    <t>140117</t>
  </si>
  <si>
    <t>POMALCA</t>
  </si>
  <si>
    <t>140118</t>
  </si>
  <si>
    <t>PUCALA</t>
  </si>
  <si>
    <t>140119</t>
  </si>
  <si>
    <t>TUMAN</t>
  </si>
  <si>
    <t>140120</t>
  </si>
  <si>
    <t>FERREÑAFE</t>
  </si>
  <si>
    <t>140201</t>
  </si>
  <si>
    <t>CAÑARIS</t>
  </si>
  <si>
    <t>140202</t>
  </si>
  <si>
    <t>INCAHUASI</t>
  </si>
  <si>
    <t>140203</t>
  </si>
  <si>
    <t>MANUEL ANTONIO MESONES MURO</t>
  </si>
  <si>
    <t>140204</t>
  </si>
  <si>
    <t>PITIPO</t>
  </si>
  <si>
    <t>140205</t>
  </si>
  <si>
    <t xml:space="preserve">PUEBLO NUEVO </t>
  </si>
  <si>
    <t>140206</t>
  </si>
  <si>
    <t>140301</t>
  </si>
  <si>
    <t>CHOCHOPE</t>
  </si>
  <si>
    <t>140302</t>
  </si>
  <si>
    <t>ILLIMO</t>
  </si>
  <si>
    <t>140303</t>
  </si>
  <si>
    <t>JAYANCA</t>
  </si>
  <si>
    <t>140304</t>
  </si>
  <si>
    <t>MOCHUMI</t>
  </si>
  <si>
    <t>140305</t>
  </si>
  <si>
    <t>MORROPE</t>
  </si>
  <si>
    <t>140306</t>
  </si>
  <si>
    <t>MOTUPE</t>
  </si>
  <si>
    <t>140307</t>
  </si>
  <si>
    <t>OLMOS</t>
  </si>
  <si>
    <t>140308</t>
  </si>
  <si>
    <t>PACORA</t>
  </si>
  <si>
    <t>140309</t>
  </si>
  <si>
    <t xml:space="preserve">SALAS </t>
  </si>
  <si>
    <t>140310</t>
  </si>
  <si>
    <t xml:space="preserve">SAN JOSE </t>
  </si>
  <si>
    <t>140311</t>
  </si>
  <si>
    <t>TUCUME</t>
  </si>
  <si>
    <t>140312</t>
  </si>
  <si>
    <t xml:space="preserve">LIMA </t>
  </si>
  <si>
    <t>LIMA METROPOLITANA</t>
  </si>
  <si>
    <t>LIMA</t>
  </si>
  <si>
    <t>150101</t>
  </si>
  <si>
    <t>ANCON</t>
  </si>
  <si>
    <t>150102</t>
  </si>
  <si>
    <t>ATE</t>
  </si>
  <si>
    <t>150103</t>
  </si>
  <si>
    <t>BARRANCO</t>
  </si>
  <si>
    <t>150104</t>
  </si>
  <si>
    <t>BREÑA</t>
  </si>
  <si>
    <t>150105</t>
  </si>
  <si>
    <t>CARABAYLLO</t>
  </si>
  <si>
    <t>150106</t>
  </si>
  <si>
    <t>CHACLACAYO</t>
  </si>
  <si>
    <t>150107</t>
  </si>
  <si>
    <t>CHORRILLOS</t>
  </si>
  <si>
    <t>150108</t>
  </si>
  <si>
    <t>CIENEGUILLA</t>
  </si>
  <si>
    <t>150109</t>
  </si>
  <si>
    <t xml:space="preserve">COMAS </t>
  </si>
  <si>
    <t>150110</t>
  </si>
  <si>
    <t>EL AGUSTINO</t>
  </si>
  <si>
    <t>150111</t>
  </si>
  <si>
    <t xml:space="preserve">INDEPENDENCIA   </t>
  </si>
  <si>
    <t>150112</t>
  </si>
  <si>
    <t>JESUS MARIA</t>
  </si>
  <si>
    <t>150113</t>
  </si>
  <si>
    <t>LA MOLINA</t>
  </si>
  <si>
    <t>150114</t>
  </si>
  <si>
    <t xml:space="preserve">LA VICTORIA </t>
  </si>
  <si>
    <t>150115</t>
  </si>
  <si>
    <t>LINCE</t>
  </si>
  <si>
    <t>150116</t>
  </si>
  <si>
    <t>LOS OLIVOS</t>
  </si>
  <si>
    <t>150117</t>
  </si>
  <si>
    <t>LURIGANCHO</t>
  </si>
  <si>
    <t>150118</t>
  </si>
  <si>
    <t>LURIN</t>
  </si>
  <si>
    <t>150119</t>
  </si>
  <si>
    <t>MAGDALENA DEL MAR</t>
  </si>
  <si>
    <t>150120</t>
  </si>
  <si>
    <t xml:space="preserve">PUEBLO LIBRE </t>
  </si>
  <si>
    <t>150121</t>
  </si>
  <si>
    <t xml:space="preserve">MIRAFLORES  </t>
  </si>
  <si>
    <t>150122</t>
  </si>
  <si>
    <t>PACHACAMAC</t>
  </si>
  <si>
    <t>150123</t>
  </si>
  <si>
    <t>PUCUSANA</t>
  </si>
  <si>
    <t>150124</t>
  </si>
  <si>
    <t xml:space="preserve">PUENTE PIEDRA </t>
  </si>
  <si>
    <t>150125</t>
  </si>
  <si>
    <t>PUNTA HERMOSA</t>
  </si>
  <si>
    <t>150126</t>
  </si>
  <si>
    <t>PUNTA NEGRA</t>
  </si>
  <si>
    <t>150127</t>
  </si>
  <si>
    <t>RIMAC</t>
  </si>
  <si>
    <t>150128</t>
  </si>
  <si>
    <t>SAN BARTOLO</t>
  </si>
  <si>
    <t>150129</t>
  </si>
  <si>
    <t>SAN BORJA</t>
  </si>
  <si>
    <t>150130</t>
  </si>
  <si>
    <t>SAN ISIDRO</t>
  </si>
  <si>
    <t>150131</t>
  </si>
  <si>
    <t>SAN JUAN DE LURIGANCHO</t>
  </si>
  <si>
    <t>150132</t>
  </si>
  <si>
    <t>SAN JUAN DE MIRAFLORES</t>
  </si>
  <si>
    <t>150133</t>
  </si>
  <si>
    <t xml:space="preserve">SAN LUIS  </t>
  </si>
  <si>
    <t>150134</t>
  </si>
  <si>
    <t>SAN MARTIN DE PORRES</t>
  </si>
  <si>
    <t>150135</t>
  </si>
  <si>
    <t xml:space="preserve">SAN MIGUEL  </t>
  </si>
  <si>
    <t>150136</t>
  </si>
  <si>
    <t>SANTA ANITA</t>
  </si>
  <si>
    <t>150137</t>
  </si>
  <si>
    <t>SANTA MARIA DEL MAR</t>
  </si>
  <si>
    <t>150138</t>
  </si>
  <si>
    <t xml:space="preserve">SANTA ROSA      </t>
  </si>
  <si>
    <t>150139</t>
  </si>
  <si>
    <t>SANTIAGO DE SURCO</t>
  </si>
  <si>
    <t>150140</t>
  </si>
  <si>
    <t>SURQUILLO</t>
  </si>
  <si>
    <t>150141</t>
  </si>
  <si>
    <t>VILLA EL SALVADOR</t>
  </si>
  <si>
    <t>150142</t>
  </si>
  <si>
    <t>VILLA MARIA DEL TRIUNFO</t>
  </si>
  <si>
    <t>150143</t>
  </si>
  <si>
    <t>BARRANCA</t>
  </si>
  <si>
    <t>150201</t>
  </si>
  <si>
    <t>PARAMONGA</t>
  </si>
  <si>
    <t>150202</t>
  </si>
  <si>
    <t>PATIVILCA</t>
  </si>
  <si>
    <t>150203</t>
  </si>
  <si>
    <t>SUPE</t>
  </si>
  <si>
    <t>150204</t>
  </si>
  <si>
    <t>SUPE PUERTO</t>
  </si>
  <si>
    <t>150205</t>
  </si>
  <si>
    <t>CAJATAMBO</t>
  </si>
  <si>
    <t>150301</t>
  </si>
  <si>
    <t>COPA</t>
  </si>
  <si>
    <t>150302</t>
  </si>
  <si>
    <t>GORGOR</t>
  </si>
  <si>
    <t>150303</t>
  </si>
  <si>
    <t>HUANCAPON</t>
  </si>
  <si>
    <t>150304</t>
  </si>
  <si>
    <t>MANAS</t>
  </si>
  <si>
    <t>150305</t>
  </si>
  <si>
    <t>CANTA</t>
  </si>
  <si>
    <t>150401</t>
  </si>
  <si>
    <t>ARAHUAY</t>
  </si>
  <si>
    <t>150402</t>
  </si>
  <si>
    <t>HUAMANTANGA</t>
  </si>
  <si>
    <t>150403</t>
  </si>
  <si>
    <t>HUAROS</t>
  </si>
  <si>
    <t>150404</t>
  </si>
  <si>
    <t>LACHAQUI</t>
  </si>
  <si>
    <t>150405</t>
  </si>
  <si>
    <t>150406</t>
  </si>
  <si>
    <t>SANTA ROSA DE QUIVES</t>
  </si>
  <si>
    <t>150407</t>
  </si>
  <si>
    <t>CAÑETE</t>
  </si>
  <si>
    <t>SAN VICENTE DE CAÑETE</t>
  </si>
  <si>
    <t>150501</t>
  </si>
  <si>
    <t>ASIA</t>
  </si>
  <si>
    <t>150502</t>
  </si>
  <si>
    <t>CALANGO</t>
  </si>
  <si>
    <t>150503</t>
  </si>
  <si>
    <t>CERRO AZUL</t>
  </si>
  <si>
    <t>150504</t>
  </si>
  <si>
    <t xml:space="preserve">CHILCA </t>
  </si>
  <si>
    <t>150505</t>
  </si>
  <si>
    <t>COAYLLO</t>
  </si>
  <si>
    <t>150506</t>
  </si>
  <si>
    <t>IMPERIAL</t>
  </si>
  <si>
    <t>150507</t>
  </si>
  <si>
    <t>LUNAHUANA</t>
  </si>
  <si>
    <t>150508</t>
  </si>
  <si>
    <t>MALA</t>
  </si>
  <si>
    <t>150509</t>
  </si>
  <si>
    <t>NUEVO IMPERIAL</t>
  </si>
  <si>
    <t>150510</t>
  </si>
  <si>
    <t>PACARAN</t>
  </si>
  <si>
    <t>150511</t>
  </si>
  <si>
    <t>QUILMANA</t>
  </si>
  <si>
    <t>150512</t>
  </si>
  <si>
    <t xml:space="preserve">SAN ANTONIO </t>
  </si>
  <si>
    <t>150513</t>
  </si>
  <si>
    <t xml:space="preserve">SAN LUIS   </t>
  </si>
  <si>
    <t>150514</t>
  </si>
  <si>
    <t>SANTA CRUZ DE FLORES</t>
  </si>
  <si>
    <t>150515</t>
  </si>
  <si>
    <t>ZUÑIGA</t>
  </si>
  <si>
    <t>150516</t>
  </si>
  <si>
    <t>HUARAL</t>
  </si>
  <si>
    <t>150601</t>
  </si>
  <si>
    <t>ATAVILLOS ALTO</t>
  </si>
  <si>
    <t>150602</t>
  </si>
  <si>
    <t>ATAVILLOS BAJO</t>
  </si>
  <si>
    <t>150603</t>
  </si>
  <si>
    <t>AUCALLAMA</t>
  </si>
  <si>
    <t>150604</t>
  </si>
  <si>
    <t xml:space="preserve">CHANCAY  </t>
  </si>
  <si>
    <t>150605</t>
  </si>
  <si>
    <t>IHUARI</t>
  </si>
  <si>
    <t>150606</t>
  </si>
  <si>
    <t>LAMPIAN</t>
  </si>
  <si>
    <t>150607</t>
  </si>
  <si>
    <t>PACARAOS</t>
  </si>
  <si>
    <t>150608</t>
  </si>
  <si>
    <t>SAN MIGUEL DE ACOS</t>
  </si>
  <si>
    <t>150609</t>
  </si>
  <si>
    <t>SANTA CRUZ DE ANDAMARCA</t>
  </si>
  <si>
    <t>150610</t>
  </si>
  <si>
    <t>SUMBILCA</t>
  </si>
  <si>
    <t>150611</t>
  </si>
  <si>
    <t>VEINTISIETE DE NOVIEMBRE</t>
  </si>
  <si>
    <t>150612</t>
  </si>
  <si>
    <t>HUAROCHIRI</t>
  </si>
  <si>
    <t>MATUCANA</t>
  </si>
  <si>
    <t>150701</t>
  </si>
  <si>
    <t>ANTIOQUIA</t>
  </si>
  <si>
    <t>150702</t>
  </si>
  <si>
    <t>CALLAHUANCA</t>
  </si>
  <si>
    <t>150703</t>
  </si>
  <si>
    <t>CARAMPOMA</t>
  </si>
  <si>
    <t>150704</t>
  </si>
  <si>
    <t>CHICLA</t>
  </si>
  <si>
    <t>150705</t>
  </si>
  <si>
    <t xml:space="preserve">CUENCA  </t>
  </si>
  <si>
    <t>150706</t>
  </si>
  <si>
    <t>HUACHUPAMPA</t>
  </si>
  <si>
    <t>150707</t>
  </si>
  <si>
    <t>HUANZA</t>
  </si>
  <si>
    <t>150708</t>
  </si>
  <si>
    <t>150709</t>
  </si>
  <si>
    <t>LAHUAYTAMBO</t>
  </si>
  <si>
    <t>150710</t>
  </si>
  <si>
    <t>LANGA</t>
  </si>
  <si>
    <t>150711</t>
  </si>
  <si>
    <t>SAN PEDRO DE LARAOS</t>
  </si>
  <si>
    <t>150712</t>
  </si>
  <si>
    <t>MARIATANA</t>
  </si>
  <si>
    <t>150713</t>
  </si>
  <si>
    <t>RICARDO PALMA</t>
  </si>
  <si>
    <t>150714</t>
  </si>
  <si>
    <t>SAN ANDRES DE TUPICOCHA</t>
  </si>
  <si>
    <t>150715</t>
  </si>
  <si>
    <t xml:space="preserve">SAN ANTONIO  </t>
  </si>
  <si>
    <t>150716</t>
  </si>
  <si>
    <t>SAN BARTOLOME</t>
  </si>
  <si>
    <t>150717</t>
  </si>
  <si>
    <t>SAN DAMIAN</t>
  </si>
  <si>
    <t>150718</t>
  </si>
  <si>
    <t>SAN JUAN DE IRIS</t>
  </si>
  <si>
    <t>150719</t>
  </si>
  <si>
    <t>SAN JUAN DE TANTARANCHE</t>
  </si>
  <si>
    <t>150720</t>
  </si>
  <si>
    <t>SAN LORENZO DE QUINTI</t>
  </si>
  <si>
    <t>150721</t>
  </si>
  <si>
    <t>SAN MATEO</t>
  </si>
  <si>
    <t>150722</t>
  </si>
  <si>
    <t>SAN MATEO DE OTAO</t>
  </si>
  <si>
    <t>150723</t>
  </si>
  <si>
    <t>SAN PEDRO DE CASTA</t>
  </si>
  <si>
    <t>150724</t>
  </si>
  <si>
    <t>SAN PEDRO DE HUANCAYRE</t>
  </si>
  <si>
    <t>150725</t>
  </si>
  <si>
    <t>SANGALLAYA</t>
  </si>
  <si>
    <t>150726</t>
  </si>
  <si>
    <t>SANTA CRUZ DE COCACHACRA</t>
  </si>
  <si>
    <t>150727</t>
  </si>
  <si>
    <t>SANTA EULALIA</t>
  </si>
  <si>
    <t>150728</t>
  </si>
  <si>
    <t>SANTIAGO DE ANCHUCAYA</t>
  </si>
  <si>
    <t>150729</t>
  </si>
  <si>
    <t>SANTIAGO DE TUNA</t>
  </si>
  <si>
    <t>150730</t>
  </si>
  <si>
    <t>SANTO DOMINGO DE LOS OLLEROS</t>
  </si>
  <si>
    <t>150731</t>
  </si>
  <si>
    <t>SURCO</t>
  </si>
  <si>
    <t>150732</t>
  </si>
  <si>
    <t>HUAURA</t>
  </si>
  <si>
    <t>HUACHO</t>
  </si>
  <si>
    <t>150801</t>
  </si>
  <si>
    <t>AMBAR</t>
  </si>
  <si>
    <t>150802</t>
  </si>
  <si>
    <t>CALETA DE CARQUIN</t>
  </si>
  <si>
    <t>150803</t>
  </si>
  <si>
    <t>CHECRAS</t>
  </si>
  <si>
    <t>150804</t>
  </si>
  <si>
    <t>HUALMAY</t>
  </si>
  <si>
    <t>150805</t>
  </si>
  <si>
    <t>150806</t>
  </si>
  <si>
    <t xml:space="preserve">LEONCIO PRADO </t>
  </si>
  <si>
    <t>150807</t>
  </si>
  <si>
    <t>PACCHO</t>
  </si>
  <si>
    <t>150808</t>
  </si>
  <si>
    <t>SANTA LEONOR</t>
  </si>
  <si>
    <t>150809</t>
  </si>
  <si>
    <t>SANTA MARIA</t>
  </si>
  <si>
    <t>150810</t>
  </si>
  <si>
    <t>SAYAN</t>
  </si>
  <si>
    <t>150811</t>
  </si>
  <si>
    <t>VEGUETA</t>
  </si>
  <si>
    <t>150812</t>
  </si>
  <si>
    <t>OYON</t>
  </si>
  <si>
    <t>150901</t>
  </si>
  <si>
    <t>ANDAJES</t>
  </si>
  <si>
    <t>150902</t>
  </si>
  <si>
    <t>CAUJUL</t>
  </si>
  <si>
    <t>150903</t>
  </si>
  <si>
    <t>COCHAMARCA</t>
  </si>
  <si>
    <t>150904</t>
  </si>
  <si>
    <t>NAVAN</t>
  </si>
  <si>
    <t>150905</t>
  </si>
  <si>
    <t>PACHANGARA</t>
  </si>
  <si>
    <t>150906</t>
  </si>
  <si>
    <t xml:space="preserve">YAUYOS </t>
  </si>
  <si>
    <t>151001</t>
  </si>
  <si>
    <t>ALIS</t>
  </si>
  <si>
    <t>151002</t>
  </si>
  <si>
    <t>ALLAUCA</t>
  </si>
  <si>
    <t>151003</t>
  </si>
  <si>
    <t>AYAVIRI</t>
  </si>
  <si>
    <t>151004</t>
  </si>
  <si>
    <t>AZANGARO</t>
  </si>
  <si>
    <t>151005</t>
  </si>
  <si>
    <t>CACRA</t>
  </si>
  <si>
    <t>151006</t>
  </si>
  <si>
    <t>CARANIA</t>
  </si>
  <si>
    <t>151007</t>
  </si>
  <si>
    <t>CATAHUASI</t>
  </si>
  <si>
    <t>151008</t>
  </si>
  <si>
    <t>CHOCOS</t>
  </si>
  <si>
    <t>151009</t>
  </si>
  <si>
    <t xml:space="preserve">COCHAS </t>
  </si>
  <si>
    <t>151010</t>
  </si>
  <si>
    <t>COLONIA</t>
  </si>
  <si>
    <t>151011</t>
  </si>
  <si>
    <t>HONGOS</t>
  </si>
  <si>
    <t>151012</t>
  </si>
  <si>
    <t>HUAMPARA</t>
  </si>
  <si>
    <t>151013</t>
  </si>
  <si>
    <t>HUANCAYA</t>
  </si>
  <si>
    <t>151014</t>
  </si>
  <si>
    <t>HUANGASCAR</t>
  </si>
  <si>
    <t>151015</t>
  </si>
  <si>
    <t>HUANTAN</t>
  </si>
  <si>
    <t>151016</t>
  </si>
  <si>
    <t>HUAÑEC</t>
  </si>
  <si>
    <t>151017</t>
  </si>
  <si>
    <t>LARAOS</t>
  </si>
  <si>
    <t>151018</t>
  </si>
  <si>
    <t>LINCHA</t>
  </si>
  <si>
    <t>151019</t>
  </si>
  <si>
    <t>MADEAN</t>
  </si>
  <si>
    <t>151020</t>
  </si>
  <si>
    <t xml:space="preserve">MIRAFLORES     </t>
  </si>
  <si>
    <t>151021</t>
  </si>
  <si>
    <t>OMAS</t>
  </si>
  <si>
    <t>151022</t>
  </si>
  <si>
    <t>PUTINZA</t>
  </si>
  <si>
    <t>151023</t>
  </si>
  <si>
    <t>QUINCHES</t>
  </si>
  <si>
    <t>151024</t>
  </si>
  <si>
    <t>QUINOCAY</t>
  </si>
  <si>
    <t>151025</t>
  </si>
  <si>
    <t>SAN JOAQUIN</t>
  </si>
  <si>
    <t>151026</t>
  </si>
  <si>
    <t>SAN PEDRO DE PILAS</t>
  </si>
  <si>
    <t>151027</t>
  </si>
  <si>
    <t>TANTA</t>
  </si>
  <si>
    <t>151028</t>
  </si>
  <si>
    <t>TAURIPAMPA</t>
  </si>
  <si>
    <t>151029</t>
  </si>
  <si>
    <t>TOMAS</t>
  </si>
  <si>
    <t>151030</t>
  </si>
  <si>
    <t>TUPE</t>
  </si>
  <si>
    <t>151031</t>
  </si>
  <si>
    <t>VIÑAC</t>
  </si>
  <si>
    <t>151032</t>
  </si>
  <si>
    <t>VITIS</t>
  </si>
  <si>
    <t>151033</t>
  </si>
  <si>
    <t>LORETO</t>
  </si>
  <si>
    <t>MAYNAS</t>
  </si>
  <si>
    <t>IQUITOS</t>
  </si>
  <si>
    <t>160101</t>
  </si>
  <si>
    <t xml:space="preserve">ALTO NANAY </t>
  </si>
  <si>
    <t>160102</t>
  </si>
  <si>
    <t>FERNANDO LORES</t>
  </si>
  <si>
    <t>160103</t>
  </si>
  <si>
    <t>INDIANA</t>
  </si>
  <si>
    <t>160104</t>
  </si>
  <si>
    <t>LAS AMAZONAS</t>
  </si>
  <si>
    <t>160105</t>
  </si>
  <si>
    <t>MAZAN</t>
  </si>
  <si>
    <t>160106</t>
  </si>
  <si>
    <t>NAPO</t>
  </si>
  <si>
    <t>160107</t>
  </si>
  <si>
    <t>PUNCHANA</t>
  </si>
  <si>
    <t>160108</t>
  </si>
  <si>
    <t>TORRES CAUSANA</t>
  </si>
  <si>
    <t>160110</t>
  </si>
  <si>
    <t>BELEN</t>
  </si>
  <si>
    <t>160112</t>
  </si>
  <si>
    <t xml:space="preserve">SAN JUAN BAUTISTA </t>
  </si>
  <si>
    <t>160113</t>
  </si>
  <si>
    <t>ALTO AMAZONAS</t>
  </si>
  <si>
    <t>YURIMAGUAS</t>
  </si>
  <si>
    <t>160201</t>
  </si>
  <si>
    <t>BALSAPUERTO</t>
  </si>
  <si>
    <t>160202</t>
  </si>
  <si>
    <t>JEBEROS</t>
  </si>
  <si>
    <t>160205</t>
  </si>
  <si>
    <t xml:space="preserve">LAGUNAS </t>
  </si>
  <si>
    <t>160206</t>
  </si>
  <si>
    <t xml:space="preserve">SANTA CRUZ   </t>
  </si>
  <si>
    <t>160210</t>
  </si>
  <si>
    <t>TENIENTE CESAR LOPEZ ROJAS</t>
  </si>
  <si>
    <t>160211</t>
  </si>
  <si>
    <t>NAUTA</t>
  </si>
  <si>
    <t>160301</t>
  </si>
  <si>
    <t>PARINARI</t>
  </si>
  <si>
    <t>160302</t>
  </si>
  <si>
    <t>TIGRE</t>
  </si>
  <si>
    <t>160303</t>
  </si>
  <si>
    <t>TROMPETEROS</t>
  </si>
  <si>
    <t>160304</t>
  </si>
  <si>
    <t>URARINAS</t>
  </si>
  <si>
    <t>160305</t>
  </si>
  <si>
    <t>MARISCAL RAMON CASTILLA</t>
  </si>
  <si>
    <t>RAMON CASTILLA</t>
  </si>
  <si>
    <t>160401</t>
  </si>
  <si>
    <t>PEBAS</t>
  </si>
  <si>
    <t>160402</t>
  </si>
  <si>
    <t>YAVARI</t>
  </si>
  <si>
    <t>160403</t>
  </si>
  <si>
    <t xml:space="preserve">SAN PABLO  </t>
  </si>
  <si>
    <t>160404</t>
  </si>
  <si>
    <t>SANTA ROSA DE LORETO</t>
  </si>
  <si>
    <t>REQUENA</t>
  </si>
  <si>
    <t>160501</t>
  </si>
  <si>
    <t>ALTO TAPICHE</t>
  </si>
  <si>
    <t>160502</t>
  </si>
  <si>
    <t>CAPELO</t>
  </si>
  <si>
    <t>160503</t>
  </si>
  <si>
    <t>EMILIO SAN MARTIN</t>
  </si>
  <si>
    <t>160504</t>
  </si>
  <si>
    <t>MAQUIA</t>
  </si>
  <si>
    <t>160505</t>
  </si>
  <si>
    <t>PUINAHUA</t>
  </si>
  <si>
    <t>160506</t>
  </si>
  <si>
    <t>SAQUENA</t>
  </si>
  <si>
    <t>160507</t>
  </si>
  <si>
    <t>SOPLIN</t>
  </si>
  <si>
    <t>160508</t>
  </si>
  <si>
    <t>TAPICHE</t>
  </si>
  <si>
    <t>160509</t>
  </si>
  <si>
    <t>JENARO HERRERA</t>
  </si>
  <si>
    <t>160510</t>
  </si>
  <si>
    <t>YAQUERANA</t>
  </si>
  <si>
    <t>160511</t>
  </si>
  <si>
    <t>UCAYALI</t>
  </si>
  <si>
    <t>CONTAMANA</t>
  </si>
  <si>
    <t>160601</t>
  </si>
  <si>
    <t>INAHUAYA</t>
  </si>
  <si>
    <t>160602</t>
  </si>
  <si>
    <t>PADRE MARQUEZ</t>
  </si>
  <si>
    <t>160603</t>
  </si>
  <si>
    <t>160604</t>
  </si>
  <si>
    <t>SARAYACU</t>
  </si>
  <si>
    <t>160605</t>
  </si>
  <si>
    <t>VARGAS GUERRA</t>
  </si>
  <si>
    <t>160606</t>
  </si>
  <si>
    <t xml:space="preserve">DATEM DEL MARAÑON </t>
  </si>
  <si>
    <t xml:space="preserve">BARRANCA  </t>
  </si>
  <si>
    <t>160701</t>
  </si>
  <si>
    <t>CAHUAPANAS</t>
  </si>
  <si>
    <t>160702</t>
  </si>
  <si>
    <t>MANSERICHE</t>
  </si>
  <si>
    <t>160703</t>
  </si>
  <si>
    <t>MORONA</t>
  </si>
  <si>
    <t>160704</t>
  </si>
  <si>
    <t>PASTAZA</t>
  </si>
  <si>
    <t>160705</t>
  </si>
  <si>
    <t>ANDOAS</t>
  </si>
  <si>
    <t>160706</t>
  </si>
  <si>
    <t xml:space="preserve">PUTUMAYO   </t>
  </si>
  <si>
    <t>PUTUMAYO</t>
  </si>
  <si>
    <t>160801</t>
  </si>
  <si>
    <t>ROSA PANDURO</t>
  </si>
  <si>
    <t>160802</t>
  </si>
  <si>
    <t>TENIENTE MANUEL CLAVERO</t>
  </si>
  <si>
    <t>160803</t>
  </si>
  <si>
    <t>YAGUAS</t>
  </si>
  <si>
    <t>160804</t>
  </si>
  <si>
    <t>MADRE DE DIOS</t>
  </si>
  <si>
    <t>TAMBOPATA</t>
  </si>
  <si>
    <t>170101</t>
  </si>
  <si>
    <t>INAMBARI</t>
  </si>
  <si>
    <t>170102</t>
  </si>
  <si>
    <t>LAS PIEDRAS</t>
  </si>
  <si>
    <t>170103</t>
  </si>
  <si>
    <t>LABERINTO</t>
  </si>
  <si>
    <t>170104</t>
  </si>
  <si>
    <t>MANU</t>
  </si>
  <si>
    <t>170201</t>
  </si>
  <si>
    <t>FITZCARRALD</t>
  </si>
  <si>
    <t>170202</t>
  </si>
  <si>
    <t>170203</t>
  </si>
  <si>
    <t>HUEPETUHE</t>
  </si>
  <si>
    <t>170204</t>
  </si>
  <si>
    <t>TAHUAMANU</t>
  </si>
  <si>
    <t>IÑAPARI</t>
  </si>
  <si>
    <t>170301</t>
  </si>
  <si>
    <t>IBERIA</t>
  </si>
  <si>
    <t>170302</t>
  </si>
  <si>
    <t>170303</t>
  </si>
  <si>
    <t>MOQUEGUA</t>
  </si>
  <si>
    <t>MARISCAL NIETO</t>
  </si>
  <si>
    <t>180101</t>
  </si>
  <si>
    <t>CARUMAS</t>
  </si>
  <si>
    <t>180102</t>
  </si>
  <si>
    <t>CUCHUMBAYA</t>
  </si>
  <si>
    <t>180103</t>
  </si>
  <si>
    <t>SAMEGUA</t>
  </si>
  <si>
    <t>180104</t>
  </si>
  <si>
    <t xml:space="preserve">SAN CRISTOBAL  </t>
  </si>
  <si>
    <t>180105</t>
  </si>
  <si>
    <t>TORATA</t>
  </si>
  <si>
    <t>180106</t>
  </si>
  <si>
    <t xml:space="preserve">SAN ANTONIO   </t>
  </si>
  <si>
    <t>180107</t>
  </si>
  <si>
    <t>GENERAL SANCHEZ CERRO</t>
  </si>
  <si>
    <t>OMATE</t>
  </si>
  <si>
    <t>180201</t>
  </si>
  <si>
    <t>CHOJATA</t>
  </si>
  <si>
    <t>180202</t>
  </si>
  <si>
    <t>COALAQUE</t>
  </si>
  <si>
    <t>180203</t>
  </si>
  <si>
    <t>ICHUÑA</t>
  </si>
  <si>
    <t>180204</t>
  </si>
  <si>
    <t>LA CAPILLA</t>
  </si>
  <si>
    <t>180205</t>
  </si>
  <si>
    <t>LLOQUE</t>
  </si>
  <si>
    <t>180206</t>
  </si>
  <si>
    <t>MATALAQUE</t>
  </si>
  <si>
    <t>180207</t>
  </si>
  <si>
    <t>PUQUINA</t>
  </si>
  <si>
    <t>180208</t>
  </si>
  <si>
    <t>QUINISTAQUILLAS</t>
  </si>
  <si>
    <t>180209</t>
  </si>
  <si>
    <t>UBINAS</t>
  </si>
  <si>
    <t>180210</t>
  </si>
  <si>
    <t>YUNGA</t>
  </si>
  <si>
    <t>180211</t>
  </si>
  <si>
    <t>ILO</t>
  </si>
  <si>
    <t>180301</t>
  </si>
  <si>
    <t>EL ALGARROBAL</t>
  </si>
  <si>
    <t>180302</t>
  </si>
  <si>
    <t>PACOCHA</t>
  </si>
  <si>
    <t>180303</t>
  </si>
  <si>
    <t>PASCO</t>
  </si>
  <si>
    <t>CHAUPIMARCA</t>
  </si>
  <si>
    <t>190101</t>
  </si>
  <si>
    <t>HUACHON</t>
  </si>
  <si>
    <t>190102</t>
  </si>
  <si>
    <t>HUARIACA</t>
  </si>
  <si>
    <t>190103</t>
  </si>
  <si>
    <t>HUAYLLAY</t>
  </si>
  <si>
    <t>190104</t>
  </si>
  <si>
    <t>NINACACA</t>
  </si>
  <si>
    <t>190105</t>
  </si>
  <si>
    <t>PALLANCHACRA</t>
  </si>
  <si>
    <t>190106</t>
  </si>
  <si>
    <t xml:space="preserve">PAUCARTAMBO </t>
  </si>
  <si>
    <t>190107</t>
  </si>
  <si>
    <t>SAN FRANCISCO DE ASIS DE YARUSYACAN</t>
  </si>
  <si>
    <t>190108</t>
  </si>
  <si>
    <t>SIMON BOLIVAR</t>
  </si>
  <si>
    <t>190109</t>
  </si>
  <si>
    <t>TICLACAYAN</t>
  </si>
  <si>
    <t>190110</t>
  </si>
  <si>
    <t>TINYAHUARCO</t>
  </si>
  <si>
    <t>190111</t>
  </si>
  <si>
    <t>VICCO</t>
  </si>
  <si>
    <t>190112</t>
  </si>
  <si>
    <t xml:space="preserve">YANACANCHA </t>
  </si>
  <si>
    <t>190113</t>
  </si>
  <si>
    <t>DANIEL ALCIDES CARRIÓN</t>
  </si>
  <si>
    <t>YANAHUANCA</t>
  </si>
  <si>
    <t>190201</t>
  </si>
  <si>
    <t>CHACAYAN</t>
  </si>
  <si>
    <t>190202</t>
  </si>
  <si>
    <t>GOYLLARISQUIZGA</t>
  </si>
  <si>
    <t>190203</t>
  </si>
  <si>
    <t>PAUCAR</t>
  </si>
  <si>
    <t>190204</t>
  </si>
  <si>
    <t>SAN PEDRO DE PILLAO</t>
  </si>
  <si>
    <t>190205</t>
  </si>
  <si>
    <t>SANTA ANA DE TUSI</t>
  </si>
  <si>
    <t>190206</t>
  </si>
  <si>
    <t>TAPUC</t>
  </si>
  <si>
    <t>190207</t>
  </si>
  <si>
    <t xml:space="preserve">VILCABAMBA </t>
  </si>
  <si>
    <t>190208</t>
  </si>
  <si>
    <t>OXAPAMPA</t>
  </si>
  <si>
    <t>190301</t>
  </si>
  <si>
    <t>CHONTABAMBA</t>
  </si>
  <si>
    <t>190302</t>
  </si>
  <si>
    <t>HUANCABAMBA</t>
  </si>
  <si>
    <t>190303</t>
  </si>
  <si>
    <t>PALCAZU</t>
  </si>
  <si>
    <t>190304</t>
  </si>
  <si>
    <t>POZUZO</t>
  </si>
  <si>
    <t>190305</t>
  </si>
  <si>
    <t>PUERTO BERMUDEZ</t>
  </si>
  <si>
    <t>190306</t>
  </si>
  <si>
    <t>VILLA RICA</t>
  </si>
  <si>
    <t>190307</t>
  </si>
  <si>
    <t>CONSTITUCION</t>
  </si>
  <si>
    <t>190308</t>
  </si>
  <si>
    <t>PIURA</t>
  </si>
  <si>
    <t>200101</t>
  </si>
  <si>
    <t>200104</t>
  </si>
  <si>
    <t>CATACAOS</t>
  </si>
  <si>
    <t>200105</t>
  </si>
  <si>
    <t>CURA MORI</t>
  </si>
  <si>
    <t>200107</t>
  </si>
  <si>
    <t>EL TALLAN</t>
  </si>
  <si>
    <t>200108</t>
  </si>
  <si>
    <t>LA ARENA</t>
  </si>
  <si>
    <t>200109</t>
  </si>
  <si>
    <t xml:space="preserve">LA UNION </t>
  </si>
  <si>
    <t>200110</t>
  </si>
  <si>
    <t>LAS LOMAS</t>
  </si>
  <si>
    <t>200111</t>
  </si>
  <si>
    <t>TAMBO GRANDE</t>
  </si>
  <si>
    <t>200114</t>
  </si>
  <si>
    <t>VEINTISEIS DE OCTUBRE</t>
  </si>
  <si>
    <t>200115</t>
  </si>
  <si>
    <t>AYABACA</t>
  </si>
  <si>
    <t>200201</t>
  </si>
  <si>
    <t>FRIAS</t>
  </si>
  <si>
    <t>200202</t>
  </si>
  <si>
    <t>JILILI</t>
  </si>
  <si>
    <t>200203</t>
  </si>
  <si>
    <t xml:space="preserve">LAGUNAS  </t>
  </si>
  <si>
    <t>200204</t>
  </si>
  <si>
    <t>MONTERO</t>
  </si>
  <si>
    <t>200205</t>
  </si>
  <si>
    <t>PACAIPAMPA</t>
  </si>
  <si>
    <t>200206</t>
  </si>
  <si>
    <t>PAIMAS</t>
  </si>
  <si>
    <t>200207</t>
  </si>
  <si>
    <t>SAPILLICA</t>
  </si>
  <si>
    <t>200208</t>
  </si>
  <si>
    <t>SICCHEZ</t>
  </si>
  <si>
    <t>200209</t>
  </si>
  <si>
    <t>SUYO</t>
  </si>
  <si>
    <t>200210</t>
  </si>
  <si>
    <t xml:space="preserve">HUANCABAMBA  </t>
  </si>
  <si>
    <t>200301</t>
  </si>
  <si>
    <t>CANCHAQUE</t>
  </si>
  <si>
    <t>200302</t>
  </si>
  <si>
    <t>EL CARMEN DE LA FRONTERA</t>
  </si>
  <si>
    <t>200303</t>
  </si>
  <si>
    <t>HUARMACA</t>
  </si>
  <si>
    <t>200304</t>
  </si>
  <si>
    <t>LALAQUIZ</t>
  </si>
  <si>
    <t>200305</t>
  </si>
  <si>
    <t>SAN MIGUEL DE EL FAIQUE</t>
  </si>
  <si>
    <t>200306</t>
  </si>
  <si>
    <t>SONDOR</t>
  </si>
  <si>
    <t>200307</t>
  </si>
  <si>
    <t>SONDORILLO</t>
  </si>
  <si>
    <t>200308</t>
  </si>
  <si>
    <t>MORROPON</t>
  </si>
  <si>
    <t>CHULUCANAS</t>
  </si>
  <si>
    <t>200401</t>
  </si>
  <si>
    <t>BUENOS AIRES</t>
  </si>
  <si>
    <t>200402</t>
  </si>
  <si>
    <t>CHALACO</t>
  </si>
  <si>
    <t>200403</t>
  </si>
  <si>
    <t>LA MATANZA</t>
  </si>
  <si>
    <t>200404</t>
  </si>
  <si>
    <t>200405</t>
  </si>
  <si>
    <t>SALITRAL</t>
  </si>
  <si>
    <t>200406</t>
  </si>
  <si>
    <t>SAN JUAN DE BIGOTE</t>
  </si>
  <si>
    <t>200407</t>
  </si>
  <si>
    <t>SANTA CATALINA DE MOSSA</t>
  </si>
  <si>
    <t>200408</t>
  </si>
  <si>
    <t>SANTO DOMINGO</t>
  </si>
  <si>
    <t>200409</t>
  </si>
  <si>
    <t>YAMANGO</t>
  </si>
  <si>
    <t>200410</t>
  </si>
  <si>
    <t>PAITA</t>
  </si>
  <si>
    <t>200501</t>
  </si>
  <si>
    <t>AMOTAPE</t>
  </si>
  <si>
    <t>200502</t>
  </si>
  <si>
    <t>ARENAL</t>
  </si>
  <si>
    <t>200503</t>
  </si>
  <si>
    <t>COLAN</t>
  </si>
  <si>
    <t>200504</t>
  </si>
  <si>
    <t>LA HUACA</t>
  </si>
  <si>
    <t>200505</t>
  </si>
  <si>
    <t>TAMARINDO</t>
  </si>
  <si>
    <t>200506</t>
  </si>
  <si>
    <t>VICHAYAL</t>
  </si>
  <si>
    <t>200507</t>
  </si>
  <si>
    <t>SULLANA</t>
  </si>
  <si>
    <t>200601</t>
  </si>
  <si>
    <t xml:space="preserve">BELLAVISTA  </t>
  </si>
  <si>
    <t>200602</t>
  </si>
  <si>
    <t>IGNACIO ESCUDERO</t>
  </si>
  <si>
    <t>200603</t>
  </si>
  <si>
    <t>LANCONES</t>
  </si>
  <si>
    <t>200604</t>
  </si>
  <si>
    <t>MARCAVELICA</t>
  </si>
  <si>
    <t>200605</t>
  </si>
  <si>
    <t>MIGUEL CHECA</t>
  </si>
  <si>
    <t>200606</t>
  </si>
  <si>
    <t>QUERECOTILLO</t>
  </si>
  <si>
    <t>200607</t>
  </si>
  <si>
    <t>200608</t>
  </si>
  <si>
    <t>TALARA</t>
  </si>
  <si>
    <t>PARIÑAS</t>
  </si>
  <si>
    <t>200701</t>
  </si>
  <si>
    <t>EL ALTO</t>
  </si>
  <si>
    <t>200702</t>
  </si>
  <si>
    <t>LA BREA</t>
  </si>
  <si>
    <t>200703</t>
  </si>
  <si>
    <t>LOBITOS</t>
  </si>
  <si>
    <t>200704</t>
  </si>
  <si>
    <t>LOS ORGANOS</t>
  </si>
  <si>
    <t>200705</t>
  </si>
  <si>
    <t>MANCORA</t>
  </si>
  <si>
    <t>200706</t>
  </si>
  <si>
    <t>SECHURA</t>
  </si>
  <si>
    <t>200801</t>
  </si>
  <si>
    <t>BELLAVISTA DE LA UNION</t>
  </si>
  <si>
    <t>200802</t>
  </si>
  <si>
    <t>BERNAL</t>
  </si>
  <si>
    <t>200803</t>
  </si>
  <si>
    <t>CRISTO NOS VALGA</t>
  </si>
  <si>
    <t>200804</t>
  </si>
  <si>
    <t>VICE</t>
  </si>
  <si>
    <t>200805</t>
  </si>
  <si>
    <t>RINCONADA LLICUAR</t>
  </si>
  <si>
    <t>200806</t>
  </si>
  <si>
    <t>PUNO</t>
  </si>
  <si>
    <t>210101</t>
  </si>
  <si>
    <t>ACORA</t>
  </si>
  <si>
    <t>210102</t>
  </si>
  <si>
    <t>AMANTANI</t>
  </si>
  <si>
    <t>210103</t>
  </si>
  <si>
    <t>ATUNCOLLA</t>
  </si>
  <si>
    <t>210104</t>
  </si>
  <si>
    <t>CAPACHICA</t>
  </si>
  <si>
    <t>210105</t>
  </si>
  <si>
    <t>CHUCUITO</t>
  </si>
  <si>
    <t>210106</t>
  </si>
  <si>
    <t>COATA</t>
  </si>
  <si>
    <t>210107</t>
  </si>
  <si>
    <t xml:space="preserve">HUATA </t>
  </si>
  <si>
    <t>210108</t>
  </si>
  <si>
    <t>MAÑAZO</t>
  </si>
  <si>
    <t>210109</t>
  </si>
  <si>
    <t>PAUCARCOLLA</t>
  </si>
  <si>
    <t>210110</t>
  </si>
  <si>
    <t>PICHACANI</t>
  </si>
  <si>
    <t>210111</t>
  </si>
  <si>
    <t>PLATERIA</t>
  </si>
  <si>
    <t>210112</t>
  </si>
  <si>
    <t xml:space="preserve">SAN ANTONIO    </t>
  </si>
  <si>
    <t>210113</t>
  </si>
  <si>
    <t>TIQUILLACA</t>
  </si>
  <si>
    <t>210114</t>
  </si>
  <si>
    <t>VILQUE</t>
  </si>
  <si>
    <t>210115</t>
  </si>
  <si>
    <t xml:space="preserve">AZANGARO </t>
  </si>
  <si>
    <t>210201</t>
  </si>
  <si>
    <t>ACHAYA</t>
  </si>
  <si>
    <t>210202</t>
  </si>
  <si>
    <t>ARAPA</t>
  </si>
  <si>
    <t>210203</t>
  </si>
  <si>
    <t>ASILLO</t>
  </si>
  <si>
    <t>210204</t>
  </si>
  <si>
    <t xml:space="preserve">CAMINACA </t>
  </si>
  <si>
    <t>210205</t>
  </si>
  <si>
    <t>CHUPA</t>
  </si>
  <si>
    <t>210206</t>
  </si>
  <si>
    <t>JOSE DOMINGO CHOQUEHUANCA</t>
  </si>
  <si>
    <t>210207</t>
  </si>
  <si>
    <t>MUÑANI</t>
  </si>
  <si>
    <t>210208</t>
  </si>
  <si>
    <t>POTONI</t>
  </si>
  <si>
    <t>210209</t>
  </si>
  <si>
    <t>SAMAN</t>
  </si>
  <si>
    <t>210210</t>
  </si>
  <si>
    <t>SAN ANTON</t>
  </si>
  <si>
    <t>210211</t>
  </si>
  <si>
    <t xml:space="preserve">SAN JOSE  </t>
  </si>
  <si>
    <t>210212</t>
  </si>
  <si>
    <t>SAN JUAN DE SALINAS</t>
  </si>
  <si>
    <t>210213</t>
  </si>
  <si>
    <t>SANTIAGO DE PUPUJA</t>
  </si>
  <si>
    <t>210214</t>
  </si>
  <si>
    <t>TIRAPATA</t>
  </si>
  <si>
    <t>210215</t>
  </si>
  <si>
    <t>CARABAYA</t>
  </si>
  <si>
    <t>MACUSANI</t>
  </si>
  <si>
    <t>210301</t>
  </si>
  <si>
    <t>AJOYANI</t>
  </si>
  <si>
    <t>210302</t>
  </si>
  <si>
    <t>AYAPATA</t>
  </si>
  <si>
    <t>210303</t>
  </si>
  <si>
    <t>COASA</t>
  </si>
  <si>
    <t>210304</t>
  </si>
  <si>
    <t>CORANI</t>
  </si>
  <si>
    <t>210305</t>
  </si>
  <si>
    <t>CRUCERO</t>
  </si>
  <si>
    <t>210306</t>
  </si>
  <si>
    <t>ITUATA</t>
  </si>
  <si>
    <t>210307</t>
  </si>
  <si>
    <t>OLLACHEA</t>
  </si>
  <si>
    <t>210308</t>
  </si>
  <si>
    <t>SAN GABAN</t>
  </si>
  <si>
    <t>210309</t>
  </si>
  <si>
    <t>USICAYOS</t>
  </si>
  <si>
    <t>210310</t>
  </si>
  <si>
    <t>JULI</t>
  </si>
  <si>
    <t>210401</t>
  </si>
  <si>
    <t>DESAGUADERO</t>
  </si>
  <si>
    <t>210402</t>
  </si>
  <si>
    <t>HUACULLANI</t>
  </si>
  <si>
    <t>210403</t>
  </si>
  <si>
    <t>KELLUYO</t>
  </si>
  <si>
    <t>210404</t>
  </si>
  <si>
    <t>PISACOMA</t>
  </si>
  <si>
    <t>210405</t>
  </si>
  <si>
    <t>POMATA</t>
  </si>
  <si>
    <t>210406</t>
  </si>
  <si>
    <t>ZEPITA</t>
  </si>
  <si>
    <t>210407</t>
  </si>
  <si>
    <t>EL COLLAO</t>
  </si>
  <si>
    <t>ILAVE</t>
  </si>
  <si>
    <t>210501</t>
  </si>
  <si>
    <t>CAPAZO</t>
  </si>
  <si>
    <t>210502</t>
  </si>
  <si>
    <t>PILCUYO</t>
  </si>
  <si>
    <t>210503</t>
  </si>
  <si>
    <t xml:space="preserve">SANTA ROSA       </t>
  </si>
  <si>
    <t>210504</t>
  </si>
  <si>
    <t>CONDURIRI</t>
  </si>
  <si>
    <t>210505</t>
  </si>
  <si>
    <t>HUANCANE</t>
  </si>
  <si>
    <t>210601</t>
  </si>
  <si>
    <t>COJATA</t>
  </si>
  <si>
    <t>210602</t>
  </si>
  <si>
    <t>HUATASANI</t>
  </si>
  <si>
    <t>210603</t>
  </si>
  <si>
    <t>INCHUPALLA</t>
  </si>
  <si>
    <t>210604</t>
  </si>
  <si>
    <t>PUSI</t>
  </si>
  <si>
    <t>210605</t>
  </si>
  <si>
    <t>ROSASPATA</t>
  </si>
  <si>
    <t>210606</t>
  </si>
  <si>
    <t>TARACO</t>
  </si>
  <si>
    <t>210607</t>
  </si>
  <si>
    <t>VILQUE CHICO</t>
  </si>
  <si>
    <t>210608</t>
  </si>
  <si>
    <t xml:space="preserve">LAMPA </t>
  </si>
  <si>
    <t>210701</t>
  </si>
  <si>
    <t>CABANILLA</t>
  </si>
  <si>
    <t>210702</t>
  </si>
  <si>
    <t>CALAPUJA</t>
  </si>
  <si>
    <t>210703</t>
  </si>
  <si>
    <t>NICASIO</t>
  </si>
  <si>
    <t>210704</t>
  </si>
  <si>
    <t>OCUVIRI</t>
  </si>
  <si>
    <t>210705</t>
  </si>
  <si>
    <t xml:space="preserve">PALCA  </t>
  </si>
  <si>
    <t>210706</t>
  </si>
  <si>
    <t>PARATIA</t>
  </si>
  <si>
    <t>210707</t>
  </si>
  <si>
    <t xml:space="preserve">PUCARA  </t>
  </si>
  <si>
    <t>210708</t>
  </si>
  <si>
    <t xml:space="preserve">SANTA LUCIA </t>
  </si>
  <si>
    <t>210709</t>
  </si>
  <si>
    <t>VILAVILA</t>
  </si>
  <si>
    <t>210710</t>
  </si>
  <si>
    <t>MELGAR</t>
  </si>
  <si>
    <t xml:space="preserve">AYAVIRI </t>
  </si>
  <si>
    <t>210801</t>
  </si>
  <si>
    <t>ANTAUTA</t>
  </si>
  <si>
    <t>210802</t>
  </si>
  <si>
    <t>CUPI</t>
  </si>
  <si>
    <t>210803</t>
  </si>
  <si>
    <t>LLALLI</t>
  </si>
  <si>
    <t>210804</t>
  </si>
  <si>
    <t>MACARI</t>
  </si>
  <si>
    <t>210805</t>
  </si>
  <si>
    <t>NUÑOA</t>
  </si>
  <si>
    <t>210806</t>
  </si>
  <si>
    <t>ORURILLO</t>
  </si>
  <si>
    <t>210807</t>
  </si>
  <si>
    <t xml:space="preserve">SANTA ROSA        </t>
  </si>
  <si>
    <t>210808</t>
  </si>
  <si>
    <t>UMACHIRI</t>
  </si>
  <si>
    <t>210809</t>
  </si>
  <si>
    <t>MOHO</t>
  </si>
  <si>
    <t>210901</t>
  </si>
  <si>
    <t>CONIMA</t>
  </si>
  <si>
    <t>210902</t>
  </si>
  <si>
    <t>HUAYRAPATA</t>
  </si>
  <si>
    <t>210903</t>
  </si>
  <si>
    <t>TILALI</t>
  </si>
  <si>
    <t>210904</t>
  </si>
  <si>
    <t>SAN ANTONIO DE PUTINA</t>
  </si>
  <si>
    <t>PUTINA</t>
  </si>
  <si>
    <t>211001</t>
  </si>
  <si>
    <t>ANANEA</t>
  </si>
  <si>
    <t>211002</t>
  </si>
  <si>
    <t>PEDRO VILCA APAZA</t>
  </si>
  <si>
    <t>211003</t>
  </si>
  <si>
    <t>QUILCAPUNCU</t>
  </si>
  <si>
    <t>211004</t>
  </si>
  <si>
    <t>SINA</t>
  </si>
  <si>
    <t>211005</t>
  </si>
  <si>
    <t>SAN ROMAN</t>
  </si>
  <si>
    <t>JULIACA</t>
  </si>
  <si>
    <t>211101</t>
  </si>
  <si>
    <t xml:space="preserve">CABANA  </t>
  </si>
  <si>
    <t>211102</t>
  </si>
  <si>
    <t>CABANILLAS</t>
  </si>
  <si>
    <t>211103</t>
  </si>
  <si>
    <t>CARACOTO</t>
  </si>
  <si>
    <t>211104</t>
  </si>
  <si>
    <t xml:space="preserve">SAN MIGUEL    </t>
  </si>
  <si>
    <t>211105</t>
  </si>
  <si>
    <t>SANDIA</t>
  </si>
  <si>
    <t>211201</t>
  </si>
  <si>
    <t>CUYOCUYO</t>
  </si>
  <si>
    <t>211202</t>
  </si>
  <si>
    <t>LIMBANI</t>
  </si>
  <si>
    <t>211203</t>
  </si>
  <si>
    <t>PATAMBUCO</t>
  </si>
  <si>
    <t>211204</t>
  </si>
  <si>
    <t>PHARA</t>
  </si>
  <si>
    <t>211205</t>
  </si>
  <si>
    <t>QUIACA</t>
  </si>
  <si>
    <t>211206</t>
  </si>
  <si>
    <t>SAN JUAN DEL ORO</t>
  </si>
  <si>
    <t>211207</t>
  </si>
  <si>
    <t>YANAHUAYA</t>
  </si>
  <si>
    <t>211208</t>
  </si>
  <si>
    <t>ALTO INAMBARI</t>
  </si>
  <si>
    <t>211209</t>
  </si>
  <si>
    <t>SAN PEDRO DE PUTINA PUNCO</t>
  </si>
  <si>
    <t>211210</t>
  </si>
  <si>
    <t>YUNGUYO</t>
  </si>
  <si>
    <t>211301</t>
  </si>
  <si>
    <t>ANAPIA</t>
  </si>
  <si>
    <t>211302</t>
  </si>
  <si>
    <t>COPANI</t>
  </si>
  <si>
    <t>211303</t>
  </si>
  <si>
    <t>CUTURAPI</t>
  </si>
  <si>
    <t>211304</t>
  </si>
  <si>
    <t>OLLARAYA</t>
  </si>
  <si>
    <t>211305</t>
  </si>
  <si>
    <t>TINICACHI</t>
  </si>
  <si>
    <t>211306</t>
  </si>
  <si>
    <t>UNICACHI</t>
  </si>
  <si>
    <t>211307</t>
  </si>
  <si>
    <t>SAN MARTÍN</t>
  </si>
  <si>
    <t>MOYOBAMBA</t>
  </si>
  <si>
    <t>220101</t>
  </si>
  <si>
    <t>CALZADA</t>
  </si>
  <si>
    <t>220102</t>
  </si>
  <si>
    <t>HABANA</t>
  </si>
  <si>
    <t>220103</t>
  </si>
  <si>
    <t>JEPELACIO</t>
  </si>
  <si>
    <t>220104</t>
  </si>
  <si>
    <t>SORITOR</t>
  </si>
  <si>
    <t>220105</t>
  </si>
  <si>
    <t>YANTALO</t>
  </si>
  <si>
    <t>220106</t>
  </si>
  <si>
    <t xml:space="preserve">BELLAVISTA     </t>
  </si>
  <si>
    <t>220201</t>
  </si>
  <si>
    <t>ALTO BIAVO</t>
  </si>
  <si>
    <t>220202</t>
  </si>
  <si>
    <t>BAJO BIAVO</t>
  </si>
  <si>
    <t>220203</t>
  </si>
  <si>
    <t>HUALLAGA</t>
  </si>
  <si>
    <t>220204</t>
  </si>
  <si>
    <t xml:space="preserve">SAN PABLO   </t>
  </si>
  <si>
    <t>220205</t>
  </si>
  <si>
    <t xml:space="preserve">SAN RAFAEL </t>
  </si>
  <si>
    <t>220206</t>
  </si>
  <si>
    <t>EL DORADO</t>
  </si>
  <si>
    <t>SAN JOSE DE SISA</t>
  </si>
  <si>
    <t>220301</t>
  </si>
  <si>
    <t>AGUA BLANCA</t>
  </si>
  <si>
    <t>220302</t>
  </si>
  <si>
    <t>SAN MARTIN</t>
  </si>
  <si>
    <t>220303</t>
  </si>
  <si>
    <t xml:space="preserve">SANTA ROSA         </t>
  </si>
  <si>
    <t>220304</t>
  </si>
  <si>
    <t>SHATOJA</t>
  </si>
  <si>
    <t>220305</t>
  </si>
  <si>
    <t>SAPOSOA</t>
  </si>
  <si>
    <t>220401</t>
  </si>
  <si>
    <t>ALTO SAPOSOA</t>
  </si>
  <si>
    <t>220402</t>
  </si>
  <si>
    <t>EL ESLABON</t>
  </si>
  <si>
    <t>220403</t>
  </si>
  <si>
    <t>PISCOYACU</t>
  </si>
  <si>
    <t>220404</t>
  </si>
  <si>
    <t>SACANCHE</t>
  </si>
  <si>
    <t>220405</t>
  </si>
  <si>
    <t>TINGO DE SAPOSOA</t>
  </si>
  <si>
    <t>220406</t>
  </si>
  <si>
    <t>LAMAS</t>
  </si>
  <si>
    <t>220501</t>
  </si>
  <si>
    <t>ALONSO DE ALVARADO</t>
  </si>
  <si>
    <t>220502</t>
  </si>
  <si>
    <t>BARRANQUITA</t>
  </si>
  <si>
    <t>220503</t>
  </si>
  <si>
    <t>CAYNARACHI</t>
  </si>
  <si>
    <t>220504</t>
  </si>
  <si>
    <t>CUÑUMBUQUI</t>
  </si>
  <si>
    <t>220505</t>
  </si>
  <si>
    <t>PINTO RECODO</t>
  </si>
  <si>
    <t>220506</t>
  </si>
  <si>
    <t>RUMISAPA</t>
  </si>
  <si>
    <t>220507</t>
  </si>
  <si>
    <t>SAN ROQUE DE CUMBAZA</t>
  </si>
  <si>
    <t>220508</t>
  </si>
  <si>
    <t>SHANAO</t>
  </si>
  <si>
    <t>220509</t>
  </si>
  <si>
    <t>TABALOSOS</t>
  </si>
  <si>
    <t>220510</t>
  </si>
  <si>
    <t>ZAPATERO</t>
  </si>
  <si>
    <t>220511</t>
  </si>
  <si>
    <t>JUANJUI</t>
  </si>
  <si>
    <t>220601</t>
  </si>
  <si>
    <t>CAMPANILLA</t>
  </si>
  <si>
    <t>220602</t>
  </si>
  <si>
    <t>HUICUNGO</t>
  </si>
  <si>
    <t>220603</t>
  </si>
  <si>
    <t>PACHIZA</t>
  </si>
  <si>
    <t>220604</t>
  </si>
  <si>
    <t>PAJARILLO</t>
  </si>
  <si>
    <t>220605</t>
  </si>
  <si>
    <t>PICOTA</t>
  </si>
  <si>
    <t>220701</t>
  </si>
  <si>
    <t>220702</t>
  </si>
  <si>
    <t>CASPISAPA</t>
  </si>
  <si>
    <t>220703</t>
  </si>
  <si>
    <t>PILLUANA</t>
  </si>
  <si>
    <t>220704</t>
  </si>
  <si>
    <t>PUCACACA</t>
  </si>
  <si>
    <t>220705</t>
  </si>
  <si>
    <t xml:space="preserve">SAN CRISTOBAL   </t>
  </si>
  <si>
    <t>220706</t>
  </si>
  <si>
    <t>SAN HILARION</t>
  </si>
  <si>
    <t>220707</t>
  </si>
  <si>
    <t>SHAMBOYACU</t>
  </si>
  <si>
    <t>220708</t>
  </si>
  <si>
    <t>TINGO DE PONASA</t>
  </si>
  <si>
    <t>220709</t>
  </si>
  <si>
    <t>TRES UNIDOS</t>
  </si>
  <si>
    <t>220710</t>
  </si>
  <si>
    <t>RIOJA</t>
  </si>
  <si>
    <t>220801</t>
  </si>
  <si>
    <t>AWAJUN</t>
  </si>
  <si>
    <t>220802</t>
  </si>
  <si>
    <t>ELIAS SOPLIN VARGAS</t>
  </si>
  <si>
    <t>220803</t>
  </si>
  <si>
    <t>NUEVA CAJAMARCA</t>
  </si>
  <si>
    <t>220804</t>
  </si>
  <si>
    <t>PARDO MIGUEL</t>
  </si>
  <si>
    <t>220805</t>
  </si>
  <si>
    <t>POSIC</t>
  </si>
  <si>
    <t>220806</t>
  </si>
  <si>
    <t>SAN FERNANDO</t>
  </si>
  <si>
    <t>220807</t>
  </si>
  <si>
    <t>YORONGOS</t>
  </si>
  <si>
    <t>220808</t>
  </si>
  <si>
    <t>YURACYACU</t>
  </si>
  <si>
    <t>220809</t>
  </si>
  <si>
    <t>TARAPOTO</t>
  </si>
  <si>
    <t>220901</t>
  </si>
  <si>
    <t>ALBERTO LEVEAU</t>
  </si>
  <si>
    <t>220902</t>
  </si>
  <si>
    <t>CACATACHI</t>
  </si>
  <si>
    <t>220903</t>
  </si>
  <si>
    <t>CHAZUTA</t>
  </si>
  <si>
    <t>220904</t>
  </si>
  <si>
    <t>CHIPURANA</t>
  </si>
  <si>
    <t>220905</t>
  </si>
  <si>
    <t xml:space="preserve">EL PORVENIR  </t>
  </si>
  <si>
    <t>220906</t>
  </si>
  <si>
    <t>HUIMBAYOC</t>
  </si>
  <si>
    <t>220907</t>
  </si>
  <si>
    <t>JUAN GUERRA</t>
  </si>
  <si>
    <t>220908</t>
  </si>
  <si>
    <t>LA BANDA DE SHILCAYO</t>
  </si>
  <si>
    <t>220909</t>
  </si>
  <si>
    <t>MORALES</t>
  </si>
  <si>
    <t>220910</t>
  </si>
  <si>
    <t>PAPAPLAYA</t>
  </si>
  <si>
    <t>220911</t>
  </si>
  <si>
    <t xml:space="preserve">SAN ANTONIO     </t>
  </si>
  <si>
    <t>220912</t>
  </si>
  <si>
    <t>SAUCE</t>
  </si>
  <si>
    <t>220913</t>
  </si>
  <si>
    <t>SHAPAJA</t>
  </si>
  <si>
    <t>220914</t>
  </si>
  <si>
    <t>TOCACHE</t>
  </si>
  <si>
    <t>221001</t>
  </si>
  <si>
    <t>NUEVO PROGRESO</t>
  </si>
  <si>
    <t>221002</t>
  </si>
  <si>
    <t>POLVORA</t>
  </si>
  <si>
    <t>221003</t>
  </si>
  <si>
    <t>SHUNTE</t>
  </si>
  <si>
    <t>221004</t>
  </si>
  <si>
    <t>UCHIZA</t>
  </si>
  <si>
    <t>221005</t>
  </si>
  <si>
    <t xml:space="preserve">SANTA LUCIA  </t>
  </si>
  <si>
    <t>221006</t>
  </si>
  <si>
    <t>TACNA</t>
  </si>
  <si>
    <t>230101</t>
  </si>
  <si>
    <t>ALTO DE LA ALIANZA</t>
  </si>
  <si>
    <t>230102</t>
  </si>
  <si>
    <t>CALANA</t>
  </si>
  <si>
    <t>230103</t>
  </si>
  <si>
    <t>CIUDAD NUEVA</t>
  </si>
  <si>
    <t>230104</t>
  </si>
  <si>
    <t>INCLAN</t>
  </si>
  <si>
    <t>230105</t>
  </si>
  <si>
    <t>PACHIA</t>
  </si>
  <si>
    <t>230106</t>
  </si>
  <si>
    <t xml:space="preserve">PALCA   </t>
  </si>
  <si>
    <t>230107</t>
  </si>
  <si>
    <t>POCOLLAY</t>
  </si>
  <si>
    <t>230108</t>
  </si>
  <si>
    <t>SAMA</t>
  </si>
  <si>
    <t>230109</t>
  </si>
  <si>
    <t>CORONEL GREGORIO ALBARRACIN LANCHIPA</t>
  </si>
  <si>
    <t>230110</t>
  </si>
  <si>
    <t>LA YARADA LOS PALOS</t>
  </si>
  <si>
    <t>230111</t>
  </si>
  <si>
    <t>CANDARAVE</t>
  </si>
  <si>
    <t>230201</t>
  </si>
  <si>
    <t>CAIRANI</t>
  </si>
  <si>
    <t>230202</t>
  </si>
  <si>
    <t>CAMILACA</t>
  </si>
  <si>
    <t>230203</t>
  </si>
  <si>
    <t>CURIBAYA</t>
  </si>
  <si>
    <t>230204</t>
  </si>
  <si>
    <t>HUANUARA</t>
  </si>
  <si>
    <t>230205</t>
  </si>
  <si>
    <t>QUILAHUANI</t>
  </si>
  <si>
    <t>230206</t>
  </si>
  <si>
    <t>JORGE BASADRE</t>
  </si>
  <si>
    <t>LOCUMBA</t>
  </si>
  <si>
    <t>230301</t>
  </si>
  <si>
    <t>ILABAYA</t>
  </si>
  <si>
    <t>230302</t>
  </si>
  <si>
    <t>ITE</t>
  </si>
  <si>
    <t>230303</t>
  </si>
  <si>
    <t>TARATA</t>
  </si>
  <si>
    <t>230401</t>
  </si>
  <si>
    <t>HEROES ALBARRACIN</t>
  </si>
  <si>
    <t>230402</t>
  </si>
  <si>
    <t>ESTIQUE</t>
  </si>
  <si>
    <t>230403</t>
  </si>
  <si>
    <t>ESTIQUE-PAMPA</t>
  </si>
  <si>
    <t>230404</t>
  </si>
  <si>
    <t>SITAJARA</t>
  </si>
  <si>
    <t>230405</t>
  </si>
  <si>
    <t>SUSAPAYA</t>
  </si>
  <si>
    <t>230406</t>
  </si>
  <si>
    <t>TARUCACHI</t>
  </si>
  <si>
    <t>230407</t>
  </si>
  <si>
    <t>TICACO</t>
  </si>
  <si>
    <t>230408</t>
  </si>
  <si>
    <t>TUMBES</t>
  </si>
  <si>
    <t>240101</t>
  </si>
  <si>
    <t>CORRALES</t>
  </si>
  <si>
    <t>240102</t>
  </si>
  <si>
    <t>LA CRUZ</t>
  </si>
  <si>
    <t>240103</t>
  </si>
  <si>
    <t>PAMPAS DE HOSPITAL</t>
  </si>
  <si>
    <t>240104</t>
  </si>
  <si>
    <t>SAN JACINTO</t>
  </si>
  <si>
    <t>240105</t>
  </si>
  <si>
    <t>SAN JUAN DE LA VIRGEN</t>
  </si>
  <si>
    <t>240106</t>
  </si>
  <si>
    <t>CONTRALMIRANTE VILLAR</t>
  </si>
  <si>
    <t>ZORRITOS</t>
  </si>
  <si>
    <t>240201</t>
  </si>
  <si>
    <t>CASITAS</t>
  </si>
  <si>
    <t>240202</t>
  </si>
  <si>
    <t>CANOAS DE PUNTA SAL</t>
  </si>
  <si>
    <t>240203</t>
  </si>
  <si>
    <t>ZARUMILLA</t>
  </si>
  <si>
    <t>240301</t>
  </si>
  <si>
    <t>AGUAS VERDES</t>
  </si>
  <si>
    <t>240302</t>
  </si>
  <si>
    <t>MATAPALO</t>
  </si>
  <si>
    <t>240303</t>
  </si>
  <si>
    <t>PAPAYAL</t>
  </si>
  <si>
    <t>240304</t>
  </si>
  <si>
    <t>CORONEL PORTILLO</t>
  </si>
  <si>
    <t>CALLERIA</t>
  </si>
  <si>
    <t>250101</t>
  </si>
  <si>
    <t>CAMPOVERDE</t>
  </si>
  <si>
    <t>250102</t>
  </si>
  <si>
    <t>IPARIA</t>
  </si>
  <si>
    <t>250103</t>
  </si>
  <si>
    <t>MASISEA</t>
  </si>
  <si>
    <t>250104</t>
  </si>
  <si>
    <t>YARINACOCHA</t>
  </si>
  <si>
    <t>250105</t>
  </si>
  <si>
    <t>NUEVA REQUENA</t>
  </si>
  <si>
    <t>250106</t>
  </si>
  <si>
    <t>MANANTAY</t>
  </si>
  <si>
    <t>250107</t>
  </si>
  <si>
    <t>ATALAYA</t>
  </si>
  <si>
    <t>RAIMONDI</t>
  </si>
  <si>
    <t>250201</t>
  </si>
  <si>
    <t>SEPAHUA</t>
  </si>
  <si>
    <t>250202</t>
  </si>
  <si>
    <t>TAHUANIA</t>
  </si>
  <si>
    <t>250203</t>
  </si>
  <si>
    <t>YURUA</t>
  </si>
  <si>
    <t>250204</t>
  </si>
  <si>
    <t>PADRE ABAD</t>
  </si>
  <si>
    <t>250301</t>
  </si>
  <si>
    <t>IRAZOLA</t>
  </si>
  <si>
    <t>250302</t>
  </si>
  <si>
    <t>CURIMANA</t>
  </si>
  <si>
    <t>250303</t>
  </si>
  <si>
    <t>NESHUYA</t>
  </si>
  <si>
    <t>250304</t>
  </si>
  <si>
    <t>ALEXANDER VON HUMBOLDT</t>
  </si>
  <si>
    <t>250305</t>
  </si>
  <si>
    <t>HUIPOCA</t>
  </si>
  <si>
    <t>250306</t>
  </si>
  <si>
    <t>BOQUERON</t>
  </si>
  <si>
    <t>250307</t>
  </si>
  <si>
    <t>PURÚS</t>
  </si>
  <si>
    <t>PURUS</t>
  </si>
  <si>
    <t>250401</t>
  </si>
  <si>
    <t>PILAR</t>
  </si>
  <si>
    <t>FUENTE</t>
  </si>
  <si>
    <t>INFORMACIÓN</t>
  </si>
  <si>
    <t>VARIABLE</t>
  </si>
  <si>
    <t>CONCEPTO</t>
  </si>
  <si>
    <t>Tamaño de mercado PYME</t>
  </si>
  <si>
    <t>CENEC ajustado con CCNN</t>
  </si>
  <si>
    <t>Privada</t>
  </si>
  <si>
    <t>nro_emp_cenec_corr</t>
  </si>
  <si>
    <t>Número de empresas (pymes con ventas anuales entre 180 mil y 5 millones al 2024) del Censo Económico Anual Corregido</t>
  </si>
  <si>
    <t>censo_cenec</t>
  </si>
  <si>
    <t>Ventas totales de empresas (pymes con ventas anuales entre 180 mil y 5 millones al 2024) del Censo Económico Anual Corregido</t>
  </si>
  <si>
    <t>Ventas promedio de empresas (pymes con ventas anuales entre 180 mil y 5 millones al 2024) del Censo Económico Anual Corregido</t>
  </si>
  <si>
    <t>RT</t>
  </si>
  <si>
    <t>nro_emp_rt</t>
  </si>
  <si>
    <t>Número de empresas (pymes con ventas mensuales entre 3 mil y 416 mil) que reportan Recaudación Tributaria</t>
  </si>
  <si>
    <t>ventas_tot_rt</t>
  </si>
  <si>
    <t>Ventas totales de empresas (pymes con ventas mensuales entre 3 mil y 416 mil) que reportan Recaudación Tributaria en ios últimos 12 meses</t>
  </si>
  <si>
    <t>ventas_prom_rt</t>
  </si>
  <si>
    <t>Ventas promedio de empresas (pymes  con ventas mensuales entre 3 mil y 416 mil) que reportan Recaudación Tributaria en los últimos 12 meses</t>
  </si>
  <si>
    <t>nro_emp_rt_acc</t>
  </si>
  <si>
    <t>Número de empresas (pyme) con RT dentro del universo accionable</t>
  </si>
  <si>
    <t>ventas_tot_rt_acc</t>
  </si>
  <si>
    <t>Ventas totales de empresas (pyme) con RT dentro del universo accionable</t>
  </si>
  <si>
    <t>ventas_prom_rt_acc</t>
  </si>
  <si>
    <t>Ventas promedio de empresas (pyme) con RT dentro del universo accionable</t>
  </si>
  <si>
    <t>Penetración financiera PYME</t>
  </si>
  <si>
    <t>SBS</t>
  </si>
  <si>
    <t>Pública</t>
  </si>
  <si>
    <t>peq_emp_tot_sbs</t>
  </si>
  <si>
    <t>Colocaciones de crédito de pequeñas empresas de la Superintendencia de Banca y Seguros</t>
  </si>
  <si>
    <t>micro_emp_tot_sbs</t>
  </si>
  <si>
    <t>Colocaciones de crédito de microempresas de la Superintendencia de Banca y Seguros</t>
  </si>
  <si>
    <t>mto_desembolso_con_garantia_rcc</t>
  </si>
  <si>
    <t>Monto desembolsado con garantía a nivel sistema financiero del universo accionable cruzado con la RT</t>
  </si>
  <si>
    <t>Calidad de cartera PYME</t>
  </si>
  <si>
    <t>pct_rt_clf_normal_acc</t>
  </si>
  <si>
    <t>Proporción de empresas con RT con clasificación normal en el sistema financiero (sin realizar imputación a missings)</t>
  </si>
  <si>
    <t>saldo_no_moroso_rt_rcc</t>
  </si>
  <si>
    <t>Transaccionalidad Intercorp</t>
  </si>
  <si>
    <t>n_univ_tot_transac</t>
  </si>
  <si>
    <t>Número de empresas del universo Sunat al 202512</t>
  </si>
  <si>
    <t>plin_univ_tot_transac</t>
  </si>
  <si>
    <t>Monto transaccional total del universo Sunat mediante Plin</t>
  </si>
  <si>
    <t>izipay_univ_tot_transac</t>
  </si>
  <si>
    <t>n_univ_tot_transac_acc</t>
  </si>
  <si>
    <t>Número de empresas del mercado accionable</t>
  </si>
  <si>
    <t>plin_univ_tot_transac_acc</t>
  </si>
  <si>
    <t>Monto transaccional total mediante plin del universo accionable</t>
  </si>
  <si>
    <t>izipay_univ_tot_transac_acc</t>
  </si>
  <si>
    <t>Monto transaccional total mediante izipay del universo accionable</t>
  </si>
  <si>
    <t>usuarios_unicos_transac_retail</t>
  </si>
  <si>
    <t>Usuarios unicos que transaccionan en empresas del grupo Intercorp</t>
  </si>
  <si>
    <t>mto_tot_transac_retail</t>
  </si>
  <si>
    <t>Monto transaccional total de empresas del grupo Intercorp</t>
  </si>
  <si>
    <t>tickets_unicos_transac_retail</t>
  </si>
  <si>
    <t>Tickets unicos del total de empresas del grupo Intercorp</t>
  </si>
  <si>
    <t>departamento</t>
  </si>
  <si>
    <t>provincia</t>
  </si>
  <si>
    <t>distrito</t>
  </si>
  <si>
    <t>ubigeo</t>
  </si>
  <si>
    <t>mto_deuda_rt_rcc</t>
  </si>
  <si>
    <t>mto_deuda_no_vigente_rt_rcc</t>
  </si>
  <si>
    <t>nro_emp_cenec_corr_est</t>
  </si>
  <si>
    <t>ventas_tot_mill_soles_cenec_corr_est</t>
  </si>
  <si>
    <t>ventas_prom_mill_soles_cenec_corr_est</t>
  </si>
  <si>
    <t>nro_emp_rt_est</t>
  </si>
  <si>
    <t>ventas_tot_rt_est</t>
  </si>
  <si>
    <t>ventas_prom_rt_est</t>
  </si>
  <si>
    <t>nro_emp_rt_acc_est</t>
  </si>
  <si>
    <t>ventas_tot_rt_acc_est</t>
  </si>
  <si>
    <t>ventas_prom_rt_acc_est</t>
  </si>
  <si>
    <t>peq_emp_tot_sbs_est</t>
  </si>
  <si>
    <t>micro_emp_tot_sbs_est</t>
  </si>
  <si>
    <t>mto_desembolso_con_garantia_rcc_est</t>
  </si>
  <si>
    <t>pct_rt_clf_normal_acc_est</t>
  </si>
  <si>
    <t>pct_rt_clf_normal_acc_est_imp</t>
  </si>
  <si>
    <t>saldo_no_moroso_rt_rcc_est</t>
  </si>
  <si>
    <t>saldo_no_moroso_rt_rcc_est_imp</t>
  </si>
  <si>
    <t>n_univ_tot_transac_est</t>
  </si>
  <si>
    <t>plin_univ_tot_transac_est</t>
  </si>
  <si>
    <t>izipay_univ_tot_transac_est</t>
  </si>
  <si>
    <t>n_univ_tot_transac_acc_est</t>
  </si>
  <si>
    <t>plin_univ_tot_transac_acc_est</t>
  </si>
  <si>
    <t>izipay_univ_tot_transac_acc_est</t>
  </si>
  <si>
    <t>usuarios_unicos_transac_retail_est</t>
  </si>
  <si>
    <t>mto_tot_transac_retail_est</t>
  </si>
  <si>
    <t>tickets_unicos_transac_retail_est</t>
  </si>
  <si>
    <t># Empresas (miles)</t>
  </si>
  <si>
    <t>Venta prom. mensual predic (miles S/)</t>
  </si>
  <si>
    <t># Clusters</t>
  </si>
  <si>
    <t># EE en clusters (miles)</t>
  </si>
  <si>
    <t>CARMEN ALTO</t>
  </si>
  <si>
    <t>VENTANILLA</t>
  </si>
  <si>
    <t>HUANUCO</t>
  </si>
  <si>
    <t>AMARILIS</t>
  </si>
  <si>
    <t>DEPARTAMENTO</t>
  </si>
  <si>
    <t>PROVINCIA</t>
  </si>
  <si>
    <t>DISTRITO</t>
  </si>
  <si>
    <t>UBIGEO</t>
  </si>
  <si>
    <t>NRO_EMP_CENEC_CORR_EST</t>
  </si>
  <si>
    <t>NRO_EMP_RT_EST</t>
  </si>
  <si>
    <t>VENTAS_TOT_RT_EST</t>
  </si>
  <si>
    <t>VENTAS_PROM_RT_EST</t>
  </si>
  <si>
    <t>NRO_EMP_RT_ACC_EST</t>
  </si>
  <si>
    <t>VENTAS_TOT_RT_ACC_EST</t>
  </si>
  <si>
    <t>VENTAS_PROM_RT_ACC_EST</t>
  </si>
  <si>
    <t>ÍNDICE PILAR</t>
  </si>
  <si>
    <t>ÍNDICE PILAR REESCALADO</t>
  </si>
  <si>
    <t>PEQ_EMP_TOT_SBS_EST</t>
  </si>
  <si>
    <t>MICRO_EMP_TOT_SBS_EST</t>
  </si>
  <si>
    <t>MTO_DESEMBOLSO_CON_GARANTIA_RCC_EST</t>
  </si>
  <si>
    <t>PCT_RT_CLF_NORMAL_ACC_EST_IMP</t>
  </si>
  <si>
    <t>SALDO_NO_MOROSO_RCC_EST_IMP</t>
  </si>
  <si>
    <t>N_UNIV_TOT_TRANSAC_EST</t>
  </si>
  <si>
    <t>PLIN_UNIV_TOT_TRANSAC_EST</t>
  </si>
  <si>
    <t>IZIPAY_UNIV_TOT_TRANSAC_EST</t>
  </si>
  <si>
    <t>N_UNIV_TOT_TRANSAC_ACC_EST</t>
  </si>
  <si>
    <t>PLIN_UNIV_TOT_TRANSAC_ACC_EST</t>
  </si>
  <si>
    <t>IZIPAY_UNIV_TOT_TRANSAC_ACC_EST</t>
  </si>
  <si>
    <t>USUARIOS_UNICOS_TRANSAC_RETAIL_EST</t>
  </si>
  <si>
    <t>MTO_TOT_TRANSAC_RETAIL_EST</t>
  </si>
  <si>
    <t>TICKETS_UNICOS_TRANSAC_RETAIL_EST</t>
  </si>
  <si>
    <t>Num</t>
  </si>
  <si>
    <t>CENEC corr</t>
  </si>
  <si>
    <t>TRANSAC univ</t>
  </si>
  <si>
    <t>TAMAÑO DE MERCADO PYME</t>
  </si>
  <si>
    <t>PENETRACIÓN FINANCIERA PYME</t>
  </si>
  <si>
    <t>CALIDAD DE CARTERA PYME</t>
  </si>
  <si>
    <t>TRANSACCIONALIDAD INTERCORP</t>
  </si>
  <si>
    <t>INDICE - POTENCIALIDAD</t>
  </si>
  <si>
    <t>RANKING DE POTENCIALIDAD DE DISTRITOS PRIORIZADOS</t>
  </si>
  <si>
    <t>NUM</t>
  </si>
  <si>
    <t>ÍNDICE - POTENCIALIDAD</t>
  </si>
  <si>
    <t>RANKING DE CLÚSTERES EN DISTRITOS PRIORIZADOS</t>
  </si>
  <si>
    <t>ZONA COMERCIAL</t>
  </si>
  <si>
    <t># EMPRESAS</t>
  </si>
  <si>
    <t>VENTAS TOTALES MENSUALES PREDICHAS (S/.)</t>
  </si>
  <si>
    <t>VENTA PROMEDIO / EMPRESA PREDICHAS (S/.)</t>
  </si>
  <si>
    <t>Lima Plaza San Martin-Wilson-Barrio Chino</t>
  </si>
  <si>
    <t>Gamarra</t>
  </si>
  <si>
    <t>Plaza de Armas de Arequipa y Alrededores</t>
  </si>
  <si>
    <t>Las Malvinas</t>
  </si>
  <si>
    <t>Mercado Modelo de Chiclayo</t>
  </si>
  <si>
    <t>Ovalo de Miraflores</t>
  </si>
  <si>
    <t>Alrededores Plaza Mayor de Trujillo</t>
  </si>
  <si>
    <t>Zona Comercial Lince</t>
  </si>
  <si>
    <t>Plaza Mayor de Cusco, Mercado Central de San Pedro y Alrededores</t>
  </si>
  <si>
    <t>Mercado Modelo de Huancayo y Alrededores</t>
  </si>
  <si>
    <t>Wong Chacarilla y Centro Comercial Caminos del Inca</t>
  </si>
  <si>
    <t>Zona Comercial Mercado San Jose</t>
  </si>
  <si>
    <t>Plaza de Armas de Ica y Alrededores</t>
  </si>
  <si>
    <t>Plaza Mayor de Huaraz</t>
  </si>
  <si>
    <t>ANCASH</t>
  </si>
  <si>
    <t>Mercado Modelo Huanuco y Alrededores</t>
  </si>
  <si>
    <t>Alrededores Kennedy #2</t>
  </si>
  <si>
    <t>Centro Financiero San Isidro</t>
  </si>
  <si>
    <t>Plaza de Armas de Cajamarca y Alrededores</t>
  </si>
  <si>
    <t>Zona Comercio Circuito Magico del Agua</t>
  </si>
  <si>
    <t>Plaza de Armas de Tarapoto y Alrededores</t>
  </si>
  <si>
    <t>Mercado Internacional Tupac Amaru y Alrededores</t>
  </si>
  <si>
    <t>Dimera Comercial Magdalena</t>
  </si>
  <si>
    <t>Caqueta</t>
  </si>
  <si>
    <t>Mercado Wanchaq y Alrededores</t>
  </si>
  <si>
    <t>Ovalo Gutierrez Miraflores</t>
  </si>
  <si>
    <t>Mercado Cooperativo Ciudad de Dios y Alrededores</t>
  </si>
  <si>
    <t>Megacentro Ferretero Las Malvinas</t>
  </si>
  <si>
    <t>Cluster Corporativo Magdalena-San Isidro</t>
  </si>
  <si>
    <t>Zona Comercial Canaval y Moreyra</t>
  </si>
  <si>
    <t>Alrededores La Rambla Brasil</t>
  </si>
  <si>
    <t>Zona Comercial Universidad Nacional de San Antonio Abad del Cusco</t>
  </si>
  <si>
    <t>Zona Comercial Chacra Colorada - Venezuela</t>
  </si>
  <si>
    <t>Alrededores Kennedy #1</t>
  </si>
  <si>
    <t>PLaza Mayor de Puerto Maldonado y Alrededores</t>
  </si>
  <si>
    <t>Plaza de Armas de Chimbote</t>
  </si>
  <si>
    <t>Alrededores Plaza de Armas de Piura</t>
  </si>
  <si>
    <t>Polvos Rosados y Alrededores</t>
  </si>
  <si>
    <t>Zona Centrica Huacho</t>
  </si>
  <si>
    <t>El Polo #2</t>
  </si>
  <si>
    <t>Zona Comercial Surquillo #2</t>
  </si>
  <si>
    <t>Mercado Productores Santa Anita</t>
  </si>
  <si>
    <t>Alrededores Centro Comercial Camino Real</t>
  </si>
  <si>
    <t>Mercado Huamantanga Puente Piedra</t>
  </si>
  <si>
    <t>PUENTE PIEDRA</t>
  </si>
  <si>
    <t>Zona Feria 28 de Julio, Galerias Coronel Mendoza y Mercadillo Tupac Amaru II</t>
  </si>
  <si>
    <t>El Polo #1</t>
  </si>
  <si>
    <t>Zona Comercial Surquillo #1</t>
  </si>
  <si>
    <t>Plaza de Armas de Pucallpa y Alrededores</t>
  </si>
  <si>
    <t>Mercado Risso</t>
  </si>
  <si>
    <t>Zona Comercial Hospital Nacional Adolfo Guevara</t>
  </si>
  <si>
    <t>Zona Servicios Miraflores</t>
  </si>
  <si>
    <t>Alrededores Gamarra Comercio Mixto</t>
  </si>
  <si>
    <t>Plaza Mayor de Puno y Alrededores</t>
  </si>
  <si>
    <t>Zona Comercial Aviacion</t>
  </si>
  <si>
    <t>Alrededores de Plaza de Armas de Ica</t>
  </si>
  <si>
    <t>Alrededores Plaza Mayor de Huamanga Ayacucho</t>
  </si>
  <si>
    <t>Mercado Central Tacna</t>
  </si>
  <si>
    <t>Mercado Belen y Alrededores</t>
  </si>
  <si>
    <t>Market Capon y Alrededores</t>
  </si>
  <si>
    <t>Zona Santa Anita Comercial y Servicios #2</t>
  </si>
  <si>
    <t>Zona Comercio Museo Metropolitano - Estacion Central</t>
  </si>
  <si>
    <t>La Rambla San Borja y Alrededores</t>
  </si>
  <si>
    <t>Zona Santa Anita Comercial y Servicios</t>
  </si>
  <si>
    <t>Zona Comercial Plaza de Lurin</t>
  </si>
  <si>
    <t>Zona Comercial Izaguirre</t>
  </si>
  <si>
    <t>Zona Comercial Surquillo #5</t>
  </si>
  <si>
    <t>Zona Comercial Surquillo #3</t>
  </si>
  <si>
    <t>Plaza Bolognesi, Plaza Vea y Alrededores</t>
  </si>
  <si>
    <t>Mercado Central FEVACEL</t>
  </si>
  <si>
    <t>Zona Comercial Surquillo #7</t>
  </si>
  <si>
    <t>Zona Comercial Surco</t>
  </si>
  <si>
    <t>Zona Comercial Surquillo #8</t>
  </si>
  <si>
    <t>Zona Comercio Mixto Surquillo-Miraflores</t>
  </si>
  <si>
    <t>Plaza de Armas de Sullana</t>
  </si>
  <si>
    <t>Zona Comercial Alisos</t>
  </si>
  <si>
    <t>Wong Gardenias Surco</t>
  </si>
  <si>
    <t>Alrededores Arco del Triunfo</t>
  </si>
  <si>
    <t>Mercado Santa Barbara y Alrededores</t>
  </si>
  <si>
    <t>Alrededores del Real Plaza Huancayo</t>
  </si>
  <si>
    <t>Supermercado Los Portales y Alrededores</t>
  </si>
  <si>
    <t>Zona Comercio Mixto Cahuide y Libertad</t>
  </si>
  <si>
    <t>Zona Comercial Segunda de Pro</t>
  </si>
  <si>
    <t>La Rambla Brasil</t>
  </si>
  <si>
    <t>Zona Comercial Olavide-Javier Prado Este</t>
  </si>
  <si>
    <t>Alrededores Villa Deportiva</t>
  </si>
  <si>
    <t>Zona Centro Comercial Siglo XX y Megacentro Don Ramon</t>
  </si>
  <si>
    <t>Zona Comercial Molina #2</t>
  </si>
  <si>
    <t>Alrededores CC El Trigal Surco</t>
  </si>
  <si>
    <t>Alrededores Arenales #2</t>
  </si>
  <si>
    <t>Zona Comercial Covida</t>
  </si>
  <si>
    <t>Zona Santa Anita Comercio Mixto #2</t>
  </si>
  <si>
    <t>Tacna Centro y Alrededores</t>
  </si>
  <si>
    <t>Mercado Central Callao</t>
  </si>
  <si>
    <t>Zona Comercio Mixto SJL</t>
  </si>
  <si>
    <t>Mercado San Blas y Alrededores</t>
  </si>
  <si>
    <t>Zona Comercial y Servicios San Borja</t>
  </si>
  <si>
    <t>Alrededores Jockey Plaza #1</t>
  </si>
  <si>
    <t>Alrededores Ferreyros</t>
  </si>
  <si>
    <t>Zona Comercial Molina #1</t>
  </si>
  <si>
    <t>Puente de la Almudena y Alrededores</t>
  </si>
  <si>
    <t>Zona Comercial Republica de Panama</t>
  </si>
  <si>
    <t>Alrededores Minka</t>
  </si>
  <si>
    <t>Mercado Francisco Bolognesi</t>
  </si>
  <si>
    <t>Zona Comercio Mixto Calle Puno</t>
  </si>
  <si>
    <t>Alrededores Estacion Naranjal</t>
  </si>
  <si>
    <t>Alrededores Mercado Mallplaza Bellavista</t>
  </si>
  <si>
    <t>Zona Comercial Av Tomas Valle</t>
  </si>
  <si>
    <t>Zona Cinemark San Miguel</t>
  </si>
  <si>
    <t>Alrededores BCP Sede Central</t>
  </si>
  <si>
    <t>Zona Comercial Miraflores #1</t>
  </si>
  <si>
    <t>Zona Comercial Surquillo #4</t>
  </si>
  <si>
    <t>Alrededores Avenida Argentina</t>
  </si>
  <si>
    <t>Zona Ate Comercio Mixto #2</t>
  </si>
  <si>
    <t>Zona Comercial Alfredo Mendiola</t>
  </si>
  <si>
    <t>Zona Santa Anita Comercio Mixto #1</t>
  </si>
  <si>
    <t>Zona Comercial Naranjal</t>
  </si>
  <si>
    <t>Alrededores Avenida Pesqueda Trujillo</t>
  </si>
  <si>
    <t>Tacora</t>
  </si>
  <si>
    <t>Zona Comercial Mercado Nuevo Horizonte</t>
  </si>
  <si>
    <t>Zona Comercial Habich</t>
  </si>
  <si>
    <t>Mercado Magdalena y Alrededores</t>
  </si>
  <si>
    <t>Alrededores Parque Heroes del Cenepa</t>
  </si>
  <si>
    <t>Alrededores UNI</t>
  </si>
  <si>
    <t>Polvos Rosados Ica</t>
  </si>
  <si>
    <t>Zona Comercio Mixto Ate Santa Anita</t>
  </si>
  <si>
    <t>Alrededores Mercado Los Vencedores SJL</t>
  </si>
  <si>
    <t>Alrededores Avenida El Bosque Ate</t>
  </si>
  <si>
    <t>Mercado Modelo Piura y Alrededores</t>
  </si>
  <si>
    <t>Alrededores Comercial LEO</t>
  </si>
  <si>
    <t>Zona Ate Comercio Mixto #1</t>
  </si>
  <si>
    <t>Alrededores Jockey Plaza #2</t>
  </si>
  <si>
    <t>Alrededores Parque Señor de la Divina Misericordia</t>
  </si>
  <si>
    <t xml:space="preserve">Alrededores Mercado Moshoqueque </t>
  </si>
  <si>
    <t>Alrededores Municipalidad Distrital de Jose Luis Bustamante y Rivero</t>
  </si>
  <si>
    <t>Polvos Azules</t>
  </si>
  <si>
    <t>Zona Plaza San Miguel</t>
  </si>
  <si>
    <t>Zona Comercial Aeropuerto Internacional Alejandro Velasco Alrededores</t>
  </si>
  <si>
    <t>Parque Suchiche y Alrededores</t>
  </si>
  <si>
    <t>Zona Comercial Surquillo #6</t>
  </si>
  <si>
    <t>Zona Mercado Modelo San Miguel</t>
  </si>
  <si>
    <t>Alrededores Monasterio Santa Catalina de Sena</t>
  </si>
  <si>
    <t>Mercado Internacional San Jose</t>
  </si>
  <si>
    <t>Alrededores Plaza de Armas de Catacaos</t>
  </si>
  <si>
    <t>Mercado San Pedro- Estadio Tupac Amaru Chorrillos</t>
  </si>
  <si>
    <t>Mall Aventura SJL</t>
  </si>
  <si>
    <t>Plaza de San Sebastian y Alrededores</t>
  </si>
  <si>
    <t>Alrededores Unicachi</t>
  </si>
  <si>
    <t>Alrededores Arenales</t>
  </si>
  <si>
    <t>Alrededores Parque Virgen del Carmen</t>
  </si>
  <si>
    <t>Zona Comercio Parque Caceres Sta Beatriz</t>
  </si>
  <si>
    <t>Alrededores Parque Cesar Vallejo</t>
  </si>
  <si>
    <t>Zona Hotelera El Sol</t>
  </si>
  <si>
    <t>Mercado El Tambo y Alrededores</t>
  </si>
  <si>
    <t>Alrededores Puente De Los Suspiros</t>
  </si>
  <si>
    <t>Alrededores Plaza Vea El Agustino</t>
  </si>
  <si>
    <t>Alrededores Estadio Municipal Mi Peru</t>
  </si>
  <si>
    <t>MI PERU</t>
  </si>
  <si>
    <t>Alrededores Mercado Cristo de Pachacamilla</t>
  </si>
  <si>
    <t>Alrededores Ovalo Musical</t>
  </si>
  <si>
    <t>Alrededores Mercado La Paradita</t>
  </si>
  <si>
    <t>Alrededores Mercado Santa Rosa - Chorrillos</t>
  </si>
  <si>
    <t>Alrededores de Camara de Comercio de Lima</t>
  </si>
  <si>
    <t>Alrededores Jiron Zorritos</t>
  </si>
  <si>
    <t>Alrededores Plaza de Armas del CPM El Milagro</t>
  </si>
  <si>
    <t>HUANCHACO</t>
  </si>
  <si>
    <t>Alrededores Mercado San Roque</t>
  </si>
  <si>
    <t>Alrededores Estacion San Carlos</t>
  </si>
  <si>
    <t>Zona Comercial Zarate SJL</t>
  </si>
  <si>
    <t>Zona Comercial Florencia con Floresta</t>
  </si>
  <si>
    <t>Zona Comercial Huascar</t>
  </si>
  <si>
    <t>Alrededores Plazoleta Micaela Bastidas</t>
  </si>
  <si>
    <t>Zona Comercial Angamos con Via de Evitamiento Norte</t>
  </si>
  <si>
    <t>Alrededores Plaza de Armas de Tumbes</t>
  </si>
  <si>
    <t>Alrededores Estacion San Borja Sur</t>
  </si>
  <si>
    <t>Mercado San Camilo</t>
  </si>
  <si>
    <t>Alrededores Mercado La Union SJL</t>
  </si>
  <si>
    <t>Alrededores Tribunal Constitucional</t>
  </si>
  <si>
    <t>Alrededores Centro Comercial Risso</t>
  </si>
  <si>
    <t>Alrededores Terminal Pesquero VMT</t>
  </si>
  <si>
    <t>Zona Comercial Zarzuela</t>
  </si>
  <si>
    <t>Terminal de Puno</t>
  </si>
  <si>
    <t>Zona Comercial Coliseo de Nicrupampa y Alrededores</t>
  </si>
  <si>
    <t>Alrededores Real Plaza Puruchuco</t>
  </si>
  <si>
    <t>Zona Comercial Ovalo Monumento a la Mujer</t>
  </si>
  <si>
    <t>Alrededores Alipio Ponce - Metro Miotta</t>
  </si>
  <si>
    <t>Alrededores Aeropuerto Jorge Chavez</t>
  </si>
  <si>
    <t>Alrededores Mercado Virgen del Carmen</t>
  </si>
  <si>
    <t>Zona Comercial Inglaterra con Alemania</t>
  </si>
  <si>
    <t>Centro Comercial Confraternidad y Alrededores</t>
  </si>
  <si>
    <t>Zona Comercial Hospital Regional del Cusco</t>
  </si>
  <si>
    <t>Zona Hotelera Puputi</t>
  </si>
  <si>
    <t>Zona Comercial Caracas con Venezuela</t>
  </si>
  <si>
    <t>Zona Santa Anita Comercio</t>
  </si>
  <si>
    <t>Alrededores Mercado de Tumbes</t>
  </si>
  <si>
    <t>Zona Comercial Canto Rey</t>
  </si>
  <si>
    <t>Alrededores Plaza San Francisco</t>
  </si>
  <si>
    <t>Zona Comercial Av Tupac Amaru</t>
  </si>
  <si>
    <t>Alrededores Plaza de Armas de Chosica</t>
  </si>
  <si>
    <t>Zona Comercial Av Las Palmeras</t>
  </si>
  <si>
    <t>Parque Amarilis y Alrededores</t>
  </si>
  <si>
    <t>Zona Palacio de Gobierno</t>
  </si>
  <si>
    <t>t_bpe_univ_venta_rt_datamart_version5, t_bpe_sunat_vars</t>
  </si>
  <si>
    <t>t_bpe_univ_venta_rt_datamart_version5, t_bpe_bn_universo_accionable, t_bpe_bn_clientes, t_bpe_sunat_vars</t>
  </si>
  <si>
    <t>t_bpe_univ_venta_rt_datamart_version5, t_bpe_bn_universo_accionable, t_bpe_sunat_vars</t>
  </si>
  <si>
    <t>t_bpe_base_universo_sunat_variables, t_bpe_sunat_vars</t>
  </si>
  <si>
    <t>t_bpe_base_universo_sunat_variables, t_bpe_sunat_vars, t_bpe_brainstorn_vars_plin</t>
  </si>
  <si>
    <t>t_bpe_base_universo_sunat_variables, t_bpe_sunat_vars, t_bpe_base_izipay_v2</t>
  </si>
  <si>
    <t>t_bpe_base_universo_sunat_variables, t_bpe_bn_universo_accionable, t_bpe_sunat_vars</t>
  </si>
  <si>
    <t>t_bpe_base_universo_sunat_variables, t_bpe_bn_universo_accionable, t_bpe_sunat_vars, t_bpe_brainstorn_vars_plin</t>
  </si>
  <si>
    <t>t_bpe_base_universo_sunat_variables, t_bpe_bn_universo_accionable, t_bpe_sunat_vars, t_bpe_base_izipay_v2</t>
  </si>
  <si>
    <t>|</t>
  </si>
  <si>
    <t>Carpeta de Información Financiera: https://www.sbs.gob.pe/app/stats_net/stats/EstadisticaBoletinEstadistico.aspx?p=14#</t>
  </si>
  <si>
    <t>Proporción complementaria de la deuda no vigente respecto de la deuda total de las empresas con RT en el sistema financiero</t>
  </si>
  <si>
    <t>saldo_no_moroso_rt_rcc (mto_deuda_rt_rcc, mto_deuda_no_vigente_rt_rcc)</t>
  </si>
  <si>
    <t>t_bpe_univ_venta_rt_datamart_version5</t>
  </si>
  <si>
    <t>t_bpe_bn_universo_accionable</t>
  </si>
  <si>
    <t>ventas_tot_soles_cenec_corr</t>
  </si>
  <si>
    <t>ventas_prom_soles_cenec_corr</t>
  </si>
  <si>
    <t>VENTAS_TOT_SOLES_CENEC_CORR_EST</t>
  </si>
  <si>
    <t>VENTAS_PROM_SOLES_CENEC_CORR_EST</t>
  </si>
  <si>
    <t>t_bpe_bn_clientes</t>
  </si>
  <si>
    <t>t_bpe_base_universo_sunat_variables</t>
  </si>
  <si>
    <t>t_bpe_brainstorn_vars_plin</t>
  </si>
  <si>
    <t>t_bpe_base_izipay_v2</t>
  </si>
  <si>
    <t>TABLAS UTILIZADAS PARA EL INDICE</t>
  </si>
  <si>
    <t>RESPONSABLE TABLA</t>
  </si>
  <si>
    <t>RESPONSABLE LÓGICA</t>
  </si>
  <si>
    <t>Mauricio Aldana (AC), Adriana Bravo (AC)</t>
  </si>
  <si>
    <t>Mauricio Aldana (AC)</t>
  </si>
  <si>
    <t>Edson Apari (IBK), Jenny Espinoza (IBK)</t>
  </si>
  <si>
    <t>t_bpe_sunat_vars</t>
  </si>
  <si>
    <t>Se coordinó con Rodrigo Cornejo (IBK)</t>
  </si>
  <si>
    <t>Monto transaccional total del universo Sunat mediante Izipay</t>
  </si>
  <si>
    <t>Edson Apari (IBK), Jose Barboza (IBK), Jenny Espinoza (IBK)</t>
  </si>
  <si>
    <t>IBK</t>
  </si>
  <si>
    <t>RCC, IBK</t>
  </si>
  <si>
    <t>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</si>
</sst>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"/>
    <numFmt numFmtId="166" formatCode="_-* #,##0_-;\-* #,##0_-;_-* &quot;-&quot;??_-;_-@_-"/>
  </numFmts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Arial"/>
      <family val="2"/>
    </font>
    <font>
      <sz val="10"/>
      <name val="Arial"/>
      <family val="2"/>
    </font>
    <font>
      <sz val="11"/>
      <color indexed="63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2"/>
      <name val="Arial Narrow"/>
      <family val="2"/>
    </font>
    <font>
      <sz val="9"/>
      <color rgb="FF000000"/>
      <name val="Arial"/>
      <family val="2"/>
    </font>
    <font>
      <sz val="11"/>
      <name val="Aptos Narrow"/>
      <family val="2"/>
      <scheme val="minor"/>
    </font>
    <font>
      <b/>
      <sz val="14"/>
      <color rgb="FF216686"/>
      <name val="Arial"/>
      <family val="2"/>
    </font>
    <font>
      <b/>
      <sz val="9"/>
      <color theme="0"/>
      <name val="Arial"/>
      <family val="2"/>
    </font>
    <font>
      <b/>
      <sz val="9"/>
      <color rgb="FF216686"/>
      <name val="Arial"/>
      <family val="2"/>
    </font>
    <font>
      <b/>
      <sz val="9"/>
      <color rgb="FFE38E4F"/>
      <name val="Arial"/>
      <family val="2"/>
    </font>
    <font>
      <b/>
      <sz val="9"/>
      <color rgb="FF1D7D54"/>
      <name val="Arial"/>
      <family val="2"/>
    </font>
    <font>
      <b/>
      <sz val="9"/>
      <color rgb="FFCD4F4F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A3A3"/>
        <bgColor indexed="64"/>
      </patternFill>
    </fill>
    <fill>
      <patternFill patternType="solid">
        <fgColor rgb="FF71BCDD"/>
        <bgColor indexed="64"/>
      </patternFill>
    </fill>
    <fill>
      <patternFill patternType="solid">
        <fgColor rgb="FF20D691"/>
        <bgColor indexed="64"/>
      </patternFill>
    </fill>
    <fill>
      <patternFill patternType="solid">
        <fgColor rgb="FFE38E4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C7528"/>
        <bgColor indexed="64"/>
      </patternFill>
    </fill>
    <fill>
      <patternFill patternType="solid">
        <fgColor rgb="FF1D7D54"/>
        <bgColor indexed="64"/>
      </patternFill>
    </fill>
    <fill>
      <patternFill patternType="solid">
        <fgColor rgb="FFCD4F4F"/>
        <bgColor indexed="64"/>
      </patternFill>
    </fill>
    <fill>
      <patternFill patternType="solid">
        <fgColor rgb="FF21668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indexed="18"/>
      </top>
      <bottom/>
      <diagonal/>
    </border>
    <border>
      <left/>
      <right/>
      <top/>
      <bottom style="thick">
        <color theme="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9" fillId="0" borderId="0"/>
    <xf numFmtId="0" fontId="19" fillId="0" borderId="0"/>
  </cellStyleXfs>
  <cellXfs count="62">
    <xf numFmtId="0" fontId="0" fillId="0" borderId="0" xfId="0"/>
    <xf numFmtId="2" fontId="0" fillId="0" borderId="0" xfId="0" applyNumberFormat="1"/>
    <xf numFmtId="0" fontId="20" fillId="0" borderId="10" xfId="44" applyFont="1" applyBorder="1"/>
    <xf numFmtId="0" fontId="21" fillId="0" borderId="0" xfId="45" applyFont="1"/>
    <xf numFmtId="0" fontId="22" fillId="0" borderId="0" xfId="45" applyFont="1" applyAlignment="1">
      <alignment horizontal="center"/>
    </xf>
    <xf numFmtId="0" fontId="21" fillId="0" borderId="0" xfId="45" applyFont="1" applyAlignment="1">
      <alignment horizontal="justify" vertical="center" wrapText="1"/>
    </xf>
    <xf numFmtId="17" fontId="21" fillId="0" borderId="0" xfId="45" applyNumberFormat="1" applyFont="1"/>
    <xf numFmtId="0" fontId="22" fillId="0" borderId="0" xfId="45" applyFont="1"/>
    <xf numFmtId="0" fontId="22" fillId="0" borderId="0" xfId="45" applyFont="1" applyAlignment="1">
      <alignment horizontal="left"/>
    </xf>
    <xf numFmtId="0" fontId="24" fillId="0" borderId="0" xfId="45" applyFont="1" applyAlignment="1">
      <alignment vertical="center" wrapText="1"/>
    </xf>
    <xf numFmtId="0" fontId="21" fillId="0" borderId="0" xfId="45" applyFont="1" applyAlignment="1">
      <alignment vertical="justify" wrapText="1"/>
    </xf>
    <xf numFmtId="0" fontId="21" fillId="0" borderId="0" xfId="45" applyFont="1" applyAlignment="1">
      <alignment horizontal="justify"/>
    </xf>
    <xf numFmtId="0" fontId="21" fillId="0" borderId="11" xfId="44" applyFont="1" applyBorder="1"/>
    <xf numFmtId="164" fontId="18" fillId="0" borderId="13" xfId="0" applyNumberFormat="1" applyFont="1" applyBorder="1" applyAlignment="1">
      <alignment horizontal="right" vertical="center"/>
    </xf>
    <xf numFmtId="0" fontId="25" fillId="0" borderId="12" xfId="0" applyFont="1" applyBorder="1" applyAlignment="1">
      <alignment horizontal="left" vertical="center"/>
    </xf>
    <xf numFmtId="0" fontId="25" fillId="0" borderId="12" xfId="0" applyFont="1" applyBorder="1" applyAlignment="1">
      <alignment horizontal="right" vertical="center"/>
    </xf>
    <xf numFmtId="3" fontId="18" fillId="0" borderId="13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8" fillId="0" borderId="13" xfId="0" applyFont="1" applyBorder="1" applyAlignment="1">
      <alignment horizontal="left" vertical="center"/>
    </xf>
    <xf numFmtId="43" fontId="0" fillId="0" borderId="0" xfId="1" applyFont="1"/>
    <xf numFmtId="165" fontId="0" fillId="0" borderId="0" xfId="0" applyNumberFormat="1"/>
    <xf numFmtId="0" fontId="27" fillId="0" borderId="0" xfId="0" applyFont="1" applyAlignment="1">
      <alignment horizontal="left" vertical="center"/>
    </xf>
    <xf numFmtId="3" fontId="18" fillId="0" borderId="13" xfId="0" applyNumberFormat="1" applyFont="1" applyBorder="1" applyAlignment="1">
      <alignment horizontal="right" vertical="center"/>
    </xf>
    <xf numFmtId="0" fontId="0" fillId="33" borderId="0" xfId="0" applyFill="1"/>
    <xf numFmtId="0" fontId="0" fillId="34" borderId="0" xfId="0" applyFill="1"/>
    <xf numFmtId="0" fontId="26" fillId="35" borderId="0" xfId="0" applyFont="1" applyFill="1"/>
    <xf numFmtId="0" fontId="0" fillId="36" borderId="0" xfId="0" applyFill="1"/>
    <xf numFmtId="0" fontId="26" fillId="36" borderId="0" xfId="0" applyFont="1" applyFill="1"/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right" vertical="center" wrapText="1"/>
    </xf>
    <xf numFmtId="164" fontId="18" fillId="0" borderId="13" xfId="1" applyNumberFormat="1" applyFont="1" applyFill="1" applyBorder="1" applyAlignment="1">
      <alignment horizontal="right" vertical="center"/>
    </xf>
    <xf numFmtId="0" fontId="28" fillId="39" borderId="12" xfId="0" applyFont="1" applyFill="1" applyBorder="1" applyAlignment="1">
      <alignment horizontal="right" vertical="center"/>
    </xf>
    <xf numFmtId="0" fontId="28" fillId="38" borderId="12" xfId="0" applyFont="1" applyFill="1" applyBorder="1" applyAlignment="1">
      <alignment horizontal="right" vertical="center"/>
    </xf>
    <xf numFmtId="0" fontId="28" fillId="40" borderId="12" xfId="0" applyFont="1" applyFill="1" applyBorder="1" applyAlignment="1">
      <alignment horizontal="right" vertical="center"/>
    </xf>
    <xf numFmtId="0" fontId="28" fillId="41" borderId="12" xfId="0" applyFont="1" applyFill="1" applyBorder="1" applyAlignment="1">
      <alignment horizontal="right" vertical="center"/>
    </xf>
    <xf numFmtId="0" fontId="28" fillId="37" borderId="12" xfId="0" applyFont="1" applyFill="1" applyBorder="1" applyAlignment="1">
      <alignment horizontal="right" vertical="center"/>
    </xf>
    <xf numFmtId="43" fontId="0" fillId="0" borderId="0" xfId="0" applyNumberFormat="1"/>
    <xf numFmtId="0" fontId="18" fillId="0" borderId="0" xfId="0" applyFont="1" applyAlignment="1">
      <alignment horizontal="left" vertical="center"/>
    </xf>
    <xf numFmtId="164" fontId="18" fillId="0" borderId="0" xfId="0" applyNumberFormat="1" applyFont="1" applyAlignment="1">
      <alignment horizontal="right" vertical="center"/>
    </xf>
    <xf numFmtId="164" fontId="18" fillId="0" borderId="13" xfId="0" applyNumberFormat="1" applyFont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49" fontId="18" fillId="0" borderId="13" xfId="0" quotePrefix="1" applyNumberFormat="1" applyFont="1" applyBorder="1" applyAlignment="1">
      <alignment horizontal="right" vertical="center" wrapText="1"/>
    </xf>
    <xf numFmtId="0" fontId="26" fillId="0" borderId="0" xfId="0" applyFont="1"/>
    <xf numFmtId="166" fontId="0" fillId="0" borderId="0" xfId="1" applyNumberFormat="1" applyFont="1" applyFill="1"/>
    <xf numFmtId="49" fontId="18" fillId="0" borderId="13" xfId="0" applyNumberFormat="1" applyFont="1" applyBorder="1" applyAlignment="1">
      <alignment horizontal="right" vertical="center" wrapText="1"/>
    </xf>
    <xf numFmtId="1" fontId="0" fillId="0" borderId="0" xfId="0" applyNumberFormat="1"/>
    <xf numFmtId="166" fontId="0" fillId="0" borderId="0" xfId="1" applyNumberFormat="1" applyFont="1"/>
    <xf numFmtId="3" fontId="0" fillId="0" borderId="0" xfId="0" applyNumberFormat="1"/>
    <xf numFmtId="164" fontId="18" fillId="0" borderId="0" xfId="0" applyNumberFormat="1" applyFont="1" applyAlignment="1">
      <alignment horizontal="right" vertical="center" wrapText="1"/>
    </xf>
    <xf numFmtId="43" fontId="0" fillId="0" borderId="0" xfId="1" applyFont="1" applyFill="1"/>
    <xf numFmtId="0" fontId="16" fillId="0" borderId="0" xfId="0" applyFont="1"/>
    <xf numFmtId="0" fontId="29" fillId="0" borderId="13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 wrapText="1"/>
    </xf>
    <xf numFmtId="164" fontId="18" fillId="0" borderId="12" xfId="0" applyNumberFormat="1" applyFont="1" applyBorder="1" applyAlignment="1">
      <alignment horizontal="right" vertical="center"/>
    </xf>
    <xf numFmtId="0" fontId="18" fillId="0" borderId="12" xfId="0" applyFont="1" applyBorder="1" applyAlignment="1">
      <alignment horizontal="left" vertical="center"/>
    </xf>
    <xf numFmtId="164" fontId="18" fillId="0" borderId="13" xfId="0" applyNumberFormat="1" applyFont="1" applyBorder="1" applyAlignment="1">
      <alignment horizontal="left" vertical="center" wrapText="1"/>
    </xf>
    <xf numFmtId="164" fontId="18" fillId="0" borderId="13" xfId="0" quotePrefix="1" applyNumberFormat="1" applyFont="1" applyBorder="1" applyAlignment="1">
      <alignment horizontal="left" vertical="center" wrapText="1"/>
    </xf>
    <xf numFmtId="0" fontId="21" fillId="0" borderId="0" xfId="45" applyFont="1" applyAlignment="1">
      <alignment horizontal="justify" vertical="center" wrapText="1"/>
    </xf>
    <xf numFmtId="0" fontId="21" fillId="0" borderId="0" xfId="45" applyFont="1" applyAlignment="1">
      <alignment horizontal="justify" vertical="center"/>
    </xf>
    <xf numFmtId="0" fontId="22" fillId="0" borderId="0" xfId="45" applyFont="1" applyAlignment="1">
      <alignment horizont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rmal 2 2" xfId="44" xr:uid="{A2A7524F-904C-4C07-8248-08701622EFE3}"/>
    <cellStyle name="Normal 2 2 3" xfId="43" xr:uid="{E056DB9D-F599-437F-8C1C-5D865EAFA9CA}"/>
    <cellStyle name="Normal 2_Carpeta de información del sistema financiero_jun10" xfId="45" xr:uid="{6059B406-EC22-4F89-94DC-673D78F749F5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8"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6FE5A2"/>
        </patternFill>
      </fill>
    </dxf>
  </dxfs>
  <tableStyles count="0" defaultTableStyle="TableStyleMedium2" defaultPivotStyle="PivotStyleLight16"/>
  <colors>
    <mruColors>
      <color rgb="FFE38E4F"/>
      <color rgb="FFA6A6A6"/>
      <color rgb="FF216686"/>
      <color rgb="FFCD4F4F"/>
      <color rgb="FF1D7D54"/>
      <color rgb="FFDC7528"/>
      <color rgb="FF20D691"/>
      <color rgb="FF1BB178"/>
      <color rgb="FF71BCDD"/>
      <color rgb="FFE5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oyoconsultoria0-my.sharepoint.com/Users/mauvyc/Library/Containers/com.microsoft.Excel/Data/Documents/sbs.gob.pe/data/Users/USER/Downloads/CARPETA%20SIF%20Final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oyoconsultoria0-my.sharepoint.com/sbs.gob.pe/data/Users/USER/Downloads/CARPETA%20SIF%20Final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https://apoyoconsultoria0-my.sharepoint.com/Users/mauvyc/Library/Containers/com.microsoft.Excel/Data/Documents/sbs.gob.pe/data/CARPETA%20CONSOLIDADA/Cr&#233;ditos%20por%20Tipo%20y%20Distrito/Cr&#233;ditos%20x%20tipo%20y%20distrito%20Plantilla%20Final.xlsm?A6EB79FC" TargetMode="External"/><Relationship Id="rId1" Type="http://schemas.openxmlformats.org/officeDocument/2006/relationships/externalLinkPath" Target="file:///\\A6EB79FC\Cr&#233;ditos%20x%20tipo%20y%20distrito%20Plantilla%20Final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oyoconsultoria0-my.sharepoint.com/sbs.gob.pe/data/CARPETA%20CONSOLIDADA/Cr&#233;ditos%20por%20Tipo%20y%20Distrito/Cr&#233;ditos%20x%20tipo%20y%20distrito%20Plantilla%20Final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https://apoyoconsultoria0-my.sharepoint.com/Users/mauvyc/Library/Containers/com.microsoft.Excel/Data/Documents/sbs.gob.pe/data/CARPETA%20CONSOLIDADA/Deudores%20Bolet&#237;n/DEUDORES%20POR%20TIPO%20DE%20EMPRESA%20Y%20TIPO%20DE%20CR&#201;DITO%20PARA%20EL%20BOLET&#205;N%20DESDE%20JULIO%202010.xls?3C5E9662" TargetMode="External"/><Relationship Id="rId1" Type="http://schemas.openxmlformats.org/officeDocument/2006/relationships/externalLinkPath" Target="file:///\\3C5E9662\DEUDORES%20POR%20TIPO%20DE%20EMPRESA%20Y%20TIPO%20DE%20CR&#201;DITO%20PARA%20EL%20BOLET&#205;N%20DESDE%20JULIO%20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oyoconsultoria0-my.sharepoint.com/sbs.gob.pe/data/CARPETA%20CONSOLIDADA/Deudores%20Bolet&#237;n/DEUDORES%20POR%20TIPO%20DE%20EMPRESA%20Y%20TIPO%20DE%20CR&#201;DITO%20PARA%20EL%20BOLET&#205;N%20DESDE%20JULIO%202010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https://apoyoconsultoria0-my.sharepoint.com/Users/mauvyc/Library/Containers/com.microsoft.Excel/Data/Documents/C:/CARPETA%20CONSOLIDADA/Deudores%20Bolet&#237;n/DEUDORES%20POR%20TIPO%20DE%20EMPRESA%20Y%20TIPO%20DE%20CR&#201;DITO%20PARA%20EL%20BOLET&#205;N%20LAST.xls?3AA6937E" TargetMode="External"/><Relationship Id="rId1" Type="http://schemas.openxmlformats.org/officeDocument/2006/relationships/externalLinkPath" Target="file:///\\3AA6937E\DEUDORES%20POR%20TIPO%20DE%20EMPRESA%20Y%20TIPO%20DE%20CR&#201;DITO%20PARA%20EL%20BOLET&#205;N%20LA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"/>
      <sheetName val="CR"/>
      <sheetName val="ED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2"/>
      <sheetName val="Base"/>
      <sheetName val="Base IMFNB"/>
      <sheetName val="BM"/>
      <sheetName val="EF"/>
      <sheetName val="AF"/>
      <sheetName val="AG"/>
      <sheetName val="BN"/>
      <sheetName val="CM"/>
      <sheetName val="CR"/>
      <sheetName val="ED"/>
      <sheetName val="IMFNB"/>
      <sheetName val="SSFF"/>
      <sheetName val="SFP"/>
      <sheetName val="SIST MICROF."/>
      <sheetName val="Calculos Reporte"/>
      <sheetName val="Carátula Gráf"/>
      <sheetName val="Definic tipos cred (2)"/>
      <sheetName val="Índice Graficos"/>
      <sheetName val="caratulas"/>
      <sheetName val="Gráf 1"/>
      <sheetName val="Gráf 2"/>
      <sheetName val="Gráf 3"/>
      <sheetName val="Graficos antiguos"/>
      <sheetName val="otros inglés"/>
      <sheetName val="Ctas SIST MICROF."/>
      <sheetName val="Indic SIST MICROF."/>
      <sheetName val="Carátula"/>
      <sheetName val="Presentación"/>
      <sheetName val="Definic tipos cred"/>
      <sheetName val="Índice"/>
      <sheetName val="Estructura"/>
      <sheetName val="Ctas SSFF"/>
      <sheetName val="Indic SSFF"/>
      <sheetName val="Ctas SFP"/>
      <sheetName val="Indic SFP"/>
      <sheetName val="Ctas BM"/>
      <sheetName val="Indic BM"/>
      <sheetName val="Ctas EF"/>
      <sheetName val="Indic EF"/>
      <sheetName val="Ctas IMFNB"/>
      <sheetName val="Indic IMFNB"/>
      <sheetName val="Ctas CM"/>
      <sheetName val="Indic CM"/>
      <sheetName val="Ctas CR"/>
      <sheetName val="Indic CR"/>
      <sheetName val="Ctas &amp; Indic EDPYME"/>
      <sheetName val="Ctas &amp; Indic AF"/>
      <sheetName val="Ctas &amp; Indic BN"/>
      <sheetName val="Ctas &amp; Indic Agro"/>
      <sheetName val="Créditos x tipo"/>
      <sheetName val="Depósitos x tipo"/>
      <sheetName val="Ins Sectores"/>
      <sheetName val="Cred. Act. Emp."/>
      <sheetName val="Créditos x Dpto."/>
      <sheetName val="Depósitos x Dpto."/>
      <sheetName val="Depositantes"/>
      <sheetName val="Morosidad x Dpto."/>
      <sheetName val="Morosidad x SE"/>
      <sheetName val="Créd x tipo y prov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AT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MACRO"/>
      <sheetName val="BASE DATA"/>
      <sheetName val="Hoja1"/>
      <sheetName val="BASE JULIO"/>
      <sheetName val="Créd x tipo y prov"/>
      <sheetName val="Hoja3"/>
      <sheetName val="Hoja4"/>
      <sheetName val="BASE JULIO1"/>
      <sheetName val="Hoja2"/>
      <sheetName val="Dinámica para Carpeta"/>
      <sheetName val="Créd x tipo y distri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S POR TIPO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dores Dinámica"/>
      <sheetName val="Copia Para Boletín"/>
      <sheetName val="Deudores Dinámica No Usar"/>
      <sheetName val="Copia para el Boletín 2 No usar"/>
      <sheetName val="NEXOS"/>
      <sheetName val="B. ESTATAL AGREGADO"/>
      <sheetName val="Hoja1"/>
      <sheetName val="B.ESTATAL POR TIPO"/>
      <sheetName val="GRUPOS AGREGADO 2"/>
      <sheetName val="GRUPOS POR TIPO"/>
      <sheetName val="SIST FIN TOTAL AGREGADO"/>
      <sheetName val="SIST FIN TOTAL POR TIPO"/>
      <sheetName val="CONSOLIDADO"/>
      <sheetName val="COMPROBACIÓN"/>
      <sheetName val="BASE"/>
      <sheetName val="Hoja2"/>
      <sheetName val="validación anexo 5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T FIN TOTAL POR TIPO"/>
    </sheetNames>
    <sheetDataSet>
      <sheetData sheetId="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74EA3B99-4639-4EBA-8A07-ACFDBE3F34E6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driana Bravo Espinoza" id="{8A77EA47-6009-4C1D-AF75-E7206CA8CA89}" userId="S::abravo@apoyoconsultoria.com::8ee9b06f-190e-424e-8d44-a04901890d2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6-03-18T01:18:33.97" personId="{8A77EA47-6009-4C1D-AF75-E7206CA8CA89}" id="{CAC40A60-CCAE-4C64-9AD1-E8E0D8823D7D}">
    <text>Total de ventas RT de clientes mype IBK (Filtro univ accionable y filtro de ventas)</text>
  </threadedComment>
  <threadedComment ref="X1" dT="2026-03-18T01:22:43.39" personId="{8A77EA47-6009-4C1D-AF75-E7206CA8CA89}" id="{F328E004-DEA1-4017-9FFE-7017CE568B0C}">
    <text>Negocios - mtos transaccionales - Mercado accionable</text>
  </threadedComment>
  <threadedComment ref="AJ1" dT="2026-03-18T01:18:33.97" personId="{8A77EA47-6009-4C1D-AF75-E7206CA8CA89}" id="{9D75218F-4A58-4A66-A87E-A8878E14103F}">
    <text>Total de ventas RT de clientes mype IBK (Filtro univ accionable y filtro de ventas)</text>
  </threadedComment>
  <threadedComment ref="AW1" dT="2026-03-18T01:22:43.39" personId="{8A77EA47-6009-4C1D-AF75-E7206CA8CA89}" id="{177491DC-EF9C-4273-949B-D2EBA1C71D92}">
    <text>Negocios - mtos transaccionales - Mercado accionable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B4A3-75A8-4C60-9E2C-51304C3EB035}">
  <dimension ref="A1:I27"/>
  <sheetViews>
    <sheetView showGridLines="0" view="pageBreakPreview" topLeftCell="A13" zoomScale="131" zoomScaleSheetLayoutView="100" workbookViewId="0">
      <selection activeCell="A16" sqref="A16:I19"/>
    </sheetView>
  </sheetViews>
  <sheetFormatPr baseColWidth="10" defaultColWidth="11.453125" defaultRowHeight="14" x14ac:dyDescent="0.3"/>
  <cols>
    <col min="1" max="1" width="27" style="3" customWidth="1"/>
    <col min="2" max="256" width="11.453125" style="3"/>
    <col min="257" max="257" width="27" style="3" customWidth="1"/>
    <col min="258" max="512" width="11.453125" style="3"/>
    <col min="513" max="513" width="27" style="3" customWidth="1"/>
    <col min="514" max="768" width="11.453125" style="3"/>
    <col min="769" max="769" width="27" style="3" customWidth="1"/>
    <col min="770" max="1024" width="11.453125" style="3"/>
    <col min="1025" max="1025" width="27" style="3" customWidth="1"/>
    <col min="1026" max="1280" width="11.453125" style="3"/>
    <col min="1281" max="1281" width="27" style="3" customWidth="1"/>
    <col min="1282" max="1536" width="11.453125" style="3"/>
    <col min="1537" max="1537" width="27" style="3" customWidth="1"/>
    <col min="1538" max="1792" width="11.453125" style="3"/>
    <col min="1793" max="1793" width="27" style="3" customWidth="1"/>
    <col min="1794" max="2048" width="11.453125" style="3"/>
    <col min="2049" max="2049" width="27" style="3" customWidth="1"/>
    <col min="2050" max="2304" width="11.453125" style="3"/>
    <col min="2305" max="2305" width="27" style="3" customWidth="1"/>
    <col min="2306" max="2560" width="11.453125" style="3"/>
    <col min="2561" max="2561" width="27" style="3" customWidth="1"/>
    <col min="2562" max="2816" width="11.453125" style="3"/>
    <col min="2817" max="2817" width="27" style="3" customWidth="1"/>
    <col min="2818" max="3072" width="11.453125" style="3"/>
    <col min="3073" max="3073" width="27" style="3" customWidth="1"/>
    <col min="3074" max="3328" width="11.453125" style="3"/>
    <col min="3329" max="3329" width="27" style="3" customWidth="1"/>
    <col min="3330" max="3584" width="11.453125" style="3"/>
    <col min="3585" max="3585" width="27" style="3" customWidth="1"/>
    <col min="3586" max="3840" width="11.453125" style="3"/>
    <col min="3841" max="3841" width="27" style="3" customWidth="1"/>
    <col min="3842" max="4096" width="11.453125" style="3"/>
    <col min="4097" max="4097" width="27" style="3" customWidth="1"/>
    <col min="4098" max="4352" width="11.453125" style="3"/>
    <col min="4353" max="4353" width="27" style="3" customWidth="1"/>
    <col min="4354" max="4608" width="11.453125" style="3"/>
    <col min="4609" max="4609" width="27" style="3" customWidth="1"/>
    <col min="4610" max="4864" width="11.453125" style="3"/>
    <col min="4865" max="4865" width="27" style="3" customWidth="1"/>
    <col min="4866" max="5120" width="11.453125" style="3"/>
    <col min="5121" max="5121" width="27" style="3" customWidth="1"/>
    <col min="5122" max="5376" width="11.453125" style="3"/>
    <col min="5377" max="5377" width="27" style="3" customWidth="1"/>
    <col min="5378" max="5632" width="11.453125" style="3"/>
    <col min="5633" max="5633" width="27" style="3" customWidth="1"/>
    <col min="5634" max="5888" width="11.453125" style="3"/>
    <col min="5889" max="5889" width="27" style="3" customWidth="1"/>
    <col min="5890" max="6144" width="11.453125" style="3"/>
    <col min="6145" max="6145" width="27" style="3" customWidth="1"/>
    <col min="6146" max="6400" width="11.453125" style="3"/>
    <col min="6401" max="6401" width="27" style="3" customWidth="1"/>
    <col min="6402" max="6656" width="11.453125" style="3"/>
    <col min="6657" max="6657" width="27" style="3" customWidth="1"/>
    <col min="6658" max="6912" width="11.453125" style="3"/>
    <col min="6913" max="6913" width="27" style="3" customWidth="1"/>
    <col min="6914" max="7168" width="11.453125" style="3"/>
    <col min="7169" max="7169" width="27" style="3" customWidth="1"/>
    <col min="7170" max="7424" width="11.453125" style="3"/>
    <col min="7425" max="7425" width="27" style="3" customWidth="1"/>
    <col min="7426" max="7680" width="11.453125" style="3"/>
    <col min="7681" max="7681" width="27" style="3" customWidth="1"/>
    <col min="7682" max="7936" width="11.453125" style="3"/>
    <col min="7937" max="7937" width="27" style="3" customWidth="1"/>
    <col min="7938" max="8192" width="11.453125" style="3"/>
    <col min="8193" max="8193" width="27" style="3" customWidth="1"/>
    <col min="8194" max="8448" width="11.453125" style="3"/>
    <col min="8449" max="8449" width="27" style="3" customWidth="1"/>
    <col min="8450" max="8704" width="11.453125" style="3"/>
    <col min="8705" max="8705" width="27" style="3" customWidth="1"/>
    <col min="8706" max="8960" width="11.453125" style="3"/>
    <col min="8961" max="8961" width="27" style="3" customWidth="1"/>
    <col min="8962" max="9216" width="11.453125" style="3"/>
    <col min="9217" max="9217" width="27" style="3" customWidth="1"/>
    <col min="9218" max="9472" width="11.453125" style="3"/>
    <col min="9473" max="9473" width="27" style="3" customWidth="1"/>
    <col min="9474" max="9728" width="11.453125" style="3"/>
    <col min="9729" max="9729" width="27" style="3" customWidth="1"/>
    <col min="9730" max="9984" width="11.453125" style="3"/>
    <col min="9985" max="9985" width="27" style="3" customWidth="1"/>
    <col min="9986" max="10240" width="11.453125" style="3"/>
    <col min="10241" max="10241" width="27" style="3" customWidth="1"/>
    <col min="10242" max="10496" width="11.453125" style="3"/>
    <col min="10497" max="10497" width="27" style="3" customWidth="1"/>
    <col min="10498" max="10752" width="11.453125" style="3"/>
    <col min="10753" max="10753" width="27" style="3" customWidth="1"/>
    <col min="10754" max="11008" width="11.453125" style="3"/>
    <col min="11009" max="11009" width="27" style="3" customWidth="1"/>
    <col min="11010" max="11264" width="11.453125" style="3"/>
    <col min="11265" max="11265" width="27" style="3" customWidth="1"/>
    <col min="11266" max="11520" width="11.453125" style="3"/>
    <col min="11521" max="11521" width="27" style="3" customWidth="1"/>
    <col min="11522" max="11776" width="11.453125" style="3"/>
    <col min="11777" max="11777" width="27" style="3" customWidth="1"/>
    <col min="11778" max="12032" width="11.453125" style="3"/>
    <col min="12033" max="12033" width="27" style="3" customWidth="1"/>
    <col min="12034" max="12288" width="11.453125" style="3"/>
    <col min="12289" max="12289" width="27" style="3" customWidth="1"/>
    <col min="12290" max="12544" width="11.453125" style="3"/>
    <col min="12545" max="12545" width="27" style="3" customWidth="1"/>
    <col min="12546" max="12800" width="11.453125" style="3"/>
    <col min="12801" max="12801" width="27" style="3" customWidth="1"/>
    <col min="12802" max="13056" width="11.453125" style="3"/>
    <col min="13057" max="13057" width="27" style="3" customWidth="1"/>
    <col min="13058" max="13312" width="11.453125" style="3"/>
    <col min="13313" max="13313" width="27" style="3" customWidth="1"/>
    <col min="13314" max="13568" width="11.453125" style="3"/>
    <col min="13569" max="13569" width="27" style="3" customWidth="1"/>
    <col min="13570" max="13824" width="11.453125" style="3"/>
    <col min="13825" max="13825" width="27" style="3" customWidth="1"/>
    <col min="13826" max="14080" width="11.453125" style="3"/>
    <col min="14081" max="14081" width="27" style="3" customWidth="1"/>
    <col min="14082" max="14336" width="11.453125" style="3"/>
    <col min="14337" max="14337" width="27" style="3" customWidth="1"/>
    <col min="14338" max="14592" width="11.453125" style="3"/>
    <col min="14593" max="14593" width="27" style="3" customWidth="1"/>
    <col min="14594" max="14848" width="11.453125" style="3"/>
    <col min="14849" max="14849" width="27" style="3" customWidth="1"/>
    <col min="14850" max="15104" width="11.453125" style="3"/>
    <col min="15105" max="15105" width="27" style="3" customWidth="1"/>
    <col min="15106" max="15360" width="11.453125" style="3"/>
    <col min="15361" max="15361" width="27" style="3" customWidth="1"/>
    <col min="15362" max="15616" width="11.453125" style="3"/>
    <col min="15617" max="15617" width="27" style="3" customWidth="1"/>
    <col min="15618" max="15872" width="11.453125" style="3"/>
    <col min="15873" max="15873" width="27" style="3" customWidth="1"/>
    <col min="15874" max="16128" width="11.453125" style="3"/>
    <col min="16129" max="16129" width="27" style="3" customWidth="1"/>
    <col min="16130" max="16384" width="11.453125" style="3"/>
  </cols>
  <sheetData>
    <row r="1" spans="1:9" ht="14.5" thickTop="1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3">
      <c r="A2" s="61" t="s">
        <v>0</v>
      </c>
      <c r="B2" s="61"/>
      <c r="C2" s="61"/>
      <c r="D2" s="61"/>
      <c r="E2" s="61"/>
      <c r="F2" s="61"/>
      <c r="G2" s="61"/>
      <c r="H2" s="61"/>
      <c r="I2" s="61"/>
    </row>
    <row r="4" spans="1:9" ht="39" customHeight="1" x14ac:dyDescent="0.3">
      <c r="A4" s="59" t="s">
        <v>1</v>
      </c>
      <c r="B4" s="59"/>
      <c r="C4" s="59"/>
      <c r="D4" s="59"/>
      <c r="E4" s="59"/>
      <c r="F4" s="59"/>
      <c r="G4" s="59"/>
      <c r="H4" s="59"/>
      <c r="I4" s="59"/>
    </row>
    <row r="5" spans="1:9" ht="9" customHeight="1" x14ac:dyDescent="0.3">
      <c r="B5" s="6"/>
    </row>
    <row r="6" spans="1:9" x14ac:dyDescent="0.3">
      <c r="A6" s="7" t="s">
        <v>2</v>
      </c>
    </row>
    <row r="7" spans="1:9" ht="80.25" customHeight="1" x14ac:dyDescent="0.3">
      <c r="A7" s="59" t="s">
        <v>3</v>
      </c>
      <c r="B7" s="59"/>
      <c r="C7" s="59"/>
      <c r="D7" s="59"/>
      <c r="E7" s="59"/>
      <c r="F7" s="59"/>
      <c r="G7" s="59"/>
      <c r="H7" s="59"/>
      <c r="I7" s="59"/>
    </row>
    <row r="8" spans="1:9" ht="2" customHeight="1" x14ac:dyDescent="0.3">
      <c r="A8" s="5"/>
      <c r="B8" s="5"/>
      <c r="C8" s="5"/>
      <c r="D8" s="5"/>
      <c r="E8" s="5"/>
      <c r="F8" s="5"/>
      <c r="G8" s="5"/>
      <c r="H8" s="5"/>
      <c r="I8" s="5"/>
    </row>
    <row r="9" spans="1:9" x14ac:dyDescent="0.3">
      <c r="A9" s="7" t="s">
        <v>4</v>
      </c>
    </row>
    <row r="10" spans="1:9" ht="27.5" customHeight="1" x14ac:dyDescent="0.3">
      <c r="A10" s="59" t="s">
        <v>5</v>
      </c>
      <c r="B10" s="59"/>
      <c r="C10" s="59"/>
      <c r="D10" s="59"/>
      <c r="E10" s="59"/>
      <c r="F10" s="59"/>
      <c r="G10" s="59"/>
      <c r="H10" s="59"/>
      <c r="I10" s="59"/>
    </row>
    <row r="11" spans="1:9" ht="2" customHeight="1" x14ac:dyDescent="0.3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3">
      <c r="A12" s="8" t="s">
        <v>6</v>
      </c>
      <c r="B12" s="4"/>
      <c r="C12" s="4"/>
      <c r="D12" s="4"/>
      <c r="E12" s="4"/>
      <c r="F12" s="4"/>
      <c r="G12" s="4"/>
      <c r="H12" s="4"/>
      <c r="I12" s="4"/>
    </row>
    <row r="13" spans="1:9" ht="53.75" customHeight="1" x14ac:dyDescent="0.3">
      <c r="A13" s="59" t="s">
        <v>7</v>
      </c>
      <c r="B13" s="59"/>
      <c r="C13" s="59"/>
      <c r="D13" s="59"/>
      <c r="E13" s="59"/>
      <c r="F13" s="59"/>
      <c r="G13" s="59"/>
      <c r="H13" s="59"/>
      <c r="I13" s="59"/>
    </row>
    <row r="14" spans="1:9" ht="2" customHeight="1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ht="15.75" customHeight="1" x14ac:dyDescent="0.3">
      <c r="A15" s="7" t="s">
        <v>8</v>
      </c>
      <c r="B15" s="9"/>
      <c r="C15" s="9"/>
      <c r="D15" s="9"/>
      <c r="E15" s="9"/>
      <c r="F15" s="9"/>
      <c r="G15" s="9"/>
      <c r="H15" s="9"/>
    </row>
    <row r="16" spans="1:9" ht="79.25" customHeight="1" x14ac:dyDescent="0.3">
      <c r="A16" s="59" t="s">
        <v>9</v>
      </c>
      <c r="B16" s="59"/>
      <c r="C16" s="59"/>
      <c r="D16" s="59"/>
      <c r="E16" s="59"/>
      <c r="F16" s="59"/>
      <c r="G16" s="59"/>
      <c r="H16" s="59"/>
      <c r="I16" s="59"/>
    </row>
    <row r="17" spans="1:9" ht="2" customHeight="1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ht="15.75" customHeight="1" x14ac:dyDescent="0.3">
      <c r="A18" s="7" t="s">
        <v>10</v>
      </c>
      <c r="B18" s="9"/>
      <c r="C18" s="9"/>
      <c r="D18" s="9"/>
      <c r="E18" s="9"/>
      <c r="F18" s="9"/>
      <c r="G18" s="9"/>
      <c r="H18" s="9"/>
      <c r="I18" s="10"/>
    </row>
    <row r="19" spans="1:9" ht="62.75" customHeight="1" x14ac:dyDescent="0.3">
      <c r="A19" s="59" t="s">
        <v>11</v>
      </c>
      <c r="B19" s="59"/>
      <c r="C19" s="59"/>
      <c r="D19" s="59"/>
      <c r="E19" s="59"/>
      <c r="F19" s="59"/>
      <c r="G19" s="59"/>
      <c r="H19" s="59"/>
      <c r="I19" s="59"/>
    </row>
    <row r="20" spans="1:9" ht="2" customHeight="1" x14ac:dyDescent="0.3">
      <c r="A20" s="5"/>
      <c r="B20" s="5"/>
      <c r="C20" s="5"/>
      <c r="D20" s="5"/>
      <c r="E20" s="5"/>
      <c r="F20" s="5"/>
      <c r="G20" s="5"/>
      <c r="H20" s="5"/>
      <c r="I20" s="5"/>
    </row>
    <row r="21" spans="1:9" ht="15.75" customHeight="1" x14ac:dyDescent="0.3">
      <c r="A21" s="7" t="s">
        <v>12</v>
      </c>
      <c r="B21" s="9"/>
      <c r="C21" s="9"/>
      <c r="D21" s="9"/>
      <c r="E21" s="9"/>
      <c r="F21" s="9"/>
      <c r="G21" s="9"/>
      <c r="H21" s="9"/>
      <c r="I21" s="10"/>
    </row>
    <row r="22" spans="1:9" ht="35.25" customHeight="1" x14ac:dyDescent="0.3">
      <c r="A22" s="60" t="s">
        <v>13</v>
      </c>
      <c r="B22" s="60"/>
      <c r="C22" s="60"/>
      <c r="D22" s="60"/>
      <c r="E22" s="60"/>
      <c r="F22" s="60"/>
      <c r="G22" s="60"/>
      <c r="H22" s="60"/>
      <c r="I22" s="60"/>
    </row>
    <row r="23" spans="1:9" ht="2" customHeight="1" x14ac:dyDescent="0.3">
      <c r="A23" s="11"/>
      <c r="B23" s="11"/>
      <c r="C23" s="11"/>
      <c r="D23" s="11"/>
      <c r="E23" s="11"/>
      <c r="F23" s="11"/>
      <c r="G23" s="11"/>
      <c r="H23" s="11"/>
      <c r="I23" s="11"/>
    </row>
    <row r="24" spans="1:9" ht="15.75" customHeight="1" x14ac:dyDescent="0.3">
      <c r="A24" s="7" t="s">
        <v>14</v>
      </c>
      <c r="B24" s="9"/>
      <c r="C24" s="9"/>
      <c r="D24" s="9"/>
      <c r="E24" s="9"/>
      <c r="F24" s="9"/>
      <c r="G24" s="9"/>
      <c r="H24" s="9"/>
    </row>
    <row r="25" spans="1:9" ht="41" customHeight="1" x14ac:dyDescent="0.3">
      <c r="A25" s="60" t="s">
        <v>15</v>
      </c>
      <c r="B25" s="60"/>
      <c r="C25" s="60"/>
      <c r="D25" s="60"/>
      <c r="E25" s="60"/>
      <c r="F25" s="60"/>
      <c r="G25" s="60"/>
      <c r="H25" s="60"/>
      <c r="I25" s="60"/>
    </row>
    <row r="26" spans="1:9" ht="15.75" customHeight="1" thickBot="1" x14ac:dyDescent="0.35">
      <c r="A26" s="12"/>
      <c r="B26" s="12"/>
      <c r="C26" s="12"/>
      <c r="D26" s="12"/>
      <c r="E26" s="12"/>
      <c r="F26" s="12"/>
      <c r="G26" s="12"/>
      <c r="H26" s="12"/>
      <c r="I26" s="12"/>
    </row>
    <row r="27" spans="1:9" ht="15.75" customHeight="1" thickTop="1" x14ac:dyDescent="0.3"/>
  </sheetData>
  <mergeCells count="9">
    <mergeCell ref="A19:I19"/>
    <mergeCell ref="A22:I22"/>
    <mergeCell ref="A25:I25"/>
    <mergeCell ref="A2:I2"/>
    <mergeCell ref="A4:I4"/>
    <mergeCell ref="A7:I7"/>
    <mergeCell ref="A10:I10"/>
    <mergeCell ref="A13:I13"/>
    <mergeCell ref="A16:I16"/>
  </mergeCells>
  <printOptions horizontalCentered="1" verticalCentered="1"/>
  <pageMargins left="1.3474015748031496" right="0.78740157480314965" top="0.98425196850393704" bottom="0.98425196850393704" header="0" footer="0"/>
  <pageSetup paperSize="9" scale="74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1E0E-0E58-468C-842F-67E955FCAFEE}">
  <dimension ref="A1:BH1893"/>
  <sheetViews>
    <sheetView topLeftCell="BC1" zoomScale="88" zoomScaleNormal="49" workbookViewId="0">
      <selection activeCell="AM1" sqref="AM1"/>
    </sheetView>
  </sheetViews>
  <sheetFormatPr baseColWidth="10" defaultColWidth="11.453125" defaultRowHeight="14.5" x14ac:dyDescent="0.35"/>
  <cols>
    <col min="2" max="2" width="24.08984375" bestFit="1" customWidth="1"/>
    <col min="3" max="3" width="38.6328125" customWidth="1"/>
    <col min="7" max="7" width="12" bestFit="1" customWidth="1"/>
    <col min="8" max="8" width="14.08984375" bestFit="1" customWidth="1"/>
    <col min="9" max="9" width="22.453125" bestFit="1" customWidth="1"/>
  </cols>
  <sheetData>
    <row r="1" spans="1:60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57</v>
      </c>
      <c r="AQ1" t="s">
        <v>58</v>
      </c>
      <c r="AR1" t="s">
        <v>59</v>
      </c>
      <c r="AS1" t="s">
        <v>60</v>
      </c>
      <c r="AT1" t="s">
        <v>61</v>
      </c>
      <c r="AU1" t="s">
        <v>62</v>
      </c>
      <c r="AV1" t="s">
        <v>63</v>
      </c>
      <c r="AW1" t="s">
        <v>64</v>
      </c>
      <c r="AX1" t="s">
        <v>65</v>
      </c>
      <c r="AY1" t="s">
        <v>66</v>
      </c>
      <c r="AZ1" t="s">
        <v>67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t="s">
        <v>73</v>
      </c>
      <c r="BG1" t="s">
        <v>74</v>
      </c>
      <c r="BH1" t="s">
        <v>75</v>
      </c>
    </row>
    <row r="2" spans="1:60" x14ac:dyDescent="0.35">
      <c r="A2" t="s">
        <v>76</v>
      </c>
      <c r="B2" t="s">
        <v>77</v>
      </c>
      <c r="C2" t="s">
        <v>77</v>
      </c>
      <c r="D2" t="s">
        <v>78</v>
      </c>
      <c r="E2">
        <v>41335</v>
      </c>
      <c r="F2">
        <v>299</v>
      </c>
      <c r="G2">
        <v>268.73989999999998</v>
      </c>
      <c r="H2">
        <v>0.89879580000000003</v>
      </c>
      <c r="I2">
        <v>0.01</v>
      </c>
      <c r="J2">
        <v>0</v>
      </c>
      <c r="K2">
        <v>0</v>
      </c>
      <c r="L2">
        <v>0</v>
      </c>
      <c r="M2">
        <v>0</v>
      </c>
      <c r="N2">
        <v>0.01</v>
      </c>
      <c r="O2">
        <v>0</v>
      </c>
      <c r="P2">
        <v>0</v>
      </c>
      <c r="Q2">
        <v>111.3</v>
      </c>
      <c r="R2">
        <v>0</v>
      </c>
      <c r="S2">
        <v>0</v>
      </c>
      <c r="T2">
        <v>111.3</v>
      </c>
      <c r="U2">
        <v>568.84</v>
      </c>
      <c r="V2">
        <v>0</v>
      </c>
      <c r="W2">
        <v>3756.42</v>
      </c>
      <c r="X2">
        <v>0</v>
      </c>
      <c r="Y2">
        <v>0</v>
      </c>
      <c r="Z2">
        <v>4325.26</v>
      </c>
      <c r="AA2">
        <v>100470.98</v>
      </c>
      <c r="AB2">
        <v>36731.51</v>
      </c>
      <c r="AC2">
        <v>114461.2</v>
      </c>
      <c r="AD2">
        <v>5389.1</v>
      </c>
      <c r="AE2">
        <v>0</v>
      </c>
      <c r="AF2">
        <v>257052.79</v>
      </c>
      <c r="AG2">
        <v>9009.2800000000007</v>
      </c>
      <c r="AH2">
        <v>9546</v>
      </c>
      <c r="AI2">
        <v>15790.21</v>
      </c>
      <c r="AJ2">
        <v>1719.29</v>
      </c>
      <c r="AK2">
        <v>0</v>
      </c>
      <c r="AL2">
        <v>36064.78</v>
      </c>
      <c r="AM2">
        <v>6828.51</v>
      </c>
      <c r="AN2">
        <v>10346.219999999999</v>
      </c>
      <c r="AO2">
        <v>51571.89</v>
      </c>
      <c r="AP2">
        <v>714.37</v>
      </c>
      <c r="AQ2">
        <v>0</v>
      </c>
      <c r="AR2">
        <v>69460.990000000005</v>
      </c>
      <c r="AS2">
        <v>5608.56</v>
      </c>
      <c r="AT2">
        <v>0</v>
      </c>
      <c r="AU2">
        <v>6468.75</v>
      </c>
      <c r="AV2">
        <v>0</v>
      </c>
      <c r="AW2">
        <v>0</v>
      </c>
      <c r="AX2">
        <v>12077.31</v>
      </c>
      <c r="AY2">
        <v>379092.44</v>
      </c>
      <c r="AZ2">
        <v>0</v>
      </c>
      <c r="BA2">
        <v>22</v>
      </c>
      <c r="BB2">
        <v>34183.792999999998</v>
      </c>
      <c r="BC2">
        <v>752043.45</v>
      </c>
      <c r="BD2">
        <v>34.090909000000003</v>
      </c>
      <c r="BE2">
        <v>1546.7090000000001</v>
      </c>
      <c r="BF2">
        <v>737</v>
      </c>
      <c r="BG2">
        <v>1286.663718</v>
      </c>
      <c r="BH2">
        <v>1968.134</v>
      </c>
    </row>
    <row r="3" spans="1:60" x14ac:dyDescent="0.35">
      <c r="A3" t="s">
        <v>76</v>
      </c>
      <c r="B3" t="s">
        <v>77</v>
      </c>
      <c r="C3" t="s">
        <v>79</v>
      </c>
      <c r="D3" t="s">
        <v>80</v>
      </c>
      <c r="E3">
        <v>271</v>
      </c>
      <c r="F3" t="s">
        <v>81</v>
      </c>
      <c r="G3" t="s">
        <v>81</v>
      </c>
      <c r="H3" t="s">
        <v>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</row>
    <row r="4" spans="1:60" x14ac:dyDescent="0.35">
      <c r="A4" t="s">
        <v>76</v>
      </c>
      <c r="B4" t="s">
        <v>77</v>
      </c>
      <c r="C4" t="s">
        <v>82</v>
      </c>
      <c r="D4" t="s">
        <v>83</v>
      </c>
      <c r="E4">
        <v>1137</v>
      </c>
      <c r="F4" t="s">
        <v>81</v>
      </c>
      <c r="G4" t="s">
        <v>81</v>
      </c>
      <c r="H4" t="s">
        <v>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7</v>
      </c>
      <c r="BG4">
        <v>0</v>
      </c>
      <c r="BH4">
        <v>0</v>
      </c>
    </row>
    <row r="5" spans="1:60" x14ac:dyDescent="0.35">
      <c r="A5" t="s">
        <v>76</v>
      </c>
      <c r="B5" t="s">
        <v>77</v>
      </c>
      <c r="C5" t="s">
        <v>84</v>
      </c>
      <c r="D5" t="s">
        <v>85</v>
      </c>
      <c r="E5">
        <v>713</v>
      </c>
      <c r="F5">
        <v>1</v>
      </c>
      <c r="G5">
        <v>0.20499999999999999</v>
      </c>
      <c r="H5">
        <v>0.20499999999999999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5</v>
      </c>
      <c r="BG5">
        <v>0</v>
      </c>
      <c r="BH5">
        <v>0</v>
      </c>
    </row>
    <row r="6" spans="1:60" x14ac:dyDescent="0.35">
      <c r="A6" t="s">
        <v>76</v>
      </c>
      <c r="B6" t="s">
        <v>77</v>
      </c>
      <c r="C6" t="s">
        <v>86</v>
      </c>
      <c r="D6" t="s">
        <v>87</v>
      </c>
      <c r="E6">
        <v>561</v>
      </c>
      <c r="F6" t="s">
        <v>81</v>
      </c>
      <c r="G6" t="s">
        <v>81</v>
      </c>
      <c r="H6" t="s">
        <v>81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2</v>
      </c>
      <c r="BG6">
        <v>0</v>
      </c>
      <c r="BH6">
        <v>0</v>
      </c>
    </row>
    <row r="7" spans="1:60" x14ac:dyDescent="0.35">
      <c r="A7" t="s">
        <v>76</v>
      </c>
      <c r="B7" t="s">
        <v>77</v>
      </c>
      <c r="C7" t="s">
        <v>88</v>
      </c>
      <c r="D7" t="s">
        <v>89</v>
      </c>
      <c r="E7">
        <v>1884</v>
      </c>
      <c r="F7" t="s">
        <v>81</v>
      </c>
      <c r="G7" t="s">
        <v>81</v>
      </c>
      <c r="H7" t="s">
        <v>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</row>
    <row r="8" spans="1:60" x14ac:dyDescent="0.35">
      <c r="A8" t="s">
        <v>76</v>
      </c>
      <c r="B8" t="s">
        <v>77</v>
      </c>
      <c r="C8" t="s">
        <v>90</v>
      </c>
      <c r="D8" t="s">
        <v>91</v>
      </c>
      <c r="E8">
        <v>549</v>
      </c>
      <c r="F8" t="s">
        <v>81</v>
      </c>
      <c r="G8" t="s">
        <v>81</v>
      </c>
      <c r="H8" t="s">
        <v>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</row>
    <row r="9" spans="1:60" x14ac:dyDescent="0.35">
      <c r="A9" t="s">
        <v>76</v>
      </c>
      <c r="B9" t="s">
        <v>77</v>
      </c>
      <c r="C9" t="s">
        <v>92</v>
      </c>
      <c r="D9" t="s">
        <v>93</v>
      </c>
      <c r="E9">
        <v>1526</v>
      </c>
      <c r="F9" t="s">
        <v>81</v>
      </c>
      <c r="G9" t="s">
        <v>81</v>
      </c>
      <c r="H9" t="s">
        <v>81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</row>
    <row r="10" spans="1:60" x14ac:dyDescent="0.35">
      <c r="A10" t="s">
        <v>76</v>
      </c>
      <c r="B10" t="s">
        <v>77</v>
      </c>
      <c r="C10" t="s">
        <v>94</v>
      </c>
      <c r="D10" t="s">
        <v>95</v>
      </c>
      <c r="E10">
        <v>3418</v>
      </c>
      <c r="F10">
        <v>3</v>
      </c>
      <c r="G10">
        <v>0.90400000000000003</v>
      </c>
      <c r="H10">
        <v>0.30133330000000003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191781.83300000001</v>
      </c>
      <c r="BC10">
        <v>191781.83300000001</v>
      </c>
      <c r="BD10">
        <v>0</v>
      </c>
      <c r="BE10">
        <v>0</v>
      </c>
      <c r="BF10">
        <v>33</v>
      </c>
      <c r="BG10">
        <v>693.78484800000001</v>
      </c>
      <c r="BH10">
        <v>0</v>
      </c>
    </row>
    <row r="11" spans="1:60" x14ac:dyDescent="0.35">
      <c r="A11" t="s">
        <v>76</v>
      </c>
      <c r="B11" t="s">
        <v>77</v>
      </c>
      <c r="C11" t="s">
        <v>96</v>
      </c>
      <c r="D11" t="s">
        <v>97</v>
      </c>
      <c r="E11">
        <v>3738</v>
      </c>
      <c r="F11">
        <v>3</v>
      </c>
      <c r="G11">
        <v>1.5960000000000001</v>
      </c>
      <c r="H11">
        <v>0.53200000000000003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14</v>
      </c>
      <c r="BG11">
        <v>0</v>
      </c>
      <c r="BH11">
        <v>0</v>
      </c>
    </row>
    <row r="12" spans="1:60" x14ac:dyDescent="0.35">
      <c r="A12" t="s">
        <v>76</v>
      </c>
      <c r="B12" t="s">
        <v>77</v>
      </c>
      <c r="C12" t="s">
        <v>98</v>
      </c>
      <c r="D12" t="s">
        <v>99</v>
      </c>
      <c r="E12">
        <v>774</v>
      </c>
      <c r="F12" t="s">
        <v>81</v>
      </c>
      <c r="G12" t="s">
        <v>81</v>
      </c>
      <c r="H12" t="s">
        <v>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2</v>
      </c>
      <c r="BG12">
        <v>0</v>
      </c>
      <c r="BH12">
        <v>0</v>
      </c>
    </row>
    <row r="13" spans="1:60" x14ac:dyDescent="0.35">
      <c r="A13" t="s">
        <v>76</v>
      </c>
      <c r="B13" t="s">
        <v>77</v>
      </c>
      <c r="C13" t="s">
        <v>100</v>
      </c>
      <c r="D13" t="s">
        <v>101</v>
      </c>
      <c r="E13">
        <v>900</v>
      </c>
      <c r="F13" t="s">
        <v>81</v>
      </c>
      <c r="G13" t="s">
        <v>81</v>
      </c>
      <c r="H13" t="s">
        <v>81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4</v>
      </c>
      <c r="BG13">
        <v>0</v>
      </c>
      <c r="BH13">
        <v>0</v>
      </c>
    </row>
    <row r="14" spans="1:60" x14ac:dyDescent="0.35">
      <c r="A14" t="s">
        <v>76</v>
      </c>
      <c r="B14" t="s">
        <v>77</v>
      </c>
      <c r="C14" t="s">
        <v>102</v>
      </c>
      <c r="D14" t="s">
        <v>103</v>
      </c>
      <c r="E14">
        <v>1631</v>
      </c>
      <c r="F14">
        <v>4</v>
      </c>
      <c r="G14">
        <v>2.9560870000000001</v>
      </c>
      <c r="H14">
        <v>0.73902179999999995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</row>
    <row r="15" spans="1:60" x14ac:dyDescent="0.35">
      <c r="A15" t="s">
        <v>76</v>
      </c>
      <c r="B15" t="s">
        <v>77</v>
      </c>
      <c r="C15" t="s">
        <v>104</v>
      </c>
      <c r="D15" t="s">
        <v>105</v>
      </c>
      <c r="E15">
        <v>2201</v>
      </c>
      <c r="F15">
        <v>3</v>
      </c>
      <c r="G15">
        <v>0.70128000000000001</v>
      </c>
      <c r="H15">
        <v>0.23376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10</v>
      </c>
      <c r="BG15">
        <v>0</v>
      </c>
      <c r="BH15">
        <v>0</v>
      </c>
    </row>
    <row r="16" spans="1:60" x14ac:dyDescent="0.35">
      <c r="A16" t="s">
        <v>76</v>
      </c>
      <c r="B16" t="s">
        <v>77</v>
      </c>
      <c r="C16" t="s">
        <v>106</v>
      </c>
      <c r="D16" t="s">
        <v>107</v>
      </c>
      <c r="E16">
        <v>459</v>
      </c>
      <c r="F16" t="s">
        <v>81</v>
      </c>
      <c r="G16" t="s">
        <v>81</v>
      </c>
      <c r="H16" t="s">
        <v>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</row>
    <row r="17" spans="1:60" x14ac:dyDescent="0.35">
      <c r="A17" t="s">
        <v>76</v>
      </c>
      <c r="B17" t="s">
        <v>77</v>
      </c>
      <c r="C17" t="s">
        <v>108</v>
      </c>
      <c r="D17" t="s">
        <v>109</v>
      </c>
      <c r="E17">
        <v>446</v>
      </c>
      <c r="F17">
        <v>1</v>
      </c>
      <c r="G17">
        <v>0.32400000000000001</v>
      </c>
      <c r="H17">
        <v>0.32400000000000001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</row>
    <row r="18" spans="1:60" x14ac:dyDescent="0.35">
      <c r="A18" t="s">
        <v>76</v>
      </c>
      <c r="B18" t="s">
        <v>77</v>
      </c>
      <c r="C18" t="s">
        <v>110</v>
      </c>
      <c r="D18" t="s">
        <v>111</v>
      </c>
      <c r="E18">
        <v>763</v>
      </c>
      <c r="F18" t="s">
        <v>81</v>
      </c>
      <c r="G18" t="s">
        <v>81</v>
      </c>
      <c r="H18" t="s">
        <v>81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</row>
    <row r="19" spans="1:60" x14ac:dyDescent="0.35">
      <c r="A19" t="s">
        <v>76</v>
      </c>
      <c r="B19" t="s">
        <v>77</v>
      </c>
      <c r="C19" t="s">
        <v>112</v>
      </c>
      <c r="D19" t="s">
        <v>113</v>
      </c>
      <c r="E19">
        <v>332</v>
      </c>
      <c r="F19" t="s">
        <v>81</v>
      </c>
      <c r="G19" t="s">
        <v>81</v>
      </c>
      <c r="H19" t="s">
        <v>81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</row>
    <row r="20" spans="1:60" x14ac:dyDescent="0.35">
      <c r="A20" t="s">
        <v>76</v>
      </c>
      <c r="B20" t="s">
        <v>77</v>
      </c>
      <c r="C20" t="s">
        <v>114</v>
      </c>
      <c r="D20" t="s">
        <v>115</v>
      </c>
      <c r="E20">
        <v>570</v>
      </c>
      <c r="F20" t="s">
        <v>81</v>
      </c>
      <c r="G20" t="s">
        <v>81</v>
      </c>
      <c r="H20" t="s">
        <v>81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</v>
      </c>
      <c r="BG20">
        <v>0</v>
      </c>
      <c r="BH20">
        <v>0</v>
      </c>
    </row>
    <row r="21" spans="1:60" x14ac:dyDescent="0.35">
      <c r="A21" t="s">
        <v>76</v>
      </c>
      <c r="B21" t="s">
        <v>77</v>
      </c>
      <c r="C21" t="s">
        <v>116</v>
      </c>
      <c r="D21" t="s">
        <v>117</v>
      </c>
      <c r="E21">
        <v>1224</v>
      </c>
      <c r="F21" t="s">
        <v>81</v>
      </c>
      <c r="G21" t="s">
        <v>81</v>
      </c>
      <c r="H21" t="s">
        <v>81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</row>
    <row r="22" spans="1:60" x14ac:dyDescent="0.35">
      <c r="A22" t="s">
        <v>76</v>
      </c>
      <c r="B22" t="s">
        <v>77</v>
      </c>
      <c r="C22" t="s">
        <v>118</v>
      </c>
      <c r="D22" t="s">
        <v>119</v>
      </c>
      <c r="E22">
        <v>286</v>
      </c>
      <c r="F22" t="s">
        <v>81</v>
      </c>
      <c r="G22" t="s">
        <v>81</v>
      </c>
      <c r="H22" t="s">
        <v>81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 t="s">
        <v>81</v>
      </c>
      <c r="BB22" t="s">
        <v>81</v>
      </c>
      <c r="BC22" t="s">
        <v>81</v>
      </c>
      <c r="BD22" t="s">
        <v>81</v>
      </c>
      <c r="BE22" t="s">
        <v>81</v>
      </c>
      <c r="BF22" t="s">
        <v>81</v>
      </c>
      <c r="BG22" t="s">
        <v>81</v>
      </c>
      <c r="BH22" t="s">
        <v>81</v>
      </c>
    </row>
    <row r="23" spans="1:60" x14ac:dyDescent="0.35">
      <c r="A23" t="s">
        <v>76</v>
      </c>
      <c r="B23" t="s">
        <v>120</v>
      </c>
      <c r="C23" t="s">
        <v>120</v>
      </c>
      <c r="D23" t="s">
        <v>121</v>
      </c>
      <c r="E23">
        <v>30790</v>
      </c>
      <c r="F23">
        <v>133</v>
      </c>
      <c r="G23">
        <v>125.97490000000001</v>
      </c>
      <c r="H23">
        <v>0.94718000000000002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272.39</v>
      </c>
      <c r="R23">
        <v>0</v>
      </c>
      <c r="S23">
        <v>0</v>
      </c>
      <c r="T23">
        <v>272.39</v>
      </c>
      <c r="U23">
        <v>0</v>
      </c>
      <c r="V23">
        <v>0</v>
      </c>
      <c r="W23">
        <v>1362.79</v>
      </c>
      <c r="X23">
        <v>0</v>
      </c>
      <c r="Y23">
        <v>0</v>
      </c>
      <c r="Z23">
        <v>1362.79</v>
      </c>
      <c r="AA23">
        <v>38337.75</v>
      </c>
      <c r="AB23">
        <v>0</v>
      </c>
      <c r="AC23">
        <v>42795.73</v>
      </c>
      <c r="AD23">
        <v>0</v>
      </c>
      <c r="AE23">
        <v>1505.09</v>
      </c>
      <c r="AF23">
        <v>82638.570000000007</v>
      </c>
      <c r="AG23">
        <v>6765.89</v>
      </c>
      <c r="AH23">
        <v>0</v>
      </c>
      <c r="AI23">
        <v>4024.05</v>
      </c>
      <c r="AJ23">
        <v>0</v>
      </c>
      <c r="AK23">
        <v>1538.99</v>
      </c>
      <c r="AL23">
        <v>12328.93</v>
      </c>
      <c r="AM23">
        <v>2883.06</v>
      </c>
      <c r="AN23">
        <v>0</v>
      </c>
      <c r="AO23">
        <v>12404.9</v>
      </c>
      <c r="AP23">
        <v>0</v>
      </c>
      <c r="AQ23">
        <v>417.21</v>
      </c>
      <c r="AR23">
        <v>15705.17</v>
      </c>
      <c r="AS23">
        <v>1998.77</v>
      </c>
      <c r="AT23">
        <v>0</v>
      </c>
      <c r="AU23">
        <v>6584.03</v>
      </c>
      <c r="AV23">
        <v>0</v>
      </c>
      <c r="AW23">
        <v>0</v>
      </c>
      <c r="AX23">
        <v>8582.7999999999993</v>
      </c>
      <c r="AY23">
        <v>120890.65</v>
      </c>
      <c r="AZ23">
        <v>0</v>
      </c>
      <c r="BA23">
        <v>10</v>
      </c>
      <c r="BB23">
        <v>49268.930999999997</v>
      </c>
      <c r="BC23">
        <v>492689.30499999999</v>
      </c>
      <c r="BD23">
        <v>0</v>
      </c>
      <c r="BE23">
        <v>2.99</v>
      </c>
      <c r="BF23">
        <v>308</v>
      </c>
      <c r="BG23">
        <v>1718.149026</v>
      </c>
      <c r="BH23">
        <v>169.035</v>
      </c>
    </row>
    <row r="24" spans="1:60" x14ac:dyDescent="0.35">
      <c r="A24" t="s">
        <v>76</v>
      </c>
      <c r="B24" t="s">
        <v>120</v>
      </c>
      <c r="C24" t="s">
        <v>122</v>
      </c>
      <c r="D24" t="s">
        <v>123</v>
      </c>
      <c r="E24">
        <v>9613</v>
      </c>
      <c r="F24" t="s">
        <v>81</v>
      </c>
      <c r="G24" t="s">
        <v>81</v>
      </c>
      <c r="H24" t="s">
        <v>81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28</v>
      </c>
      <c r="BG24">
        <v>0</v>
      </c>
      <c r="BH24">
        <v>0</v>
      </c>
    </row>
    <row r="25" spans="1:60" x14ac:dyDescent="0.35">
      <c r="A25" t="s">
        <v>76</v>
      </c>
      <c r="B25" t="s">
        <v>120</v>
      </c>
      <c r="C25" t="s">
        <v>124</v>
      </c>
      <c r="D25" t="s">
        <v>125</v>
      </c>
      <c r="E25">
        <v>4213</v>
      </c>
      <c r="F25">
        <v>2</v>
      </c>
      <c r="G25">
        <v>0.68</v>
      </c>
      <c r="H25">
        <v>0.34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8</v>
      </c>
      <c r="BG25">
        <v>378.625</v>
      </c>
      <c r="BH25">
        <v>0</v>
      </c>
    </row>
    <row r="26" spans="1:60" x14ac:dyDescent="0.35">
      <c r="A26" t="s">
        <v>76</v>
      </c>
      <c r="B26" t="s">
        <v>120</v>
      </c>
      <c r="C26" t="s">
        <v>126</v>
      </c>
      <c r="D26" t="s">
        <v>127</v>
      </c>
      <c r="E26">
        <v>1251</v>
      </c>
      <c r="F26" t="s">
        <v>81</v>
      </c>
      <c r="G26" t="s">
        <v>81</v>
      </c>
      <c r="H26" t="s">
        <v>81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</row>
    <row r="27" spans="1:60" x14ac:dyDescent="0.35">
      <c r="A27" t="s">
        <v>76</v>
      </c>
      <c r="B27" t="s">
        <v>120</v>
      </c>
      <c r="C27" t="s">
        <v>128</v>
      </c>
      <c r="D27" t="s">
        <v>129</v>
      </c>
      <c r="E27">
        <v>34240</v>
      </c>
      <c r="F27">
        <v>18</v>
      </c>
      <c r="G27">
        <v>10.415570000000001</v>
      </c>
      <c r="H27">
        <v>0.57864300000000002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</v>
      </c>
      <c r="BB27">
        <v>173559.76</v>
      </c>
      <c r="BC27">
        <v>520679.28100000002</v>
      </c>
      <c r="BD27">
        <v>0</v>
      </c>
      <c r="BE27">
        <v>0</v>
      </c>
      <c r="BF27">
        <v>75</v>
      </c>
      <c r="BG27">
        <v>608.07466699999998</v>
      </c>
      <c r="BH27">
        <v>0</v>
      </c>
    </row>
    <row r="28" spans="1:60" x14ac:dyDescent="0.35">
      <c r="A28" t="s">
        <v>76</v>
      </c>
      <c r="B28" t="s">
        <v>120</v>
      </c>
      <c r="C28" t="s">
        <v>130</v>
      </c>
      <c r="D28" t="s">
        <v>131</v>
      </c>
      <c r="E28">
        <v>6226</v>
      </c>
      <c r="F28">
        <v>5</v>
      </c>
      <c r="G28">
        <v>2.024038</v>
      </c>
      <c r="H28">
        <v>0.40480759999999999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35421.71</v>
      </c>
      <c r="AD28">
        <v>0</v>
      </c>
      <c r="AE28">
        <v>0</v>
      </c>
      <c r="AF28">
        <v>35421.71</v>
      </c>
      <c r="AG28">
        <v>0</v>
      </c>
      <c r="AH28">
        <v>0</v>
      </c>
      <c r="AI28">
        <v>5652.14</v>
      </c>
      <c r="AJ28">
        <v>0</v>
      </c>
      <c r="AK28">
        <v>0</v>
      </c>
      <c r="AL28">
        <v>5652.14</v>
      </c>
      <c r="AM28">
        <v>0</v>
      </c>
      <c r="AN28">
        <v>0</v>
      </c>
      <c r="AO28">
        <v>12334.81</v>
      </c>
      <c r="AP28">
        <v>0</v>
      </c>
      <c r="AQ28">
        <v>0</v>
      </c>
      <c r="AR28">
        <v>12334.81</v>
      </c>
      <c r="AS28">
        <v>0</v>
      </c>
      <c r="AT28">
        <v>0</v>
      </c>
      <c r="AU28">
        <v>1271.95</v>
      </c>
      <c r="AV28">
        <v>0</v>
      </c>
      <c r="AW28">
        <v>0</v>
      </c>
      <c r="AX28">
        <v>1271.95</v>
      </c>
      <c r="AY28">
        <v>54680.61</v>
      </c>
      <c r="AZ28">
        <v>0</v>
      </c>
      <c r="BA28">
        <v>1</v>
      </c>
      <c r="BB28">
        <v>8894.1669999999995</v>
      </c>
      <c r="BC28">
        <v>8894.1669999999995</v>
      </c>
      <c r="BD28">
        <v>2873</v>
      </c>
      <c r="BE28">
        <v>0</v>
      </c>
      <c r="BF28">
        <v>44</v>
      </c>
      <c r="BG28">
        <v>10.072727</v>
      </c>
      <c r="BH28">
        <v>0</v>
      </c>
    </row>
    <row r="29" spans="1:60" x14ac:dyDescent="0.35">
      <c r="A29" t="s">
        <v>76</v>
      </c>
      <c r="B29" t="s">
        <v>132</v>
      </c>
      <c r="C29" t="s">
        <v>133</v>
      </c>
      <c r="D29" t="s">
        <v>134</v>
      </c>
      <c r="E29">
        <v>1232</v>
      </c>
      <c r="F29">
        <v>2</v>
      </c>
      <c r="G29">
        <v>0.54649999999999999</v>
      </c>
      <c r="H29">
        <v>0.27324999999999999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8</v>
      </c>
      <c r="BG29">
        <v>0</v>
      </c>
      <c r="BH29">
        <v>0</v>
      </c>
    </row>
    <row r="30" spans="1:60" x14ac:dyDescent="0.35">
      <c r="A30" t="s">
        <v>76</v>
      </c>
      <c r="B30" t="s">
        <v>132</v>
      </c>
      <c r="C30" t="s">
        <v>135</v>
      </c>
      <c r="D30" t="s">
        <v>136</v>
      </c>
      <c r="E30">
        <v>308</v>
      </c>
      <c r="F30" t="s">
        <v>81</v>
      </c>
      <c r="G30" t="s">
        <v>81</v>
      </c>
      <c r="H30" t="s">
        <v>81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 t="s">
        <v>81</v>
      </c>
      <c r="BB30" t="s">
        <v>81</v>
      </c>
      <c r="BC30" t="s">
        <v>81</v>
      </c>
      <c r="BD30" t="s">
        <v>81</v>
      </c>
      <c r="BE30" t="s">
        <v>81</v>
      </c>
      <c r="BF30" t="s">
        <v>81</v>
      </c>
      <c r="BG30" t="s">
        <v>81</v>
      </c>
      <c r="BH30" t="s">
        <v>81</v>
      </c>
    </row>
    <row r="31" spans="1:60" x14ac:dyDescent="0.35">
      <c r="A31" t="s">
        <v>76</v>
      </c>
      <c r="B31" t="s">
        <v>132</v>
      </c>
      <c r="C31" t="s">
        <v>137</v>
      </c>
      <c r="D31" t="s">
        <v>138</v>
      </c>
      <c r="E31">
        <v>292</v>
      </c>
      <c r="F31" t="s">
        <v>81</v>
      </c>
      <c r="G31" t="s">
        <v>81</v>
      </c>
      <c r="H31" t="s">
        <v>81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</row>
    <row r="32" spans="1:60" x14ac:dyDescent="0.35">
      <c r="A32" t="s">
        <v>76</v>
      </c>
      <c r="B32" t="s">
        <v>132</v>
      </c>
      <c r="C32" t="s">
        <v>139</v>
      </c>
      <c r="D32" t="s">
        <v>140</v>
      </c>
      <c r="E32">
        <v>849</v>
      </c>
      <c r="F32" t="s">
        <v>81</v>
      </c>
      <c r="G32" t="s">
        <v>81</v>
      </c>
      <c r="H32" t="s">
        <v>81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 t="s">
        <v>81</v>
      </c>
      <c r="BB32" t="s">
        <v>81</v>
      </c>
      <c r="BC32" t="s">
        <v>81</v>
      </c>
      <c r="BD32" t="s">
        <v>81</v>
      </c>
      <c r="BE32" t="s">
        <v>81</v>
      </c>
      <c r="BF32" t="s">
        <v>81</v>
      </c>
      <c r="BG32" t="s">
        <v>81</v>
      </c>
      <c r="BH32" t="s">
        <v>81</v>
      </c>
    </row>
    <row r="33" spans="1:60" x14ac:dyDescent="0.35">
      <c r="A33" t="s">
        <v>76</v>
      </c>
      <c r="B33" t="s">
        <v>132</v>
      </c>
      <c r="C33" t="s">
        <v>141</v>
      </c>
      <c r="D33" t="s">
        <v>142</v>
      </c>
      <c r="E33">
        <v>638</v>
      </c>
      <c r="F33" t="s">
        <v>81</v>
      </c>
      <c r="G33" t="s">
        <v>81</v>
      </c>
      <c r="H33" t="s">
        <v>81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 t="s">
        <v>81</v>
      </c>
      <c r="BB33" t="s">
        <v>81</v>
      </c>
      <c r="BC33" t="s">
        <v>81</v>
      </c>
      <c r="BD33" t="s">
        <v>81</v>
      </c>
      <c r="BE33" t="s">
        <v>81</v>
      </c>
      <c r="BF33" t="s">
        <v>81</v>
      </c>
      <c r="BG33" t="s">
        <v>81</v>
      </c>
      <c r="BH33" t="s">
        <v>81</v>
      </c>
    </row>
    <row r="34" spans="1:60" x14ac:dyDescent="0.35">
      <c r="A34" t="s">
        <v>76</v>
      </c>
      <c r="B34" t="s">
        <v>132</v>
      </c>
      <c r="C34" t="s">
        <v>143</v>
      </c>
      <c r="D34" t="s">
        <v>144</v>
      </c>
      <c r="E34">
        <v>6283</v>
      </c>
      <c r="F34">
        <v>13</v>
      </c>
      <c r="G34">
        <v>8.2470309999999998</v>
      </c>
      <c r="H34">
        <v>0.63438700000000003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4664.3100000000004</v>
      </c>
      <c r="AD34">
        <v>0</v>
      </c>
      <c r="AE34">
        <v>0</v>
      </c>
      <c r="AF34">
        <v>4664.3100000000004</v>
      </c>
      <c r="AG34">
        <v>0</v>
      </c>
      <c r="AH34">
        <v>0</v>
      </c>
      <c r="AI34">
        <v>755.13</v>
      </c>
      <c r="AJ34">
        <v>0</v>
      </c>
      <c r="AK34">
        <v>0</v>
      </c>
      <c r="AL34">
        <v>755.13</v>
      </c>
      <c r="AM34">
        <v>0</v>
      </c>
      <c r="AN34">
        <v>0</v>
      </c>
      <c r="AO34">
        <v>798.2</v>
      </c>
      <c r="AP34">
        <v>0</v>
      </c>
      <c r="AQ34">
        <v>0</v>
      </c>
      <c r="AR34">
        <v>798.2</v>
      </c>
      <c r="AS34">
        <v>0</v>
      </c>
      <c r="AT34">
        <v>0</v>
      </c>
      <c r="AU34">
        <v>778.74</v>
      </c>
      <c r="AV34">
        <v>0</v>
      </c>
      <c r="AW34">
        <v>0</v>
      </c>
      <c r="AX34">
        <v>778.74</v>
      </c>
      <c r="AY34">
        <v>6996.38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41</v>
      </c>
      <c r="BG34">
        <v>1723.0634150000001</v>
      </c>
      <c r="BH34">
        <v>920.1</v>
      </c>
    </row>
    <row r="35" spans="1:60" x14ac:dyDescent="0.35">
      <c r="A35" t="s">
        <v>76</v>
      </c>
      <c r="B35" t="s">
        <v>132</v>
      </c>
      <c r="C35" t="s">
        <v>145</v>
      </c>
      <c r="D35" t="s">
        <v>146</v>
      </c>
      <c r="E35">
        <v>7588</v>
      </c>
      <c r="F35">
        <v>52</v>
      </c>
      <c r="G35">
        <v>32.859639999999999</v>
      </c>
      <c r="H35">
        <v>0.63191600000000003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15420.09</v>
      </c>
      <c r="AB35">
        <v>0</v>
      </c>
      <c r="AC35">
        <v>25007.7</v>
      </c>
      <c r="AD35">
        <v>0</v>
      </c>
      <c r="AE35">
        <v>0</v>
      </c>
      <c r="AF35">
        <v>40427.79</v>
      </c>
      <c r="AG35">
        <v>3181.38</v>
      </c>
      <c r="AH35">
        <v>0</v>
      </c>
      <c r="AI35">
        <v>3548.74</v>
      </c>
      <c r="AJ35">
        <v>0</v>
      </c>
      <c r="AK35">
        <v>0</v>
      </c>
      <c r="AL35">
        <v>6730.12</v>
      </c>
      <c r="AM35">
        <v>166.2</v>
      </c>
      <c r="AN35">
        <v>0</v>
      </c>
      <c r="AO35">
        <v>3236.57</v>
      </c>
      <c r="AP35">
        <v>0</v>
      </c>
      <c r="AQ35">
        <v>0</v>
      </c>
      <c r="AR35">
        <v>3402.77</v>
      </c>
      <c r="AS35">
        <v>1058.44</v>
      </c>
      <c r="AT35">
        <v>0</v>
      </c>
      <c r="AU35">
        <v>1164.8900000000001</v>
      </c>
      <c r="AV35">
        <v>0</v>
      </c>
      <c r="AW35">
        <v>0</v>
      </c>
      <c r="AX35">
        <v>2223.33</v>
      </c>
      <c r="AY35">
        <v>52784.01</v>
      </c>
      <c r="AZ35">
        <v>0</v>
      </c>
      <c r="BA35">
        <v>5</v>
      </c>
      <c r="BB35">
        <v>12832.9</v>
      </c>
      <c r="BC35">
        <v>64164.5</v>
      </c>
      <c r="BD35">
        <v>0</v>
      </c>
      <c r="BE35">
        <v>55.933</v>
      </c>
      <c r="BF35">
        <v>99</v>
      </c>
      <c r="BG35">
        <v>1213.9782829999999</v>
      </c>
      <c r="BH35">
        <v>825.87599999999998</v>
      </c>
    </row>
    <row r="36" spans="1:60" x14ac:dyDescent="0.35">
      <c r="A36" t="s">
        <v>76</v>
      </c>
      <c r="B36" t="s">
        <v>132</v>
      </c>
      <c r="C36" t="s">
        <v>147</v>
      </c>
      <c r="D36" t="s">
        <v>148</v>
      </c>
      <c r="E36">
        <v>208</v>
      </c>
      <c r="F36" t="s">
        <v>81</v>
      </c>
      <c r="G36" t="s">
        <v>81</v>
      </c>
      <c r="H36" t="s">
        <v>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81</v>
      </c>
      <c r="BB36" t="s">
        <v>81</v>
      </c>
      <c r="BC36" t="s">
        <v>81</v>
      </c>
      <c r="BD36" t="s">
        <v>81</v>
      </c>
      <c r="BE36" t="s">
        <v>81</v>
      </c>
      <c r="BF36" t="s">
        <v>81</v>
      </c>
      <c r="BG36" t="s">
        <v>81</v>
      </c>
      <c r="BH36" t="s">
        <v>81</v>
      </c>
    </row>
    <row r="37" spans="1:60" x14ac:dyDescent="0.35">
      <c r="A37" t="s">
        <v>76</v>
      </c>
      <c r="B37" t="s">
        <v>132</v>
      </c>
      <c r="C37" t="s">
        <v>149</v>
      </c>
      <c r="D37" t="s">
        <v>150</v>
      </c>
      <c r="E37">
        <v>606</v>
      </c>
      <c r="F37" t="s">
        <v>81</v>
      </c>
      <c r="G37" t="s">
        <v>81</v>
      </c>
      <c r="H37" t="s">
        <v>81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 t="s">
        <v>81</v>
      </c>
      <c r="BB37" t="s">
        <v>81</v>
      </c>
      <c r="BC37" t="s">
        <v>81</v>
      </c>
      <c r="BD37" t="s">
        <v>81</v>
      </c>
      <c r="BE37" t="s">
        <v>81</v>
      </c>
      <c r="BF37" t="s">
        <v>81</v>
      </c>
      <c r="BG37" t="s">
        <v>81</v>
      </c>
      <c r="BH37" t="s">
        <v>81</v>
      </c>
    </row>
    <row r="38" spans="1:60" x14ac:dyDescent="0.35">
      <c r="A38" t="s">
        <v>76</v>
      </c>
      <c r="B38" t="s">
        <v>132</v>
      </c>
      <c r="C38" t="s">
        <v>151</v>
      </c>
      <c r="D38" t="s">
        <v>152</v>
      </c>
      <c r="E38">
        <v>1748</v>
      </c>
      <c r="F38" t="s">
        <v>81</v>
      </c>
      <c r="G38" t="s">
        <v>81</v>
      </c>
      <c r="H38" t="s">
        <v>81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6</v>
      </c>
      <c r="BG38">
        <v>27661.58</v>
      </c>
      <c r="BH38">
        <v>0</v>
      </c>
    </row>
    <row r="39" spans="1:60" x14ac:dyDescent="0.35">
      <c r="A39" t="s">
        <v>76</v>
      </c>
      <c r="B39" t="s">
        <v>132</v>
      </c>
      <c r="C39" t="s">
        <v>153</v>
      </c>
      <c r="D39" t="s">
        <v>154</v>
      </c>
      <c r="E39">
        <v>715</v>
      </c>
      <c r="F39">
        <v>1</v>
      </c>
      <c r="G39">
        <v>0.70735000000000003</v>
      </c>
      <c r="H39">
        <v>0.70735000000000003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6</v>
      </c>
      <c r="BG39">
        <v>0</v>
      </c>
      <c r="BH39">
        <v>0</v>
      </c>
    </row>
    <row r="40" spans="1:60" x14ac:dyDescent="0.35">
      <c r="A40" t="s">
        <v>76</v>
      </c>
      <c r="B40" t="s">
        <v>132</v>
      </c>
      <c r="C40" t="s">
        <v>155</v>
      </c>
      <c r="D40" t="s">
        <v>156</v>
      </c>
      <c r="E40">
        <v>5513</v>
      </c>
      <c r="F40" t="s">
        <v>81</v>
      </c>
      <c r="G40" t="s">
        <v>81</v>
      </c>
      <c r="H40" t="s">
        <v>81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33</v>
      </c>
      <c r="BG40">
        <v>12.272727</v>
      </c>
      <c r="BH40">
        <v>0</v>
      </c>
    </row>
    <row r="41" spans="1:60" x14ac:dyDescent="0.35">
      <c r="A41" t="s">
        <v>76</v>
      </c>
      <c r="B41" t="s">
        <v>157</v>
      </c>
      <c r="C41" t="s">
        <v>158</v>
      </c>
      <c r="D41" t="s">
        <v>159</v>
      </c>
      <c r="E41">
        <v>19600</v>
      </c>
      <c r="F41">
        <v>25</v>
      </c>
      <c r="G41">
        <v>12.751340000000001</v>
      </c>
      <c r="H41">
        <v>0.51005350000000005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133.26</v>
      </c>
      <c r="X41">
        <v>0</v>
      </c>
      <c r="Y41">
        <v>0</v>
      </c>
      <c r="Z41">
        <v>133.26</v>
      </c>
      <c r="AA41">
        <v>0</v>
      </c>
      <c r="AB41">
        <v>0</v>
      </c>
      <c r="AC41">
        <v>10312.67</v>
      </c>
      <c r="AD41">
        <v>0</v>
      </c>
      <c r="AE41">
        <v>0</v>
      </c>
      <c r="AF41">
        <v>10312.67</v>
      </c>
      <c r="AG41">
        <v>0</v>
      </c>
      <c r="AH41">
        <v>0</v>
      </c>
      <c r="AI41">
        <v>1542.36</v>
      </c>
      <c r="AJ41">
        <v>0</v>
      </c>
      <c r="AK41">
        <v>0</v>
      </c>
      <c r="AL41">
        <v>1542.36</v>
      </c>
      <c r="AM41">
        <v>0</v>
      </c>
      <c r="AN41">
        <v>0</v>
      </c>
      <c r="AO41">
        <v>653.21</v>
      </c>
      <c r="AP41">
        <v>0</v>
      </c>
      <c r="AQ41">
        <v>0</v>
      </c>
      <c r="AR41">
        <v>653.21</v>
      </c>
      <c r="AS41">
        <v>0</v>
      </c>
      <c r="AT41">
        <v>0</v>
      </c>
      <c r="AU41">
        <v>146.47</v>
      </c>
      <c r="AV41">
        <v>0</v>
      </c>
      <c r="AW41">
        <v>0</v>
      </c>
      <c r="AX41">
        <v>146.47</v>
      </c>
      <c r="AY41">
        <v>12787.97</v>
      </c>
      <c r="AZ41">
        <v>0</v>
      </c>
      <c r="BA41">
        <v>1</v>
      </c>
      <c r="BB41">
        <v>22523.667000000001</v>
      </c>
      <c r="BC41">
        <v>22523.667000000001</v>
      </c>
      <c r="BD41">
        <v>18549</v>
      </c>
      <c r="BE41">
        <v>0</v>
      </c>
      <c r="BF41">
        <v>80</v>
      </c>
      <c r="BG41">
        <v>4234.7004999999999</v>
      </c>
      <c r="BH41">
        <v>0</v>
      </c>
    </row>
    <row r="42" spans="1:60" x14ac:dyDescent="0.35">
      <c r="A42" t="s">
        <v>76</v>
      </c>
      <c r="B42" t="s">
        <v>157</v>
      </c>
      <c r="C42" t="s">
        <v>160</v>
      </c>
      <c r="D42" t="s">
        <v>161</v>
      </c>
      <c r="E42">
        <v>13578</v>
      </c>
      <c r="F42">
        <v>3</v>
      </c>
      <c r="G42">
        <v>0.873</v>
      </c>
      <c r="H42">
        <v>0.29099999999999998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</v>
      </c>
      <c r="BG42">
        <v>0</v>
      </c>
      <c r="BH42">
        <v>0</v>
      </c>
    </row>
    <row r="43" spans="1:60" x14ac:dyDescent="0.35">
      <c r="A43" t="s">
        <v>76</v>
      </c>
      <c r="B43" t="s">
        <v>157</v>
      </c>
      <c r="C43" t="s">
        <v>162</v>
      </c>
      <c r="D43" t="s">
        <v>163</v>
      </c>
      <c r="E43">
        <v>19233</v>
      </c>
      <c r="F43">
        <v>8</v>
      </c>
      <c r="G43">
        <v>3.008</v>
      </c>
      <c r="H43">
        <v>0.376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9</v>
      </c>
      <c r="BG43">
        <v>0</v>
      </c>
      <c r="BH43">
        <v>0</v>
      </c>
    </row>
    <row r="44" spans="1:60" x14ac:dyDescent="0.35">
      <c r="A44" t="s">
        <v>76</v>
      </c>
      <c r="B44" t="s">
        <v>164</v>
      </c>
      <c r="C44" t="s">
        <v>165</v>
      </c>
      <c r="D44" t="s">
        <v>166</v>
      </c>
      <c r="E44">
        <v>2305</v>
      </c>
      <c r="F44">
        <v>7</v>
      </c>
      <c r="G44">
        <v>1.6926000000000001</v>
      </c>
      <c r="H44">
        <v>0.24179999999999999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14</v>
      </c>
      <c r="BG44">
        <v>2880.4728570000002</v>
      </c>
      <c r="BH44">
        <v>0</v>
      </c>
    </row>
    <row r="45" spans="1:60" x14ac:dyDescent="0.35">
      <c r="A45" t="s">
        <v>76</v>
      </c>
      <c r="B45" t="s">
        <v>164</v>
      </c>
      <c r="C45" t="s">
        <v>167</v>
      </c>
      <c r="D45" t="s">
        <v>168</v>
      </c>
      <c r="E45">
        <v>7729</v>
      </c>
      <c r="F45">
        <v>5</v>
      </c>
      <c r="G45">
        <v>1.57</v>
      </c>
      <c r="H45">
        <v>0.314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0</v>
      </c>
      <c r="BH45">
        <v>0</v>
      </c>
    </row>
    <row r="46" spans="1:60" x14ac:dyDescent="0.35">
      <c r="A46" t="s">
        <v>76</v>
      </c>
      <c r="B46" t="s">
        <v>164</v>
      </c>
      <c r="C46" t="s">
        <v>169</v>
      </c>
      <c r="D46" t="s">
        <v>170</v>
      </c>
      <c r="E46">
        <v>1913</v>
      </c>
      <c r="F46" t="s">
        <v>81</v>
      </c>
      <c r="G46" t="s">
        <v>81</v>
      </c>
      <c r="H46" t="s">
        <v>81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</row>
    <row r="47" spans="1:60" x14ac:dyDescent="0.35">
      <c r="A47" t="s">
        <v>76</v>
      </c>
      <c r="B47" t="s">
        <v>164</v>
      </c>
      <c r="C47" t="s">
        <v>171</v>
      </c>
      <c r="D47" t="s">
        <v>172</v>
      </c>
      <c r="E47">
        <v>1739</v>
      </c>
      <c r="F47" t="s">
        <v>81</v>
      </c>
      <c r="G47" t="s">
        <v>81</v>
      </c>
      <c r="H47" t="s">
        <v>81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4</v>
      </c>
      <c r="BG47">
        <v>0</v>
      </c>
      <c r="BH47">
        <v>0</v>
      </c>
    </row>
    <row r="48" spans="1:60" x14ac:dyDescent="0.35">
      <c r="A48" t="s">
        <v>76</v>
      </c>
      <c r="B48" t="s">
        <v>164</v>
      </c>
      <c r="C48" t="s">
        <v>173</v>
      </c>
      <c r="D48" t="s">
        <v>174</v>
      </c>
      <c r="E48">
        <v>1819</v>
      </c>
      <c r="F48" t="s">
        <v>81</v>
      </c>
      <c r="G48" t="s">
        <v>81</v>
      </c>
      <c r="H48" t="s">
        <v>81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4</v>
      </c>
      <c r="BG48">
        <v>34.75</v>
      </c>
      <c r="BH48">
        <v>0</v>
      </c>
    </row>
    <row r="49" spans="1:60" x14ac:dyDescent="0.35">
      <c r="A49" t="s">
        <v>76</v>
      </c>
      <c r="B49" t="s">
        <v>164</v>
      </c>
      <c r="C49" t="s">
        <v>175</v>
      </c>
      <c r="D49" t="s">
        <v>176</v>
      </c>
      <c r="E49">
        <v>417</v>
      </c>
      <c r="F49" t="s">
        <v>81</v>
      </c>
      <c r="G49" t="s">
        <v>81</v>
      </c>
      <c r="H49" t="s">
        <v>81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81</v>
      </c>
      <c r="BB49" t="s">
        <v>81</v>
      </c>
      <c r="BC49" t="s">
        <v>81</v>
      </c>
      <c r="BD49" t="s">
        <v>81</v>
      </c>
      <c r="BE49" t="s">
        <v>81</v>
      </c>
      <c r="BF49" t="s">
        <v>81</v>
      </c>
      <c r="BG49" t="s">
        <v>81</v>
      </c>
      <c r="BH49" t="s">
        <v>81</v>
      </c>
    </row>
    <row r="50" spans="1:60" x14ac:dyDescent="0.35">
      <c r="A50" t="s">
        <v>76</v>
      </c>
      <c r="B50" t="s">
        <v>164</v>
      </c>
      <c r="C50" t="s">
        <v>177</v>
      </c>
      <c r="D50" t="s">
        <v>178</v>
      </c>
      <c r="E50">
        <v>833</v>
      </c>
      <c r="F50">
        <v>1</v>
      </c>
      <c r="G50">
        <v>0.43</v>
      </c>
      <c r="H50">
        <v>0.43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3</v>
      </c>
      <c r="BG50">
        <v>0</v>
      </c>
      <c r="BH50">
        <v>0</v>
      </c>
    </row>
    <row r="51" spans="1:60" x14ac:dyDescent="0.35">
      <c r="A51" t="s">
        <v>76</v>
      </c>
      <c r="B51" t="s">
        <v>164</v>
      </c>
      <c r="C51" t="s">
        <v>179</v>
      </c>
      <c r="D51" t="s">
        <v>180</v>
      </c>
      <c r="E51">
        <v>775</v>
      </c>
      <c r="F51" t="s">
        <v>81</v>
      </c>
      <c r="G51" t="s">
        <v>81</v>
      </c>
      <c r="H51" t="s">
        <v>81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81</v>
      </c>
      <c r="BB51" t="s">
        <v>81</v>
      </c>
      <c r="BC51" t="s">
        <v>81</v>
      </c>
      <c r="BD51" t="s">
        <v>81</v>
      </c>
      <c r="BE51" t="s">
        <v>81</v>
      </c>
      <c r="BF51" t="s">
        <v>81</v>
      </c>
      <c r="BG51" t="s">
        <v>81</v>
      </c>
      <c r="BH51" t="s">
        <v>81</v>
      </c>
    </row>
    <row r="52" spans="1:60" x14ac:dyDescent="0.35">
      <c r="A52" t="s">
        <v>76</v>
      </c>
      <c r="B52" t="s">
        <v>164</v>
      </c>
      <c r="C52" t="s">
        <v>164</v>
      </c>
      <c r="D52" t="s">
        <v>181</v>
      </c>
      <c r="E52">
        <v>3957</v>
      </c>
      <c r="F52">
        <v>11</v>
      </c>
      <c r="G52">
        <v>5.5785850000000003</v>
      </c>
      <c r="H52">
        <v>0.50714409999999999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42</v>
      </c>
      <c r="BG52">
        <v>1101.9059520000001</v>
      </c>
      <c r="BH52">
        <v>0</v>
      </c>
    </row>
    <row r="53" spans="1:60" x14ac:dyDescent="0.35">
      <c r="A53" t="s">
        <v>76</v>
      </c>
      <c r="B53" t="s">
        <v>164</v>
      </c>
      <c r="C53" t="s">
        <v>182</v>
      </c>
      <c r="D53" t="s">
        <v>183</v>
      </c>
      <c r="E53">
        <v>388</v>
      </c>
      <c r="F53" t="s">
        <v>81</v>
      </c>
      <c r="G53" t="s">
        <v>81</v>
      </c>
      <c r="H53" t="s">
        <v>81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 t="s">
        <v>81</v>
      </c>
      <c r="BB53" t="s">
        <v>81</v>
      </c>
      <c r="BC53" t="s">
        <v>81</v>
      </c>
      <c r="BD53" t="s">
        <v>81</v>
      </c>
      <c r="BE53" t="s">
        <v>81</v>
      </c>
      <c r="BF53" t="s">
        <v>81</v>
      </c>
      <c r="BG53" t="s">
        <v>81</v>
      </c>
      <c r="BH53" t="s">
        <v>81</v>
      </c>
    </row>
    <row r="54" spans="1:60" x14ac:dyDescent="0.35">
      <c r="A54" t="s">
        <v>76</v>
      </c>
      <c r="B54" t="s">
        <v>164</v>
      </c>
      <c r="C54" t="s">
        <v>184</v>
      </c>
      <c r="D54" t="s">
        <v>185</v>
      </c>
      <c r="E54">
        <v>724</v>
      </c>
      <c r="F54" t="s">
        <v>81</v>
      </c>
      <c r="G54" t="s">
        <v>81</v>
      </c>
      <c r="H54" t="s">
        <v>81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3</v>
      </c>
      <c r="BG54">
        <v>0</v>
      </c>
      <c r="BH54">
        <v>0</v>
      </c>
    </row>
    <row r="55" spans="1:60" x14ac:dyDescent="0.35">
      <c r="A55" t="s">
        <v>76</v>
      </c>
      <c r="B55" t="s">
        <v>164</v>
      </c>
      <c r="C55" t="s">
        <v>186</v>
      </c>
      <c r="D55" t="s">
        <v>187</v>
      </c>
      <c r="E55">
        <v>3966</v>
      </c>
      <c r="F55">
        <v>2</v>
      </c>
      <c r="G55">
        <v>0.71799999999999997</v>
      </c>
      <c r="H55">
        <v>0.35899999999999999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14</v>
      </c>
      <c r="BG55">
        <v>341.42857099999998</v>
      </c>
      <c r="BH55">
        <v>0</v>
      </c>
    </row>
    <row r="56" spans="1:60" x14ac:dyDescent="0.35">
      <c r="A56" t="s">
        <v>76</v>
      </c>
      <c r="B56" t="s">
        <v>164</v>
      </c>
      <c r="C56" t="s">
        <v>188</v>
      </c>
      <c r="D56" t="s">
        <v>189</v>
      </c>
      <c r="E56">
        <v>3554</v>
      </c>
      <c r="F56" t="s">
        <v>81</v>
      </c>
      <c r="G56" t="s">
        <v>81</v>
      </c>
      <c r="H56" t="s">
        <v>81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3</v>
      </c>
      <c r="BG56">
        <v>0</v>
      </c>
      <c r="BH56">
        <v>0</v>
      </c>
    </row>
    <row r="57" spans="1:60" x14ac:dyDescent="0.35">
      <c r="A57" t="s">
        <v>76</v>
      </c>
      <c r="B57" t="s">
        <v>164</v>
      </c>
      <c r="C57" t="s">
        <v>190</v>
      </c>
      <c r="D57" t="s">
        <v>191</v>
      </c>
      <c r="E57">
        <v>4784</v>
      </c>
      <c r="F57" t="s">
        <v>81</v>
      </c>
      <c r="G57" t="s">
        <v>81</v>
      </c>
      <c r="H57" t="s">
        <v>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0</v>
      </c>
      <c r="BH57">
        <v>0</v>
      </c>
    </row>
    <row r="58" spans="1:60" x14ac:dyDescent="0.35">
      <c r="A58" t="s">
        <v>76</v>
      </c>
      <c r="B58" t="s">
        <v>164</v>
      </c>
      <c r="C58" t="s">
        <v>192</v>
      </c>
      <c r="D58" t="s">
        <v>193</v>
      </c>
      <c r="E58">
        <v>1320</v>
      </c>
      <c r="F58" t="s">
        <v>81</v>
      </c>
      <c r="G58" t="s">
        <v>81</v>
      </c>
      <c r="H58" t="s">
        <v>81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81</v>
      </c>
      <c r="BB58" t="s">
        <v>81</v>
      </c>
      <c r="BC58" t="s">
        <v>81</v>
      </c>
      <c r="BD58" t="s">
        <v>81</v>
      </c>
      <c r="BE58" t="s">
        <v>81</v>
      </c>
      <c r="BF58" t="s">
        <v>81</v>
      </c>
      <c r="BG58" t="s">
        <v>81</v>
      </c>
      <c r="BH58" t="s">
        <v>81</v>
      </c>
    </row>
    <row r="59" spans="1:60" x14ac:dyDescent="0.35">
      <c r="A59" t="s">
        <v>76</v>
      </c>
      <c r="B59" t="s">
        <v>164</v>
      </c>
      <c r="C59" t="s">
        <v>194</v>
      </c>
      <c r="D59" t="s">
        <v>195</v>
      </c>
      <c r="E59">
        <v>490</v>
      </c>
      <c r="F59" t="s">
        <v>81</v>
      </c>
      <c r="G59" t="s">
        <v>81</v>
      </c>
      <c r="H59" t="s">
        <v>81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81</v>
      </c>
      <c r="BB59" t="s">
        <v>81</v>
      </c>
      <c r="BC59" t="s">
        <v>81</v>
      </c>
      <c r="BD59" t="s">
        <v>81</v>
      </c>
      <c r="BE59" t="s">
        <v>81</v>
      </c>
      <c r="BF59" t="s">
        <v>81</v>
      </c>
      <c r="BG59" t="s">
        <v>81</v>
      </c>
      <c r="BH59" t="s">
        <v>81</v>
      </c>
    </row>
    <row r="60" spans="1:60" x14ac:dyDescent="0.35">
      <c r="A60" t="s">
        <v>76</v>
      </c>
      <c r="B60" t="s">
        <v>164</v>
      </c>
      <c r="C60" t="s">
        <v>196</v>
      </c>
      <c r="D60" t="s">
        <v>197</v>
      </c>
      <c r="E60">
        <v>688</v>
      </c>
      <c r="F60" t="s">
        <v>81</v>
      </c>
      <c r="G60" t="s">
        <v>81</v>
      </c>
      <c r="H60" t="s">
        <v>81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81</v>
      </c>
      <c r="BB60" t="s">
        <v>81</v>
      </c>
      <c r="BC60" t="s">
        <v>81</v>
      </c>
      <c r="BD60" t="s">
        <v>81</v>
      </c>
      <c r="BE60" t="s">
        <v>81</v>
      </c>
      <c r="BF60" t="s">
        <v>81</v>
      </c>
      <c r="BG60" t="s">
        <v>81</v>
      </c>
      <c r="BH60" t="s">
        <v>81</v>
      </c>
    </row>
    <row r="61" spans="1:60" x14ac:dyDescent="0.35">
      <c r="A61" t="s">
        <v>76</v>
      </c>
      <c r="B61" t="s">
        <v>164</v>
      </c>
      <c r="C61" t="s">
        <v>198</v>
      </c>
      <c r="D61" t="s">
        <v>199</v>
      </c>
      <c r="E61">
        <v>524</v>
      </c>
      <c r="F61" t="s">
        <v>81</v>
      </c>
      <c r="G61" t="s">
        <v>81</v>
      </c>
      <c r="H61" t="s">
        <v>81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</row>
    <row r="62" spans="1:60" x14ac:dyDescent="0.35">
      <c r="A62" t="s">
        <v>76</v>
      </c>
      <c r="B62" t="s">
        <v>164</v>
      </c>
      <c r="C62" t="s">
        <v>200</v>
      </c>
      <c r="D62" t="s">
        <v>201</v>
      </c>
      <c r="E62">
        <v>388</v>
      </c>
      <c r="F62" t="s">
        <v>81</v>
      </c>
      <c r="G62" t="s">
        <v>81</v>
      </c>
      <c r="H62" t="s">
        <v>81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81</v>
      </c>
      <c r="BB62" t="s">
        <v>81</v>
      </c>
      <c r="BC62" t="s">
        <v>81</v>
      </c>
      <c r="BD62" t="s">
        <v>81</v>
      </c>
      <c r="BE62" t="s">
        <v>81</v>
      </c>
      <c r="BF62" t="s">
        <v>81</v>
      </c>
      <c r="BG62" t="s">
        <v>81</v>
      </c>
      <c r="BH62" t="s">
        <v>81</v>
      </c>
    </row>
    <row r="63" spans="1:60" x14ac:dyDescent="0.35">
      <c r="A63" t="s">
        <v>76</v>
      </c>
      <c r="B63" t="s">
        <v>164</v>
      </c>
      <c r="C63" t="s">
        <v>202</v>
      </c>
      <c r="D63" t="s">
        <v>203</v>
      </c>
      <c r="E63">
        <v>2222</v>
      </c>
      <c r="F63" t="s">
        <v>81</v>
      </c>
      <c r="G63" t="s">
        <v>81</v>
      </c>
      <c r="H63" t="s">
        <v>81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4</v>
      </c>
      <c r="BG63">
        <v>0</v>
      </c>
      <c r="BH63">
        <v>0</v>
      </c>
    </row>
    <row r="64" spans="1:60" x14ac:dyDescent="0.35">
      <c r="A64" t="s">
        <v>76</v>
      </c>
      <c r="B64" t="s">
        <v>164</v>
      </c>
      <c r="C64" t="s">
        <v>204</v>
      </c>
      <c r="D64" t="s">
        <v>205</v>
      </c>
      <c r="E64">
        <v>2793</v>
      </c>
      <c r="F64" t="s">
        <v>81</v>
      </c>
      <c r="G64" t="s">
        <v>81</v>
      </c>
      <c r="H64" t="s">
        <v>81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</v>
      </c>
      <c r="BG64">
        <v>0</v>
      </c>
      <c r="BH64">
        <v>0</v>
      </c>
    </row>
    <row r="65" spans="1:60" x14ac:dyDescent="0.35">
      <c r="A65" t="s">
        <v>76</v>
      </c>
      <c r="B65" t="s">
        <v>164</v>
      </c>
      <c r="C65" t="s">
        <v>206</v>
      </c>
      <c r="D65" t="s">
        <v>207</v>
      </c>
      <c r="E65">
        <v>1388</v>
      </c>
      <c r="F65">
        <v>2</v>
      </c>
      <c r="G65">
        <v>1.38</v>
      </c>
      <c r="H65">
        <v>0.69000010000000001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15</v>
      </c>
      <c r="BG65">
        <v>0</v>
      </c>
      <c r="BH65">
        <v>2829.9780000000001</v>
      </c>
    </row>
    <row r="66" spans="1:60" x14ac:dyDescent="0.35">
      <c r="A66" t="s">
        <v>76</v>
      </c>
      <c r="B66" t="s">
        <v>164</v>
      </c>
      <c r="C66" t="s">
        <v>208</v>
      </c>
      <c r="D66" t="s">
        <v>209</v>
      </c>
      <c r="E66">
        <v>1463</v>
      </c>
      <c r="F66" t="s">
        <v>81</v>
      </c>
      <c r="G66" t="s">
        <v>81</v>
      </c>
      <c r="H66" t="s">
        <v>81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</v>
      </c>
      <c r="BG66">
        <v>0</v>
      </c>
      <c r="BH66">
        <v>0</v>
      </c>
    </row>
    <row r="67" spans="1:60" x14ac:dyDescent="0.35">
      <c r="A67" t="s">
        <v>76</v>
      </c>
      <c r="B67" t="s">
        <v>210</v>
      </c>
      <c r="C67" t="s">
        <v>211</v>
      </c>
      <c r="D67" t="s">
        <v>212</v>
      </c>
      <c r="E67">
        <v>6660</v>
      </c>
      <c r="F67">
        <v>61</v>
      </c>
      <c r="G67">
        <v>59.551639999999999</v>
      </c>
      <c r="H67">
        <v>0.97625640000000002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283.04000000000002</v>
      </c>
      <c r="X67">
        <v>0</v>
      </c>
      <c r="Y67">
        <v>0</v>
      </c>
      <c r="Z67">
        <v>283.04000000000002</v>
      </c>
      <c r="AA67">
        <v>0</v>
      </c>
      <c r="AB67">
        <v>0</v>
      </c>
      <c r="AC67">
        <v>26163.7</v>
      </c>
      <c r="AD67">
        <v>9147.66</v>
      </c>
      <c r="AE67">
        <v>0</v>
      </c>
      <c r="AF67">
        <v>35311.360000000001</v>
      </c>
      <c r="AG67">
        <v>0</v>
      </c>
      <c r="AH67">
        <v>0</v>
      </c>
      <c r="AI67">
        <v>5759.02</v>
      </c>
      <c r="AJ67">
        <v>1943.48</v>
      </c>
      <c r="AK67">
        <v>0</v>
      </c>
      <c r="AL67">
        <v>7702.5</v>
      </c>
      <c r="AM67">
        <v>0</v>
      </c>
      <c r="AN67">
        <v>0</v>
      </c>
      <c r="AO67">
        <v>6073.18</v>
      </c>
      <c r="AP67">
        <v>436.27</v>
      </c>
      <c r="AQ67">
        <v>0</v>
      </c>
      <c r="AR67">
        <v>6509.45</v>
      </c>
      <c r="AS67">
        <v>0</v>
      </c>
      <c r="AT67">
        <v>0</v>
      </c>
      <c r="AU67">
        <v>3880.94</v>
      </c>
      <c r="AV67">
        <v>0</v>
      </c>
      <c r="AW67">
        <v>0</v>
      </c>
      <c r="AX67">
        <v>3880.94</v>
      </c>
      <c r="AY67">
        <v>53687.29</v>
      </c>
      <c r="AZ67">
        <v>0</v>
      </c>
      <c r="BA67">
        <v>7</v>
      </c>
      <c r="BB67">
        <v>28500.357</v>
      </c>
      <c r="BC67">
        <v>199502.5</v>
      </c>
      <c r="BD67">
        <v>9618.4285710000004</v>
      </c>
      <c r="BE67">
        <v>1673.2539999999999</v>
      </c>
      <c r="BF67">
        <v>146</v>
      </c>
      <c r="BG67">
        <v>420.88506799999999</v>
      </c>
      <c r="BH67">
        <v>41.935000000000002</v>
      </c>
    </row>
    <row r="68" spans="1:60" x14ac:dyDescent="0.35">
      <c r="A68" t="s">
        <v>76</v>
      </c>
      <c r="B68" t="s">
        <v>210</v>
      </c>
      <c r="C68" t="s">
        <v>213</v>
      </c>
      <c r="D68" t="s">
        <v>214</v>
      </c>
      <c r="E68">
        <v>2996</v>
      </c>
      <c r="F68" t="s">
        <v>81</v>
      </c>
      <c r="G68" t="s">
        <v>81</v>
      </c>
      <c r="H68" t="s">
        <v>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30264</v>
      </c>
      <c r="BC68">
        <v>30264</v>
      </c>
      <c r="BD68">
        <v>0</v>
      </c>
      <c r="BE68">
        <v>5767.7790000000005</v>
      </c>
      <c r="BF68">
        <v>4</v>
      </c>
      <c r="BG68">
        <v>0</v>
      </c>
      <c r="BH68">
        <v>1489.5250000000001</v>
      </c>
    </row>
    <row r="69" spans="1:60" x14ac:dyDescent="0.35">
      <c r="A69" t="s">
        <v>76</v>
      </c>
      <c r="B69" t="s">
        <v>210</v>
      </c>
      <c r="C69" t="s">
        <v>215</v>
      </c>
      <c r="D69" t="s">
        <v>216</v>
      </c>
      <c r="E69">
        <v>645</v>
      </c>
      <c r="F69">
        <v>1</v>
      </c>
      <c r="G69">
        <v>0.72</v>
      </c>
      <c r="H69">
        <v>0.72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</v>
      </c>
      <c r="BG69">
        <v>0</v>
      </c>
      <c r="BH69">
        <v>0</v>
      </c>
    </row>
    <row r="70" spans="1:60" x14ac:dyDescent="0.35">
      <c r="A70" t="s">
        <v>76</v>
      </c>
      <c r="B70" t="s">
        <v>210</v>
      </c>
      <c r="C70" t="s">
        <v>217</v>
      </c>
      <c r="D70" t="s">
        <v>218</v>
      </c>
      <c r="E70">
        <v>2363</v>
      </c>
      <c r="F70">
        <v>5</v>
      </c>
      <c r="G70">
        <v>4.5105000000000004</v>
      </c>
      <c r="H70">
        <v>0.90210000000000001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4906.75</v>
      </c>
      <c r="BC70">
        <v>4906.75</v>
      </c>
      <c r="BD70">
        <v>0</v>
      </c>
      <c r="BE70">
        <v>2910.6</v>
      </c>
      <c r="BF70">
        <v>11</v>
      </c>
      <c r="BG70">
        <v>403.46454499999999</v>
      </c>
      <c r="BH70">
        <v>0</v>
      </c>
    </row>
    <row r="71" spans="1:60" x14ac:dyDescent="0.35">
      <c r="A71" t="s">
        <v>76</v>
      </c>
      <c r="B71" t="s">
        <v>210</v>
      </c>
      <c r="C71" t="s">
        <v>219</v>
      </c>
      <c r="D71" t="s">
        <v>220</v>
      </c>
      <c r="E71">
        <v>2242</v>
      </c>
      <c r="F71" t="s">
        <v>81</v>
      </c>
      <c r="G71" t="s">
        <v>81</v>
      </c>
      <c r="H71" t="s">
        <v>81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4</v>
      </c>
      <c r="BG71">
        <v>0</v>
      </c>
      <c r="BH71">
        <v>0</v>
      </c>
    </row>
    <row r="72" spans="1:60" x14ac:dyDescent="0.35">
      <c r="A72" t="s">
        <v>76</v>
      </c>
      <c r="B72" t="s">
        <v>210</v>
      </c>
      <c r="C72" t="s">
        <v>221</v>
      </c>
      <c r="D72" t="s">
        <v>222</v>
      </c>
      <c r="E72">
        <v>1567</v>
      </c>
      <c r="F72" t="s">
        <v>81</v>
      </c>
      <c r="G72" t="s">
        <v>81</v>
      </c>
      <c r="H72" t="s">
        <v>81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9</v>
      </c>
      <c r="BG72">
        <v>0</v>
      </c>
      <c r="BH72">
        <v>0</v>
      </c>
    </row>
    <row r="73" spans="1:60" x14ac:dyDescent="0.35">
      <c r="A73" t="s">
        <v>76</v>
      </c>
      <c r="B73" t="s">
        <v>210</v>
      </c>
      <c r="C73" t="s">
        <v>223</v>
      </c>
      <c r="D73" t="s">
        <v>224</v>
      </c>
      <c r="E73">
        <v>1477</v>
      </c>
      <c r="F73">
        <v>3</v>
      </c>
      <c r="G73">
        <v>3.9111180000000001</v>
      </c>
      <c r="H73">
        <v>1.303706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8</v>
      </c>
      <c r="BG73">
        <v>0</v>
      </c>
      <c r="BH73">
        <v>0</v>
      </c>
    </row>
    <row r="74" spans="1:60" x14ac:dyDescent="0.35">
      <c r="A74" t="s">
        <v>76</v>
      </c>
      <c r="B74" t="s">
        <v>210</v>
      </c>
      <c r="C74" t="s">
        <v>225</v>
      </c>
      <c r="D74" t="s">
        <v>226</v>
      </c>
      <c r="E74">
        <v>393</v>
      </c>
      <c r="F74" t="s">
        <v>81</v>
      </c>
      <c r="G74" t="s">
        <v>81</v>
      </c>
      <c r="H74" t="s">
        <v>81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</row>
    <row r="75" spans="1:60" x14ac:dyDescent="0.35">
      <c r="A75" t="s">
        <v>76</v>
      </c>
      <c r="B75" t="s">
        <v>210</v>
      </c>
      <c r="C75" t="s">
        <v>227</v>
      </c>
      <c r="D75" t="s">
        <v>228</v>
      </c>
      <c r="E75">
        <v>10328</v>
      </c>
      <c r="F75">
        <v>1</v>
      </c>
      <c r="G75">
        <v>2.2999999999999998</v>
      </c>
      <c r="H75">
        <v>2.2999999999999998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26</v>
      </c>
      <c r="BG75">
        <v>0</v>
      </c>
      <c r="BH75">
        <v>0</v>
      </c>
    </row>
    <row r="76" spans="1:60" x14ac:dyDescent="0.35">
      <c r="A76" t="s">
        <v>76</v>
      </c>
      <c r="B76" t="s">
        <v>210</v>
      </c>
      <c r="C76" t="s">
        <v>229</v>
      </c>
      <c r="D76" t="s">
        <v>230</v>
      </c>
      <c r="E76">
        <v>524</v>
      </c>
      <c r="F76">
        <v>1</v>
      </c>
      <c r="G76">
        <v>0.216</v>
      </c>
      <c r="H76">
        <v>0.216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</row>
    <row r="77" spans="1:60" x14ac:dyDescent="0.35">
      <c r="A77" t="s">
        <v>76</v>
      </c>
      <c r="B77" t="s">
        <v>210</v>
      </c>
      <c r="C77" t="s">
        <v>231</v>
      </c>
      <c r="D77" t="s">
        <v>232</v>
      </c>
      <c r="E77">
        <v>284</v>
      </c>
      <c r="F77" t="s">
        <v>81</v>
      </c>
      <c r="G77" t="s">
        <v>81</v>
      </c>
      <c r="H77" t="s">
        <v>81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 t="s">
        <v>81</v>
      </c>
      <c r="BB77" t="s">
        <v>81</v>
      </c>
      <c r="BC77" t="s">
        <v>81</v>
      </c>
      <c r="BD77" t="s">
        <v>81</v>
      </c>
      <c r="BE77" t="s">
        <v>81</v>
      </c>
      <c r="BF77" t="s">
        <v>81</v>
      </c>
      <c r="BG77" t="s">
        <v>81</v>
      </c>
      <c r="BH77" t="s">
        <v>81</v>
      </c>
    </row>
    <row r="78" spans="1:60" x14ac:dyDescent="0.35">
      <c r="A78" t="s">
        <v>76</v>
      </c>
      <c r="B78" t="s">
        <v>210</v>
      </c>
      <c r="C78" t="s">
        <v>233</v>
      </c>
      <c r="D78" t="s">
        <v>234</v>
      </c>
      <c r="E78">
        <v>4955</v>
      </c>
      <c r="F78" t="s">
        <v>81</v>
      </c>
      <c r="G78" t="s">
        <v>81</v>
      </c>
      <c r="H78" t="s">
        <v>81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 t="s">
        <v>81</v>
      </c>
      <c r="BB78" t="s">
        <v>81</v>
      </c>
      <c r="BC78" t="s">
        <v>81</v>
      </c>
      <c r="BD78" t="s">
        <v>81</v>
      </c>
      <c r="BE78" t="s">
        <v>81</v>
      </c>
      <c r="BF78" t="s">
        <v>81</v>
      </c>
      <c r="BG78" t="s">
        <v>81</v>
      </c>
      <c r="BH78" t="s">
        <v>81</v>
      </c>
    </row>
    <row r="79" spans="1:60" x14ac:dyDescent="0.35">
      <c r="A79" t="s">
        <v>76</v>
      </c>
      <c r="B79" t="s">
        <v>235</v>
      </c>
      <c r="C79" t="s">
        <v>236</v>
      </c>
      <c r="D79" t="s">
        <v>237</v>
      </c>
      <c r="E79">
        <v>59952</v>
      </c>
      <c r="F79">
        <v>240</v>
      </c>
      <c r="G79">
        <v>263.66559999999998</v>
      </c>
      <c r="H79">
        <v>1.0986069999999999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11604.2</v>
      </c>
      <c r="V79">
        <v>0</v>
      </c>
      <c r="W79">
        <v>279.88</v>
      </c>
      <c r="X79">
        <v>0</v>
      </c>
      <c r="Y79">
        <v>0</v>
      </c>
      <c r="Z79">
        <v>11884.08</v>
      </c>
      <c r="AA79">
        <v>138056.37</v>
      </c>
      <c r="AB79">
        <v>0</v>
      </c>
      <c r="AC79">
        <v>85082.48</v>
      </c>
      <c r="AD79">
        <v>0</v>
      </c>
      <c r="AE79">
        <v>0</v>
      </c>
      <c r="AF79">
        <v>223138.85</v>
      </c>
      <c r="AG79">
        <v>16739.59</v>
      </c>
      <c r="AH79">
        <v>0</v>
      </c>
      <c r="AI79">
        <v>14887.55</v>
      </c>
      <c r="AJ79">
        <v>0</v>
      </c>
      <c r="AK79">
        <v>0</v>
      </c>
      <c r="AL79">
        <v>31627.14</v>
      </c>
      <c r="AM79">
        <v>70342.009999999995</v>
      </c>
      <c r="AN79">
        <v>0</v>
      </c>
      <c r="AO79">
        <v>19544.060000000001</v>
      </c>
      <c r="AP79">
        <v>0</v>
      </c>
      <c r="AQ79">
        <v>0</v>
      </c>
      <c r="AR79">
        <v>89886.07</v>
      </c>
      <c r="AS79">
        <v>11531.84</v>
      </c>
      <c r="AT79">
        <v>0</v>
      </c>
      <c r="AU79">
        <v>12296.65</v>
      </c>
      <c r="AV79">
        <v>0</v>
      </c>
      <c r="AW79">
        <v>0</v>
      </c>
      <c r="AX79">
        <v>23828.49</v>
      </c>
      <c r="AY79">
        <v>380364.63</v>
      </c>
      <c r="AZ79">
        <v>0</v>
      </c>
      <c r="BA79">
        <v>26</v>
      </c>
      <c r="BB79">
        <v>40232.506999999998</v>
      </c>
      <c r="BC79">
        <v>1046045.175</v>
      </c>
      <c r="BD79">
        <v>2234.767308</v>
      </c>
      <c r="BE79">
        <v>1331.336</v>
      </c>
      <c r="BF79">
        <v>498</v>
      </c>
      <c r="BG79">
        <v>1778.6603210000001</v>
      </c>
      <c r="BH79">
        <v>969.23500000000001</v>
      </c>
    </row>
    <row r="80" spans="1:60" x14ac:dyDescent="0.35">
      <c r="A80" t="s">
        <v>76</v>
      </c>
      <c r="B80" t="s">
        <v>235</v>
      </c>
      <c r="C80" t="s">
        <v>238</v>
      </c>
      <c r="D80" t="s">
        <v>239</v>
      </c>
      <c r="E80">
        <v>23221</v>
      </c>
      <c r="F80">
        <v>14</v>
      </c>
      <c r="G80">
        <v>16.417200000000001</v>
      </c>
      <c r="H80">
        <v>1.1726570000000001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23</v>
      </c>
      <c r="BG80">
        <v>0</v>
      </c>
      <c r="BH80">
        <v>0</v>
      </c>
    </row>
    <row r="81" spans="1:60" x14ac:dyDescent="0.35">
      <c r="A81" t="s">
        <v>76</v>
      </c>
      <c r="B81" t="s">
        <v>235</v>
      </c>
      <c r="C81" t="s">
        <v>240</v>
      </c>
      <c r="D81" t="s">
        <v>241</v>
      </c>
      <c r="E81">
        <v>8449</v>
      </c>
      <c r="F81">
        <v>2</v>
      </c>
      <c r="G81">
        <v>0.54000099999999995</v>
      </c>
      <c r="H81">
        <v>0.27000049999999998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11</v>
      </c>
      <c r="BG81">
        <v>0</v>
      </c>
      <c r="BH81">
        <v>0</v>
      </c>
    </row>
    <row r="82" spans="1:60" x14ac:dyDescent="0.35">
      <c r="A82" t="s">
        <v>76</v>
      </c>
      <c r="B82" t="s">
        <v>235</v>
      </c>
      <c r="C82" t="s">
        <v>242</v>
      </c>
      <c r="D82" t="s">
        <v>243</v>
      </c>
      <c r="E82">
        <v>6576</v>
      </c>
      <c r="F82">
        <v>1</v>
      </c>
      <c r="G82">
        <v>0.43</v>
      </c>
      <c r="H82">
        <v>0.43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259242.875</v>
      </c>
      <c r="BC82">
        <v>259242.875</v>
      </c>
      <c r="BD82">
        <v>0</v>
      </c>
      <c r="BE82">
        <v>0</v>
      </c>
      <c r="BF82">
        <v>6</v>
      </c>
      <c r="BG82">
        <v>0</v>
      </c>
      <c r="BH82">
        <v>0</v>
      </c>
    </row>
    <row r="83" spans="1:60" x14ac:dyDescent="0.35">
      <c r="A83" t="s">
        <v>76</v>
      </c>
      <c r="B83" t="s">
        <v>235</v>
      </c>
      <c r="C83" t="s">
        <v>244</v>
      </c>
      <c r="D83" t="s">
        <v>245</v>
      </c>
      <c r="E83">
        <v>6934</v>
      </c>
      <c r="F83">
        <v>1</v>
      </c>
      <c r="G83">
        <v>4.7492460000000003</v>
      </c>
      <c r="H83">
        <v>4.7492460000000003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32957.5</v>
      </c>
      <c r="BC83">
        <v>32957.5</v>
      </c>
      <c r="BD83">
        <v>0</v>
      </c>
      <c r="BE83">
        <v>0</v>
      </c>
      <c r="BF83">
        <v>7</v>
      </c>
      <c r="BG83">
        <v>112.93142899999999</v>
      </c>
      <c r="BH83">
        <v>0</v>
      </c>
    </row>
    <row r="84" spans="1:60" x14ac:dyDescent="0.35">
      <c r="A84" t="s">
        <v>76</v>
      </c>
      <c r="B84" t="s">
        <v>235</v>
      </c>
      <c r="C84" t="s">
        <v>246</v>
      </c>
      <c r="D84" t="s">
        <v>247</v>
      </c>
      <c r="E84">
        <v>11681</v>
      </c>
      <c r="F84">
        <v>16</v>
      </c>
      <c r="G84">
        <v>20.704319999999999</v>
      </c>
      <c r="H84">
        <v>1.2940199999999999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12935.92</v>
      </c>
      <c r="AD84">
        <v>0</v>
      </c>
      <c r="AE84">
        <v>0</v>
      </c>
      <c r="AF84">
        <v>12935.92</v>
      </c>
      <c r="AG84">
        <v>0</v>
      </c>
      <c r="AH84">
        <v>0</v>
      </c>
      <c r="AI84">
        <v>4565.84</v>
      </c>
      <c r="AJ84">
        <v>0</v>
      </c>
      <c r="AK84">
        <v>0</v>
      </c>
      <c r="AL84">
        <v>4565.84</v>
      </c>
      <c r="AM84">
        <v>0</v>
      </c>
      <c r="AN84">
        <v>0</v>
      </c>
      <c r="AO84">
        <v>2178.69</v>
      </c>
      <c r="AP84">
        <v>0</v>
      </c>
      <c r="AQ84">
        <v>0</v>
      </c>
      <c r="AR84">
        <v>2178.69</v>
      </c>
      <c r="AS84">
        <v>0</v>
      </c>
      <c r="AT84">
        <v>0</v>
      </c>
      <c r="AU84">
        <v>103.57</v>
      </c>
      <c r="AV84">
        <v>0</v>
      </c>
      <c r="AW84">
        <v>0</v>
      </c>
      <c r="AX84">
        <v>103.57</v>
      </c>
      <c r="AY84">
        <v>19784.02</v>
      </c>
      <c r="AZ84">
        <v>0</v>
      </c>
      <c r="BA84">
        <v>1</v>
      </c>
      <c r="BB84">
        <v>10688.166999999999</v>
      </c>
      <c r="BC84">
        <v>10688.166999999999</v>
      </c>
      <c r="BD84">
        <v>0</v>
      </c>
      <c r="BE84">
        <v>0</v>
      </c>
      <c r="BF84">
        <v>50</v>
      </c>
      <c r="BG84">
        <v>0</v>
      </c>
      <c r="BH84">
        <v>93.295000000000002</v>
      </c>
    </row>
    <row r="85" spans="1:60" x14ac:dyDescent="0.35">
      <c r="A85" t="s">
        <v>76</v>
      </c>
      <c r="B85" t="s">
        <v>235</v>
      </c>
      <c r="C85" t="s">
        <v>248</v>
      </c>
      <c r="D85" t="s">
        <v>249</v>
      </c>
      <c r="E85">
        <v>3255</v>
      </c>
      <c r="F85">
        <v>1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5</v>
      </c>
      <c r="BG85">
        <v>0</v>
      </c>
      <c r="BH85">
        <v>0</v>
      </c>
    </row>
    <row r="86" spans="1:60" x14ac:dyDescent="0.35">
      <c r="A86" t="s">
        <v>250</v>
      </c>
      <c r="B86" t="s">
        <v>251</v>
      </c>
      <c r="C86" t="s">
        <v>251</v>
      </c>
      <c r="D86" t="s">
        <v>252</v>
      </c>
      <c r="E86">
        <v>70876</v>
      </c>
      <c r="F86">
        <v>417</v>
      </c>
      <c r="G86">
        <v>412.9984</v>
      </c>
      <c r="H86">
        <v>0.99040399999999995</v>
      </c>
      <c r="I86">
        <v>38.549999999999997</v>
      </c>
      <c r="J86">
        <v>0</v>
      </c>
      <c r="K86">
        <v>0</v>
      </c>
      <c r="L86">
        <v>0</v>
      </c>
      <c r="M86">
        <v>0</v>
      </c>
      <c r="N86">
        <v>38.549999999999997</v>
      </c>
      <c r="O86">
        <v>23389.63</v>
      </c>
      <c r="P86">
        <v>0</v>
      </c>
      <c r="Q86">
        <v>0</v>
      </c>
      <c r="R86">
        <v>0</v>
      </c>
      <c r="S86">
        <v>0</v>
      </c>
      <c r="T86">
        <v>23389.63</v>
      </c>
      <c r="U86">
        <v>119961.28</v>
      </c>
      <c r="V86">
        <v>0</v>
      </c>
      <c r="W86">
        <v>927.82</v>
      </c>
      <c r="X86">
        <v>0</v>
      </c>
      <c r="Y86">
        <v>0</v>
      </c>
      <c r="Z86">
        <v>120889.1</v>
      </c>
      <c r="AA86">
        <v>449922.55</v>
      </c>
      <c r="AB86">
        <v>13884.77</v>
      </c>
      <c r="AC86">
        <v>136894.43</v>
      </c>
      <c r="AD86">
        <v>0</v>
      </c>
      <c r="AE86">
        <v>0</v>
      </c>
      <c r="AF86">
        <v>600701.75</v>
      </c>
      <c r="AG86">
        <v>38167.01</v>
      </c>
      <c r="AH86">
        <v>2234.48</v>
      </c>
      <c r="AI86">
        <v>23768.1</v>
      </c>
      <c r="AJ86">
        <v>0</v>
      </c>
      <c r="AK86">
        <v>0</v>
      </c>
      <c r="AL86">
        <v>64169.59</v>
      </c>
      <c r="AM86">
        <v>550903.61</v>
      </c>
      <c r="AN86">
        <v>10325.5</v>
      </c>
      <c r="AO86">
        <v>29047.61</v>
      </c>
      <c r="AP86">
        <v>0</v>
      </c>
      <c r="AQ86">
        <v>0</v>
      </c>
      <c r="AR86">
        <v>590276.72</v>
      </c>
      <c r="AS86">
        <v>109123.28</v>
      </c>
      <c r="AT86">
        <v>0</v>
      </c>
      <c r="AU86">
        <v>2349.0500000000002</v>
      </c>
      <c r="AV86">
        <v>0</v>
      </c>
      <c r="AW86">
        <v>0</v>
      </c>
      <c r="AX86">
        <v>111472.33</v>
      </c>
      <c r="AY86">
        <v>1510937.67</v>
      </c>
      <c r="AZ86">
        <v>1</v>
      </c>
      <c r="BA86">
        <v>175</v>
      </c>
      <c r="BB86">
        <v>48737.66</v>
      </c>
      <c r="BC86">
        <v>8529090.4550000001</v>
      </c>
      <c r="BD86">
        <v>7047.7466860000004</v>
      </c>
      <c r="BE86">
        <v>1489.242</v>
      </c>
      <c r="BF86">
        <v>1180</v>
      </c>
      <c r="BG86">
        <v>4896.2173140000004</v>
      </c>
      <c r="BH86">
        <v>1023.253</v>
      </c>
    </row>
    <row r="87" spans="1:60" x14ac:dyDescent="0.35">
      <c r="A87" t="s">
        <v>250</v>
      </c>
      <c r="B87" t="s">
        <v>251</v>
      </c>
      <c r="C87" t="s">
        <v>253</v>
      </c>
      <c r="D87" t="s">
        <v>254</v>
      </c>
      <c r="E87">
        <v>1648</v>
      </c>
      <c r="F87" t="s">
        <v>81</v>
      </c>
      <c r="G87" t="s">
        <v>81</v>
      </c>
      <c r="H87" t="s">
        <v>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</row>
    <row r="88" spans="1:60" x14ac:dyDescent="0.35">
      <c r="A88" t="s">
        <v>250</v>
      </c>
      <c r="B88" t="s">
        <v>251</v>
      </c>
      <c r="C88" t="s">
        <v>255</v>
      </c>
      <c r="D88" t="s">
        <v>256</v>
      </c>
      <c r="E88">
        <v>239</v>
      </c>
      <c r="F88" t="s">
        <v>81</v>
      </c>
      <c r="G88" t="s">
        <v>81</v>
      </c>
      <c r="H88" t="s">
        <v>81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 t="s">
        <v>81</v>
      </c>
      <c r="BB88" t="s">
        <v>81</v>
      </c>
      <c r="BC88" t="s">
        <v>81</v>
      </c>
      <c r="BD88" t="s">
        <v>81</v>
      </c>
      <c r="BE88" t="s">
        <v>81</v>
      </c>
      <c r="BF88" t="s">
        <v>81</v>
      </c>
      <c r="BG88" t="s">
        <v>81</v>
      </c>
      <c r="BH88" t="s">
        <v>81</v>
      </c>
    </row>
    <row r="89" spans="1:60" x14ac:dyDescent="0.35">
      <c r="A89" t="s">
        <v>250</v>
      </c>
      <c r="B89" t="s">
        <v>251</v>
      </c>
      <c r="C89" t="s">
        <v>257</v>
      </c>
      <c r="D89" t="s">
        <v>258</v>
      </c>
      <c r="E89">
        <v>1580</v>
      </c>
      <c r="F89" t="s">
        <v>81</v>
      </c>
      <c r="G89" t="s">
        <v>81</v>
      </c>
      <c r="H89" t="s">
        <v>81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 t="s">
        <v>81</v>
      </c>
      <c r="BB89" t="s">
        <v>81</v>
      </c>
      <c r="BC89" t="s">
        <v>81</v>
      </c>
      <c r="BD89" t="s">
        <v>81</v>
      </c>
      <c r="BE89" t="s">
        <v>81</v>
      </c>
      <c r="BF89" t="s">
        <v>81</v>
      </c>
      <c r="BG89" t="s">
        <v>81</v>
      </c>
      <c r="BH89" t="s">
        <v>81</v>
      </c>
    </row>
    <row r="90" spans="1:60" x14ac:dyDescent="0.35">
      <c r="A90" t="s">
        <v>250</v>
      </c>
      <c r="B90" t="s">
        <v>251</v>
      </c>
      <c r="C90" t="s">
        <v>259</v>
      </c>
      <c r="D90" t="s">
        <v>260</v>
      </c>
      <c r="E90">
        <v>93922</v>
      </c>
      <c r="F90">
        <v>123</v>
      </c>
      <c r="G90">
        <v>140.71889999999999</v>
      </c>
      <c r="H90">
        <v>1.144056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210.67</v>
      </c>
      <c r="AC90">
        <v>0</v>
      </c>
      <c r="AD90">
        <v>0</v>
      </c>
      <c r="AE90">
        <v>0</v>
      </c>
      <c r="AF90">
        <v>210.67</v>
      </c>
      <c r="AG90">
        <v>0</v>
      </c>
      <c r="AH90">
        <v>745.7</v>
      </c>
      <c r="AI90">
        <v>0</v>
      </c>
      <c r="AJ90">
        <v>0</v>
      </c>
      <c r="AK90">
        <v>0</v>
      </c>
      <c r="AL90">
        <v>745.7</v>
      </c>
      <c r="AM90">
        <v>0</v>
      </c>
      <c r="AN90">
        <v>523.86</v>
      </c>
      <c r="AO90">
        <v>0</v>
      </c>
      <c r="AP90">
        <v>0</v>
      </c>
      <c r="AQ90">
        <v>0</v>
      </c>
      <c r="AR90">
        <v>523.86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1480.23</v>
      </c>
      <c r="AZ90">
        <v>1</v>
      </c>
      <c r="BA90">
        <v>99</v>
      </c>
      <c r="BB90">
        <v>47460.116000000002</v>
      </c>
      <c r="BC90">
        <v>4698551.523</v>
      </c>
      <c r="BD90">
        <v>17861.747676999999</v>
      </c>
      <c r="BE90">
        <v>2824.0450000000001</v>
      </c>
      <c r="BF90">
        <v>661</v>
      </c>
      <c r="BG90">
        <v>5614.5333280000004</v>
      </c>
      <c r="BH90">
        <v>880.79499999999996</v>
      </c>
    </row>
    <row r="91" spans="1:60" x14ac:dyDescent="0.35">
      <c r="A91" t="s">
        <v>250</v>
      </c>
      <c r="B91" t="s">
        <v>251</v>
      </c>
      <c r="C91" t="s">
        <v>261</v>
      </c>
      <c r="D91" t="s">
        <v>262</v>
      </c>
      <c r="E91">
        <v>5344</v>
      </c>
      <c r="F91">
        <v>5</v>
      </c>
      <c r="G91">
        <v>8.4278189999999995</v>
      </c>
      <c r="H91">
        <v>1.6855640000000001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</v>
      </c>
      <c r="BB91">
        <v>70243.582999999999</v>
      </c>
      <c r="BC91">
        <v>140487.166</v>
      </c>
      <c r="BD91">
        <v>0</v>
      </c>
      <c r="BE91">
        <v>0</v>
      </c>
      <c r="BF91">
        <v>25</v>
      </c>
      <c r="BG91">
        <v>212.4</v>
      </c>
      <c r="BH91">
        <v>10.199999999999999</v>
      </c>
    </row>
    <row r="92" spans="1:60" x14ac:dyDescent="0.35">
      <c r="A92" t="s">
        <v>250</v>
      </c>
      <c r="B92" t="s">
        <v>251</v>
      </c>
      <c r="C92" t="s">
        <v>263</v>
      </c>
      <c r="D92" t="s">
        <v>264</v>
      </c>
      <c r="E92">
        <v>1084</v>
      </c>
      <c r="F92" t="s">
        <v>81</v>
      </c>
      <c r="G92" t="s">
        <v>81</v>
      </c>
      <c r="H92" t="s">
        <v>81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</row>
    <row r="93" spans="1:60" x14ac:dyDescent="0.35">
      <c r="A93" t="s">
        <v>250</v>
      </c>
      <c r="B93" t="s">
        <v>251</v>
      </c>
      <c r="C93" t="s">
        <v>108</v>
      </c>
      <c r="D93" t="s">
        <v>265</v>
      </c>
      <c r="E93">
        <v>2487</v>
      </c>
      <c r="F93" t="s">
        <v>81</v>
      </c>
      <c r="G93" t="s">
        <v>81</v>
      </c>
      <c r="H93" t="s">
        <v>81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2</v>
      </c>
      <c r="BG93">
        <v>0</v>
      </c>
      <c r="BH93">
        <v>0</v>
      </c>
    </row>
    <row r="94" spans="1:60" x14ac:dyDescent="0.35">
      <c r="A94" t="s">
        <v>250</v>
      </c>
      <c r="B94" t="s">
        <v>251</v>
      </c>
      <c r="C94" t="s">
        <v>266</v>
      </c>
      <c r="D94" t="s">
        <v>267</v>
      </c>
      <c r="E94">
        <v>956</v>
      </c>
      <c r="F94" t="s">
        <v>81</v>
      </c>
      <c r="G94" t="s">
        <v>81</v>
      </c>
      <c r="H94" t="s">
        <v>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 t="s">
        <v>81</v>
      </c>
      <c r="BB94" t="s">
        <v>81</v>
      </c>
      <c r="BC94" t="s">
        <v>81</v>
      </c>
      <c r="BD94" t="s">
        <v>81</v>
      </c>
      <c r="BE94" t="s">
        <v>81</v>
      </c>
      <c r="BF94" t="s">
        <v>81</v>
      </c>
      <c r="BG94" t="s">
        <v>81</v>
      </c>
      <c r="BH94" t="s">
        <v>81</v>
      </c>
    </row>
    <row r="95" spans="1:60" x14ac:dyDescent="0.35">
      <c r="A95" t="s">
        <v>250</v>
      </c>
      <c r="B95" t="s">
        <v>251</v>
      </c>
      <c r="C95" t="s">
        <v>268</v>
      </c>
      <c r="D95" t="s">
        <v>269</v>
      </c>
      <c r="E95">
        <v>5391</v>
      </c>
      <c r="F95">
        <v>1</v>
      </c>
      <c r="G95">
        <v>0.6</v>
      </c>
      <c r="H95">
        <v>0.6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9</v>
      </c>
      <c r="BG95">
        <v>2583.7222219999999</v>
      </c>
      <c r="BH95">
        <v>0</v>
      </c>
    </row>
    <row r="96" spans="1:60" x14ac:dyDescent="0.35">
      <c r="A96" t="s">
        <v>250</v>
      </c>
      <c r="B96" t="s">
        <v>251</v>
      </c>
      <c r="C96" t="s">
        <v>270</v>
      </c>
      <c r="D96" t="s">
        <v>271</v>
      </c>
      <c r="E96">
        <v>3428</v>
      </c>
      <c r="F96">
        <v>2</v>
      </c>
      <c r="G96">
        <v>2.4063690000000002</v>
      </c>
      <c r="H96">
        <v>1.203184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</row>
    <row r="97" spans="1:60" x14ac:dyDescent="0.35">
      <c r="A97" t="s">
        <v>250</v>
      </c>
      <c r="B97" t="s">
        <v>251</v>
      </c>
      <c r="C97" t="s">
        <v>272</v>
      </c>
      <c r="D97" t="s">
        <v>273</v>
      </c>
      <c r="E97">
        <v>8133</v>
      </c>
      <c r="F97">
        <v>1</v>
      </c>
      <c r="G97">
        <v>0.50848800000000005</v>
      </c>
      <c r="H97">
        <v>0.50848800000000005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15517.333000000001</v>
      </c>
      <c r="BC97">
        <v>15517.333000000001</v>
      </c>
      <c r="BD97">
        <v>8185.5</v>
      </c>
      <c r="BE97">
        <v>0</v>
      </c>
      <c r="BF97">
        <v>18</v>
      </c>
      <c r="BG97">
        <v>0</v>
      </c>
      <c r="BH97">
        <v>0</v>
      </c>
    </row>
    <row r="98" spans="1:60" x14ac:dyDescent="0.35">
      <c r="A98" t="s">
        <v>250</v>
      </c>
      <c r="B98" t="s">
        <v>274</v>
      </c>
      <c r="C98" t="s">
        <v>274</v>
      </c>
      <c r="D98" t="s">
        <v>275</v>
      </c>
      <c r="E98">
        <v>2169</v>
      </c>
      <c r="F98">
        <v>1</v>
      </c>
      <c r="G98">
        <v>0.25</v>
      </c>
      <c r="H98">
        <v>0.25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1</v>
      </c>
      <c r="BB98">
        <v>3213</v>
      </c>
      <c r="BC98">
        <v>3213</v>
      </c>
      <c r="BD98">
        <v>0</v>
      </c>
      <c r="BE98">
        <v>238.483</v>
      </c>
      <c r="BF98">
        <v>9</v>
      </c>
      <c r="BG98">
        <v>17039.935556</v>
      </c>
      <c r="BH98">
        <v>0</v>
      </c>
    </row>
    <row r="99" spans="1:60" x14ac:dyDescent="0.35">
      <c r="A99" t="s">
        <v>250</v>
      </c>
      <c r="B99" t="s">
        <v>274</v>
      </c>
      <c r="C99" t="s">
        <v>276</v>
      </c>
      <c r="D99" t="s">
        <v>277</v>
      </c>
      <c r="E99">
        <v>1424</v>
      </c>
      <c r="F99" t="s">
        <v>81</v>
      </c>
      <c r="G99" t="s">
        <v>81</v>
      </c>
      <c r="H99" t="s">
        <v>81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 t="s">
        <v>81</v>
      </c>
      <c r="BB99" t="s">
        <v>81</v>
      </c>
      <c r="BC99" t="s">
        <v>81</v>
      </c>
      <c r="BD99" t="s">
        <v>81</v>
      </c>
      <c r="BE99" t="s">
        <v>81</v>
      </c>
      <c r="BF99" t="s">
        <v>81</v>
      </c>
      <c r="BG99" t="s">
        <v>81</v>
      </c>
      <c r="BH99" t="s">
        <v>81</v>
      </c>
    </row>
    <row r="100" spans="1:60" x14ac:dyDescent="0.35">
      <c r="A100" t="s">
        <v>250</v>
      </c>
      <c r="B100" t="s">
        <v>274</v>
      </c>
      <c r="C100" t="s">
        <v>278</v>
      </c>
      <c r="D100" t="s">
        <v>279</v>
      </c>
      <c r="E100">
        <v>296</v>
      </c>
      <c r="F100" t="s">
        <v>81</v>
      </c>
      <c r="G100" t="s">
        <v>81</v>
      </c>
      <c r="H100" t="s">
        <v>81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 t="s">
        <v>81</v>
      </c>
      <c r="BB100" t="s">
        <v>81</v>
      </c>
      <c r="BC100" t="s">
        <v>81</v>
      </c>
      <c r="BD100" t="s">
        <v>81</v>
      </c>
      <c r="BE100" t="s">
        <v>81</v>
      </c>
      <c r="BF100" t="s">
        <v>81</v>
      </c>
      <c r="BG100" t="s">
        <v>81</v>
      </c>
      <c r="BH100" t="s">
        <v>81</v>
      </c>
    </row>
    <row r="101" spans="1:60" x14ac:dyDescent="0.35">
      <c r="A101" t="s">
        <v>250</v>
      </c>
      <c r="B101" t="s">
        <v>274</v>
      </c>
      <c r="C101" t="s">
        <v>280</v>
      </c>
      <c r="D101" t="s">
        <v>281</v>
      </c>
      <c r="E101">
        <v>1315</v>
      </c>
      <c r="F101">
        <v>2</v>
      </c>
      <c r="G101">
        <v>6.2278460000000004</v>
      </c>
      <c r="H101">
        <v>3.1139230000000002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</row>
    <row r="102" spans="1:60" x14ac:dyDescent="0.35">
      <c r="A102" t="s">
        <v>250</v>
      </c>
      <c r="B102" t="s">
        <v>274</v>
      </c>
      <c r="C102" t="s">
        <v>282</v>
      </c>
      <c r="D102" t="s">
        <v>283</v>
      </c>
      <c r="E102">
        <v>674</v>
      </c>
      <c r="F102" t="s">
        <v>81</v>
      </c>
      <c r="G102" t="s">
        <v>81</v>
      </c>
      <c r="H102" t="s">
        <v>81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 t="s">
        <v>81</v>
      </c>
      <c r="BB102" t="s">
        <v>81</v>
      </c>
      <c r="BC102" t="s">
        <v>81</v>
      </c>
      <c r="BD102" t="s">
        <v>81</v>
      </c>
      <c r="BE102" t="s">
        <v>81</v>
      </c>
      <c r="BF102" t="s">
        <v>81</v>
      </c>
      <c r="BG102" t="s">
        <v>81</v>
      </c>
      <c r="BH102" t="s">
        <v>81</v>
      </c>
    </row>
    <row r="103" spans="1:60" x14ac:dyDescent="0.35">
      <c r="A103" t="s">
        <v>250</v>
      </c>
      <c r="B103" t="s">
        <v>284</v>
      </c>
      <c r="C103" t="s">
        <v>285</v>
      </c>
      <c r="D103" t="s">
        <v>286</v>
      </c>
      <c r="E103">
        <v>3216</v>
      </c>
      <c r="F103">
        <v>2</v>
      </c>
      <c r="G103">
        <v>0.45</v>
      </c>
      <c r="H103">
        <v>0.22500000000000001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4</v>
      </c>
      <c r="BG103">
        <v>0</v>
      </c>
      <c r="BH103">
        <v>0</v>
      </c>
    </row>
    <row r="104" spans="1:60" x14ac:dyDescent="0.35">
      <c r="A104" t="s">
        <v>250</v>
      </c>
      <c r="B104" t="s">
        <v>284</v>
      </c>
      <c r="C104" t="s">
        <v>287</v>
      </c>
      <c r="D104" t="s">
        <v>288</v>
      </c>
      <c r="E104">
        <v>1752</v>
      </c>
      <c r="F104" t="s">
        <v>81</v>
      </c>
      <c r="G104" t="s">
        <v>81</v>
      </c>
      <c r="H104" t="s">
        <v>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2</v>
      </c>
      <c r="BG104">
        <v>0</v>
      </c>
      <c r="BH104">
        <v>0</v>
      </c>
    </row>
    <row r="105" spans="1:60" x14ac:dyDescent="0.35">
      <c r="A105" t="s">
        <v>250</v>
      </c>
      <c r="B105" t="s">
        <v>284</v>
      </c>
      <c r="C105" t="s">
        <v>289</v>
      </c>
      <c r="D105" t="s">
        <v>290</v>
      </c>
      <c r="E105">
        <v>1225</v>
      </c>
      <c r="F105" t="s">
        <v>81</v>
      </c>
      <c r="G105" t="s">
        <v>81</v>
      </c>
      <c r="H105" t="s">
        <v>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 t="s">
        <v>81</v>
      </c>
      <c r="BB105" t="s">
        <v>81</v>
      </c>
      <c r="BC105" t="s">
        <v>81</v>
      </c>
      <c r="BD105" t="s">
        <v>81</v>
      </c>
      <c r="BE105" t="s">
        <v>81</v>
      </c>
      <c r="BF105" t="s">
        <v>81</v>
      </c>
      <c r="BG105" t="s">
        <v>81</v>
      </c>
      <c r="BH105" t="s">
        <v>81</v>
      </c>
    </row>
    <row r="106" spans="1:60" x14ac:dyDescent="0.35">
      <c r="A106" t="s">
        <v>250</v>
      </c>
      <c r="B106" t="s">
        <v>284</v>
      </c>
      <c r="C106" t="s">
        <v>291</v>
      </c>
      <c r="D106" t="s">
        <v>292</v>
      </c>
      <c r="E106">
        <v>1725</v>
      </c>
      <c r="F106" t="s">
        <v>81</v>
      </c>
      <c r="G106" t="s">
        <v>81</v>
      </c>
      <c r="H106" t="s">
        <v>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2</v>
      </c>
      <c r="BG106">
        <v>0</v>
      </c>
      <c r="BH106">
        <v>0</v>
      </c>
    </row>
    <row r="107" spans="1:60" x14ac:dyDescent="0.35">
      <c r="A107" t="s">
        <v>250</v>
      </c>
      <c r="B107" t="s">
        <v>284</v>
      </c>
      <c r="C107" t="s">
        <v>293</v>
      </c>
      <c r="D107" t="s">
        <v>294</v>
      </c>
      <c r="E107">
        <v>3832</v>
      </c>
      <c r="F107" t="s">
        <v>81</v>
      </c>
      <c r="G107" t="s">
        <v>81</v>
      </c>
      <c r="H107" t="s">
        <v>81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</row>
    <row r="108" spans="1:60" x14ac:dyDescent="0.35">
      <c r="A108" t="s">
        <v>250</v>
      </c>
      <c r="B108" t="s">
        <v>284</v>
      </c>
      <c r="C108" t="s">
        <v>295</v>
      </c>
      <c r="D108" t="s">
        <v>296</v>
      </c>
      <c r="E108">
        <v>1055</v>
      </c>
      <c r="F108" t="s">
        <v>81</v>
      </c>
      <c r="G108" t="s">
        <v>81</v>
      </c>
      <c r="H108" t="s">
        <v>81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 t="s">
        <v>81</v>
      </c>
      <c r="BB108" t="s">
        <v>81</v>
      </c>
      <c r="BC108" t="s">
        <v>81</v>
      </c>
      <c r="BD108" t="s">
        <v>81</v>
      </c>
      <c r="BE108" t="s">
        <v>81</v>
      </c>
      <c r="BF108" t="s">
        <v>81</v>
      </c>
      <c r="BG108" t="s">
        <v>81</v>
      </c>
      <c r="BH108" t="s">
        <v>81</v>
      </c>
    </row>
    <row r="109" spans="1:60" x14ac:dyDescent="0.35">
      <c r="A109" t="s">
        <v>250</v>
      </c>
      <c r="B109" t="s">
        <v>297</v>
      </c>
      <c r="C109" t="s">
        <v>298</v>
      </c>
      <c r="D109" t="s">
        <v>299</v>
      </c>
      <c r="E109">
        <v>4521</v>
      </c>
      <c r="F109">
        <v>4</v>
      </c>
      <c r="G109">
        <v>9.2009659999999993</v>
      </c>
      <c r="H109">
        <v>2.3002410000000002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18</v>
      </c>
      <c r="BG109">
        <v>0</v>
      </c>
      <c r="BH109">
        <v>505.49299999999999</v>
      </c>
    </row>
    <row r="110" spans="1:60" x14ac:dyDescent="0.35">
      <c r="A110" t="s">
        <v>250</v>
      </c>
      <c r="B110" t="s">
        <v>297</v>
      </c>
      <c r="C110" t="s">
        <v>300</v>
      </c>
      <c r="D110" t="s">
        <v>301</v>
      </c>
      <c r="E110">
        <v>2649</v>
      </c>
      <c r="F110" t="s">
        <v>81</v>
      </c>
      <c r="G110" t="s">
        <v>81</v>
      </c>
      <c r="H110" t="s">
        <v>81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4</v>
      </c>
      <c r="BG110">
        <v>0</v>
      </c>
      <c r="BH110">
        <v>0</v>
      </c>
    </row>
    <row r="111" spans="1:60" x14ac:dyDescent="0.35">
      <c r="A111" t="s">
        <v>250</v>
      </c>
      <c r="B111" t="s">
        <v>302</v>
      </c>
      <c r="C111" t="s">
        <v>303</v>
      </c>
      <c r="D111" t="s">
        <v>304</v>
      </c>
      <c r="E111">
        <v>3851</v>
      </c>
      <c r="F111">
        <v>3</v>
      </c>
      <c r="G111">
        <v>3.6709800000000001</v>
      </c>
      <c r="H111">
        <v>1.22366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3640.81</v>
      </c>
      <c r="AB111">
        <v>0</v>
      </c>
      <c r="AC111">
        <v>0</v>
      </c>
      <c r="AD111">
        <v>0</v>
      </c>
      <c r="AE111">
        <v>0</v>
      </c>
      <c r="AF111">
        <v>3640.81</v>
      </c>
      <c r="AG111">
        <v>1555.05</v>
      </c>
      <c r="AH111">
        <v>0</v>
      </c>
      <c r="AI111">
        <v>0</v>
      </c>
      <c r="AJ111">
        <v>0</v>
      </c>
      <c r="AK111">
        <v>0</v>
      </c>
      <c r="AL111">
        <v>1555.05</v>
      </c>
      <c r="AM111">
        <v>580.30999999999995</v>
      </c>
      <c r="AN111">
        <v>0</v>
      </c>
      <c r="AO111">
        <v>0</v>
      </c>
      <c r="AP111">
        <v>0</v>
      </c>
      <c r="AQ111">
        <v>0</v>
      </c>
      <c r="AR111">
        <v>580.30999999999995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5776.17</v>
      </c>
      <c r="AZ111">
        <v>0</v>
      </c>
      <c r="BA111">
        <v>1</v>
      </c>
      <c r="BB111">
        <v>5500</v>
      </c>
      <c r="BC111">
        <v>5500</v>
      </c>
      <c r="BD111">
        <v>0</v>
      </c>
      <c r="BE111">
        <v>0</v>
      </c>
      <c r="BF111">
        <v>17</v>
      </c>
      <c r="BG111">
        <v>64.176471000000006</v>
      </c>
      <c r="BH111">
        <v>0</v>
      </c>
    </row>
    <row r="112" spans="1:60" x14ac:dyDescent="0.35">
      <c r="A112" t="s">
        <v>250</v>
      </c>
      <c r="B112" t="s">
        <v>302</v>
      </c>
      <c r="C112" t="s">
        <v>305</v>
      </c>
      <c r="D112" t="s">
        <v>306</v>
      </c>
      <c r="E112">
        <v>189</v>
      </c>
      <c r="F112" t="s">
        <v>81</v>
      </c>
      <c r="G112" t="s">
        <v>81</v>
      </c>
      <c r="H112" t="s">
        <v>81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</row>
    <row r="113" spans="1:60" x14ac:dyDescent="0.35">
      <c r="A113" t="s">
        <v>250</v>
      </c>
      <c r="B113" t="s">
        <v>302</v>
      </c>
      <c r="C113" t="s">
        <v>284</v>
      </c>
      <c r="D113" t="s">
        <v>307</v>
      </c>
      <c r="E113">
        <v>896</v>
      </c>
      <c r="F113" t="s">
        <v>81</v>
      </c>
      <c r="G113" t="s">
        <v>81</v>
      </c>
      <c r="H113" t="s">
        <v>81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</row>
    <row r="114" spans="1:60" x14ac:dyDescent="0.35">
      <c r="A114" t="s">
        <v>250</v>
      </c>
      <c r="B114" t="s">
        <v>302</v>
      </c>
      <c r="C114" t="s">
        <v>308</v>
      </c>
      <c r="D114" t="s">
        <v>309</v>
      </c>
      <c r="E114">
        <v>1782</v>
      </c>
      <c r="F114">
        <v>1</v>
      </c>
      <c r="G114">
        <v>1.7587820000000001</v>
      </c>
      <c r="H114">
        <v>1.7587820000000001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9</v>
      </c>
      <c r="BG114">
        <v>0</v>
      </c>
      <c r="BH114">
        <v>0</v>
      </c>
    </row>
    <row r="115" spans="1:60" x14ac:dyDescent="0.35">
      <c r="A115" t="s">
        <v>250</v>
      </c>
      <c r="B115" t="s">
        <v>302</v>
      </c>
      <c r="C115" t="s">
        <v>310</v>
      </c>
      <c r="D115" t="s">
        <v>311</v>
      </c>
      <c r="E115">
        <v>1909</v>
      </c>
      <c r="F115" t="s">
        <v>81</v>
      </c>
      <c r="G115" t="s">
        <v>81</v>
      </c>
      <c r="H115" t="s">
        <v>81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91055.2</v>
      </c>
      <c r="BH115">
        <v>0</v>
      </c>
    </row>
    <row r="116" spans="1:60" x14ac:dyDescent="0.35">
      <c r="A116" t="s">
        <v>250</v>
      </c>
      <c r="B116" t="s">
        <v>302</v>
      </c>
      <c r="C116" t="s">
        <v>312</v>
      </c>
      <c r="D116" t="s">
        <v>313</v>
      </c>
      <c r="E116">
        <v>221</v>
      </c>
      <c r="F116" t="s">
        <v>81</v>
      </c>
      <c r="G116" t="s">
        <v>81</v>
      </c>
      <c r="H116" t="s">
        <v>81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 t="s">
        <v>81</v>
      </c>
      <c r="BB116" t="s">
        <v>81</v>
      </c>
      <c r="BC116" t="s">
        <v>81</v>
      </c>
      <c r="BD116" t="s">
        <v>81</v>
      </c>
      <c r="BE116" t="s">
        <v>81</v>
      </c>
      <c r="BF116" t="s">
        <v>81</v>
      </c>
      <c r="BG116" t="s">
        <v>81</v>
      </c>
      <c r="BH116" t="s">
        <v>81</v>
      </c>
    </row>
    <row r="117" spans="1:60" x14ac:dyDescent="0.35">
      <c r="A117" t="s">
        <v>250</v>
      </c>
      <c r="B117" t="s">
        <v>302</v>
      </c>
      <c r="C117" t="s">
        <v>314</v>
      </c>
      <c r="D117" t="s">
        <v>315</v>
      </c>
      <c r="E117">
        <v>2027</v>
      </c>
      <c r="F117" t="s">
        <v>81</v>
      </c>
      <c r="G117" t="s">
        <v>81</v>
      </c>
      <c r="H117" t="s">
        <v>81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17</v>
      </c>
      <c r="BG117">
        <v>4548.1235290000004</v>
      </c>
      <c r="BH117">
        <v>0</v>
      </c>
    </row>
    <row r="118" spans="1:60" x14ac:dyDescent="0.35">
      <c r="A118" t="s">
        <v>250</v>
      </c>
      <c r="B118" t="s">
        <v>302</v>
      </c>
      <c r="C118" t="s">
        <v>316</v>
      </c>
      <c r="D118" t="s">
        <v>317</v>
      </c>
      <c r="E118">
        <v>6064</v>
      </c>
      <c r="F118">
        <v>3</v>
      </c>
      <c r="G118">
        <v>2.58</v>
      </c>
      <c r="H118">
        <v>0.86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</v>
      </c>
      <c r="BB118">
        <v>30155.027999999998</v>
      </c>
      <c r="BC118">
        <v>90465.082999999999</v>
      </c>
      <c r="BD118">
        <v>0</v>
      </c>
      <c r="BE118">
        <v>1360</v>
      </c>
      <c r="BF118">
        <v>34</v>
      </c>
      <c r="BG118">
        <v>74.227647000000005</v>
      </c>
      <c r="BH118">
        <v>120</v>
      </c>
    </row>
    <row r="119" spans="1:60" x14ac:dyDescent="0.35">
      <c r="A119" t="s">
        <v>250</v>
      </c>
      <c r="B119" t="s">
        <v>302</v>
      </c>
      <c r="C119" t="s">
        <v>318</v>
      </c>
      <c r="D119" t="s">
        <v>319</v>
      </c>
      <c r="E119">
        <v>1101</v>
      </c>
      <c r="F119">
        <v>1</v>
      </c>
      <c r="G119">
        <v>0.25</v>
      </c>
      <c r="H119">
        <v>0.25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3</v>
      </c>
      <c r="BG119">
        <v>45231.3</v>
      </c>
      <c r="BH119">
        <v>0</v>
      </c>
    </row>
    <row r="120" spans="1:60" x14ac:dyDescent="0.35">
      <c r="A120" t="s">
        <v>250</v>
      </c>
      <c r="B120" t="s">
        <v>302</v>
      </c>
      <c r="C120" t="s">
        <v>320</v>
      </c>
      <c r="D120" t="s">
        <v>321</v>
      </c>
      <c r="E120">
        <v>1212</v>
      </c>
      <c r="F120" t="s">
        <v>81</v>
      </c>
      <c r="G120" t="s">
        <v>81</v>
      </c>
      <c r="H120" t="s">
        <v>81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 t="s">
        <v>81</v>
      </c>
      <c r="BB120" t="s">
        <v>81</v>
      </c>
      <c r="BC120" t="s">
        <v>81</v>
      </c>
      <c r="BD120" t="s">
        <v>81</v>
      </c>
      <c r="BE120" t="s">
        <v>81</v>
      </c>
      <c r="BF120" t="s">
        <v>81</v>
      </c>
      <c r="BG120" t="s">
        <v>81</v>
      </c>
      <c r="BH120" t="s">
        <v>81</v>
      </c>
    </row>
    <row r="121" spans="1:60" x14ac:dyDescent="0.35">
      <c r="A121" t="s">
        <v>250</v>
      </c>
      <c r="B121" t="s">
        <v>302</v>
      </c>
      <c r="C121" t="s">
        <v>322</v>
      </c>
      <c r="D121" t="s">
        <v>323</v>
      </c>
      <c r="E121">
        <v>359</v>
      </c>
      <c r="F121" t="s">
        <v>81</v>
      </c>
      <c r="G121" t="s">
        <v>81</v>
      </c>
      <c r="H121" t="s">
        <v>81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 t="s">
        <v>81</v>
      </c>
      <c r="BB121" t="s">
        <v>81</v>
      </c>
      <c r="BC121" t="s">
        <v>81</v>
      </c>
      <c r="BD121" t="s">
        <v>81</v>
      </c>
      <c r="BE121" t="s">
        <v>81</v>
      </c>
      <c r="BF121" t="s">
        <v>81</v>
      </c>
      <c r="BG121" t="s">
        <v>81</v>
      </c>
      <c r="BH121" t="s">
        <v>81</v>
      </c>
    </row>
    <row r="122" spans="1:60" x14ac:dyDescent="0.35">
      <c r="A122" t="s">
        <v>250</v>
      </c>
      <c r="B122" t="s">
        <v>302</v>
      </c>
      <c r="C122" t="s">
        <v>324</v>
      </c>
      <c r="D122" t="s">
        <v>325</v>
      </c>
      <c r="E122">
        <v>455</v>
      </c>
      <c r="F122" t="s">
        <v>81</v>
      </c>
      <c r="G122" t="s">
        <v>81</v>
      </c>
      <c r="H122" t="s">
        <v>81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</row>
    <row r="123" spans="1:60" x14ac:dyDescent="0.35">
      <c r="A123" t="s">
        <v>250</v>
      </c>
      <c r="B123" t="s">
        <v>302</v>
      </c>
      <c r="C123" t="s">
        <v>326</v>
      </c>
      <c r="D123" t="s">
        <v>327</v>
      </c>
      <c r="E123">
        <v>722</v>
      </c>
      <c r="F123" t="s">
        <v>81</v>
      </c>
      <c r="G123" t="s">
        <v>81</v>
      </c>
      <c r="H123" t="s">
        <v>81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81</v>
      </c>
      <c r="BB123" t="s">
        <v>81</v>
      </c>
      <c r="BC123" t="s">
        <v>81</v>
      </c>
      <c r="BD123" t="s">
        <v>81</v>
      </c>
      <c r="BE123" t="s">
        <v>81</v>
      </c>
      <c r="BF123" t="s">
        <v>81</v>
      </c>
      <c r="BG123" t="s">
        <v>81</v>
      </c>
      <c r="BH123" t="s">
        <v>81</v>
      </c>
    </row>
    <row r="124" spans="1:60" x14ac:dyDescent="0.35">
      <c r="A124" t="s">
        <v>250</v>
      </c>
      <c r="B124" t="s">
        <v>302</v>
      </c>
      <c r="C124" t="s">
        <v>328</v>
      </c>
      <c r="D124" t="s">
        <v>329</v>
      </c>
      <c r="E124">
        <v>392</v>
      </c>
      <c r="F124" t="s">
        <v>81</v>
      </c>
      <c r="G124" t="s">
        <v>81</v>
      </c>
      <c r="H124" t="s">
        <v>81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 t="s">
        <v>81</v>
      </c>
      <c r="BB124" t="s">
        <v>81</v>
      </c>
      <c r="BC124" t="s">
        <v>81</v>
      </c>
      <c r="BD124" t="s">
        <v>81</v>
      </c>
      <c r="BE124" t="s">
        <v>81</v>
      </c>
      <c r="BF124" t="s">
        <v>81</v>
      </c>
      <c r="BG124" t="s">
        <v>81</v>
      </c>
      <c r="BH124" t="s">
        <v>81</v>
      </c>
    </row>
    <row r="125" spans="1:60" x14ac:dyDescent="0.35">
      <c r="A125" t="s">
        <v>250</v>
      </c>
      <c r="B125" t="s">
        <v>302</v>
      </c>
      <c r="C125" t="s">
        <v>330</v>
      </c>
      <c r="D125" t="s">
        <v>331</v>
      </c>
      <c r="E125">
        <v>534</v>
      </c>
      <c r="F125" t="s">
        <v>81</v>
      </c>
      <c r="G125" t="s">
        <v>81</v>
      </c>
      <c r="H125" t="s">
        <v>81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 t="s">
        <v>81</v>
      </c>
      <c r="BB125" t="s">
        <v>81</v>
      </c>
      <c r="BC125" t="s">
        <v>81</v>
      </c>
      <c r="BD125" t="s">
        <v>81</v>
      </c>
      <c r="BE125" t="s">
        <v>81</v>
      </c>
      <c r="BF125" t="s">
        <v>81</v>
      </c>
      <c r="BG125" t="s">
        <v>81</v>
      </c>
      <c r="BH125" t="s">
        <v>81</v>
      </c>
    </row>
    <row r="126" spans="1:60" x14ac:dyDescent="0.35">
      <c r="A126" t="s">
        <v>250</v>
      </c>
      <c r="B126" t="s">
        <v>332</v>
      </c>
      <c r="C126" t="s">
        <v>332</v>
      </c>
      <c r="D126" t="s">
        <v>333</v>
      </c>
      <c r="E126">
        <v>17083</v>
      </c>
      <c r="F126">
        <v>33</v>
      </c>
      <c r="G126">
        <v>27.272760000000002</v>
      </c>
      <c r="H126">
        <v>0.82644740000000005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42098.21</v>
      </c>
      <c r="AB126">
        <v>0</v>
      </c>
      <c r="AC126">
        <v>13434.56</v>
      </c>
      <c r="AD126">
        <v>0</v>
      </c>
      <c r="AE126">
        <v>0</v>
      </c>
      <c r="AF126">
        <v>55532.77</v>
      </c>
      <c r="AG126">
        <v>9360.76</v>
      </c>
      <c r="AH126">
        <v>0</v>
      </c>
      <c r="AI126">
        <v>3118.04</v>
      </c>
      <c r="AJ126">
        <v>0</v>
      </c>
      <c r="AK126">
        <v>0</v>
      </c>
      <c r="AL126">
        <v>12478.8</v>
      </c>
      <c r="AM126">
        <v>1820.1</v>
      </c>
      <c r="AN126">
        <v>0</v>
      </c>
      <c r="AO126">
        <v>1171.06</v>
      </c>
      <c r="AP126">
        <v>0</v>
      </c>
      <c r="AQ126">
        <v>0</v>
      </c>
      <c r="AR126">
        <v>2991.16</v>
      </c>
      <c r="AS126">
        <v>66.2</v>
      </c>
      <c r="AT126">
        <v>0</v>
      </c>
      <c r="AU126">
        <v>0</v>
      </c>
      <c r="AV126">
        <v>0</v>
      </c>
      <c r="AW126">
        <v>0</v>
      </c>
      <c r="AX126">
        <v>66.2</v>
      </c>
      <c r="AY126">
        <v>71068.929999999993</v>
      </c>
      <c r="AZ126">
        <v>0</v>
      </c>
      <c r="BA126">
        <v>4</v>
      </c>
      <c r="BB126">
        <v>89367.332999999999</v>
      </c>
      <c r="BC126">
        <v>357469.33299999998</v>
      </c>
      <c r="BD126">
        <v>66</v>
      </c>
      <c r="BE126">
        <v>0</v>
      </c>
      <c r="BF126">
        <v>161</v>
      </c>
      <c r="BG126">
        <v>4052.5990059999999</v>
      </c>
      <c r="BH126">
        <v>128.452</v>
      </c>
    </row>
    <row r="127" spans="1:60" x14ac:dyDescent="0.35">
      <c r="A127" t="s">
        <v>250</v>
      </c>
      <c r="B127" t="s">
        <v>332</v>
      </c>
      <c r="C127" t="s">
        <v>334</v>
      </c>
      <c r="D127" t="s">
        <v>335</v>
      </c>
      <c r="E127">
        <v>2826</v>
      </c>
      <c r="F127">
        <v>1</v>
      </c>
      <c r="G127">
        <v>2.0807000000000002</v>
      </c>
      <c r="H127">
        <v>2.0807000000000002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8</v>
      </c>
      <c r="BG127">
        <v>0</v>
      </c>
      <c r="BH127">
        <v>0</v>
      </c>
    </row>
    <row r="128" spans="1:60" x14ac:dyDescent="0.35">
      <c r="A128" t="s">
        <v>250</v>
      </c>
      <c r="B128" t="s">
        <v>332</v>
      </c>
      <c r="C128" t="s">
        <v>336</v>
      </c>
      <c r="D128" t="s">
        <v>337</v>
      </c>
      <c r="E128">
        <v>1453</v>
      </c>
      <c r="F128">
        <v>1</v>
      </c>
      <c r="G128">
        <v>3.0285510000000002</v>
      </c>
      <c r="H128">
        <v>3.0285510000000002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3</v>
      </c>
      <c r="BG128">
        <v>0</v>
      </c>
      <c r="BH128">
        <v>0</v>
      </c>
    </row>
    <row r="129" spans="1:60" x14ac:dyDescent="0.35">
      <c r="A129" t="s">
        <v>250</v>
      </c>
      <c r="B129" t="s">
        <v>332</v>
      </c>
      <c r="C129" t="s">
        <v>338</v>
      </c>
      <c r="D129" t="s">
        <v>339</v>
      </c>
      <c r="E129">
        <v>2617</v>
      </c>
      <c r="F129">
        <v>2</v>
      </c>
      <c r="G129">
        <v>1.1000000000000001</v>
      </c>
      <c r="H129">
        <v>0.55000000000000004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5</v>
      </c>
      <c r="BG129">
        <v>0</v>
      </c>
      <c r="BH129">
        <v>9456.8850000000002</v>
      </c>
    </row>
    <row r="130" spans="1:60" x14ac:dyDescent="0.35">
      <c r="A130" t="s">
        <v>250</v>
      </c>
      <c r="B130" t="s">
        <v>332</v>
      </c>
      <c r="C130" t="s">
        <v>340</v>
      </c>
      <c r="D130" t="s">
        <v>341</v>
      </c>
      <c r="E130">
        <v>1636</v>
      </c>
      <c r="F130" t="s">
        <v>81</v>
      </c>
      <c r="G130" t="s">
        <v>81</v>
      </c>
      <c r="H130" t="s">
        <v>81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6</v>
      </c>
      <c r="BG130">
        <v>0</v>
      </c>
      <c r="BH130">
        <v>0</v>
      </c>
    </row>
    <row r="131" spans="1:60" x14ac:dyDescent="0.35">
      <c r="A131" t="s">
        <v>250</v>
      </c>
      <c r="B131" t="s">
        <v>332</v>
      </c>
      <c r="C131" t="s">
        <v>342</v>
      </c>
      <c r="D131" t="s">
        <v>343</v>
      </c>
      <c r="E131">
        <v>11249</v>
      </c>
      <c r="F131">
        <v>1</v>
      </c>
      <c r="G131">
        <v>1.1499999999999999</v>
      </c>
      <c r="H131">
        <v>1.1499999999999999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35478.332999999999</v>
      </c>
      <c r="BC131">
        <v>35478.332999999999</v>
      </c>
      <c r="BD131">
        <v>0</v>
      </c>
      <c r="BE131">
        <v>0</v>
      </c>
      <c r="BF131">
        <v>34</v>
      </c>
      <c r="BG131">
        <v>1963.823529</v>
      </c>
      <c r="BH131">
        <v>0</v>
      </c>
    </row>
    <row r="132" spans="1:60" x14ac:dyDescent="0.35">
      <c r="A132" t="s">
        <v>250</v>
      </c>
      <c r="B132" t="s">
        <v>332</v>
      </c>
      <c r="C132" t="s">
        <v>344</v>
      </c>
      <c r="D132" t="s">
        <v>345</v>
      </c>
      <c r="E132">
        <v>1444</v>
      </c>
      <c r="F132" t="s">
        <v>81</v>
      </c>
      <c r="G132" t="s">
        <v>81</v>
      </c>
      <c r="H132" t="s">
        <v>81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</row>
    <row r="133" spans="1:60" x14ac:dyDescent="0.35">
      <c r="A133" t="s">
        <v>250</v>
      </c>
      <c r="B133" t="s">
        <v>332</v>
      </c>
      <c r="C133" t="s">
        <v>346</v>
      </c>
      <c r="D133" t="s">
        <v>347</v>
      </c>
      <c r="E133">
        <v>2487</v>
      </c>
      <c r="F133" t="s">
        <v>81</v>
      </c>
      <c r="G133" t="s">
        <v>81</v>
      </c>
      <c r="H133" t="s">
        <v>81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</row>
    <row r="134" spans="1:60" x14ac:dyDescent="0.35">
      <c r="A134" t="s">
        <v>250</v>
      </c>
      <c r="B134" t="s">
        <v>332</v>
      </c>
      <c r="C134" t="s">
        <v>348</v>
      </c>
      <c r="D134" t="s">
        <v>349</v>
      </c>
      <c r="E134">
        <v>2858</v>
      </c>
      <c r="F134" t="s">
        <v>81</v>
      </c>
      <c r="G134" t="s">
        <v>81</v>
      </c>
      <c r="H134" t="s">
        <v>81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31064.332999999999</v>
      </c>
      <c r="BC134">
        <v>31064.332999999999</v>
      </c>
      <c r="BD134">
        <v>0</v>
      </c>
      <c r="BE134">
        <v>0</v>
      </c>
      <c r="BF134">
        <v>8</v>
      </c>
      <c r="BG134">
        <v>0</v>
      </c>
      <c r="BH134">
        <v>0</v>
      </c>
    </row>
    <row r="135" spans="1:60" x14ac:dyDescent="0.35">
      <c r="A135" t="s">
        <v>250</v>
      </c>
      <c r="B135" t="s">
        <v>332</v>
      </c>
      <c r="C135" t="s">
        <v>350</v>
      </c>
      <c r="D135" t="s">
        <v>351</v>
      </c>
      <c r="E135">
        <v>4099</v>
      </c>
      <c r="F135" t="s">
        <v>81</v>
      </c>
      <c r="G135" t="s">
        <v>81</v>
      </c>
      <c r="H135" t="s">
        <v>81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135943.25</v>
      </c>
      <c r="BC135">
        <v>135943.25</v>
      </c>
      <c r="BD135">
        <v>0</v>
      </c>
      <c r="BE135">
        <v>1723.6669999999999</v>
      </c>
      <c r="BF135">
        <v>8</v>
      </c>
      <c r="BG135">
        <v>0</v>
      </c>
      <c r="BH135">
        <v>444.685</v>
      </c>
    </row>
    <row r="136" spans="1:60" x14ac:dyDescent="0.35">
      <c r="A136" t="s">
        <v>250</v>
      </c>
      <c r="B136" t="s">
        <v>332</v>
      </c>
      <c r="C136" t="s">
        <v>352</v>
      </c>
      <c r="D136" t="s">
        <v>353</v>
      </c>
      <c r="E136">
        <v>3304</v>
      </c>
      <c r="F136">
        <v>1</v>
      </c>
      <c r="G136">
        <v>2.580848</v>
      </c>
      <c r="H136">
        <v>2.580848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11284.75</v>
      </c>
      <c r="BC136">
        <v>11284.75</v>
      </c>
      <c r="BD136">
        <v>0</v>
      </c>
      <c r="BE136">
        <v>0</v>
      </c>
      <c r="BF136">
        <v>20</v>
      </c>
      <c r="BG136">
        <v>0.3</v>
      </c>
      <c r="BH136">
        <v>715.59900000000005</v>
      </c>
    </row>
    <row r="137" spans="1:60" x14ac:dyDescent="0.35">
      <c r="A137" t="s">
        <v>250</v>
      </c>
      <c r="B137" t="s">
        <v>354</v>
      </c>
      <c r="C137" t="s">
        <v>355</v>
      </c>
      <c r="D137" t="s">
        <v>356</v>
      </c>
      <c r="E137">
        <v>10528</v>
      </c>
      <c r="F137">
        <v>5</v>
      </c>
      <c r="G137">
        <v>2.198</v>
      </c>
      <c r="H137">
        <v>0.43959999999999999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9020.4169999999995</v>
      </c>
      <c r="BC137">
        <v>9020.4169999999995</v>
      </c>
      <c r="BD137">
        <v>0</v>
      </c>
      <c r="BE137">
        <v>0</v>
      </c>
      <c r="BF137">
        <v>16</v>
      </c>
      <c r="BG137">
        <v>1451.4081249999999</v>
      </c>
      <c r="BH137">
        <v>0</v>
      </c>
    </row>
    <row r="138" spans="1:60" x14ac:dyDescent="0.35">
      <c r="A138" t="s">
        <v>250</v>
      </c>
      <c r="B138" t="s">
        <v>354</v>
      </c>
      <c r="C138" t="s">
        <v>211</v>
      </c>
      <c r="D138" t="s">
        <v>357</v>
      </c>
      <c r="E138">
        <v>2947</v>
      </c>
      <c r="F138" t="s">
        <v>81</v>
      </c>
      <c r="G138" t="s">
        <v>81</v>
      </c>
      <c r="H138" t="s">
        <v>81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</row>
    <row r="139" spans="1:60" x14ac:dyDescent="0.35">
      <c r="A139" t="s">
        <v>250</v>
      </c>
      <c r="B139" t="s">
        <v>354</v>
      </c>
      <c r="C139" t="s">
        <v>358</v>
      </c>
      <c r="D139" t="s">
        <v>359</v>
      </c>
      <c r="E139">
        <v>3758</v>
      </c>
      <c r="F139" t="s">
        <v>81</v>
      </c>
      <c r="G139" t="s">
        <v>81</v>
      </c>
      <c r="H139" t="s">
        <v>81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</row>
    <row r="140" spans="1:60" x14ac:dyDescent="0.35">
      <c r="A140" t="s">
        <v>250</v>
      </c>
      <c r="B140" t="s">
        <v>360</v>
      </c>
      <c r="C140" t="s">
        <v>360</v>
      </c>
      <c r="D140" t="s">
        <v>361</v>
      </c>
      <c r="E140">
        <v>43919</v>
      </c>
      <c r="F140">
        <v>127</v>
      </c>
      <c r="G140">
        <v>128.1114</v>
      </c>
      <c r="H140">
        <v>1.008751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1377.14</v>
      </c>
      <c r="V140">
        <v>0</v>
      </c>
      <c r="W140">
        <v>0</v>
      </c>
      <c r="X140">
        <v>0</v>
      </c>
      <c r="Y140">
        <v>0</v>
      </c>
      <c r="Z140">
        <v>1377.14</v>
      </c>
      <c r="AA140">
        <v>46357.83</v>
      </c>
      <c r="AB140">
        <v>7418.06</v>
      </c>
      <c r="AC140">
        <v>36461.03</v>
      </c>
      <c r="AD140">
        <v>0</v>
      </c>
      <c r="AE140">
        <v>0</v>
      </c>
      <c r="AF140">
        <v>90236.92</v>
      </c>
      <c r="AG140">
        <v>17715.189999999999</v>
      </c>
      <c r="AH140">
        <v>3437.71</v>
      </c>
      <c r="AI140">
        <v>8773.11</v>
      </c>
      <c r="AJ140">
        <v>0</v>
      </c>
      <c r="AK140">
        <v>0</v>
      </c>
      <c r="AL140">
        <v>29926.01</v>
      </c>
      <c r="AM140">
        <v>5812.03</v>
      </c>
      <c r="AN140">
        <v>486.72</v>
      </c>
      <c r="AO140">
        <v>7898.09</v>
      </c>
      <c r="AP140">
        <v>0</v>
      </c>
      <c r="AQ140">
        <v>0</v>
      </c>
      <c r="AR140">
        <v>14196.84</v>
      </c>
      <c r="AS140">
        <v>2558.48</v>
      </c>
      <c r="AT140">
        <v>0</v>
      </c>
      <c r="AU140">
        <v>1356</v>
      </c>
      <c r="AV140">
        <v>0</v>
      </c>
      <c r="AW140">
        <v>0</v>
      </c>
      <c r="AX140">
        <v>3914.48</v>
      </c>
      <c r="AY140">
        <v>139651.39000000001</v>
      </c>
      <c r="AZ140">
        <v>0</v>
      </c>
      <c r="BA140">
        <v>6</v>
      </c>
      <c r="BB140">
        <v>40301.889000000003</v>
      </c>
      <c r="BC140">
        <v>241811.33300000001</v>
      </c>
      <c r="BD140">
        <v>5783.5833329999996</v>
      </c>
      <c r="BE140">
        <v>3020.1909999999998</v>
      </c>
      <c r="BF140">
        <v>272</v>
      </c>
      <c r="BG140">
        <v>4474.147978</v>
      </c>
      <c r="BH140">
        <v>30.375</v>
      </c>
    </row>
    <row r="141" spans="1:60" x14ac:dyDescent="0.35">
      <c r="A141" t="s">
        <v>250</v>
      </c>
      <c r="B141" t="s">
        <v>360</v>
      </c>
      <c r="C141" t="s">
        <v>362</v>
      </c>
      <c r="D141" t="s">
        <v>363</v>
      </c>
      <c r="E141">
        <v>5856</v>
      </c>
      <c r="F141" t="s">
        <v>81</v>
      </c>
      <c r="G141" t="s">
        <v>81</v>
      </c>
      <c r="H141" t="s">
        <v>81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4</v>
      </c>
      <c r="BG141">
        <v>0</v>
      </c>
      <c r="BH141">
        <v>56.1</v>
      </c>
    </row>
    <row r="142" spans="1:60" x14ac:dyDescent="0.35">
      <c r="A142" t="s">
        <v>250</v>
      </c>
      <c r="B142" t="s">
        <v>360</v>
      </c>
      <c r="C142" t="s">
        <v>364</v>
      </c>
      <c r="D142" t="s">
        <v>365</v>
      </c>
      <c r="E142">
        <v>2396</v>
      </c>
      <c r="F142">
        <v>3</v>
      </c>
      <c r="G142">
        <v>1.34785</v>
      </c>
      <c r="H142">
        <v>0.4492833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6429.4170000000004</v>
      </c>
      <c r="BC142">
        <v>6429.4170000000004</v>
      </c>
      <c r="BD142">
        <v>0</v>
      </c>
      <c r="BE142">
        <v>0</v>
      </c>
      <c r="BF142">
        <v>14</v>
      </c>
      <c r="BG142">
        <v>7508.720714</v>
      </c>
      <c r="BH142">
        <v>0</v>
      </c>
    </row>
    <row r="143" spans="1:60" x14ac:dyDescent="0.35">
      <c r="A143" t="s">
        <v>250</v>
      </c>
      <c r="B143" t="s">
        <v>360</v>
      </c>
      <c r="C143" t="s">
        <v>366</v>
      </c>
      <c r="D143" t="s">
        <v>367</v>
      </c>
      <c r="E143">
        <v>9587</v>
      </c>
      <c r="F143">
        <v>17</v>
      </c>
      <c r="G143">
        <v>11.57091</v>
      </c>
      <c r="H143">
        <v>0.68064170000000002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77485.332999999999</v>
      </c>
      <c r="BC143">
        <v>77485.332999999999</v>
      </c>
      <c r="BD143">
        <v>0</v>
      </c>
      <c r="BE143">
        <v>0</v>
      </c>
      <c r="BF143">
        <v>32</v>
      </c>
      <c r="BG143">
        <v>2689.8687500000001</v>
      </c>
      <c r="BH143">
        <v>292.01400000000001</v>
      </c>
    </row>
    <row r="144" spans="1:60" x14ac:dyDescent="0.35">
      <c r="A144" t="s">
        <v>250</v>
      </c>
      <c r="B144" t="s">
        <v>368</v>
      </c>
      <c r="C144" t="s">
        <v>368</v>
      </c>
      <c r="D144" t="s">
        <v>369</v>
      </c>
      <c r="E144">
        <v>1797</v>
      </c>
      <c r="F144" t="s">
        <v>81</v>
      </c>
      <c r="G144" t="s">
        <v>81</v>
      </c>
      <c r="H144" t="s">
        <v>81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4</v>
      </c>
      <c r="BG144">
        <v>0</v>
      </c>
      <c r="BH144">
        <v>0</v>
      </c>
    </row>
    <row r="145" spans="1:60" x14ac:dyDescent="0.35">
      <c r="A145" t="s">
        <v>250</v>
      </c>
      <c r="B145" t="s">
        <v>368</v>
      </c>
      <c r="C145" t="s">
        <v>370</v>
      </c>
      <c r="D145" t="s">
        <v>371</v>
      </c>
      <c r="E145">
        <v>321</v>
      </c>
      <c r="F145" t="s">
        <v>81</v>
      </c>
      <c r="G145" t="s">
        <v>81</v>
      </c>
      <c r="H145" t="s">
        <v>81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 t="s">
        <v>81</v>
      </c>
      <c r="BB145" t="s">
        <v>81</v>
      </c>
      <c r="BC145" t="s">
        <v>81</v>
      </c>
      <c r="BD145" t="s">
        <v>81</v>
      </c>
      <c r="BE145" t="s">
        <v>81</v>
      </c>
      <c r="BF145" t="s">
        <v>81</v>
      </c>
      <c r="BG145" t="s">
        <v>81</v>
      </c>
      <c r="BH145" t="s">
        <v>81</v>
      </c>
    </row>
    <row r="146" spans="1:60" x14ac:dyDescent="0.35">
      <c r="A146" t="s">
        <v>250</v>
      </c>
      <c r="B146" t="s">
        <v>368</v>
      </c>
      <c r="C146" t="s">
        <v>372</v>
      </c>
      <c r="D146" t="s">
        <v>373</v>
      </c>
      <c r="E146">
        <v>441</v>
      </c>
      <c r="F146" t="s">
        <v>81</v>
      </c>
      <c r="G146" t="s">
        <v>81</v>
      </c>
      <c r="H146" t="s">
        <v>81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81</v>
      </c>
      <c r="BB146" t="s">
        <v>81</v>
      </c>
      <c r="BC146" t="s">
        <v>81</v>
      </c>
      <c r="BD146" t="s">
        <v>81</v>
      </c>
      <c r="BE146" t="s">
        <v>81</v>
      </c>
      <c r="BF146" t="s">
        <v>81</v>
      </c>
      <c r="BG146" t="s">
        <v>81</v>
      </c>
      <c r="BH146" t="s">
        <v>81</v>
      </c>
    </row>
    <row r="147" spans="1:60" x14ac:dyDescent="0.35">
      <c r="A147" t="s">
        <v>250</v>
      </c>
      <c r="B147" t="s">
        <v>368</v>
      </c>
      <c r="C147" t="s">
        <v>374</v>
      </c>
      <c r="D147" t="s">
        <v>375</v>
      </c>
      <c r="E147">
        <v>2907</v>
      </c>
      <c r="F147" t="s">
        <v>81</v>
      </c>
      <c r="G147" t="s">
        <v>81</v>
      </c>
      <c r="H147" t="s">
        <v>81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2</v>
      </c>
      <c r="BG147">
        <v>0</v>
      </c>
      <c r="BH147">
        <v>0</v>
      </c>
    </row>
    <row r="148" spans="1:60" x14ac:dyDescent="0.35">
      <c r="A148" t="s">
        <v>250</v>
      </c>
      <c r="B148" t="s">
        <v>368</v>
      </c>
      <c r="C148" t="s">
        <v>376</v>
      </c>
      <c r="D148" t="s">
        <v>377</v>
      </c>
      <c r="E148">
        <v>999</v>
      </c>
      <c r="F148" t="s">
        <v>81</v>
      </c>
      <c r="G148" t="s">
        <v>81</v>
      </c>
      <c r="H148" t="s">
        <v>81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0</v>
      </c>
      <c r="BH148">
        <v>0</v>
      </c>
    </row>
    <row r="149" spans="1:60" x14ac:dyDescent="0.35">
      <c r="A149" t="s">
        <v>250</v>
      </c>
      <c r="B149" t="s">
        <v>368</v>
      </c>
      <c r="C149" t="s">
        <v>378</v>
      </c>
      <c r="D149" t="s">
        <v>379</v>
      </c>
      <c r="E149">
        <v>604</v>
      </c>
      <c r="F149" t="s">
        <v>81</v>
      </c>
      <c r="G149" t="s">
        <v>81</v>
      </c>
      <c r="H149" t="s">
        <v>81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5</v>
      </c>
      <c r="BG149">
        <v>0</v>
      </c>
      <c r="BH149">
        <v>0</v>
      </c>
    </row>
    <row r="150" spans="1:60" x14ac:dyDescent="0.35">
      <c r="A150" t="s">
        <v>250</v>
      </c>
      <c r="B150" t="s">
        <v>368</v>
      </c>
      <c r="C150" t="s">
        <v>380</v>
      </c>
      <c r="D150" t="s">
        <v>381</v>
      </c>
      <c r="E150">
        <v>681</v>
      </c>
      <c r="F150" t="s">
        <v>81</v>
      </c>
      <c r="G150" t="s">
        <v>81</v>
      </c>
      <c r="H150" t="s">
        <v>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 t="s">
        <v>81</v>
      </c>
      <c r="BB150" t="s">
        <v>81</v>
      </c>
      <c r="BC150" t="s">
        <v>81</v>
      </c>
      <c r="BD150" t="s">
        <v>81</v>
      </c>
      <c r="BE150" t="s">
        <v>81</v>
      </c>
      <c r="BF150" t="s">
        <v>81</v>
      </c>
      <c r="BG150" t="s">
        <v>81</v>
      </c>
      <c r="BH150" t="s">
        <v>81</v>
      </c>
    </row>
    <row r="151" spans="1:60" x14ac:dyDescent="0.35">
      <c r="A151" t="s">
        <v>250</v>
      </c>
      <c r="B151" t="s">
        <v>382</v>
      </c>
      <c r="C151" t="s">
        <v>382</v>
      </c>
      <c r="D151" t="s">
        <v>383</v>
      </c>
      <c r="E151">
        <v>9765</v>
      </c>
      <c r="F151">
        <v>28</v>
      </c>
      <c r="G151">
        <v>14.57335</v>
      </c>
      <c r="H151">
        <v>0.52047659999999996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212.77</v>
      </c>
      <c r="X151">
        <v>0</v>
      </c>
      <c r="Y151">
        <v>0</v>
      </c>
      <c r="Z151">
        <v>212.77</v>
      </c>
      <c r="AA151">
        <v>22353.7</v>
      </c>
      <c r="AB151">
        <v>0</v>
      </c>
      <c r="AC151">
        <v>27525.11</v>
      </c>
      <c r="AD151">
        <v>0</v>
      </c>
      <c r="AE151">
        <v>0</v>
      </c>
      <c r="AF151">
        <v>49878.81</v>
      </c>
      <c r="AG151">
        <v>3409.19</v>
      </c>
      <c r="AH151">
        <v>0</v>
      </c>
      <c r="AI151">
        <v>4015.73</v>
      </c>
      <c r="AJ151">
        <v>0</v>
      </c>
      <c r="AK151">
        <v>0</v>
      </c>
      <c r="AL151">
        <v>7424.92</v>
      </c>
      <c r="AM151">
        <v>725.69</v>
      </c>
      <c r="AN151">
        <v>0</v>
      </c>
      <c r="AO151">
        <v>7134.61</v>
      </c>
      <c r="AP151">
        <v>0</v>
      </c>
      <c r="AQ151">
        <v>0</v>
      </c>
      <c r="AR151">
        <v>7860.3</v>
      </c>
      <c r="AS151">
        <v>0</v>
      </c>
      <c r="AT151">
        <v>0</v>
      </c>
      <c r="AU151">
        <v>1981.78</v>
      </c>
      <c r="AV151">
        <v>0</v>
      </c>
      <c r="AW151">
        <v>0</v>
      </c>
      <c r="AX151">
        <v>1981.78</v>
      </c>
      <c r="AY151">
        <v>67358.58</v>
      </c>
      <c r="AZ151">
        <v>0</v>
      </c>
      <c r="BA151">
        <v>3</v>
      </c>
      <c r="BB151">
        <v>10239.722</v>
      </c>
      <c r="BC151">
        <v>30719.166000000001</v>
      </c>
      <c r="BD151">
        <v>0</v>
      </c>
      <c r="BE151">
        <v>143.458</v>
      </c>
      <c r="BF151">
        <v>82</v>
      </c>
      <c r="BG151">
        <v>1180.511951</v>
      </c>
      <c r="BH151">
        <v>0.74099999999999999</v>
      </c>
    </row>
    <row r="152" spans="1:60" x14ac:dyDescent="0.35">
      <c r="A152" t="s">
        <v>250</v>
      </c>
      <c r="B152" t="s">
        <v>382</v>
      </c>
      <c r="C152" t="s">
        <v>384</v>
      </c>
      <c r="D152" t="s">
        <v>385</v>
      </c>
      <c r="E152">
        <v>1316</v>
      </c>
      <c r="F152" t="s">
        <v>81</v>
      </c>
      <c r="G152" t="s">
        <v>81</v>
      </c>
      <c r="H152" t="s">
        <v>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3</v>
      </c>
      <c r="BG152">
        <v>0</v>
      </c>
      <c r="BH152">
        <v>0</v>
      </c>
    </row>
    <row r="153" spans="1:60" x14ac:dyDescent="0.35">
      <c r="A153" t="s">
        <v>250</v>
      </c>
      <c r="B153" t="s">
        <v>382</v>
      </c>
      <c r="C153" t="s">
        <v>386</v>
      </c>
      <c r="D153" t="s">
        <v>387</v>
      </c>
      <c r="E153">
        <v>2599</v>
      </c>
      <c r="F153" t="s">
        <v>81</v>
      </c>
      <c r="G153" t="s">
        <v>81</v>
      </c>
      <c r="H153" t="s">
        <v>81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3</v>
      </c>
      <c r="BG153">
        <v>0</v>
      </c>
      <c r="BH153">
        <v>0</v>
      </c>
    </row>
    <row r="154" spans="1:60" x14ac:dyDescent="0.35">
      <c r="A154" t="s">
        <v>250</v>
      </c>
      <c r="B154" t="s">
        <v>382</v>
      </c>
      <c r="C154" t="s">
        <v>388</v>
      </c>
      <c r="D154" t="s">
        <v>389</v>
      </c>
      <c r="E154">
        <v>8436</v>
      </c>
      <c r="F154">
        <v>4</v>
      </c>
      <c r="G154">
        <v>2.0710000000000002</v>
      </c>
      <c r="H154">
        <v>0.51775000000000004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5</v>
      </c>
      <c r="BB154">
        <v>32023.667000000001</v>
      </c>
      <c r="BC154">
        <v>160118.33300000001</v>
      </c>
      <c r="BD154">
        <v>0</v>
      </c>
      <c r="BE154">
        <v>0</v>
      </c>
      <c r="BF154">
        <v>48</v>
      </c>
      <c r="BG154">
        <v>1771.5956249999999</v>
      </c>
      <c r="BH154">
        <v>360.452</v>
      </c>
    </row>
    <row r="155" spans="1:60" x14ac:dyDescent="0.35">
      <c r="A155" t="s">
        <v>250</v>
      </c>
      <c r="B155" t="s">
        <v>382</v>
      </c>
      <c r="C155" t="s">
        <v>390</v>
      </c>
      <c r="D155" t="s">
        <v>391</v>
      </c>
      <c r="E155">
        <v>1821</v>
      </c>
      <c r="F155" t="s">
        <v>81</v>
      </c>
      <c r="G155" t="s">
        <v>81</v>
      </c>
      <c r="H155" t="s">
        <v>81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</row>
    <row r="156" spans="1:60" x14ac:dyDescent="0.35">
      <c r="A156" t="s">
        <v>250</v>
      </c>
      <c r="B156" t="s">
        <v>382</v>
      </c>
      <c r="C156" t="s">
        <v>392</v>
      </c>
      <c r="D156" t="s">
        <v>393</v>
      </c>
      <c r="E156">
        <v>1255</v>
      </c>
      <c r="F156" t="s">
        <v>81</v>
      </c>
      <c r="G156" t="s">
        <v>81</v>
      </c>
      <c r="H156" t="s">
        <v>81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2</v>
      </c>
      <c r="BG156">
        <v>0</v>
      </c>
      <c r="BH156">
        <v>0</v>
      </c>
    </row>
    <row r="157" spans="1:60" x14ac:dyDescent="0.35">
      <c r="A157" t="s">
        <v>250</v>
      </c>
      <c r="B157" t="s">
        <v>382</v>
      </c>
      <c r="C157" t="s">
        <v>394</v>
      </c>
      <c r="D157" t="s">
        <v>395</v>
      </c>
      <c r="E157">
        <v>3636</v>
      </c>
      <c r="F157" t="s">
        <v>81</v>
      </c>
      <c r="G157" t="s">
        <v>81</v>
      </c>
      <c r="H157" t="s">
        <v>81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5</v>
      </c>
      <c r="BG157">
        <v>0</v>
      </c>
      <c r="BH157">
        <v>0</v>
      </c>
    </row>
    <row r="158" spans="1:60" x14ac:dyDescent="0.35">
      <c r="A158" t="s">
        <v>250</v>
      </c>
      <c r="B158" t="s">
        <v>382</v>
      </c>
      <c r="C158" t="s">
        <v>396</v>
      </c>
      <c r="D158" t="s">
        <v>397</v>
      </c>
      <c r="E158">
        <v>2717</v>
      </c>
      <c r="F158" t="s">
        <v>81</v>
      </c>
      <c r="G158" t="s">
        <v>81</v>
      </c>
      <c r="H158" t="s">
        <v>81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11693.083000000001</v>
      </c>
      <c r="BC158">
        <v>11693.083000000001</v>
      </c>
      <c r="BD158">
        <v>0</v>
      </c>
      <c r="BE158">
        <v>0</v>
      </c>
      <c r="BF158">
        <v>5</v>
      </c>
      <c r="BG158">
        <v>0</v>
      </c>
      <c r="BH158">
        <v>0</v>
      </c>
    </row>
    <row r="159" spans="1:60" x14ac:dyDescent="0.35">
      <c r="A159" t="s">
        <v>250</v>
      </c>
      <c r="B159" t="s">
        <v>382</v>
      </c>
      <c r="C159" t="s">
        <v>398</v>
      </c>
      <c r="D159" t="s">
        <v>399</v>
      </c>
      <c r="E159">
        <v>1230</v>
      </c>
      <c r="F159" t="s">
        <v>81</v>
      </c>
      <c r="G159" t="s">
        <v>81</v>
      </c>
      <c r="H159" t="s">
        <v>81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8</v>
      </c>
      <c r="BG159">
        <v>0</v>
      </c>
      <c r="BH159">
        <v>0</v>
      </c>
    </row>
    <row r="160" spans="1:60" x14ac:dyDescent="0.35">
      <c r="A160" t="s">
        <v>250</v>
      </c>
      <c r="B160" t="s">
        <v>382</v>
      </c>
      <c r="C160" t="s">
        <v>400</v>
      </c>
      <c r="D160" t="s">
        <v>401</v>
      </c>
      <c r="E160">
        <v>1446</v>
      </c>
      <c r="F160" t="s">
        <v>81</v>
      </c>
      <c r="G160" t="s">
        <v>81</v>
      </c>
      <c r="H160" t="s">
        <v>81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</row>
    <row r="161" spans="1:60" x14ac:dyDescent="0.35">
      <c r="A161" t="s">
        <v>250</v>
      </c>
      <c r="B161" t="s">
        <v>382</v>
      </c>
      <c r="C161" t="s">
        <v>402</v>
      </c>
      <c r="D161" t="s">
        <v>403</v>
      </c>
      <c r="E161">
        <v>2552</v>
      </c>
      <c r="F161" t="s">
        <v>81</v>
      </c>
      <c r="G161" t="s">
        <v>81</v>
      </c>
      <c r="H161" t="s">
        <v>81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3</v>
      </c>
      <c r="BG161">
        <v>0</v>
      </c>
      <c r="BH161">
        <v>0</v>
      </c>
    </row>
    <row r="162" spans="1:60" x14ac:dyDescent="0.35">
      <c r="A162" t="s">
        <v>250</v>
      </c>
      <c r="B162" t="s">
        <v>382</v>
      </c>
      <c r="C162" t="s">
        <v>404</v>
      </c>
      <c r="D162" t="s">
        <v>405</v>
      </c>
      <c r="E162">
        <v>771</v>
      </c>
      <c r="F162" t="s">
        <v>81</v>
      </c>
      <c r="G162" t="s">
        <v>81</v>
      </c>
      <c r="H162" t="s">
        <v>81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9</v>
      </c>
      <c r="BG162">
        <v>630.76666699999998</v>
      </c>
      <c r="BH162">
        <v>0</v>
      </c>
    </row>
    <row r="163" spans="1:60" x14ac:dyDescent="0.35">
      <c r="A163" t="s">
        <v>250</v>
      </c>
      <c r="B163" t="s">
        <v>382</v>
      </c>
      <c r="C163" t="s">
        <v>406</v>
      </c>
      <c r="D163" t="s">
        <v>407</v>
      </c>
      <c r="E163">
        <v>1394</v>
      </c>
      <c r="F163" t="s">
        <v>81</v>
      </c>
      <c r="G163" t="s">
        <v>81</v>
      </c>
      <c r="H163" t="s">
        <v>81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</row>
    <row r="164" spans="1:60" x14ac:dyDescent="0.35">
      <c r="A164" t="s">
        <v>250</v>
      </c>
      <c r="B164" t="s">
        <v>382</v>
      </c>
      <c r="C164" t="s">
        <v>408</v>
      </c>
      <c r="D164" t="s">
        <v>409</v>
      </c>
      <c r="E164">
        <v>20489</v>
      </c>
      <c r="F164">
        <v>13</v>
      </c>
      <c r="G164">
        <v>12.950189999999999</v>
      </c>
      <c r="H164">
        <v>0.9961681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4818.3599999999997</v>
      </c>
      <c r="AB164">
        <v>0</v>
      </c>
      <c r="AC164">
        <v>0</v>
      </c>
      <c r="AD164">
        <v>0</v>
      </c>
      <c r="AE164">
        <v>0</v>
      </c>
      <c r="AF164">
        <v>4818.3599999999997</v>
      </c>
      <c r="AG164">
        <v>1154.02</v>
      </c>
      <c r="AH164">
        <v>0</v>
      </c>
      <c r="AI164">
        <v>0</v>
      </c>
      <c r="AJ164">
        <v>0</v>
      </c>
      <c r="AK164">
        <v>0</v>
      </c>
      <c r="AL164">
        <v>1154.02</v>
      </c>
      <c r="AM164">
        <v>68.08</v>
      </c>
      <c r="AN164">
        <v>0</v>
      </c>
      <c r="AO164">
        <v>0</v>
      </c>
      <c r="AP164">
        <v>0</v>
      </c>
      <c r="AQ164">
        <v>0</v>
      </c>
      <c r="AR164">
        <v>68.08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6040.46</v>
      </c>
      <c r="AZ164">
        <v>0</v>
      </c>
      <c r="BA164">
        <v>6</v>
      </c>
      <c r="BB164">
        <v>30102.792000000001</v>
      </c>
      <c r="BC164">
        <v>180616.75</v>
      </c>
      <c r="BD164">
        <v>0</v>
      </c>
      <c r="BE164">
        <v>0</v>
      </c>
      <c r="BF164">
        <v>80</v>
      </c>
      <c r="BG164">
        <v>3180.8209999999999</v>
      </c>
      <c r="BH164">
        <v>377.642</v>
      </c>
    </row>
    <row r="165" spans="1:60" x14ac:dyDescent="0.35">
      <c r="A165" t="s">
        <v>250</v>
      </c>
      <c r="B165" t="s">
        <v>382</v>
      </c>
      <c r="C165" t="s">
        <v>410</v>
      </c>
      <c r="D165" t="s">
        <v>411</v>
      </c>
      <c r="E165">
        <v>2741</v>
      </c>
      <c r="F165" t="s">
        <v>81</v>
      </c>
      <c r="G165" t="s">
        <v>81</v>
      </c>
      <c r="H165" t="s">
        <v>81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</v>
      </c>
      <c r="BB165">
        <v>165865.41699999999</v>
      </c>
      <c r="BC165">
        <v>165865.41699999999</v>
      </c>
      <c r="BD165">
        <v>0</v>
      </c>
      <c r="BE165">
        <v>0</v>
      </c>
      <c r="BF165">
        <v>3</v>
      </c>
      <c r="BG165">
        <v>100</v>
      </c>
      <c r="BH165">
        <v>0</v>
      </c>
    </row>
    <row r="166" spans="1:60" x14ac:dyDescent="0.35">
      <c r="A166" t="s">
        <v>250</v>
      </c>
      <c r="B166" t="s">
        <v>382</v>
      </c>
      <c r="C166" t="s">
        <v>412</v>
      </c>
      <c r="D166" t="s">
        <v>413</v>
      </c>
      <c r="E166">
        <v>1199</v>
      </c>
      <c r="F166" t="s">
        <v>81</v>
      </c>
      <c r="G166" t="s">
        <v>81</v>
      </c>
      <c r="H166" t="s">
        <v>81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4</v>
      </c>
      <c r="BG166">
        <v>0</v>
      </c>
      <c r="BH166">
        <v>0</v>
      </c>
    </row>
    <row r="167" spans="1:60" x14ac:dyDescent="0.35">
      <c r="A167" t="s">
        <v>250</v>
      </c>
      <c r="B167" t="s">
        <v>414</v>
      </c>
      <c r="C167" t="s">
        <v>414</v>
      </c>
      <c r="D167" t="s">
        <v>415</v>
      </c>
      <c r="E167">
        <v>28300</v>
      </c>
      <c r="F167">
        <v>85</v>
      </c>
      <c r="G167">
        <v>70.124750000000006</v>
      </c>
      <c r="H167">
        <v>0.82499710000000004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13.44</v>
      </c>
      <c r="X167">
        <v>0</v>
      </c>
      <c r="Y167">
        <v>0</v>
      </c>
      <c r="Z167">
        <v>13.44</v>
      </c>
      <c r="AA167">
        <v>11787.09</v>
      </c>
      <c r="AB167">
        <v>0</v>
      </c>
      <c r="AC167">
        <v>15143.28</v>
      </c>
      <c r="AD167">
        <v>0</v>
      </c>
      <c r="AE167">
        <v>0</v>
      </c>
      <c r="AF167">
        <v>26930.37</v>
      </c>
      <c r="AG167">
        <v>4560.1000000000004</v>
      </c>
      <c r="AH167">
        <v>0</v>
      </c>
      <c r="AI167">
        <v>5210.3500000000004</v>
      </c>
      <c r="AJ167">
        <v>0</v>
      </c>
      <c r="AK167">
        <v>0</v>
      </c>
      <c r="AL167">
        <v>9770.4500000000007</v>
      </c>
      <c r="AM167">
        <v>1713.46</v>
      </c>
      <c r="AN167">
        <v>0</v>
      </c>
      <c r="AO167">
        <v>5667.99</v>
      </c>
      <c r="AP167">
        <v>0</v>
      </c>
      <c r="AQ167">
        <v>0</v>
      </c>
      <c r="AR167">
        <v>7381.45</v>
      </c>
      <c r="AS167">
        <v>342.39</v>
      </c>
      <c r="AT167">
        <v>0</v>
      </c>
      <c r="AU167">
        <v>72.17</v>
      </c>
      <c r="AV167">
        <v>0</v>
      </c>
      <c r="AW167">
        <v>0</v>
      </c>
      <c r="AX167">
        <v>414.56</v>
      </c>
      <c r="AY167">
        <v>44510.27</v>
      </c>
      <c r="AZ167">
        <v>0</v>
      </c>
      <c r="BA167">
        <v>9</v>
      </c>
      <c r="BB167">
        <v>40013.277999999998</v>
      </c>
      <c r="BC167">
        <v>360119.5</v>
      </c>
      <c r="BD167">
        <v>0</v>
      </c>
      <c r="BE167">
        <v>2599.5770000000002</v>
      </c>
      <c r="BF167">
        <v>139</v>
      </c>
      <c r="BG167">
        <v>4469.401871</v>
      </c>
      <c r="BH167">
        <v>3826.3870000000002</v>
      </c>
    </row>
    <row r="168" spans="1:60" x14ac:dyDescent="0.35">
      <c r="A168" t="s">
        <v>250</v>
      </c>
      <c r="B168" t="s">
        <v>414</v>
      </c>
      <c r="C168" t="s">
        <v>416</v>
      </c>
      <c r="D168" t="s">
        <v>417</v>
      </c>
      <c r="E168">
        <v>773</v>
      </c>
      <c r="F168" t="s">
        <v>81</v>
      </c>
      <c r="G168" t="s">
        <v>81</v>
      </c>
      <c r="H168" t="s">
        <v>81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</row>
    <row r="169" spans="1:60" x14ac:dyDescent="0.35">
      <c r="A169" t="s">
        <v>250</v>
      </c>
      <c r="B169" t="s">
        <v>414</v>
      </c>
      <c r="C169" t="s">
        <v>418</v>
      </c>
      <c r="D169" t="s">
        <v>419</v>
      </c>
      <c r="E169">
        <v>3438</v>
      </c>
      <c r="F169" t="s">
        <v>81</v>
      </c>
      <c r="G169" t="s">
        <v>81</v>
      </c>
      <c r="H169" t="s">
        <v>81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7</v>
      </c>
      <c r="BG169">
        <v>22729.112857</v>
      </c>
      <c r="BH169">
        <v>0</v>
      </c>
    </row>
    <row r="170" spans="1:60" x14ac:dyDescent="0.35">
      <c r="A170" t="s">
        <v>250</v>
      </c>
      <c r="B170" t="s">
        <v>414</v>
      </c>
      <c r="C170" t="s">
        <v>420</v>
      </c>
      <c r="D170" t="s">
        <v>421</v>
      </c>
      <c r="E170">
        <v>940</v>
      </c>
      <c r="F170" t="s">
        <v>81</v>
      </c>
      <c r="G170" t="s">
        <v>81</v>
      </c>
      <c r="H170" t="s">
        <v>81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81</v>
      </c>
      <c r="BB170" t="s">
        <v>81</v>
      </c>
      <c r="BC170" t="s">
        <v>81</v>
      </c>
      <c r="BD170" t="s">
        <v>81</v>
      </c>
      <c r="BE170" t="s">
        <v>81</v>
      </c>
      <c r="BF170" t="s">
        <v>81</v>
      </c>
      <c r="BG170" t="s">
        <v>81</v>
      </c>
      <c r="BH170" t="s">
        <v>81</v>
      </c>
    </row>
    <row r="171" spans="1:60" x14ac:dyDescent="0.35">
      <c r="A171" t="s">
        <v>250</v>
      </c>
      <c r="B171" t="s">
        <v>414</v>
      </c>
      <c r="C171" t="s">
        <v>422</v>
      </c>
      <c r="D171" t="s">
        <v>423</v>
      </c>
      <c r="E171">
        <v>727</v>
      </c>
      <c r="F171" t="s">
        <v>81</v>
      </c>
      <c r="G171" t="s">
        <v>81</v>
      </c>
      <c r="H171" t="s">
        <v>81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50</v>
      </c>
      <c r="BH171">
        <v>0</v>
      </c>
    </row>
    <row r="172" spans="1:60" x14ac:dyDescent="0.35">
      <c r="A172" t="s">
        <v>250</v>
      </c>
      <c r="B172" t="s">
        <v>424</v>
      </c>
      <c r="C172" t="s">
        <v>425</v>
      </c>
      <c r="D172" t="s">
        <v>426</v>
      </c>
      <c r="E172">
        <v>27443</v>
      </c>
      <c r="F172">
        <v>50</v>
      </c>
      <c r="G172">
        <v>52.844679999999997</v>
      </c>
      <c r="H172">
        <v>1.056894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0.04</v>
      </c>
      <c r="P172">
        <v>0</v>
      </c>
      <c r="Q172">
        <v>0</v>
      </c>
      <c r="R172">
        <v>0</v>
      </c>
      <c r="S172">
        <v>0</v>
      </c>
      <c r="T172">
        <v>0.04</v>
      </c>
      <c r="U172">
        <v>247.36</v>
      </c>
      <c r="V172">
        <v>0</v>
      </c>
      <c r="W172">
        <v>0</v>
      </c>
      <c r="X172">
        <v>0</v>
      </c>
      <c r="Y172">
        <v>0</v>
      </c>
      <c r="Z172">
        <v>247.36</v>
      </c>
      <c r="AA172">
        <v>53488.75</v>
      </c>
      <c r="AB172">
        <v>0</v>
      </c>
      <c r="AC172">
        <v>70683.490000000005</v>
      </c>
      <c r="AD172">
        <v>0</v>
      </c>
      <c r="AE172">
        <v>0</v>
      </c>
      <c r="AF172">
        <v>124172.24</v>
      </c>
      <c r="AG172">
        <v>6704.38</v>
      </c>
      <c r="AH172">
        <v>0</v>
      </c>
      <c r="AI172">
        <v>12105.63</v>
      </c>
      <c r="AJ172">
        <v>0</v>
      </c>
      <c r="AK172">
        <v>0</v>
      </c>
      <c r="AL172">
        <v>18810.009999999998</v>
      </c>
      <c r="AM172">
        <v>3149.47</v>
      </c>
      <c r="AN172">
        <v>0</v>
      </c>
      <c r="AO172">
        <v>13690.37</v>
      </c>
      <c r="AP172">
        <v>0</v>
      </c>
      <c r="AQ172">
        <v>0</v>
      </c>
      <c r="AR172">
        <v>16839.84</v>
      </c>
      <c r="AS172">
        <v>3024.12</v>
      </c>
      <c r="AT172">
        <v>0</v>
      </c>
      <c r="AU172">
        <v>607.09</v>
      </c>
      <c r="AV172">
        <v>0</v>
      </c>
      <c r="AW172">
        <v>0</v>
      </c>
      <c r="AX172">
        <v>3631.21</v>
      </c>
      <c r="AY172">
        <v>163700.70000000001</v>
      </c>
      <c r="AZ172">
        <v>0</v>
      </c>
      <c r="BA172">
        <v>8</v>
      </c>
      <c r="BB172">
        <v>19320.259999999998</v>
      </c>
      <c r="BC172">
        <v>154562.08300000001</v>
      </c>
      <c r="BD172">
        <v>0</v>
      </c>
      <c r="BE172">
        <v>218.57499999999999</v>
      </c>
      <c r="BF172">
        <v>299</v>
      </c>
      <c r="BG172">
        <v>2662.9590969999999</v>
      </c>
      <c r="BH172">
        <v>5.7439999999999998</v>
      </c>
    </row>
    <row r="173" spans="1:60" x14ac:dyDescent="0.35">
      <c r="A173" t="s">
        <v>250</v>
      </c>
      <c r="B173" t="s">
        <v>424</v>
      </c>
      <c r="C173" t="s">
        <v>427</v>
      </c>
      <c r="D173" t="s">
        <v>428</v>
      </c>
      <c r="E173">
        <v>1147</v>
      </c>
      <c r="F173" t="s">
        <v>81</v>
      </c>
      <c r="G173" t="s">
        <v>81</v>
      </c>
      <c r="H173" t="s">
        <v>81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2</v>
      </c>
      <c r="BG173">
        <v>0</v>
      </c>
      <c r="BH173">
        <v>0</v>
      </c>
    </row>
    <row r="174" spans="1:60" x14ac:dyDescent="0.35">
      <c r="A174" t="s">
        <v>250</v>
      </c>
      <c r="B174" t="s">
        <v>424</v>
      </c>
      <c r="C174" t="s">
        <v>429</v>
      </c>
      <c r="D174" t="s">
        <v>430</v>
      </c>
      <c r="E174">
        <v>1366</v>
      </c>
      <c r="F174" t="s">
        <v>81</v>
      </c>
      <c r="G174" t="s">
        <v>81</v>
      </c>
      <c r="H174" t="s">
        <v>81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</row>
    <row r="175" spans="1:60" x14ac:dyDescent="0.35">
      <c r="A175" t="s">
        <v>250</v>
      </c>
      <c r="B175" t="s">
        <v>424</v>
      </c>
      <c r="C175" t="s">
        <v>424</v>
      </c>
      <c r="D175" t="s">
        <v>431</v>
      </c>
      <c r="E175">
        <v>1669</v>
      </c>
      <c r="F175" t="s">
        <v>81</v>
      </c>
      <c r="G175" t="s">
        <v>81</v>
      </c>
      <c r="H175" t="s">
        <v>81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3</v>
      </c>
      <c r="BG175">
        <v>0</v>
      </c>
      <c r="BH175">
        <v>0</v>
      </c>
    </row>
    <row r="176" spans="1:60" x14ac:dyDescent="0.35">
      <c r="A176" t="s">
        <v>250</v>
      </c>
      <c r="B176" t="s">
        <v>424</v>
      </c>
      <c r="C176" t="s">
        <v>432</v>
      </c>
      <c r="D176" t="s">
        <v>433</v>
      </c>
      <c r="E176">
        <v>1880</v>
      </c>
      <c r="F176" t="s">
        <v>81</v>
      </c>
      <c r="G176" t="s">
        <v>81</v>
      </c>
      <c r="H176" t="s">
        <v>81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2</v>
      </c>
      <c r="BG176">
        <v>0</v>
      </c>
      <c r="BH176">
        <v>0</v>
      </c>
    </row>
    <row r="177" spans="1:60" x14ac:dyDescent="0.35">
      <c r="A177" t="s">
        <v>250</v>
      </c>
      <c r="B177" t="s">
        <v>424</v>
      </c>
      <c r="C177" t="s">
        <v>434</v>
      </c>
      <c r="D177" t="s">
        <v>435</v>
      </c>
      <c r="E177">
        <v>8564</v>
      </c>
      <c r="F177" t="s">
        <v>81</v>
      </c>
      <c r="G177" t="s">
        <v>81</v>
      </c>
      <c r="H177" t="s">
        <v>81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3</v>
      </c>
      <c r="BG177">
        <v>0</v>
      </c>
      <c r="BH177">
        <v>0</v>
      </c>
    </row>
    <row r="178" spans="1:60" x14ac:dyDescent="0.35">
      <c r="A178" t="s">
        <v>250</v>
      </c>
      <c r="B178" t="s">
        <v>424</v>
      </c>
      <c r="C178" t="s">
        <v>436</v>
      </c>
      <c r="D178" t="s">
        <v>437</v>
      </c>
      <c r="E178">
        <v>7005</v>
      </c>
      <c r="F178">
        <v>1</v>
      </c>
      <c r="G178">
        <v>0.35</v>
      </c>
      <c r="H178">
        <v>0.35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9</v>
      </c>
      <c r="BG178">
        <v>0</v>
      </c>
      <c r="BH178">
        <v>0</v>
      </c>
    </row>
    <row r="179" spans="1:60" x14ac:dyDescent="0.35">
      <c r="A179" t="s">
        <v>250</v>
      </c>
      <c r="B179" t="s">
        <v>424</v>
      </c>
      <c r="C179" t="s">
        <v>438</v>
      </c>
      <c r="D179" t="s">
        <v>439</v>
      </c>
      <c r="E179">
        <v>4549</v>
      </c>
      <c r="F179">
        <v>1</v>
      </c>
      <c r="G179">
        <v>0.35</v>
      </c>
      <c r="H179">
        <v>0.35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9</v>
      </c>
      <c r="BG179">
        <v>0</v>
      </c>
      <c r="BH179">
        <v>0</v>
      </c>
    </row>
    <row r="180" spans="1:60" x14ac:dyDescent="0.35">
      <c r="A180" t="s">
        <v>250</v>
      </c>
      <c r="B180" t="s">
        <v>424</v>
      </c>
      <c r="C180" t="s">
        <v>440</v>
      </c>
      <c r="D180" t="s">
        <v>441</v>
      </c>
      <c r="E180">
        <v>1055</v>
      </c>
      <c r="F180">
        <v>3</v>
      </c>
      <c r="G180">
        <v>2.2760009999999999</v>
      </c>
      <c r="H180">
        <v>0.75866699999999998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 t="s">
        <v>81</v>
      </c>
      <c r="BB180" t="s">
        <v>81</v>
      </c>
      <c r="BC180" t="s">
        <v>81</v>
      </c>
      <c r="BD180" t="s">
        <v>81</v>
      </c>
      <c r="BE180" t="s">
        <v>81</v>
      </c>
      <c r="BF180" t="s">
        <v>81</v>
      </c>
      <c r="BG180" t="s">
        <v>81</v>
      </c>
      <c r="BH180" t="s">
        <v>81</v>
      </c>
    </row>
    <row r="181" spans="1:60" x14ac:dyDescent="0.35">
      <c r="A181" t="s">
        <v>250</v>
      </c>
      <c r="B181" t="s">
        <v>424</v>
      </c>
      <c r="C181" t="s">
        <v>442</v>
      </c>
      <c r="D181" t="s">
        <v>443</v>
      </c>
      <c r="E181">
        <v>2275</v>
      </c>
      <c r="F181" t="s">
        <v>81</v>
      </c>
      <c r="G181" t="s">
        <v>81</v>
      </c>
      <c r="H181" t="s">
        <v>81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</v>
      </c>
      <c r="BG181">
        <v>0</v>
      </c>
      <c r="BH181">
        <v>0</v>
      </c>
    </row>
    <row r="182" spans="1:60" x14ac:dyDescent="0.35">
      <c r="A182" t="s">
        <v>250</v>
      </c>
      <c r="B182" t="s">
        <v>444</v>
      </c>
      <c r="C182" t="s">
        <v>445</v>
      </c>
      <c r="D182" t="s">
        <v>446</v>
      </c>
      <c r="E182">
        <v>2986</v>
      </c>
      <c r="F182">
        <v>4</v>
      </c>
      <c r="G182">
        <v>1.4904170000000001</v>
      </c>
      <c r="H182">
        <v>0.3726043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7</v>
      </c>
      <c r="BG182">
        <v>45975.978571</v>
      </c>
      <c r="BH182">
        <v>0</v>
      </c>
    </row>
    <row r="183" spans="1:60" x14ac:dyDescent="0.35">
      <c r="A183" t="s">
        <v>250</v>
      </c>
      <c r="B183" t="s">
        <v>444</v>
      </c>
      <c r="C183" t="s">
        <v>447</v>
      </c>
      <c r="D183" t="s">
        <v>448</v>
      </c>
      <c r="E183">
        <v>3776</v>
      </c>
      <c r="F183" t="s">
        <v>81</v>
      </c>
      <c r="G183" t="s">
        <v>81</v>
      </c>
      <c r="H183" t="s">
        <v>81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</v>
      </c>
      <c r="BB183">
        <v>30000</v>
      </c>
      <c r="BC183">
        <v>30000</v>
      </c>
      <c r="BD183">
        <v>0</v>
      </c>
      <c r="BE183">
        <v>0</v>
      </c>
      <c r="BF183">
        <v>1</v>
      </c>
      <c r="BG183">
        <v>0</v>
      </c>
      <c r="BH183">
        <v>0</v>
      </c>
    </row>
    <row r="184" spans="1:60" x14ac:dyDescent="0.35">
      <c r="A184" t="s">
        <v>250</v>
      </c>
      <c r="B184" t="s">
        <v>444</v>
      </c>
      <c r="C184" t="s">
        <v>449</v>
      </c>
      <c r="D184" t="s">
        <v>450</v>
      </c>
      <c r="E184">
        <v>1355</v>
      </c>
      <c r="F184" t="s">
        <v>81</v>
      </c>
      <c r="G184" t="s">
        <v>81</v>
      </c>
      <c r="H184" t="s">
        <v>81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 t="s">
        <v>81</v>
      </c>
      <c r="BB184" t="s">
        <v>81</v>
      </c>
      <c r="BC184" t="s">
        <v>81</v>
      </c>
      <c r="BD184" t="s">
        <v>81</v>
      </c>
      <c r="BE184" t="s">
        <v>81</v>
      </c>
      <c r="BF184" t="s">
        <v>81</v>
      </c>
      <c r="BG184" t="s">
        <v>81</v>
      </c>
      <c r="BH184" t="s">
        <v>81</v>
      </c>
    </row>
    <row r="185" spans="1:60" x14ac:dyDescent="0.35">
      <c r="A185" t="s">
        <v>250</v>
      </c>
      <c r="B185" t="s">
        <v>444</v>
      </c>
      <c r="C185" t="s">
        <v>451</v>
      </c>
      <c r="D185" t="s">
        <v>452</v>
      </c>
      <c r="E185">
        <v>1765</v>
      </c>
      <c r="F185" t="s">
        <v>81</v>
      </c>
      <c r="G185" t="s">
        <v>81</v>
      </c>
      <c r="H185" t="s">
        <v>81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</row>
    <row r="186" spans="1:60" x14ac:dyDescent="0.35">
      <c r="A186" t="s">
        <v>250</v>
      </c>
      <c r="B186" t="s">
        <v>444</v>
      </c>
      <c r="C186" t="s">
        <v>453</v>
      </c>
      <c r="D186" t="s">
        <v>454</v>
      </c>
      <c r="E186">
        <v>923</v>
      </c>
      <c r="F186" t="s">
        <v>81</v>
      </c>
      <c r="G186" t="s">
        <v>81</v>
      </c>
      <c r="H186" t="s">
        <v>81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</row>
    <row r="187" spans="1:60" x14ac:dyDescent="0.35">
      <c r="A187" t="s">
        <v>250</v>
      </c>
      <c r="B187" t="s">
        <v>444</v>
      </c>
      <c r="C187" t="s">
        <v>455</v>
      </c>
      <c r="D187" t="s">
        <v>456</v>
      </c>
      <c r="E187">
        <v>6430</v>
      </c>
      <c r="F187">
        <v>1</v>
      </c>
      <c r="G187">
        <v>0.48399999999999999</v>
      </c>
      <c r="H187">
        <v>0.48399999999999999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</row>
    <row r="188" spans="1:60" x14ac:dyDescent="0.35">
      <c r="A188" t="s">
        <v>250</v>
      </c>
      <c r="B188" t="s">
        <v>444</v>
      </c>
      <c r="C188" t="s">
        <v>457</v>
      </c>
      <c r="D188" t="s">
        <v>458</v>
      </c>
      <c r="E188">
        <v>2691</v>
      </c>
      <c r="F188" t="s">
        <v>81</v>
      </c>
      <c r="G188" t="s">
        <v>81</v>
      </c>
      <c r="H188" t="s">
        <v>81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2</v>
      </c>
      <c r="BG188">
        <v>0</v>
      </c>
      <c r="BH188">
        <v>0</v>
      </c>
    </row>
    <row r="189" spans="1:60" x14ac:dyDescent="0.35">
      <c r="A189" t="s">
        <v>250</v>
      </c>
      <c r="B189" t="s">
        <v>444</v>
      </c>
      <c r="C189" t="s">
        <v>459</v>
      </c>
      <c r="D189" t="s">
        <v>460</v>
      </c>
      <c r="E189">
        <v>944</v>
      </c>
      <c r="F189" t="s">
        <v>81</v>
      </c>
      <c r="G189" t="s">
        <v>81</v>
      </c>
      <c r="H189" t="s">
        <v>81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</row>
    <row r="190" spans="1:60" x14ac:dyDescent="0.35">
      <c r="A190" t="s">
        <v>250</v>
      </c>
      <c r="B190" t="s">
        <v>461</v>
      </c>
      <c r="C190" t="s">
        <v>461</v>
      </c>
      <c r="D190" t="s">
        <v>462</v>
      </c>
      <c r="E190">
        <v>1178</v>
      </c>
      <c r="F190" t="s">
        <v>81</v>
      </c>
      <c r="G190" t="s">
        <v>81</v>
      </c>
      <c r="H190" t="s">
        <v>81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5</v>
      </c>
      <c r="BG190">
        <v>0</v>
      </c>
      <c r="BH190">
        <v>0</v>
      </c>
    </row>
    <row r="191" spans="1:60" x14ac:dyDescent="0.35">
      <c r="A191" t="s">
        <v>250</v>
      </c>
      <c r="B191" t="s">
        <v>461</v>
      </c>
      <c r="C191" t="s">
        <v>463</v>
      </c>
      <c r="D191" t="s">
        <v>464</v>
      </c>
      <c r="E191">
        <v>532</v>
      </c>
      <c r="F191" t="s">
        <v>81</v>
      </c>
      <c r="G191" t="s">
        <v>81</v>
      </c>
      <c r="H191" t="s">
        <v>81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81</v>
      </c>
      <c r="BB191" t="s">
        <v>81</v>
      </c>
      <c r="BC191" t="s">
        <v>81</v>
      </c>
      <c r="BD191" t="s">
        <v>81</v>
      </c>
      <c r="BE191" t="s">
        <v>81</v>
      </c>
      <c r="BF191" t="s">
        <v>81</v>
      </c>
      <c r="BG191" t="s">
        <v>81</v>
      </c>
      <c r="BH191" t="s">
        <v>81</v>
      </c>
    </row>
    <row r="192" spans="1:60" x14ac:dyDescent="0.35">
      <c r="A192" t="s">
        <v>250</v>
      </c>
      <c r="B192" t="s">
        <v>461</v>
      </c>
      <c r="C192" t="s">
        <v>465</v>
      </c>
      <c r="D192" t="s">
        <v>466</v>
      </c>
      <c r="E192">
        <v>252</v>
      </c>
      <c r="F192" t="s">
        <v>81</v>
      </c>
      <c r="G192" t="s">
        <v>81</v>
      </c>
      <c r="H192" t="s">
        <v>81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 t="s">
        <v>81</v>
      </c>
      <c r="BB192" t="s">
        <v>81</v>
      </c>
      <c r="BC192" t="s">
        <v>81</v>
      </c>
      <c r="BD192" t="s">
        <v>81</v>
      </c>
      <c r="BE192" t="s">
        <v>81</v>
      </c>
      <c r="BF192" t="s">
        <v>81</v>
      </c>
      <c r="BG192" t="s">
        <v>81</v>
      </c>
      <c r="BH192" t="s">
        <v>81</v>
      </c>
    </row>
    <row r="193" spans="1:60" x14ac:dyDescent="0.35">
      <c r="A193" t="s">
        <v>250</v>
      </c>
      <c r="B193" t="s">
        <v>461</v>
      </c>
      <c r="C193" t="s">
        <v>467</v>
      </c>
      <c r="D193" t="s">
        <v>468</v>
      </c>
      <c r="E193">
        <v>354</v>
      </c>
      <c r="F193" t="s">
        <v>81</v>
      </c>
      <c r="G193" t="s">
        <v>81</v>
      </c>
      <c r="H193" t="s">
        <v>81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 t="s">
        <v>81</v>
      </c>
      <c r="BB193" t="s">
        <v>81</v>
      </c>
      <c r="BC193" t="s">
        <v>81</v>
      </c>
      <c r="BD193" t="s">
        <v>81</v>
      </c>
      <c r="BE193" t="s">
        <v>81</v>
      </c>
      <c r="BF193" t="s">
        <v>81</v>
      </c>
      <c r="BG193" t="s">
        <v>81</v>
      </c>
      <c r="BH193" t="s">
        <v>81</v>
      </c>
    </row>
    <row r="194" spans="1:60" x14ac:dyDescent="0.35">
      <c r="A194" t="s">
        <v>250</v>
      </c>
      <c r="B194" t="s">
        <v>461</v>
      </c>
      <c r="C194" t="s">
        <v>469</v>
      </c>
      <c r="D194" t="s">
        <v>470</v>
      </c>
      <c r="E194">
        <v>1591</v>
      </c>
      <c r="F194" t="s">
        <v>81</v>
      </c>
      <c r="G194" t="s">
        <v>81</v>
      </c>
      <c r="H194" t="s">
        <v>81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 t="s">
        <v>81</v>
      </c>
      <c r="BB194" t="s">
        <v>81</v>
      </c>
      <c r="BC194" t="s">
        <v>81</v>
      </c>
      <c r="BD194" t="s">
        <v>81</v>
      </c>
      <c r="BE194" t="s">
        <v>81</v>
      </c>
      <c r="BF194" t="s">
        <v>81</v>
      </c>
      <c r="BG194" t="s">
        <v>81</v>
      </c>
      <c r="BH194" t="s">
        <v>81</v>
      </c>
    </row>
    <row r="195" spans="1:60" x14ac:dyDescent="0.35">
      <c r="A195" t="s">
        <v>250</v>
      </c>
      <c r="B195" t="s">
        <v>461</v>
      </c>
      <c r="C195" t="s">
        <v>471</v>
      </c>
      <c r="D195" t="s">
        <v>472</v>
      </c>
      <c r="E195">
        <v>1238</v>
      </c>
      <c r="F195" t="s">
        <v>81</v>
      </c>
      <c r="G195" t="s">
        <v>81</v>
      </c>
      <c r="H195" t="s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81</v>
      </c>
      <c r="BB195" t="s">
        <v>81</v>
      </c>
      <c r="BC195" t="s">
        <v>81</v>
      </c>
      <c r="BD195" t="s">
        <v>81</v>
      </c>
      <c r="BE195" t="s">
        <v>81</v>
      </c>
      <c r="BF195" t="s">
        <v>81</v>
      </c>
      <c r="BG195" t="s">
        <v>81</v>
      </c>
      <c r="BH195" t="s">
        <v>81</v>
      </c>
    </row>
    <row r="196" spans="1:60" x14ac:dyDescent="0.35">
      <c r="A196" t="s">
        <v>250</v>
      </c>
      <c r="B196" t="s">
        <v>461</v>
      </c>
      <c r="C196" t="s">
        <v>473</v>
      </c>
      <c r="D196" t="s">
        <v>474</v>
      </c>
      <c r="E196">
        <v>214</v>
      </c>
      <c r="F196" t="s">
        <v>81</v>
      </c>
      <c r="G196" t="s">
        <v>81</v>
      </c>
      <c r="H196" t="s">
        <v>81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 t="s">
        <v>81</v>
      </c>
      <c r="BB196" t="s">
        <v>81</v>
      </c>
      <c r="BC196" t="s">
        <v>81</v>
      </c>
      <c r="BD196" t="s">
        <v>81</v>
      </c>
      <c r="BE196" t="s">
        <v>81</v>
      </c>
      <c r="BF196" t="s">
        <v>81</v>
      </c>
      <c r="BG196" t="s">
        <v>81</v>
      </c>
      <c r="BH196" t="s">
        <v>81</v>
      </c>
    </row>
    <row r="197" spans="1:60" x14ac:dyDescent="0.35">
      <c r="A197" t="s">
        <v>250</v>
      </c>
      <c r="B197" t="s">
        <v>461</v>
      </c>
      <c r="C197" t="s">
        <v>475</v>
      </c>
      <c r="D197" t="s">
        <v>476</v>
      </c>
      <c r="E197">
        <v>329</v>
      </c>
      <c r="F197" t="s">
        <v>81</v>
      </c>
      <c r="G197" t="s">
        <v>81</v>
      </c>
      <c r="H197" t="s">
        <v>81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</row>
    <row r="198" spans="1:60" x14ac:dyDescent="0.35">
      <c r="A198" t="s">
        <v>250</v>
      </c>
      <c r="B198" t="s">
        <v>461</v>
      </c>
      <c r="C198" t="s">
        <v>477</v>
      </c>
      <c r="D198" t="s">
        <v>478</v>
      </c>
      <c r="E198">
        <v>395</v>
      </c>
      <c r="F198" t="s">
        <v>81</v>
      </c>
      <c r="G198" t="s">
        <v>81</v>
      </c>
      <c r="H198" t="s">
        <v>81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81</v>
      </c>
      <c r="BB198" t="s">
        <v>81</v>
      </c>
      <c r="BC198" t="s">
        <v>81</v>
      </c>
      <c r="BD198" t="s">
        <v>81</v>
      </c>
      <c r="BE198" t="s">
        <v>81</v>
      </c>
      <c r="BF198" t="s">
        <v>81</v>
      </c>
      <c r="BG198" t="s">
        <v>81</v>
      </c>
      <c r="BH198" t="s">
        <v>81</v>
      </c>
    </row>
    <row r="199" spans="1:60" x14ac:dyDescent="0.35">
      <c r="A199" t="s">
        <v>250</v>
      </c>
      <c r="B199" t="s">
        <v>461</v>
      </c>
      <c r="C199" t="s">
        <v>479</v>
      </c>
      <c r="D199" t="s">
        <v>480</v>
      </c>
      <c r="E199">
        <v>464</v>
      </c>
      <c r="F199" t="s">
        <v>81</v>
      </c>
      <c r="G199" t="s">
        <v>81</v>
      </c>
      <c r="H199" t="s">
        <v>81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 t="s">
        <v>81</v>
      </c>
      <c r="BB199" t="s">
        <v>81</v>
      </c>
      <c r="BC199" t="s">
        <v>81</v>
      </c>
      <c r="BD199" t="s">
        <v>81</v>
      </c>
      <c r="BE199" t="s">
        <v>81</v>
      </c>
      <c r="BF199" t="s">
        <v>81</v>
      </c>
      <c r="BG199" t="s">
        <v>81</v>
      </c>
      <c r="BH199" t="s">
        <v>81</v>
      </c>
    </row>
    <row r="200" spans="1:60" x14ac:dyDescent="0.35">
      <c r="A200" t="s">
        <v>250</v>
      </c>
      <c r="B200" t="s">
        <v>481</v>
      </c>
      <c r="C200" t="s">
        <v>482</v>
      </c>
      <c r="D200" t="s">
        <v>483</v>
      </c>
      <c r="E200">
        <v>2442</v>
      </c>
      <c r="F200">
        <v>2</v>
      </c>
      <c r="G200">
        <v>0.61</v>
      </c>
      <c r="H200">
        <v>0.30499999999999999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8</v>
      </c>
      <c r="BG200">
        <v>0</v>
      </c>
      <c r="BH200">
        <v>0</v>
      </c>
    </row>
    <row r="201" spans="1:60" x14ac:dyDescent="0.35">
      <c r="A201" t="s">
        <v>250</v>
      </c>
      <c r="B201" t="s">
        <v>481</v>
      </c>
      <c r="C201" t="s">
        <v>302</v>
      </c>
      <c r="D201" t="s">
        <v>484</v>
      </c>
      <c r="E201">
        <v>897</v>
      </c>
      <c r="F201" t="s">
        <v>81</v>
      </c>
      <c r="G201" t="s">
        <v>81</v>
      </c>
      <c r="H201" t="s">
        <v>81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3</v>
      </c>
      <c r="BG201">
        <v>783.78</v>
      </c>
      <c r="BH201">
        <v>0</v>
      </c>
    </row>
    <row r="202" spans="1:60" x14ac:dyDescent="0.35">
      <c r="A202" t="s">
        <v>250</v>
      </c>
      <c r="B202" t="s">
        <v>481</v>
      </c>
      <c r="C202" t="s">
        <v>485</v>
      </c>
      <c r="D202" t="s">
        <v>486</v>
      </c>
      <c r="E202">
        <v>7536</v>
      </c>
      <c r="F202" t="s">
        <v>81</v>
      </c>
      <c r="G202" t="s">
        <v>81</v>
      </c>
      <c r="H202" t="s">
        <v>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10</v>
      </c>
      <c r="BG202">
        <v>40.119999999999997</v>
      </c>
      <c r="BH202">
        <v>0</v>
      </c>
    </row>
    <row r="203" spans="1:60" x14ac:dyDescent="0.35">
      <c r="A203" t="s">
        <v>250</v>
      </c>
      <c r="B203" t="s">
        <v>481</v>
      </c>
      <c r="C203" t="s">
        <v>487</v>
      </c>
      <c r="D203" t="s">
        <v>488</v>
      </c>
      <c r="E203">
        <v>481</v>
      </c>
      <c r="F203" t="s">
        <v>81</v>
      </c>
      <c r="G203" t="s">
        <v>81</v>
      </c>
      <c r="H203" t="s">
        <v>81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 t="s">
        <v>81</v>
      </c>
      <c r="BB203" t="s">
        <v>81</v>
      </c>
      <c r="BC203" t="s">
        <v>81</v>
      </c>
      <c r="BD203" t="s">
        <v>81</v>
      </c>
      <c r="BE203" t="s">
        <v>81</v>
      </c>
      <c r="BF203" t="s">
        <v>81</v>
      </c>
      <c r="BG203" t="s">
        <v>81</v>
      </c>
      <c r="BH203" t="s">
        <v>81</v>
      </c>
    </row>
    <row r="204" spans="1:60" x14ac:dyDescent="0.35">
      <c r="A204" t="s">
        <v>250</v>
      </c>
      <c r="B204" t="s">
        <v>481</v>
      </c>
      <c r="C204" t="s">
        <v>489</v>
      </c>
      <c r="D204" t="s">
        <v>490</v>
      </c>
      <c r="E204">
        <v>1030</v>
      </c>
      <c r="F204" t="s">
        <v>81</v>
      </c>
      <c r="G204" t="s">
        <v>81</v>
      </c>
      <c r="H204" t="s">
        <v>81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2</v>
      </c>
      <c r="BG204">
        <v>0</v>
      </c>
      <c r="BH204">
        <v>0</v>
      </c>
    </row>
    <row r="205" spans="1:60" x14ac:dyDescent="0.35">
      <c r="A205" t="s">
        <v>250</v>
      </c>
      <c r="B205" t="s">
        <v>481</v>
      </c>
      <c r="C205" t="s">
        <v>491</v>
      </c>
      <c r="D205" t="s">
        <v>492</v>
      </c>
      <c r="E205">
        <v>465</v>
      </c>
      <c r="F205" t="s">
        <v>81</v>
      </c>
      <c r="G205" t="s">
        <v>81</v>
      </c>
      <c r="H205" t="s">
        <v>81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 t="s">
        <v>81</v>
      </c>
      <c r="BB205" t="s">
        <v>81</v>
      </c>
      <c r="BC205" t="s">
        <v>81</v>
      </c>
      <c r="BD205" t="s">
        <v>81</v>
      </c>
      <c r="BE205" t="s">
        <v>81</v>
      </c>
      <c r="BF205" t="s">
        <v>81</v>
      </c>
      <c r="BG205" t="s">
        <v>81</v>
      </c>
      <c r="BH205" t="s">
        <v>81</v>
      </c>
    </row>
    <row r="206" spans="1:60" x14ac:dyDescent="0.35">
      <c r="A206" t="s">
        <v>250</v>
      </c>
      <c r="B206" t="s">
        <v>481</v>
      </c>
      <c r="C206" t="s">
        <v>493</v>
      </c>
      <c r="D206" t="s">
        <v>494</v>
      </c>
      <c r="E206">
        <v>588</v>
      </c>
      <c r="F206" t="s">
        <v>81</v>
      </c>
      <c r="G206" t="s">
        <v>81</v>
      </c>
      <c r="H206" t="s">
        <v>81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 t="s">
        <v>81</v>
      </c>
      <c r="BB206" t="s">
        <v>81</v>
      </c>
      <c r="BC206" t="s">
        <v>81</v>
      </c>
      <c r="BD206" t="s">
        <v>81</v>
      </c>
      <c r="BE206" t="s">
        <v>81</v>
      </c>
      <c r="BF206" t="s">
        <v>81</v>
      </c>
      <c r="BG206" t="s">
        <v>81</v>
      </c>
      <c r="BH206" t="s">
        <v>81</v>
      </c>
    </row>
    <row r="207" spans="1:60" x14ac:dyDescent="0.35">
      <c r="A207" t="s">
        <v>250</v>
      </c>
      <c r="B207" t="s">
        <v>481</v>
      </c>
      <c r="C207" t="s">
        <v>481</v>
      </c>
      <c r="D207" t="s">
        <v>495</v>
      </c>
      <c r="E207">
        <v>2407</v>
      </c>
      <c r="F207">
        <v>1</v>
      </c>
      <c r="G207">
        <v>0.29568</v>
      </c>
      <c r="H207">
        <v>0.29568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3</v>
      </c>
      <c r="BG207">
        <v>0</v>
      </c>
      <c r="BH207">
        <v>0</v>
      </c>
    </row>
    <row r="208" spans="1:60" x14ac:dyDescent="0.35">
      <c r="A208" t="s">
        <v>250</v>
      </c>
      <c r="B208" t="s">
        <v>481</v>
      </c>
      <c r="C208" t="s">
        <v>496</v>
      </c>
      <c r="D208" t="s">
        <v>497</v>
      </c>
      <c r="E208">
        <v>2902</v>
      </c>
      <c r="F208">
        <v>1</v>
      </c>
      <c r="G208">
        <v>2.3592</v>
      </c>
      <c r="H208">
        <v>2.3592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3</v>
      </c>
      <c r="BG208">
        <v>0</v>
      </c>
      <c r="BH208">
        <v>0</v>
      </c>
    </row>
    <row r="209" spans="1:60" x14ac:dyDescent="0.35">
      <c r="A209" t="s">
        <v>250</v>
      </c>
      <c r="B209" t="s">
        <v>481</v>
      </c>
      <c r="C209" t="s">
        <v>498</v>
      </c>
      <c r="D209" t="s">
        <v>499</v>
      </c>
      <c r="E209">
        <v>1110</v>
      </c>
      <c r="F209" t="s">
        <v>81</v>
      </c>
      <c r="G209" t="s">
        <v>81</v>
      </c>
      <c r="H209" t="s">
        <v>81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24783.75</v>
      </c>
      <c r="BC209">
        <v>24783.75</v>
      </c>
      <c r="BD209">
        <v>0</v>
      </c>
      <c r="BE209">
        <v>0</v>
      </c>
      <c r="BF209">
        <v>2</v>
      </c>
      <c r="BG209">
        <v>0</v>
      </c>
      <c r="BH209">
        <v>0</v>
      </c>
    </row>
    <row r="210" spans="1:60" x14ac:dyDescent="0.35">
      <c r="A210" t="s">
        <v>250</v>
      </c>
      <c r="B210" t="s">
        <v>481</v>
      </c>
      <c r="C210" t="s">
        <v>500</v>
      </c>
      <c r="D210" t="s">
        <v>501</v>
      </c>
      <c r="E210">
        <v>2592</v>
      </c>
      <c r="F210">
        <v>2</v>
      </c>
      <c r="G210">
        <v>0.64600000000000002</v>
      </c>
      <c r="H210">
        <v>0.32300000000000001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0</v>
      </c>
    </row>
    <row r="211" spans="1:60" x14ac:dyDescent="0.35">
      <c r="A211" t="s">
        <v>250</v>
      </c>
      <c r="B211" t="s">
        <v>502</v>
      </c>
      <c r="C211" t="s">
        <v>502</v>
      </c>
      <c r="D211" t="s">
        <v>503</v>
      </c>
      <c r="E211">
        <v>14648</v>
      </c>
      <c r="F211">
        <v>13</v>
      </c>
      <c r="G211">
        <v>11.74695</v>
      </c>
      <c r="H211">
        <v>0.90361139999999995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2681.65</v>
      </c>
      <c r="AB211">
        <v>0</v>
      </c>
      <c r="AC211">
        <v>0</v>
      </c>
      <c r="AD211">
        <v>0</v>
      </c>
      <c r="AE211">
        <v>0</v>
      </c>
      <c r="AF211">
        <v>2681.65</v>
      </c>
      <c r="AG211">
        <v>803.53</v>
      </c>
      <c r="AH211">
        <v>0</v>
      </c>
      <c r="AI211">
        <v>0</v>
      </c>
      <c r="AJ211">
        <v>0</v>
      </c>
      <c r="AK211">
        <v>0</v>
      </c>
      <c r="AL211">
        <v>803.53</v>
      </c>
      <c r="AM211">
        <v>340.79</v>
      </c>
      <c r="AN211">
        <v>0</v>
      </c>
      <c r="AO211">
        <v>0</v>
      </c>
      <c r="AP211">
        <v>0</v>
      </c>
      <c r="AQ211">
        <v>0</v>
      </c>
      <c r="AR211">
        <v>340.79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3825.97</v>
      </c>
      <c r="AZ211">
        <v>0</v>
      </c>
      <c r="BA211">
        <v>1</v>
      </c>
      <c r="BB211">
        <v>3269.3330000000001</v>
      </c>
      <c r="BC211">
        <v>3269.3330000000001</v>
      </c>
      <c r="BD211">
        <v>0</v>
      </c>
      <c r="BE211">
        <v>0</v>
      </c>
      <c r="BF211">
        <v>38</v>
      </c>
      <c r="BG211">
        <v>453.95263199999999</v>
      </c>
      <c r="BH211">
        <v>167.46100000000001</v>
      </c>
    </row>
    <row r="212" spans="1:60" x14ac:dyDescent="0.35">
      <c r="A212" t="s">
        <v>250</v>
      </c>
      <c r="B212" t="s">
        <v>502</v>
      </c>
      <c r="C212" t="s">
        <v>504</v>
      </c>
      <c r="D212" t="s">
        <v>505</v>
      </c>
      <c r="E212">
        <v>2801</v>
      </c>
      <c r="F212" t="s">
        <v>81</v>
      </c>
      <c r="G212" t="s">
        <v>81</v>
      </c>
      <c r="H212" t="s">
        <v>81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1</v>
      </c>
      <c r="BB212">
        <v>38344.182000000001</v>
      </c>
      <c r="BC212">
        <v>38344.182000000001</v>
      </c>
      <c r="BD212">
        <v>0</v>
      </c>
      <c r="BE212">
        <v>0</v>
      </c>
      <c r="BF212">
        <v>1</v>
      </c>
      <c r="BG212">
        <v>0</v>
      </c>
      <c r="BH212">
        <v>0</v>
      </c>
    </row>
    <row r="213" spans="1:60" x14ac:dyDescent="0.35">
      <c r="A213" t="s">
        <v>250</v>
      </c>
      <c r="B213" t="s">
        <v>502</v>
      </c>
      <c r="C213" t="s">
        <v>506</v>
      </c>
      <c r="D213" t="s">
        <v>507</v>
      </c>
      <c r="E213">
        <v>6056</v>
      </c>
      <c r="F213" t="s">
        <v>81</v>
      </c>
      <c r="G213" t="s">
        <v>81</v>
      </c>
      <c r="H213" t="s">
        <v>81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</v>
      </c>
      <c r="BG213">
        <v>0</v>
      </c>
      <c r="BH213">
        <v>0</v>
      </c>
    </row>
    <row r="214" spans="1:60" x14ac:dyDescent="0.35">
      <c r="A214" t="s">
        <v>250</v>
      </c>
      <c r="B214" t="s">
        <v>502</v>
      </c>
      <c r="C214" t="s">
        <v>508</v>
      </c>
      <c r="D214" t="s">
        <v>509</v>
      </c>
      <c r="E214">
        <v>2212</v>
      </c>
      <c r="F214" t="s">
        <v>81</v>
      </c>
      <c r="G214" t="s">
        <v>81</v>
      </c>
      <c r="H214" t="s">
        <v>81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2</v>
      </c>
      <c r="BG214">
        <v>0</v>
      </c>
      <c r="BH214">
        <v>0</v>
      </c>
    </row>
    <row r="215" spans="1:60" x14ac:dyDescent="0.35">
      <c r="A215" t="s">
        <v>250</v>
      </c>
      <c r="B215" t="s">
        <v>510</v>
      </c>
      <c r="C215" t="s">
        <v>510</v>
      </c>
      <c r="D215" t="s">
        <v>511</v>
      </c>
      <c r="E215">
        <v>4189</v>
      </c>
      <c r="F215">
        <v>11</v>
      </c>
      <c r="G215">
        <v>17.89461</v>
      </c>
      <c r="H215">
        <v>1.6267830000000001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8664.49</v>
      </c>
      <c r="AB215">
        <v>0</v>
      </c>
      <c r="AC215">
        <v>0</v>
      </c>
      <c r="AD215">
        <v>0</v>
      </c>
      <c r="AE215">
        <v>0</v>
      </c>
      <c r="AF215">
        <v>8664.49</v>
      </c>
      <c r="AG215">
        <v>3802.86</v>
      </c>
      <c r="AH215">
        <v>0</v>
      </c>
      <c r="AI215">
        <v>0</v>
      </c>
      <c r="AJ215">
        <v>0</v>
      </c>
      <c r="AK215">
        <v>0</v>
      </c>
      <c r="AL215">
        <v>3802.86</v>
      </c>
      <c r="AM215">
        <v>1433.43</v>
      </c>
      <c r="AN215">
        <v>0</v>
      </c>
      <c r="AO215">
        <v>0</v>
      </c>
      <c r="AP215">
        <v>0</v>
      </c>
      <c r="AQ215">
        <v>0</v>
      </c>
      <c r="AR215">
        <v>1433.43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13900.78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23</v>
      </c>
      <c r="BG215">
        <v>182.36956499999999</v>
      </c>
      <c r="BH215">
        <v>0</v>
      </c>
    </row>
    <row r="216" spans="1:60" x14ac:dyDescent="0.35">
      <c r="A216" t="s">
        <v>250</v>
      </c>
      <c r="B216" t="s">
        <v>510</v>
      </c>
      <c r="C216" t="s">
        <v>512</v>
      </c>
      <c r="D216" t="s">
        <v>513</v>
      </c>
      <c r="E216">
        <v>3887</v>
      </c>
      <c r="F216">
        <v>6</v>
      </c>
      <c r="G216">
        <v>9.3148959999999992</v>
      </c>
      <c r="H216">
        <v>1.5524830000000001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48992.25</v>
      </c>
      <c r="BC216">
        <v>48992.25</v>
      </c>
      <c r="BD216">
        <v>0</v>
      </c>
      <c r="BE216">
        <v>0</v>
      </c>
      <c r="BF216">
        <v>54</v>
      </c>
      <c r="BG216">
        <v>2874.986296</v>
      </c>
      <c r="BH216">
        <v>0</v>
      </c>
    </row>
    <row r="217" spans="1:60" x14ac:dyDescent="0.35">
      <c r="A217" t="s">
        <v>250</v>
      </c>
      <c r="B217" t="s">
        <v>510</v>
      </c>
      <c r="C217" t="s">
        <v>514</v>
      </c>
      <c r="D217" t="s">
        <v>515</v>
      </c>
      <c r="E217">
        <v>329</v>
      </c>
      <c r="F217" t="s">
        <v>81</v>
      </c>
      <c r="G217" t="s">
        <v>81</v>
      </c>
      <c r="H217" t="s">
        <v>81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 t="s">
        <v>81</v>
      </c>
      <c r="BB217" t="s">
        <v>81</v>
      </c>
      <c r="BC217" t="s">
        <v>81</v>
      </c>
      <c r="BD217" t="s">
        <v>81</v>
      </c>
      <c r="BE217" t="s">
        <v>81</v>
      </c>
      <c r="BF217" t="s">
        <v>81</v>
      </c>
      <c r="BG217" t="s">
        <v>81</v>
      </c>
      <c r="BH217" t="s">
        <v>81</v>
      </c>
    </row>
    <row r="218" spans="1:60" x14ac:dyDescent="0.35">
      <c r="A218" t="s">
        <v>250</v>
      </c>
      <c r="B218" t="s">
        <v>510</v>
      </c>
      <c r="C218" t="s">
        <v>516</v>
      </c>
      <c r="D218" t="s">
        <v>517</v>
      </c>
      <c r="E218">
        <v>443</v>
      </c>
      <c r="F218" t="s">
        <v>81</v>
      </c>
      <c r="G218" t="s">
        <v>81</v>
      </c>
      <c r="H218" t="s">
        <v>81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 t="s">
        <v>81</v>
      </c>
      <c r="BB218" t="s">
        <v>81</v>
      </c>
      <c r="BC218" t="s">
        <v>81</v>
      </c>
      <c r="BD218" t="s">
        <v>81</v>
      </c>
      <c r="BE218" t="s">
        <v>81</v>
      </c>
      <c r="BF218" t="s">
        <v>81</v>
      </c>
      <c r="BG218" t="s">
        <v>81</v>
      </c>
      <c r="BH218" t="s">
        <v>81</v>
      </c>
    </row>
    <row r="219" spans="1:60" x14ac:dyDescent="0.35">
      <c r="A219" t="s">
        <v>250</v>
      </c>
      <c r="B219" t="s">
        <v>510</v>
      </c>
      <c r="C219" t="s">
        <v>518</v>
      </c>
      <c r="D219" t="s">
        <v>519</v>
      </c>
      <c r="E219">
        <v>698</v>
      </c>
      <c r="F219" t="s">
        <v>81</v>
      </c>
      <c r="G219" t="s">
        <v>81</v>
      </c>
      <c r="H219" t="s">
        <v>81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2</v>
      </c>
      <c r="BG219">
        <v>0</v>
      </c>
      <c r="BH219">
        <v>0</v>
      </c>
    </row>
    <row r="220" spans="1:60" x14ac:dyDescent="0.35">
      <c r="A220" t="s">
        <v>250</v>
      </c>
      <c r="B220" t="s">
        <v>510</v>
      </c>
      <c r="C220" t="s">
        <v>520</v>
      </c>
      <c r="D220" t="s">
        <v>521</v>
      </c>
      <c r="E220">
        <v>2206</v>
      </c>
      <c r="F220" t="s">
        <v>81</v>
      </c>
      <c r="G220" t="s">
        <v>81</v>
      </c>
      <c r="H220" t="s">
        <v>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 t="s">
        <v>81</v>
      </c>
      <c r="BB220" t="s">
        <v>81</v>
      </c>
      <c r="BC220" t="s">
        <v>81</v>
      </c>
      <c r="BD220" t="s">
        <v>81</v>
      </c>
      <c r="BE220" t="s">
        <v>81</v>
      </c>
      <c r="BF220" t="s">
        <v>81</v>
      </c>
      <c r="BG220" t="s">
        <v>81</v>
      </c>
      <c r="BH220" t="s">
        <v>81</v>
      </c>
    </row>
    <row r="221" spans="1:60" x14ac:dyDescent="0.35">
      <c r="A221" t="s">
        <v>250</v>
      </c>
      <c r="B221" t="s">
        <v>510</v>
      </c>
      <c r="C221" t="s">
        <v>522</v>
      </c>
      <c r="D221" t="s">
        <v>523</v>
      </c>
      <c r="E221">
        <v>670</v>
      </c>
      <c r="F221" t="s">
        <v>81</v>
      </c>
      <c r="G221" t="s">
        <v>81</v>
      </c>
      <c r="H221" t="s">
        <v>81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5</v>
      </c>
      <c r="BG221">
        <v>2067.2600000000002</v>
      </c>
      <c r="BH221">
        <v>0</v>
      </c>
    </row>
    <row r="222" spans="1:60" x14ac:dyDescent="0.35">
      <c r="A222" t="s">
        <v>250</v>
      </c>
      <c r="B222" t="s">
        <v>510</v>
      </c>
      <c r="C222" t="s">
        <v>524</v>
      </c>
      <c r="D222" t="s">
        <v>525</v>
      </c>
      <c r="E222">
        <v>1806</v>
      </c>
      <c r="F222" t="s">
        <v>81</v>
      </c>
      <c r="G222" t="s">
        <v>81</v>
      </c>
      <c r="H222" t="s">
        <v>81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1890</v>
      </c>
      <c r="BH222">
        <v>0</v>
      </c>
    </row>
    <row r="223" spans="1:60" x14ac:dyDescent="0.35">
      <c r="A223" t="s">
        <v>250</v>
      </c>
      <c r="B223" t="s">
        <v>510</v>
      </c>
      <c r="C223" t="s">
        <v>526</v>
      </c>
      <c r="D223" t="s">
        <v>527</v>
      </c>
      <c r="E223">
        <v>389</v>
      </c>
      <c r="F223" t="s">
        <v>81</v>
      </c>
      <c r="G223" t="s">
        <v>81</v>
      </c>
      <c r="H223" t="s">
        <v>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 t="s">
        <v>81</v>
      </c>
      <c r="BB223" t="s">
        <v>81</v>
      </c>
      <c r="BC223" t="s">
        <v>81</v>
      </c>
      <c r="BD223" t="s">
        <v>81</v>
      </c>
      <c r="BE223" t="s">
        <v>81</v>
      </c>
      <c r="BF223" t="s">
        <v>81</v>
      </c>
      <c r="BG223" t="s">
        <v>81</v>
      </c>
      <c r="BH223" t="s">
        <v>81</v>
      </c>
    </row>
    <row r="224" spans="1:60" x14ac:dyDescent="0.35">
      <c r="A224" t="s">
        <v>250</v>
      </c>
      <c r="B224" t="s">
        <v>510</v>
      </c>
      <c r="C224" t="s">
        <v>528</v>
      </c>
      <c r="D224" t="s">
        <v>529</v>
      </c>
      <c r="E224">
        <v>2775</v>
      </c>
      <c r="F224">
        <v>1</v>
      </c>
      <c r="G224">
        <v>0.95249799999999996</v>
      </c>
      <c r="H224">
        <v>0.95249799999999996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12</v>
      </c>
      <c r="BG224">
        <v>6220.2841669999998</v>
      </c>
      <c r="BH224">
        <v>548.25400000000002</v>
      </c>
    </row>
    <row r="225" spans="1:60" x14ac:dyDescent="0.35">
      <c r="A225" t="s">
        <v>250</v>
      </c>
      <c r="B225" t="s">
        <v>530</v>
      </c>
      <c r="C225" t="s">
        <v>531</v>
      </c>
      <c r="D225" t="s">
        <v>532</v>
      </c>
      <c r="E225">
        <v>215165</v>
      </c>
      <c r="F225">
        <v>1430</v>
      </c>
      <c r="G225">
        <v>1178.3140000000001</v>
      </c>
      <c r="H225">
        <v>0.82399549999999999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30844.09</v>
      </c>
      <c r="P225">
        <v>0</v>
      </c>
      <c r="Q225">
        <v>0</v>
      </c>
      <c r="R225">
        <v>0</v>
      </c>
      <c r="S225">
        <v>0</v>
      </c>
      <c r="T225">
        <v>30844.09</v>
      </c>
      <c r="U225">
        <v>87163.34</v>
      </c>
      <c r="V225">
        <v>86.5</v>
      </c>
      <c r="W225">
        <v>2343.2199999999998</v>
      </c>
      <c r="X225">
        <v>0</v>
      </c>
      <c r="Y225">
        <v>0</v>
      </c>
      <c r="Z225">
        <v>89593.06</v>
      </c>
      <c r="AA225">
        <v>548197.05000000005</v>
      </c>
      <c r="AB225">
        <v>28039.5</v>
      </c>
      <c r="AC225">
        <v>117583.2</v>
      </c>
      <c r="AD225">
        <v>0</v>
      </c>
      <c r="AE225">
        <v>0</v>
      </c>
      <c r="AF225">
        <v>693819.75</v>
      </c>
      <c r="AG225">
        <v>58520.34</v>
      </c>
      <c r="AH225">
        <v>6564.65</v>
      </c>
      <c r="AI225">
        <v>22217.62</v>
      </c>
      <c r="AJ225">
        <v>0</v>
      </c>
      <c r="AK225">
        <v>0</v>
      </c>
      <c r="AL225">
        <v>87302.61</v>
      </c>
      <c r="AM225">
        <v>701107.11</v>
      </c>
      <c r="AN225">
        <v>78870.3</v>
      </c>
      <c r="AO225">
        <v>32140.63</v>
      </c>
      <c r="AP225">
        <v>0</v>
      </c>
      <c r="AQ225">
        <v>0</v>
      </c>
      <c r="AR225">
        <v>812118.04</v>
      </c>
      <c r="AS225">
        <v>167970.69</v>
      </c>
      <c r="AT225">
        <v>0</v>
      </c>
      <c r="AU225">
        <v>2399.6999999999998</v>
      </c>
      <c r="AV225">
        <v>0</v>
      </c>
      <c r="AW225">
        <v>0</v>
      </c>
      <c r="AX225">
        <v>170370.39</v>
      </c>
      <c r="AY225">
        <v>1884047.94</v>
      </c>
      <c r="AZ225">
        <v>1</v>
      </c>
      <c r="BA225">
        <v>244</v>
      </c>
      <c r="BB225">
        <v>37009.574999999997</v>
      </c>
      <c r="BC225">
        <v>9030336.2349999994</v>
      </c>
      <c r="BD225">
        <v>10580.350451</v>
      </c>
      <c r="BE225">
        <v>2462.6489999999999</v>
      </c>
      <c r="BF225">
        <v>1493</v>
      </c>
      <c r="BG225">
        <v>10449.819431</v>
      </c>
      <c r="BH225">
        <v>2605.8560000000002</v>
      </c>
    </row>
    <row r="226" spans="1:60" x14ac:dyDescent="0.35">
      <c r="A226" t="s">
        <v>250</v>
      </c>
      <c r="B226" t="s">
        <v>530</v>
      </c>
      <c r="C226" t="s">
        <v>533</v>
      </c>
      <c r="D226" t="s">
        <v>534</v>
      </c>
      <c r="E226">
        <v>4629</v>
      </c>
      <c r="F226">
        <v>1</v>
      </c>
      <c r="G226">
        <v>0.36</v>
      </c>
      <c r="H226">
        <v>0.36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11</v>
      </c>
      <c r="BG226">
        <v>5611.5454550000004</v>
      </c>
      <c r="BH226">
        <v>0</v>
      </c>
    </row>
    <row r="227" spans="1:60" x14ac:dyDescent="0.35">
      <c r="A227" t="s">
        <v>250</v>
      </c>
      <c r="B227" t="s">
        <v>530</v>
      </c>
      <c r="C227" t="s">
        <v>535</v>
      </c>
      <c r="D227" t="s">
        <v>536</v>
      </c>
      <c r="E227">
        <v>17762</v>
      </c>
      <c r="F227">
        <v>21</v>
      </c>
      <c r="G227">
        <v>13.903980000000001</v>
      </c>
      <c r="H227">
        <v>0.66209419999999997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6</v>
      </c>
      <c r="BB227">
        <v>64656.917000000001</v>
      </c>
      <c r="BC227">
        <v>387941.49900000001</v>
      </c>
      <c r="BD227">
        <v>0.33333299999999999</v>
      </c>
      <c r="BE227">
        <v>0</v>
      </c>
      <c r="BF227">
        <v>43</v>
      </c>
      <c r="BG227">
        <v>15277.174186</v>
      </c>
      <c r="BH227">
        <v>0</v>
      </c>
    </row>
    <row r="228" spans="1:60" x14ac:dyDescent="0.35">
      <c r="A228" t="s">
        <v>250</v>
      </c>
      <c r="B228" t="s">
        <v>530</v>
      </c>
      <c r="C228" t="s">
        <v>537</v>
      </c>
      <c r="D228" t="s">
        <v>538</v>
      </c>
      <c r="E228">
        <v>3029</v>
      </c>
      <c r="F228">
        <v>1</v>
      </c>
      <c r="G228">
        <v>4.589448</v>
      </c>
      <c r="H228">
        <v>4.589448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3</v>
      </c>
      <c r="BG228">
        <v>0</v>
      </c>
      <c r="BH228">
        <v>10285.977000000001</v>
      </c>
    </row>
    <row r="229" spans="1:60" x14ac:dyDescent="0.35">
      <c r="A229" t="s">
        <v>250</v>
      </c>
      <c r="B229" t="s">
        <v>530</v>
      </c>
      <c r="C229" t="s">
        <v>539</v>
      </c>
      <c r="D229" t="s">
        <v>540</v>
      </c>
      <c r="E229">
        <v>8841</v>
      </c>
      <c r="F229">
        <v>37</v>
      </c>
      <c r="G229">
        <v>28.662459999999999</v>
      </c>
      <c r="H229">
        <v>0.77466120000000005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0.08</v>
      </c>
      <c r="AI229">
        <v>0</v>
      </c>
      <c r="AJ229">
        <v>0</v>
      </c>
      <c r="AK229">
        <v>0</v>
      </c>
      <c r="AL229">
        <v>0.08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0.08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27</v>
      </c>
      <c r="BG229">
        <v>4466.1337039999999</v>
      </c>
      <c r="BH229">
        <v>0</v>
      </c>
    </row>
    <row r="230" spans="1:60" x14ac:dyDescent="0.35">
      <c r="A230" t="s">
        <v>250</v>
      </c>
      <c r="B230" t="s">
        <v>530</v>
      </c>
      <c r="C230" t="s">
        <v>541</v>
      </c>
      <c r="D230" t="s">
        <v>542</v>
      </c>
      <c r="E230">
        <v>14888</v>
      </c>
      <c r="F230">
        <v>24</v>
      </c>
      <c r="G230">
        <v>18.292999999999999</v>
      </c>
      <c r="H230">
        <v>0.76220829999999995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14645.27</v>
      </c>
      <c r="AB230">
        <v>0</v>
      </c>
      <c r="AC230">
        <v>0</v>
      </c>
      <c r="AD230">
        <v>0</v>
      </c>
      <c r="AE230">
        <v>0</v>
      </c>
      <c r="AF230">
        <v>14645.27</v>
      </c>
      <c r="AG230">
        <v>4609.5200000000004</v>
      </c>
      <c r="AH230">
        <v>0</v>
      </c>
      <c r="AI230">
        <v>0</v>
      </c>
      <c r="AJ230">
        <v>0</v>
      </c>
      <c r="AK230">
        <v>0</v>
      </c>
      <c r="AL230">
        <v>4609.5200000000004</v>
      </c>
      <c r="AM230">
        <v>1001.18</v>
      </c>
      <c r="AN230">
        <v>0</v>
      </c>
      <c r="AO230">
        <v>0</v>
      </c>
      <c r="AP230">
        <v>0</v>
      </c>
      <c r="AQ230">
        <v>0</v>
      </c>
      <c r="AR230">
        <v>1001.18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20255.97</v>
      </c>
      <c r="AZ230">
        <v>0</v>
      </c>
      <c r="BA230">
        <v>5</v>
      </c>
      <c r="BB230">
        <v>51294.9</v>
      </c>
      <c r="BC230">
        <v>256474.5</v>
      </c>
      <c r="BD230">
        <v>0</v>
      </c>
      <c r="BE230">
        <v>0</v>
      </c>
      <c r="BF230">
        <v>28</v>
      </c>
      <c r="BG230">
        <v>7533.3360709999997</v>
      </c>
      <c r="BH230">
        <v>55.231000000000002</v>
      </c>
    </row>
    <row r="231" spans="1:60" x14ac:dyDescent="0.35">
      <c r="A231" t="s">
        <v>250</v>
      </c>
      <c r="B231" t="s">
        <v>530</v>
      </c>
      <c r="C231" t="s">
        <v>543</v>
      </c>
      <c r="D231" t="s">
        <v>544</v>
      </c>
      <c r="E231">
        <v>5452</v>
      </c>
      <c r="F231">
        <v>4</v>
      </c>
      <c r="G231">
        <v>3.0680830000000001</v>
      </c>
      <c r="H231">
        <v>0.76702079999999995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</v>
      </c>
      <c r="BB231">
        <v>11613.5</v>
      </c>
      <c r="BC231">
        <v>11613.5</v>
      </c>
      <c r="BD231">
        <v>0</v>
      </c>
      <c r="BE231">
        <v>0</v>
      </c>
      <c r="BF231">
        <v>19</v>
      </c>
      <c r="BG231">
        <v>9407.3436839999995</v>
      </c>
      <c r="BH231">
        <v>742.49</v>
      </c>
    </row>
    <row r="232" spans="1:60" x14ac:dyDescent="0.35">
      <c r="A232" t="s">
        <v>250</v>
      </c>
      <c r="B232" t="s">
        <v>530</v>
      </c>
      <c r="C232" t="s">
        <v>530</v>
      </c>
      <c r="D232" t="s">
        <v>545</v>
      </c>
      <c r="E232">
        <v>23802</v>
      </c>
      <c r="F232">
        <v>77</v>
      </c>
      <c r="G232">
        <v>55.940069999999999</v>
      </c>
      <c r="H232">
        <v>0.72649439999999998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32714.98</v>
      </c>
      <c r="AB232">
        <v>0</v>
      </c>
      <c r="AC232">
        <v>0</v>
      </c>
      <c r="AD232">
        <v>0</v>
      </c>
      <c r="AE232">
        <v>0</v>
      </c>
      <c r="AF232">
        <v>32714.98</v>
      </c>
      <c r="AG232">
        <v>13743.23</v>
      </c>
      <c r="AH232">
        <v>0</v>
      </c>
      <c r="AI232">
        <v>0</v>
      </c>
      <c r="AJ232">
        <v>0</v>
      </c>
      <c r="AK232">
        <v>0</v>
      </c>
      <c r="AL232">
        <v>13743.23</v>
      </c>
      <c r="AM232">
        <v>2491.86</v>
      </c>
      <c r="AN232">
        <v>0</v>
      </c>
      <c r="AO232">
        <v>0</v>
      </c>
      <c r="AP232">
        <v>0</v>
      </c>
      <c r="AQ232">
        <v>0</v>
      </c>
      <c r="AR232">
        <v>2491.86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48950.07</v>
      </c>
      <c r="AZ232">
        <v>1</v>
      </c>
      <c r="BA232">
        <v>10</v>
      </c>
      <c r="BB232">
        <v>41946.3</v>
      </c>
      <c r="BC232">
        <v>419463.00099999999</v>
      </c>
      <c r="BD232">
        <v>7806.8029999999999</v>
      </c>
      <c r="BE232">
        <v>4436.3869999999997</v>
      </c>
      <c r="BF232">
        <v>119</v>
      </c>
      <c r="BG232">
        <v>1764.7434450000001</v>
      </c>
      <c r="BH232">
        <v>101.907</v>
      </c>
    </row>
    <row r="233" spans="1:60" x14ac:dyDescent="0.35">
      <c r="A233" t="s">
        <v>250</v>
      </c>
      <c r="B233" t="s">
        <v>530</v>
      </c>
      <c r="C233" t="s">
        <v>546</v>
      </c>
      <c r="D233" t="s">
        <v>547</v>
      </c>
      <c r="E233">
        <v>197392</v>
      </c>
      <c r="F233">
        <v>423</v>
      </c>
      <c r="G233">
        <v>329.74430000000001</v>
      </c>
      <c r="H233">
        <v>0.77953740000000005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83.28</v>
      </c>
      <c r="P233">
        <v>0</v>
      </c>
      <c r="Q233">
        <v>0</v>
      </c>
      <c r="R233">
        <v>0</v>
      </c>
      <c r="S233">
        <v>0</v>
      </c>
      <c r="T233">
        <v>83.28</v>
      </c>
      <c r="U233">
        <v>11523.64</v>
      </c>
      <c r="V233">
        <v>0</v>
      </c>
      <c r="W233">
        <v>0</v>
      </c>
      <c r="X233">
        <v>0</v>
      </c>
      <c r="Y233">
        <v>0</v>
      </c>
      <c r="Z233">
        <v>11523.64</v>
      </c>
      <c r="AA233">
        <v>81684.289999999994</v>
      </c>
      <c r="AB233">
        <v>4.1500000000000004</v>
      </c>
      <c r="AC233">
        <v>8399.5400000000009</v>
      </c>
      <c r="AD233">
        <v>0</v>
      </c>
      <c r="AE233">
        <v>0</v>
      </c>
      <c r="AF233">
        <v>90087.98</v>
      </c>
      <c r="AG233">
        <v>39901.269999999997</v>
      </c>
      <c r="AH233">
        <v>23.13</v>
      </c>
      <c r="AI233">
        <v>2862.47</v>
      </c>
      <c r="AJ233">
        <v>0</v>
      </c>
      <c r="AK233">
        <v>0</v>
      </c>
      <c r="AL233">
        <v>42786.87</v>
      </c>
      <c r="AM233">
        <v>78346.240000000005</v>
      </c>
      <c r="AN233">
        <v>2816.82</v>
      </c>
      <c r="AO233">
        <v>5850.03</v>
      </c>
      <c r="AP233">
        <v>1251.49</v>
      </c>
      <c r="AQ233">
        <v>0</v>
      </c>
      <c r="AR233">
        <v>88264.58</v>
      </c>
      <c r="AS233">
        <v>34335.43</v>
      </c>
      <c r="AT233">
        <v>0</v>
      </c>
      <c r="AU233">
        <v>0</v>
      </c>
      <c r="AV233">
        <v>0</v>
      </c>
      <c r="AW233">
        <v>0</v>
      </c>
      <c r="AX233">
        <v>34335.43</v>
      </c>
      <c r="AY233">
        <v>267081.78000000003</v>
      </c>
      <c r="AZ233">
        <v>1</v>
      </c>
      <c r="BA233">
        <v>192</v>
      </c>
      <c r="BB233">
        <v>41835.608999999997</v>
      </c>
      <c r="BC233">
        <v>8032436.9249999998</v>
      </c>
      <c r="BD233">
        <v>8037.7672920000005</v>
      </c>
      <c r="BE233">
        <v>2381.1660000000002</v>
      </c>
      <c r="BF233">
        <v>776</v>
      </c>
      <c r="BG233">
        <v>7385.5705539999999</v>
      </c>
      <c r="BH233">
        <v>618.76</v>
      </c>
    </row>
    <row r="234" spans="1:60" x14ac:dyDescent="0.35">
      <c r="A234" t="s">
        <v>250</v>
      </c>
      <c r="B234" t="s">
        <v>548</v>
      </c>
      <c r="C234" t="s">
        <v>548</v>
      </c>
      <c r="D234" t="s">
        <v>549</v>
      </c>
      <c r="E234">
        <v>5744</v>
      </c>
      <c r="F234">
        <v>7</v>
      </c>
      <c r="G234">
        <v>7.6497900000000003</v>
      </c>
      <c r="H234">
        <v>1.092827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11443.49</v>
      </c>
      <c r="AB234">
        <v>0</v>
      </c>
      <c r="AC234">
        <v>0</v>
      </c>
      <c r="AD234">
        <v>0</v>
      </c>
      <c r="AE234">
        <v>0</v>
      </c>
      <c r="AF234">
        <v>11443.49</v>
      </c>
      <c r="AG234">
        <v>2598.23</v>
      </c>
      <c r="AH234">
        <v>0</v>
      </c>
      <c r="AI234">
        <v>0</v>
      </c>
      <c r="AJ234">
        <v>0</v>
      </c>
      <c r="AK234">
        <v>0</v>
      </c>
      <c r="AL234">
        <v>2598.23</v>
      </c>
      <c r="AM234">
        <v>645.27</v>
      </c>
      <c r="AN234">
        <v>0</v>
      </c>
      <c r="AO234">
        <v>0</v>
      </c>
      <c r="AP234">
        <v>0</v>
      </c>
      <c r="AQ234">
        <v>0</v>
      </c>
      <c r="AR234">
        <v>645.27</v>
      </c>
      <c r="AS234">
        <v>79.72</v>
      </c>
      <c r="AT234">
        <v>0</v>
      </c>
      <c r="AU234">
        <v>0</v>
      </c>
      <c r="AV234">
        <v>0</v>
      </c>
      <c r="AW234">
        <v>0</v>
      </c>
      <c r="AX234">
        <v>79.72</v>
      </c>
      <c r="AY234">
        <v>14766.71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53</v>
      </c>
      <c r="BG234">
        <v>0</v>
      </c>
      <c r="BH234">
        <v>34.247999999999998</v>
      </c>
    </row>
    <row r="235" spans="1:60" x14ac:dyDescent="0.35">
      <c r="A235" t="s">
        <v>250</v>
      </c>
      <c r="B235" t="s">
        <v>548</v>
      </c>
      <c r="C235" t="s">
        <v>550</v>
      </c>
      <c r="D235" t="s">
        <v>551</v>
      </c>
      <c r="E235">
        <v>1487</v>
      </c>
      <c r="F235">
        <v>1</v>
      </c>
      <c r="G235">
        <v>0.43</v>
      </c>
      <c r="H235">
        <v>0.43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 t="s">
        <v>81</v>
      </c>
      <c r="BB235" t="s">
        <v>81</v>
      </c>
      <c r="BC235" t="s">
        <v>81</v>
      </c>
      <c r="BD235" t="s">
        <v>81</v>
      </c>
      <c r="BE235" t="s">
        <v>81</v>
      </c>
      <c r="BF235" t="s">
        <v>81</v>
      </c>
      <c r="BG235" t="s">
        <v>81</v>
      </c>
      <c r="BH235" t="s">
        <v>81</v>
      </c>
    </row>
    <row r="236" spans="1:60" x14ac:dyDescent="0.35">
      <c r="A236" t="s">
        <v>250</v>
      </c>
      <c r="B236" t="s">
        <v>548</v>
      </c>
      <c r="C236" t="s">
        <v>552</v>
      </c>
      <c r="D236" t="s">
        <v>553</v>
      </c>
      <c r="E236">
        <v>418</v>
      </c>
      <c r="F236" t="s">
        <v>81</v>
      </c>
      <c r="G236" t="s">
        <v>81</v>
      </c>
      <c r="H236" t="s">
        <v>81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1</v>
      </c>
      <c r="BG236">
        <v>0</v>
      </c>
      <c r="BH236">
        <v>0</v>
      </c>
    </row>
    <row r="237" spans="1:60" x14ac:dyDescent="0.35">
      <c r="A237" t="s">
        <v>250</v>
      </c>
      <c r="B237" t="s">
        <v>548</v>
      </c>
      <c r="C237" t="s">
        <v>554</v>
      </c>
      <c r="D237" t="s">
        <v>555</v>
      </c>
      <c r="E237">
        <v>2795</v>
      </c>
      <c r="F237" t="s">
        <v>81</v>
      </c>
      <c r="G237" t="s">
        <v>81</v>
      </c>
      <c r="H237" t="s">
        <v>81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</v>
      </c>
      <c r="BG237">
        <v>24474.55</v>
      </c>
      <c r="BH237">
        <v>0</v>
      </c>
    </row>
    <row r="238" spans="1:60" x14ac:dyDescent="0.35">
      <c r="A238" t="s">
        <v>250</v>
      </c>
      <c r="B238" t="s">
        <v>548</v>
      </c>
      <c r="C238" t="s">
        <v>556</v>
      </c>
      <c r="D238" t="s">
        <v>557</v>
      </c>
      <c r="E238">
        <v>818</v>
      </c>
      <c r="F238" t="s">
        <v>81</v>
      </c>
      <c r="G238" t="s">
        <v>81</v>
      </c>
      <c r="H238" t="s">
        <v>81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2</v>
      </c>
      <c r="BG238">
        <v>0</v>
      </c>
      <c r="BH238">
        <v>0</v>
      </c>
    </row>
    <row r="239" spans="1:60" x14ac:dyDescent="0.35">
      <c r="A239" t="s">
        <v>250</v>
      </c>
      <c r="B239" t="s">
        <v>548</v>
      </c>
      <c r="C239" t="s">
        <v>558</v>
      </c>
      <c r="D239" t="s">
        <v>559</v>
      </c>
      <c r="E239">
        <v>3409</v>
      </c>
      <c r="F239" t="s">
        <v>81</v>
      </c>
      <c r="G239" t="s">
        <v>81</v>
      </c>
      <c r="H239" t="s">
        <v>81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</row>
    <row r="240" spans="1:60" x14ac:dyDescent="0.35">
      <c r="A240" t="s">
        <v>250</v>
      </c>
      <c r="B240" t="s">
        <v>548</v>
      </c>
      <c r="C240" t="s">
        <v>560</v>
      </c>
      <c r="D240" t="s">
        <v>561</v>
      </c>
      <c r="E240">
        <v>2202</v>
      </c>
      <c r="F240" t="s">
        <v>81</v>
      </c>
      <c r="G240" t="s">
        <v>81</v>
      </c>
      <c r="H240" t="s">
        <v>81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1</v>
      </c>
      <c r="BG240">
        <v>0</v>
      </c>
      <c r="BH240">
        <v>0</v>
      </c>
    </row>
    <row r="241" spans="1:60" x14ac:dyDescent="0.35">
      <c r="A241" t="s">
        <v>250</v>
      </c>
      <c r="B241" t="s">
        <v>548</v>
      </c>
      <c r="C241" t="s">
        <v>562</v>
      </c>
      <c r="D241" t="s">
        <v>563</v>
      </c>
      <c r="E241">
        <v>2209</v>
      </c>
      <c r="F241" t="s">
        <v>81</v>
      </c>
      <c r="G241" t="s">
        <v>81</v>
      </c>
      <c r="H241" t="s">
        <v>81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79561.5</v>
      </c>
      <c r="BC241">
        <v>79561.5</v>
      </c>
      <c r="BD241">
        <v>0</v>
      </c>
      <c r="BE241">
        <v>0</v>
      </c>
      <c r="BF241">
        <v>0</v>
      </c>
      <c r="BG241">
        <v>0</v>
      </c>
      <c r="BH241">
        <v>0</v>
      </c>
    </row>
    <row r="242" spans="1:60" x14ac:dyDescent="0.35">
      <c r="A242" t="s">
        <v>250</v>
      </c>
      <c r="B242" t="s">
        <v>548</v>
      </c>
      <c r="C242" t="s">
        <v>564</v>
      </c>
      <c r="D242" t="s">
        <v>565</v>
      </c>
      <c r="E242">
        <v>6981</v>
      </c>
      <c r="F242" t="s">
        <v>81</v>
      </c>
      <c r="G242" t="s">
        <v>81</v>
      </c>
      <c r="H242" t="s">
        <v>81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4</v>
      </c>
      <c r="BG242">
        <v>0</v>
      </c>
      <c r="BH242">
        <v>0</v>
      </c>
    </row>
    <row r="243" spans="1:60" x14ac:dyDescent="0.35">
      <c r="A243" t="s">
        <v>250</v>
      </c>
      <c r="B243" t="s">
        <v>548</v>
      </c>
      <c r="C243" t="s">
        <v>566</v>
      </c>
      <c r="D243" t="s">
        <v>567</v>
      </c>
      <c r="E243">
        <v>1337</v>
      </c>
      <c r="F243" t="s">
        <v>81</v>
      </c>
      <c r="G243" t="s">
        <v>81</v>
      </c>
      <c r="H243" t="s">
        <v>81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 t="s">
        <v>81</v>
      </c>
      <c r="BB243" t="s">
        <v>81</v>
      </c>
      <c r="BC243" t="s">
        <v>81</v>
      </c>
      <c r="BD243" t="s">
        <v>81</v>
      </c>
      <c r="BE243" t="s">
        <v>81</v>
      </c>
      <c r="BF243" t="s">
        <v>81</v>
      </c>
      <c r="BG243" t="s">
        <v>81</v>
      </c>
      <c r="BH243" t="s">
        <v>81</v>
      </c>
    </row>
    <row r="244" spans="1:60" x14ac:dyDescent="0.35">
      <c r="A244" t="s">
        <v>250</v>
      </c>
      <c r="B244" t="s">
        <v>568</v>
      </c>
      <c r="C244" t="s">
        <v>568</v>
      </c>
      <c r="D244" t="s">
        <v>569</v>
      </c>
      <c r="E244">
        <v>22963</v>
      </c>
      <c r="F244">
        <v>37</v>
      </c>
      <c r="G244">
        <v>31.67558</v>
      </c>
      <c r="H244">
        <v>0.85609659999999999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28266.36</v>
      </c>
      <c r="AB244">
        <v>0</v>
      </c>
      <c r="AC244">
        <v>0</v>
      </c>
      <c r="AD244">
        <v>0</v>
      </c>
      <c r="AE244">
        <v>0</v>
      </c>
      <c r="AF244">
        <v>28266.36</v>
      </c>
      <c r="AG244">
        <v>5847.53</v>
      </c>
      <c r="AH244">
        <v>0</v>
      </c>
      <c r="AI244">
        <v>0</v>
      </c>
      <c r="AJ244">
        <v>0</v>
      </c>
      <c r="AK244">
        <v>0</v>
      </c>
      <c r="AL244">
        <v>5847.53</v>
      </c>
      <c r="AM244">
        <v>1462.94</v>
      </c>
      <c r="AN244">
        <v>0</v>
      </c>
      <c r="AO244">
        <v>0</v>
      </c>
      <c r="AP244">
        <v>0</v>
      </c>
      <c r="AQ244">
        <v>0</v>
      </c>
      <c r="AR244">
        <v>1462.94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35576.83</v>
      </c>
      <c r="AZ244">
        <v>0</v>
      </c>
      <c r="BA244">
        <v>1</v>
      </c>
      <c r="BB244">
        <v>28851.599999999999</v>
      </c>
      <c r="BC244">
        <v>28851.599999999999</v>
      </c>
      <c r="BD244">
        <v>0</v>
      </c>
      <c r="BE244">
        <v>0</v>
      </c>
      <c r="BF244">
        <v>147</v>
      </c>
      <c r="BG244">
        <v>2827.8626530000001</v>
      </c>
      <c r="BH244">
        <v>0</v>
      </c>
    </row>
    <row r="245" spans="1:60" x14ac:dyDescent="0.35">
      <c r="A245" t="s">
        <v>250</v>
      </c>
      <c r="B245" t="s">
        <v>568</v>
      </c>
      <c r="C245" t="s">
        <v>570</v>
      </c>
      <c r="D245" t="s">
        <v>571</v>
      </c>
      <c r="E245">
        <v>1583</v>
      </c>
      <c r="F245" t="s">
        <v>81</v>
      </c>
      <c r="G245" t="s">
        <v>81</v>
      </c>
      <c r="H245" t="s">
        <v>81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 t="s">
        <v>81</v>
      </c>
      <c r="BB245" t="s">
        <v>81</v>
      </c>
      <c r="BC245" t="s">
        <v>81</v>
      </c>
      <c r="BD245" t="s">
        <v>81</v>
      </c>
      <c r="BE245" t="s">
        <v>81</v>
      </c>
      <c r="BF245" t="s">
        <v>81</v>
      </c>
      <c r="BG245" t="s">
        <v>81</v>
      </c>
      <c r="BH245" t="s">
        <v>81</v>
      </c>
    </row>
    <row r="246" spans="1:60" x14ac:dyDescent="0.35">
      <c r="A246" t="s">
        <v>250</v>
      </c>
      <c r="B246" t="s">
        <v>568</v>
      </c>
      <c r="C246" t="s">
        <v>572</v>
      </c>
      <c r="D246" t="s">
        <v>573</v>
      </c>
      <c r="E246">
        <v>6742</v>
      </c>
      <c r="F246">
        <v>5</v>
      </c>
      <c r="G246">
        <v>6.4221300000000001</v>
      </c>
      <c r="H246">
        <v>1.2844260000000001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40583</v>
      </c>
      <c r="BC246">
        <v>40583</v>
      </c>
      <c r="BD246">
        <v>0</v>
      </c>
      <c r="BE246">
        <v>0</v>
      </c>
      <c r="BF246">
        <v>25</v>
      </c>
      <c r="BG246">
        <v>988.89400000000001</v>
      </c>
      <c r="BH246">
        <v>1706.9159999999999</v>
      </c>
    </row>
    <row r="247" spans="1:60" x14ac:dyDescent="0.35">
      <c r="A247" t="s">
        <v>250</v>
      </c>
      <c r="B247" t="s">
        <v>568</v>
      </c>
      <c r="C247" t="s">
        <v>574</v>
      </c>
      <c r="D247" t="s">
        <v>575</v>
      </c>
      <c r="E247">
        <v>1552</v>
      </c>
      <c r="F247" t="s">
        <v>81</v>
      </c>
      <c r="G247" t="s">
        <v>81</v>
      </c>
      <c r="H247" t="s">
        <v>81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</row>
    <row r="248" spans="1:60" x14ac:dyDescent="0.35">
      <c r="A248" t="s">
        <v>250</v>
      </c>
      <c r="B248" t="s">
        <v>568</v>
      </c>
      <c r="C248" t="s">
        <v>576</v>
      </c>
      <c r="D248" t="s">
        <v>577</v>
      </c>
      <c r="E248">
        <v>13392</v>
      </c>
      <c r="F248">
        <v>3</v>
      </c>
      <c r="G248">
        <v>0.82</v>
      </c>
      <c r="H248">
        <v>0.2733333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12</v>
      </c>
      <c r="BG248">
        <v>0</v>
      </c>
      <c r="BH248">
        <v>0</v>
      </c>
    </row>
    <row r="249" spans="1:60" x14ac:dyDescent="0.35">
      <c r="A249" t="s">
        <v>250</v>
      </c>
      <c r="B249" t="s">
        <v>568</v>
      </c>
      <c r="C249" t="s">
        <v>578</v>
      </c>
      <c r="D249" t="s">
        <v>579</v>
      </c>
      <c r="E249">
        <v>2990</v>
      </c>
      <c r="F249">
        <v>3</v>
      </c>
      <c r="G249">
        <v>0.99333800000000005</v>
      </c>
      <c r="H249">
        <v>0.33111269999999998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3100.8330000000001</v>
      </c>
      <c r="BC249">
        <v>3100.8330000000001</v>
      </c>
      <c r="BD249">
        <v>0</v>
      </c>
      <c r="BE249">
        <v>0</v>
      </c>
      <c r="BF249">
        <v>12</v>
      </c>
      <c r="BG249">
        <v>0</v>
      </c>
      <c r="BH249">
        <v>1642.1579999999999</v>
      </c>
    </row>
    <row r="250" spans="1:60" x14ac:dyDescent="0.35">
      <c r="A250" t="s">
        <v>250</v>
      </c>
      <c r="B250" t="s">
        <v>568</v>
      </c>
      <c r="C250" t="s">
        <v>580</v>
      </c>
      <c r="D250" t="s">
        <v>581</v>
      </c>
      <c r="E250">
        <v>1782</v>
      </c>
      <c r="F250" t="s">
        <v>81</v>
      </c>
      <c r="G250" t="s">
        <v>81</v>
      </c>
      <c r="H250" t="s">
        <v>81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</v>
      </c>
      <c r="BG250">
        <v>0</v>
      </c>
      <c r="BH250">
        <v>0</v>
      </c>
    </row>
    <row r="251" spans="1:60" x14ac:dyDescent="0.35">
      <c r="A251" t="s">
        <v>250</v>
      </c>
      <c r="B251" t="s">
        <v>568</v>
      </c>
      <c r="C251" t="s">
        <v>582</v>
      </c>
      <c r="D251" t="s">
        <v>583</v>
      </c>
      <c r="E251">
        <v>4881</v>
      </c>
      <c r="F251" t="s">
        <v>81</v>
      </c>
      <c r="G251" t="s">
        <v>81</v>
      </c>
      <c r="H251" t="s">
        <v>81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10</v>
      </c>
      <c r="BG251">
        <v>0</v>
      </c>
      <c r="BH251">
        <v>0</v>
      </c>
    </row>
    <row r="252" spans="1:60" x14ac:dyDescent="0.35">
      <c r="A252" t="s">
        <v>584</v>
      </c>
      <c r="B252" t="s">
        <v>585</v>
      </c>
      <c r="C252" t="s">
        <v>585</v>
      </c>
      <c r="D252" t="s">
        <v>586</v>
      </c>
      <c r="E252">
        <v>80120</v>
      </c>
      <c r="F252">
        <v>336</v>
      </c>
      <c r="G252">
        <v>252.72</v>
      </c>
      <c r="H252">
        <v>0.75214300000000001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1.36</v>
      </c>
      <c r="P252">
        <v>0</v>
      </c>
      <c r="Q252">
        <v>0</v>
      </c>
      <c r="R252">
        <v>0</v>
      </c>
      <c r="S252">
        <v>0</v>
      </c>
      <c r="T252">
        <v>1.36</v>
      </c>
      <c r="U252">
        <v>8371.82</v>
      </c>
      <c r="V252">
        <v>0</v>
      </c>
      <c r="W252">
        <v>1199.75</v>
      </c>
      <c r="X252">
        <v>0</v>
      </c>
      <c r="Y252">
        <v>0</v>
      </c>
      <c r="Z252">
        <v>9571.57</v>
      </c>
      <c r="AA252">
        <v>140078.07</v>
      </c>
      <c r="AB252">
        <v>12076.03</v>
      </c>
      <c r="AC252">
        <v>222176.87</v>
      </c>
      <c r="AD252">
        <v>2910.32</v>
      </c>
      <c r="AE252">
        <v>0</v>
      </c>
      <c r="AF252">
        <v>377241.29</v>
      </c>
      <c r="AG252">
        <v>8972.94</v>
      </c>
      <c r="AH252">
        <v>1934.49</v>
      </c>
      <c r="AI252">
        <v>27831.91</v>
      </c>
      <c r="AJ252">
        <v>882.17</v>
      </c>
      <c r="AK252">
        <v>0</v>
      </c>
      <c r="AL252">
        <v>39621.51</v>
      </c>
      <c r="AM252">
        <v>109779.73</v>
      </c>
      <c r="AN252">
        <v>5284.88</v>
      </c>
      <c r="AO252">
        <v>150011.88</v>
      </c>
      <c r="AP252">
        <v>640.85</v>
      </c>
      <c r="AQ252">
        <v>0</v>
      </c>
      <c r="AR252">
        <v>265717.34000000003</v>
      </c>
      <c r="AS252">
        <v>25868.86</v>
      </c>
      <c r="AT252">
        <v>0</v>
      </c>
      <c r="AU252">
        <v>8688.32</v>
      </c>
      <c r="AV252">
        <v>0</v>
      </c>
      <c r="AW252">
        <v>0</v>
      </c>
      <c r="AX252">
        <v>34557.18</v>
      </c>
      <c r="AY252">
        <v>726710.25</v>
      </c>
      <c r="AZ252">
        <v>0</v>
      </c>
      <c r="BA252">
        <v>95</v>
      </c>
      <c r="BB252">
        <v>54915.142</v>
      </c>
      <c r="BC252">
        <v>5216938.49</v>
      </c>
      <c r="BD252">
        <v>2674.1577889999999</v>
      </c>
      <c r="BE252">
        <v>1328.7750000000001</v>
      </c>
      <c r="BF252">
        <v>1211</v>
      </c>
      <c r="BG252">
        <v>3133.2582910000001</v>
      </c>
      <c r="BH252">
        <v>353.04399999999998</v>
      </c>
    </row>
    <row r="253" spans="1:60" x14ac:dyDescent="0.35">
      <c r="A253" t="s">
        <v>584</v>
      </c>
      <c r="B253" t="s">
        <v>585</v>
      </c>
      <c r="C253" t="s">
        <v>587</v>
      </c>
      <c r="D253" t="s">
        <v>588</v>
      </c>
      <c r="E253">
        <v>1460</v>
      </c>
      <c r="F253">
        <v>1</v>
      </c>
      <c r="G253">
        <v>0.43</v>
      </c>
      <c r="H253">
        <v>0.43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9</v>
      </c>
      <c r="BG253">
        <v>393.16666700000002</v>
      </c>
      <c r="BH253">
        <v>0</v>
      </c>
    </row>
    <row r="254" spans="1:60" x14ac:dyDescent="0.35">
      <c r="A254" t="s">
        <v>584</v>
      </c>
      <c r="B254" t="s">
        <v>585</v>
      </c>
      <c r="C254" t="s">
        <v>589</v>
      </c>
      <c r="D254" t="s">
        <v>590</v>
      </c>
      <c r="E254">
        <v>1742</v>
      </c>
      <c r="F254" t="s">
        <v>81</v>
      </c>
      <c r="G254" t="s">
        <v>81</v>
      </c>
      <c r="H254" t="s">
        <v>81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</v>
      </c>
      <c r="BG254">
        <v>0</v>
      </c>
      <c r="BH254">
        <v>0</v>
      </c>
    </row>
    <row r="255" spans="1:60" x14ac:dyDescent="0.35">
      <c r="A255" t="s">
        <v>584</v>
      </c>
      <c r="B255" t="s">
        <v>585</v>
      </c>
      <c r="C255" t="s">
        <v>591</v>
      </c>
      <c r="D255" t="s">
        <v>592</v>
      </c>
      <c r="E255">
        <v>17061</v>
      </c>
      <c r="F255">
        <v>17</v>
      </c>
      <c r="G255">
        <v>12.872299999999999</v>
      </c>
      <c r="H255">
        <v>0.75719429999999999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2047.33</v>
      </c>
      <c r="AB255">
        <v>0</v>
      </c>
      <c r="AC255">
        <v>23676.53</v>
      </c>
      <c r="AD255">
        <v>0</v>
      </c>
      <c r="AE255">
        <v>0</v>
      </c>
      <c r="AF255">
        <v>25723.86</v>
      </c>
      <c r="AG255">
        <v>260.3</v>
      </c>
      <c r="AH255">
        <v>0</v>
      </c>
      <c r="AI255">
        <v>8274.9699999999993</v>
      </c>
      <c r="AJ255">
        <v>0</v>
      </c>
      <c r="AK255">
        <v>0</v>
      </c>
      <c r="AL255">
        <v>8535.27</v>
      </c>
      <c r="AM255">
        <v>0</v>
      </c>
      <c r="AN255">
        <v>0</v>
      </c>
      <c r="AO255">
        <v>4233.9799999999996</v>
      </c>
      <c r="AP255">
        <v>0</v>
      </c>
      <c r="AQ255">
        <v>0</v>
      </c>
      <c r="AR255">
        <v>4233.9799999999996</v>
      </c>
      <c r="AS255">
        <v>0</v>
      </c>
      <c r="AT255">
        <v>0</v>
      </c>
      <c r="AU255">
        <v>771.44</v>
      </c>
      <c r="AV255">
        <v>0</v>
      </c>
      <c r="AW255">
        <v>0</v>
      </c>
      <c r="AX255">
        <v>771.44</v>
      </c>
      <c r="AY255">
        <v>39264.550000000003</v>
      </c>
      <c r="AZ255">
        <v>0</v>
      </c>
      <c r="BA255">
        <v>1</v>
      </c>
      <c r="BB255">
        <v>15453.916999999999</v>
      </c>
      <c r="BC255">
        <v>15453.916999999999</v>
      </c>
      <c r="BD255">
        <v>0</v>
      </c>
      <c r="BE255">
        <v>0</v>
      </c>
      <c r="BF255">
        <v>85</v>
      </c>
      <c r="BG255">
        <v>6911.0801179999999</v>
      </c>
      <c r="BH255">
        <v>0</v>
      </c>
    </row>
    <row r="256" spans="1:60" x14ac:dyDescent="0.35">
      <c r="A256" t="s">
        <v>584</v>
      </c>
      <c r="B256" t="s">
        <v>585</v>
      </c>
      <c r="C256" t="s">
        <v>593</v>
      </c>
      <c r="D256" t="s">
        <v>594</v>
      </c>
      <c r="E256">
        <v>2315</v>
      </c>
      <c r="F256" t="s">
        <v>81</v>
      </c>
      <c r="G256" t="s">
        <v>81</v>
      </c>
      <c r="H256" t="s">
        <v>81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5</v>
      </c>
      <c r="BG256">
        <v>1406.66</v>
      </c>
      <c r="BH256">
        <v>0</v>
      </c>
    </row>
    <row r="257" spans="1:60" x14ac:dyDescent="0.35">
      <c r="A257" t="s">
        <v>584</v>
      </c>
      <c r="B257" t="s">
        <v>585</v>
      </c>
      <c r="C257" t="s">
        <v>595</v>
      </c>
      <c r="D257" t="s">
        <v>596</v>
      </c>
      <c r="E257">
        <v>2283</v>
      </c>
      <c r="F257" t="s">
        <v>81</v>
      </c>
      <c r="G257" t="s">
        <v>81</v>
      </c>
      <c r="H257" t="s">
        <v>81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8</v>
      </c>
      <c r="BG257">
        <v>39.375</v>
      </c>
      <c r="BH257">
        <v>0</v>
      </c>
    </row>
    <row r="258" spans="1:60" x14ac:dyDescent="0.35">
      <c r="A258" t="s">
        <v>584</v>
      </c>
      <c r="B258" t="s">
        <v>585</v>
      </c>
      <c r="C258" t="s">
        <v>597</v>
      </c>
      <c r="D258" t="s">
        <v>598</v>
      </c>
      <c r="E258">
        <v>2258</v>
      </c>
      <c r="F258">
        <v>1</v>
      </c>
      <c r="G258">
        <v>2.5021</v>
      </c>
      <c r="H258">
        <v>2.5021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2</v>
      </c>
      <c r="BG258">
        <v>0</v>
      </c>
      <c r="BH258">
        <v>0</v>
      </c>
    </row>
    <row r="259" spans="1:60" x14ac:dyDescent="0.35">
      <c r="A259" t="s">
        <v>584</v>
      </c>
      <c r="B259" t="s">
        <v>585</v>
      </c>
      <c r="C259" t="s">
        <v>599</v>
      </c>
      <c r="D259" t="s">
        <v>600</v>
      </c>
      <c r="E259">
        <v>2160</v>
      </c>
      <c r="F259">
        <v>2</v>
      </c>
      <c r="G259">
        <v>0.42799999999999999</v>
      </c>
      <c r="H259">
        <v>0.214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3</v>
      </c>
      <c r="BG259">
        <v>42556.446666999997</v>
      </c>
      <c r="BH259">
        <v>0</v>
      </c>
    </row>
    <row r="260" spans="1:60" x14ac:dyDescent="0.35">
      <c r="A260" t="s">
        <v>584</v>
      </c>
      <c r="B260" t="s">
        <v>585</v>
      </c>
      <c r="C260" t="s">
        <v>601</v>
      </c>
      <c r="D260" t="s">
        <v>602</v>
      </c>
      <c r="E260">
        <v>12602</v>
      </c>
      <c r="F260">
        <v>14</v>
      </c>
      <c r="G260">
        <v>23.525569999999998</v>
      </c>
      <c r="H260">
        <v>1.6803980000000001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2</v>
      </c>
      <c r="BB260">
        <v>86562.584000000003</v>
      </c>
      <c r="BC260">
        <v>173125.16699999999</v>
      </c>
      <c r="BD260">
        <v>0</v>
      </c>
      <c r="BE260">
        <v>0</v>
      </c>
      <c r="BF260">
        <v>92</v>
      </c>
      <c r="BG260">
        <v>3309.6932609999999</v>
      </c>
      <c r="BH260">
        <v>1952.2370000000001</v>
      </c>
    </row>
    <row r="261" spans="1:60" x14ac:dyDescent="0.35">
      <c r="A261" t="s">
        <v>584</v>
      </c>
      <c r="B261" t="s">
        <v>603</v>
      </c>
      <c r="C261" t="s">
        <v>604</v>
      </c>
      <c r="D261" t="s">
        <v>605</v>
      </c>
      <c r="E261">
        <v>49476</v>
      </c>
      <c r="F261">
        <v>336</v>
      </c>
      <c r="G261">
        <v>261.36799999999999</v>
      </c>
      <c r="H261">
        <v>0.77788100000000004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277.81</v>
      </c>
      <c r="P261">
        <v>0</v>
      </c>
      <c r="Q261">
        <v>0</v>
      </c>
      <c r="R261">
        <v>0</v>
      </c>
      <c r="S261">
        <v>0</v>
      </c>
      <c r="T261">
        <v>277.81</v>
      </c>
      <c r="U261">
        <v>11928.34</v>
      </c>
      <c r="V261">
        <v>0</v>
      </c>
      <c r="W261">
        <v>5320.54</v>
      </c>
      <c r="X261">
        <v>0</v>
      </c>
      <c r="Y261">
        <v>0</v>
      </c>
      <c r="Z261">
        <v>17248.88</v>
      </c>
      <c r="AA261">
        <v>153368.76</v>
      </c>
      <c r="AB261">
        <v>37168.980000000003</v>
      </c>
      <c r="AC261">
        <v>251506.33</v>
      </c>
      <c r="AD261">
        <v>13629.62</v>
      </c>
      <c r="AE261">
        <v>0</v>
      </c>
      <c r="AF261">
        <v>455673.69</v>
      </c>
      <c r="AG261">
        <v>7452.82</v>
      </c>
      <c r="AH261">
        <v>6397.63</v>
      </c>
      <c r="AI261">
        <v>44885.59</v>
      </c>
      <c r="AJ261">
        <v>2822.74</v>
      </c>
      <c r="AK261">
        <v>0</v>
      </c>
      <c r="AL261">
        <v>61558.78</v>
      </c>
      <c r="AM261">
        <v>45845.82</v>
      </c>
      <c r="AN261">
        <v>8081.38</v>
      </c>
      <c r="AO261">
        <v>200818.53</v>
      </c>
      <c r="AP261">
        <v>1412.56</v>
      </c>
      <c r="AQ261">
        <v>0</v>
      </c>
      <c r="AR261">
        <v>256158.29</v>
      </c>
      <c r="AS261">
        <v>7780.69</v>
      </c>
      <c r="AT261">
        <v>0</v>
      </c>
      <c r="AU261">
        <v>5259.57</v>
      </c>
      <c r="AV261">
        <v>0</v>
      </c>
      <c r="AW261">
        <v>0</v>
      </c>
      <c r="AX261">
        <v>13040.26</v>
      </c>
      <c r="AY261">
        <v>803957.71</v>
      </c>
      <c r="AZ261">
        <v>0</v>
      </c>
      <c r="BA261">
        <v>9</v>
      </c>
      <c r="BB261">
        <v>22015.059000000001</v>
      </c>
      <c r="BC261">
        <v>198135.53099999999</v>
      </c>
      <c r="BD261">
        <v>9537.2355559999996</v>
      </c>
      <c r="BE261">
        <v>224.774</v>
      </c>
      <c r="BF261">
        <v>949</v>
      </c>
      <c r="BG261">
        <v>753.110095</v>
      </c>
      <c r="BH261">
        <v>83.474999999999994</v>
      </c>
    </row>
    <row r="262" spans="1:60" x14ac:dyDescent="0.35">
      <c r="A262" t="s">
        <v>584</v>
      </c>
      <c r="B262" t="s">
        <v>603</v>
      </c>
      <c r="C262" t="s">
        <v>606</v>
      </c>
      <c r="D262" t="s">
        <v>607</v>
      </c>
      <c r="E262">
        <v>5227</v>
      </c>
      <c r="F262">
        <v>1</v>
      </c>
      <c r="G262">
        <v>0.21</v>
      </c>
      <c r="H262">
        <v>0.21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4</v>
      </c>
      <c r="BG262">
        <v>0</v>
      </c>
      <c r="BH262">
        <v>0</v>
      </c>
    </row>
    <row r="263" spans="1:60" x14ac:dyDescent="0.35">
      <c r="A263" t="s">
        <v>584</v>
      </c>
      <c r="B263" t="s">
        <v>603</v>
      </c>
      <c r="C263" t="s">
        <v>608</v>
      </c>
      <c r="D263" t="s">
        <v>609</v>
      </c>
      <c r="E263">
        <v>1156</v>
      </c>
      <c r="F263">
        <v>1</v>
      </c>
      <c r="G263">
        <v>0.25</v>
      </c>
      <c r="H263">
        <v>0.25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2</v>
      </c>
      <c r="BG263">
        <v>0</v>
      </c>
      <c r="BH263">
        <v>0</v>
      </c>
    </row>
    <row r="264" spans="1:60" x14ac:dyDescent="0.35">
      <c r="A264" t="s">
        <v>584</v>
      </c>
      <c r="B264" t="s">
        <v>603</v>
      </c>
      <c r="C264" t="s">
        <v>610</v>
      </c>
      <c r="D264" t="s">
        <v>611</v>
      </c>
      <c r="E264">
        <v>4408</v>
      </c>
      <c r="F264">
        <v>4</v>
      </c>
      <c r="G264">
        <v>3.1766670000000001</v>
      </c>
      <c r="H264">
        <v>0.7941667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1406.81</v>
      </c>
      <c r="AB264">
        <v>0</v>
      </c>
      <c r="AC264">
        <v>0</v>
      </c>
      <c r="AD264">
        <v>0</v>
      </c>
      <c r="AE264">
        <v>0</v>
      </c>
      <c r="AF264">
        <v>1406.81</v>
      </c>
      <c r="AG264">
        <v>515.53</v>
      </c>
      <c r="AH264">
        <v>0</v>
      </c>
      <c r="AI264">
        <v>0</v>
      </c>
      <c r="AJ264">
        <v>0</v>
      </c>
      <c r="AK264">
        <v>0</v>
      </c>
      <c r="AL264">
        <v>515.53</v>
      </c>
      <c r="AM264">
        <v>1.03</v>
      </c>
      <c r="AN264">
        <v>0</v>
      </c>
      <c r="AO264">
        <v>0</v>
      </c>
      <c r="AP264">
        <v>0</v>
      </c>
      <c r="AQ264">
        <v>0</v>
      </c>
      <c r="AR264">
        <v>1.03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1923.37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13</v>
      </c>
      <c r="BG264">
        <v>0</v>
      </c>
      <c r="BH264">
        <v>0</v>
      </c>
    </row>
    <row r="265" spans="1:60" x14ac:dyDescent="0.35">
      <c r="A265" t="s">
        <v>584</v>
      </c>
      <c r="B265" t="s">
        <v>603</v>
      </c>
      <c r="C265" t="s">
        <v>612</v>
      </c>
      <c r="D265" t="s">
        <v>613</v>
      </c>
      <c r="E265">
        <v>3633</v>
      </c>
      <c r="F265">
        <v>2</v>
      </c>
      <c r="G265">
        <v>2.576743</v>
      </c>
      <c r="H265">
        <v>1.2883709999999999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8</v>
      </c>
      <c r="BG265">
        <v>0</v>
      </c>
      <c r="BH265">
        <v>0</v>
      </c>
    </row>
    <row r="266" spans="1:60" x14ac:dyDescent="0.35">
      <c r="A266" t="s">
        <v>584</v>
      </c>
      <c r="B266" t="s">
        <v>603</v>
      </c>
      <c r="C266" t="s">
        <v>614</v>
      </c>
      <c r="D266" t="s">
        <v>615</v>
      </c>
      <c r="E266">
        <v>677</v>
      </c>
      <c r="F266" t="s">
        <v>81</v>
      </c>
      <c r="G266" t="s">
        <v>81</v>
      </c>
      <c r="H266" t="s">
        <v>81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 t="s">
        <v>81</v>
      </c>
      <c r="BB266" t="s">
        <v>81</v>
      </c>
      <c r="BC266" t="s">
        <v>81</v>
      </c>
      <c r="BD266" t="s">
        <v>81</v>
      </c>
      <c r="BE266" t="s">
        <v>81</v>
      </c>
      <c r="BF266" t="s">
        <v>81</v>
      </c>
      <c r="BG266" t="s">
        <v>81</v>
      </c>
      <c r="BH266" t="s">
        <v>81</v>
      </c>
    </row>
    <row r="267" spans="1:60" x14ac:dyDescent="0.35">
      <c r="A267" t="s">
        <v>584</v>
      </c>
      <c r="B267" t="s">
        <v>603</v>
      </c>
      <c r="C267" t="s">
        <v>616</v>
      </c>
      <c r="D267" t="s">
        <v>617</v>
      </c>
      <c r="E267">
        <v>5395</v>
      </c>
      <c r="F267">
        <v>1</v>
      </c>
      <c r="G267">
        <v>0.469028</v>
      </c>
      <c r="H267">
        <v>0.469028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9</v>
      </c>
      <c r="BG267">
        <v>0</v>
      </c>
      <c r="BH267">
        <v>0</v>
      </c>
    </row>
    <row r="268" spans="1:60" x14ac:dyDescent="0.35">
      <c r="A268" t="s">
        <v>584</v>
      </c>
      <c r="B268" t="s">
        <v>603</v>
      </c>
      <c r="C268" t="s">
        <v>618</v>
      </c>
      <c r="D268" t="s">
        <v>619</v>
      </c>
      <c r="E268">
        <v>2841</v>
      </c>
      <c r="F268" t="s">
        <v>81</v>
      </c>
      <c r="G268" t="s">
        <v>81</v>
      </c>
      <c r="H268" t="s">
        <v>81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3</v>
      </c>
      <c r="BG268">
        <v>0</v>
      </c>
      <c r="BH268">
        <v>0</v>
      </c>
    </row>
    <row r="269" spans="1:60" x14ac:dyDescent="0.35">
      <c r="A269" t="s">
        <v>584</v>
      </c>
      <c r="B269" t="s">
        <v>603</v>
      </c>
      <c r="C269" t="s">
        <v>620</v>
      </c>
      <c r="D269" t="s">
        <v>621</v>
      </c>
      <c r="E269">
        <v>7807</v>
      </c>
      <c r="F269">
        <v>7</v>
      </c>
      <c r="G269">
        <v>4.4278389999999996</v>
      </c>
      <c r="H269">
        <v>0.63254849999999996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16</v>
      </c>
      <c r="BG269">
        <v>0</v>
      </c>
      <c r="BH269">
        <v>0</v>
      </c>
    </row>
    <row r="270" spans="1:60" x14ac:dyDescent="0.35">
      <c r="A270" t="s">
        <v>584</v>
      </c>
      <c r="B270" t="s">
        <v>603</v>
      </c>
      <c r="C270" t="s">
        <v>622</v>
      </c>
      <c r="D270" t="s">
        <v>623</v>
      </c>
      <c r="E270">
        <v>2213</v>
      </c>
      <c r="F270" t="s">
        <v>81</v>
      </c>
      <c r="G270" t="s">
        <v>81</v>
      </c>
      <c r="H270" t="s">
        <v>81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5</v>
      </c>
      <c r="BG270">
        <v>0</v>
      </c>
      <c r="BH270">
        <v>0</v>
      </c>
    </row>
    <row r="271" spans="1:60" x14ac:dyDescent="0.35">
      <c r="A271" t="s">
        <v>584</v>
      </c>
      <c r="B271" t="s">
        <v>603</v>
      </c>
      <c r="C271" t="s">
        <v>624</v>
      </c>
      <c r="D271" t="s">
        <v>625</v>
      </c>
      <c r="E271">
        <v>855</v>
      </c>
      <c r="F271" t="s">
        <v>81</v>
      </c>
      <c r="G271" t="s">
        <v>81</v>
      </c>
      <c r="H271" t="s">
        <v>81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</row>
    <row r="272" spans="1:60" x14ac:dyDescent="0.35">
      <c r="A272" t="s">
        <v>584</v>
      </c>
      <c r="B272" t="s">
        <v>603</v>
      </c>
      <c r="C272" t="s">
        <v>626</v>
      </c>
      <c r="D272" t="s">
        <v>627</v>
      </c>
      <c r="E272">
        <v>2910</v>
      </c>
      <c r="F272" t="s">
        <v>81</v>
      </c>
      <c r="G272" t="s">
        <v>81</v>
      </c>
      <c r="H272" t="s">
        <v>81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3</v>
      </c>
      <c r="BG272">
        <v>0</v>
      </c>
      <c r="BH272">
        <v>0</v>
      </c>
    </row>
    <row r="273" spans="1:60" x14ac:dyDescent="0.35">
      <c r="A273" t="s">
        <v>584</v>
      </c>
      <c r="B273" t="s">
        <v>603</v>
      </c>
      <c r="C273" t="s">
        <v>628</v>
      </c>
      <c r="D273" t="s">
        <v>629</v>
      </c>
      <c r="E273">
        <v>22675</v>
      </c>
      <c r="F273">
        <v>16</v>
      </c>
      <c r="G273">
        <v>21.333220000000001</v>
      </c>
      <c r="H273">
        <v>1.333326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50284.832999999999</v>
      </c>
      <c r="BC273">
        <v>50284.832999999999</v>
      </c>
      <c r="BD273">
        <v>0</v>
      </c>
      <c r="BE273">
        <v>0</v>
      </c>
      <c r="BF273">
        <v>110</v>
      </c>
      <c r="BG273">
        <v>654.22181799999998</v>
      </c>
      <c r="BH273">
        <v>1566.45</v>
      </c>
    </row>
    <row r="274" spans="1:60" x14ac:dyDescent="0.35">
      <c r="A274" t="s">
        <v>584</v>
      </c>
      <c r="B274" t="s">
        <v>603</v>
      </c>
      <c r="C274" t="s">
        <v>630</v>
      </c>
      <c r="D274" t="s">
        <v>631</v>
      </c>
      <c r="E274">
        <v>1570</v>
      </c>
      <c r="F274" t="s">
        <v>81</v>
      </c>
      <c r="G274" t="s">
        <v>81</v>
      </c>
      <c r="H274" t="s">
        <v>81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 t="s">
        <v>81</v>
      </c>
      <c r="BB274" t="s">
        <v>81</v>
      </c>
      <c r="BC274" t="s">
        <v>81</v>
      </c>
      <c r="BD274" t="s">
        <v>81</v>
      </c>
      <c r="BE274" t="s">
        <v>81</v>
      </c>
      <c r="BF274" t="s">
        <v>81</v>
      </c>
      <c r="BG274" t="s">
        <v>81</v>
      </c>
      <c r="BH274" t="s">
        <v>81</v>
      </c>
    </row>
    <row r="275" spans="1:60" x14ac:dyDescent="0.35">
      <c r="A275" t="s">
        <v>584</v>
      </c>
      <c r="B275" t="s">
        <v>603</v>
      </c>
      <c r="C275" t="s">
        <v>632</v>
      </c>
      <c r="D275" t="s">
        <v>633</v>
      </c>
      <c r="E275">
        <v>8206</v>
      </c>
      <c r="F275">
        <v>11</v>
      </c>
      <c r="G275">
        <v>3.8049900000000001</v>
      </c>
      <c r="H275">
        <v>0.3459082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33</v>
      </c>
      <c r="BG275">
        <v>0</v>
      </c>
      <c r="BH275">
        <v>0</v>
      </c>
    </row>
    <row r="276" spans="1:60" x14ac:dyDescent="0.35">
      <c r="A276" t="s">
        <v>584</v>
      </c>
      <c r="B276" t="s">
        <v>603</v>
      </c>
      <c r="C276" t="s">
        <v>634</v>
      </c>
      <c r="D276" t="s">
        <v>635</v>
      </c>
      <c r="E276">
        <v>20923</v>
      </c>
      <c r="F276">
        <v>39</v>
      </c>
      <c r="G276">
        <v>33.714730000000003</v>
      </c>
      <c r="H276">
        <v>0.86448029999999998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17135.84</v>
      </c>
      <c r="AD276">
        <v>0</v>
      </c>
      <c r="AE276">
        <v>0</v>
      </c>
      <c r="AF276">
        <v>17135.84</v>
      </c>
      <c r="AG276">
        <v>0</v>
      </c>
      <c r="AH276">
        <v>0</v>
      </c>
      <c r="AI276">
        <v>3513.74</v>
      </c>
      <c r="AJ276">
        <v>0</v>
      </c>
      <c r="AK276">
        <v>0</v>
      </c>
      <c r="AL276">
        <v>3513.74</v>
      </c>
      <c r="AM276">
        <v>0</v>
      </c>
      <c r="AN276">
        <v>0</v>
      </c>
      <c r="AO276">
        <v>2691.83</v>
      </c>
      <c r="AP276">
        <v>0</v>
      </c>
      <c r="AQ276">
        <v>0</v>
      </c>
      <c r="AR276">
        <v>2691.83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23341.41</v>
      </c>
      <c r="AZ276">
        <v>0</v>
      </c>
      <c r="BA276">
        <v>1</v>
      </c>
      <c r="BB276">
        <v>269069.25</v>
      </c>
      <c r="BC276">
        <v>269069.25</v>
      </c>
      <c r="BD276">
        <v>0</v>
      </c>
      <c r="BE276">
        <v>0</v>
      </c>
      <c r="BF276">
        <v>194</v>
      </c>
      <c r="BG276">
        <v>408.76134000000002</v>
      </c>
      <c r="BH276">
        <v>55.473999999999997</v>
      </c>
    </row>
    <row r="277" spans="1:60" x14ac:dyDescent="0.35">
      <c r="A277" t="s">
        <v>584</v>
      </c>
      <c r="B277" t="s">
        <v>603</v>
      </c>
      <c r="C277" t="s">
        <v>636</v>
      </c>
      <c r="D277" t="s">
        <v>637</v>
      </c>
      <c r="E277">
        <v>1815</v>
      </c>
      <c r="F277" t="s">
        <v>81</v>
      </c>
      <c r="G277" t="s">
        <v>81</v>
      </c>
      <c r="H277" t="s">
        <v>81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2</v>
      </c>
      <c r="BG277">
        <v>0</v>
      </c>
      <c r="BH277">
        <v>0</v>
      </c>
    </row>
    <row r="278" spans="1:60" x14ac:dyDescent="0.35">
      <c r="A278" t="s">
        <v>584</v>
      </c>
      <c r="B278" t="s">
        <v>603</v>
      </c>
      <c r="C278" t="s">
        <v>638</v>
      </c>
      <c r="D278" t="s">
        <v>639</v>
      </c>
      <c r="E278">
        <v>3592</v>
      </c>
      <c r="F278">
        <v>1</v>
      </c>
      <c r="G278">
        <v>0.469028</v>
      </c>
      <c r="H278">
        <v>0.469028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</row>
    <row r="279" spans="1:60" x14ac:dyDescent="0.35">
      <c r="A279" t="s">
        <v>584</v>
      </c>
      <c r="B279" t="s">
        <v>603</v>
      </c>
      <c r="C279" t="s">
        <v>640</v>
      </c>
      <c r="D279" t="s">
        <v>641</v>
      </c>
      <c r="E279">
        <v>1527</v>
      </c>
      <c r="F279">
        <v>1</v>
      </c>
      <c r="G279">
        <v>1.7076370000000001</v>
      </c>
      <c r="H279">
        <v>1.7076370000000001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2</v>
      </c>
      <c r="BG279">
        <v>0</v>
      </c>
      <c r="BH279">
        <v>0</v>
      </c>
    </row>
    <row r="280" spans="1:60" x14ac:dyDescent="0.35">
      <c r="A280" t="s">
        <v>584</v>
      </c>
      <c r="B280" t="s">
        <v>603</v>
      </c>
      <c r="C280" t="s">
        <v>642</v>
      </c>
      <c r="D280" t="s">
        <v>643</v>
      </c>
      <c r="E280">
        <v>5309</v>
      </c>
      <c r="F280">
        <v>1</v>
      </c>
      <c r="G280">
        <v>0.9</v>
      </c>
      <c r="H280">
        <v>0.9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11</v>
      </c>
      <c r="BG280">
        <v>0</v>
      </c>
      <c r="BH280">
        <v>0</v>
      </c>
    </row>
    <row r="281" spans="1:60" x14ac:dyDescent="0.35">
      <c r="A281" t="s">
        <v>584</v>
      </c>
      <c r="B281" t="s">
        <v>644</v>
      </c>
      <c r="C281" t="s">
        <v>644</v>
      </c>
      <c r="D281" t="s">
        <v>645</v>
      </c>
      <c r="E281">
        <v>2609</v>
      </c>
      <c r="F281">
        <v>6</v>
      </c>
      <c r="G281">
        <v>1.954334</v>
      </c>
      <c r="H281">
        <v>0.32572230000000002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9</v>
      </c>
      <c r="BG281">
        <v>49.555556000000003</v>
      </c>
      <c r="BH281">
        <v>51.167000000000002</v>
      </c>
    </row>
    <row r="282" spans="1:60" x14ac:dyDescent="0.35">
      <c r="A282" t="s">
        <v>584</v>
      </c>
      <c r="B282" t="s">
        <v>644</v>
      </c>
      <c r="C282" t="s">
        <v>646</v>
      </c>
      <c r="D282" t="s">
        <v>647</v>
      </c>
      <c r="E282">
        <v>614</v>
      </c>
      <c r="F282" t="s">
        <v>81</v>
      </c>
      <c r="G282" t="s">
        <v>81</v>
      </c>
      <c r="H282" t="s">
        <v>81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 t="s">
        <v>81</v>
      </c>
      <c r="BB282" t="s">
        <v>81</v>
      </c>
      <c r="BC282" t="s">
        <v>81</v>
      </c>
      <c r="BD282" t="s">
        <v>81</v>
      </c>
      <c r="BE282" t="s">
        <v>81</v>
      </c>
      <c r="BF282" t="s">
        <v>81</v>
      </c>
      <c r="BG282" t="s">
        <v>81</v>
      </c>
      <c r="BH282" t="s">
        <v>81</v>
      </c>
    </row>
    <row r="283" spans="1:60" x14ac:dyDescent="0.35">
      <c r="A283" t="s">
        <v>584</v>
      </c>
      <c r="B283" t="s">
        <v>644</v>
      </c>
      <c r="C283" t="s">
        <v>648</v>
      </c>
      <c r="D283" t="s">
        <v>649</v>
      </c>
      <c r="E283">
        <v>2125</v>
      </c>
      <c r="F283">
        <v>2</v>
      </c>
      <c r="G283">
        <v>3.417999</v>
      </c>
      <c r="H283">
        <v>1.7089989999999999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2</v>
      </c>
      <c r="BG283">
        <v>0</v>
      </c>
      <c r="BH283">
        <v>0</v>
      </c>
    </row>
    <row r="284" spans="1:60" x14ac:dyDescent="0.35">
      <c r="A284" t="s">
        <v>584</v>
      </c>
      <c r="B284" t="s">
        <v>644</v>
      </c>
      <c r="C284" t="s">
        <v>650</v>
      </c>
      <c r="D284" t="s">
        <v>651</v>
      </c>
      <c r="E284">
        <v>1573</v>
      </c>
      <c r="F284">
        <v>2</v>
      </c>
      <c r="G284">
        <v>3.564279</v>
      </c>
      <c r="H284">
        <v>1.7821400000000001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3</v>
      </c>
      <c r="BG284">
        <v>0</v>
      </c>
      <c r="BH284">
        <v>0</v>
      </c>
    </row>
    <row r="285" spans="1:60" x14ac:dyDescent="0.35">
      <c r="A285" t="s">
        <v>584</v>
      </c>
      <c r="B285" t="s">
        <v>644</v>
      </c>
      <c r="C285" t="s">
        <v>652</v>
      </c>
      <c r="D285" t="s">
        <v>653</v>
      </c>
      <c r="E285">
        <v>2137</v>
      </c>
      <c r="F285">
        <v>1</v>
      </c>
      <c r="G285">
        <v>1.75</v>
      </c>
      <c r="H285">
        <v>1.75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7</v>
      </c>
      <c r="BG285">
        <v>1606.5714290000001</v>
      </c>
      <c r="BH285">
        <v>0</v>
      </c>
    </row>
    <row r="286" spans="1:60" x14ac:dyDescent="0.35">
      <c r="A286" t="s">
        <v>584</v>
      </c>
      <c r="B286" t="s">
        <v>644</v>
      </c>
      <c r="C286" t="s">
        <v>654</v>
      </c>
      <c r="D286" t="s">
        <v>655</v>
      </c>
      <c r="E286">
        <v>990</v>
      </c>
      <c r="F286" t="s">
        <v>81</v>
      </c>
      <c r="G286" t="s">
        <v>81</v>
      </c>
      <c r="H286" t="s">
        <v>81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4</v>
      </c>
      <c r="BG286">
        <v>0</v>
      </c>
      <c r="BH286">
        <v>0</v>
      </c>
    </row>
    <row r="287" spans="1:60" x14ac:dyDescent="0.35">
      <c r="A287" t="s">
        <v>584</v>
      </c>
      <c r="B287" t="s">
        <v>644</v>
      </c>
      <c r="C287" t="s">
        <v>656</v>
      </c>
      <c r="D287" t="s">
        <v>657</v>
      </c>
      <c r="E287">
        <v>937</v>
      </c>
      <c r="F287" t="s">
        <v>81</v>
      </c>
      <c r="G287" t="s">
        <v>81</v>
      </c>
      <c r="H287" t="s">
        <v>81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81</v>
      </c>
      <c r="BB287" t="s">
        <v>81</v>
      </c>
      <c r="BC287" t="s">
        <v>81</v>
      </c>
      <c r="BD287" t="s">
        <v>81</v>
      </c>
      <c r="BE287" t="s">
        <v>81</v>
      </c>
      <c r="BF287" t="s">
        <v>81</v>
      </c>
      <c r="BG287" t="s">
        <v>81</v>
      </c>
      <c r="BH287" t="s">
        <v>81</v>
      </c>
    </row>
    <row r="288" spans="1:60" x14ac:dyDescent="0.35">
      <c r="A288" t="s">
        <v>584</v>
      </c>
      <c r="B288" t="s">
        <v>658</v>
      </c>
      <c r="C288" t="s">
        <v>659</v>
      </c>
      <c r="D288" t="s">
        <v>660</v>
      </c>
      <c r="E288">
        <v>5214</v>
      </c>
      <c r="F288">
        <v>12</v>
      </c>
      <c r="G288">
        <v>14.482760000000001</v>
      </c>
      <c r="H288">
        <v>1.2068970000000001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14364.2</v>
      </c>
      <c r="AD288">
        <v>0</v>
      </c>
      <c r="AE288">
        <v>0</v>
      </c>
      <c r="AF288">
        <v>14364.2</v>
      </c>
      <c r="AG288">
        <v>0</v>
      </c>
      <c r="AH288">
        <v>0</v>
      </c>
      <c r="AI288">
        <v>2922.43</v>
      </c>
      <c r="AJ288">
        <v>0</v>
      </c>
      <c r="AK288">
        <v>0</v>
      </c>
      <c r="AL288">
        <v>2922.43</v>
      </c>
      <c r="AM288">
        <v>0</v>
      </c>
      <c r="AN288">
        <v>0</v>
      </c>
      <c r="AO288">
        <v>9515.35</v>
      </c>
      <c r="AP288">
        <v>0</v>
      </c>
      <c r="AQ288">
        <v>0</v>
      </c>
      <c r="AR288">
        <v>9515.35</v>
      </c>
      <c r="AS288">
        <v>0</v>
      </c>
      <c r="AT288">
        <v>0</v>
      </c>
      <c r="AU288">
        <v>109.12</v>
      </c>
      <c r="AV288">
        <v>0</v>
      </c>
      <c r="AW288">
        <v>0</v>
      </c>
      <c r="AX288">
        <v>109.12</v>
      </c>
      <c r="AY288">
        <v>26911.1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52</v>
      </c>
      <c r="BG288">
        <v>12527.886345999999</v>
      </c>
      <c r="BH288">
        <v>0</v>
      </c>
    </row>
    <row r="289" spans="1:60" x14ac:dyDescent="0.35">
      <c r="A289" t="s">
        <v>584</v>
      </c>
      <c r="B289" t="s">
        <v>658</v>
      </c>
      <c r="C289" t="s">
        <v>661</v>
      </c>
      <c r="D289" t="s">
        <v>662</v>
      </c>
      <c r="E289">
        <v>510</v>
      </c>
      <c r="F289" t="s">
        <v>81</v>
      </c>
      <c r="G289" t="s">
        <v>81</v>
      </c>
      <c r="H289" t="s">
        <v>81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</v>
      </c>
      <c r="BG289">
        <v>0</v>
      </c>
      <c r="BH289">
        <v>0</v>
      </c>
    </row>
    <row r="290" spans="1:60" x14ac:dyDescent="0.35">
      <c r="A290" t="s">
        <v>584</v>
      </c>
      <c r="B290" t="s">
        <v>658</v>
      </c>
      <c r="C290" t="s">
        <v>663</v>
      </c>
      <c r="D290" t="s">
        <v>664</v>
      </c>
      <c r="E290">
        <v>766</v>
      </c>
      <c r="F290" t="s">
        <v>81</v>
      </c>
      <c r="G290" t="s">
        <v>81</v>
      </c>
      <c r="H290" t="s">
        <v>81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 t="s">
        <v>81</v>
      </c>
      <c r="BB290" t="s">
        <v>81</v>
      </c>
      <c r="BC290" t="s">
        <v>81</v>
      </c>
      <c r="BD290" t="s">
        <v>81</v>
      </c>
      <c r="BE290" t="s">
        <v>81</v>
      </c>
      <c r="BF290" t="s">
        <v>81</v>
      </c>
      <c r="BG290" t="s">
        <v>81</v>
      </c>
      <c r="BH290" t="s">
        <v>81</v>
      </c>
    </row>
    <row r="291" spans="1:60" x14ac:dyDescent="0.35">
      <c r="A291" t="s">
        <v>584</v>
      </c>
      <c r="B291" t="s">
        <v>658</v>
      </c>
      <c r="C291" t="s">
        <v>665</v>
      </c>
      <c r="D291" t="s">
        <v>666</v>
      </c>
      <c r="E291">
        <v>1702</v>
      </c>
      <c r="F291" t="s">
        <v>81</v>
      </c>
      <c r="G291" t="s">
        <v>81</v>
      </c>
      <c r="H291" t="s">
        <v>81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8</v>
      </c>
      <c r="BG291">
        <v>12564.9575</v>
      </c>
      <c r="BH291">
        <v>0</v>
      </c>
    </row>
    <row r="292" spans="1:60" x14ac:dyDescent="0.35">
      <c r="A292" t="s">
        <v>584</v>
      </c>
      <c r="B292" t="s">
        <v>658</v>
      </c>
      <c r="C292" t="s">
        <v>255</v>
      </c>
      <c r="D292" t="s">
        <v>667</v>
      </c>
      <c r="E292">
        <v>608</v>
      </c>
      <c r="F292" t="s">
        <v>81</v>
      </c>
      <c r="G292" t="s">
        <v>81</v>
      </c>
      <c r="H292" t="s">
        <v>81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2</v>
      </c>
      <c r="BG292">
        <v>0</v>
      </c>
      <c r="BH292">
        <v>0</v>
      </c>
    </row>
    <row r="293" spans="1:60" x14ac:dyDescent="0.35">
      <c r="A293" t="s">
        <v>584</v>
      </c>
      <c r="B293" t="s">
        <v>658</v>
      </c>
      <c r="C293" t="s">
        <v>668</v>
      </c>
      <c r="D293" t="s">
        <v>669</v>
      </c>
      <c r="E293">
        <v>2045</v>
      </c>
      <c r="F293" t="s">
        <v>81</v>
      </c>
      <c r="G293" t="s">
        <v>81</v>
      </c>
      <c r="H293" t="s">
        <v>81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11</v>
      </c>
      <c r="BG293">
        <v>1313.498182</v>
      </c>
      <c r="BH293">
        <v>0</v>
      </c>
    </row>
    <row r="294" spans="1:60" x14ac:dyDescent="0.35">
      <c r="A294" t="s">
        <v>584</v>
      </c>
      <c r="B294" t="s">
        <v>658</v>
      </c>
      <c r="C294" t="s">
        <v>670</v>
      </c>
      <c r="D294" t="s">
        <v>671</v>
      </c>
      <c r="E294">
        <v>398</v>
      </c>
      <c r="F294" t="s">
        <v>81</v>
      </c>
      <c r="G294" t="s">
        <v>81</v>
      </c>
      <c r="H294" t="s">
        <v>81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 t="s">
        <v>81</v>
      </c>
      <c r="BB294" t="s">
        <v>81</v>
      </c>
      <c r="BC294" t="s">
        <v>81</v>
      </c>
      <c r="BD294" t="s">
        <v>81</v>
      </c>
      <c r="BE294" t="s">
        <v>81</v>
      </c>
      <c r="BF294" t="s">
        <v>81</v>
      </c>
      <c r="BG294" t="s">
        <v>81</v>
      </c>
      <c r="BH294" t="s">
        <v>81</v>
      </c>
    </row>
    <row r="295" spans="1:60" x14ac:dyDescent="0.35">
      <c r="A295" t="s">
        <v>584</v>
      </c>
      <c r="B295" t="s">
        <v>658</v>
      </c>
      <c r="C295" t="s">
        <v>672</v>
      </c>
      <c r="D295" t="s">
        <v>673</v>
      </c>
      <c r="E295">
        <v>631</v>
      </c>
      <c r="F295" t="s">
        <v>81</v>
      </c>
      <c r="G295" t="s">
        <v>81</v>
      </c>
      <c r="H295" t="s">
        <v>81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 t="s">
        <v>81</v>
      </c>
      <c r="BB295" t="s">
        <v>81</v>
      </c>
      <c r="BC295" t="s">
        <v>81</v>
      </c>
      <c r="BD295" t="s">
        <v>81</v>
      </c>
      <c r="BE295" t="s">
        <v>81</v>
      </c>
      <c r="BF295" t="s">
        <v>81</v>
      </c>
      <c r="BG295" t="s">
        <v>81</v>
      </c>
      <c r="BH295" t="s">
        <v>81</v>
      </c>
    </row>
    <row r="296" spans="1:60" x14ac:dyDescent="0.35">
      <c r="A296" t="s">
        <v>584</v>
      </c>
      <c r="B296" t="s">
        <v>658</v>
      </c>
      <c r="C296" t="s">
        <v>674</v>
      </c>
      <c r="D296" t="s">
        <v>675</v>
      </c>
      <c r="E296">
        <v>1197</v>
      </c>
      <c r="F296" t="s">
        <v>81</v>
      </c>
      <c r="G296" t="s">
        <v>81</v>
      </c>
      <c r="H296" t="s">
        <v>81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0</v>
      </c>
    </row>
    <row r="297" spans="1:60" x14ac:dyDescent="0.35">
      <c r="A297" t="s">
        <v>584</v>
      </c>
      <c r="B297" t="s">
        <v>658</v>
      </c>
      <c r="C297" t="s">
        <v>676</v>
      </c>
      <c r="D297" t="s">
        <v>677</v>
      </c>
      <c r="E297">
        <v>955</v>
      </c>
      <c r="F297" t="s">
        <v>81</v>
      </c>
      <c r="G297" t="s">
        <v>81</v>
      </c>
      <c r="H297" t="s">
        <v>81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4</v>
      </c>
      <c r="BG297">
        <v>0</v>
      </c>
      <c r="BH297">
        <v>0</v>
      </c>
    </row>
    <row r="298" spans="1:60" x14ac:dyDescent="0.35">
      <c r="A298" t="s">
        <v>584</v>
      </c>
      <c r="B298" t="s">
        <v>658</v>
      </c>
      <c r="C298" t="s">
        <v>678</v>
      </c>
      <c r="D298" t="s">
        <v>679</v>
      </c>
      <c r="E298">
        <v>666</v>
      </c>
      <c r="F298" t="s">
        <v>81</v>
      </c>
      <c r="G298" t="s">
        <v>81</v>
      </c>
      <c r="H298" t="s">
        <v>81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</row>
    <row r="299" spans="1:60" x14ac:dyDescent="0.35">
      <c r="A299" t="s">
        <v>584</v>
      </c>
      <c r="B299" t="s">
        <v>658</v>
      </c>
      <c r="C299" t="s">
        <v>680</v>
      </c>
      <c r="D299" t="s">
        <v>681</v>
      </c>
      <c r="E299">
        <v>997</v>
      </c>
      <c r="F299" t="s">
        <v>81</v>
      </c>
      <c r="G299" t="s">
        <v>81</v>
      </c>
      <c r="H299" t="s">
        <v>81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</v>
      </c>
      <c r="BG299">
        <v>0</v>
      </c>
      <c r="BH299">
        <v>0</v>
      </c>
    </row>
    <row r="300" spans="1:60" x14ac:dyDescent="0.35">
      <c r="A300" t="s">
        <v>584</v>
      </c>
      <c r="B300" t="s">
        <v>658</v>
      </c>
      <c r="C300" t="s">
        <v>682</v>
      </c>
      <c r="D300" t="s">
        <v>683</v>
      </c>
      <c r="E300">
        <v>628</v>
      </c>
      <c r="F300" t="s">
        <v>81</v>
      </c>
      <c r="G300" t="s">
        <v>81</v>
      </c>
      <c r="H300" t="s">
        <v>81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 t="s">
        <v>81</v>
      </c>
      <c r="BB300" t="s">
        <v>81</v>
      </c>
      <c r="BC300" t="s">
        <v>81</v>
      </c>
      <c r="BD300" t="s">
        <v>81</v>
      </c>
      <c r="BE300" t="s">
        <v>81</v>
      </c>
      <c r="BF300" t="s">
        <v>81</v>
      </c>
      <c r="BG300" t="s">
        <v>81</v>
      </c>
      <c r="BH300" t="s">
        <v>81</v>
      </c>
    </row>
    <row r="301" spans="1:60" x14ac:dyDescent="0.35">
      <c r="A301" t="s">
        <v>584</v>
      </c>
      <c r="B301" t="s">
        <v>658</v>
      </c>
      <c r="C301" t="s">
        <v>684</v>
      </c>
      <c r="D301" t="s">
        <v>685</v>
      </c>
      <c r="E301">
        <v>1739</v>
      </c>
      <c r="F301" t="s">
        <v>81</v>
      </c>
      <c r="G301" t="s">
        <v>81</v>
      </c>
      <c r="H301" t="s">
        <v>81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3</v>
      </c>
      <c r="BG301">
        <v>0</v>
      </c>
      <c r="BH301">
        <v>0</v>
      </c>
    </row>
    <row r="302" spans="1:60" x14ac:dyDescent="0.35">
      <c r="A302" t="s">
        <v>584</v>
      </c>
      <c r="B302" t="s">
        <v>658</v>
      </c>
      <c r="C302" t="s">
        <v>686</v>
      </c>
      <c r="D302" t="s">
        <v>687</v>
      </c>
      <c r="E302">
        <v>1863</v>
      </c>
      <c r="F302">
        <v>1</v>
      </c>
      <c r="G302">
        <v>0.43</v>
      </c>
      <c r="H302">
        <v>0.43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2</v>
      </c>
      <c r="BG302">
        <v>0</v>
      </c>
      <c r="BH302">
        <v>0</v>
      </c>
    </row>
    <row r="303" spans="1:60" x14ac:dyDescent="0.35">
      <c r="A303" t="s">
        <v>584</v>
      </c>
      <c r="B303" t="s">
        <v>658</v>
      </c>
      <c r="C303" t="s">
        <v>688</v>
      </c>
      <c r="D303" t="s">
        <v>689</v>
      </c>
      <c r="E303">
        <v>1031</v>
      </c>
      <c r="F303" t="s">
        <v>81</v>
      </c>
      <c r="G303" t="s">
        <v>81</v>
      </c>
      <c r="H303" t="s">
        <v>81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</row>
    <row r="304" spans="1:60" x14ac:dyDescent="0.35">
      <c r="A304" t="s">
        <v>584</v>
      </c>
      <c r="B304" t="s">
        <v>658</v>
      </c>
      <c r="C304" t="s">
        <v>690</v>
      </c>
      <c r="D304" t="s">
        <v>691</v>
      </c>
      <c r="E304">
        <v>867</v>
      </c>
      <c r="F304" t="s">
        <v>81</v>
      </c>
      <c r="G304" t="s">
        <v>81</v>
      </c>
      <c r="H304" t="s">
        <v>81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0</v>
      </c>
    </row>
    <row r="305" spans="1:60" x14ac:dyDescent="0.35">
      <c r="A305" t="s">
        <v>584</v>
      </c>
      <c r="B305" t="s">
        <v>692</v>
      </c>
      <c r="C305" t="s">
        <v>693</v>
      </c>
      <c r="D305" t="s">
        <v>694</v>
      </c>
      <c r="E305">
        <v>10478</v>
      </c>
      <c r="F305">
        <v>4</v>
      </c>
      <c r="G305">
        <v>2.0099999999999998</v>
      </c>
      <c r="H305">
        <v>0.50249999999999995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55</v>
      </c>
      <c r="BG305">
        <v>10351.758727</v>
      </c>
      <c r="BH305">
        <v>0</v>
      </c>
    </row>
    <row r="306" spans="1:60" x14ac:dyDescent="0.35">
      <c r="A306" t="s">
        <v>584</v>
      </c>
      <c r="B306" t="s">
        <v>692</v>
      </c>
      <c r="C306" t="s">
        <v>692</v>
      </c>
      <c r="D306" t="s">
        <v>695</v>
      </c>
      <c r="E306">
        <v>3948</v>
      </c>
      <c r="F306">
        <v>1</v>
      </c>
      <c r="G306">
        <v>0.6</v>
      </c>
      <c r="H306">
        <v>0.6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22635.917000000001</v>
      </c>
      <c r="BC306">
        <v>22635.917000000001</v>
      </c>
      <c r="BD306">
        <v>0</v>
      </c>
      <c r="BE306">
        <v>0</v>
      </c>
      <c r="BF306">
        <v>15</v>
      </c>
      <c r="BG306">
        <v>22507.051332999999</v>
      </c>
      <c r="BH306">
        <v>0</v>
      </c>
    </row>
    <row r="307" spans="1:60" x14ac:dyDescent="0.35">
      <c r="A307" t="s">
        <v>584</v>
      </c>
      <c r="B307" t="s">
        <v>692</v>
      </c>
      <c r="C307" t="s">
        <v>696</v>
      </c>
      <c r="D307" t="s">
        <v>697</v>
      </c>
      <c r="E307">
        <v>6502</v>
      </c>
      <c r="F307">
        <v>4</v>
      </c>
      <c r="G307">
        <v>1.794</v>
      </c>
      <c r="H307">
        <v>0.44850000000000001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2</v>
      </c>
      <c r="BB307">
        <v>70997.5</v>
      </c>
      <c r="BC307">
        <v>141995</v>
      </c>
      <c r="BD307">
        <v>0</v>
      </c>
      <c r="BE307">
        <v>0</v>
      </c>
      <c r="BF307">
        <v>51</v>
      </c>
      <c r="BG307">
        <v>7057.2778429999998</v>
      </c>
      <c r="BH307">
        <v>0</v>
      </c>
    </row>
    <row r="308" spans="1:60" x14ac:dyDescent="0.35">
      <c r="A308" t="s">
        <v>584</v>
      </c>
      <c r="B308" t="s">
        <v>692</v>
      </c>
      <c r="C308" t="s">
        <v>698</v>
      </c>
      <c r="D308" t="s">
        <v>699</v>
      </c>
      <c r="E308">
        <v>9380</v>
      </c>
      <c r="F308">
        <v>4</v>
      </c>
      <c r="G308">
        <v>2.0049999999999999</v>
      </c>
      <c r="H308">
        <v>0.50124999999999997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1498.75</v>
      </c>
      <c r="AD308">
        <v>0</v>
      </c>
      <c r="AE308">
        <v>0</v>
      </c>
      <c r="AF308">
        <v>1498.75</v>
      </c>
      <c r="AG308">
        <v>0</v>
      </c>
      <c r="AH308">
        <v>0</v>
      </c>
      <c r="AI308">
        <v>480.26</v>
      </c>
      <c r="AJ308">
        <v>0</v>
      </c>
      <c r="AK308">
        <v>0</v>
      </c>
      <c r="AL308">
        <v>480.26</v>
      </c>
      <c r="AM308">
        <v>0</v>
      </c>
      <c r="AN308">
        <v>0</v>
      </c>
      <c r="AO308">
        <v>676.05</v>
      </c>
      <c r="AP308">
        <v>0</v>
      </c>
      <c r="AQ308">
        <v>0</v>
      </c>
      <c r="AR308">
        <v>676.05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2655.06</v>
      </c>
      <c r="AZ308">
        <v>0</v>
      </c>
      <c r="BA308">
        <v>2</v>
      </c>
      <c r="BB308">
        <v>177495.625</v>
      </c>
      <c r="BC308">
        <v>354991.25</v>
      </c>
      <c r="BD308">
        <v>0</v>
      </c>
      <c r="BE308">
        <v>1529.75</v>
      </c>
      <c r="BF308">
        <v>35</v>
      </c>
      <c r="BG308">
        <v>10388.380286</v>
      </c>
      <c r="BH308">
        <v>97.159000000000006</v>
      </c>
    </row>
    <row r="309" spans="1:60" x14ac:dyDescent="0.35">
      <c r="A309" t="s">
        <v>584</v>
      </c>
      <c r="B309" t="s">
        <v>692</v>
      </c>
      <c r="C309" t="s">
        <v>700</v>
      </c>
      <c r="D309" t="s">
        <v>701</v>
      </c>
      <c r="E309">
        <v>6007</v>
      </c>
      <c r="F309" t="s">
        <v>81</v>
      </c>
      <c r="G309" t="s">
        <v>81</v>
      </c>
      <c r="H309" t="s">
        <v>81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3158.7139999999999</v>
      </c>
      <c r="BC309">
        <v>3158.7139999999999</v>
      </c>
      <c r="BD309">
        <v>0</v>
      </c>
      <c r="BE309">
        <v>0</v>
      </c>
      <c r="BF309">
        <v>23</v>
      </c>
      <c r="BG309">
        <v>11649.163478</v>
      </c>
      <c r="BH309">
        <v>0</v>
      </c>
    </row>
    <row r="310" spans="1:60" x14ac:dyDescent="0.35">
      <c r="A310" t="s">
        <v>584</v>
      </c>
      <c r="B310" t="s">
        <v>692</v>
      </c>
      <c r="C310" t="s">
        <v>702</v>
      </c>
      <c r="D310" t="s">
        <v>703</v>
      </c>
      <c r="E310">
        <v>19351</v>
      </c>
      <c r="F310">
        <v>93</v>
      </c>
      <c r="G310">
        <v>81.406790000000001</v>
      </c>
      <c r="H310">
        <v>0.87534179999999995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6983.02</v>
      </c>
      <c r="P310">
        <v>0</v>
      </c>
      <c r="Q310">
        <v>0</v>
      </c>
      <c r="R310">
        <v>0</v>
      </c>
      <c r="S310">
        <v>0</v>
      </c>
      <c r="T310">
        <v>6983.02</v>
      </c>
      <c r="U310">
        <v>3547.96</v>
      </c>
      <c r="V310">
        <v>0</v>
      </c>
      <c r="W310">
        <v>0</v>
      </c>
      <c r="X310">
        <v>0</v>
      </c>
      <c r="Y310">
        <v>0</v>
      </c>
      <c r="Z310">
        <v>3547.96</v>
      </c>
      <c r="AA310">
        <v>12592.73</v>
      </c>
      <c r="AB310">
        <v>0</v>
      </c>
      <c r="AC310">
        <v>43755.89</v>
      </c>
      <c r="AD310">
        <v>0</v>
      </c>
      <c r="AE310">
        <v>0</v>
      </c>
      <c r="AF310">
        <v>56348.62</v>
      </c>
      <c r="AG310">
        <v>468.98</v>
      </c>
      <c r="AH310">
        <v>0</v>
      </c>
      <c r="AI310">
        <v>4055.83</v>
      </c>
      <c r="AJ310">
        <v>0</v>
      </c>
      <c r="AK310">
        <v>0</v>
      </c>
      <c r="AL310">
        <v>4524.8100000000004</v>
      </c>
      <c r="AM310">
        <v>20439.41</v>
      </c>
      <c r="AN310">
        <v>0</v>
      </c>
      <c r="AO310">
        <v>9567.15</v>
      </c>
      <c r="AP310">
        <v>0</v>
      </c>
      <c r="AQ310">
        <v>0</v>
      </c>
      <c r="AR310">
        <v>30006.560000000001</v>
      </c>
      <c r="AS310">
        <v>3840.38</v>
      </c>
      <c r="AT310">
        <v>0</v>
      </c>
      <c r="AU310">
        <v>510.29</v>
      </c>
      <c r="AV310">
        <v>0</v>
      </c>
      <c r="AW310">
        <v>0</v>
      </c>
      <c r="AX310">
        <v>4350.67</v>
      </c>
      <c r="AY310">
        <v>105761.64</v>
      </c>
      <c r="AZ310">
        <v>0</v>
      </c>
      <c r="BA310">
        <v>16</v>
      </c>
      <c r="BB310">
        <v>76474.218999999997</v>
      </c>
      <c r="BC310">
        <v>1223587.5049999999</v>
      </c>
      <c r="BD310">
        <v>2300.4868750000001</v>
      </c>
      <c r="BE310">
        <v>0</v>
      </c>
      <c r="BF310">
        <v>320</v>
      </c>
      <c r="BG310">
        <v>8429.1340629999995</v>
      </c>
      <c r="BH310">
        <v>335.89299999999997</v>
      </c>
    </row>
    <row r="311" spans="1:60" x14ac:dyDescent="0.35">
      <c r="A311" t="s">
        <v>584</v>
      </c>
      <c r="B311" t="s">
        <v>704</v>
      </c>
      <c r="C311" t="s">
        <v>704</v>
      </c>
      <c r="D311" t="s">
        <v>705</v>
      </c>
      <c r="E311">
        <v>5374</v>
      </c>
      <c r="F311">
        <v>9</v>
      </c>
      <c r="G311">
        <v>10.82558</v>
      </c>
      <c r="H311">
        <v>1.2028430000000001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24</v>
      </c>
      <c r="BG311">
        <v>0.77916700000000005</v>
      </c>
      <c r="BH311">
        <v>0</v>
      </c>
    </row>
    <row r="312" spans="1:60" x14ac:dyDescent="0.35">
      <c r="A312" t="s">
        <v>584</v>
      </c>
      <c r="B312" t="s">
        <v>704</v>
      </c>
      <c r="C312" t="s">
        <v>706</v>
      </c>
      <c r="D312" t="s">
        <v>707</v>
      </c>
      <c r="E312">
        <v>10052</v>
      </c>
      <c r="F312">
        <v>56</v>
      </c>
      <c r="G312">
        <v>31.24728</v>
      </c>
      <c r="H312">
        <v>0.55798720000000002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206.65</v>
      </c>
      <c r="X312">
        <v>0</v>
      </c>
      <c r="Y312">
        <v>0</v>
      </c>
      <c r="Z312">
        <v>206.65</v>
      </c>
      <c r="AA312">
        <v>0</v>
      </c>
      <c r="AB312">
        <v>4906.51</v>
      </c>
      <c r="AC312">
        <v>55258.99</v>
      </c>
      <c r="AD312">
        <v>0</v>
      </c>
      <c r="AE312">
        <v>0</v>
      </c>
      <c r="AF312">
        <v>60165.5</v>
      </c>
      <c r="AG312">
        <v>0</v>
      </c>
      <c r="AH312">
        <v>2004.39</v>
      </c>
      <c r="AI312">
        <v>16300.94</v>
      </c>
      <c r="AJ312">
        <v>0</v>
      </c>
      <c r="AK312">
        <v>0</v>
      </c>
      <c r="AL312">
        <v>18305.330000000002</v>
      </c>
      <c r="AM312">
        <v>0</v>
      </c>
      <c r="AN312">
        <v>833.98</v>
      </c>
      <c r="AO312">
        <v>20419.25</v>
      </c>
      <c r="AP312">
        <v>0</v>
      </c>
      <c r="AQ312">
        <v>0</v>
      </c>
      <c r="AR312">
        <v>21253.23</v>
      </c>
      <c r="AS312">
        <v>0</v>
      </c>
      <c r="AT312">
        <v>0</v>
      </c>
      <c r="AU312">
        <v>1069.01</v>
      </c>
      <c r="AV312">
        <v>0</v>
      </c>
      <c r="AW312">
        <v>0</v>
      </c>
      <c r="AX312">
        <v>1069.01</v>
      </c>
      <c r="AY312">
        <v>100999.72</v>
      </c>
      <c r="AZ312">
        <v>0</v>
      </c>
      <c r="BA312">
        <v>1</v>
      </c>
      <c r="BB312">
        <v>197103.90900000001</v>
      </c>
      <c r="BC312">
        <v>197103.90900000001</v>
      </c>
      <c r="BD312">
        <v>0</v>
      </c>
      <c r="BE312">
        <v>0</v>
      </c>
      <c r="BF312">
        <v>105</v>
      </c>
      <c r="BG312">
        <v>896.54209500000002</v>
      </c>
      <c r="BH312">
        <v>492.858</v>
      </c>
    </row>
    <row r="313" spans="1:60" x14ac:dyDescent="0.35">
      <c r="A313" t="s">
        <v>584</v>
      </c>
      <c r="B313" t="s">
        <v>704</v>
      </c>
      <c r="C313" t="s">
        <v>708</v>
      </c>
      <c r="D313" t="s">
        <v>709</v>
      </c>
      <c r="E313">
        <v>1683</v>
      </c>
      <c r="F313">
        <v>1</v>
      </c>
      <c r="G313">
        <v>0.3</v>
      </c>
      <c r="H313">
        <v>0.3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1</v>
      </c>
      <c r="BG313">
        <v>0</v>
      </c>
      <c r="BH313">
        <v>0</v>
      </c>
    </row>
    <row r="314" spans="1:60" x14ac:dyDescent="0.35">
      <c r="A314" t="s">
        <v>584</v>
      </c>
      <c r="B314" t="s">
        <v>704</v>
      </c>
      <c r="C314" t="s">
        <v>710</v>
      </c>
      <c r="D314" t="s">
        <v>711</v>
      </c>
      <c r="E314">
        <v>5180</v>
      </c>
      <c r="F314">
        <v>7</v>
      </c>
      <c r="G314">
        <v>4.644539</v>
      </c>
      <c r="H314">
        <v>0.66350560000000003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23</v>
      </c>
      <c r="BG314">
        <v>10.043478</v>
      </c>
      <c r="BH314">
        <v>0</v>
      </c>
    </row>
    <row r="315" spans="1:60" x14ac:dyDescent="0.35">
      <c r="A315" t="s">
        <v>584</v>
      </c>
      <c r="B315" t="s">
        <v>704</v>
      </c>
      <c r="C315" t="s">
        <v>712</v>
      </c>
      <c r="D315" t="s">
        <v>713</v>
      </c>
      <c r="E315">
        <v>6692</v>
      </c>
      <c r="F315">
        <v>2</v>
      </c>
      <c r="G315">
        <v>0.68</v>
      </c>
      <c r="H315">
        <v>0.34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13</v>
      </c>
      <c r="BG315">
        <v>0</v>
      </c>
      <c r="BH315">
        <v>0</v>
      </c>
    </row>
    <row r="316" spans="1:60" x14ac:dyDescent="0.35">
      <c r="A316" t="s">
        <v>584</v>
      </c>
      <c r="B316" t="s">
        <v>704</v>
      </c>
      <c r="C316" t="s">
        <v>714</v>
      </c>
      <c r="D316" t="s">
        <v>715</v>
      </c>
      <c r="E316">
        <v>2220</v>
      </c>
      <c r="F316">
        <v>3</v>
      </c>
      <c r="G316">
        <v>0.56000000000000005</v>
      </c>
      <c r="H316">
        <v>0.18666669999999999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4</v>
      </c>
      <c r="BG316">
        <v>0</v>
      </c>
      <c r="BH316">
        <v>0</v>
      </c>
    </row>
    <row r="317" spans="1:60" x14ac:dyDescent="0.35">
      <c r="A317" t="s">
        <v>584</v>
      </c>
      <c r="B317" t="s">
        <v>704</v>
      </c>
      <c r="C317" t="s">
        <v>716</v>
      </c>
      <c r="D317" t="s">
        <v>717</v>
      </c>
      <c r="E317">
        <v>2666</v>
      </c>
      <c r="F317" t="s">
        <v>81</v>
      </c>
      <c r="G317" t="s">
        <v>81</v>
      </c>
      <c r="H317" t="s">
        <v>81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</v>
      </c>
      <c r="BG317">
        <v>0</v>
      </c>
      <c r="BH317">
        <v>0</v>
      </c>
    </row>
    <row r="318" spans="1:60" x14ac:dyDescent="0.35">
      <c r="A318" t="s">
        <v>584</v>
      </c>
      <c r="B318" t="s">
        <v>704</v>
      </c>
      <c r="C318" t="s">
        <v>718</v>
      </c>
      <c r="D318" t="s">
        <v>719</v>
      </c>
      <c r="E318">
        <v>3961</v>
      </c>
      <c r="F318">
        <v>2</v>
      </c>
      <c r="G318">
        <v>1.68</v>
      </c>
      <c r="H318">
        <v>0.84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3</v>
      </c>
      <c r="BG318">
        <v>0</v>
      </c>
      <c r="BH318">
        <v>0</v>
      </c>
    </row>
    <row r="319" spans="1:60" x14ac:dyDescent="0.35">
      <c r="A319" t="s">
        <v>584</v>
      </c>
      <c r="B319" t="s">
        <v>704</v>
      </c>
      <c r="C319" t="s">
        <v>720</v>
      </c>
      <c r="D319" t="s">
        <v>721</v>
      </c>
      <c r="E319">
        <v>2705</v>
      </c>
      <c r="F319" t="s">
        <v>81</v>
      </c>
      <c r="G319" t="s">
        <v>81</v>
      </c>
      <c r="H319" t="s">
        <v>81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5</v>
      </c>
      <c r="BG319">
        <v>0</v>
      </c>
      <c r="BH319">
        <v>0</v>
      </c>
    </row>
    <row r="320" spans="1:60" x14ac:dyDescent="0.35">
      <c r="A320" t="s">
        <v>584</v>
      </c>
      <c r="B320" t="s">
        <v>704</v>
      </c>
      <c r="C320" t="s">
        <v>722</v>
      </c>
      <c r="D320" t="s">
        <v>723</v>
      </c>
      <c r="E320">
        <v>1713</v>
      </c>
      <c r="F320" t="s">
        <v>81</v>
      </c>
      <c r="G320" t="s">
        <v>81</v>
      </c>
      <c r="H320" t="s">
        <v>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 t="s">
        <v>81</v>
      </c>
      <c r="BB320" t="s">
        <v>81</v>
      </c>
      <c r="BC320" t="s">
        <v>81</v>
      </c>
      <c r="BD320" t="s">
        <v>81</v>
      </c>
      <c r="BE320" t="s">
        <v>81</v>
      </c>
      <c r="BF320" t="s">
        <v>81</v>
      </c>
      <c r="BG320" t="s">
        <v>81</v>
      </c>
      <c r="BH320" t="s">
        <v>81</v>
      </c>
    </row>
    <row r="321" spans="1:60" x14ac:dyDescent="0.35">
      <c r="A321" t="s">
        <v>584</v>
      </c>
      <c r="B321" t="s">
        <v>704</v>
      </c>
      <c r="C321" t="s">
        <v>724</v>
      </c>
      <c r="D321" t="s">
        <v>725</v>
      </c>
      <c r="E321">
        <v>1034</v>
      </c>
      <c r="F321" t="s">
        <v>81</v>
      </c>
      <c r="G321" t="s">
        <v>81</v>
      </c>
      <c r="H321" t="s">
        <v>81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 t="s">
        <v>81</v>
      </c>
      <c r="BB321" t="s">
        <v>81</v>
      </c>
      <c r="BC321" t="s">
        <v>81</v>
      </c>
      <c r="BD321" t="s">
        <v>81</v>
      </c>
      <c r="BE321" t="s">
        <v>81</v>
      </c>
      <c r="BF321" t="s">
        <v>81</v>
      </c>
      <c r="BG321" t="s">
        <v>81</v>
      </c>
      <c r="BH321" t="s">
        <v>81</v>
      </c>
    </row>
    <row r="322" spans="1:60" x14ac:dyDescent="0.35">
      <c r="A322" t="s">
        <v>584</v>
      </c>
      <c r="B322" t="s">
        <v>704</v>
      </c>
      <c r="C322" t="s">
        <v>726</v>
      </c>
      <c r="D322" t="s">
        <v>727</v>
      </c>
      <c r="E322">
        <v>1047</v>
      </c>
      <c r="F322">
        <v>2</v>
      </c>
      <c r="G322">
        <v>2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</v>
      </c>
      <c r="BG322">
        <v>0</v>
      </c>
      <c r="BH322">
        <v>0</v>
      </c>
    </row>
    <row r="323" spans="1:60" x14ac:dyDescent="0.35">
      <c r="A323" t="s">
        <v>584</v>
      </c>
      <c r="B323" t="s">
        <v>728</v>
      </c>
      <c r="C323" t="s">
        <v>729</v>
      </c>
      <c r="D323" t="s">
        <v>730</v>
      </c>
      <c r="E323">
        <v>4772</v>
      </c>
      <c r="F323">
        <v>5</v>
      </c>
      <c r="G323">
        <v>2.5299999999999998</v>
      </c>
      <c r="H323">
        <v>0.50600000000000001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36</v>
      </c>
      <c r="BG323">
        <v>142.83333300000001</v>
      </c>
      <c r="BH323">
        <v>0</v>
      </c>
    </row>
    <row r="324" spans="1:60" x14ac:dyDescent="0.35">
      <c r="A324" t="s">
        <v>584</v>
      </c>
      <c r="B324" t="s">
        <v>728</v>
      </c>
      <c r="C324" t="s">
        <v>731</v>
      </c>
      <c r="D324" t="s">
        <v>732</v>
      </c>
      <c r="E324">
        <v>1735</v>
      </c>
      <c r="F324" t="s">
        <v>81</v>
      </c>
      <c r="G324" t="s">
        <v>81</v>
      </c>
      <c r="H324" t="s">
        <v>81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1</v>
      </c>
      <c r="BG324">
        <v>0</v>
      </c>
      <c r="BH324">
        <v>0</v>
      </c>
    </row>
    <row r="325" spans="1:60" x14ac:dyDescent="0.35">
      <c r="A325" t="s">
        <v>584</v>
      </c>
      <c r="B325" t="s">
        <v>728</v>
      </c>
      <c r="C325" t="s">
        <v>733</v>
      </c>
      <c r="D325" t="s">
        <v>734</v>
      </c>
      <c r="E325">
        <v>2244</v>
      </c>
      <c r="F325" t="s">
        <v>81</v>
      </c>
      <c r="G325" t="s">
        <v>81</v>
      </c>
      <c r="H325" t="s">
        <v>81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4</v>
      </c>
      <c r="BG325">
        <v>0</v>
      </c>
      <c r="BH325">
        <v>0</v>
      </c>
    </row>
    <row r="326" spans="1:60" x14ac:dyDescent="0.35">
      <c r="A326" t="s">
        <v>584</v>
      </c>
      <c r="B326" t="s">
        <v>728</v>
      </c>
      <c r="C326" t="s">
        <v>735</v>
      </c>
      <c r="D326" t="s">
        <v>736</v>
      </c>
      <c r="E326">
        <v>1136</v>
      </c>
      <c r="F326" t="s">
        <v>81</v>
      </c>
      <c r="G326" t="s">
        <v>81</v>
      </c>
      <c r="H326" t="s">
        <v>81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7</v>
      </c>
      <c r="BG326">
        <v>0</v>
      </c>
      <c r="BH326">
        <v>0</v>
      </c>
    </row>
    <row r="327" spans="1:60" x14ac:dyDescent="0.35">
      <c r="A327" t="s">
        <v>584</v>
      </c>
      <c r="B327" t="s">
        <v>728</v>
      </c>
      <c r="C327" t="s">
        <v>737</v>
      </c>
      <c r="D327" t="s">
        <v>738</v>
      </c>
      <c r="E327">
        <v>821</v>
      </c>
      <c r="F327">
        <v>2</v>
      </c>
      <c r="G327">
        <v>0.83599999999999997</v>
      </c>
      <c r="H327">
        <v>0.41799999999999998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</v>
      </c>
      <c r="BG327">
        <v>0</v>
      </c>
      <c r="BH327">
        <v>0</v>
      </c>
    </row>
    <row r="328" spans="1:60" x14ac:dyDescent="0.35">
      <c r="A328" t="s">
        <v>584</v>
      </c>
      <c r="B328" t="s">
        <v>728</v>
      </c>
      <c r="C328" t="s">
        <v>739</v>
      </c>
      <c r="D328" t="s">
        <v>740</v>
      </c>
      <c r="E328">
        <v>760</v>
      </c>
      <c r="F328" t="s">
        <v>81</v>
      </c>
      <c r="G328" t="s">
        <v>81</v>
      </c>
      <c r="H328" t="s">
        <v>81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5</v>
      </c>
      <c r="BG328">
        <v>10485.6</v>
      </c>
      <c r="BH328">
        <v>0</v>
      </c>
    </row>
    <row r="329" spans="1:60" x14ac:dyDescent="0.35">
      <c r="A329" t="s">
        <v>584</v>
      </c>
      <c r="B329" t="s">
        <v>728</v>
      </c>
      <c r="C329" t="s">
        <v>741</v>
      </c>
      <c r="D329" t="s">
        <v>742</v>
      </c>
      <c r="E329">
        <v>683</v>
      </c>
      <c r="F329" t="s">
        <v>81</v>
      </c>
      <c r="G329" t="s">
        <v>81</v>
      </c>
      <c r="H329" t="s">
        <v>81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1</v>
      </c>
      <c r="BG329">
        <v>0</v>
      </c>
      <c r="BH329">
        <v>0</v>
      </c>
    </row>
    <row r="330" spans="1:60" x14ac:dyDescent="0.35">
      <c r="A330" t="s">
        <v>584</v>
      </c>
      <c r="B330" t="s">
        <v>728</v>
      </c>
      <c r="C330" t="s">
        <v>743</v>
      </c>
      <c r="D330" t="s">
        <v>744</v>
      </c>
      <c r="E330">
        <v>3247</v>
      </c>
      <c r="F330" t="s">
        <v>81</v>
      </c>
      <c r="G330" t="s">
        <v>81</v>
      </c>
      <c r="H330" t="s">
        <v>81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1</v>
      </c>
      <c r="BB330">
        <v>87507</v>
      </c>
      <c r="BC330">
        <v>87507</v>
      </c>
      <c r="BD330">
        <v>0</v>
      </c>
      <c r="BE330">
        <v>0</v>
      </c>
      <c r="BF330">
        <v>30</v>
      </c>
      <c r="BG330">
        <v>7407.9110000000001</v>
      </c>
      <c r="BH330">
        <v>0</v>
      </c>
    </row>
    <row r="331" spans="1:60" x14ac:dyDescent="0.35">
      <c r="A331" t="s">
        <v>584</v>
      </c>
      <c r="B331" t="s">
        <v>728</v>
      </c>
      <c r="C331" t="s">
        <v>745</v>
      </c>
      <c r="D331" t="s">
        <v>746</v>
      </c>
      <c r="E331">
        <v>232</v>
      </c>
      <c r="F331" t="s">
        <v>81</v>
      </c>
      <c r="G331" t="s">
        <v>81</v>
      </c>
      <c r="H331" t="s">
        <v>81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 t="s">
        <v>81</v>
      </c>
      <c r="BB331" t="s">
        <v>81</v>
      </c>
      <c r="BC331" t="s">
        <v>81</v>
      </c>
      <c r="BD331" t="s">
        <v>81</v>
      </c>
      <c r="BE331" t="s">
        <v>81</v>
      </c>
      <c r="BF331" t="s">
        <v>81</v>
      </c>
      <c r="BG331" t="s">
        <v>81</v>
      </c>
      <c r="BH331" t="s">
        <v>81</v>
      </c>
    </row>
    <row r="332" spans="1:60" x14ac:dyDescent="0.35">
      <c r="A332" t="s">
        <v>584</v>
      </c>
      <c r="B332" t="s">
        <v>728</v>
      </c>
      <c r="C332" t="s">
        <v>747</v>
      </c>
      <c r="D332" t="s">
        <v>748</v>
      </c>
      <c r="E332">
        <v>486</v>
      </c>
      <c r="F332" t="s">
        <v>81</v>
      </c>
      <c r="G332" t="s">
        <v>81</v>
      </c>
      <c r="H332" t="s">
        <v>81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</v>
      </c>
      <c r="BG332">
        <v>0</v>
      </c>
      <c r="BH332">
        <v>0</v>
      </c>
    </row>
    <row r="333" spans="1:60" x14ac:dyDescent="0.35">
      <c r="A333" t="s">
        <v>584</v>
      </c>
      <c r="B333" t="s">
        <v>728</v>
      </c>
      <c r="C333" t="s">
        <v>749</v>
      </c>
      <c r="D333" t="s">
        <v>750</v>
      </c>
      <c r="E333">
        <v>564</v>
      </c>
      <c r="F333" t="s">
        <v>81</v>
      </c>
      <c r="G333" t="s">
        <v>81</v>
      </c>
      <c r="H333" t="s">
        <v>81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 t="s">
        <v>81</v>
      </c>
      <c r="BB333" t="s">
        <v>81</v>
      </c>
      <c r="BC333" t="s">
        <v>81</v>
      </c>
      <c r="BD333" t="s">
        <v>81</v>
      </c>
      <c r="BE333" t="s">
        <v>81</v>
      </c>
      <c r="BF333" t="s">
        <v>81</v>
      </c>
      <c r="BG333" t="s">
        <v>81</v>
      </c>
      <c r="BH333" t="s">
        <v>81</v>
      </c>
    </row>
    <row r="334" spans="1:60" x14ac:dyDescent="0.35">
      <c r="A334" t="s">
        <v>584</v>
      </c>
      <c r="B334" t="s">
        <v>728</v>
      </c>
      <c r="C334" t="s">
        <v>751</v>
      </c>
      <c r="D334" t="s">
        <v>752</v>
      </c>
      <c r="E334">
        <v>1317</v>
      </c>
      <c r="F334">
        <v>3</v>
      </c>
      <c r="G334">
        <v>1.38</v>
      </c>
      <c r="H334">
        <v>0.46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14</v>
      </c>
      <c r="BG334">
        <v>610.43571399999996</v>
      </c>
      <c r="BH334">
        <v>0</v>
      </c>
    </row>
    <row r="335" spans="1:60" x14ac:dyDescent="0.35">
      <c r="A335" t="s">
        <v>584</v>
      </c>
      <c r="B335" t="s">
        <v>728</v>
      </c>
      <c r="C335" t="s">
        <v>753</v>
      </c>
      <c r="D335" t="s">
        <v>754</v>
      </c>
      <c r="E335">
        <v>523</v>
      </c>
      <c r="F335" t="s">
        <v>81</v>
      </c>
      <c r="G335" t="s">
        <v>81</v>
      </c>
      <c r="H335" t="s">
        <v>81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</row>
    <row r="336" spans="1:60" x14ac:dyDescent="0.35">
      <c r="A336" t="s">
        <v>584</v>
      </c>
      <c r="B336" t="s">
        <v>728</v>
      </c>
      <c r="C336" t="s">
        <v>755</v>
      </c>
      <c r="D336" t="s">
        <v>756</v>
      </c>
      <c r="E336">
        <v>1095</v>
      </c>
      <c r="F336" t="s">
        <v>81</v>
      </c>
      <c r="G336" t="s">
        <v>81</v>
      </c>
      <c r="H336" t="s">
        <v>81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</v>
      </c>
      <c r="BG336">
        <v>63.166666999999997</v>
      </c>
      <c r="BH336">
        <v>0</v>
      </c>
    </row>
    <row r="337" spans="1:60" x14ac:dyDescent="0.35">
      <c r="A337" t="s">
        <v>757</v>
      </c>
      <c r="B337" t="s">
        <v>757</v>
      </c>
      <c r="C337" t="s">
        <v>757</v>
      </c>
      <c r="D337" t="s">
        <v>758</v>
      </c>
      <c r="E337">
        <v>54315</v>
      </c>
      <c r="F337">
        <v>1654</v>
      </c>
      <c r="G337">
        <v>1730.0889999999999</v>
      </c>
      <c r="H337">
        <v>1.046003</v>
      </c>
      <c r="I337">
        <v>954007.46</v>
      </c>
      <c r="J337">
        <v>0</v>
      </c>
      <c r="K337">
        <v>271630</v>
      </c>
      <c r="L337">
        <v>0</v>
      </c>
      <c r="M337">
        <v>0</v>
      </c>
      <c r="N337">
        <v>1225637.46</v>
      </c>
      <c r="O337">
        <v>724239.61</v>
      </c>
      <c r="P337">
        <v>0</v>
      </c>
      <c r="Q337">
        <v>153.72</v>
      </c>
      <c r="R337">
        <v>0</v>
      </c>
      <c r="S337">
        <v>0</v>
      </c>
      <c r="T337">
        <v>724393.33</v>
      </c>
      <c r="U337">
        <v>385276.54</v>
      </c>
      <c r="V337">
        <v>3943.4</v>
      </c>
      <c r="W337">
        <v>5168.1499999999996</v>
      </c>
      <c r="X337">
        <v>1483.22</v>
      </c>
      <c r="Y337">
        <v>0</v>
      </c>
      <c r="Z337">
        <v>395871.31</v>
      </c>
      <c r="AA337">
        <v>1549115.9999999998</v>
      </c>
      <c r="AB337">
        <v>69630.759999999995</v>
      </c>
      <c r="AC337">
        <v>493158.32</v>
      </c>
      <c r="AD337">
        <v>22667.200000000001</v>
      </c>
      <c r="AE337">
        <v>0</v>
      </c>
      <c r="AF337">
        <v>2134572.2799999998</v>
      </c>
      <c r="AG337">
        <v>40640.5</v>
      </c>
      <c r="AH337">
        <v>4189.7</v>
      </c>
      <c r="AI337">
        <v>49584.89</v>
      </c>
      <c r="AJ337">
        <v>476.82</v>
      </c>
      <c r="AK337">
        <v>0</v>
      </c>
      <c r="AL337">
        <v>94891.91</v>
      </c>
      <c r="AM337">
        <v>1368578.1</v>
      </c>
      <c r="AN337">
        <v>56477.16</v>
      </c>
      <c r="AO337">
        <v>230961.47</v>
      </c>
      <c r="AP337">
        <v>18768.75</v>
      </c>
      <c r="AQ337">
        <v>0</v>
      </c>
      <c r="AR337">
        <v>1674785.48</v>
      </c>
      <c r="AS337">
        <v>1146226.81</v>
      </c>
      <c r="AT337">
        <v>0</v>
      </c>
      <c r="AU337">
        <v>65809.710000000006</v>
      </c>
      <c r="AV337">
        <v>0</v>
      </c>
      <c r="AW337">
        <v>0</v>
      </c>
      <c r="AX337">
        <v>1212036.52</v>
      </c>
      <c r="AY337">
        <v>7462188.29</v>
      </c>
      <c r="AZ337">
        <v>1</v>
      </c>
      <c r="BA337">
        <v>405</v>
      </c>
      <c r="BB337">
        <v>50017.81</v>
      </c>
      <c r="BC337">
        <v>20257212.916999999</v>
      </c>
      <c r="BD337">
        <v>4831.2224939999996</v>
      </c>
      <c r="BE337">
        <v>3107.07</v>
      </c>
      <c r="BF337">
        <v>3459</v>
      </c>
      <c r="BG337">
        <v>4055.256531</v>
      </c>
      <c r="BH337">
        <v>2706.73</v>
      </c>
    </row>
    <row r="338" spans="1:60" x14ac:dyDescent="0.35">
      <c r="A338" t="s">
        <v>757</v>
      </c>
      <c r="B338" t="s">
        <v>757</v>
      </c>
      <c r="C338" t="s">
        <v>759</v>
      </c>
      <c r="D338" t="s">
        <v>760</v>
      </c>
      <c r="E338">
        <v>94815</v>
      </c>
      <c r="F338">
        <v>58</v>
      </c>
      <c r="G338">
        <v>56.06973</v>
      </c>
      <c r="H338">
        <v>0.96671949999999995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63246.28</v>
      </c>
      <c r="AB338">
        <v>0</v>
      </c>
      <c r="AC338">
        <v>46364.76</v>
      </c>
      <c r="AD338">
        <v>0</v>
      </c>
      <c r="AE338">
        <v>0</v>
      </c>
      <c r="AF338">
        <v>109611.04</v>
      </c>
      <c r="AG338">
        <v>11107.77</v>
      </c>
      <c r="AH338">
        <v>0</v>
      </c>
      <c r="AI338">
        <v>6621.81</v>
      </c>
      <c r="AJ338">
        <v>0</v>
      </c>
      <c r="AK338">
        <v>0</v>
      </c>
      <c r="AL338">
        <v>17729.580000000002</v>
      </c>
      <c r="AM338">
        <v>20523.23</v>
      </c>
      <c r="AN338">
        <v>0</v>
      </c>
      <c r="AO338">
        <v>8585.73</v>
      </c>
      <c r="AP338">
        <v>0</v>
      </c>
      <c r="AQ338">
        <v>0</v>
      </c>
      <c r="AR338">
        <v>29108.959999999999</v>
      </c>
      <c r="AS338">
        <v>519.63</v>
      </c>
      <c r="AT338">
        <v>0</v>
      </c>
      <c r="AU338">
        <v>7303.4</v>
      </c>
      <c r="AV338">
        <v>0</v>
      </c>
      <c r="AW338">
        <v>0</v>
      </c>
      <c r="AX338">
        <v>7823.03</v>
      </c>
      <c r="AY338">
        <v>164272.60999999999</v>
      </c>
      <c r="AZ338">
        <v>1</v>
      </c>
      <c r="BA338">
        <v>68</v>
      </c>
      <c r="BB338">
        <v>46073.101999999999</v>
      </c>
      <c r="BC338">
        <v>3132970.9139999999</v>
      </c>
      <c r="BD338">
        <v>614.37529400000005</v>
      </c>
      <c r="BE338">
        <v>628.74699999999996</v>
      </c>
      <c r="BF338">
        <v>733</v>
      </c>
      <c r="BG338">
        <v>2644.3630830000002</v>
      </c>
      <c r="BH338">
        <v>459.22199999999998</v>
      </c>
    </row>
    <row r="339" spans="1:60" x14ac:dyDescent="0.35">
      <c r="A339" t="s">
        <v>757</v>
      </c>
      <c r="B339" t="s">
        <v>757</v>
      </c>
      <c r="C339" t="s">
        <v>761</v>
      </c>
      <c r="D339" t="s">
        <v>762</v>
      </c>
      <c r="E339">
        <v>113343</v>
      </c>
      <c r="F339">
        <v>318</v>
      </c>
      <c r="G339">
        <v>371.3272</v>
      </c>
      <c r="H339">
        <v>1.1676960000000001</v>
      </c>
      <c r="I339">
        <v>50192.32</v>
      </c>
      <c r="J339">
        <v>0</v>
      </c>
      <c r="K339">
        <v>0</v>
      </c>
      <c r="L339">
        <v>0</v>
      </c>
      <c r="M339">
        <v>0</v>
      </c>
      <c r="N339">
        <v>50192.32</v>
      </c>
      <c r="O339">
        <v>33930.49</v>
      </c>
      <c r="P339">
        <v>0</v>
      </c>
      <c r="Q339">
        <v>0</v>
      </c>
      <c r="R339">
        <v>0</v>
      </c>
      <c r="S339">
        <v>0</v>
      </c>
      <c r="T339">
        <v>33930.49</v>
      </c>
      <c r="U339">
        <v>27332.52</v>
      </c>
      <c r="V339">
        <v>0</v>
      </c>
      <c r="W339">
        <v>22</v>
      </c>
      <c r="X339">
        <v>0</v>
      </c>
      <c r="Y339">
        <v>0</v>
      </c>
      <c r="Z339">
        <v>27354.52</v>
      </c>
      <c r="AA339">
        <v>112866.58</v>
      </c>
      <c r="AB339">
        <v>24781.19</v>
      </c>
      <c r="AC339">
        <v>157146.57</v>
      </c>
      <c r="AD339">
        <v>0</v>
      </c>
      <c r="AE339">
        <v>0</v>
      </c>
      <c r="AF339">
        <v>294794.34000000003</v>
      </c>
      <c r="AG339">
        <v>3588.81</v>
      </c>
      <c r="AH339">
        <v>5324.05</v>
      </c>
      <c r="AI339">
        <v>19392.2</v>
      </c>
      <c r="AJ339">
        <v>0</v>
      </c>
      <c r="AK339">
        <v>0</v>
      </c>
      <c r="AL339">
        <v>28305.06</v>
      </c>
      <c r="AM339">
        <v>267031.46000000002</v>
      </c>
      <c r="AN339">
        <v>31245.83</v>
      </c>
      <c r="AO339">
        <v>50081.85</v>
      </c>
      <c r="AP339">
        <v>0</v>
      </c>
      <c r="AQ339">
        <v>0</v>
      </c>
      <c r="AR339">
        <v>348359.14</v>
      </c>
      <c r="AS339">
        <v>199296.09</v>
      </c>
      <c r="AT339">
        <v>0</v>
      </c>
      <c r="AU339">
        <v>22411.279999999999</v>
      </c>
      <c r="AV339">
        <v>0</v>
      </c>
      <c r="AW339">
        <v>0</v>
      </c>
      <c r="AX339">
        <v>221707.37</v>
      </c>
      <c r="AY339">
        <v>1004643.24</v>
      </c>
      <c r="AZ339">
        <v>1</v>
      </c>
      <c r="BA339">
        <v>119</v>
      </c>
      <c r="BB339">
        <v>52275.112999999998</v>
      </c>
      <c r="BC339">
        <v>6220738.3969999999</v>
      </c>
      <c r="BD339">
        <v>1794.0026889999999</v>
      </c>
      <c r="BE339">
        <v>3884.5880000000002</v>
      </c>
      <c r="BF339">
        <v>930</v>
      </c>
      <c r="BG339">
        <v>3333.0525379999999</v>
      </c>
      <c r="BH339">
        <v>1415.1969999999999</v>
      </c>
    </row>
    <row r="340" spans="1:60" x14ac:dyDescent="0.35">
      <c r="A340" t="s">
        <v>757</v>
      </c>
      <c r="B340" t="s">
        <v>757</v>
      </c>
      <c r="C340" t="s">
        <v>763</v>
      </c>
      <c r="D340" t="s">
        <v>764</v>
      </c>
      <c r="E340">
        <v>253214</v>
      </c>
      <c r="F340">
        <v>786</v>
      </c>
      <c r="G340">
        <v>903.8383</v>
      </c>
      <c r="H340">
        <v>1.1499220000000001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302.41000000000003</v>
      </c>
      <c r="P340">
        <v>2416.41</v>
      </c>
      <c r="Q340">
        <v>0</v>
      </c>
      <c r="R340">
        <v>0</v>
      </c>
      <c r="S340">
        <v>0</v>
      </c>
      <c r="T340">
        <v>2718.82</v>
      </c>
      <c r="U340">
        <v>13102.68</v>
      </c>
      <c r="V340">
        <v>5548.56</v>
      </c>
      <c r="W340">
        <v>421.7</v>
      </c>
      <c r="X340">
        <v>0</v>
      </c>
      <c r="Y340">
        <v>0</v>
      </c>
      <c r="Z340">
        <v>19072.939999999999</v>
      </c>
      <c r="AA340">
        <v>315828.43</v>
      </c>
      <c r="AB340">
        <v>37084.120000000003</v>
      </c>
      <c r="AC340">
        <v>268651.96000000002</v>
      </c>
      <c r="AD340">
        <v>3285.09</v>
      </c>
      <c r="AE340">
        <v>0</v>
      </c>
      <c r="AF340">
        <v>624849.6</v>
      </c>
      <c r="AG340">
        <v>45397.43</v>
      </c>
      <c r="AH340">
        <v>2117.09</v>
      </c>
      <c r="AI340">
        <v>39294.97</v>
      </c>
      <c r="AJ340">
        <v>1209.08</v>
      </c>
      <c r="AK340">
        <v>0</v>
      </c>
      <c r="AL340">
        <v>88018.57</v>
      </c>
      <c r="AM340">
        <v>110245.26</v>
      </c>
      <c r="AN340">
        <v>35453.699999999997</v>
      </c>
      <c r="AO340">
        <v>60757.17</v>
      </c>
      <c r="AP340">
        <v>1957.54</v>
      </c>
      <c r="AQ340">
        <v>0</v>
      </c>
      <c r="AR340">
        <v>208413.67</v>
      </c>
      <c r="AS340">
        <v>51250.15</v>
      </c>
      <c r="AT340">
        <v>0</v>
      </c>
      <c r="AU340">
        <v>13217.1</v>
      </c>
      <c r="AV340">
        <v>0</v>
      </c>
      <c r="AW340">
        <v>0</v>
      </c>
      <c r="AX340">
        <v>64467.25</v>
      </c>
      <c r="AY340">
        <v>1007540.85</v>
      </c>
      <c r="AZ340">
        <v>1</v>
      </c>
      <c r="BA340">
        <v>266</v>
      </c>
      <c r="BB340">
        <v>59952.63</v>
      </c>
      <c r="BC340">
        <v>15947399.465</v>
      </c>
      <c r="BD340">
        <v>1343.552293</v>
      </c>
      <c r="BE340">
        <v>1136.491</v>
      </c>
      <c r="BF340">
        <v>2581</v>
      </c>
      <c r="BG340">
        <v>2096.2415959999998</v>
      </c>
      <c r="BH340">
        <v>783.61599999999999</v>
      </c>
    </row>
    <row r="341" spans="1:60" x14ac:dyDescent="0.35">
      <c r="A341" t="s">
        <v>757</v>
      </c>
      <c r="B341" t="s">
        <v>757</v>
      </c>
      <c r="C341" t="s">
        <v>765</v>
      </c>
      <c r="D341" t="s">
        <v>766</v>
      </c>
      <c r="E341">
        <v>19143</v>
      </c>
      <c r="F341">
        <v>13</v>
      </c>
      <c r="G341">
        <v>20.998629999999999</v>
      </c>
      <c r="H341">
        <v>1.6152789999999999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7</v>
      </c>
      <c r="BB341">
        <v>44333.019</v>
      </c>
      <c r="BC341">
        <v>310331.13099999999</v>
      </c>
      <c r="BD341">
        <v>198.485714</v>
      </c>
      <c r="BE341">
        <v>0</v>
      </c>
      <c r="BF341">
        <v>101</v>
      </c>
      <c r="BG341">
        <v>2560.4857430000002</v>
      </c>
      <c r="BH341">
        <v>1982.88</v>
      </c>
    </row>
    <row r="342" spans="1:60" x14ac:dyDescent="0.35">
      <c r="A342" t="s">
        <v>757</v>
      </c>
      <c r="B342" t="s">
        <v>757</v>
      </c>
      <c r="C342" t="s">
        <v>767</v>
      </c>
      <c r="D342" t="s">
        <v>768</v>
      </c>
      <c r="E342">
        <v>3330</v>
      </c>
      <c r="F342">
        <v>1</v>
      </c>
      <c r="G342">
        <v>1.103011</v>
      </c>
      <c r="H342">
        <v>1.103011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4</v>
      </c>
      <c r="BB342">
        <v>43457.938000000002</v>
      </c>
      <c r="BC342">
        <v>173831.75</v>
      </c>
      <c r="BD342">
        <v>0</v>
      </c>
      <c r="BE342">
        <v>0</v>
      </c>
      <c r="BF342">
        <v>74</v>
      </c>
      <c r="BG342">
        <v>315.27310799999998</v>
      </c>
      <c r="BH342">
        <v>0</v>
      </c>
    </row>
    <row r="343" spans="1:60" x14ac:dyDescent="0.35">
      <c r="A343" t="s">
        <v>757</v>
      </c>
      <c r="B343" t="s">
        <v>757</v>
      </c>
      <c r="C343" t="s">
        <v>769</v>
      </c>
      <c r="D343" t="s">
        <v>770</v>
      </c>
      <c r="E343">
        <v>55070</v>
      </c>
      <c r="F343">
        <v>112</v>
      </c>
      <c r="G343">
        <v>98.978629999999995</v>
      </c>
      <c r="H343">
        <v>0.88373780000000002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91613.5</v>
      </c>
      <c r="AB343">
        <v>0</v>
      </c>
      <c r="AC343">
        <v>29379.54</v>
      </c>
      <c r="AD343">
        <v>0</v>
      </c>
      <c r="AE343">
        <v>0</v>
      </c>
      <c r="AF343">
        <v>120993.04</v>
      </c>
      <c r="AG343">
        <v>19006.18</v>
      </c>
      <c r="AH343">
        <v>0</v>
      </c>
      <c r="AI343">
        <v>5949.65</v>
      </c>
      <c r="AJ343">
        <v>0</v>
      </c>
      <c r="AK343">
        <v>0</v>
      </c>
      <c r="AL343">
        <v>24955.83</v>
      </c>
      <c r="AM343">
        <v>18611.259999999998</v>
      </c>
      <c r="AN343">
        <v>0</v>
      </c>
      <c r="AO343">
        <v>10314.58</v>
      </c>
      <c r="AP343">
        <v>0</v>
      </c>
      <c r="AQ343">
        <v>0</v>
      </c>
      <c r="AR343">
        <v>28925.84</v>
      </c>
      <c r="AS343">
        <v>1172.76</v>
      </c>
      <c r="AT343">
        <v>0</v>
      </c>
      <c r="AU343">
        <v>4453.8999999999996</v>
      </c>
      <c r="AV343">
        <v>0</v>
      </c>
      <c r="AW343">
        <v>0</v>
      </c>
      <c r="AX343">
        <v>5626.66</v>
      </c>
      <c r="AY343">
        <v>180501.37</v>
      </c>
      <c r="AZ343">
        <v>1</v>
      </c>
      <c r="BA343">
        <v>43</v>
      </c>
      <c r="BB343">
        <v>35301.599000000002</v>
      </c>
      <c r="BC343">
        <v>1517968.753</v>
      </c>
      <c r="BD343">
        <v>452.28511600000002</v>
      </c>
      <c r="BE343">
        <v>526.90099999999995</v>
      </c>
      <c r="BF343">
        <v>443</v>
      </c>
      <c r="BG343">
        <v>2941.7605870000002</v>
      </c>
      <c r="BH343">
        <v>244.554</v>
      </c>
    </row>
    <row r="344" spans="1:60" x14ac:dyDescent="0.35">
      <c r="A344" t="s">
        <v>757</v>
      </c>
      <c r="B344" t="s">
        <v>757</v>
      </c>
      <c r="C344" t="s">
        <v>771</v>
      </c>
      <c r="D344" t="s">
        <v>772</v>
      </c>
      <c r="E344">
        <v>44159</v>
      </c>
      <c r="F344">
        <v>56</v>
      </c>
      <c r="G344">
        <v>54.536020000000001</v>
      </c>
      <c r="H344">
        <v>0.97385759999999999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69542.97</v>
      </c>
      <c r="AB344">
        <v>15289.22</v>
      </c>
      <c r="AC344">
        <v>88745.54</v>
      </c>
      <c r="AD344">
        <v>9731.5400000000009</v>
      </c>
      <c r="AE344">
        <v>0</v>
      </c>
      <c r="AF344">
        <v>183309.27</v>
      </c>
      <c r="AG344">
        <v>10018.92</v>
      </c>
      <c r="AH344">
        <v>3102.2</v>
      </c>
      <c r="AI344">
        <v>10633.71</v>
      </c>
      <c r="AJ344">
        <v>1802.09</v>
      </c>
      <c r="AK344">
        <v>0</v>
      </c>
      <c r="AL344">
        <v>25556.92</v>
      </c>
      <c r="AM344">
        <v>4486.46</v>
      </c>
      <c r="AN344">
        <v>1149.6400000000001</v>
      </c>
      <c r="AO344">
        <v>9103.0499999999993</v>
      </c>
      <c r="AP344">
        <v>2175.42</v>
      </c>
      <c r="AQ344">
        <v>0</v>
      </c>
      <c r="AR344">
        <v>16914.57</v>
      </c>
      <c r="AS344">
        <v>0</v>
      </c>
      <c r="AT344">
        <v>0</v>
      </c>
      <c r="AU344">
        <v>343.51</v>
      </c>
      <c r="AV344">
        <v>0</v>
      </c>
      <c r="AW344">
        <v>0</v>
      </c>
      <c r="AX344">
        <v>343.51</v>
      </c>
      <c r="AY344">
        <v>226124.27</v>
      </c>
      <c r="AZ344">
        <v>0</v>
      </c>
      <c r="BA344">
        <v>9</v>
      </c>
      <c r="BB344">
        <v>74248.092000000004</v>
      </c>
      <c r="BC344">
        <v>668232.82499999995</v>
      </c>
      <c r="BD344">
        <v>7678.7644440000004</v>
      </c>
      <c r="BE344">
        <v>798.25</v>
      </c>
      <c r="BF344">
        <v>342</v>
      </c>
      <c r="BG344">
        <v>870.01105299999995</v>
      </c>
      <c r="BH344">
        <v>422.18099999999998</v>
      </c>
    </row>
    <row r="345" spans="1:60" x14ac:dyDescent="0.35">
      <c r="A345" t="s">
        <v>757</v>
      </c>
      <c r="B345" t="s">
        <v>757</v>
      </c>
      <c r="C345" t="s">
        <v>773</v>
      </c>
      <c r="D345" t="s">
        <v>774</v>
      </c>
      <c r="E345">
        <v>69135</v>
      </c>
      <c r="F345">
        <v>229</v>
      </c>
      <c r="G345">
        <v>232.0146</v>
      </c>
      <c r="H345">
        <v>1.013164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24.81</v>
      </c>
      <c r="P345">
        <v>0</v>
      </c>
      <c r="Q345">
        <v>0</v>
      </c>
      <c r="R345">
        <v>0</v>
      </c>
      <c r="S345">
        <v>0</v>
      </c>
      <c r="T345">
        <v>24.81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1952.43</v>
      </c>
      <c r="AB345">
        <v>0</v>
      </c>
      <c r="AC345">
        <v>0</v>
      </c>
      <c r="AD345">
        <v>0</v>
      </c>
      <c r="AE345">
        <v>0</v>
      </c>
      <c r="AF345">
        <v>1952.43</v>
      </c>
      <c r="AG345">
        <v>6.54</v>
      </c>
      <c r="AH345">
        <v>0</v>
      </c>
      <c r="AI345">
        <v>0</v>
      </c>
      <c r="AJ345">
        <v>0</v>
      </c>
      <c r="AK345">
        <v>0</v>
      </c>
      <c r="AL345">
        <v>6.54</v>
      </c>
      <c r="AM345">
        <v>976.65</v>
      </c>
      <c r="AN345">
        <v>0</v>
      </c>
      <c r="AO345">
        <v>0</v>
      </c>
      <c r="AP345">
        <v>0</v>
      </c>
      <c r="AQ345">
        <v>0</v>
      </c>
      <c r="AR345">
        <v>976.65</v>
      </c>
      <c r="AS345">
        <v>343.27</v>
      </c>
      <c r="AT345">
        <v>0</v>
      </c>
      <c r="AU345">
        <v>0</v>
      </c>
      <c r="AV345">
        <v>0</v>
      </c>
      <c r="AW345">
        <v>0</v>
      </c>
      <c r="AX345">
        <v>343.27</v>
      </c>
      <c r="AY345">
        <v>3303.7</v>
      </c>
      <c r="AZ345">
        <v>1</v>
      </c>
      <c r="BA345">
        <v>61</v>
      </c>
      <c r="BB345">
        <v>63172.622000000003</v>
      </c>
      <c r="BC345">
        <v>3853529.9449999998</v>
      </c>
      <c r="BD345">
        <v>2923.699016</v>
      </c>
      <c r="BE345">
        <v>1714.0170000000001</v>
      </c>
      <c r="BF345">
        <v>749</v>
      </c>
      <c r="BG345">
        <v>3024.018024</v>
      </c>
      <c r="BH345">
        <v>857.226</v>
      </c>
    </row>
    <row r="346" spans="1:60" x14ac:dyDescent="0.35">
      <c r="A346" t="s">
        <v>757</v>
      </c>
      <c r="B346" t="s">
        <v>757</v>
      </c>
      <c r="C346" t="s">
        <v>775</v>
      </c>
      <c r="D346" t="s">
        <v>776</v>
      </c>
      <c r="E346">
        <v>68619</v>
      </c>
      <c r="F346">
        <v>225</v>
      </c>
      <c r="G346">
        <v>240.5059</v>
      </c>
      <c r="H346">
        <v>1.0689150000000001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8987.2900000000009</v>
      </c>
      <c r="P346">
        <v>0</v>
      </c>
      <c r="Q346">
        <v>0</v>
      </c>
      <c r="R346">
        <v>0</v>
      </c>
      <c r="S346">
        <v>0</v>
      </c>
      <c r="T346">
        <v>8987.2900000000009</v>
      </c>
      <c r="U346">
        <v>12057.17</v>
      </c>
      <c r="V346">
        <v>0</v>
      </c>
      <c r="W346">
        <v>0</v>
      </c>
      <c r="X346">
        <v>0</v>
      </c>
      <c r="Y346">
        <v>0</v>
      </c>
      <c r="Z346">
        <v>12057.17</v>
      </c>
      <c r="AA346">
        <v>214741.92</v>
      </c>
      <c r="AB346">
        <v>0</v>
      </c>
      <c r="AC346">
        <v>158458.60999999999</v>
      </c>
      <c r="AD346">
        <v>0</v>
      </c>
      <c r="AE346">
        <v>0</v>
      </c>
      <c r="AF346">
        <v>373200.53</v>
      </c>
      <c r="AG346">
        <v>25876.83</v>
      </c>
      <c r="AH346">
        <v>0</v>
      </c>
      <c r="AI346">
        <v>19284.509999999998</v>
      </c>
      <c r="AJ346">
        <v>0</v>
      </c>
      <c r="AK346">
        <v>0</v>
      </c>
      <c r="AL346">
        <v>45161.34</v>
      </c>
      <c r="AM346">
        <v>93646.41</v>
      </c>
      <c r="AN346">
        <v>0</v>
      </c>
      <c r="AO346">
        <v>30859.25</v>
      </c>
      <c r="AP346">
        <v>0</v>
      </c>
      <c r="AQ346">
        <v>0</v>
      </c>
      <c r="AR346">
        <v>124505.66</v>
      </c>
      <c r="AS346">
        <v>47014.78</v>
      </c>
      <c r="AT346">
        <v>0</v>
      </c>
      <c r="AU346">
        <v>20296.46</v>
      </c>
      <c r="AV346">
        <v>0</v>
      </c>
      <c r="AW346">
        <v>0</v>
      </c>
      <c r="AX346">
        <v>67311.240000000005</v>
      </c>
      <c r="AY346">
        <v>631223.23</v>
      </c>
      <c r="AZ346">
        <v>1</v>
      </c>
      <c r="BA346">
        <v>102</v>
      </c>
      <c r="BB346">
        <v>64879.339</v>
      </c>
      <c r="BC346">
        <v>6617692.6229999997</v>
      </c>
      <c r="BD346">
        <v>6534.6609799999997</v>
      </c>
      <c r="BE346">
        <v>4602.99</v>
      </c>
      <c r="BF346">
        <v>967</v>
      </c>
      <c r="BG346">
        <v>7199.9031130000003</v>
      </c>
      <c r="BH346">
        <v>2103.2840000000001</v>
      </c>
    </row>
    <row r="347" spans="1:60" x14ac:dyDescent="0.35">
      <c r="A347" t="s">
        <v>757</v>
      </c>
      <c r="B347" t="s">
        <v>757</v>
      </c>
      <c r="C347" t="s">
        <v>777</v>
      </c>
      <c r="D347" t="s">
        <v>778</v>
      </c>
      <c r="E347">
        <v>8456</v>
      </c>
      <c r="F347">
        <v>2</v>
      </c>
      <c r="G347">
        <v>0.72199999999999998</v>
      </c>
      <c r="H347">
        <v>0.36099999999999999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3</v>
      </c>
      <c r="BB347">
        <v>153579.745</v>
      </c>
      <c r="BC347">
        <v>460739.234</v>
      </c>
      <c r="BD347">
        <v>20297.243332999999</v>
      </c>
      <c r="BE347">
        <v>0</v>
      </c>
      <c r="BF347">
        <v>25</v>
      </c>
      <c r="BG347">
        <v>2757.0232000000001</v>
      </c>
      <c r="BH347">
        <v>1557.1859999999999</v>
      </c>
    </row>
    <row r="348" spans="1:60" x14ac:dyDescent="0.35">
      <c r="A348" t="s">
        <v>757</v>
      </c>
      <c r="B348" t="s">
        <v>757</v>
      </c>
      <c r="C348" t="s">
        <v>779</v>
      </c>
      <c r="D348" t="s">
        <v>780</v>
      </c>
      <c r="E348">
        <v>138830</v>
      </c>
      <c r="F348">
        <v>287</v>
      </c>
      <c r="G348">
        <v>319.69470000000001</v>
      </c>
      <c r="H348">
        <v>1.1139190000000001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70.010000000000005</v>
      </c>
      <c r="P348">
        <v>0</v>
      </c>
      <c r="Q348">
        <v>0</v>
      </c>
      <c r="R348">
        <v>0</v>
      </c>
      <c r="S348">
        <v>0</v>
      </c>
      <c r="T348">
        <v>70.010000000000005</v>
      </c>
      <c r="U348">
        <v>12688.26</v>
      </c>
      <c r="V348">
        <v>0</v>
      </c>
      <c r="W348">
        <v>0</v>
      </c>
      <c r="X348">
        <v>0</v>
      </c>
      <c r="Y348">
        <v>0</v>
      </c>
      <c r="Z348">
        <v>12688.26</v>
      </c>
      <c r="AA348">
        <v>216658.09</v>
      </c>
      <c r="AB348">
        <v>7040.54</v>
      </c>
      <c r="AC348">
        <v>155545.15</v>
      </c>
      <c r="AD348">
        <v>0</v>
      </c>
      <c r="AE348">
        <v>0</v>
      </c>
      <c r="AF348">
        <v>379243.78</v>
      </c>
      <c r="AG348">
        <v>27568.9</v>
      </c>
      <c r="AH348">
        <v>1372.64</v>
      </c>
      <c r="AI348">
        <v>17398.55</v>
      </c>
      <c r="AJ348">
        <v>0</v>
      </c>
      <c r="AK348">
        <v>0</v>
      </c>
      <c r="AL348">
        <v>46340.09</v>
      </c>
      <c r="AM348">
        <v>193026.69</v>
      </c>
      <c r="AN348">
        <v>510.18</v>
      </c>
      <c r="AO348">
        <v>24891.86</v>
      </c>
      <c r="AP348">
        <v>0</v>
      </c>
      <c r="AQ348">
        <v>0</v>
      </c>
      <c r="AR348">
        <v>218428.73</v>
      </c>
      <c r="AS348">
        <v>100898.29</v>
      </c>
      <c r="AT348">
        <v>0</v>
      </c>
      <c r="AU348">
        <v>18203.84</v>
      </c>
      <c r="AV348">
        <v>0</v>
      </c>
      <c r="AW348">
        <v>0</v>
      </c>
      <c r="AX348">
        <v>119102.13</v>
      </c>
      <c r="AY348">
        <v>775873.00000000012</v>
      </c>
      <c r="AZ348">
        <v>1</v>
      </c>
      <c r="BA348">
        <v>148</v>
      </c>
      <c r="BB348">
        <v>48038.033000000003</v>
      </c>
      <c r="BC348">
        <v>7109628.8130000001</v>
      </c>
      <c r="BD348">
        <v>1810.699797</v>
      </c>
      <c r="BE348">
        <v>682.49800000000005</v>
      </c>
      <c r="BF348">
        <v>1602</v>
      </c>
      <c r="BG348">
        <v>2039.9482210000001</v>
      </c>
      <c r="BH348">
        <v>569.46299999999997</v>
      </c>
    </row>
    <row r="349" spans="1:60" x14ac:dyDescent="0.35">
      <c r="A349" t="s">
        <v>757</v>
      </c>
      <c r="B349" t="s">
        <v>757</v>
      </c>
      <c r="C349" t="s">
        <v>781</v>
      </c>
      <c r="D349" t="s">
        <v>782</v>
      </c>
      <c r="E349">
        <v>428</v>
      </c>
      <c r="F349" t="s">
        <v>81</v>
      </c>
      <c r="G349" t="s">
        <v>81</v>
      </c>
      <c r="H349" t="s">
        <v>81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22910.84</v>
      </c>
      <c r="BH349">
        <v>0</v>
      </c>
    </row>
    <row r="350" spans="1:60" x14ac:dyDescent="0.35">
      <c r="A350" t="s">
        <v>757</v>
      </c>
      <c r="B350" t="s">
        <v>757</v>
      </c>
      <c r="C350" t="s">
        <v>783</v>
      </c>
      <c r="D350" t="s">
        <v>784</v>
      </c>
      <c r="E350">
        <v>697</v>
      </c>
      <c r="F350" t="s">
        <v>81</v>
      </c>
      <c r="G350" t="s">
        <v>81</v>
      </c>
      <c r="H350" t="s">
        <v>81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4</v>
      </c>
      <c r="BG350">
        <v>20442.377499999999</v>
      </c>
      <c r="BH350">
        <v>0</v>
      </c>
    </row>
    <row r="351" spans="1:60" x14ac:dyDescent="0.35">
      <c r="A351" t="s">
        <v>757</v>
      </c>
      <c r="B351" t="s">
        <v>757</v>
      </c>
      <c r="C351" t="s">
        <v>785</v>
      </c>
      <c r="D351" t="s">
        <v>786</v>
      </c>
      <c r="E351">
        <v>8360</v>
      </c>
      <c r="F351" t="s">
        <v>81</v>
      </c>
      <c r="G351" t="s">
        <v>81</v>
      </c>
      <c r="H351" t="s">
        <v>81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6</v>
      </c>
      <c r="BG351">
        <v>29299.123333</v>
      </c>
      <c r="BH351">
        <v>0</v>
      </c>
    </row>
    <row r="352" spans="1:60" x14ac:dyDescent="0.35">
      <c r="A352" t="s">
        <v>757</v>
      </c>
      <c r="B352" t="s">
        <v>757</v>
      </c>
      <c r="C352" t="s">
        <v>787</v>
      </c>
      <c r="D352" t="s">
        <v>788</v>
      </c>
      <c r="E352">
        <v>4928</v>
      </c>
      <c r="F352">
        <v>1</v>
      </c>
      <c r="G352">
        <v>1.3</v>
      </c>
      <c r="H352">
        <v>1.3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36</v>
      </c>
      <c r="BG352">
        <v>9517.7494439999991</v>
      </c>
      <c r="BH352">
        <v>781.15099999999995</v>
      </c>
    </row>
    <row r="353" spans="1:60" x14ac:dyDescent="0.35">
      <c r="A353" t="s">
        <v>757</v>
      </c>
      <c r="B353" t="s">
        <v>757</v>
      </c>
      <c r="C353" t="s">
        <v>789</v>
      </c>
      <c r="D353" t="s">
        <v>790</v>
      </c>
      <c r="E353">
        <v>31128</v>
      </c>
      <c r="F353">
        <v>52</v>
      </c>
      <c r="G353">
        <v>69.676739999999995</v>
      </c>
      <c r="H353">
        <v>1.3399369999999999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1</v>
      </c>
      <c r="BA353">
        <v>40</v>
      </c>
      <c r="BB353">
        <v>82010.865000000005</v>
      </c>
      <c r="BC353">
        <v>3280434.5929999999</v>
      </c>
      <c r="BD353">
        <v>982.3075</v>
      </c>
      <c r="BE353">
        <v>4091.9690000000001</v>
      </c>
      <c r="BF353">
        <v>311</v>
      </c>
      <c r="BG353">
        <v>2000.001929</v>
      </c>
      <c r="BH353">
        <v>4594.826</v>
      </c>
    </row>
    <row r="354" spans="1:60" x14ac:dyDescent="0.35">
      <c r="A354" t="s">
        <v>757</v>
      </c>
      <c r="B354" t="s">
        <v>757</v>
      </c>
      <c r="C354" t="s">
        <v>791</v>
      </c>
      <c r="D354" t="s">
        <v>792</v>
      </c>
      <c r="E354">
        <v>496</v>
      </c>
      <c r="F354" t="s">
        <v>81</v>
      </c>
      <c r="G354" t="s">
        <v>81</v>
      </c>
      <c r="H354" t="s">
        <v>81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8</v>
      </c>
      <c r="BG354">
        <v>0</v>
      </c>
      <c r="BH354">
        <v>0</v>
      </c>
    </row>
    <row r="355" spans="1:60" x14ac:dyDescent="0.35">
      <c r="A355" t="s">
        <v>757</v>
      </c>
      <c r="B355" t="s">
        <v>757</v>
      </c>
      <c r="C355" t="s">
        <v>793</v>
      </c>
      <c r="D355" t="s">
        <v>794</v>
      </c>
      <c r="E355">
        <v>1168</v>
      </c>
      <c r="F355" t="s">
        <v>81</v>
      </c>
      <c r="G355" t="s">
        <v>81</v>
      </c>
      <c r="H355" t="s">
        <v>81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9</v>
      </c>
      <c r="BG355">
        <v>0</v>
      </c>
      <c r="BH355">
        <v>0</v>
      </c>
    </row>
    <row r="356" spans="1:60" x14ac:dyDescent="0.35">
      <c r="A356" t="s">
        <v>757</v>
      </c>
      <c r="B356" t="s">
        <v>757</v>
      </c>
      <c r="C356" t="s">
        <v>795</v>
      </c>
      <c r="D356" t="s">
        <v>796</v>
      </c>
      <c r="E356">
        <v>584</v>
      </c>
      <c r="F356" t="s">
        <v>81</v>
      </c>
      <c r="G356" t="s">
        <v>81</v>
      </c>
      <c r="H356" t="s">
        <v>81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2</v>
      </c>
      <c r="BG356">
        <v>0</v>
      </c>
      <c r="BH356">
        <v>0</v>
      </c>
    </row>
    <row r="357" spans="1:60" x14ac:dyDescent="0.35">
      <c r="A357" t="s">
        <v>757</v>
      </c>
      <c r="B357" t="s">
        <v>757</v>
      </c>
      <c r="C357" t="s">
        <v>797</v>
      </c>
      <c r="D357" t="s">
        <v>798</v>
      </c>
      <c r="E357">
        <v>8822</v>
      </c>
      <c r="F357">
        <v>7</v>
      </c>
      <c r="G357">
        <v>8.0381470000000004</v>
      </c>
      <c r="H357">
        <v>1.148307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17445.167000000001</v>
      </c>
      <c r="BC357">
        <v>17445.167000000001</v>
      </c>
      <c r="BD357">
        <v>0</v>
      </c>
      <c r="BE357">
        <v>843.66800000000001</v>
      </c>
      <c r="BF357">
        <v>52</v>
      </c>
      <c r="BG357">
        <v>163.91346200000001</v>
      </c>
      <c r="BH357">
        <v>132.68</v>
      </c>
    </row>
    <row r="358" spans="1:60" x14ac:dyDescent="0.35">
      <c r="A358" t="s">
        <v>757</v>
      </c>
      <c r="B358" t="s">
        <v>757</v>
      </c>
      <c r="C358" t="s">
        <v>799</v>
      </c>
      <c r="D358" t="s">
        <v>800</v>
      </c>
      <c r="E358">
        <v>89862</v>
      </c>
      <c r="F358">
        <v>104</v>
      </c>
      <c r="G358">
        <v>104.4387</v>
      </c>
      <c r="H358">
        <v>1.0042180000000001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46.13</v>
      </c>
      <c r="V358">
        <v>0</v>
      </c>
      <c r="W358">
        <v>0</v>
      </c>
      <c r="X358">
        <v>0</v>
      </c>
      <c r="Y358">
        <v>0</v>
      </c>
      <c r="Z358">
        <v>46.13</v>
      </c>
      <c r="AA358">
        <v>42653.88</v>
      </c>
      <c r="AB358">
        <v>0</v>
      </c>
      <c r="AC358">
        <v>31180.31</v>
      </c>
      <c r="AD358">
        <v>0</v>
      </c>
      <c r="AE358">
        <v>0</v>
      </c>
      <c r="AF358">
        <v>73834.19</v>
      </c>
      <c r="AG358">
        <v>5452.4</v>
      </c>
      <c r="AH358">
        <v>0</v>
      </c>
      <c r="AI358">
        <v>3348.17</v>
      </c>
      <c r="AJ358">
        <v>0</v>
      </c>
      <c r="AK358">
        <v>0</v>
      </c>
      <c r="AL358">
        <v>8800.57</v>
      </c>
      <c r="AM358">
        <v>2016.28</v>
      </c>
      <c r="AN358">
        <v>0</v>
      </c>
      <c r="AO358">
        <v>5195.7700000000004</v>
      </c>
      <c r="AP358">
        <v>0</v>
      </c>
      <c r="AQ358">
        <v>0</v>
      </c>
      <c r="AR358">
        <v>7212.05</v>
      </c>
      <c r="AS358">
        <v>1122.7</v>
      </c>
      <c r="AT358">
        <v>0</v>
      </c>
      <c r="AU358">
        <v>2455.2199999999998</v>
      </c>
      <c r="AV358">
        <v>0</v>
      </c>
      <c r="AW358">
        <v>0</v>
      </c>
      <c r="AX358">
        <v>3577.92</v>
      </c>
      <c r="AY358">
        <v>93470.86</v>
      </c>
      <c r="AZ358">
        <v>1</v>
      </c>
      <c r="BA358">
        <v>63</v>
      </c>
      <c r="BB358">
        <v>55742.707999999999</v>
      </c>
      <c r="BC358">
        <v>3511790.6060000001</v>
      </c>
      <c r="BD358">
        <v>467.461905</v>
      </c>
      <c r="BE358">
        <v>216.773</v>
      </c>
      <c r="BF358">
        <v>740</v>
      </c>
      <c r="BG358">
        <v>1777.0439590000001</v>
      </c>
      <c r="BH358">
        <v>408.33499999999998</v>
      </c>
    </row>
    <row r="359" spans="1:60" x14ac:dyDescent="0.35">
      <c r="A359" t="s">
        <v>757</v>
      </c>
      <c r="B359" t="s">
        <v>757</v>
      </c>
      <c r="C359" t="s">
        <v>801</v>
      </c>
      <c r="D359" t="s">
        <v>802</v>
      </c>
      <c r="E359">
        <v>17874</v>
      </c>
      <c r="F359">
        <v>25</v>
      </c>
      <c r="G359">
        <v>32.732819999999997</v>
      </c>
      <c r="H359">
        <v>1.3093129999999999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13</v>
      </c>
      <c r="BB359">
        <v>86119.52</v>
      </c>
      <c r="BC359">
        <v>1119553.7579999999</v>
      </c>
      <c r="BD359">
        <v>2.8076919999999999</v>
      </c>
      <c r="BE359">
        <v>332.01299999999998</v>
      </c>
      <c r="BF359">
        <v>130</v>
      </c>
      <c r="BG359">
        <v>2184.177385</v>
      </c>
      <c r="BH359">
        <v>1135.982</v>
      </c>
    </row>
    <row r="360" spans="1:60" x14ac:dyDescent="0.35">
      <c r="A360" t="s">
        <v>757</v>
      </c>
      <c r="B360" t="s">
        <v>757</v>
      </c>
      <c r="C360" t="s">
        <v>803</v>
      </c>
      <c r="D360" t="s">
        <v>804</v>
      </c>
      <c r="E360">
        <v>18558</v>
      </c>
      <c r="F360">
        <v>5</v>
      </c>
      <c r="G360">
        <v>3.9499029999999999</v>
      </c>
      <c r="H360">
        <v>0.78998060000000003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14</v>
      </c>
      <c r="BB360">
        <v>81795.539000000004</v>
      </c>
      <c r="BC360">
        <v>1145137.55</v>
      </c>
      <c r="BD360">
        <v>7.1429000000000006E-2</v>
      </c>
      <c r="BE360">
        <v>416.16300000000001</v>
      </c>
      <c r="BF360">
        <v>84</v>
      </c>
      <c r="BG360">
        <v>1160.3291670000001</v>
      </c>
      <c r="BH360">
        <v>7252.8410000000003</v>
      </c>
    </row>
    <row r="361" spans="1:60" x14ac:dyDescent="0.35">
      <c r="A361" t="s">
        <v>757</v>
      </c>
      <c r="B361" t="s">
        <v>757</v>
      </c>
      <c r="C361" t="s">
        <v>805</v>
      </c>
      <c r="D361" t="s">
        <v>806</v>
      </c>
      <c r="E361">
        <v>5317</v>
      </c>
      <c r="F361">
        <v>2</v>
      </c>
      <c r="G361">
        <v>1.08</v>
      </c>
      <c r="H361">
        <v>0.54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25</v>
      </c>
      <c r="BG361">
        <v>1231.8932</v>
      </c>
      <c r="BH361">
        <v>0</v>
      </c>
    </row>
    <row r="362" spans="1:60" x14ac:dyDescent="0.35">
      <c r="A362" t="s">
        <v>757</v>
      </c>
      <c r="B362" t="s">
        <v>757</v>
      </c>
      <c r="C362" t="s">
        <v>807</v>
      </c>
      <c r="D362" t="s">
        <v>808</v>
      </c>
      <c r="E362">
        <v>27590</v>
      </c>
      <c r="F362">
        <v>231</v>
      </c>
      <c r="G362">
        <v>281.31670000000003</v>
      </c>
      <c r="H362">
        <v>1.217821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700.91</v>
      </c>
      <c r="P362">
        <v>0</v>
      </c>
      <c r="Q362">
        <v>0</v>
      </c>
      <c r="R362">
        <v>0</v>
      </c>
      <c r="S362">
        <v>0</v>
      </c>
      <c r="T362">
        <v>700.91</v>
      </c>
      <c r="U362">
        <v>48251.96</v>
      </c>
      <c r="V362">
        <v>0</v>
      </c>
      <c r="W362">
        <v>0</v>
      </c>
      <c r="X362">
        <v>0</v>
      </c>
      <c r="Y362">
        <v>0</v>
      </c>
      <c r="Z362">
        <v>48251.96</v>
      </c>
      <c r="AA362">
        <v>71557.05</v>
      </c>
      <c r="AB362">
        <v>0</v>
      </c>
      <c r="AC362">
        <v>14547.74</v>
      </c>
      <c r="AD362">
        <v>0</v>
      </c>
      <c r="AE362">
        <v>0</v>
      </c>
      <c r="AF362">
        <v>86104.79</v>
      </c>
      <c r="AG362">
        <v>1285.1500000000001</v>
      </c>
      <c r="AH362">
        <v>0</v>
      </c>
      <c r="AI362">
        <v>2426.88</v>
      </c>
      <c r="AJ362">
        <v>0</v>
      </c>
      <c r="AK362">
        <v>0</v>
      </c>
      <c r="AL362">
        <v>3712.03</v>
      </c>
      <c r="AM362">
        <v>186468.57</v>
      </c>
      <c r="AN362">
        <v>4300.16</v>
      </c>
      <c r="AO362">
        <v>6080.45</v>
      </c>
      <c r="AP362">
        <v>886.14</v>
      </c>
      <c r="AQ362">
        <v>0</v>
      </c>
      <c r="AR362">
        <v>197735.32</v>
      </c>
      <c r="AS362">
        <v>280867.20000000001</v>
      </c>
      <c r="AT362">
        <v>0</v>
      </c>
      <c r="AU362">
        <v>1045.8800000000001</v>
      </c>
      <c r="AV362">
        <v>0</v>
      </c>
      <c r="AW362">
        <v>0</v>
      </c>
      <c r="AX362">
        <v>281913.08</v>
      </c>
      <c r="AY362">
        <v>618418.09</v>
      </c>
      <c r="AZ362">
        <v>1</v>
      </c>
      <c r="BA362">
        <v>103</v>
      </c>
      <c r="BB362">
        <v>67926.83</v>
      </c>
      <c r="BC362">
        <v>6996463.4759999998</v>
      </c>
      <c r="BD362">
        <v>1550.6792230000001</v>
      </c>
      <c r="BE362">
        <v>3901.2109999999998</v>
      </c>
      <c r="BF362">
        <v>466</v>
      </c>
      <c r="BG362">
        <v>2292.8546569999999</v>
      </c>
      <c r="BH362">
        <v>5492.2079999999996</v>
      </c>
    </row>
    <row r="363" spans="1:60" x14ac:dyDescent="0.35">
      <c r="A363" t="s">
        <v>757</v>
      </c>
      <c r="B363" t="s">
        <v>757</v>
      </c>
      <c r="C363" t="s">
        <v>809</v>
      </c>
      <c r="D363" t="s">
        <v>810</v>
      </c>
      <c r="E363">
        <v>1743</v>
      </c>
      <c r="F363">
        <v>2</v>
      </c>
      <c r="G363">
        <v>3.6812339999999999</v>
      </c>
      <c r="H363">
        <v>1.8406169999999999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10</v>
      </c>
      <c r="BG363">
        <v>560.6</v>
      </c>
      <c r="BH363">
        <v>0</v>
      </c>
    </row>
    <row r="364" spans="1:60" x14ac:dyDescent="0.35">
      <c r="A364" t="s">
        <v>757</v>
      </c>
      <c r="B364" t="s">
        <v>757</v>
      </c>
      <c r="C364" t="s">
        <v>811</v>
      </c>
      <c r="D364" t="s">
        <v>812</v>
      </c>
      <c r="E364">
        <v>48089</v>
      </c>
      <c r="F364">
        <v>26</v>
      </c>
      <c r="G364">
        <v>24.13599</v>
      </c>
      <c r="H364">
        <v>0.9283072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265.26</v>
      </c>
      <c r="X364">
        <v>0</v>
      </c>
      <c r="Y364">
        <v>0</v>
      </c>
      <c r="Z364">
        <v>265.26</v>
      </c>
      <c r="AA364">
        <v>19678.8</v>
      </c>
      <c r="AB364">
        <v>3134.18</v>
      </c>
      <c r="AC364">
        <v>68416.759999999995</v>
      </c>
      <c r="AD364">
        <v>0</v>
      </c>
      <c r="AE364">
        <v>0</v>
      </c>
      <c r="AF364">
        <v>91229.74</v>
      </c>
      <c r="AG364">
        <v>1889.71</v>
      </c>
      <c r="AH364">
        <v>805.88</v>
      </c>
      <c r="AI364">
        <v>12076.33</v>
      </c>
      <c r="AJ364">
        <v>0</v>
      </c>
      <c r="AK364">
        <v>0</v>
      </c>
      <c r="AL364">
        <v>14771.92</v>
      </c>
      <c r="AM364">
        <v>423.91</v>
      </c>
      <c r="AN364">
        <v>96.04</v>
      </c>
      <c r="AO364">
        <v>16403.990000000002</v>
      </c>
      <c r="AP364">
        <v>0</v>
      </c>
      <c r="AQ364">
        <v>0</v>
      </c>
      <c r="AR364">
        <v>16923.939999999999</v>
      </c>
      <c r="AS364">
        <v>1098.7</v>
      </c>
      <c r="AT364">
        <v>0</v>
      </c>
      <c r="AU364">
        <v>4616.75</v>
      </c>
      <c r="AV364">
        <v>0</v>
      </c>
      <c r="AW364">
        <v>0</v>
      </c>
      <c r="AX364">
        <v>5715.45</v>
      </c>
      <c r="AY364">
        <v>128906.31</v>
      </c>
      <c r="AZ364">
        <v>1</v>
      </c>
      <c r="BA364">
        <v>8</v>
      </c>
      <c r="BB364">
        <v>36214.436999999998</v>
      </c>
      <c r="BC364">
        <v>289715.49900000001</v>
      </c>
      <c r="BD364">
        <v>6518.0112499999996</v>
      </c>
      <c r="BE364">
        <v>0</v>
      </c>
      <c r="BF364">
        <v>295</v>
      </c>
      <c r="BG364">
        <v>1977.540305</v>
      </c>
      <c r="BH364">
        <v>3.327</v>
      </c>
    </row>
    <row r="365" spans="1:60" x14ac:dyDescent="0.35">
      <c r="A365" t="s">
        <v>757</v>
      </c>
      <c r="B365" t="s">
        <v>757</v>
      </c>
      <c r="C365" t="s">
        <v>813</v>
      </c>
      <c r="D365" t="s">
        <v>814</v>
      </c>
      <c r="E365">
        <v>84773</v>
      </c>
      <c r="F365">
        <v>563</v>
      </c>
      <c r="G365">
        <v>452.15390000000002</v>
      </c>
      <c r="H365">
        <v>0.80311520000000003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6030.15</v>
      </c>
      <c r="R365">
        <v>0</v>
      </c>
      <c r="S365">
        <v>0</v>
      </c>
      <c r="T365">
        <v>6030.15</v>
      </c>
      <c r="U365">
        <v>5629.59</v>
      </c>
      <c r="V365">
        <v>0</v>
      </c>
      <c r="W365">
        <v>2468.5700000000002</v>
      </c>
      <c r="X365">
        <v>0</v>
      </c>
      <c r="Y365">
        <v>0</v>
      </c>
      <c r="Z365">
        <v>8098.16</v>
      </c>
      <c r="AA365">
        <v>220662.37</v>
      </c>
      <c r="AB365">
        <v>29623.88</v>
      </c>
      <c r="AC365">
        <v>372151.32</v>
      </c>
      <c r="AD365">
        <v>0</v>
      </c>
      <c r="AE365">
        <v>0</v>
      </c>
      <c r="AF365">
        <v>622437.56999999995</v>
      </c>
      <c r="AG365">
        <v>16015.96</v>
      </c>
      <c r="AH365">
        <v>4441.43</v>
      </c>
      <c r="AI365">
        <v>39561.99</v>
      </c>
      <c r="AJ365">
        <v>0</v>
      </c>
      <c r="AK365">
        <v>0</v>
      </c>
      <c r="AL365">
        <v>60019.38</v>
      </c>
      <c r="AM365">
        <v>154025.60999999999</v>
      </c>
      <c r="AN365">
        <v>10972.85</v>
      </c>
      <c r="AO365">
        <v>73302.12</v>
      </c>
      <c r="AP365">
        <v>0</v>
      </c>
      <c r="AQ365">
        <v>0</v>
      </c>
      <c r="AR365">
        <v>238300.58</v>
      </c>
      <c r="AS365">
        <v>55263.6</v>
      </c>
      <c r="AT365">
        <v>0</v>
      </c>
      <c r="AU365">
        <v>50792.58</v>
      </c>
      <c r="AV365">
        <v>0</v>
      </c>
      <c r="AW365">
        <v>0</v>
      </c>
      <c r="AX365">
        <v>106056.18</v>
      </c>
      <c r="AY365">
        <v>1040942.02</v>
      </c>
      <c r="AZ365">
        <v>1</v>
      </c>
      <c r="BA365">
        <v>216</v>
      </c>
      <c r="BB365">
        <v>54142.22</v>
      </c>
      <c r="BC365">
        <v>11694719.614</v>
      </c>
      <c r="BD365">
        <v>1964.6218980000001</v>
      </c>
      <c r="BE365">
        <v>2629.6350000000002</v>
      </c>
      <c r="BF365">
        <v>1531</v>
      </c>
      <c r="BG365">
        <v>2894.9748730000001</v>
      </c>
      <c r="BH365">
        <v>2033.1210000000001</v>
      </c>
    </row>
    <row r="366" spans="1:60" x14ac:dyDescent="0.35">
      <c r="A366" t="s">
        <v>757</v>
      </c>
      <c r="B366" t="s">
        <v>815</v>
      </c>
      <c r="C366" t="s">
        <v>815</v>
      </c>
      <c r="D366" t="s">
        <v>816</v>
      </c>
      <c r="E366">
        <v>12090</v>
      </c>
      <c r="F366">
        <v>131</v>
      </c>
      <c r="G366">
        <v>156.3058</v>
      </c>
      <c r="H366">
        <v>1.193174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8432.64</v>
      </c>
      <c r="V366">
        <v>0</v>
      </c>
      <c r="W366">
        <v>0</v>
      </c>
      <c r="X366">
        <v>0</v>
      </c>
      <c r="Y366">
        <v>0</v>
      </c>
      <c r="Z366">
        <v>8432.64</v>
      </c>
      <c r="AA366">
        <v>116400.18</v>
      </c>
      <c r="AB366">
        <v>12245.98</v>
      </c>
      <c r="AC366">
        <v>151518.57</v>
      </c>
      <c r="AD366">
        <v>4190.57</v>
      </c>
      <c r="AE366">
        <v>0</v>
      </c>
      <c r="AF366">
        <v>284355.3</v>
      </c>
      <c r="AG366">
        <v>13523.29</v>
      </c>
      <c r="AH366">
        <v>3396.49</v>
      </c>
      <c r="AI366">
        <v>16955.75</v>
      </c>
      <c r="AJ366">
        <v>1175.8800000000001</v>
      </c>
      <c r="AK366">
        <v>0</v>
      </c>
      <c r="AL366">
        <v>35051.410000000003</v>
      </c>
      <c r="AM366">
        <v>63279.24</v>
      </c>
      <c r="AN366">
        <v>5100.12</v>
      </c>
      <c r="AO366">
        <v>19528.87</v>
      </c>
      <c r="AP366">
        <v>444.51</v>
      </c>
      <c r="AQ366">
        <v>0</v>
      </c>
      <c r="AR366">
        <v>88352.74</v>
      </c>
      <c r="AS366">
        <v>19451.48</v>
      </c>
      <c r="AT366">
        <v>0</v>
      </c>
      <c r="AU366">
        <v>2984.17</v>
      </c>
      <c r="AV366">
        <v>0</v>
      </c>
      <c r="AW366">
        <v>0</v>
      </c>
      <c r="AX366">
        <v>22435.65</v>
      </c>
      <c r="AY366">
        <v>438627.74</v>
      </c>
      <c r="AZ366">
        <v>0</v>
      </c>
      <c r="BA366">
        <v>27</v>
      </c>
      <c r="BB366">
        <v>27089.875</v>
      </c>
      <c r="BC366">
        <v>731426.62</v>
      </c>
      <c r="BD366">
        <v>6952.5148150000005</v>
      </c>
      <c r="BE366">
        <v>103.816</v>
      </c>
      <c r="BF366">
        <v>410</v>
      </c>
      <c r="BG366">
        <v>3046.1833660000002</v>
      </c>
      <c r="BH366">
        <v>265.42</v>
      </c>
    </row>
    <row r="367" spans="1:60" x14ac:dyDescent="0.35">
      <c r="A367" t="s">
        <v>757</v>
      </c>
      <c r="B367" t="s">
        <v>815</v>
      </c>
      <c r="C367" t="s">
        <v>817</v>
      </c>
      <c r="D367" t="s">
        <v>818</v>
      </c>
      <c r="E367">
        <v>4877</v>
      </c>
      <c r="F367">
        <v>6</v>
      </c>
      <c r="G367">
        <v>4.91</v>
      </c>
      <c r="H367">
        <v>0.81833330000000004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30</v>
      </c>
      <c r="BG367">
        <v>2247.5276669999998</v>
      </c>
      <c r="BH367">
        <v>0</v>
      </c>
    </row>
    <row r="368" spans="1:60" x14ac:dyDescent="0.35">
      <c r="A368" t="s">
        <v>757</v>
      </c>
      <c r="B368" t="s">
        <v>815</v>
      </c>
      <c r="C368" t="s">
        <v>819</v>
      </c>
      <c r="D368" t="s">
        <v>820</v>
      </c>
      <c r="E368">
        <v>10095</v>
      </c>
      <c r="F368">
        <v>7</v>
      </c>
      <c r="G368">
        <v>4.6235299999999997</v>
      </c>
      <c r="H368">
        <v>0.66050430000000004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2</v>
      </c>
      <c r="BB368">
        <v>14346.5</v>
      </c>
      <c r="BC368">
        <v>28693</v>
      </c>
      <c r="BD368">
        <v>14744.1</v>
      </c>
      <c r="BE368">
        <v>2715.1849999999999</v>
      </c>
      <c r="BF368">
        <v>89</v>
      </c>
      <c r="BG368">
        <v>1167.4167420000001</v>
      </c>
      <c r="BH368">
        <v>0</v>
      </c>
    </row>
    <row r="369" spans="1:60" x14ac:dyDescent="0.35">
      <c r="A369" t="s">
        <v>757</v>
      </c>
      <c r="B369" t="s">
        <v>815</v>
      </c>
      <c r="C369" t="s">
        <v>821</v>
      </c>
      <c r="D369" t="s">
        <v>822</v>
      </c>
      <c r="E369">
        <v>6642</v>
      </c>
      <c r="F369">
        <v>8</v>
      </c>
      <c r="G369">
        <v>9.6537450000000007</v>
      </c>
      <c r="H369">
        <v>1.206718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1</v>
      </c>
      <c r="BB369">
        <v>33265</v>
      </c>
      <c r="BC369">
        <v>33265</v>
      </c>
      <c r="BD369">
        <v>8251.85</v>
      </c>
      <c r="BE369">
        <v>0</v>
      </c>
      <c r="BF369">
        <v>34</v>
      </c>
      <c r="BG369">
        <v>452.88235300000002</v>
      </c>
      <c r="BH369">
        <v>0</v>
      </c>
    </row>
    <row r="370" spans="1:60" x14ac:dyDescent="0.35">
      <c r="A370" t="s">
        <v>757</v>
      </c>
      <c r="B370" t="s">
        <v>815</v>
      </c>
      <c r="C370" t="s">
        <v>823</v>
      </c>
      <c r="D370" t="s">
        <v>824</v>
      </c>
      <c r="E370">
        <v>8140</v>
      </c>
      <c r="F370">
        <v>3</v>
      </c>
      <c r="G370">
        <v>2.6159620000000001</v>
      </c>
      <c r="H370">
        <v>0.87198730000000002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3</v>
      </c>
      <c r="BB370">
        <v>36172.883000000002</v>
      </c>
      <c r="BC370">
        <v>108518.65</v>
      </c>
      <c r="BD370">
        <v>2296.1333330000002</v>
      </c>
      <c r="BE370">
        <v>0</v>
      </c>
      <c r="BF370">
        <v>40</v>
      </c>
      <c r="BG370">
        <v>9102.6650000000009</v>
      </c>
      <c r="BH370">
        <v>0</v>
      </c>
    </row>
    <row r="371" spans="1:60" x14ac:dyDescent="0.35">
      <c r="A371" t="s">
        <v>757</v>
      </c>
      <c r="B371" t="s">
        <v>815</v>
      </c>
      <c r="C371" t="s">
        <v>825</v>
      </c>
      <c r="D371" t="s">
        <v>826</v>
      </c>
      <c r="E371">
        <v>3899</v>
      </c>
      <c r="F371">
        <v>9</v>
      </c>
      <c r="G371">
        <v>8.7623999999999995</v>
      </c>
      <c r="H371">
        <v>0.97360000000000002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109787</v>
      </c>
      <c r="BC371">
        <v>109787</v>
      </c>
      <c r="BD371">
        <v>0</v>
      </c>
      <c r="BE371">
        <v>0</v>
      </c>
      <c r="BF371">
        <v>35</v>
      </c>
      <c r="BG371">
        <v>83.914286000000004</v>
      </c>
      <c r="BH371">
        <v>0</v>
      </c>
    </row>
    <row r="372" spans="1:60" x14ac:dyDescent="0.35">
      <c r="A372" t="s">
        <v>757</v>
      </c>
      <c r="B372" t="s">
        <v>815</v>
      </c>
      <c r="C372" t="s">
        <v>827</v>
      </c>
      <c r="D372" t="s">
        <v>828</v>
      </c>
      <c r="E372">
        <v>1152</v>
      </c>
      <c r="F372" t="s">
        <v>81</v>
      </c>
      <c r="G372" t="s">
        <v>81</v>
      </c>
      <c r="H372" t="s">
        <v>81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3389.3330000000001</v>
      </c>
      <c r="BC372">
        <v>3389.3330000000001</v>
      </c>
      <c r="BD372">
        <v>0</v>
      </c>
      <c r="BE372">
        <v>0</v>
      </c>
      <c r="BF372">
        <v>6</v>
      </c>
      <c r="BG372">
        <v>0</v>
      </c>
      <c r="BH372">
        <v>0</v>
      </c>
    </row>
    <row r="373" spans="1:60" x14ac:dyDescent="0.35">
      <c r="A373" t="s">
        <v>757</v>
      </c>
      <c r="B373" t="s">
        <v>815</v>
      </c>
      <c r="C373" t="s">
        <v>829</v>
      </c>
      <c r="D373" t="s">
        <v>830</v>
      </c>
      <c r="E373">
        <v>17427</v>
      </c>
      <c r="F373">
        <v>11</v>
      </c>
      <c r="G373">
        <v>13.1418</v>
      </c>
      <c r="H373">
        <v>1.194709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3</v>
      </c>
      <c r="BB373">
        <v>56756.122000000003</v>
      </c>
      <c r="BC373">
        <v>170268.367</v>
      </c>
      <c r="BD373">
        <v>750.73333300000002</v>
      </c>
      <c r="BE373">
        <v>0</v>
      </c>
      <c r="BF373">
        <v>125</v>
      </c>
      <c r="BG373">
        <v>3295.98056</v>
      </c>
      <c r="BH373">
        <v>4872.9759999999997</v>
      </c>
    </row>
    <row r="374" spans="1:60" x14ac:dyDescent="0.35">
      <c r="A374" t="s">
        <v>757</v>
      </c>
      <c r="B374" t="s">
        <v>831</v>
      </c>
      <c r="C374" t="s">
        <v>831</v>
      </c>
      <c r="D374" t="s">
        <v>832</v>
      </c>
      <c r="E374">
        <v>4416</v>
      </c>
      <c r="F374">
        <v>7</v>
      </c>
      <c r="G374">
        <v>6.205158</v>
      </c>
      <c r="H374">
        <v>0.88645110000000005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46</v>
      </c>
      <c r="BG374">
        <v>1207.5195650000001</v>
      </c>
      <c r="BH374">
        <v>0</v>
      </c>
    </row>
    <row r="375" spans="1:60" x14ac:dyDescent="0.35">
      <c r="A375" t="s">
        <v>757</v>
      </c>
      <c r="B375" t="s">
        <v>831</v>
      </c>
      <c r="C375" t="s">
        <v>833</v>
      </c>
      <c r="D375" t="s">
        <v>834</v>
      </c>
      <c r="E375">
        <v>5548</v>
      </c>
      <c r="F375">
        <v>15</v>
      </c>
      <c r="G375">
        <v>15.68421</v>
      </c>
      <c r="H375">
        <v>1.045614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12120.39</v>
      </c>
      <c r="AD375">
        <v>0</v>
      </c>
      <c r="AE375">
        <v>0</v>
      </c>
      <c r="AF375">
        <v>12120.39</v>
      </c>
      <c r="AG375">
        <v>0</v>
      </c>
      <c r="AH375">
        <v>0</v>
      </c>
      <c r="AI375">
        <v>3065.87</v>
      </c>
      <c r="AJ375">
        <v>0</v>
      </c>
      <c r="AK375">
        <v>0</v>
      </c>
      <c r="AL375">
        <v>3065.87</v>
      </c>
      <c r="AM375">
        <v>0</v>
      </c>
      <c r="AN375">
        <v>0</v>
      </c>
      <c r="AO375">
        <v>1803.97</v>
      </c>
      <c r="AP375">
        <v>0</v>
      </c>
      <c r="AQ375">
        <v>0</v>
      </c>
      <c r="AR375">
        <v>1803.97</v>
      </c>
      <c r="AS375">
        <v>0</v>
      </c>
      <c r="AT375">
        <v>0</v>
      </c>
      <c r="AU375">
        <v>30.96</v>
      </c>
      <c r="AV375">
        <v>0</v>
      </c>
      <c r="AW375">
        <v>0</v>
      </c>
      <c r="AX375">
        <v>30.96</v>
      </c>
      <c r="AY375">
        <v>17021.189999999999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51</v>
      </c>
      <c r="BG375">
        <v>6505.6486269999996</v>
      </c>
      <c r="BH375">
        <v>4.0590000000000002</v>
      </c>
    </row>
    <row r="376" spans="1:60" x14ac:dyDescent="0.35">
      <c r="A376" t="s">
        <v>757</v>
      </c>
      <c r="B376" t="s">
        <v>831</v>
      </c>
      <c r="C376" t="s">
        <v>835</v>
      </c>
      <c r="D376" t="s">
        <v>836</v>
      </c>
      <c r="E376">
        <v>6521</v>
      </c>
      <c r="F376">
        <v>13</v>
      </c>
      <c r="G376">
        <v>17.536909999999999</v>
      </c>
      <c r="H376">
        <v>1.3489930000000001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17920.22</v>
      </c>
      <c r="AD376">
        <v>0</v>
      </c>
      <c r="AE376">
        <v>0</v>
      </c>
      <c r="AF376">
        <v>17920.22</v>
      </c>
      <c r="AG376">
        <v>0</v>
      </c>
      <c r="AH376">
        <v>0</v>
      </c>
      <c r="AI376">
        <v>2902.56</v>
      </c>
      <c r="AJ376">
        <v>0</v>
      </c>
      <c r="AK376">
        <v>0</v>
      </c>
      <c r="AL376">
        <v>2902.56</v>
      </c>
      <c r="AM376">
        <v>0</v>
      </c>
      <c r="AN376">
        <v>0</v>
      </c>
      <c r="AO376">
        <v>576.39</v>
      </c>
      <c r="AP376">
        <v>0</v>
      </c>
      <c r="AQ376">
        <v>0</v>
      </c>
      <c r="AR376">
        <v>576.39</v>
      </c>
      <c r="AS376">
        <v>0</v>
      </c>
      <c r="AT376">
        <v>0</v>
      </c>
      <c r="AU376">
        <v>26.94</v>
      </c>
      <c r="AV376">
        <v>0</v>
      </c>
      <c r="AW376">
        <v>0</v>
      </c>
      <c r="AX376">
        <v>26.94</v>
      </c>
      <c r="AY376">
        <v>21426.11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62</v>
      </c>
      <c r="BG376">
        <v>384.05</v>
      </c>
      <c r="BH376">
        <v>5065.701</v>
      </c>
    </row>
    <row r="377" spans="1:60" x14ac:dyDescent="0.35">
      <c r="A377" t="s">
        <v>757</v>
      </c>
      <c r="B377" t="s">
        <v>831</v>
      </c>
      <c r="C377" t="s">
        <v>837</v>
      </c>
      <c r="D377" t="s">
        <v>838</v>
      </c>
      <c r="E377">
        <v>438</v>
      </c>
      <c r="F377" t="s">
        <v>81</v>
      </c>
      <c r="G377" t="s">
        <v>81</v>
      </c>
      <c r="H377" t="s">
        <v>81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3</v>
      </c>
      <c r="BG377">
        <v>0</v>
      </c>
      <c r="BH377">
        <v>0</v>
      </c>
    </row>
    <row r="378" spans="1:60" x14ac:dyDescent="0.35">
      <c r="A378" t="s">
        <v>757</v>
      </c>
      <c r="B378" t="s">
        <v>831</v>
      </c>
      <c r="C378" t="s">
        <v>839</v>
      </c>
      <c r="D378" t="s">
        <v>840</v>
      </c>
      <c r="E378">
        <v>2821</v>
      </c>
      <c r="F378">
        <v>9</v>
      </c>
      <c r="G378">
        <v>11.802199999999999</v>
      </c>
      <c r="H378">
        <v>1.311356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18</v>
      </c>
      <c r="BG378">
        <v>0</v>
      </c>
      <c r="BH378">
        <v>403.53500000000003</v>
      </c>
    </row>
    <row r="379" spans="1:60" x14ac:dyDescent="0.35">
      <c r="A379" t="s">
        <v>757</v>
      </c>
      <c r="B379" t="s">
        <v>831</v>
      </c>
      <c r="C379" t="s">
        <v>841</v>
      </c>
      <c r="D379" t="s">
        <v>842</v>
      </c>
      <c r="E379">
        <v>575</v>
      </c>
      <c r="F379" t="s">
        <v>81</v>
      </c>
      <c r="G379" t="s">
        <v>81</v>
      </c>
      <c r="H379" t="s">
        <v>81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2</v>
      </c>
      <c r="BG379">
        <v>0</v>
      </c>
      <c r="BH379">
        <v>0</v>
      </c>
    </row>
    <row r="380" spans="1:60" x14ac:dyDescent="0.35">
      <c r="A380" t="s">
        <v>757</v>
      </c>
      <c r="B380" t="s">
        <v>831</v>
      </c>
      <c r="C380" t="s">
        <v>843</v>
      </c>
      <c r="D380" t="s">
        <v>844</v>
      </c>
      <c r="E380">
        <v>11261</v>
      </c>
      <c r="F380">
        <v>37</v>
      </c>
      <c r="G380">
        <v>58.411679999999997</v>
      </c>
      <c r="H380">
        <v>1.578694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130927.6</v>
      </c>
      <c r="AD380">
        <v>0</v>
      </c>
      <c r="AE380">
        <v>0</v>
      </c>
      <c r="AF380">
        <v>130927.6</v>
      </c>
      <c r="AG380">
        <v>0</v>
      </c>
      <c r="AH380">
        <v>0</v>
      </c>
      <c r="AI380">
        <v>17077.830000000002</v>
      </c>
      <c r="AJ380">
        <v>0</v>
      </c>
      <c r="AK380">
        <v>0</v>
      </c>
      <c r="AL380">
        <v>17077.830000000002</v>
      </c>
      <c r="AM380">
        <v>0</v>
      </c>
      <c r="AN380">
        <v>0</v>
      </c>
      <c r="AO380">
        <v>4868.58</v>
      </c>
      <c r="AP380">
        <v>0</v>
      </c>
      <c r="AQ380">
        <v>0</v>
      </c>
      <c r="AR380">
        <v>4868.58</v>
      </c>
      <c r="AS380">
        <v>0</v>
      </c>
      <c r="AT380">
        <v>0</v>
      </c>
      <c r="AU380">
        <v>240.27</v>
      </c>
      <c r="AV380">
        <v>0</v>
      </c>
      <c r="AW380">
        <v>0</v>
      </c>
      <c r="AX380">
        <v>240.27</v>
      </c>
      <c r="AY380">
        <v>153114.28</v>
      </c>
      <c r="AZ380">
        <v>0</v>
      </c>
      <c r="BA380">
        <v>7</v>
      </c>
      <c r="BB380">
        <v>93674.600999999995</v>
      </c>
      <c r="BC380">
        <v>655722.20900000003</v>
      </c>
      <c r="BD380">
        <v>0</v>
      </c>
      <c r="BE380">
        <v>2024.739</v>
      </c>
      <c r="BF380">
        <v>271</v>
      </c>
      <c r="BG380">
        <v>1591.4585979999999</v>
      </c>
      <c r="BH380">
        <v>113.33499999999999</v>
      </c>
    </row>
    <row r="381" spans="1:60" x14ac:dyDescent="0.35">
      <c r="A381" t="s">
        <v>757</v>
      </c>
      <c r="B381" t="s">
        <v>831</v>
      </c>
      <c r="C381" t="s">
        <v>845</v>
      </c>
      <c r="D381" t="s">
        <v>846</v>
      </c>
      <c r="E381">
        <v>3404</v>
      </c>
      <c r="F381">
        <v>3</v>
      </c>
      <c r="G381">
        <v>2.5535860000000001</v>
      </c>
      <c r="H381">
        <v>0.85119529999999999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39</v>
      </c>
      <c r="BG381">
        <v>0.205128</v>
      </c>
      <c r="BH381">
        <v>0</v>
      </c>
    </row>
    <row r="382" spans="1:60" x14ac:dyDescent="0.35">
      <c r="A382" t="s">
        <v>757</v>
      </c>
      <c r="B382" t="s">
        <v>831</v>
      </c>
      <c r="C382" t="s">
        <v>847</v>
      </c>
      <c r="D382" t="s">
        <v>848</v>
      </c>
      <c r="E382">
        <v>3433</v>
      </c>
      <c r="F382">
        <v>1</v>
      </c>
      <c r="G382">
        <v>0.54877200000000004</v>
      </c>
      <c r="H382">
        <v>0.54877200000000004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22</v>
      </c>
      <c r="BG382">
        <v>39.090909000000003</v>
      </c>
      <c r="BH382">
        <v>0</v>
      </c>
    </row>
    <row r="383" spans="1:60" x14ac:dyDescent="0.35">
      <c r="A383" t="s">
        <v>757</v>
      </c>
      <c r="B383" t="s">
        <v>831</v>
      </c>
      <c r="C383" t="s">
        <v>849</v>
      </c>
      <c r="D383" t="s">
        <v>850</v>
      </c>
      <c r="E383">
        <v>1590</v>
      </c>
      <c r="F383">
        <v>2</v>
      </c>
      <c r="G383">
        <v>1.86</v>
      </c>
      <c r="H383">
        <v>0.92999989999999999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20</v>
      </c>
      <c r="BG383">
        <v>528.65499999999997</v>
      </c>
      <c r="BH383">
        <v>0</v>
      </c>
    </row>
    <row r="384" spans="1:60" x14ac:dyDescent="0.35">
      <c r="A384" t="s">
        <v>757</v>
      </c>
      <c r="B384" t="s">
        <v>831</v>
      </c>
      <c r="C384" t="s">
        <v>851</v>
      </c>
      <c r="D384" t="s">
        <v>852</v>
      </c>
      <c r="E384">
        <v>1665</v>
      </c>
      <c r="F384">
        <v>1</v>
      </c>
      <c r="G384">
        <v>0.20100000000000001</v>
      </c>
      <c r="H384">
        <v>0.20100000000000001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9</v>
      </c>
      <c r="BG384">
        <v>3797.5222220000001</v>
      </c>
      <c r="BH384">
        <v>0</v>
      </c>
    </row>
    <row r="385" spans="1:60" x14ac:dyDescent="0.35">
      <c r="A385" t="s">
        <v>757</v>
      </c>
      <c r="B385" t="s">
        <v>831</v>
      </c>
      <c r="C385" t="s">
        <v>853</v>
      </c>
      <c r="D385" t="s">
        <v>854</v>
      </c>
      <c r="E385">
        <v>1912</v>
      </c>
      <c r="F385">
        <v>1</v>
      </c>
      <c r="G385">
        <v>1.9417530000000001</v>
      </c>
      <c r="H385">
        <v>1.9417530000000001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23896.2</v>
      </c>
      <c r="BC385">
        <v>23896.2</v>
      </c>
      <c r="BD385">
        <v>0</v>
      </c>
      <c r="BE385">
        <v>0</v>
      </c>
      <c r="BF385">
        <v>17</v>
      </c>
      <c r="BG385">
        <v>689.15882399999998</v>
      </c>
      <c r="BH385">
        <v>0</v>
      </c>
    </row>
    <row r="386" spans="1:60" x14ac:dyDescent="0.35">
      <c r="A386" t="s">
        <v>757</v>
      </c>
      <c r="B386" t="s">
        <v>831</v>
      </c>
      <c r="C386" t="s">
        <v>855</v>
      </c>
      <c r="D386" t="s">
        <v>856</v>
      </c>
      <c r="E386">
        <v>2127</v>
      </c>
      <c r="F386">
        <v>1</v>
      </c>
      <c r="G386">
        <v>1.3663639999999999</v>
      </c>
      <c r="H386">
        <v>1.3663639999999999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1</v>
      </c>
      <c r="BB386">
        <v>124603.333</v>
      </c>
      <c r="BC386">
        <v>124603.333</v>
      </c>
      <c r="BD386">
        <v>0</v>
      </c>
      <c r="BE386">
        <v>0</v>
      </c>
      <c r="BF386">
        <v>22</v>
      </c>
      <c r="BG386">
        <v>8211.8786359999995</v>
      </c>
      <c r="BH386">
        <v>3834.1460000000002</v>
      </c>
    </row>
    <row r="387" spans="1:60" x14ac:dyDescent="0.35">
      <c r="A387" t="s">
        <v>757</v>
      </c>
      <c r="B387" t="s">
        <v>857</v>
      </c>
      <c r="C387" t="s">
        <v>858</v>
      </c>
      <c r="D387" t="s">
        <v>859</v>
      </c>
      <c r="E387">
        <v>9086</v>
      </c>
      <c r="F387">
        <v>18</v>
      </c>
      <c r="G387">
        <v>29.56597</v>
      </c>
      <c r="H387">
        <v>1.6425540000000001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16110.21</v>
      </c>
      <c r="AB387">
        <v>0</v>
      </c>
      <c r="AC387">
        <v>24086.09</v>
      </c>
      <c r="AD387">
        <v>20064.5</v>
      </c>
      <c r="AE387">
        <v>0</v>
      </c>
      <c r="AF387">
        <v>60260.800000000003</v>
      </c>
      <c r="AG387">
        <v>2146.41</v>
      </c>
      <c r="AH387">
        <v>0</v>
      </c>
      <c r="AI387">
        <v>3905.82</v>
      </c>
      <c r="AJ387">
        <v>3355.69</v>
      </c>
      <c r="AK387">
        <v>0</v>
      </c>
      <c r="AL387">
        <v>9407.92</v>
      </c>
      <c r="AM387">
        <v>264.5</v>
      </c>
      <c r="AN387">
        <v>0</v>
      </c>
      <c r="AO387">
        <v>2084.16</v>
      </c>
      <c r="AP387">
        <v>657.62</v>
      </c>
      <c r="AQ387">
        <v>0</v>
      </c>
      <c r="AR387">
        <v>3006.28</v>
      </c>
      <c r="AS387">
        <v>156.82</v>
      </c>
      <c r="AT387">
        <v>0</v>
      </c>
      <c r="AU387">
        <v>0</v>
      </c>
      <c r="AV387">
        <v>0</v>
      </c>
      <c r="AW387">
        <v>0</v>
      </c>
      <c r="AX387">
        <v>156.82</v>
      </c>
      <c r="AY387">
        <v>72831.820000000007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77</v>
      </c>
      <c r="BG387">
        <v>915.64415599999995</v>
      </c>
      <c r="BH387">
        <v>697.70299999999997</v>
      </c>
    </row>
    <row r="388" spans="1:60" x14ac:dyDescent="0.35">
      <c r="A388" t="s">
        <v>757</v>
      </c>
      <c r="B388" t="s">
        <v>857</v>
      </c>
      <c r="C388" t="s">
        <v>860</v>
      </c>
      <c r="D388" t="s">
        <v>861</v>
      </c>
      <c r="E388">
        <v>945</v>
      </c>
      <c r="F388">
        <v>1</v>
      </c>
      <c r="G388">
        <v>0.3</v>
      </c>
      <c r="H388">
        <v>0.3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</row>
    <row r="389" spans="1:60" x14ac:dyDescent="0.35">
      <c r="A389" t="s">
        <v>757</v>
      </c>
      <c r="B389" t="s">
        <v>857</v>
      </c>
      <c r="C389" t="s">
        <v>862</v>
      </c>
      <c r="D389" t="s">
        <v>863</v>
      </c>
      <c r="E389">
        <v>202</v>
      </c>
      <c r="F389" t="s">
        <v>81</v>
      </c>
      <c r="G389" t="s">
        <v>81</v>
      </c>
      <c r="H389" t="s">
        <v>81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</row>
    <row r="390" spans="1:60" x14ac:dyDescent="0.35">
      <c r="A390" t="s">
        <v>757</v>
      </c>
      <c r="B390" t="s">
        <v>857</v>
      </c>
      <c r="C390" t="s">
        <v>864</v>
      </c>
      <c r="D390" t="s">
        <v>865</v>
      </c>
      <c r="E390">
        <v>1514</v>
      </c>
      <c r="F390" t="s">
        <v>81</v>
      </c>
      <c r="G390" t="s">
        <v>81</v>
      </c>
      <c r="H390" t="s">
        <v>81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3</v>
      </c>
      <c r="BG390">
        <v>0</v>
      </c>
      <c r="BH390">
        <v>0</v>
      </c>
    </row>
    <row r="391" spans="1:60" x14ac:dyDescent="0.35">
      <c r="A391" t="s">
        <v>757</v>
      </c>
      <c r="B391" t="s">
        <v>857</v>
      </c>
      <c r="C391" t="s">
        <v>866</v>
      </c>
      <c r="D391" t="s">
        <v>867</v>
      </c>
      <c r="E391">
        <v>1113</v>
      </c>
      <c r="F391" t="s">
        <v>81</v>
      </c>
      <c r="G391" t="s">
        <v>81</v>
      </c>
      <c r="H391" t="s">
        <v>81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 t="s">
        <v>81</v>
      </c>
      <c r="BB391" t="s">
        <v>81</v>
      </c>
      <c r="BC391" t="s">
        <v>81</v>
      </c>
      <c r="BD391" t="s">
        <v>81</v>
      </c>
      <c r="BE391" t="s">
        <v>81</v>
      </c>
      <c r="BF391" t="s">
        <v>81</v>
      </c>
      <c r="BG391" t="s">
        <v>81</v>
      </c>
      <c r="BH391" t="s">
        <v>81</v>
      </c>
    </row>
    <row r="392" spans="1:60" x14ac:dyDescent="0.35">
      <c r="A392" t="s">
        <v>757</v>
      </c>
      <c r="B392" t="s">
        <v>857</v>
      </c>
      <c r="C392" t="s">
        <v>868</v>
      </c>
      <c r="D392" t="s">
        <v>869</v>
      </c>
      <c r="E392">
        <v>570</v>
      </c>
      <c r="F392" t="s">
        <v>81</v>
      </c>
      <c r="G392" t="s">
        <v>81</v>
      </c>
      <c r="H392" t="s">
        <v>81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 t="s">
        <v>81</v>
      </c>
      <c r="BB392" t="s">
        <v>81</v>
      </c>
      <c r="BC392" t="s">
        <v>81</v>
      </c>
      <c r="BD392" t="s">
        <v>81</v>
      </c>
      <c r="BE392" t="s">
        <v>81</v>
      </c>
      <c r="BF392" t="s">
        <v>81</v>
      </c>
      <c r="BG392" t="s">
        <v>81</v>
      </c>
      <c r="BH392" t="s">
        <v>81</v>
      </c>
    </row>
    <row r="393" spans="1:60" x14ac:dyDescent="0.35">
      <c r="A393" t="s">
        <v>757</v>
      </c>
      <c r="B393" t="s">
        <v>857</v>
      </c>
      <c r="C393" t="s">
        <v>870</v>
      </c>
      <c r="D393" t="s">
        <v>871</v>
      </c>
      <c r="E393">
        <v>1649</v>
      </c>
      <c r="F393" t="s">
        <v>81</v>
      </c>
      <c r="G393" t="s">
        <v>81</v>
      </c>
      <c r="H393" t="s">
        <v>81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11</v>
      </c>
      <c r="BG393">
        <v>598.9</v>
      </c>
      <c r="BH393">
        <v>0</v>
      </c>
    </row>
    <row r="394" spans="1:60" x14ac:dyDescent="0.35">
      <c r="A394" t="s">
        <v>757</v>
      </c>
      <c r="B394" t="s">
        <v>857</v>
      </c>
      <c r="C394" t="s">
        <v>872</v>
      </c>
      <c r="D394" t="s">
        <v>873</v>
      </c>
      <c r="E394">
        <v>361</v>
      </c>
      <c r="F394" t="s">
        <v>81</v>
      </c>
      <c r="G394" t="s">
        <v>81</v>
      </c>
      <c r="H394" t="s">
        <v>81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2</v>
      </c>
      <c r="BG394">
        <v>0</v>
      </c>
      <c r="BH394">
        <v>0</v>
      </c>
    </row>
    <row r="395" spans="1:60" x14ac:dyDescent="0.35">
      <c r="A395" t="s">
        <v>757</v>
      </c>
      <c r="B395" t="s">
        <v>857</v>
      </c>
      <c r="C395" t="s">
        <v>874</v>
      </c>
      <c r="D395" t="s">
        <v>875</v>
      </c>
      <c r="E395">
        <v>8776</v>
      </c>
      <c r="F395">
        <v>14</v>
      </c>
      <c r="G395">
        <v>17.653949999999998</v>
      </c>
      <c r="H395">
        <v>1.2609969999999999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1216.26</v>
      </c>
      <c r="AC395">
        <v>0</v>
      </c>
      <c r="AD395">
        <v>0</v>
      </c>
      <c r="AE395">
        <v>0</v>
      </c>
      <c r="AF395">
        <v>1216.26</v>
      </c>
      <c r="AG395">
        <v>0</v>
      </c>
      <c r="AH395">
        <v>1206.1500000000001</v>
      </c>
      <c r="AI395">
        <v>0</v>
      </c>
      <c r="AJ395">
        <v>0</v>
      </c>
      <c r="AK395">
        <v>0</v>
      </c>
      <c r="AL395">
        <v>1206.1500000000001</v>
      </c>
      <c r="AM395">
        <v>0</v>
      </c>
      <c r="AN395">
        <v>251.86</v>
      </c>
      <c r="AO395">
        <v>0</v>
      </c>
      <c r="AP395">
        <v>0</v>
      </c>
      <c r="AQ395">
        <v>0</v>
      </c>
      <c r="AR395">
        <v>251.86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2674.27</v>
      </c>
      <c r="AZ395">
        <v>0</v>
      </c>
      <c r="BA395">
        <v>1</v>
      </c>
      <c r="BB395">
        <v>146605.66699999999</v>
      </c>
      <c r="BC395">
        <v>146605.66699999999</v>
      </c>
      <c r="BD395">
        <v>0</v>
      </c>
      <c r="BE395">
        <v>0</v>
      </c>
      <c r="BF395">
        <v>28</v>
      </c>
      <c r="BG395">
        <v>0</v>
      </c>
      <c r="BH395">
        <v>0</v>
      </c>
    </row>
    <row r="396" spans="1:60" x14ac:dyDescent="0.35">
      <c r="A396" t="s">
        <v>757</v>
      </c>
      <c r="B396" t="s">
        <v>857</v>
      </c>
      <c r="C396" t="s">
        <v>876</v>
      </c>
      <c r="D396" t="s">
        <v>877</v>
      </c>
      <c r="E396">
        <v>1579</v>
      </c>
      <c r="F396">
        <v>3</v>
      </c>
      <c r="G396">
        <v>3.2646660000000001</v>
      </c>
      <c r="H396">
        <v>1.088222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1966.59</v>
      </c>
      <c r="AB396">
        <v>0</v>
      </c>
      <c r="AC396">
        <v>0</v>
      </c>
      <c r="AD396">
        <v>0</v>
      </c>
      <c r="AE396">
        <v>0</v>
      </c>
      <c r="AF396">
        <v>1966.59</v>
      </c>
      <c r="AG396">
        <v>271.66000000000003</v>
      </c>
      <c r="AH396">
        <v>0</v>
      </c>
      <c r="AI396">
        <v>0</v>
      </c>
      <c r="AJ396">
        <v>0</v>
      </c>
      <c r="AK396">
        <v>0</v>
      </c>
      <c r="AL396">
        <v>271.66000000000003</v>
      </c>
      <c r="AM396">
        <v>2.67</v>
      </c>
      <c r="AN396">
        <v>0</v>
      </c>
      <c r="AO396">
        <v>0</v>
      </c>
      <c r="AP396">
        <v>0</v>
      </c>
      <c r="AQ396">
        <v>0</v>
      </c>
      <c r="AR396">
        <v>2.67</v>
      </c>
      <c r="AS396">
        <v>45.73</v>
      </c>
      <c r="AT396">
        <v>0</v>
      </c>
      <c r="AU396">
        <v>0</v>
      </c>
      <c r="AV396">
        <v>0</v>
      </c>
      <c r="AW396">
        <v>0</v>
      </c>
      <c r="AX396">
        <v>45.73</v>
      </c>
      <c r="AY396">
        <v>2286.65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6</v>
      </c>
      <c r="BG396">
        <v>0</v>
      </c>
      <c r="BH396">
        <v>0</v>
      </c>
    </row>
    <row r="397" spans="1:60" x14ac:dyDescent="0.35">
      <c r="A397" t="s">
        <v>757</v>
      </c>
      <c r="B397" t="s">
        <v>857</v>
      </c>
      <c r="C397" t="s">
        <v>878</v>
      </c>
      <c r="D397" t="s">
        <v>879</v>
      </c>
      <c r="E397">
        <v>393</v>
      </c>
      <c r="F397" t="s">
        <v>81</v>
      </c>
      <c r="G397" t="s">
        <v>81</v>
      </c>
      <c r="H397" t="s">
        <v>81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</row>
    <row r="398" spans="1:60" x14ac:dyDescent="0.35">
      <c r="A398" t="s">
        <v>757</v>
      </c>
      <c r="B398" t="s">
        <v>857</v>
      </c>
      <c r="C398" t="s">
        <v>880</v>
      </c>
      <c r="D398" t="s">
        <v>881</v>
      </c>
      <c r="E398">
        <v>194</v>
      </c>
      <c r="F398" t="s">
        <v>81</v>
      </c>
      <c r="G398" t="s">
        <v>81</v>
      </c>
      <c r="H398" t="s">
        <v>81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 t="s">
        <v>81</v>
      </c>
      <c r="BB398" t="s">
        <v>81</v>
      </c>
      <c r="BC398" t="s">
        <v>81</v>
      </c>
      <c r="BD398" t="s">
        <v>81</v>
      </c>
      <c r="BE398" t="s">
        <v>81</v>
      </c>
      <c r="BF398" t="s">
        <v>81</v>
      </c>
      <c r="BG398" t="s">
        <v>81</v>
      </c>
      <c r="BH398" t="s">
        <v>81</v>
      </c>
    </row>
    <row r="399" spans="1:60" x14ac:dyDescent="0.35">
      <c r="A399" t="s">
        <v>757</v>
      </c>
      <c r="B399" t="s">
        <v>857</v>
      </c>
      <c r="C399" t="s">
        <v>882</v>
      </c>
      <c r="D399" t="s">
        <v>883</v>
      </c>
      <c r="E399">
        <v>6265</v>
      </c>
      <c r="F399">
        <v>10</v>
      </c>
      <c r="G399">
        <v>9.5830319999999993</v>
      </c>
      <c r="H399">
        <v>0.95830320000000002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19712</v>
      </c>
      <c r="AC399">
        <v>75591.27</v>
      </c>
      <c r="AD399">
        <v>0</v>
      </c>
      <c r="AE399">
        <v>0</v>
      </c>
      <c r="AF399">
        <v>95303.27</v>
      </c>
      <c r="AG399">
        <v>0</v>
      </c>
      <c r="AH399">
        <v>2738.17</v>
      </c>
      <c r="AI399">
        <v>5788.19</v>
      </c>
      <c r="AJ399">
        <v>0</v>
      </c>
      <c r="AK399">
        <v>0</v>
      </c>
      <c r="AL399">
        <v>8526.36</v>
      </c>
      <c r="AM399">
        <v>0</v>
      </c>
      <c r="AN399">
        <v>627.96</v>
      </c>
      <c r="AO399">
        <v>6165.69</v>
      </c>
      <c r="AP399">
        <v>0</v>
      </c>
      <c r="AQ399">
        <v>0</v>
      </c>
      <c r="AR399">
        <v>6793.65</v>
      </c>
      <c r="AS399">
        <v>0</v>
      </c>
      <c r="AT399">
        <v>0</v>
      </c>
      <c r="AU399">
        <v>325.72000000000003</v>
      </c>
      <c r="AV399">
        <v>0</v>
      </c>
      <c r="AW399">
        <v>0</v>
      </c>
      <c r="AX399">
        <v>325.72000000000003</v>
      </c>
      <c r="AY399">
        <v>110949.00000000001</v>
      </c>
      <c r="AZ399">
        <v>0</v>
      </c>
      <c r="BA399">
        <v>1</v>
      </c>
      <c r="BB399">
        <v>15098.333000000001</v>
      </c>
      <c r="BC399">
        <v>15098.333000000001</v>
      </c>
      <c r="BD399">
        <v>0</v>
      </c>
      <c r="BE399">
        <v>0</v>
      </c>
      <c r="BF399">
        <v>83</v>
      </c>
      <c r="BG399">
        <v>10.855422000000001</v>
      </c>
      <c r="BH399">
        <v>0</v>
      </c>
    </row>
    <row r="400" spans="1:60" x14ac:dyDescent="0.35">
      <c r="A400" t="s">
        <v>757</v>
      </c>
      <c r="B400" t="s">
        <v>857</v>
      </c>
      <c r="C400" t="s">
        <v>884</v>
      </c>
      <c r="D400" t="s">
        <v>885</v>
      </c>
      <c r="E400">
        <v>1399</v>
      </c>
      <c r="F400">
        <v>2</v>
      </c>
      <c r="G400">
        <v>2.9345699999999999</v>
      </c>
      <c r="H400">
        <v>1.467285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3</v>
      </c>
      <c r="BG400">
        <v>0</v>
      </c>
      <c r="BH400">
        <v>0</v>
      </c>
    </row>
    <row r="401" spans="1:60" x14ac:dyDescent="0.35">
      <c r="A401" t="s">
        <v>757</v>
      </c>
      <c r="B401" t="s">
        <v>886</v>
      </c>
      <c r="C401" t="s">
        <v>887</v>
      </c>
      <c r="D401" t="s">
        <v>888</v>
      </c>
      <c r="E401">
        <v>5782</v>
      </c>
      <c r="F401">
        <v>14</v>
      </c>
      <c r="G401">
        <v>18.261379999999999</v>
      </c>
      <c r="H401">
        <v>1.304384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37.82</v>
      </c>
      <c r="X401">
        <v>0</v>
      </c>
      <c r="Y401">
        <v>0</v>
      </c>
      <c r="Z401">
        <v>37.82</v>
      </c>
      <c r="AA401">
        <v>0</v>
      </c>
      <c r="AB401">
        <v>16083.8</v>
      </c>
      <c r="AC401">
        <v>63472.46</v>
      </c>
      <c r="AD401">
        <v>8609.25</v>
      </c>
      <c r="AE401">
        <v>0</v>
      </c>
      <c r="AF401">
        <v>88165.51</v>
      </c>
      <c r="AG401">
        <v>0</v>
      </c>
      <c r="AH401">
        <v>3014.03</v>
      </c>
      <c r="AI401">
        <v>7197.36</v>
      </c>
      <c r="AJ401">
        <v>2173.94</v>
      </c>
      <c r="AK401">
        <v>0</v>
      </c>
      <c r="AL401">
        <v>12385.33</v>
      </c>
      <c r="AM401">
        <v>0</v>
      </c>
      <c r="AN401">
        <v>1352.11</v>
      </c>
      <c r="AO401">
        <v>6355.5</v>
      </c>
      <c r="AP401">
        <v>398</v>
      </c>
      <c r="AQ401">
        <v>0</v>
      </c>
      <c r="AR401">
        <v>8105.61</v>
      </c>
      <c r="AS401">
        <v>0</v>
      </c>
      <c r="AT401">
        <v>0</v>
      </c>
      <c r="AU401">
        <v>1172.3</v>
      </c>
      <c r="AV401">
        <v>0</v>
      </c>
      <c r="AW401">
        <v>0</v>
      </c>
      <c r="AX401">
        <v>1172.3</v>
      </c>
      <c r="AY401">
        <v>109866.57</v>
      </c>
      <c r="AZ401">
        <v>0</v>
      </c>
      <c r="BA401">
        <v>7</v>
      </c>
      <c r="BB401">
        <v>38645.858999999997</v>
      </c>
      <c r="BC401">
        <v>270521.01299999998</v>
      </c>
      <c r="BD401">
        <v>306.28571399999998</v>
      </c>
      <c r="BE401">
        <v>3286.951</v>
      </c>
      <c r="BF401">
        <v>168</v>
      </c>
      <c r="BG401">
        <v>1294.8808329999999</v>
      </c>
      <c r="BH401">
        <v>229.65700000000001</v>
      </c>
    </row>
    <row r="402" spans="1:60" x14ac:dyDescent="0.35">
      <c r="A402" t="s">
        <v>757</v>
      </c>
      <c r="B402" t="s">
        <v>886</v>
      </c>
      <c r="C402" t="s">
        <v>889</v>
      </c>
      <c r="D402" t="s">
        <v>890</v>
      </c>
      <c r="E402">
        <v>808</v>
      </c>
      <c r="F402" t="s">
        <v>81</v>
      </c>
      <c r="G402" t="s">
        <v>81</v>
      </c>
      <c r="H402" t="s">
        <v>81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3</v>
      </c>
      <c r="BG402">
        <v>0</v>
      </c>
      <c r="BH402">
        <v>0</v>
      </c>
    </row>
    <row r="403" spans="1:60" x14ac:dyDescent="0.35">
      <c r="A403" t="s">
        <v>757</v>
      </c>
      <c r="B403" t="s">
        <v>886</v>
      </c>
      <c r="C403" t="s">
        <v>891</v>
      </c>
      <c r="D403" t="s">
        <v>892</v>
      </c>
      <c r="E403">
        <v>2019</v>
      </c>
      <c r="F403">
        <v>2</v>
      </c>
      <c r="G403">
        <v>1.6363639999999999</v>
      </c>
      <c r="H403">
        <v>0.81818199999999996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29041</v>
      </c>
      <c r="BC403">
        <v>29041</v>
      </c>
      <c r="BD403">
        <v>0</v>
      </c>
      <c r="BE403">
        <v>36980.498</v>
      </c>
      <c r="BF403">
        <v>4</v>
      </c>
      <c r="BG403">
        <v>0</v>
      </c>
      <c r="BH403">
        <v>3.4060000000000001</v>
      </c>
    </row>
    <row r="404" spans="1:60" x14ac:dyDescent="0.35">
      <c r="A404" t="s">
        <v>757</v>
      </c>
      <c r="B404" t="s">
        <v>886</v>
      </c>
      <c r="C404" t="s">
        <v>893</v>
      </c>
      <c r="D404" t="s">
        <v>894</v>
      </c>
      <c r="E404">
        <v>1247</v>
      </c>
      <c r="F404" t="s">
        <v>81</v>
      </c>
      <c r="G404" t="s">
        <v>81</v>
      </c>
      <c r="H404" t="s">
        <v>81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13</v>
      </c>
      <c r="BG404">
        <v>0</v>
      </c>
      <c r="BH404">
        <v>0</v>
      </c>
    </row>
    <row r="405" spans="1:60" x14ac:dyDescent="0.35">
      <c r="A405" t="s">
        <v>757</v>
      </c>
      <c r="B405" t="s">
        <v>886</v>
      </c>
      <c r="C405" t="s">
        <v>886</v>
      </c>
      <c r="D405" t="s">
        <v>895</v>
      </c>
      <c r="E405">
        <v>3608</v>
      </c>
      <c r="F405">
        <v>3</v>
      </c>
      <c r="G405">
        <v>2.5122529999999998</v>
      </c>
      <c r="H405">
        <v>0.83741770000000004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39</v>
      </c>
      <c r="BG405">
        <v>766.41897400000005</v>
      </c>
      <c r="BH405">
        <v>245.56700000000001</v>
      </c>
    </row>
    <row r="406" spans="1:60" x14ac:dyDescent="0.35">
      <c r="A406" t="s">
        <v>757</v>
      </c>
      <c r="B406" t="s">
        <v>886</v>
      </c>
      <c r="C406" t="s">
        <v>896</v>
      </c>
      <c r="D406" t="s">
        <v>897</v>
      </c>
      <c r="E406">
        <v>1114</v>
      </c>
      <c r="F406" t="s">
        <v>81</v>
      </c>
      <c r="G406" t="s">
        <v>81</v>
      </c>
      <c r="H406" t="s">
        <v>81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6</v>
      </c>
      <c r="BG406">
        <v>9.6966669999999997</v>
      </c>
      <c r="BH406">
        <v>0</v>
      </c>
    </row>
    <row r="407" spans="1:60" x14ac:dyDescent="0.35">
      <c r="A407" t="s">
        <v>757</v>
      </c>
      <c r="B407" t="s">
        <v>886</v>
      </c>
      <c r="C407" t="s">
        <v>217</v>
      </c>
      <c r="D407" t="s">
        <v>898</v>
      </c>
      <c r="E407">
        <v>636</v>
      </c>
      <c r="F407">
        <v>1</v>
      </c>
      <c r="G407">
        <v>2.15991</v>
      </c>
      <c r="H407">
        <v>2.15991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7873</v>
      </c>
      <c r="BC407">
        <v>7873</v>
      </c>
      <c r="BD407">
        <v>0</v>
      </c>
      <c r="BE407">
        <v>3029.1770000000001</v>
      </c>
      <c r="BF407">
        <v>1</v>
      </c>
      <c r="BG407">
        <v>0</v>
      </c>
      <c r="BH407">
        <v>0</v>
      </c>
    </row>
    <row r="408" spans="1:60" x14ac:dyDescent="0.35">
      <c r="A408" t="s">
        <v>757</v>
      </c>
      <c r="B408" t="s">
        <v>886</v>
      </c>
      <c r="C408" t="s">
        <v>899</v>
      </c>
      <c r="D408" t="s">
        <v>900</v>
      </c>
      <c r="E408">
        <v>952</v>
      </c>
      <c r="F408">
        <v>1</v>
      </c>
      <c r="G408">
        <v>1.3663639999999999</v>
      </c>
      <c r="H408">
        <v>1.3663639999999999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</v>
      </c>
      <c r="BG408">
        <v>0</v>
      </c>
      <c r="BH408">
        <v>0</v>
      </c>
    </row>
    <row r="409" spans="1:60" x14ac:dyDescent="0.35">
      <c r="A409" t="s">
        <v>757</v>
      </c>
      <c r="B409" t="s">
        <v>886</v>
      </c>
      <c r="C409" t="s">
        <v>901</v>
      </c>
      <c r="D409" t="s">
        <v>902</v>
      </c>
      <c r="E409">
        <v>564</v>
      </c>
      <c r="F409" t="s">
        <v>81</v>
      </c>
      <c r="G409" t="s">
        <v>81</v>
      </c>
      <c r="H409" t="s">
        <v>81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5</v>
      </c>
      <c r="BG409">
        <v>0</v>
      </c>
      <c r="BH409">
        <v>0</v>
      </c>
    </row>
    <row r="410" spans="1:60" x14ac:dyDescent="0.35">
      <c r="A410" t="s">
        <v>757</v>
      </c>
      <c r="B410" t="s">
        <v>886</v>
      </c>
      <c r="C410" t="s">
        <v>903</v>
      </c>
      <c r="D410" t="s">
        <v>904</v>
      </c>
      <c r="E410">
        <v>776</v>
      </c>
      <c r="F410" t="s">
        <v>81</v>
      </c>
      <c r="G410" t="s">
        <v>81</v>
      </c>
      <c r="H410" t="s">
        <v>81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2</v>
      </c>
      <c r="BG410">
        <v>0</v>
      </c>
      <c r="BH410">
        <v>0</v>
      </c>
    </row>
    <row r="411" spans="1:60" x14ac:dyDescent="0.35">
      <c r="A411" t="s">
        <v>757</v>
      </c>
      <c r="B411" t="s">
        <v>886</v>
      </c>
      <c r="C411" t="s">
        <v>905</v>
      </c>
      <c r="D411" t="s">
        <v>906</v>
      </c>
      <c r="E411">
        <v>675</v>
      </c>
      <c r="F411">
        <v>2</v>
      </c>
      <c r="G411">
        <v>3.4660519999999999</v>
      </c>
      <c r="H411">
        <v>1.733026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19</v>
      </c>
      <c r="BG411">
        <v>0</v>
      </c>
      <c r="BH411">
        <v>0</v>
      </c>
    </row>
    <row r="412" spans="1:60" x14ac:dyDescent="0.35">
      <c r="A412" t="s">
        <v>757</v>
      </c>
      <c r="B412" t="s">
        <v>886</v>
      </c>
      <c r="C412" t="s">
        <v>907</v>
      </c>
      <c r="D412" t="s">
        <v>908</v>
      </c>
      <c r="E412">
        <v>667</v>
      </c>
      <c r="F412" t="s">
        <v>81</v>
      </c>
      <c r="G412" t="s">
        <v>81</v>
      </c>
      <c r="H412" t="s">
        <v>81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 t="s">
        <v>81</v>
      </c>
      <c r="BB412" t="s">
        <v>81</v>
      </c>
      <c r="BC412" t="s">
        <v>81</v>
      </c>
      <c r="BD412" t="s">
        <v>81</v>
      </c>
      <c r="BE412" t="s">
        <v>81</v>
      </c>
      <c r="BF412" t="s">
        <v>81</v>
      </c>
      <c r="BG412" t="s">
        <v>81</v>
      </c>
      <c r="BH412" t="s">
        <v>81</v>
      </c>
    </row>
    <row r="413" spans="1:60" x14ac:dyDescent="0.35">
      <c r="A413" t="s">
        <v>757</v>
      </c>
      <c r="B413" t="s">
        <v>886</v>
      </c>
      <c r="C413" t="s">
        <v>909</v>
      </c>
      <c r="D413" t="s">
        <v>910</v>
      </c>
      <c r="E413">
        <v>648</v>
      </c>
      <c r="F413" t="s">
        <v>81</v>
      </c>
      <c r="G413" t="s">
        <v>81</v>
      </c>
      <c r="H413" t="s">
        <v>81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</v>
      </c>
      <c r="BG413">
        <v>0</v>
      </c>
      <c r="BH413">
        <v>0</v>
      </c>
    </row>
    <row r="414" spans="1:60" x14ac:dyDescent="0.35">
      <c r="A414" t="s">
        <v>757</v>
      </c>
      <c r="B414" t="s">
        <v>886</v>
      </c>
      <c r="C414" t="s">
        <v>911</v>
      </c>
      <c r="D414" t="s">
        <v>912</v>
      </c>
      <c r="E414">
        <v>832</v>
      </c>
      <c r="F414">
        <v>1</v>
      </c>
      <c r="G414">
        <v>4.4749439999999998</v>
      </c>
      <c r="H414">
        <v>4.4749439999999998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3</v>
      </c>
      <c r="BG414">
        <v>0</v>
      </c>
      <c r="BH414">
        <v>0</v>
      </c>
    </row>
    <row r="415" spans="1:60" x14ac:dyDescent="0.35">
      <c r="A415" t="s">
        <v>757</v>
      </c>
      <c r="B415" t="s">
        <v>886</v>
      </c>
      <c r="C415" t="s">
        <v>913</v>
      </c>
      <c r="D415" t="s">
        <v>914</v>
      </c>
      <c r="E415">
        <v>670</v>
      </c>
      <c r="F415" t="s">
        <v>81</v>
      </c>
      <c r="G415" t="s">
        <v>81</v>
      </c>
      <c r="H415" t="s">
        <v>81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4</v>
      </c>
      <c r="BG415">
        <v>0</v>
      </c>
      <c r="BH415">
        <v>0</v>
      </c>
    </row>
    <row r="416" spans="1:60" x14ac:dyDescent="0.35">
      <c r="A416" t="s">
        <v>757</v>
      </c>
      <c r="B416" t="s">
        <v>886</v>
      </c>
      <c r="C416" t="s">
        <v>915</v>
      </c>
      <c r="D416" t="s">
        <v>916</v>
      </c>
      <c r="E416">
        <v>921</v>
      </c>
      <c r="F416">
        <v>2</v>
      </c>
      <c r="G416">
        <v>5.4377420000000001</v>
      </c>
      <c r="H416">
        <v>2.718871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5</v>
      </c>
      <c r="BG416">
        <v>0</v>
      </c>
      <c r="BH416">
        <v>0</v>
      </c>
    </row>
    <row r="417" spans="1:60" x14ac:dyDescent="0.35">
      <c r="A417" t="s">
        <v>757</v>
      </c>
      <c r="B417" t="s">
        <v>886</v>
      </c>
      <c r="C417" t="s">
        <v>917</v>
      </c>
      <c r="D417" t="s">
        <v>918</v>
      </c>
      <c r="E417">
        <v>1476</v>
      </c>
      <c r="F417" t="s">
        <v>81</v>
      </c>
      <c r="G417" t="s">
        <v>81</v>
      </c>
      <c r="H417" t="s">
        <v>81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</v>
      </c>
      <c r="BG417">
        <v>0</v>
      </c>
      <c r="BH417">
        <v>0</v>
      </c>
    </row>
    <row r="418" spans="1:60" x14ac:dyDescent="0.35">
      <c r="A418" t="s">
        <v>757</v>
      </c>
      <c r="B418" t="s">
        <v>886</v>
      </c>
      <c r="C418" t="s">
        <v>919</v>
      </c>
      <c r="D418" t="s">
        <v>920</v>
      </c>
      <c r="E418">
        <v>563</v>
      </c>
      <c r="F418" t="s">
        <v>81</v>
      </c>
      <c r="G418" t="s">
        <v>81</v>
      </c>
      <c r="H418" t="s">
        <v>81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5</v>
      </c>
      <c r="BG418">
        <v>0</v>
      </c>
      <c r="BH418">
        <v>0</v>
      </c>
    </row>
    <row r="419" spans="1:60" x14ac:dyDescent="0.35">
      <c r="A419" t="s">
        <v>757</v>
      </c>
      <c r="B419" t="s">
        <v>886</v>
      </c>
      <c r="C419" t="s">
        <v>921</v>
      </c>
      <c r="D419" t="s">
        <v>922</v>
      </c>
      <c r="E419">
        <v>2105</v>
      </c>
      <c r="F419">
        <v>1</v>
      </c>
      <c r="G419">
        <v>0.72729900000000003</v>
      </c>
      <c r="H419">
        <v>0.72729900000000003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23</v>
      </c>
      <c r="BG419">
        <v>137.68608699999999</v>
      </c>
      <c r="BH419">
        <v>2371.0639999999999</v>
      </c>
    </row>
    <row r="420" spans="1:60" x14ac:dyDescent="0.35">
      <c r="A420" t="s">
        <v>757</v>
      </c>
      <c r="B420" t="s">
        <v>886</v>
      </c>
      <c r="C420" t="s">
        <v>923</v>
      </c>
      <c r="D420" t="s">
        <v>924</v>
      </c>
      <c r="E420">
        <v>78660</v>
      </c>
      <c r="F420">
        <v>231</v>
      </c>
      <c r="G420">
        <v>195.20750000000001</v>
      </c>
      <c r="H420">
        <v>0.84505430000000004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6497.2</v>
      </c>
      <c r="V420">
        <v>0</v>
      </c>
      <c r="W420">
        <v>960.03</v>
      </c>
      <c r="X420">
        <v>0</v>
      </c>
      <c r="Y420">
        <v>0</v>
      </c>
      <c r="Z420">
        <v>7457.23</v>
      </c>
      <c r="AA420">
        <v>141141.81</v>
      </c>
      <c r="AB420">
        <v>18928.87</v>
      </c>
      <c r="AC420">
        <v>378416.24</v>
      </c>
      <c r="AD420">
        <v>0</v>
      </c>
      <c r="AE420">
        <v>0</v>
      </c>
      <c r="AF420">
        <v>538486.92000000004</v>
      </c>
      <c r="AG420">
        <v>18249.650000000001</v>
      </c>
      <c r="AH420">
        <v>3513</v>
      </c>
      <c r="AI420">
        <v>44706.52</v>
      </c>
      <c r="AJ420">
        <v>0</v>
      </c>
      <c r="AK420">
        <v>0</v>
      </c>
      <c r="AL420">
        <v>66469.17</v>
      </c>
      <c r="AM420">
        <v>34025.5</v>
      </c>
      <c r="AN420">
        <v>3323.17</v>
      </c>
      <c r="AO420">
        <v>40554.29</v>
      </c>
      <c r="AP420">
        <v>0</v>
      </c>
      <c r="AQ420">
        <v>0</v>
      </c>
      <c r="AR420">
        <v>77902.960000000006</v>
      </c>
      <c r="AS420">
        <v>12363.1</v>
      </c>
      <c r="AT420">
        <v>0</v>
      </c>
      <c r="AU420">
        <v>2273.58</v>
      </c>
      <c r="AV420">
        <v>0</v>
      </c>
      <c r="AW420">
        <v>0</v>
      </c>
      <c r="AX420">
        <v>14636.68</v>
      </c>
      <c r="AY420">
        <v>704952.96</v>
      </c>
      <c r="AZ420">
        <v>0</v>
      </c>
      <c r="BA420">
        <v>20</v>
      </c>
      <c r="BB420">
        <v>53587.125</v>
      </c>
      <c r="BC420">
        <v>1071742.4920000001</v>
      </c>
      <c r="BD420">
        <v>0</v>
      </c>
      <c r="BE420">
        <v>484.27600000000001</v>
      </c>
      <c r="BF420">
        <v>971</v>
      </c>
      <c r="BG420">
        <v>614.58824900000002</v>
      </c>
      <c r="BH420">
        <v>1428.5989999999999</v>
      </c>
    </row>
    <row r="421" spans="1:60" x14ac:dyDescent="0.35">
      <c r="A421" t="s">
        <v>757</v>
      </c>
      <c r="B421" t="s">
        <v>925</v>
      </c>
      <c r="C421" t="s">
        <v>88</v>
      </c>
      <c r="D421" t="s">
        <v>926</v>
      </c>
      <c r="E421">
        <v>3319</v>
      </c>
      <c r="F421">
        <v>5</v>
      </c>
      <c r="G421">
        <v>10.79752</v>
      </c>
      <c r="H421">
        <v>2.1595040000000001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8386.0499999999993</v>
      </c>
      <c r="AC421">
        <v>0</v>
      </c>
      <c r="AD421">
        <v>0</v>
      </c>
      <c r="AE421">
        <v>0</v>
      </c>
      <c r="AF421">
        <v>8386.0499999999993</v>
      </c>
      <c r="AG421">
        <v>0</v>
      </c>
      <c r="AH421">
        <v>1754.97</v>
      </c>
      <c r="AI421">
        <v>0</v>
      </c>
      <c r="AJ421">
        <v>0</v>
      </c>
      <c r="AK421">
        <v>0</v>
      </c>
      <c r="AL421">
        <v>1754.97</v>
      </c>
      <c r="AM421">
        <v>0</v>
      </c>
      <c r="AN421">
        <v>796.1</v>
      </c>
      <c r="AO421">
        <v>0</v>
      </c>
      <c r="AP421">
        <v>0</v>
      </c>
      <c r="AQ421">
        <v>0</v>
      </c>
      <c r="AR421">
        <v>796.1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10937.12</v>
      </c>
      <c r="AZ421">
        <v>0</v>
      </c>
      <c r="BA421">
        <v>1</v>
      </c>
      <c r="BB421">
        <v>11276.5</v>
      </c>
      <c r="BC421">
        <v>11276.5</v>
      </c>
      <c r="BD421">
        <v>0</v>
      </c>
      <c r="BE421">
        <v>6870.558</v>
      </c>
      <c r="BF421">
        <v>37</v>
      </c>
      <c r="BG421">
        <v>1066.9135140000001</v>
      </c>
      <c r="BH421">
        <v>1290.587</v>
      </c>
    </row>
    <row r="422" spans="1:60" x14ac:dyDescent="0.35">
      <c r="A422" t="s">
        <v>757</v>
      </c>
      <c r="B422" t="s">
        <v>925</v>
      </c>
      <c r="C422" t="s">
        <v>927</v>
      </c>
      <c r="D422" t="s">
        <v>928</v>
      </c>
      <c r="E422">
        <v>656</v>
      </c>
      <c r="F422">
        <v>1</v>
      </c>
      <c r="G422">
        <v>3.6206070000000001</v>
      </c>
      <c r="H422">
        <v>3.6206070000000001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 t="s">
        <v>81</v>
      </c>
      <c r="BB422" t="s">
        <v>81</v>
      </c>
      <c r="BC422" t="s">
        <v>81</v>
      </c>
      <c r="BD422" t="s">
        <v>81</v>
      </c>
      <c r="BE422" t="s">
        <v>81</v>
      </c>
      <c r="BF422" t="s">
        <v>81</v>
      </c>
      <c r="BG422" t="s">
        <v>81</v>
      </c>
      <c r="BH422" t="s">
        <v>81</v>
      </c>
    </row>
    <row r="423" spans="1:60" x14ac:dyDescent="0.35">
      <c r="A423" t="s">
        <v>757</v>
      </c>
      <c r="B423" t="s">
        <v>925</v>
      </c>
      <c r="C423" t="s">
        <v>929</v>
      </c>
      <c r="D423" t="s">
        <v>930</v>
      </c>
      <c r="E423">
        <v>3224</v>
      </c>
      <c r="F423">
        <v>2</v>
      </c>
      <c r="G423">
        <v>2.8614649999999999</v>
      </c>
      <c r="H423">
        <v>1.4307319999999999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4</v>
      </c>
      <c r="BG423">
        <v>0</v>
      </c>
      <c r="BH423">
        <v>0</v>
      </c>
    </row>
    <row r="424" spans="1:60" x14ac:dyDescent="0.35">
      <c r="A424" t="s">
        <v>757</v>
      </c>
      <c r="B424" t="s">
        <v>925</v>
      </c>
      <c r="C424" t="s">
        <v>931</v>
      </c>
      <c r="D424" t="s">
        <v>932</v>
      </c>
      <c r="E424">
        <v>634</v>
      </c>
      <c r="F424" t="s">
        <v>81</v>
      </c>
      <c r="G424" t="s">
        <v>81</v>
      </c>
      <c r="H424" t="s">
        <v>81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 t="s">
        <v>81</v>
      </c>
      <c r="BB424" t="s">
        <v>81</v>
      </c>
      <c r="BC424" t="s">
        <v>81</v>
      </c>
      <c r="BD424" t="s">
        <v>81</v>
      </c>
      <c r="BE424" t="s">
        <v>81</v>
      </c>
      <c r="BF424" t="s">
        <v>81</v>
      </c>
      <c r="BG424" t="s">
        <v>81</v>
      </c>
      <c r="BH424" t="s">
        <v>81</v>
      </c>
    </row>
    <row r="425" spans="1:60" x14ac:dyDescent="0.35">
      <c r="A425" t="s">
        <v>757</v>
      </c>
      <c r="B425" t="s">
        <v>925</v>
      </c>
      <c r="C425" t="s">
        <v>933</v>
      </c>
      <c r="D425" t="s">
        <v>934</v>
      </c>
      <c r="E425">
        <v>569</v>
      </c>
      <c r="F425">
        <v>1</v>
      </c>
      <c r="G425">
        <v>1.934615</v>
      </c>
      <c r="H425">
        <v>1.934615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 t="s">
        <v>81</v>
      </c>
      <c r="BB425" t="s">
        <v>81</v>
      </c>
      <c r="BC425" t="s">
        <v>81</v>
      </c>
      <c r="BD425" t="s">
        <v>81</v>
      </c>
      <c r="BE425" t="s">
        <v>81</v>
      </c>
      <c r="BF425" t="s">
        <v>81</v>
      </c>
      <c r="BG425" t="s">
        <v>81</v>
      </c>
      <c r="BH425" t="s">
        <v>81</v>
      </c>
    </row>
    <row r="426" spans="1:60" x14ac:dyDescent="0.35">
      <c r="A426" t="s">
        <v>757</v>
      </c>
      <c r="B426" t="s">
        <v>925</v>
      </c>
      <c r="C426" t="s">
        <v>935</v>
      </c>
      <c r="D426" t="s">
        <v>936</v>
      </c>
      <c r="E426">
        <v>3466</v>
      </c>
      <c r="F426">
        <v>1</v>
      </c>
      <c r="G426">
        <v>1.6367480000000001</v>
      </c>
      <c r="H426">
        <v>1.6367480000000001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14740.916999999999</v>
      </c>
      <c r="BC426">
        <v>14740.916999999999</v>
      </c>
      <c r="BD426">
        <v>0</v>
      </c>
      <c r="BE426">
        <v>0</v>
      </c>
      <c r="BF426">
        <v>25</v>
      </c>
      <c r="BG426">
        <v>4672.5111999999999</v>
      </c>
      <c r="BH426">
        <v>1788.8330000000001</v>
      </c>
    </row>
    <row r="427" spans="1:60" x14ac:dyDescent="0.35">
      <c r="A427" t="s">
        <v>757</v>
      </c>
      <c r="B427" t="s">
        <v>925</v>
      </c>
      <c r="C427" t="s">
        <v>937</v>
      </c>
      <c r="D427" t="s">
        <v>938</v>
      </c>
      <c r="E427">
        <v>336</v>
      </c>
      <c r="F427" t="s">
        <v>81</v>
      </c>
      <c r="G427" t="s">
        <v>81</v>
      </c>
      <c r="H427" t="s">
        <v>81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</row>
    <row r="428" spans="1:60" x14ac:dyDescent="0.35">
      <c r="A428" t="s">
        <v>757</v>
      </c>
      <c r="B428" t="s">
        <v>925</v>
      </c>
      <c r="C428" t="s">
        <v>939</v>
      </c>
      <c r="D428" t="s">
        <v>940</v>
      </c>
      <c r="E428">
        <v>3717</v>
      </c>
      <c r="F428">
        <v>1</v>
      </c>
      <c r="G428">
        <v>2.5725250000000002</v>
      </c>
      <c r="H428">
        <v>2.5725250000000002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</v>
      </c>
      <c r="BB428">
        <v>397259.91700000002</v>
      </c>
      <c r="BC428">
        <v>397259.91700000002</v>
      </c>
      <c r="BD428">
        <v>0</v>
      </c>
      <c r="BE428">
        <v>0</v>
      </c>
      <c r="BF428">
        <v>66</v>
      </c>
      <c r="BG428">
        <v>492.56363599999997</v>
      </c>
      <c r="BH428">
        <v>0.03</v>
      </c>
    </row>
    <row r="429" spans="1:60" x14ac:dyDescent="0.35">
      <c r="A429" t="s">
        <v>757</v>
      </c>
      <c r="B429" t="s">
        <v>941</v>
      </c>
      <c r="C429" t="s">
        <v>942</v>
      </c>
      <c r="D429" t="s">
        <v>943</v>
      </c>
      <c r="E429">
        <v>27177</v>
      </c>
      <c r="F429">
        <v>70</v>
      </c>
      <c r="G429">
        <v>99.695189999999997</v>
      </c>
      <c r="H429">
        <v>1.4242170000000001</v>
      </c>
      <c r="I429">
        <v>0.28999999999999998</v>
      </c>
      <c r="J429">
        <v>0</v>
      </c>
      <c r="K429">
        <v>0</v>
      </c>
      <c r="L429">
        <v>0</v>
      </c>
      <c r="M429">
        <v>0</v>
      </c>
      <c r="N429">
        <v>0.28999999999999998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217.68</v>
      </c>
      <c r="V429">
        <v>0</v>
      </c>
      <c r="W429">
        <v>97.9</v>
      </c>
      <c r="X429">
        <v>0</v>
      </c>
      <c r="Y429">
        <v>0</v>
      </c>
      <c r="Z429">
        <v>315.58</v>
      </c>
      <c r="AA429">
        <v>68657.440000000002</v>
      </c>
      <c r="AB429">
        <v>6937.82</v>
      </c>
      <c r="AC429">
        <v>44187.71</v>
      </c>
      <c r="AD429">
        <v>0</v>
      </c>
      <c r="AE429">
        <v>0</v>
      </c>
      <c r="AF429">
        <v>119782.97</v>
      </c>
      <c r="AG429">
        <v>4472.53</v>
      </c>
      <c r="AH429">
        <v>1165.1400000000001</v>
      </c>
      <c r="AI429">
        <v>4124.59</v>
      </c>
      <c r="AJ429">
        <v>0</v>
      </c>
      <c r="AK429">
        <v>0</v>
      </c>
      <c r="AL429">
        <v>9762.26</v>
      </c>
      <c r="AM429">
        <v>5441.36</v>
      </c>
      <c r="AN429">
        <v>599.64</v>
      </c>
      <c r="AO429">
        <v>8265.0499999999993</v>
      </c>
      <c r="AP429">
        <v>0</v>
      </c>
      <c r="AQ429">
        <v>0</v>
      </c>
      <c r="AR429">
        <v>14306.05</v>
      </c>
      <c r="AS429">
        <v>3883.71</v>
      </c>
      <c r="AT429">
        <v>0</v>
      </c>
      <c r="AU429">
        <v>826.59</v>
      </c>
      <c r="AV429">
        <v>0</v>
      </c>
      <c r="AW429">
        <v>0</v>
      </c>
      <c r="AX429">
        <v>4710.3</v>
      </c>
      <c r="AY429">
        <v>148877.45000000001</v>
      </c>
      <c r="AZ429">
        <v>0</v>
      </c>
      <c r="BA429">
        <v>9</v>
      </c>
      <c r="BB429">
        <v>38993.150999999998</v>
      </c>
      <c r="BC429">
        <v>350938.35700000002</v>
      </c>
      <c r="BD429">
        <v>0</v>
      </c>
      <c r="BE429">
        <v>1140.692</v>
      </c>
      <c r="BF429">
        <v>333</v>
      </c>
      <c r="BG429">
        <v>1419.1413809999999</v>
      </c>
      <c r="BH429">
        <v>1674.8150000000001</v>
      </c>
    </row>
    <row r="430" spans="1:60" x14ac:dyDescent="0.35">
      <c r="A430" t="s">
        <v>757</v>
      </c>
      <c r="B430" t="s">
        <v>941</v>
      </c>
      <c r="C430" t="s">
        <v>944</v>
      </c>
      <c r="D430" t="s">
        <v>945</v>
      </c>
      <c r="E430">
        <v>8219</v>
      </c>
      <c r="F430">
        <v>7</v>
      </c>
      <c r="G430">
        <v>8.0587429999999998</v>
      </c>
      <c r="H430">
        <v>1.151249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34346.07</v>
      </c>
      <c r="AB430">
        <v>4169.12</v>
      </c>
      <c r="AC430">
        <v>64460.07</v>
      </c>
      <c r="AD430">
        <v>0</v>
      </c>
      <c r="AE430">
        <v>0</v>
      </c>
      <c r="AF430">
        <v>102975.26</v>
      </c>
      <c r="AG430">
        <v>5456.09</v>
      </c>
      <c r="AH430">
        <v>637.12</v>
      </c>
      <c r="AI430">
        <v>6729.63</v>
      </c>
      <c r="AJ430">
        <v>0</v>
      </c>
      <c r="AK430">
        <v>0</v>
      </c>
      <c r="AL430">
        <v>12822.84</v>
      </c>
      <c r="AM430">
        <v>6055.69</v>
      </c>
      <c r="AN430">
        <v>81.99</v>
      </c>
      <c r="AO430">
        <v>5039.97</v>
      </c>
      <c r="AP430">
        <v>0</v>
      </c>
      <c r="AQ430">
        <v>0</v>
      </c>
      <c r="AR430">
        <v>11177.65</v>
      </c>
      <c r="AS430">
        <v>75.63</v>
      </c>
      <c r="AT430">
        <v>0</v>
      </c>
      <c r="AU430">
        <v>313.49</v>
      </c>
      <c r="AV430">
        <v>0</v>
      </c>
      <c r="AW430">
        <v>0</v>
      </c>
      <c r="AX430">
        <v>389.12</v>
      </c>
      <c r="AY430">
        <v>127364.87</v>
      </c>
      <c r="AZ430">
        <v>0</v>
      </c>
      <c r="BA430">
        <v>3</v>
      </c>
      <c r="BB430">
        <v>28814.556</v>
      </c>
      <c r="BC430">
        <v>86443.667000000001</v>
      </c>
      <c r="BD430">
        <v>0</v>
      </c>
      <c r="BE430">
        <v>0</v>
      </c>
      <c r="BF430">
        <v>121</v>
      </c>
      <c r="BG430">
        <v>1443.823967</v>
      </c>
      <c r="BH430">
        <v>1793.9359999999999</v>
      </c>
    </row>
    <row r="431" spans="1:60" x14ac:dyDescent="0.35">
      <c r="A431" t="s">
        <v>757</v>
      </c>
      <c r="B431" t="s">
        <v>941</v>
      </c>
      <c r="C431" t="s">
        <v>946</v>
      </c>
      <c r="D431" t="s">
        <v>947</v>
      </c>
      <c r="E431">
        <v>7363</v>
      </c>
      <c r="F431">
        <v>18</v>
      </c>
      <c r="G431">
        <v>18.05819</v>
      </c>
      <c r="H431">
        <v>1.003233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61</v>
      </c>
      <c r="BG431">
        <v>139.98852500000001</v>
      </c>
      <c r="BH431">
        <v>1359.9079999999999</v>
      </c>
    </row>
    <row r="432" spans="1:60" x14ac:dyDescent="0.35">
      <c r="A432" t="s">
        <v>757</v>
      </c>
      <c r="B432" t="s">
        <v>941</v>
      </c>
      <c r="C432" t="s">
        <v>941</v>
      </c>
      <c r="D432" t="s">
        <v>948</v>
      </c>
      <c r="E432">
        <v>5326</v>
      </c>
      <c r="F432">
        <v>18</v>
      </c>
      <c r="G432">
        <v>37.247579999999999</v>
      </c>
      <c r="H432">
        <v>2.0693100000000002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4</v>
      </c>
      <c r="BB432">
        <v>43235.688000000002</v>
      </c>
      <c r="BC432">
        <v>172942.75</v>
      </c>
      <c r="BD432">
        <v>0</v>
      </c>
      <c r="BE432">
        <v>162.30600000000001</v>
      </c>
      <c r="BF432">
        <v>105</v>
      </c>
      <c r="BG432">
        <v>3188.2272379999999</v>
      </c>
      <c r="BH432">
        <v>756.572</v>
      </c>
    </row>
    <row r="433" spans="1:60" x14ac:dyDescent="0.35">
      <c r="A433" t="s">
        <v>757</v>
      </c>
      <c r="B433" t="s">
        <v>941</v>
      </c>
      <c r="C433" t="s">
        <v>949</v>
      </c>
      <c r="D433" t="s">
        <v>950</v>
      </c>
      <c r="E433">
        <v>1281</v>
      </c>
      <c r="F433">
        <v>1</v>
      </c>
      <c r="G433">
        <v>0.2</v>
      </c>
      <c r="H433">
        <v>0.2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</v>
      </c>
      <c r="BB433">
        <v>11213.541999999999</v>
      </c>
      <c r="BC433">
        <v>22427.082999999999</v>
      </c>
      <c r="BD433">
        <v>0</v>
      </c>
      <c r="BE433">
        <v>0</v>
      </c>
      <c r="BF433">
        <v>13</v>
      </c>
      <c r="BG433">
        <v>0.769231</v>
      </c>
      <c r="BH433">
        <v>868.20500000000004</v>
      </c>
    </row>
    <row r="434" spans="1:60" x14ac:dyDescent="0.35">
      <c r="A434" t="s">
        <v>757</v>
      </c>
      <c r="B434" t="s">
        <v>941</v>
      </c>
      <c r="C434" t="s">
        <v>951</v>
      </c>
      <c r="D434" t="s">
        <v>952</v>
      </c>
      <c r="E434">
        <v>6422</v>
      </c>
      <c r="F434">
        <v>6</v>
      </c>
      <c r="G434">
        <v>8.4182489999999994</v>
      </c>
      <c r="H434">
        <v>1.4030419999999999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13834.55</v>
      </c>
      <c r="AB434">
        <v>0</v>
      </c>
      <c r="AC434">
        <v>0</v>
      </c>
      <c r="AD434">
        <v>0</v>
      </c>
      <c r="AE434">
        <v>0</v>
      </c>
      <c r="AF434">
        <v>13834.55</v>
      </c>
      <c r="AG434">
        <v>1768.07</v>
      </c>
      <c r="AH434">
        <v>0</v>
      </c>
      <c r="AI434">
        <v>0</v>
      </c>
      <c r="AJ434">
        <v>0</v>
      </c>
      <c r="AK434">
        <v>0</v>
      </c>
      <c r="AL434">
        <v>1768.07</v>
      </c>
      <c r="AM434">
        <v>546.61</v>
      </c>
      <c r="AN434">
        <v>0</v>
      </c>
      <c r="AO434">
        <v>0</v>
      </c>
      <c r="AP434">
        <v>0</v>
      </c>
      <c r="AQ434">
        <v>0</v>
      </c>
      <c r="AR434">
        <v>546.61</v>
      </c>
      <c r="AS434">
        <v>10.52</v>
      </c>
      <c r="AT434">
        <v>0</v>
      </c>
      <c r="AU434">
        <v>0</v>
      </c>
      <c r="AV434">
        <v>0</v>
      </c>
      <c r="AW434">
        <v>0</v>
      </c>
      <c r="AX434">
        <v>10.52</v>
      </c>
      <c r="AY434">
        <v>16159.75</v>
      </c>
      <c r="AZ434">
        <v>0</v>
      </c>
      <c r="BA434">
        <v>1</v>
      </c>
      <c r="BB434">
        <v>33114</v>
      </c>
      <c r="BC434">
        <v>33114</v>
      </c>
      <c r="BD434">
        <v>0</v>
      </c>
      <c r="BE434">
        <v>0</v>
      </c>
      <c r="BF434">
        <v>51</v>
      </c>
      <c r="BG434">
        <v>1227.6584310000001</v>
      </c>
      <c r="BH434">
        <v>1501.16</v>
      </c>
    </row>
    <row r="435" spans="1:60" x14ac:dyDescent="0.35">
      <c r="A435" t="s">
        <v>757</v>
      </c>
      <c r="B435" t="s">
        <v>953</v>
      </c>
      <c r="C435" t="s">
        <v>954</v>
      </c>
      <c r="D435" t="s">
        <v>955</v>
      </c>
      <c r="E435">
        <v>2984</v>
      </c>
      <c r="F435">
        <v>5</v>
      </c>
      <c r="G435">
        <v>8.0172530000000002</v>
      </c>
      <c r="H435">
        <v>1.603451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15992.96</v>
      </c>
      <c r="AD435">
        <v>0</v>
      </c>
      <c r="AE435">
        <v>0</v>
      </c>
      <c r="AF435">
        <v>15992.96</v>
      </c>
      <c r="AG435">
        <v>0</v>
      </c>
      <c r="AH435">
        <v>0</v>
      </c>
      <c r="AI435">
        <v>2324.59</v>
      </c>
      <c r="AJ435">
        <v>0</v>
      </c>
      <c r="AK435">
        <v>0</v>
      </c>
      <c r="AL435">
        <v>2324.59</v>
      </c>
      <c r="AM435">
        <v>0</v>
      </c>
      <c r="AN435">
        <v>0</v>
      </c>
      <c r="AO435">
        <v>1527.57</v>
      </c>
      <c r="AP435">
        <v>0</v>
      </c>
      <c r="AQ435">
        <v>0</v>
      </c>
      <c r="AR435">
        <v>1527.57</v>
      </c>
      <c r="AS435">
        <v>0</v>
      </c>
      <c r="AT435">
        <v>0</v>
      </c>
      <c r="AU435">
        <v>145</v>
      </c>
      <c r="AV435">
        <v>0</v>
      </c>
      <c r="AW435">
        <v>0</v>
      </c>
      <c r="AX435">
        <v>145</v>
      </c>
      <c r="AY435">
        <v>19990.12</v>
      </c>
      <c r="AZ435">
        <v>0</v>
      </c>
      <c r="BA435">
        <v>2</v>
      </c>
      <c r="BB435">
        <v>31814.45</v>
      </c>
      <c r="BC435">
        <v>63628.9</v>
      </c>
      <c r="BD435">
        <v>7012.6</v>
      </c>
      <c r="BE435">
        <v>0</v>
      </c>
      <c r="BF435">
        <v>41</v>
      </c>
      <c r="BG435">
        <v>1240.2</v>
      </c>
      <c r="BH435">
        <v>0</v>
      </c>
    </row>
    <row r="436" spans="1:60" x14ac:dyDescent="0.35">
      <c r="A436" t="s">
        <v>757</v>
      </c>
      <c r="B436" t="s">
        <v>953</v>
      </c>
      <c r="C436" t="s">
        <v>956</v>
      </c>
      <c r="D436" t="s">
        <v>957</v>
      </c>
      <c r="E436">
        <v>1776</v>
      </c>
      <c r="F436" t="s">
        <v>81</v>
      </c>
      <c r="G436" t="s">
        <v>81</v>
      </c>
      <c r="H436" t="s">
        <v>81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5</v>
      </c>
      <c r="BG436">
        <v>0</v>
      </c>
      <c r="BH436">
        <v>0</v>
      </c>
    </row>
    <row r="437" spans="1:60" x14ac:dyDescent="0.35">
      <c r="A437" t="s">
        <v>757</v>
      </c>
      <c r="B437" t="s">
        <v>953</v>
      </c>
      <c r="C437" t="s">
        <v>958</v>
      </c>
      <c r="D437" t="s">
        <v>959</v>
      </c>
      <c r="E437">
        <v>572</v>
      </c>
      <c r="F437">
        <v>1</v>
      </c>
      <c r="G437">
        <v>1.141202</v>
      </c>
      <c r="H437">
        <v>1.141202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</v>
      </c>
      <c r="BG437">
        <v>0</v>
      </c>
      <c r="BH437">
        <v>0</v>
      </c>
    </row>
    <row r="438" spans="1:60" x14ac:dyDescent="0.35">
      <c r="A438" t="s">
        <v>757</v>
      </c>
      <c r="B438" t="s">
        <v>953</v>
      </c>
      <c r="C438" t="s">
        <v>960</v>
      </c>
      <c r="D438" t="s">
        <v>961</v>
      </c>
      <c r="E438">
        <v>1734</v>
      </c>
      <c r="F438" t="s">
        <v>81</v>
      </c>
      <c r="G438" t="s">
        <v>81</v>
      </c>
      <c r="H438" t="s">
        <v>81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2</v>
      </c>
      <c r="BG438">
        <v>0</v>
      </c>
      <c r="BH438">
        <v>0</v>
      </c>
    </row>
    <row r="439" spans="1:60" x14ac:dyDescent="0.35">
      <c r="A439" t="s">
        <v>757</v>
      </c>
      <c r="B439" t="s">
        <v>953</v>
      </c>
      <c r="C439" t="s">
        <v>962</v>
      </c>
      <c r="D439" t="s">
        <v>963</v>
      </c>
      <c r="E439">
        <v>1032</v>
      </c>
      <c r="F439" t="s">
        <v>81</v>
      </c>
      <c r="G439" t="s">
        <v>81</v>
      </c>
      <c r="H439" t="s">
        <v>81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 t="s">
        <v>81</v>
      </c>
      <c r="BB439" t="s">
        <v>81</v>
      </c>
      <c r="BC439" t="s">
        <v>81</v>
      </c>
      <c r="BD439" t="s">
        <v>81</v>
      </c>
      <c r="BE439" t="s">
        <v>81</v>
      </c>
      <c r="BF439" t="s">
        <v>81</v>
      </c>
      <c r="BG439" t="s">
        <v>81</v>
      </c>
      <c r="BH439" t="s">
        <v>81</v>
      </c>
    </row>
    <row r="440" spans="1:60" x14ac:dyDescent="0.35">
      <c r="A440" t="s">
        <v>757</v>
      </c>
      <c r="B440" t="s">
        <v>953</v>
      </c>
      <c r="C440" t="s">
        <v>964</v>
      </c>
      <c r="D440" t="s">
        <v>965</v>
      </c>
      <c r="E440">
        <v>2226</v>
      </c>
      <c r="F440" t="s">
        <v>81</v>
      </c>
      <c r="G440" t="s">
        <v>81</v>
      </c>
      <c r="H440" t="s">
        <v>81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2</v>
      </c>
      <c r="BG440">
        <v>0</v>
      </c>
      <c r="BH440">
        <v>0</v>
      </c>
    </row>
    <row r="441" spans="1:60" x14ac:dyDescent="0.35">
      <c r="A441" t="s">
        <v>757</v>
      </c>
      <c r="B441" t="s">
        <v>953</v>
      </c>
      <c r="C441" t="s">
        <v>966</v>
      </c>
      <c r="D441" t="s">
        <v>967</v>
      </c>
      <c r="E441">
        <v>281</v>
      </c>
      <c r="F441" t="s">
        <v>81</v>
      </c>
      <c r="G441" t="s">
        <v>81</v>
      </c>
      <c r="H441" t="s">
        <v>81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81</v>
      </c>
      <c r="BB441" t="s">
        <v>81</v>
      </c>
      <c r="BC441" t="s">
        <v>81</v>
      </c>
      <c r="BD441" t="s">
        <v>81</v>
      </c>
      <c r="BE441" t="s">
        <v>81</v>
      </c>
      <c r="BF441" t="s">
        <v>81</v>
      </c>
      <c r="BG441" t="s">
        <v>81</v>
      </c>
      <c r="BH441" t="s">
        <v>81</v>
      </c>
    </row>
    <row r="442" spans="1:60" x14ac:dyDescent="0.35">
      <c r="A442" t="s">
        <v>757</v>
      </c>
      <c r="B442" t="s">
        <v>953</v>
      </c>
      <c r="C442" t="s">
        <v>968</v>
      </c>
      <c r="D442" t="s">
        <v>969</v>
      </c>
      <c r="E442">
        <v>258</v>
      </c>
      <c r="F442" t="s">
        <v>81</v>
      </c>
      <c r="G442" t="s">
        <v>81</v>
      </c>
      <c r="H442" t="s">
        <v>81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 t="s">
        <v>81</v>
      </c>
      <c r="BB442" t="s">
        <v>81</v>
      </c>
      <c r="BC442" t="s">
        <v>81</v>
      </c>
      <c r="BD442" t="s">
        <v>81</v>
      </c>
      <c r="BE442" t="s">
        <v>81</v>
      </c>
      <c r="BF442" t="s">
        <v>81</v>
      </c>
      <c r="BG442" t="s">
        <v>81</v>
      </c>
      <c r="BH442" t="s">
        <v>81</v>
      </c>
    </row>
    <row r="443" spans="1:60" x14ac:dyDescent="0.35">
      <c r="A443" t="s">
        <v>757</v>
      </c>
      <c r="B443" t="s">
        <v>953</v>
      </c>
      <c r="C443" t="s">
        <v>970</v>
      </c>
      <c r="D443" t="s">
        <v>971</v>
      </c>
      <c r="E443">
        <v>305</v>
      </c>
      <c r="F443" t="s">
        <v>81</v>
      </c>
      <c r="G443" t="s">
        <v>81</v>
      </c>
      <c r="H443" t="s">
        <v>81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 t="s">
        <v>81</v>
      </c>
      <c r="BB443" t="s">
        <v>81</v>
      </c>
      <c r="BC443" t="s">
        <v>81</v>
      </c>
      <c r="BD443" t="s">
        <v>81</v>
      </c>
      <c r="BE443" t="s">
        <v>81</v>
      </c>
      <c r="BF443" t="s">
        <v>81</v>
      </c>
      <c r="BG443" t="s">
        <v>81</v>
      </c>
      <c r="BH443" t="s">
        <v>81</v>
      </c>
    </row>
    <row r="444" spans="1:60" x14ac:dyDescent="0.35">
      <c r="A444" t="s">
        <v>757</v>
      </c>
      <c r="B444" t="s">
        <v>953</v>
      </c>
      <c r="C444" t="s">
        <v>972</v>
      </c>
      <c r="D444" t="s">
        <v>973</v>
      </c>
      <c r="E444">
        <v>603</v>
      </c>
      <c r="F444" t="s">
        <v>81</v>
      </c>
      <c r="G444" t="s">
        <v>81</v>
      </c>
      <c r="H444" t="s">
        <v>81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 t="s">
        <v>81</v>
      </c>
      <c r="BB444" t="s">
        <v>81</v>
      </c>
      <c r="BC444" t="s">
        <v>81</v>
      </c>
      <c r="BD444" t="s">
        <v>81</v>
      </c>
      <c r="BE444" t="s">
        <v>81</v>
      </c>
      <c r="BF444" t="s">
        <v>81</v>
      </c>
      <c r="BG444" t="s">
        <v>81</v>
      </c>
      <c r="BH444" t="s">
        <v>81</v>
      </c>
    </row>
    <row r="445" spans="1:60" x14ac:dyDescent="0.35">
      <c r="A445" t="s">
        <v>757</v>
      </c>
      <c r="B445" t="s">
        <v>953</v>
      </c>
      <c r="C445" t="s">
        <v>974</v>
      </c>
      <c r="D445" t="s">
        <v>975</v>
      </c>
      <c r="E445">
        <v>441</v>
      </c>
      <c r="F445" t="s">
        <v>81</v>
      </c>
      <c r="G445" t="s">
        <v>81</v>
      </c>
      <c r="H445" t="s">
        <v>81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</row>
    <row r="446" spans="1:60" x14ac:dyDescent="0.35">
      <c r="A446" t="s">
        <v>976</v>
      </c>
      <c r="B446" t="s">
        <v>977</v>
      </c>
      <c r="C446" t="s">
        <v>978</v>
      </c>
      <c r="D446" t="s">
        <v>979</v>
      </c>
      <c r="E446">
        <v>114918</v>
      </c>
      <c r="F446">
        <v>649</v>
      </c>
      <c r="G446">
        <v>508.12290000000002</v>
      </c>
      <c r="H446">
        <v>0.78293199999999996</v>
      </c>
      <c r="I446">
        <v>15525.08</v>
      </c>
      <c r="J446">
        <v>0</v>
      </c>
      <c r="K446">
        <v>0</v>
      </c>
      <c r="L446">
        <v>0</v>
      </c>
      <c r="M446">
        <v>0</v>
      </c>
      <c r="N446">
        <v>15525.08</v>
      </c>
      <c r="O446">
        <v>9885.6299999999992</v>
      </c>
      <c r="P446">
        <v>0</v>
      </c>
      <c r="Q446">
        <v>0</v>
      </c>
      <c r="R446">
        <v>0</v>
      </c>
      <c r="S446">
        <v>0</v>
      </c>
      <c r="T446">
        <v>9885.6299999999992</v>
      </c>
      <c r="U446">
        <v>42417.72</v>
      </c>
      <c r="V446">
        <v>0</v>
      </c>
      <c r="W446">
        <v>2367.39</v>
      </c>
      <c r="X446">
        <v>0</v>
      </c>
      <c r="Y446">
        <v>0</v>
      </c>
      <c r="Z446">
        <v>44785.11</v>
      </c>
      <c r="AA446">
        <v>366976.56</v>
      </c>
      <c r="AB446">
        <v>6539.74</v>
      </c>
      <c r="AC446">
        <v>264426.93</v>
      </c>
      <c r="AD446">
        <v>9098.69</v>
      </c>
      <c r="AE446">
        <v>0</v>
      </c>
      <c r="AF446">
        <v>647041.92000000004</v>
      </c>
      <c r="AG446">
        <v>35162.32</v>
      </c>
      <c r="AH446">
        <v>3632.68</v>
      </c>
      <c r="AI446">
        <v>40682.32</v>
      </c>
      <c r="AJ446">
        <v>2872.19</v>
      </c>
      <c r="AK446">
        <v>0</v>
      </c>
      <c r="AL446">
        <v>82349.509999999995</v>
      </c>
      <c r="AM446">
        <v>288228.21999999997</v>
      </c>
      <c r="AN446">
        <v>9538.93</v>
      </c>
      <c r="AO446">
        <v>122422.8</v>
      </c>
      <c r="AP446">
        <v>927.45</v>
      </c>
      <c r="AQ446">
        <v>0</v>
      </c>
      <c r="AR446">
        <v>421117.4</v>
      </c>
      <c r="AS446">
        <v>60490.73</v>
      </c>
      <c r="AT446">
        <v>0</v>
      </c>
      <c r="AU446">
        <v>12861.96</v>
      </c>
      <c r="AV446">
        <v>0</v>
      </c>
      <c r="AW446">
        <v>0</v>
      </c>
      <c r="AX446">
        <v>73352.69</v>
      </c>
      <c r="AY446">
        <v>1294057.3400000001</v>
      </c>
      <c r="AZ446">
        <v>1</v>
      </c>
      <c r="BA446">
        <v>236</v>
      </c>
      <c r="BB446">
        <v>49844.383000000002</v>
      </c>
      <c r="BC446">
        <v>11763274.354</v>
      </c>
      <c r="BD446">
        <v>9724.5661020000007</v>
      </c>
      <c r="BE446">
        <v>1723.8150000000001</v>
      </c>
      <c r="BF446">
        <v>1485</v>
      </c>
      <c r="BG446">
        <v>9494.105313</v>
      </c>
      <c r="BH446">
        <v>1966.0730000000001</v>
      </c>
    </row>
    <row r="447" spans="1:60" x14ac:dyDescent="0.35">
      <c r="A447" t="s">
        <v>976</v>
      </c>
      <c r="B447" t="s">
        <v>977</v>
      </c>
      <c r="C447" t="s">
        <v>980</v>
      </c>
      <c r="D447" t="s">
        <v>981</v>
      </c>
      <c r="E447">
        <v>9277</v>
      </c>
      <c r="F447" t="s">
        <v>81</v>
      </c>
      <c r="G447" t="s">
        <v>81</v>
      </c>
      <c r="H447" t="s">
        <v>81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7</v>
      </c>
      <c r="BG447">
        <v>436.62857100000002</v>
      </c>
      <c r="BH447">
        <v>0</v>
      </c>
    </row>
    <row r="448" spans="1:60" x14ac:dyDescent="0.35">
      <c r="A448" t="s">
        <v>976</v>
      </c>
      <c r="B448" t="s">
        <v>977</v>
      </c>
      <c r="C448" t="s">
        <v>982</v>
      </c>
      <c r="D448" t="s">
        <v>983</v>
      </c>
      <c r="E448">
        <v>5138</v>
      </c>
      <c r="F448" t="s">
        <v>81</v>
      </c>
      <c r="G448" t="s">
        <v>81</v>
      </c>
      <c r="H448" t="s">
        <v>81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871</v>
      </c>
      <c r="BH448">
        <v>0</v>
      </c>
    </row>
    <row r="449" spans="1:60" x14ac:dyDescent="0.35">
      <c r="A449" t="s">
        <v>976</v>
      </c>
      <c r="B449" t="s">
        <v>977</v>
      </c>
      <c r="C449" t="s">
        <v>984</v>
      </c>
      <c r="D449" t="s">
        <v>985</v>
      </c>
      <c r="E449">
        <v>32741</v>
      </c>
      <c r="F449">
        <v>23</v>
      </c>
      <c r="G449">
        <v>24.02431</v>
      </c>
      <c r="H449">
        <v>1.044535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3</v>
      </c>
      <c r="BB449">
        <v>17310.277999999998</v>
      </c>
      <c r="BC449">
        <v>51930.834000000003</v>
      </c>
      <c r="BD449">
        <v>0</v>
      </c>
      <c r="BE449">
        <v>0</v>
      </c>
      <c r="BF449">
        <v>137</v>
      </c>
      <c r="BG449">
        <v>4848.1832119999999</v>
      </c>
      <c r="BH449">
        <v>1810.3430000000001</v>
      </c>
    </row>
    <row r="450" spans="1:60" x14ac:dyDescent="0.35">
      <c r="A450" t="s">
        <v>976</v>
      </c>
      <c r="B450" t="s">
        <v>977</v>
      </c>
      <c r="C450" t="s">
        <v>608</v>
      </c>
      <c r="D450" t="s">
        <v>986</v>
      </c>
      <c r="E450">
        <v>7007</v>
      </c>
      <c r="F450">
        <v>2</v>
      </c>
      <c r="G450">
        <v>1.85</v>
      </c>
      <c r="H450">
        <v>0.92500000000000004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7</v>
      </c>
      <c r="BG450">
        <v>0</v>
      </c>
      <c r="BH450">
        <v>6423.8950000000004</v>
      </c>
    </row>
    <row r="451" spans="1:60" x14ac:dyDescent="0.35">
      <c r="A451" t="s">
        <v>976</v>
      </c>
      <c r="B451" t="s">
        <v>977</v>
      </c>
      <c r="C451" t="s">
        <v>987</v>
      </c>
      <c r="D451" t="s">
        <v>988</v>
      </c>
      <c r="E451">
        <v>6418</v>
      </c>
      <c r="F451">
        <v>2</v>
      </c>
      <c r="G451">
        <v>1.18</v>
      </c>
      <c r="H451">
        <v>0.59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4</v>
      </c>
      <c r="BG451">
        <v>0</v>
      </c>
      <c r="BH451">
        <v>0</v>
      </c>
    </row>
    <row r="452" spans="1:60" x14ac:dyDescent="0.35">
      <c r="A452" t="s">
        <v>976</v>
      </c>
      <c r="B452" t="s">
        <v>977</v>
      </c>
      <c r="C452" t="s">
        <v>989</v>
      </c>
      <c r="D452" t="s">
        <v>990</v>
      </c>
      <c r="E452">
        <v>3704</v>
      </c>
      <c r="F452">
        <v>1</v>
      </c>
      <c r="G452">
        <v>0.25800000000000001</v>
      </c>
      <c r="H452">
        <v>0.25800000000000001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3412.5830000000001</v>
      </c>
      <c r="BC452">
        <v>3412.5830000000001</v>
      </c>
      <c r="BD452">
        <v>13945.91</v>
      </c>
      <c r="BE452">
        <v>0</v>
      </c>
      <c r="BF452">
        <v>13</v>
      </c>
      <c r="BG452">
        <v>1032.626154</v>
      </c>
      <c r="BH452">
        <v>31.565999999999999</v>
      </c>
    </row>
    <row r="453" spans="1:60" x14ac:dyDescent="0.35">
      <c r="A453" t="s">
        <v>976</v>
      </c>
      <c r="B453" t="s">
        <v>977</v>
      </c>
      <c r="C453" t="s">
        <v>991</v>
      </c>
      <c r="D453" t="s">
        <v>992</v>
      </c>
      <c r="E453">
        <v>6048</v>
      </c>
      <c r="F453">
        <v>1</v>
      </c>
      <c r="G453">
        <v>1.1160000000000001</v>
      </c>
      <c r="H453">
        <v>1.1160000000000001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16</v>
      </c>
      <c r="BG453">
        <v>13282.463750000001</v>
      </c>
      <c r="BH453">
        <v>0</v>
      </c>
    </row>
    <row r="454" spans="1:60" x14ac:dyDescent="0.35">
      <c r="A454" t="s">
        <v>976</v>
      </c>
      <c r="B454" t="s">
        <v>977</v>
      </c>
      <c r="C454" t="s">
        <v>993</v>
      </c>
      <c r="D454" t="s">
        <v>994</v>
      </c>
      <c r="E454">
        <v>1655</v>
      </c>
      <c r="F454" t="s">
        <v>81</v>
      </c>
      <c r="G454" t="s">
        <v>81</v>
      </c>
      <c r="H454" t="s">
        <v>81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2</v>
      </c>
      <c r="BG454">
        <v>0</v>
      </c>
      <c r="BH454">
        <v>0</v>
      </c>
    </row>
    <row r="455" spans="1:60" x14ac:dyDescent="0.35">
      <c r="A455" t="s">
        <v>976</v>
      </c>
      <c r="B455" t="s">
        <v>977</v>
      </c>
      <c r="C455" t="s">
        <v>995</v>
      </c>
      <c r="D455" t="s">
        <v>996</v>
      </c>
      <c r="E455">
        <v>55331</v>
      </c>
      <c r="F455">
        <v>101</v>
      </c>
      <c r="G455">
        <v>84.821870000000004</v>
      </c>
      <c r="H455">
        <v>0.83982040000000002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70</v>
      </c>
      <c r="W455">
        <v>228.92</v>
      </c>
      <c r="X455">
        <v>0</v>
      </c>
      <c r="Y455">
        <v>0</v>
      </c>
      <c r="Z455">
        <v>298.92</v>
      </c>
      <c r="AA455">
        <v>0</v>
      </c>
      <c r="AB455">
        <v>15972.49</v>
      </c>
      <c r="AC455">
        <v>119678.65</v>
      </c>
      <c r="AD455">
        <v>0</v>
      </c>
      <c r="AE455">
        <v>0</v>
      </c>
      <c r="AF455">
        <v>135651.14000000001</v>
      </c>
      <c r="AG455">
        <v>0</v>
      </c>
      <c r="AH455">
        <v>4676.42</v>
      </c>
      <c r="AI455">
        <v>20469.95</v>
      </c>
      <c r="AJ455">
        <v>0</v>
      </c>
      <c r="AK455">
        <v>0</v>
      </c>
      <c r="AL455">
        <v>25146.37</v>
      </c>
      <c r="AM455">
        <v>0</v>
      </c>
      <c r="AN455">
        <v>708.27</v>
      </c>
      <c r="AO455">
        <v>40085.39</v>
      </c>
      <c r="AP455">
        <v>0</v>
      </c>
      <c r="AQ455">
        <v>0</v>
      </c>
      <c r="AR455">
        <v>40793.660000000003</v>
      </c>
      <c r="AS455">
        <v>0</v>
      </c>
      <c r="AT455">
        <v>0</v>
      </c>
      <c r="AU455">
        <v>1462.46</v>
      </c>
      <c r="AV455">
        <v>0</v>
      </c>
      <c r="AW455">
        <v>0</v>
      </c>
      <c r="AX455">
        <v>1462.46</v>
      </c>
      <c r="AY455">
        <v>203352.55</v>
      </c>
      <c r="AZ455">
        <v>0</v>
      </c>
      <c r="BA455">
        <v>16</v>
      </c>
      <c r="BB455">
        <v>68591.365999999995</v>
      </c>
      <c r="BC455">
        <v>1097461.852</v>
      </c>
      <c r="BD455">
        <v>1021.125</v>
      </c>
      <c r="BE455">
        <v>3261.6579999999999</v>
      </c>
      <c r="BF455">
        <v>492</v>
      </c>
      <c r="BG455">
        <v>6466.2447359999996</v>
      </c>
      <c r="BH455">
        <v>691.57799999999997</v>
      </c>
    </row>
    <row r="456" spans="1:60" x14ac:dyDescent="0.35">
      <c r="A456" t="s">
        <v>976</v>
      </c>
      <c r="B456" t="s">
        <v>977</v>
      </c>
      <c r="C456" t="s">
        <v>997</v>
      </c>
      <c r="D456" t="s">
        <v>998</v>
      </c>
      <c r="E456">
        <v>1703</v>
      </c>
      <c r="F456" t="s">
        <v>81</v>
      </c>
      <c r="G456" t="s">
        <v>81</v>
      </c>
      <c r="H456" t="s">
        <v>81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 t="s">
        <v>81</v>
      </c>
      <c r="BB456" t="s">
        <v>81</v>
      </c>
      <c r="BC456" t="s">
        <v>81</v>
      </c>
      <c r="BD456" t="s">
        <v>81</v>
      </c>
      <c r="BE456" t="s">
        <v>81</v>
      </c>
      <c r="BF456" t="s">
        <v>81</v>
      </c>
      <c r="BG456" t="s">
        <v>81</v>
      </c>
      <c r="BH456" t="s">
        <v>81</v>
      </c>
    </row>
    <row r="457" spans="1:60" x14ac:dyDescent="0.35">
      <c r="A457" t="s">
        <v>976</v>
      </c>
      <c r="B457" t="s">
        <v>977</v>
      </c>
      <c r="C457" t="s">
        <v>999</v>
      </c>
      <c r="D457" t="s">
        <v>1000</v>
      </c>
      <c r="E457">
        <v>7122</v>
      </c>
      <c r="F457" t="s">
        <v>81</v>
      </c>
      <c r="G457" t="s">
        <v>81</v>
      </c>
      <c r="H457" t="s">
        <v>81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4</v>
      </c>
      <c r="BG457">
        <v>9616.0825000000004</v>
      </c>
      <c r="BH457">
        <v>0</v>
      </c>
    </row>
    <row r="458" spans="1:60" x14ac:dyDescent="0.35">
      <c r="A458" t="s">
        <v>976</v>
      </c>
      <c r="B458" t="s">
        <v>977</v>
      </c>
      <c r="C458" t="s">
        <v>1001</v>
      </c>
      <c r="D458" t="s">
        <v>1002</v>
      </c>
      <c r="E458">
        <v>6309</v>
      </c>
      <c r="F458" t="s">
        <v>81</v>
      </c>
      <c r="G458" t="s">
        <v>81</v>
      </c>
      <c r="H458" t="s">
        <v>81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5</v>
      </c>
      <c r="BG458">
        <v>0</v>
      </c>
      <c r="BH458">
        <v>0</v>
      </c>
    </row>
    <row r="459" spans="1:60" x14ac:dyDescent="0.35">
      <c r="A459" t="s">
        <v>976</v>
      </c>
      <c r="B459" t="s">
        <v>977</v>
      </c>
      <c r="C459" t="s">
        <v>1003</v>
      </c>
      <c r="D459" t="s">
        <v>1004</v>
      </c>
      <c r="E459">
        <v>17076</v>
      </c>
      <c r="F459" t="s">
        <v>81</v>
      </c>
      <c r="G459" t="s">
        <v>81</v>
      </c>
      <c r="H459" t="s">
        <v>81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20</v>
      </c>
      <c r="BG459">
        <v>507.94</v>
      </c>
      <c r="BH459">
        <v>0</v>
      </c>
    </row>
    <row r="460" spans="1:60" x14ac:dyDescent="0.35">
      <c r="A460" t="s">
        <v>976</v>
      </c>
      <c r="B460" t="s">
        <v>977</v>
      </c>
      <c r="C460" t="s">
        <v>1005</v>
      </c>
      <c r="D460" t="s">
        <v>1006</v>
      </c>
      <c r="E460">
        <v>21800</v>
      </c>
      <c r="F460">
        <v>95</v>
      </c>
      <c r="G460">
        <v>90.753280000000004</v>
      </c>
      <c r="H460">
        <v>0.95529770000000003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9</v>
      </c>
      <c r="BB460">
        <v>68310.843999999997</v>
      </c>
      <c r="BC460">
        <v>614797.59600000002</v>
      </c>
      <c r="BD460">
        <v>76.111110999999994</v>
      </c>
      <c r="BE460">
        <v>0</v>
      </c>
      <c r="BF460">
        <v>210</v>
      </c>
      <c r="BG460">
        <v>2657.3040000000001</v>
      </c>
      <c r="BH460">
        <v>1794.537</v>
      </c>
    </row>
    <row r="461" spans="1:60" x14ac:dyDescent="0.35">
      <c r="A461" t="s">
        <v>976</v>
      </c>
      <c r="B461" t="s">
        <v>977</v>
      </c>
      <c r="C461" t="s">
        <v>1007</v>
      </c>
      <c r="D461" t="s">
        <v>1008</v>
      </c>
      <c r="E461">
        <v>32236</v>
      </c>
      <c r="F461">
        <v>67</v>
      </c>
      <c r="G461">
        <v>60.922159999999998</v>
      </c>
      <c r="H461">
        <v>0.90928600000000004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9</v>
      </c>
      <c r="BB461">
        <v>67881.142000000007</v>
      </c>
      <c r="BC461">
        <v>610930.27599999995</v>
      </c>
      <c r="BD461">
        <v>8281.6355559999993</v>
      </c>
      <c r="BE461">
        <v>1002.697</v>
      </c>
      <c r="BF461">
        <v>181</v>
      </c>
      <c r="BG461">
        <v>5582.3290059999999</v>
      </c>
      <c r="BH461">
        <v>114.637</v>
      </c>
    </row>
    <row r="462" spans="1:60" x14ac:dyDescent="0.35">
      <c r="A462" t="s">
        <v>976</v>
      </c>
      <c r="B462" t="s">
        <v>1009</v>
      </c>
      <c r="C462" t="s">
        <v>1009</v>
      </c>
      <c r="D462" t="s">
        <v>1010</v>
      </c>
      <c r="E462">
        <v>5426</v>
      </c>
      <c r="F462">
        <v>2</v>
      </c>
      <c r="G462">
        <v>5.6996669999999998</v>
      </c>
      <c r="H462">
        <v>2.8498329999999998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2048.9</v>
      </c>
      <c r="AB462">
        <v>0</v>
      </c>
      <c r="AC462">
        <v>0</v>
      </c>
      <c r="AD462">
        <v>0</v>
      </c>
      <c r="AE462">
        <v>0</v>
      </c>
      <c r="AF462">
        <v>2048.9</v>
      </c>
      <c r="AG462">
        <v>457.71</v>
      </c>
      <c r="AH462">
        <v>0</v>
      </c>
      <c r="AI462">
        <v>0</v>
      </c>
      <c r="AJ462">
        <v>0</v>
      </c>
      <c r="AK462">
        <v>0</v>
      </c>
      <c r="AL462">
        <v>457.71</v>
      </c>
      <c r="AM462">
        <v>45.79</v>
      </c>
      <c r="AN462">
        <v>0</v>
      </c>
      <c r="AO462">
        <v>0</v>
      </c>
      <c r="AP462">
        <v>0</v>
      </c>
      <c r="AQ462">
        <v>0</v>
      </c>
      <c r="AR462">
        <v>45.79</v>
      </c>
      <c r="AS462">
        <v>30.55</v>
      </c>
      <c r="AT462">
        <v>0</v>
      </c>
      <c r="AU462">
        <v>0</v>
      </c>
      <c r="AV462">
        <v>0</v>
      </c>
      <c r="AW462">
        <v>0</v>
      </c>
      <c r="AX462">
        <v>30.55</v>
      </c>
      <c r="AY462">
        <v>2582.9499999999998</v>
      </c>
      <c r="AZ462">
        <v>0</v>
      </c>
      <c r="BA462">
        <v>1</v>
      </c>
      <c r="BB462">
        <v>6061.0829999999996</v>
      </c>
      <c r="BC462">
        <v>6061.0829999999996</v>
      </c>
      <c r="BD462">
        <v>13714</v>
      </c>
      <c r="BE462">
        <v>0</v>
      </c>
      <c r="BF462">
        <v>12</v>
      </c>
      <c r="BG462">
        <v>0</v>
      </c>
      <c r="BH462">
        <v>0</v>
      </c>
    </row>
    <row r="463" spans="1:60" x14ac:dyDescent="0.35">
      <c r="A463" t="s">
        <v>976</v>
      </c>
      <c r="B463" t="s">
        <v>1009</v>
      </c>
      <c r="C463" t="s">
        <v>1011</v>
      </c>
      <c r="D463" t="s">
        <v>1012</v>
      </c>
      <c r="E463">
        <v>9256</v>
      </c>
      <c r="F463" t="s">
        <v>81</v>
      </c>
      <c r="G463" t="s">
        <v>81</v>
      </c>
      <c r="H463" t="s">
        <v>81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18306.900000000001</v>
      </c>
      <c r="BH463">
        <v>0</v>
      </c>
    </row>
    <row r="464" spans="1:60" x14ac:dyDescent="0.35">
      <c r="A464" t="s">
        <v>976</v>
      </c>
      <c r="B464" t="s">
        <v>1009</v>
      </c>
      <c r="C464" t="s">
        <v>1013</v>
      </c>
      <c r="D464" t="s">
        <v>1014</v>
      </c>
      <c r="E464">
        <v>8064</v>
      </c>
      <c r="F464">
        <v>22</v>
      </c>
      <c r="G464">
        <v>17.308800000000002</v>
      </c>
      <c r="H464">
        <v>0.78676369999999995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10488.41</v>
      </c>
      <c r="AD464">
        <v>8285.86</v>
      </c>
      <c r="AE464">
        <v>0</v>
      </c>
      <c r="AF464">
        <v>18774.27</v>
      </c>
      <c r="AG464">
        <v>0</v>
      </c>
      <c r="AH464">
        <v>0</v>
      </c>
      <c r="AI464">
        <v>3623.41</v>
      </c>
      <c r="AJ464">
        <v>2586.5700000000002</v>
      </c>
      <c r="AK464">
        <v>0</v>
      </c>
      <c r="AL464">
        <v>6209.98</v>
      </c>
      <c r="AM464">
        <v>0</v>
      </c>
      <c r="AN464">
        <v>0</v>
      </c>
      <c r="AO464">
        <v>38.57</v>
      </c>
      <c r="AP464">
        <v>639.02</v>
      </c>
      <c r="AQ464">
        <v>0</v>
      </c>
      <c r="AR464">
        <v>677.59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25661.84</v>
      </c>
      <c r="AZ464">
        <v>0</v>
      </c>
      <c r="BA464">
        <v>1</v>
      </c>
      <c r="BB464">
        <v>3979.5830000000001</v>
      </c>
      <c r="BC464">
        <v>3979.5830000000001</v>
      </c>
      <c r="BD464">
        <v>0</v>
      </c>
      <c r="BE464">
        <v>0</v>
      </c>
      <c r="BF464">
        <v>25</v>
      </c>
      <c r="BG464">
        <v>2626.6783999999998</v>
      </c>
      <c r="BH464">
        <v>0</v>
      </c>
    </row>
    <row r="465" spans="1:60" x14ac:dyDescent="0.35">
      <c r="A465" t="s">
        <v>976</v>
      </c>
      <c r="B465" t="s">
        <v>1009</v>
      </c>
      <c r="C465" t="s">
        <v>1015</v>
      </c>
      <c r="D465" t="s">
        <v>1016</v>
      </c>
      <c r="E465">
        <v>1772</v>
      </c>
      <c r="F465" t="s">
        <v>81</v>
      </c>
      <c r="G465" t="s">
        <v>81</v>
      </c>
      <c r="H465" t="s">
        <v>81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3</v>
      </c>
      <c r="BG465">
        <v>743.33333300000004</v>
      </c>
      <c r="BH465">
        <v>0</v>
      </c>
    </row>
    <row r="466" spans="1:60" x14ac:dyDescent="0.35">
      <c r="A466" t="s">
        <v>976</v>
      </c>
      <c r="B466" t="s">
        <v>1009</v>
      </c>
      <c r="C466" t="s">
        <v>1017</v>
      </c>
      <c r="D466" t="s">
        <v>1018</v>
      </c>
      <c r="E466">
        <v>3959</v>
      </c>
      <c r="F466">
        <v>1</v>
      </c>
      <c r="G466">
        <v>0.25</v>
      </c>
      <c r="H466">
        <v>0.25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3</v>
      </c>
      <c r="BG466">
        <v>0</v>
      </c>
      <c r="BH466">
        <v>0</v>
      </c>
    </row>
    <row r="467" spans="1:60" x14ac:dyDescent="0.35">
      <c r="A467" t="s">
        <v>976</v>
      </c>
      <c r="B467" t="s">
        <v>1009</v>
      </c>
      <c r="C467" t="s">
        <v>1019</v>
      </c>
      <c r="D467" t="s">
        <v>1020</v>
      </c>
      <c r="E467">
        <v>2663</v>
      </c>
      <c r="F467">
        <v>2</v>
      </c>
      <c r="G467">
        <v>0.86</v>
      </c>
      <c r="H467">
        <v>0.43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 t="s">
        <v>81</v>
      </c>
      <c r="BB467" t="s">
        <v>81</v>
      </c>
      <c r="BC467" t="s">
        <v>81</v>
      </c>
      <c r="BD467" t="s">
        <v>81</v>
      </c>
      <c r="BE467" t="s">
        <v>81</v>
      </c>
      <c r="BF467" t="s">
        <v>81</v>
      </c>
      <c r="BG467" t="s">
        <v>81</v>
      </c>
      <c r="BH467" t="s">
        <v>81</v>
      </c>
    </row>
    <row r="468" spans="1:60" x14ac:dyDescent="0.35">
      <c r="A468" t="s">
        <v>976</v>
      </c>
      <c r="B468" t="s">
        <v>1021</v>
      </c>
      <c r="C468" t="s">
        <v>1022</v>
      </c>
      <c r="D468" t="s">
        <v>1023</v>
      </c>
      <c r="E468">
        <v>3108</v>
      </c>
      <c r="F468">
        <v>6</v>
      </c>
      <c r="G468">
        <v>6.837885</v>
      </c>
      <c r="H468">
        <v>1.1396470000000001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6542.1</v>
      </c>
      <c r="AD468">
        <v>0</v>
      </c>
      <c r="AE468">
        <v>0</v>
      </c>
      <c r="AF468">
        <v>6542.1</v>
      </c>
      <c r="AG468">
        <v>0</v>
      </c>
      <c r="AH468">
        <v>0</v>
      </c>
      <c r="AI468">
        <v>2646.47</v>
      </c>
      <c r="AJ468">
        <v>0</v>
      </c>
      <c r="AK468">
        <v>0</v>
      </c>
      <c r="AL468">
        <v>2646.47</v>
      </c>
      <c r="AM468">
        <v>0</v>
      </c>
      <c r="AN468">
        <v>0</v>
      </c>
      <c r="AO468">
        <v>783.61</v>
      </c>
      <c r="AP468">
        <v>0</v>
      </c>
      <c r="AQ468">
        <v>0</v>
      </c>
      <c r="AR468">
        <v>783.61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9972.18</v>
      </c>
      <c r="AZ468">
        <v>0</v>
      </c>
      <c r="BA468">
        <v>1</v>
      </c>
      <c r="BB468">
        <v>89004</v>
      </c>
      <c r="BC468">
        <v>89004</v>
      </c>
      <c r="BD468">
        <v>0</v>
      </c>
      <c r="BE468">
        <v>0</v>
      </c>
      <c r="BF468">
        <v>16</v>
      </c>
      <c r="BG468">
        <v>728.47437500000001</v>
      </c>
      <c r="BH468">
        <v>0</v>
      </c>
    </row>
    <row r="469" spans="1:60" x14ac:dyDescent="0.35">
      <c r="A469" t="s">
        <v>976</v>
      </c>
      <c r="B469" t="s">
        <v>1021</v>
      </c>
      <c r="C469" t="s">
        <v>1024</v>
      </c>
      <c r="D469" t="s">
        <v>1025</v>
      </c>
      <c r="E469">
        <v>1644</v>
      </c>
      <c r="F469" t="s">
        <v>81</v>
      </c>
      <c r="G469" t="s">
        <v>81</v>
      </c>
      <c r="H469" t="s">
        <v>81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2</v>
      </c>
      <c r="BG469">
        <v>0</v>
      </c>
      <c r="BH469">
        <v>0</v>
      </c>
    </row>
    <row r="470" spans="1:60" x14ac:dyDescent="0.35">
      <c r="A470" t="s">
        <v>976</v>
      </c>
      <c r="B470" t="s">
        <v>1021</v>
      </c>
      <c r="C470" t="s">
        <v>1026</v>
      </c>
      <c r="D470" t="s">
        <v>1027</v>
      </c>
      <c r="E470">
        <v>1229</v>
      </c>
      <c r="F470" t="s">
        <v>81</v>
      </c>
      <c r="G470" t="s">
        <v>81</v>
      </c>
      <c r="H470" t="s">
        <v>81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</v>
      </c>
      <c r="BG470">
        <v>0</v>
      </c>
      <c r="BH470">
        <v>0</v>
      </c>
    </row>
    <row r="471" spans="1:60" x14ac:dyDescent="0.35">
      <c r="A471" t="s">
        <v>976</v>
      </c>
      <c r="B471" t="s">
        <v>1021</v>
      </c>
      <c r="C471" t="s">
        <v>1028</v>
      </c>
      <c r="D471" t="s">
        <v>1029</v>
      </c>
      <c r="E471">
        <v>1978</v>
      </c>
      <c r="F471" t="s">
        <v>81</v>
      </c>
      <c r="G471" t="s">
        <v>81</v>
      </c>
      <c r="H471" t="s">
        <v>81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0</v>
      </c>
      <c r="BH471">
        <v>0</v>
      </c>
    </row>
    <row r="472" spans="1:60" x14ac:dyDescent="0.35">
      <c r="A472" t="s">
        <v>976</v>
      </c>
      <c r="B472" t="s">
        <v>1030</v>
      </c>
      <c r="C472" t="s">
        <v>1031</v>
      </c>
      <c r="D472" t="s">
        <v>1032</v>
      </c>
      <c r="E472">
        <v>45322</v>
      </c>
      <c r="F472">
        <v>95</v>
      </c>
      <c r="G472">
        <v>75.576170000000005</v>
      </c>
      <c r="H472">
        <v>0.79553870000000004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36055.360000000001</v>
      </c>
      <c r="AB472">
        <v>3272.42</v>
      </c>
      <c r="AC472">
        <v>120419.11</v>
      </c>
      <c r="AD472">
        <v>6850.93</v>
      </c>
      <c r="AE472">
        <v>0</v>
      </c>
      <c r="AF472">
        <v>166597.82</v>
      </c>
      <c r="AG472">
        <v>8724.2199999999993</v>
      </c>
      <c r="AH472">
        <v>1996.86</v>
      </c>
      <c r="AI472">
        <v>27843.919999999998</v>
      </c>
      <c r="AJ472">
        <v>3136.62</v>
      </c>
      <c r="AK472">
        <v>0</v>
      </c>
      <c r="AL472">
        <v>41701.620000000003</v>
      </c>
      <c r="AM472">
        <v>1352.6</v>
      </c>
      <c r="AN472">
        <v>1450.79</v>
      </c>
      <c r="AO472">
        <v>50345.18</v>
      </c>
      <c r="AP472">
        <v>926.81</v>
      </c>
      <c r="AQ472">
        <v>0</v>
      </c>
      <c r="AR472">
        <v>54075.38</v>
      </c>
      <c r="AS472">
        <v>554.04</v>
      </c>
      <c r="AT472">
        <v>0</v>
      </c>
      <c r="AU472">
        <v>5034.26</v>
      </c>
      <c r="AV472">
        <v>0</v>
      </c>
      <c r="AW472">
        <v>0</v>
      </c>
      <c r="AX472">
        <v>5588.3</v>
      </c>
      <c r="AY472">
        <v>267963.12</v>
      </c>
      <c r="AZ472">
        <v>0</v>
      </c>
      <c r="BA472">
        <v>9</v>
      </c>
      <c r="BB472">
        <v>50074.898000000001</v>
      </c>
      <c r="BC472">
        <v>450674.08299999998</v>
      </c>
      <c r="BD472">
        <v>39.444443999999997</v>
      </c>
      <c r="BE472">
        <v>0</v>
      </c>
      <c r="BF472">
        <v>364</v>
      </c>
      <c r="BG472">
        <v>2757.0524180000002</v>
      </c>
      <c r="BH472">
        <v>284.22500000000002</v>
      </c>
    </row>
    <row r="473" spans="1:60" x14ac:dyDescent="0.35">
      <c r="A473" t="s">
        <v>976</v>
      </c>
      <c r="B473" t="s">
        <v>1030</v>
      </c>
      <c r="C473" t="s">
        <v>1033</v>
      </c>
      <c r="D473" t="s">
        <v>1034</v>
      </c>
      <c r="E473">
        <v>906</v>
      </c>
      <c r="F473" t="s">
        <v>81</v>
      </c>
      <c r="G473" t="s">
        <v>81</v>
      </c>
      <c r="H473" t="s">
        <v>81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2</v>
      </c>
      <c r="BG473">
        <v>370.2</v>
      </c>
      <c r="BH473">
        <v>0</v>
      </c>
    </row>
    <row r="474" spans="1:60" x14ac:dyDescent="0.35">
      <c r="A474" t="s">
        <v>976</v>
      </c>
      <c r="B474" t="s">
        <v>1030</v>
      </c>
      <c r="C474" t="s">
        <v>1035</v>
      </c>
      <c r="D474" t="s">
        <v>1036</v>
      </c>
      <c r="E474">
        <v>3843</v>
      </c>
      <c r="F474" t="s">
        <v>81</v>
      </c>
      <c r="G474" t="s">
        <v>81</v>
      </c>
      <c r="H474" t="s">
        <v>81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8</v>
      </c>
      <c r="BG474">
        <v>21732.837500000001</v>
      </c>
      <c r="BH474">
        <v>0</v>
      </c>
    </row>
    <row r="475" spans="1:60" x14ac:dyDescent="0.35">
      <c r="A475" t="s">
        <v>976</v>
      </c>
      <c r="B475" t="s">
        <v>1030</v>
      </c>
      <c r="C475" t="s">
        <v>1037</v>
      </c>
      <c r="D475" t="s">
        <v>1038</v>
      </c>
      <c r="E475">
        <v>2848</v>
      </c>
      <c r="F475" t="s">
        <v>81</v>
      </c>
      <c r="G475" t="s">
        <v>81</v>
      </c>
      <c r="H475" t="s">
        <v>81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7213.5709999999999</v>
      </c>
      <c r="BC475">
        <v>7213.5709999999999</v>
      </c>
      <c r="BD475">
        <v>0</v>
      </c>
      <c r="BE475">
        <v>0</v>
      </c>
      <c r="BF475">
        <v>6</v>
      </c>
      <c r="BG475">
        <v>4</v>
      </c>
      <c r="BH475">
        <v>0</v>
      </c>
    </row>
    <row r="476" spans="1:60" x14ac:dyDescent="0.35">
      <c r="A476" t="s">
        <v>976</v>
      </c>
      <c r="B476" t="s">
        <v>1030</v>
      </c>
      <c r="C476" t="s">
        <v>1039</v>
      </c>
      <c r="D476" t="s">
        <v>1040</v>
      </c>
      <c r="E476">
        <v>6513</v>
      </c>
      <c r="F476">
        <v>2</v>
      </c>
      <c r="G476">
        <v>0.65</v>
      </c>
      <c r="H476">
        <v>0.32500000000000001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13</v>
      </c>
      <c r="BG476">
        <v>0</v>
      </c>
      <c r="BH476">
        <v>0</v>
      </c>
    </row>
    <row r="477" spans="1:60" x14ac:dyDescent="0.35">
      <c r="A477" t="s">
        <v>976</v>
      </c>
      <c r="B477" t="s">
        <v>1030</v>
      </c>
      <c r="C477" t="s">
        <v>1041</v>
      </c>
      <c r="D477" t="s">
        <v>1042</v>
      </c>
      <c r="E477">
        <v>3399</v>
      </c>
      <c r="F477" t="s">
        <v>81</v>
      </c>
      <c r="G477" t="s">
        <v>81</v>
      </c>
      <c r="H477" t="s">
        <v>81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</v>
      </c>
      <c r="BG477">
        <v>0</v>
      </c>
      <c r="BH477">
        <v>0</v>
      </c>
    </row>
    <row r="478" spans="1:60" x14ac:dyDescent="0.35">
      <c r="A478" t="s">
        <v>976</v>
      </c>
      <c r="B478" t="s">
        <v>1030</v>
      </c>
      <c r="C478" t="s">
        <v>1043</v>
      </c>
      <c r="D478" t="s">
        <v>1044</v>
      </c>
      <c r="E478">
        <v>11175</v>
      </c>
      <c r="F478">
        <v>8</v>
      </c>
      <c r="G478">
        <v>6.4253</v>
      </c>
      <c r="H478">
        <v>0.8031625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39</v>
      </c>
      <c r="BG478">
        <v>164.05128199999999</v>
      </c>
      <c r="BH478">
        <v>0</v>
      </c>
    </row>
    <row r="479" spans="1:60" x14ac:dyDescent="0.35">
      <c r="A479" t="s">
        <v>976</v>
      </c>
      <c r="B479" t="s">
        <v>1030</v>
      </c>
      <c r="C479" t="s">
        <v>1045</v>
      </c>
      <c r="D479" t="s">
        <v>1046</v>
      </c>
      <c r="E479">
        <v>11939</v>
      </c>
      <c r="F479">
        <v>40</v>
      </c>
      <c r="G479">
        <v>35.854900000000001</v>
      </c>
      <c r="H479">
        <v>0.89637259999999996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3</v>
      </c>
      <c r="BB479">
        <v>53138.610999999997</v>
      </c>
      <c r="BC479">
        <v>159415.83300000001</v>
      </c>
      <c r="BD479">
        <v>2478.833333</v>
      </c>
      <c r="BE479">
        <v>0</v>
      </c>
      <c r="BF479">
        <v>59</v>
      </c>
      <c r="BG479">
        <v>974.21220300000004</v>
      </c>
      <c r="BH479">
        <v>0</v>
      </c>
    </row>
    <row r="480" spans="1:60" x14ac:dyDescent="0.35">
      <c r="A480" t="s">
        <v>976</v>
      </c>
      <c r="B480" t="s">
        <v>1030</v>
      </c>
      <c r="C480" t="s">
        <v>1047</v>
      </c>
      <c r="D480" t="s">
        <v>1048</v>
      </c>
      <c r="E480">
        <v>4909</v>
      </c>
      <c r="F480">
        <v>12</v>
      </c>
      <c r="G480">
        <v>3.3067000000000002</v>
      </c>
      <c r="H480">
        <v>0.27555829999999998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16</v>
      </c>
      <c r="BG480">
        <v>1183.4375</v>
      </c>
      <c r="BH480">
        <v>0</v>
      </c>
    </row>
    <row r="481" spans="1:60" x14ac:dyDescent="0.35">
      <c r="A481" t="s">
        <v>976</v>
      </c>
      <c r="B481" t="s">
        <v>1030</v>
      </c>
      <c r="C481" t="s">
        <v>1049</v>
      </c>
      <c r="D481" t="s">
        <v>1050</v>
      </c>
      <c r="E481">
        <v>3358</v>
      </c>
      <c r="F481" t="s">
        <v>81</v>
      </c>
      <c r="G481" t="s">
        <v>81</v>
      </c>
      <c r="H481" t="s">
        <v>81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 t="s">
        <v>81</v>
      </c>
      <c r="BB481" t="s">
        <v>81</v>
      </c>
      <c r="BC481" t="s">
        <v>81</v>
      </c>
      <c r="BD481" t="s">
        <v>81</v>
      </c>
      <c r="BE481" t="s">
        <v>81</v>
      </c>
      <c r="BF481" t="s">
        <v>81</v>
      </c>
      <c r="BG481" t="s">
        <v>81</v>
      </c>
      <c r="BH481" t="s">
        <v>81</v>
      </c>
    </row>
    <row r="482" spans="1:60" x14ac:dyDescent="0.35">
      <c r="A482" t="s">
        <v>976</v>
      </c>
      <c r="B482" t="s">
        <v>1030</v>
      </c>
      <c r="C482" t="s">
        <v>1051</v>
      </c>
      <c r="D482" t="s">
        <v>1052</v>
      </c>
      <c r="E482">
        <v>1804</v>
      </c>
      <c r="F482" t="s">
        <v>81</v>
      </c>
      <c r="G482" t="s">
        <v>81</v>
      </c>
      <c r="H482" t="s">
        <v>81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 t="s">
        <v>81</v>
      </c>
      <c r="BB482" t="s">
        <v>81</v>
      </c>
      <c r="BC482" t="s">
        <v>81</v>
      </c>
      <c r="BD482" t="s">
        <v>81</v>
      </c>
      <c r="BE482" t="s">
        <v>81</v>
      </c>
      <c r="BF482" t="s">
        <v>81</v>
      </c>
      <c r="BG482" t="s">
        <v>81</v>
      </c>
      <c r="BH482" t="s">
        <v>81</v>
      </c>
    </row>
    <row r="483" spans="1:60" x14ac:dyDescent="0.35">
      <c r="A483" t="s">
        <v>976</v>
      </c>
      <c r="B483" t="s">
        <v>1030</v>
      </c>
      <c r="C483" t="s">
        <v>1053</v>
      </c>
      <c r="D483" t="s">
        <v>1054</v>
      </c>
      <c r="E483">
        <v>2076</v>
      </c>
      <c r="F483" t="s">
        <v>81</v>
      </c>
      <c r="G483" t="s">
        <v>81</v>
      </c>
      <c r="H483" t="s">
        <v>81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3</v>
      </c>
      <c r="BG483">
        <v>0</v>
      </c>
      <c r="BH483">
        <v>0</v>
      </c>
    </row>
    <row r="484" spans="1:60" x14ac:dyDescent="0.35">
      <c r="A484" t="s">
        <v>976</v>
      </c>
      <c r="B484" t="s">
        <v>1030</v>
      </c>
      <c r="C484" t="s">
        <v>1055</v>
      </c>
      <c r="D484" t="s">
        <v>1056</v>
      </c>
      <c r="E484">
        <v>230</v>
      </c>
      <c r="F484" t="s">
        <v>81</v>
      </c>
      <c r="G484" t="s">
        <v>81</v>
      </c>
      <c r="H484" t="s">
        <v>81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 t="s">
        <v>81</v>
      </c>
      <c r="BB484" t="s">
        <v>81</v>
      </c>
      <c r="BC484" t="s">
        <v>81</v>
      </c>
      <c r="BD484" t="s">
        <v>81</v>
      </c>
      <c r="BE484" t="s">
        <v>81</v>
      </c>
      <c r="BF484" t="s">
        <v>81</v>
      </c>
      <c r="BG484" t="s">
        <v>81</v>
      </c>
      <c r="BH484" t="s">
        <v>81</v>
      </c>
    </row>
    <row r="485" spans="1:60" x14ac:dyDescent="0.35">
      <c r="A485" t="s">
        <v>976</v>
      </c>
      <c r="B485" t="s">
        <v>1057</v>
      </c>
      <c r="C485" t="s">
        <v>1058</v>
      </c>
      <c r="D485" t="s">
        <v>1059</v>
      </c>
      <c r="E485">
        <v>8287</v>
      </c>
      <c r="F485">
        <v>12</v>
      </c>
      <c r="G485">
        <v>7.322527</v>
      </c>
      <c r="H485">
        <v>0.61021060000000005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580.28</v>
      </c>
      <c r="AC485">
        <v>0</v>
      </c>
      <c r="AD485">
        <v>0</v>
      </c>
      <c r="AE485">
        <v>0</v>
      </c>
      <c r="AF485">
        <v>580.28</v>
      </c>
      <c r="AG485">
        <v>0</v>
      </c>
      <c r="AH485">
        <v>474.13</v>
      </c>
      <c r="AI485">
        <v>0</v>
      </c>
      <c r="AJ485">
        <v>0</v>
      </c>
      <c r="AK485">
        <v>0</v>
      </c>
      <c r="AL485">
        <v>474.13</v>
      </c>
      <c r="AM485">
        <v>0</v>
      </c>
      <c r="AN485">
        <v>109.19</v>
      </c>
      <c r="AO485">
        <v>0</v>
      </c>
      <c r="AP485">
        <v>0</v>
      </c>
      <c r="AQ485">
        <v>0</v>
      </c>
      <c r="AR485">
        <v>109.19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1163.5999999999999</v>
      </c>
      <c r="AZ485">
        <v>0</v>
      </c>
      <c r="BA485">
        <v>4</v>
      </c>
      <c r="BB485">
        <v>11534.772999999999</v>
      </c>
      <c r="BC485">
        <v>46139.091</v>
      </c>
      <c r="BD485">
        <v>10456.924999999999</v>
      </c>
      <c r="BE485">
        <v>0</v>
      </c>
      <c r="BF485">
        <v>46</v>
      </c>
      <c r="BG485">
        <v>3127.1278259999999</v>
      </c>
      <c r="BH485">
        <v>0</v>
      </c>
    </row>
    <row r="486" spans="1:60" x14ac:dyDescent="0.35">
      <c r="A486" t="s">
        <v>976</v>
      </c>
      <c r="B486" t="s">
        <v>1057</v>
      </c>
      <c r="C486" t="s">
        <v>1060</v>
      </c>
      <c r="D486" t="s">
        <v>1061</v>
      </c>
      <c r="E486">
        <v>5265</v>
      </c>
      <c r="F486">
        <v>1</v>
      </c>
      <c r="G486">
        <v>0.2</v>
      </c>
      <c r="H486">
        <v>0.2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35</v>
      </c>
      <c r="BG486">
        <v>19.399999999999999</v>
      </c>
      <c r="BH486">
        <v>0</v>
      </c>
    </row>
    <row r="487" spans="1:60" x14ac:dyDescent="0.35">
      <c r="A487" t="s">
        <v>976</v>
      </c>
      <c r="B487" t="s">
        <v>1057</v>
      </c>
      <c r="C487" t="s">
        <v>1062</v>
      </c>
      <c r="D487" t="s">
        <v>1063</v>
      </c>
      <c r="E487">
        <v>9765</v>
      </c>
      <c r="F487">
        <v>21</v>
      </c>
      <c r="G487">
        <v>19.334959999999999</v>
      </c>
      <c r="H487">
        <v>0.92071239999999999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3008.54</v>
      </c>
      <c r="AC487">
        <v>87046.44</v>
      </c>
      <c r="AD487">
        <v>0</v>
      </c>
      <c r="AE487">
        <v>0</v>
      </c>
      <c r="AF487">
        <v>90054.98</v>
      </c>
      <c r="AG487">
        <v>0</v>
      </c>
      <c r="AH487">
        <v>3906.82</v>
      </c>
      <c r="AI487">
        <v>16367.54</v>
      </c>
      <c r="AJ487">
        <v>0</v>
      </c>
      <c r="AK487">
        <v>0</v>
      </c>
      <c r="AL487">
        <v>20274.36</v>
      </c>
      <c r="AM487">
        <v>0</v>
      </c>
      <c r="AN487">
        <v>597.57000000000005</v>
      </c>
      <c r="AO487">
        <v>13741.79</v>
      </c>
      <c r="AP487">
        <v>0</v>
      </c>
      <c r="AQ487">
        <v>0</v>
      </c>
      <c r="AR487">
        <v>14339.36</v>
      </c>
      <c r="AS487">
        <v>0</v>
      </c>
      <c r="AT487">
        <v>0</v>
      </c>
      <c r="AU487">
        <v>65.53</v>
      </c>
      <c r="AV487">
        <v>0</v>
      </c>
      <c r="AW487">
        <v>0</v>
      </c>
      <c r="AX487">
        <v>65.53</v>
      </c>
      <c r="AY487">
        <v>124734.23</v>
      </c>
      <c r="AZ487">
        <v>0</v>
      </c>
      <c r="BA487">
        <v>1</v>
      </c>
      <c r="BB487">
        <v>391121.25</v>
      </c>
      <c r="BC487">
        <v>391121.25</v>
      </c>
      <c r="BD487">
        <v>0</v>
      </c>
      <c r="BE487">
        <v>335.47</v>
      </c>
      <c r="BF487">
        <v>99</v>
      </c>
      <c r="BG487">
        <v>3901.321919</v>
      </c>
      <c r="BH487">
        <v>17.417000000000002</v>
      </c>
    </row>
    <row r="488" spans="1:60" x14ac:dyDescent="0.35">
      <c r="A488" t="s">
        <v>976</v>
      </c>
      <c r="B488" t="s">
        <v>1057</v>
      </c>
      <c r="C488" t="s">
        <v>1064</v>
      </c>
      <c r="D488" t="s">
        <v>1065</v>
      </c>
      <c r="E488">
        <v>1336</v>
      </c>
      <c r="F488" t="s">
        <v>81</v>
      </c>
      <c r="G488" t="s">
        <v>81</v>
      </c>
      <c r="H488" t="s">
        <v>81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</row>
    <row r="489" spans="1:60" x14ac:dyDescent="0.35">
      <c r="A489" t="s">
        <v>976</v>
      </c>
      <c r="B489" t="s">
        <v>1057</v>
      </c>
      <c r="C489" t="s">
        <v>1066</v>
      </c>
      <c r="D489" t="s">
        <v>1067</v>
      </c>
      <c r="E489">
        <v>4205</v>
      </c>
      <c r="F489">
        <v>2</v>
      </c>
      <c r="G489">
        <v>5.4363010000000003</v>
      </c>
      <c r="H489">
        <v>2.7181500000000001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 t="s">
        <v>81</v>
      </c>
      <c r="BB489" t="s">
        <v>81</v>
      </c>
      <c r="BC489" t="s">
        <v>81</v>
      </c>
      <c r="BD489" t="s">
        <v>81</v>
      </c>
      <c r="BE489" t="s">
        <v>81</v>
      </c>
      <c r="BF489" t="s">
        <v>81</v>
      </c>
      <c r="BG489" t="s">
        <v>81</v>
      </c>
      <c r="BH489" t="s">
        <v>81</v>
      </c>
    </row>
    <row r="490" spans="1:60" x14ac:dyDescent="0.35">
      <c r="A490" t="s">
        <v>976</v>
      </c>
      <c r="B490" t="s">
        <v>1057</v>
      </c>
      <c r="C490" t="s">
        <v>1068</v>
      </c>
      <c r="D490" t="s">
        <v>1069</v>
      </c>
      <c r="E490">
        <v>1394</v>
      </c>
      <c r="F490" t="s">
        <v>81</v>
      </c>
      <c r="G490" t="s">
        <v>81</v>
      </c>
      <c r="H490" t="s">
        <v>81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 t="s">
        <v>81</v>
      </c>
      <c r="BB490" t="s">
        <v>81</v>
      </c>
      <c r="BC490" t="s">
        <v>81</v>
      </c>
      <c r="BD490" t="s">
        <v>81</v>
      </c>
      <c r="BE490" t="s">
        <v>81</v>
      </c>
      <c r="BF490" t="s">
        <v>81</v>
      </c>
      <c r="BG490" t="s">
        <v>81</v>
      </c>
      <c r="BH490" t="s">
        <v>81</v>
      </c>
    </row>
    <row r="491" spans="1:60" x14ac:dyDescent="0.35">
      <c r="A491" t="s">
        <v>976</v>
      </c>
      <c r="B491" t="s">
        <v>1057</v>
      </c>
      <c r="C491" t="s">
        <v>1070</v>
      </c>
      <c r="D491" t="s">
        <v>1071</v>
      </c>
      <c r="E491">
        <v>12868</v>
      </c>
      <c r="F491">
        <v>28</v>
      </c>
      <c r="G491">
        <v>22.418299999999999</v>
      </c>
      <c r="H491">
        <v>0.80065359999999997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56</v>
      </c>
      <c r="BG491">
        <v>601.03571399999998</v>
      </c>
      <c r="BH491">
        <v>0.77700000000000002</v>
      </c>
    </row>
    <row r="492" spans="1:60" x14ac:dyDescent="0.35">
      <c r="A492" t="s">
        <v>976</v>
      </c>
      <c r="B492" t="s">
        <v>1057</v>
      </c>
      <c r="C492" t="s">
        <v>1072</v>
      </c>
      <c r="D492" t="s">
        <v>1073</v>
      </c>
      <c r="E492">
        <v>7032</v>
      </c>
      <c r="F492">
        <v>6</v>
      </c>
      <c r="G492">
        <v>6.3211779999999997</v>
      </c>
      <c r="H492">
        <v>1.0535300000000001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4706.1000000000004</v>
      </c>
      <c r="AB492">
        <v>0</v>
      </c>
      <c r="AC492">
        <v>0</v>
      </c>
      <c r="AD492">
        <v>4211.3100000000004</v>
      </c>
      <c r="AE492">
        <v>0</v>
      </c>
      <c r="AF492">
        <v>8917.41</v>
      </c>
      <c r="AG492">
        <v>1508.95</v>
      </c>
      <c r="AH492">
        <v>0</v>
      </c>
      <c r="AI492">
        <v>0</v>
      </c>
      <c r="AJ492">
        <v>1822.17</v>
      </c>
      <c r="AK492">
        <v>0</v>
      </c>
      <c r="AL492">
        <v>3331.12</v>
      </c>
      <c r="AM492">
        <v>64.41</v>
      </c>
      <c r="AN492">
        <v>0</v>
      </c>
      <c r="AO492">
        <v>0</v>
      </c>
      <c r="AP492">
        <v>688.77</v>
      </c>
      <c r="AQ492">
        <v>0</v>
      </c>
      <c r="AR492">
        <v>753.18</v>
      </c>
      <c r="AS492">
        <v>281.63</v>
      </c>
      <c r="AT492">
        <v>0</v>
      </c>
      <c r="AU492">
        <v>0</v>
      </c>
      <c r="AV492">
        <v>0</v>
      </c>
      <c r="AW492">
        <v>0</v>
      </c>
      <c r="AX492">
        <v>281.63</v>
      </c>
      <c r="AY492">
        <v>13283.34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33</v>
      </c>
      <c r="BG492">
        <v>8323.5154550000007</v>
      </c>
      <c r="BH492">
        <v>0</v>
      </c>
    </row>
    <row r="493" spans="1:60" x14ac:dyDescent="0.35">
      <c r="A493" t="s">
        <v>976</v>
      </c>
      <c r="B493" t="s">
        <v>1057</v>
      </c>
      <c r="C493" t="s">
        <v>1074</v>
      </c>
      <c r="D493" t="s">
        <v>1075</v>
      </c>
      <c r="E493">
        <v>9239</v>
      </c>
      <c r="F493">
        <v>7</v>
      </c>
      <c r="G493">
        <v>2.6760000000000002</v>
      </c>
      <c r="H493">
        <v>0.38228570000000001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15</v>
      </c>
      <c r="BG493">
        <v>0.66666700000000001</v>
      </c>
      <c r="BH493">
        <v>0</v>
      </c>
    </row>
    <row r="494" spans="1:60" x14ac:dyDescent="0.35">
      <c r="A494" t="s">
        <v>976</v>
      </c>
      <c r="B494" t="s">
        <v>1057</v>
      </c>
      <c r="C494" t="s">
        <v>1076</v>
      </c>
      <c r="D494" t="s">
        <v>1077</v>
      </c>
      <c r="E494">
        <v>4007</v>
      </c>
      <c r="F494" t="s">
        <v>81</v>
      </c>
      <c r="G494" t="s">
        <v>81</v>
      </c>
      <c r="H494" t="s">
        <v>81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8</v>
      </c>
      <c r="BG494">
        <v>0</v>
      </c>
      <c r="BH494">
        <v>27.25</v>
      </c>
    </row>
    <row r="495" spans="1:60" x14ac:dyDescent="0.35">
      <c r="A495" t="s">
        <v>976</v>
      </c>
      <c r="B495" t="s">
        <v>1057</v>
      </c>
      <c r="C495" t="s">
        <v>1078</v>
      </c>
      <c r="D495" t="s">
        <v>1079</v>
      </c>
      <c r="E495">
        <v>984</v>
      </c>
      <c r="F495" t="s">
        <v>81</v>
      </c>
      <c r="G495" t="s">
        <v>81</v>
      </c>
      <c r="H495" t="s">
        <v>81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 t="s">
        <v>81</v>
      </c>
      <c r="BB495" t="s">
        <v>81</v>
      </c>
      <c r="BC495" t="s">
        <v>81</v>
      </c>
      <c r="BD495" t="s">
        <v>81</v>
      </c>
      <c r="BE495" t="s">
        <v>81</v>
      </c>
      <c r="BF495" t="s">
        <v>81</v>
      </c>
      <c r="BG495" t="s">
        <v>81</v>
      </c>
      <c r="BH495" t="s">
        <v>81</v>
      </c>
    </row>
    <row r="496" spans="1:60" x14ac:dyDescent="0.35">
      <c r="A496" t="s">
        <v>976</v>
      </c>
      <c r="B496" t="s">
        <v>1057</v>
      </c>
      <c r="C496" t="s">
        <v>1080</v>
      </c>
      <c r="D496" t="s">
        <v>1081</v>
      </c>
      <c r="E496">
        <v>2038</v>
      </c>
      <c r="F496">
        <v>6</v>
      </c>
      <c r="G496">
        <v>6.1</v>
      </c>
      <c r="H496">
        <v>1.016667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 t="s">
        <v>81</v>
      </c>
      <c r="BB496" t="s">
        <v>81</v>
      </c>
      <c r="BC496" t="s">
        <v>81</v>
      </c>
      <c r="BD496" t="s">
        <v>81</v>
      </c>
      <c r="BE496" t="s">
        <v>81</v>
      </c>
      <c r="BF496" t="s">
        <v>81</v>
      </c>
      <c r="BG496" t="s">
        <v>81</v>
      </c>
      <c r="BH496" t="s">
        <v>81</v>
      </c>
    </row>
    <row r="497" spans="1:60" x14ac:dyDescent="0.35">
      <c r="A497" t="s">
        <v>976</v>
      </c>
      <c r="B497" t="s">
        <v>1057</v>
      </c>
      <c r="C497" t="s">
        <v>1082</v>
      </c>
      <c r="D497" t="s">
        <v>1083</v>
      </c>
      <c r="E497">
        <v>2294</v>
      </c>
      <c r="F497" t="s">
        <v>81</v>
      </c>
      <c r="G497" t="s">
        <v>81</v>
      </c>
      <c r="H497" t="s">
        <v>81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 t="s">
        <v>81</v>
      </c>
      <c r="BB497" t="s">
        <v>81</v>
      </c>
      <c r="BC497" t="s">
        <v>81</v>
      </c>
      <c r="BD497" t="s">
        <v>81</v>
      </c>
      <c r="BE497" t="s">
        <v>81</v>
      </c>
      <c r="BF497" t="s">
        <v>81</v>
      </c>
      <c r="BG497" t="s">
        <v>81</v>
      </c>
      <c r="BH497" t="s">
        <v>81</v>
      </c>
    </row>
    <row r="498" spans="1:60" x14ac:dyDescent="0.35">
      <c r="A498" t="s">
        <v>976</v>
      </c>
      <c r="B498" t="s">
        <v>1057</v>
      </c>
      <c r="C498" t="s">
        <v>1084</v>
      </c>
      <c r="D498" t="s">
        <v>1085</v>
      </c>
      <c r="E498">
        <v>1902</v>
      </c>
      <c r="F498">
        <v>1</v>
      </c>
      <c r="G498">
        <v>0.27288899999999999</v>
      </c>
      <c r="H498">
        <v>0.27288899999999999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 t="s">
        <v>81</v>
      </c>
      <c r="BB498" t="s">
        <v>81</v>
      </c>
      <c r="BC498" t="s">
        <v>81</v>
      </c>
      <c r="BD498" t="s">
        <v>81</v>
      </c>
      <c r="BE498" t="s">
        <v>81</v>
      </c>
      <c r="BF498" t="s">
        <v>81</v>
      </c>
      <c r="BG498" t="s">
        <v>81</v>
      </c>
      <c r="BH498" t="s">
        <v>81</v>
      </c>
    </row>
    <row r="499" spans="1:60" x14ac:dyDescent="0.35">
      <c r="A499" t="s">
        <v>976</v>
      </c>
      <c r="B499" t="s">
        <v>1057</v>
      </c>
      <c r="C499" t="s">
        <v>1086</v>
      </c>
      <c r="D499" t="s">
        <v>1087</v>
      </c>
      <c r="E499">
        <v>1488</v>
      </c>
      <c r="F499" t="s">
        <v>81</v>
      </c>
      <c r="G499" t="s">
        <v>81</v>
      </c>
      <c r="H499" t="s">
        <v>81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1</v>
      </c>
      <c r="BG499">
        <v>0</v>
      </c>
      <c r="BH499">
        <v>0</v>
      </c>
    </row>
    <row r="500" spans="1:60" x14ac:dyDescent="0.35">
      <c r="A500" t="s">
        <v>976</v>
      </c>
      <c r="B500" t="s">
        <v>1088</v>
      </c>
      <c r="C500" t="s">
        <v>1089</v>
      </c>
      <c r="D500" t="s">
        <v>1090</v>
      </c>
      <c r="E500">
        <v>14510</v>
      </c>
      <c r="F500">
        <v>16</v>
      </c>
      <c r="G500">
        <v>14.925000000000001</v>
      </c>
      <c r="H500">
        <v>0.93281259999999999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493.01</v>
      </c>
      <c r="X500">
        <v>0</v>
      </c>
      <c r="Y500">
        <v>0</v>
      </c>
      <c r="Z500">
        <v>493.01</v>
      </c>
      <c r="AA500">
        <v>0</v>
      </c>
      <c r="AB500">
        <v>5062.76</v>
      </c>
      <c r="AC500">
        <v>40585.769999999997</v>
      </c>
      <c r="AD500">
        <v>2434.0100000000002</v>
      </c>
      <c r="AE500">
        <v>0</v>
      </c>
      <c r="AF500">
        <v>48082.54</v>
      </c>
      <c r="AG500">
        <v>0</v>
      </c>
      <c r="AH500">
        <v>1459.82</v>
      </c>
      <c r="AI500">
        <v>10448.39</v>
      </c>
      <c r="AJ500">
        <v>822.96</v>
      </c>
      <c r="AK500">
        <v>0</v>
      </c>
      <c r="AL500">
        <v>12731.17</v>
      </c>
      <c r="AM500">
        <v>0</v>
      </c>
      <c r="AN500">
        <v>2272.41</v>
      </c>
      <c r="AO500">
        <v>22131.39</v>
      </c>
      <c r="AP500">
        <v>196.98</v>
      </c>
      <c r="AQ500">
        <v>0</v>
      </c>
      <c r="AR500">
        <v>24600.78</v>
      </c>
      <c r="AS500">
        <v>0</v>
      </c>
      <c r="AT500">
        <v>0</v>
      </c>
      <c r="AU500">
        <v>927.88</v>
      </c>
      <c r="AV500">
        <v>0</v>
      </c>
      <c r="AW500">
        <v>0</v>
      </c>
      <c r="AX500">
        <v>927.88</v>
      </c>
      <c r="AY500">
        <v>86835.38</v>
      </c>
      <c r="AZ500">
        <v>0</v>
      </c>
      <c r="BA500">
        <v>5</v>
      </c>
      <c r="BB500">
        <v>82432.368000000002</v>
      </c>
      <c r="BC500">
        <v>412161.84100000001</v>
      </c>
      <c r="BD500">
        <v>1647.232</v>
      </c>
      <c r="BE500">
        <v>0</v>
      </c>
      <c r="BF500">
        <v>160</v>
      </c>
      <c r="BG500">
        <v>1407.598438</v>
      </c>
      <c r="BH500">
        <v>1.45</v>
      </c>
    </row>
    <row r="501" spans="1:60" x14ac:dyDescent="0.35">
      <c r="A501" t="s">
        <v>976</v>
      </c>
      <c r="B501" t="s">
        <v>1088</v>
      </c>
      <c r="C501" t="s">
        <v>1091</v>
      </c>
      <c r="D501" t="s">
        <v>1092</v>
      </c>
      <c r="E501">
        <v>2392</v>
      </c>
      <c r="F501">
        <v>1</v>
      </c>
      <c r="G501">
        <v>0.9</v>
      </c>
      <c r="H501">
        <v>0.9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2</v>
      </c>
      <c r="BG501">
        <v>1384.39</v>
      </c>
      <c r="BH501">
        <v>0</v>
      </c>
    </row>
    <row r="502" spans="1:60" x14ac:dyDescent="0.35">
      <c r="A502" t="s">
        <v>976</v>
      </c>
      <c r="B502" t="s">
        <v>1088</v>
      </c>
      <c r="C502" t="s">
        <v>1093</v>
      </c>
      <c r="D502" t="s">
        <v>1094</v>
      </c>
      <c r="E502">
        <v>1775</v>
      </c>
      <c r="F502">
        <v>2</v>
      </c>
      <c r="G502">
        <v>3.15</v>
      </c>
      <c r="H502">
        <v>1.575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1343.9</v>
      </c>
      <c r="AD502">
        <v>0</v>
      </c>
      <c r="AE502">
        <v>0</v>
      </c>
      <c r="AF502">
        <v>1343.9</v>
      </c>
      <c r="AG502">
        <v>0</v>
      </c>
      <c r="AH502">
        <v>0</v>
      </c>
      <c r="AI502">
        <v>441.85</v>
      </c>
      <c r="AJ502">
        <v>0</v>
      </c>
      <c r="AK502">
        <v>0</v>
      </c>
      <c r="AL502">
        <v>441.85</v>
      </c>
      <c r="AM502">
        <v>0</v>
      </c>
      <c r="AN502">
        <v>0</v>
      </c>
      <c r="AO502">
        <v>174.34</v>
      </c>
      <c r="AP502">
        <v>0</v>
      </c>
      <c r="AQ502">
        <v>0</v>
      </c>
      <c r="AR502">
        <v>174.34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1960.09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3</v>
      </c>
      <c r="BG502">
        <v>0</v>
      </c>
      <c r="BH502">
        <v>0</v>
      </c>
    </row>
    <row r="503" spans="1:60" x14ac:dyDescent="0.35">
      <c r="A503" t="s">
        <v>976</v>
      </c>
      <c r="B503" t="s">
        <v>1088</v>
      </c>
      <c r="C503" t="s">
        <v>1095</v>
      </c>
      <c r="D503" t="s">
        <v>1096</v>
      </c>
      <c r="E503">
        <v>1295</v>
      </c>
      <c r="F503" t="s">
        <v>81</v>
      </c>
      <c r="G503" t="s">
        <v>81</v>
      </c>
      <c r="H503" t="s">
        <v>81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8</v>
      </c>
      <c r="BG503">
        <v>0</v>
      </c>
      <c r="BH503">
        <v>0</v>
      </c>
    </row>
    <row r="504" spans="1:60" x14ac:dyDescent="0.35">
      <c r="A504" t="s">
        <v>976</v>
      </c>
      <c r="B504" t="s">
        <v>1088</v>
      </c>
      <c r="C504" t="s">
        <v>1097</v>
      </c>
      <c r="D504" t="s">
        <v>1098</v>
      </c>
      <c r="E504">
        <v>2267</v>
      </c>
      <c r="F504" t="s">
        <v>81</v>
      </c>
      <c r="G504" t="s">
        <v>81</v>
      </c>
      <c r="H504" t="s">
        <v>81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3</v>
      </c>
      <c r="BG504">
        <v>0</v>
      </c>
      <c r="BH504">
        <v>0</v>
      </c>
    </row>
    <row r="505" spans="1:60" x14ac:dyDescent="0.35">
      <c r="A505" t="s">
        <v>976</v>
      </c>
      <c r="B505" t="s">
        <v>1088</v>
      </c>
      <c r="C505" t="s">
        <v>1099</v>
      </c>
      <c r="D505" t="s">
        <v>1100</v>
      </c>
      <c r="E505">
        <v>2202</v>
      </c>
      <c r="F505" t="s">
        <v>81</v>
      </c>
      <c r="G505" t="s">
        <v>81</v>
      </c>
      <c r="H505" t="s">
        <v>81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2</v>
      </c>
      <c r="BG505">
        <v>276</v>
      </c>
      <c r="BH505">
        <v>0</v>
      </c>
    </row>
    <row r="506" spans="1:60" x14ac:dyDescent="0.35">
      <c r="A506" t="s">
        <v>976</v>
      </c>
      <c r="B506" t="s">
        <v>1088</v>
      </c>
      <c r="C506" t="s">
        <v>1101</v>
      </c>
      <c r="D506" t="s">
        <v>1102</v>
      </c>
      <c r="E506">
        <v>1379</v>
      </c>
      <c r="F506" t="s">
        <v>81</v>
      </c>
      <c r="G506" t="s">
        <v>81</v>
      </c>
      <c r="H506" t="s">
        <v>81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 t="s">
        <v>81</v>
      </c>
      <c r="BB506" t="s">
        <v>81</v>
      </c>
      <c r="BC506" t="s">
        <v>81</v>
      </c>
      <c r="BD506" t="s">
        <v>81</v>
      </c>
      <c r="BE506" t="s">
        <v>81</v>
      </c>
      <c r="BF506" t="s">
        <v>81</v>
      </c>
      <c r="BG506" t="s">
        <v>81</v>
      </c>
      <c r="BH506" t="s">
        <v>81</v>
      </c>
    </row>
    <row r="507" spans="1:60" x14ac:dyDescent="0.35">
      <c r="A507" t="s">
        <v>976</v>
      </c>
      <c r="B507" t="s">
        <v>1088</v>
      </c>
      <c r="C507" t="s">
        <v>1103</v>
      </c>
      <c r="D507" t="s">
        <v>1104</v>
      </c>
      <c r="E507">
        <v>1623</v>
      </c>
      <c r="F507">
        <v>2</v>
      </c>
      <c r="G507">
        <v>2.521925</v>
      </c>
      <c r="H507">
        <v>1.2609619999999999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2</v>
      </c>
      <c r="BG507">
        <v>0</v>
      </c>
      <c r="BH507">
        <v>0</v>
      </c>
    </row>
    <row r="508" spans="1:60" x14ac:dyDescent="0.35">
      <c r="A508" t="s">
        <v>976</v>
      </c>
      <c r="B508" t="s">
        <v>1088</v>
      </c>
      <c r="C508" t="s">
        <v>1105</v>
      </c>
      <c r="D508" t="s">
        <v>1106</v>
      </c>
      <c r="E508">
        <v>1011</v>
      </c>
      <c r="F508" t="s">
        <v>81</v>
      </c>
      <c r="G508" t="s">
        <v>81</v>
      </c>
      <c r="H508" t="s">
        <v>81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 t="s">
        <v>81</v>
      </c>
      <c r="BB508" t="s">
        <v>81</v>
      </c>
      <c r="BC508" t="s">
        <v>81</v>
      </c>
      <c r="BD508" t="s">
        <v>81</v>
      </c>
      <c r="BE508" t="s">
        <v>81</v>
      </c>
      <c r="BF508" t="s">
        <v>81</v>
      </c>
      <c r="BG508" t="s">
        <v>81</v>
      </c>
      <c r="BH508" t="s">
        <v>81</v>
      </c>
    </row>
    <row r="509" spans="1:60" x14ac:dyDescent="0.35">
      <c r="A509" t="s">
        <v>976</v>
      </c>
      <c r="B509" t="s">
        <v>1088</v>
      </c>
      <c r="C509" t="s">
        <v>1107</v>
      </c>
      <c r="D509" t="s">
        <v>1108</v>
      </c>
      <c r="E509">
        <v>798</v>
      </c>
      <c r="F509">
        <v>1</v>
      </c>
      <c r="G509">
        <v>0.3936212</v>
      </c>
      <c r="H509">
        <v>0.3936212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 t="s">
        <v>81</v>
      </c>
      <c r="BB509" t="s">
        <v>81</v>
      </c>
      <c r="BC509" t="s">
        <v>81</v>
      </c>
      <c r="BD509" t="s">
        <v>81</v>
      </c>
      <c r="BE509" t="s">
        <v>81</v>
      </c>
      <c r="BF509" t="s">
        <v>81</v>
      </c>
      <c r="BG509" t="s">
        <v>81</v>
      </c>
      <c r="BH509" t="s">
        <v>81</v>
      </c>
    </row>
    <row r="510" spans="1:60" x14ac:dyDescent="0.35">
      <c r="A510" t="s">
        <v>976</v>
      </c>
      <c r="B510" t="s">
        <v>1088</v>
      </c>
      <c r="C510" t="s">
        <v>1088</v>
      </c>
      <c r="D510" t="s">
        <v>1109</v>
      </c>
      <c r="E510">
        <v>2513</v>
      </c>
      <c r="F510" t="s">
        <v>81</v>
      </c>
      <c r="G510" t="s">
        <v>81</v>
      </c>
      <c r="H510" t="s">
        <v>81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7</v>
      </c>
      <c r="BG510">
        <v>0</v>
      </c>
      <c r="BH510">
        <v>0</v>
      </c>
    </row>
    <row r="511" spans="1:60" x14ac:dyDescent="0.35">
      <c r="A511" t="s">
        <v>976</v>
      </c>
      <c r="B511" t="s">
        <v>1088</v>
      </c>
      <c r="C511" t="s">
        <v>1110</v>
      </c>
      <c r="D511" t="s">
        <v>1111</v>
      </c>
      <c r="E511">
        <v>2047</v>
      </c>
      <c r="F511" t="s">
        <v>81</v>
      </c>
      <c r="G511" t="s">
        <v>81</v>
      </c>
      <c r="H511" t="s">
        <v>81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 t="s">
        <v>81</v>
      </c>
      <c r="BB511" t="s">
        <v>81</v>
      </c>
      <c r="BC511" t="s">
        <v>81</v>
      </c>
      <c r="BD511" t="s">
        <v>81</v>
      </c>
      <c r="BE511" t="s">
        <v>81</v>
      </c>
      <c r="BF511" t="s">
        <v>81</v>
      </c>
      <c r="BG511" t="s">
        <v>81</v>
      </c>
      <c r="BH511" t="s">
        <v>81</v>
      </c>
    </row>
    <row r="512" spans="1:60" x14ac:dyDescent="0.35">
      <c r="A512" t="s">
        <v>976</v>
      </c>
      <c r="B512" t="s">
        <v>1088</v>
      </c>
      <c r="C512" t="s">
        <v>1112</v>
      </c>
      <c r="D512" t="s">
        <v>1113</v>
      </c>
      <c r="E512">
        <v>1663</v>
      </c>
      <c r="F512">
        <v>1</v>
      </c>
      <c r="G512">
        <v>3.2978830000000001</v>
      </c>
      <c r="H512">
        <v>3.2978830000000001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</v>
      </c>
      <c r="BG512">
        <v>0</v>
      </c>
      <c r="BH512">
        <v>0</v>
      </c>
    </row>
    <row r="513" spans="1:60" x14ac:dyDescent="0.35">
      <c r="A513" t="s">
        <v>976</v>
      </c>
      <c r="B513" t="s">
        <v>1088</v>
      </c>
      <c r="C513" t="s">
        <v>1114</v>
      </c>
      <c r="D513" t="s">
        <v>1115</v>
      </c>
      <c r="E513">
        <v>836</v>
      </c>
      <c r="F513" t="s">
        <v>81</v>
      </c>
      <c r="G513" t="s">
        <v>81</v>
      </c>
      <c r="H513" t="s">
        <v>81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 t="s">
        <v>81</v>
      </c>
      <c r="BB513" t="s">
        <v>81</v>
      </c>
      <c r="BC513" t="s">
        <v>81</v>
      </c>
      <c r="BD513" t="s">
        <v>81</v>
      </c>
      <c r="BE513" t="s">
        <v>81</v>
      </c>
      <c r="BF513" t="s">
        <v>81</v>
      </c>
      <c r="BG513" t="s">
        <v>81</v>
      </c>
      <c r="BH513" t="s">
        <v>81</v>
      </c>
    </row>
    <row r="514" spans="1:60" x14ac:dyDescent="0.35">
      <c r="A514" t="s">
        <v>976</v>
      </c>
      <c r="B514" t="s">
        <v>1088</v>
      </c>
      <c r="C514" t="s">
        <v>1116</v>
      </c>
      <c r="D514" t="s">
        <v>1117</v>
      </c>
      <c r="E514">
        <v>1787</v>
      </c>
      <c r="F514" t="s">
        <v>81</v>
      </c>
      <c r="G514" t="s">
        <v>81</v>
      </c>
      <c r="H514" t="s">
        <v>81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4</v>
      </c>
      <c r="BG514">
        <v>0</v>
      </c>
      <c r="BH514">
        <v>0</v>
      </c>
    </row>
    <row r="515" spans="1:60" x14ac:dyDescent="0.35">
      <c r="A515" t="s">
        <v>976</v>
      </c>
      <c r="B515" t="s">
        <v>1088</v>
      </c>
      <c r="C515" t="s">
        <v>1118</v>
      </c>
      <c r="D515" t="s">
        <v>1119</v>
      </c>
      <c r="E515">
        <v>956</v>
      </c>
      <c r="F515" t="s">
        <v>81</v>
      </c>
      <c r="G515" t="s">
        <v>81</v>
      </c>
      <c r="H515" t="s">
        <v>81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 t="s">
        <v>81</v>
      </c>
      <c r="BB515" t="s">
        <v>81</v>
      </c>
      <c r="BC515" t="s">
        <v>81</v>
      </c>
      <c r="BD515" t="s">
        <v>81</v>
      </c>
      <c r="BE515" t="s">
        <v>81</v>
      </c>
      <c r="BF515" t="s">
        <v>81</v>
      </c>
      <c r="BG515" t="s">
        <v>81</v>
      </c>
      <c r="BH515" t="s">
        <v>81</v>
      </c>
    </row>
    <row r="516" spans="1:60" x14ac:dyDescent="0.35">
      <c r="A516" t="s">
        <v>976</v>
      </c>
      <c r="B516" t="s">
        <v>1088</v>
      </c>
      <c r="C516" t="s">
        <v>1120</v>
      </c>
      <c r="D516" t="s">
        <v>1121</v>
      </c>
      <c r="E516">
        <v>2532</v>
      </c>
      <c r="F516" t="s">
        <v>81</v>
      </c>
      <c r="G516" t="s">
        <v>81</v>
      </c>
      <c r="H516" t="s">
        <v>81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5</v>
      </c>
      <c r="BG516">
        <v>0</v>
      </c>
      <c r="BH516">
        <v>0</v>
      </c>
    </row>
    <row r="517" spans="1:60" x14ac:dyDescent="0.35">
      <c r="A517" t="s">
        <v>976</v>
      </c>
      <c r="B517" t="s">
        <v>1088</v>
      </c>
      <c r="C517" t="s">
        <v>1122</v>
      </c>
      <c r="D517" t="s">
        <v>1123</v>
      </c>
      <c r="E517">
        <v>803</v>
      </c>
      <c r="F517" t="s">
        <v>81</v>
      </c>
      <c r="G517" t="s">
        <v>81</v>
      </c>
      <c r="H517" t="s">
        <v>81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 t="s">
        <v>81</v>
      </c>
      <c r="BB517" t="s">
        <v>81</v>
      </c>
      <c r="BC517" t="s">
        <v>81</v>
      </c>
      <c r="BD517" t="s">
        <v>81</v>
      </c>
      <c r="BE517" t="s">
        <v>81</v>
      </c>
      <c r="BF517" t="s">
        <v>81</v>
      </c>
      <c r="BG517" t="s">
        <v>81</v>
      </c>
      <c r="BH517" t="s">
        <v>81</v>
      </c>
    </row>
    <row r="518" spans="1:60" x14ac:dyDescent="0.35">
      <c r="A518" t="s">
        <v>976</v>
      </c>
      <c r="B518" t="s">
        <v>1088</v>
      </c>
      <c r="C518" t="s">
        <v>1022</v>
      </c>
      <c r="D518" t="s">
        <v>1124</v>
      </c>
      <c r="E518">
        <v>4713</v>
      </c>
      <c r="F518">
        <v>7</v>
      </c>
      <c r="G518">
        <v>8.1257429999999999</v>
      </c>
      <c r="H518">
        <v>1.16082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37</v>
      </c>
      <c r="BG518">
        <v>4030.1702700000001</v>
      </c>
      <c r="BH518">
        <v>0</v>
      </c>
    </row>
    <row r="519" spans="1:60" x14ac:dyDescent="0.35">
      <c r="A519" t="s">
        <v>976</v>
      </c>
      <c r="B519" t="s">
        <v>1088</v>
      </c>
      <c r="C519" t="s">
        <v>1125</v>
      </c>
      <c r="D519" t="s">
        <v>1126</v>
      </c>
      <c r="E519">
        <v>863</v>
      </c>
      <c r="F519" t="s">
        <v>81</v>
      </c>
      <c r="G519" t="s">
        <v>81</v>
      </c>
      <c r="H519" t="s">
        <v>81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 t="s">
        <v>81</v>
      </c>
      <c r="BB519" t="s">
        <v>81</v>
      </c>
      <c r="BC519" t="s">
        <v>81</v>
      </c>
      <c r="BD519" t="s">
        <v>81</v>
      </c>
      <c r="BE519" t="s">
        <v>81</v>
      </c>
      <c r="BF519" t="s">
        <v>81</v>
      </c>
      <c r="BG519" t="s">
        <v>81</v>
      </c>
      <c r="BH519" t="s">
        <v>81</v>
      </c>
    </row>
    <row r="520" spans="1:60" x14ac:dyDescent="0.35">
      <c r="A520" t="s">
        <v>976</v>
      </c>
      <c r="B520" t="s">
        <v>1088</v>
      </c>
      <c r="C520" t="s">
        <v>1127</v>
      </c>
      <c r="D520" t="s">
        <v>1128</v>
      </c>
      <c r="E520">
        <v>1508</v>
      </c>
      <c r="F520" t="s">
        <v>81</v>
      </c>
      <c r="G520" t="s">
        <v>81</v>
      </c>
      <c r="H520" t="s">
        <v>81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11</v>
      </c>
      <c r="BG520">
        <v>0</v>
      </c>
      <c r="BH520">
        <v>0</v>
      </c>
    </row>
    <row r="521" spans="1:60" x14ac:dyDescent="0.35">
      <c r="A521" t="s">
        <v>976</v>
      </c>
      <c r="B521" t="s">
        <v>1129</v>
      </c>
      <c r="C521" t="s">
        <v>1130</v>
      </c>
      <c r="D521" t="s">
        <v>1131</v>
      </c>
      <c r="E521">
        <v>12835</v>
      </c>
      <c r="F521">
        <v>20</v>
      </c>
      <c r="G521">
        <v>17.28905</v>
      </c>
      <c r="H521">
        <v>0.86445240000000001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25052.95</v>
      </c>
      <c r="AD521">
        <v>4448.46</v>
      </c>
      <c r="AE521">
        <v>0</v>
      </c>
      <c r="AF521">
        <v>29501.41</v>
      </c>
      <c r="AG521">
        <v>0</v>
      </c>
      <c r="AH521">
        <v>0</v>
      </c>
      <c r="AI521">
        <v>6524.29</v>
      </c>
      <c r="AJ521">
        <v>1055.82</v>
      </c>
      <c r="AK521">
        <v>0</v>
      </c>
      <c r="AL521">
        <v>7580.11</v>
      </c>
      <c r="AM521">
        <v>0</v>
      </c>
      <c r="AN521">
        <v>0</v>
      </c>
      <c r="AO521">
        <v>9885.64</v>
      </c>
      <c r="AP521">
        <v>519.22</v>
      </c>
      <c r="AQ521">
        <v>0</v>
      </c>
      <c r="AR521">
        <v>10404.86</v>
      </c>
      <c r="AS521">
        <v>0</v>
      </c>
      <c r="AT521">
        <v>0</v>
      </c>
      <c r="AU521">
        <v>397.76</v>
      </c>
      <c r="AV521">
        <v>0</v>
      </c>
      <c r="AW521">
        <v>0</v>
      </c>
      <c r="AX521">
        <v>397.76</v>
      </c>
      <c r="AY521">
        <v>47884.14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62</v>
      </c>
      <c r="BG521">
        <v>2126.9735479999999</v>
      </c>
      <c r="BH521">
        <v>11.194000000000001</v>
      </c>
    </row>
    <row r="522" spans="1:60" x14ac:dyDescent="0.35">
      <c r="A522" t="s">
        <v>976</v>
      </c>
      <c r="B522" t="s">
        <v>1129</v>
      </c>
      <c r="C522" t="s">
        <v>1132</v>
      </c>
      <c r="D522" t="s">
        <v>1133</v>
      </c>
      <c r="E522">
        <v>1918</v>
      </c>
      <c r="F522">
        <v>1</v>
      </c>
      <c r="G522">
        <v>4.2741600000000002</v>
      </c>
      <c r="H522">
        <v>4.2741600000000002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</row>
    <row r="523" spans="1:60" x14ac:dyDescent="0.35">
      <c r="A523" t="s">
        <v>976</v>
      </c>
      <c r="B523" t="s">
        <v>1129</v>
      </c>
      <c r="C523" t="s">
        <v>1134</v>
      </c>
      <c r="D523" t="s">
        <v>1135</v>
      </c>
      <c r="E523">
        <v>2145</v>
      </c>
      <c r="F523" t="s">
        <v>81</v>
      </c>
      <c r="G523" t="s">
        <v>81</v>
      </c>
      <c r="H523" t="s">
        <v>81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 t="s">
        <v>81</v>
      </c>
      <c r="BB523" t="s">
        <v>81</v>
      </c>
      <c r="BC523" t="s">
        <v>81</v>
      </c>
      <c r="BD523" t="s">
        <v>81</v>
      </c>
      <c r="BE523" t="s">
        <v>81</v>
      </c>
      <c r="BF523" t="s">
        <v>81</v>
      </c>
      <c r="BG523" t="s">
        <v>81</v>
      </c>
      <c r="BH523" t="s">
        <v>81</v>
      </c>
    </row>
    <row r="524" spans="1:60" x14ac:dyDescent="0.35">
      <c r="A524" t="s">
        <v>976</v>
      </c>
      <c r="B524" t="s">
        <v>1129</v>
      </c>
      <c r="C524" t="s">
        <v>1136</v>
      </c>
      <c r="D524" t="s">
        <v>1137</v>
      </c>
      <c r="E524">
        <v>427</v>
      </c>
      <c r="F524" t="s">
        <v>81</v>
      </c>
      <c r="G524" t="s">
        <v>81</v>
      </c>
      <c r="H524" t="s">
        <v>81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</v>
      </c>
      <c r="BG524">
        <v>0</v>
      </c>
      <c r="BH524">
        <v>0</v>
      </c>
    </row>
    <row r="525" spans="1:60" x14ac:dyDescent="0.35">
      <c r="A525" t="s">
        <v>976</v>
      </c>
      <c r="B525" t="s">
        <v>1129</v>
      </c>
      <c r="C525" t="s">
        <v>1138</v>
      </c>
      <c r="D525" t="s">
        <v>1139</v>
      </c>
      <c r="E525">
        <v>8035</v>
      </c>
      <c r="F525">
        <v>4</v>
      </c>
      <c r="G525">
        <v>1.655</v>
      </c>
      <c r="H525">
        <v>0.41375000000000001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59</v>
      </c>
      <c r="BG525">
        <v>150.88423700000001</v>
      </c>
      <c r="BH525">
        <v>0</v>
      </c>
    </row>
    <row r="526" spans="1:60" x14ac:dyDescent="0.35">
      <c r="A526" t="s">
        <v>976</v>
      </c>
      <c r="B526" t="s">
        <v>1129</v>
      </c>
      <c r="C526" t="s">
        <v>1140</v>
      </c>
      <c r="D526" t="s">
        <v>1141</v>
      </c>
      <c r="E526">
        <v>1999</v>
      </c>
      <c r="F526">
        <v>3</v>
      </c>
      <c r="G526">
        <v>2.696364</v>
      </c>
      <c r="H526">
        <v>0.89878800000000003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4</v>
      </c>
      <c r="BG526">
        <v>0</v>
      </c>
      <c r="BH526">
        <v>0</v>
      </c>
    </row>
    <row r="527" spans="1:60" x14ac:dyDescent="0.35">
      <c r="A527" t="s">
        <v>976</v>
      </c>
      <c r="B527" t="s">
        <v>1129</v>
      </c>
      <c r="C527" t="s">
        <v>1142</v>
      </c>
      <c r="D527" t="s">
        <v>1143</v>
      </c>
      <c r="E527">
        <v>464</v>
      </c>
      <c r="F527" t="s">
        <v>81</v>
      </c>
      <c r="G527" t="s">
        <v>81</v>
      </c>
      <c r="H527" t="s">
        <v>81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3</v>
      </c>
      <c r="BG527">
        <v>0</v>
      </c>
      <c r="BH527">
        <v>0</v>
      </c>
    </row>
    <row r="528" spans="1:60" x14ac:dyDescent="0.35">
      <c r="A528" t="s">
        <v>976</v>
      </c>
      <c r="B528" t="s">
        <v>1129</v>
      </c>
      <c r="C528" t="s">
        <v>1144</v>
      </c>
      <c r="D528" t="s">
        <v>1145</v>
      </c>
      <c r="E528">
        <v>891</v>
      </c>
      <c r="F528" t="s">
        <v>81</v>
      </c>
      <c r="G528" t="s">
        <v>81</v>
      </c>
      <c r="H528" t="s">
        <v>81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 t="s">
        <v>81</v>
      </c>
      <c r="BB528" t="s">
        <v>81</v>
      </c>
      <c r="BC528" t="s">
        <v>81</v>
      </c>
      <c r="BD528" t="s">
        <v>81</v>
      </c>
      <c r="BE528" t="s">
        <v>81</v>
      </c>
      <c r="BF528" t="s">
        <v>81</v>
      </c>
      <c r="BG528" t="s">
        <v>81</v>
      </c>
      <c r="BH528" t="s">
        <v>81</v>
      </c>
    </row>
    <row r="529" spans="1:60" x14ac:dyDescent="0.35">
      <c r="A529" t="s">
        <v>976</v>
      </c>
      <c r="B529" t="s">
        <v>1146</v>
      </c>
      <c r="C529" t="s">
        <v>1147</v>
      </c>
      <c r="D529" t="s">
        <v>1148</v>
      </c>
      <c r="E529">
        <v>3396</v>
      </c>
      <c r="F529">
        <v>4</v>
      </c>
      <c r="G529">
        <v>2.3463639999999999</v>
      </c>
      <c r="H529">
        <v>0.58659099999999997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26</v>
      </c>
      <c r="BG529">
        <v>2</v>
      </c>
      <c r="BH529">
        <v>0</v>
      </c>
    </row>
    <row r="530" spans="1:60" x14ac:dyDescent="0.35">
      <c r="A530" t="s">
        <v>976</v>
      </c>
      <c r="B530" t="s">
        <v>1146</v>
      </c>
      <c r="C530" t="s">
        <v>1149</v>
      </c>
      <c r="D530" t="s">
        <v>1150</v>
      </c>
      <c r="E530">
        <v>351</v>
      </c>
      <c r="F530" t="s">
        <v>81</v>
      </c>
      <c r="G530" t="s">
        <v>81</v>
      </c>
      <c r="H530" t="s">
        <v>81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 t="s">
        <v>81</v>
      </c>
      <c r="BB530" t="s">
        <v>81</v>
      </c>
      <c r="BC530" t="s">
        <v>81</v>
      </c>
      <c r="BD530" t="s">
        <v>81</v>
      </c>
      <c r="BE530" t="s">
        <v>81</v>
      </c>
      <c r="BF530" t="s">
        <v>81</v>
      </c>
      <c r="BG530" t="s">
        <v>81</v>
      </c>
      <c r="BH530" t="s">
        <v>81</v>
      </c>
    </row>
    <row r="531" spans="1:60" x14ac:dyDescent="0.35">
      <c r="A531" t="s">
        <v>976</v>
      </c>
      <c r="B531" t="s">
        <v>1146</v>
      </c>
      <c r="C531" t="s">
        <v>1151</v>
      </c>
      <c r="D531" t="s">
        <v>1152</v>
      </c>
      <c r="E531">
        <v>403</v>
      </c>
      <c r="F531" t="s">
        <v>81</v>
      </c>
      <c r="G531" t="s">
        <v>81</v>
      </c>
      <c r="H531" t="s">
        <v>81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 t="s">
        <v>81</v>
      </c>
      <c r="BB531" t="s">
        <v>81</v>
      </c>
      <c r="BC531" t="s">
        <v>81</v>
      </c>
      <c r="BD531" t="s">
        <v>81</v>
      </c>
      <c r="BE531" t="s">
        <v>81</v>
      </c>
      <c r="BF531" t="s">
        <v>81</v>
      </c>
      <c r="BG531" t="s">
        <v>81</v>
      </c>
      <c r="BH531" t="s">
        <v>81</v>
      </c>
    </row>
    <row r="532" spans="1:60" x14ac:dyDescent="0.35">
      <c r="A532" t="s">
        <v>976</v>
      </c>
      <c r="B532" t="s">
        <v>1146</v>
      </c>
      <c r="C532" t="s">
        <v>1153</v>
      </c>
      <c r="D532" t="s">
        <v>1154</v>
      </c>
      <c r="E532">
        <v>1805</v>
      </c>
      <c r="F532" t="s">
        <v>81</v>
      </c>
      <c r="G532" t="s">
        <v>81</v>
      </c>
      <c r="H532" t="s">
        <v>81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3</v>
      </c>
      <c r="BG532">
        <v>0</v>
      </c>
      <c r="BH532">
        <v>0</v>
      </c>
    </row>
    <row r="533" spans="1:60" x14ac:dyDescent="0.35">
      <c r="A533" t="s">
        <v>976</v>
      </c>
      <c r="B533" t="s">
        <v>1146</v>
      </c>
      <c r="C533" t="s">
        <v>1155</v>
      </c>
      <c r="D533" t="s">
        <v>1156</v>
      </c>
      <c r="E533">
        <v>562</v>
      </c>
      <c r="F533" t="s">
        <v>81</v>
      </c>
      <c r="G533" t="s">
        <v>81</v>
      </c>
      <c r="H533" t="s">
        <v>81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1</v>
      </c>
      <c r="BG533">
        <v>0</v>
      </c>
      <c r="BH533">
        <v>0</v>
      </c>
    </row>
    <row r="534" spans="1:60" x14ac:dyDescent="0.35">
      <c r="A534" t="s">
        <v>976</v>
      </c>
      <c r="B534" t="s">
        <v>1146</v>
      </c>
      <c r="C534" t="s">
        <v>1157</v>
      </c>
      <c r="D534" t="s">
        <v>1158</v>
      </c>
      <c r="E534">
        <v>1783</v>
      </c>
      <c r="F534">
        <v>1</v>
      </c>
      <c r="G534">
        <v>2.377291</v>
      </c>
      <c r="H534">
        <v>2.377291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10</v>
      </c>
      <c r="BG534">
        <v>4887.78</v>
      </c>
      <c r="BH534">
        <v>0</v>
      </c>
    </row>
    <row r="535" spans="1:60" x14ac:dyDescent="0.35">
      <c r="A535" t="s">
        <v>976</v>
      </c>
      <c r="B535" t="s">
        <v>1146</v>
      </c>
      <c r="C535" t="s">
        <v>1159</v>
      </c>
      <c r="D535" t="s">
        <v>1160</v>
      </c>
      <c r="E535">
        <v>318</v>
      </c>
      <c r="F535" t="s">
        <v>81</v>
      </c>
      <c r="G535" t="s">
        <v>81</v>
      </c>
      <c r="H535" t="s">
        <v>81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 t="s">
        <v>81</v>
      </c>
      <c r="BB535" t="s">
        <v>81</v>
      </c>
      <c r="BC535" t="s">
        <v>81</v>
      </c>
      <c r="BD535" t="s">
        <v>81</v>
      </c>
      <c r="BE535" t="s">
        <v>81</v>
      </c>
      <c r="BF535" t="s">
        <v>81</v>
      </c>
      <c r="BG535" t="s">
        <v>81</v>
      </c>
      <c r="BH535" t="s">
        <v>81</v>
      </c>
    </row>
    <row r="536" spans="1:60" x14ac:dyDescent="0.35">
      <c r="A536" t="s">
        <v>976</v>
      </c>
      <c r="B536" t="s">
        <v>1146</v>
      </c>
      <c r="C536" t="s">
        <v>1161</v>
      </c>
      <c r="D536" t="s">
        <v>1162</v>
      </c>
      <c r="E536">
        <v>217</v>
      </c>
      <c r="F536" t="s">
        <v>81</v>
      </c>
      <c r="G536" t="s">
        <v>81</v>
      </c>
      <c r="H536" t="s">
        <v>81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2</v>
      </c>
      <c r="BG536">
        <v>0</v>
      </c>
      <c r="BH536">
        <v>0</v>
      </c>
    </row>
    <row r="537" spans="1:60" x14ac:dyDescent="0.35">
      <c r="A537" t="s">
        <v>976</v>
      </c>
      <c r="B537" t="s">
        <v>1146</v>
      </c>
      <c r="C537" t="s">
        <v>1163</v>
      </c>
      <c r="D537" t="s">
        <v>1164</v>
      </c>
      <c r="E537">
        <v>262</v>
      </c>
      <c r="F537" t="s">
        <v>81</v>
      </c>
      <c r="G537" t="s">
        <v>81</v>
      </c>
      <c r="H537" t="s">
        <v>81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 t="s">
        <v>81</v>
      </c>
      <c r="BB537" t="s">
        <v>81</v>
      </c>
      <c r="BC537" t="s">
        <v>81</v>
      </c>
      <c r="BD537" t="s">
        <v>81</v>
      </c>
      <c r="BE537" t="s">
        <v>81</v>
      </c>
      <c r="BF537" t="s">
        <v>81</v>
      </c>
      <c r="BG537" t="s">
        <v>81</v>
      </c>
      <c r="BH537" t="s">
        <v>81</v>
      </c>
    </row>
    <row r="538" spans="1:60" x14ac:dyDescent="0.35">
      <c r="A538" t="s">
        <v>976</v>
      </c>
      <c r="B538" t="s">
        <v>1146</v>
      </c>
      <c r="C538" t="s">
        <v>1165</v>
      </c>
      <c r="D538" t="s">
        <v>1166</v>
      </c>
      <c r="E538">
        <v>395</v>
      </c>
      <c r="F538" t="s">
        <v>81</v>
      </c>
      <c r="G538" t="s">
        <v>81</v>
      </c>
      <c r="H538" t="s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 t="s">
        <v>81</v>
      </c>
      <c r="BB538" t="s">
        <v>81</v>
      </c>
      <c r="BC538" t="s">
        <v>81</v>
      </c>
      <c r="BD538" t="s">
        <v>81</v>
      </c>
      <c r="BE538" t="s">
        <v>81</v>
      </c>
      <c r="BF538" t="s">
        <v>81</v>
      </c>
      <c r="BG538" t="s">
        <v>81</v>
      </c>
      <c r="BH538" t="s">
        <v>81</v>
      </c>
    </row>
    <row r="539" spans="1:60" x14ac:dyDescent="0.35">
      <c r="A539" t="s">
        <v>976</v>
      </c>
      <c r="B539" t="s">
        <v>1167</v>
      </c>
      <c r="C539" t="s">
        <v>1168</v>
      </c>
      <c r="D539" t="s">
        <v>1169</v>
      </c>
      <c r="E539">
        <v>2574</v>
      </c>
      <c r="F539">
        <v>7</v>
      </c>
      <c r="G539">
        <v>3.900957</v>
      </c>
      <c r="H539">
        <v>0.55727959999999999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679.82</v>
      </c>
      <c r="AC539">
        <v>0</v>
      </c>
      <c r="AD539">
        <v>0</v>
      </c>
      <c r="AE539">
        <v>0</v>
      </c>
      <c r="AF539">
        <v>679.82</v>
      </c>
      <c r="AG539">
        <v>0</v>
      </c>
      <c r="AH539">
        <v>435.8</v>
      </c>
      <c r="AI539">
        <v>0</v>
      </c>
      <c r="AJ539">
        <v>0</v>
      </c>
      <c r="AK539">
        <v>0</v>
      </c>
      <c r="AL539">
        <v>435.8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1115.6199999999999</v>
      </c>
      <c r="AZ539">
        <v>0</v>
      </c>
      <c r="BA539">
        <v>1</v>
      </c>
      <c r="BB539">
        <v>114456.273</v>
      </c>
      <c r="BC539">
        <v>114456.273</v>
      </c>
      <c r="BD539">
        <v>0</v>
      </c>
      <c r="BE539">
        <v>0</v>
      </c>
      <c r="BF539">
        <v>21</v>
      </c>
      <c r="BG539">
        <v>1014.628571</v>
      </c>
      <c r="BH539">
        <v>0</v>
      </c>
    </row>
    <row r="540" spans="1:60" x14ac:dyDescent="0.35">
      <c r="A540" t="s">
        <v>976</v>
      </c>
      <c r="B540" t="s">
        <v>1167</v>
      </c>
      <c r="C540" t="s">
        <v>1170</v>
      </c>
      <c r="D540" t="s">
        <v>1171</v>
      </c>
      <c r="E540">
        <v>283</v>
      </c>
      <c r="F540" t="s">
        <v>81</v>
      </c>
      <c r="G540" t="s">
        <v>81</v>
      </c>
      <c r="H540" t="s">
        <v>81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</row>
    <row r="541" spans="1:60" x14ac:dyDescent="0.35">
      <c r="A541" t="s">
        <v>976</v>
      </c>
      <c r="B541" t="s">
        <v>1167</v>
      </c>
      <c r="C541" t="s">
        <v>1172</v>
      </c>
      <c r="D541" t="s">
        <v>1173</v>
      </c>
      <c r="E541">
        <v>426</v>
      </c>
      <c r="F541" t="s">
        <v>81</v>
      </c>
      <c r="G541" t="s">
        <v>81</v>
      </c>
      <c r="H541" t="s">
        <v>81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  <c r="BG541">
        <v>0</v>
      </c>
      <c r="BH541">
        <v>0</v>
      </c>
    </row>
    <row r="542" spans="1:60" x14ac:dyDescent="0.35">
      <c r="A542" t="s">
        <v>976</v>
      </c>
      <c r="B542" t="s">
        <v>1167</v>
      </c>
      <c r="C542" t="s">
        <v>1174</v>
      </c>
      <c r="D542" t="s">
        <v>1175</v>
      </c>
      <c r="E542">
        <v>454</v>
      </c>
      <c r="F542" t="s">
        <v>81</v>
      </c>
      <c r="G542" t="s">
        <v>81</v>
      </c>
      <c r="H542" t="s">
        <v>81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0</v>
      </c>
      <c r="BH542">
        <v>0</v>
      </c>
    </row>
    <row r="543" spans="1:60" x14ac:dyDescent="0.35">
      <c r="A543" t="s">
        <v>976</v>
      </c>
      <c r="B543" t="s">
        <v>1167</v>
      </c>
      <c r="C543" t="s">
        <v>1176</v>
      </c>
      <c r="D543" t="s">
        <v>1177</v>
      </c>
      <c r="E543">
        <v>317</v>
      </c>
      <c r="F543" t="s">
        <v>81</v>
      </c>
      <c r="G543" t="s">
        <v>81</v>
      </c>
      <c r="H543" t="s">
        <v>81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 t="s">
        <v>81</v>
      </c>
      <c r="BB543" t="s">
        <v>81</v>
      </c>
      <c r="BC543" t="s">
        <v>81</v>
      </c>
      <c r="BD543" t="s">
        <v>81</v>
      </c>
      <c r="BE543" t="s">
        <v>81</v>
      </c>
      <c r="BF543" t="s">
        <v>81</v>
      </c>
      <c r="BG543" t="s">
        <v>81</v>
      </c>
      <c r="BH543" t="s">
        <v>81</v>
      </c>
    </row>
    <row r="544" spans="1:60" x14ac:dyDescent="0.35">
      <c r="A544" t="s">
        <v>976</v>
      </c>
      <c r="B544" t="s">
        <v>1167</v>
      </c>
      <c r="C544" t="s">
        <v>1178</v>
      </c>
      <c r="D544" t="s">
        <v>1179</v>
      </c>
      <c r="E544">
        <v>1187</v>
      </c>
      <c r="F544" t="s">
        <v>81</v>
      </c>
      <c r="G544" t="s">
        <v>81</v>
      </c>
      <c r="H544" t="s">
        <v>81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2</v>
      </c>
      <c r="BG544">
        <v>0</v>
      </c>
      <c r="BH544">
        <v>0</v>
      </c>
    </row>
    <row r="545" spans="1:60" x14ac:dyDescent="0.35">
      <c r="A545" t="s">
        <v>976</v>
      </c>
      <c r="B545" t="s">
        <v>1167</v>
      </c>
      <c r="C545" t="s">
        <v>1180</v>
      </c>
      <c r="D545" t="s">
        <v>1181</v>
      </c>
      <c r="E545">
        <v>469</v>
      </c>
      <c r="F545" t="s">
        <v>81</v>
      </c>
      <c r="G545" t="s">
        <v>81</v>
      </c>
      <c r="H545" t="s">
        <v>81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 t="s">
        <v>81</v>
      </c>
      <c r="BB545" t="s">
        <v>81</v>
      </c>
      <c r="BC545" t="s">
        <v>81</v>
      </c>
      <c r="BD545" t="s">
        <v>81</v>
      </c>
      <c r="BE545" t="s">
        <v>81</v>
      </c>
      <c r="BF545" t="s">
        <v>81</v>
      </c>
      <c r="BG545" t="s">
        <v>81</v>
      </c>
      <c r="BH545" t="s">
        <v>81</v>
      </c>
    </row>
    <row r="546" spans="1:60" x14ac:dyDescent="0.35">
      <c r="A546" t="s">
        <v>976</v>
      </c>
      <c r="B546" t="s">
        <v>1167</v>
      </c>
      <c r="C546" t="s">
        <v>1182</v>
      </c>
      <c r="D546" t="s">
        <v>1183</v>
      </c>
      <c r="E546">
        <v>788</v>
      </c>
      <c r="F546" t="s">
        <v>81</v>
      </c>
      <c r="G546" t="s">
        <v>81</v>
      </c>
      <c r="H546" t="s">
        <v>81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 t="s">
        <v>81</v>
      </c>
      <c r="BB546" t="s">
        <v>81</v>
      </c>
      <c r="BC546" t="s">
        <v>81</v>
      </c>
      <c r="BD546" t="s">
        <v>81</v>
      </c>
      <c r="BE546" t="s">
        <v>81</v>
      </c>
      <c r="BF546" t="s">
        <v>81</v>
      </c>
      <c r="BG546" t="s">
        <v>81</v>
      </c>
      <c r="BH546" t="s">
        <v>81</v>
      </c>
    </row>
    <row r="547" spans="1:60" x14ac:dyDescent="0.35">
      <c r="A547" t="s">
        <v>976</v>
      </c>
      <c r="B547" t="s">
        <v>1167</v>
      </c>
      <c r="C547" t="s">
        <v>1184</v>
      </c>
      <c r="D547" t="s">
        <v>1185</v>
      </c>
      <c r="E547">
        <v>853</v>
      </c>
      <c r="F547" t="s">
        <v>81</v>
      </c>
      <c r="G547" t="s">
        <v>81</v>
      </c>
      <c r="H547" t="s">
        <v>81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 t="s">
        <v>81</v>
      </c>
      <c r="BB547" t="s">
        <v>81</v>
      </c>
      <c r="BC547" t="s">
        <v>81</v>
      </c>
      <c r="BD547" t="s">
        <v>81</v>
      </c>
      <c r="BE547" t="s">
        <v>81</v>
      </c>
      <c r="BF547" t="s">
        <v>81</v>
      </c>
      <c r="BG547" t="s">
        <v>81</v>
      </c>
      <c r="BH547" t="s">
        <v>81</v>
      </c>
    </row>
    <row r="548" spans="1:60" x14ac:dyDescent="0.35">
      <c r="A548" t="s">
        <v>976</v>
      </c>
      <c r="B548" t="s">
        <v>1167</v>
      </c>
      <c r="C548" t="s">
        <v>1186</v>
      </c>
      <c r="D548" t="s">
        <v>1187</v>
      </c>
      <c r="E548">
        <v>520</v>
      </c>
      <c r="F548" t="s">
        <v>81</v>
      </c>
      <c r="G548" t="s">
        <v>81</v>
      </c>
      <c r="H548" t="s">
        <v>81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 t="s">
        <v>81</v>
      </c>
      <c r="BB548" t="s">
        <v>81</v>
      </c>
      <c r="BC548" t="s">
        <v>81</v>
      </c>
      <c r="BD548" t="s">
        <v>81</v>
      </c>
      <c r="BE548" t="s">
        <v>81</v>
      </c>
      <c r="BF548" t="s">
        <v>81</v>
      </c>
      <c r="BG548" t="s">
        <v>81</v>
      </c>
      <c r="BH548" t="s">
        <v>81</v>
      </c>
    </row>
    <row r="549" spans="1:60" x14ac:dyDescent="0.35">
      <c r="A549" t="s">
        <v>976</v>
      </c>
      <c r="B549" t="s">
        <v>1167</v>
      </c>
      <c r="C549" t="s">
        <v>1188</v>
      </c>
      <c r="D549" t="s">
        <v>1189</v>
      </c>
      <c r="E549">
        <v>981</v>
      </c>
      <c r="F549">
        <v>1</v>
      </c>
      <c r="G549">
        <v>1.7076389999999999</v>
      </c>
      <c r="H549">
        <v>1.7076389999999999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3</v>
      </c>
      <c r="BG549">
        <v>0</v>
      </c>
      <c r="BH549">
        <v>0</v>
      </c>
    </row>
    <row r="550" spans="1:60" x14ac:dyDescent="0.35">
      <c r="A550" t="s">
        <v>976</v>
      </c>
      <c r="B550" t="s">
        <v>1190</v>
      </c>
      <c r="C550" t="s">
        <v>1191</v>
      </c>
      <c r="D550" t="s">
        <v>1192</v>
      </c>
      <c r="E550">
        <v>1786</v>
      </c>
      <c r="F550">
        <v>1</v>
      </c>
      <c r="G550">
        <v>0.43</v>
      </c>
      <c r="H550">
        <v>0.43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3</v>
      </c>
      <c r="BG550">
        <v>0</v>
      </c>
      <c r="BH550">
        <v>0</v>
      </c>
    </row>
    <row r="551" spans="1:60" x14ac:dyDescent="0.35">
      <c r="A551" t="s">
        <v>976</v>
      </c>
      <c r="B551" t="s">
        <v>1190</v>
      </c>
      <c r="C551" t="s">
        <v>1193</v>
      </c>
      <c r="D551" t="s">
        <v>1194</v>
      </c>
      <c r="E551">
        <v>1238</v>
      </c>
      <c r="F551" t="s">
        <v>81</v>
      </c>
      <c r="G551" t="s">
        <v>81</v>
      </c>
      <c r="H551" t="s">
        <v>81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 t="s">
        <v>81</v>
      </c>
      <c r="BB551" t="s">
        <v>81</v>
      </c>
      <c r="BC551" t="s">
        <v>81</v>
      </c>
      <c r="BD551" t="s">
        <v>81</v>
      </c>
      <c r="BE551" t="s">
        <v>81</v>
      </c>
      <c r="BF551" t="s">
        <v>81</v>
      </c>
      <c r="BG551" t="s">
        <v>81</v>
      </c>
      <c r="BH551" t="s">
        <v>81</v>
      </c>
    </row>
    <row r="552" spans="1:60" x14ac:dyDescent="0.35">
      <c r="A552" t="s">
        <v>976</v>
      </c>
      <c r="B552" t="s">
        <v>1190</v>
      </c>
      <c r="C552" t="s">
        <v>1195</v>
      </c>
      <c r="D552" t="s">
        <v>1196</v>
      </c>
      <c r="E552">
        <v>483</v>
      </c>
      <c r="F552" t="s">
        <v>81</v>
      </c>
      <c r="G552" t="s">
        <v>81</v>
      </c>
      <c r="H552" t="s">
        <v>81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 t="s">
        <v>81</v>
      </c>
      <c r="BB552" t="s">
        <v>81</v>
      </c>
      <c r="BC552" t="s">
        <v>81</v>
      </c>
      <c r="BD552" t="s">
        <v>81</v>
      </c>
      <c r="BE552" t="s">
        <v>81</v>
      </c>
      <c r="BF552" t="s">
        <v>81</v>
      </c>
      <c r="BG552" t="s">
        <v>81</v>
      </c>
      <c r="BH552" t="s">
        <v>81</v>
      </c>
    </row>
    <row r="553" spans="1:60" x14ac:dyDescent="0.35">
      <c r="A553" t="s">
        <v>976</v>
      </c>
      <c r="B553" t="s">
        <v>1190</v>
      </c>
      <c r="C553" t="s">
        <v>1197</v>
      </c>
      <c r="D553" t="s">
        <v>1198</v>
      </c>
      <c r="E553">
        <v>476</v>
      </c>
      <c r="F553" t="s">
        <v>81</v>
      </c>
      <c r="G553" t="s">
        <v>81</v>
      </c>
      <c r="H553" t="s">
        <v>81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13443.95</v>
      </c>
      <c r="BH553">
        <v>0</v>
      </c>
    </row>
    <row r="554" spans="1:60" x14ac:dyDescent="0.35">
      <c r="A554" t="s">
        <v>976</v>
      </c>
      <c r="B554" t="s">
        <v>1190</v>
      </c>
      <c r="C554" t="s">
        <v>1199</v>
      </c>
      <c r="D554" t="s">
        <v>1200</v>
      </c>
      <c r="E554">
        <v>4002</v>
      </c>
      <c r="F554">
        <v>1</v>
      </c>
      <c r="G554">
        <v>3.3059810000000001</v>
      </c>
      <c r="H554">
        <v>3.3059810000000001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14</v>
      </c>
      <c r="BG554">
        <v>0</v>
      </c>
      <c r="BH554">
        <v>0</v>
      </c>
    </row>
    <row r="555" spans="1:60" x14ac:dyDescent="0.35">
      <c r="A555" t="s">
        <v>976</v>
      </c>
      <c r="B555" t="s">
        <v>1190</v>
      </c>
      <c r="C555" t="s">
        <v>1201</v>
      </c>
      <c r="D555" t="s">
        <v>1202</v>
      </c>
      <c r="E555">
        <v>1099</v>
      </c>
      <c r="F555" t="s">
        <v>81</v>
      </c>
      <c r="G555" t="s">
        <v>81</v>
      </c>
      <c r="H555" t="s">
        <v>81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2</v>
      </c>
      <c r="BG555">
        <v>0</v>
      </c>
      <c r="BH555">
        <v>0</v>
      </c>
    </row>
    <row r="556" spans="1:60" x14ac:dyDescent="0.35">
      <c r="A556" t="s">
        <v>976</v>
      </c>
      <c r="B556" t="s">
        <v>1190</v>
      </c>
      <c r="C556" t="s">
        <v>1203</v>
      </c>
      <c r="D556" t="s">
        <v>1204</v>
      </c>
      <c r="E556">
        <v>982</v>
      </c>
      <c r="F556" t="s">
        <v>81</v>
      </c>
      <c r="G556" t="s">
        <v>81</v>
      </c>
      <c r="H556" t="s">
        <v>81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 t="s">
        <v>81</v>
      </c>
      <c r="BB556" t="s">
        <v>81</v>
      </c>
      <c r="BC556" t="s">
        <v>81</v>
      </c>
      <c r="BD556" t="s">
        <v>81</v>
      </c>
      <c r="BE556" t="s">
        <v>81</v>
      </c>
      <c r="BF556" t="s">
        <v>81</v>
      </c>
      <c r="BG556" t="s">
        <v>81</v>
      </c>
      <c r="BH556" t="s">
        <v>81</v>
      </c>
    </row>
    <row r="557" spans="1:60" x14ac:dyDescent="0.35">
      <c r="A557" t="s">
        <v>976</v>
      </c>
      <c r="B557" t="s">
        <v>1190</v>
      </c>
      <c r="C557" t="s">
        <v>1205</v>
      </c>
      <c r="D557" t="s">
        <v>1206</v>
      </c>
      <c r="E557">
        <v>1075</v>
      </c>
      <c r="F557" t="s">
        <v>81</v>
      </c>
      <c r="G557" t="s">
        <v>81</v>
      </c>
      <c r="H557" t="s">
        <v>81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 t="s">
        <v>81</v>
      </c>
      <c r="BB557" t="s">
        <v>81</v>
      </c>
      <c r="BC557" t="s">
        <v>81</v>
      </c>
      <c r="BD557" t="s">
        <v>81</v>
      </c>
      <c r="BE557" t="s">
        <v>81</v>
      </c>
      <c r="BF557" t="s">
        <v>81</v>
      </c>
      <c r="BG557" t="s">
        <v>81</v>
      </c>
      <c r="BH557" t="s">
        <v>81</v>
      </c>
    </row>
    <row r="558" spans="1:60" x14ac:dyDescent="0.35">
      <c r="A558" t="s">
        <v>976</v>
      </c>
      <c r="B558" t="s">
        <v>1190</v>
      </c>
      <c r="C558" t="s">
        <v>1207</v>
      </c>
      <c r="D558" t="s">
        <v>1208</v>
      </c>
      <c r="E558">
        <v>1153</v>
      </c>
      <c r="F558" t="s">
        <v>81</v>
      </c>
      <c r="G558" t="s">
        <v>81</v>
      </c>
      <c r="H558" t="s">
        <v>81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</row>
    <row r="559" spans="1:60" x14ac:dyDescent="0.35">
      <c r="A559" t="s">
        <v>976</v>
      </c>
      <c r="B559" t="s">
        <v>1190</v>
      </c>
      <c r="C559" t="s">
        <v>1209</v>
      </c>
      <c r="D559" t="s">
        <v>1210</v>
      </c>
      <c r="E559">
        <v>1804</v>
      </c>
      <c r="F559" t="s">
        <v>81</v>
      </c>
      <c r="G559" t="s">
        <v>81</v>
      </c>
      <c r="H559" t="s">
        <v>81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</row>
    <row r="560" spans="1:60" x14ac:dyDescent="0.35">
      <c r="A560" t="s">
        <v>976</v>
      </c>
      <c r="B560" t="s">
        <v>1190</v>
      </c>
      <c r="C560" t="s">
        <v>1211</v>
      </c>
      <c r="D560" t="s">
        <v>1212</v>
      </c>
      <c r="E560">
        <v>2549</v>
      </c>
      <c r="F560" t="s">
        <v>81</v>
      </c>
      <c r="G560" t="s">
        <v>81</v>
      </c>
      <c r="H560" t="s">
        <v>81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 t="s">
        <v>81</v>
      </c>
      <c r="BB560" t="s">
        <v>81</v>
      </c>
      <c r="BC560" t="s">
        <v>81</v>
      </c>
      <c r="BD560" t="s">
        <v>81</v>
      </c>
      <c r="BE560" t="s">
        <v>81</v>
      </c>
      <c r="BF560" t="s">
        <v>81</v>
      </c>
      <c r="BG560" t="s">
        <v>81</v>
      </c>
      <c r="BH560" t="s">
        <v>81</v>
      </c>
    </row>
    <row r="561" spans="1:60" x14ac:dyDescent="0.35">
      <c r="A561" t="s">
        <v>976</v>
      </c>
      <c r="B561" t="s">
        <v>1190</v>
      </c>
      <c r="C561" t="s">
        <v>1213</v>
      </c>
      <c r="D561" t="s">
        <v>1214</v>
      </c>
      <c r="E561">
        <v>2307</v>
      </c>
      <c r="F561" t="s">
        <v>81</v>
      </c>
      <c r="G561" t="s">
        <v>81</v>
      </c>
      <c r="H561" t="s">
        <v>81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 t="s">
        <v>81</v>
      </c>
      <c r="BB561" t="s">
        <v>81</v>
      </c>
      <c r="BC561" t="s">
        <v>81</v>
      </c>
      <c r="BD561" t="s">
        <v>81</v>
      </c>
      <c r="BE561" t="s">
        <v>81</v>
      </c>
      <c r="BF561" t="s">
        <v>81</v>
      </c>
      <c r="BG561" t="s">
        <v>81</v>
      </c>
      <c r="BH561" t="s">
        <v>81</v>
      </c>
    </row>
    <row r="562" spans="1:60" x14ac:dyDescent="0.35">
      <c r="A562" t="s">
        <v>976</v>
      </c>
      <c r="B562" t="s">
        <v>1215</v>
      </c>
      <c r="C562" t="s">
        <v>1215</v>
      </c>
      <c r="D562" t="s">
        <v>1216</v>
      </c>
      <c r="E562">
        <v>6265</v>
      </c>
      <c r="F562">
        <v>6</v>
      </c>
      <c r="G562">
        <v>2.3793329999999999</v>
      </c>
      <c r="H562">
        <v>0.39655550000000001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24</v>
      </c>
      <c r="BG562">
        <v>7130.1216670000003</v>
      </c>
      <c r="BH562">
        <v>454.30599999999998</v>
      </c>
    </row>
    <row r="563" spans="1:60" x14ac:dyDescent="0.35">
      <c r="A563" t="s">
        <v>976</v>
      </c>
      <c r="B563" t="s">
        <v>1215</v>
      </c>
      <c r="C563" t="s">
        <v>1217</v>
      </c>
      <c r="D563" t="s">
        <v>1218</v>
      </c>
      <c r="E563">
        <v>791</v>
      </c>
      <c r="F563" t="s">
        <v>81</v>
      </c>
      <c r="G563" t="s">
        <v>81</v>
      </c>
      <c r="H563" t="s">
        <v>81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 t="s">
        <v>81</v>
      </c>
      <c r="BB563" t="s">
        <v>81</v>
      </c>
      <c r="BC563" t="s">
        <v>81</v>
      </c>
      <c r="BD563" t="s">
        <v>81</v>
      </c>
      <c r="BE563" t="s">
        <v>81</v>
      </c>
      <c r="BF563" t="s">
        <v>81</v>
      </c>
      <c r="BG563" t="s">
        <v>81</v>
      </c>
      <c r="BH563" t="s">
        <v>81</v>
      </c>
    </row>
    <row r="564" spans="1:60" x14ac:dyDescent="0.35">
      <c r="A564" t="s">
        <v>976</v>
      </c>
      <c r="B564" t="s">
        <v>1215</v>
      </c>
      <c r="C564" t="s">
        <v>1219</v>
      </c>
      <c r="D564" t="s">
        <v>1220</v>
      </c>
      <c r="E564">
        <v>770</v>
      </c>
      <c r="F564" t="s">
        <v>81</v>
      </c>
      <c r="G564" t="s">
        <v>81</v>
      </c>
      <c r="H564" t="s">
        <v>81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 t="s">
        <v>81</v>
      </c>
      <c r="BB564" t="s">
        <v>81</v>
      </c>
      <c r="BC564" t="s">
        <v>81</v>
      </c>
      <c r="BD564" t="s">
        <v>81</v>
      </c>
      <c r="BE564" t="s">
        <v>81</v>
      </c>
      <c r="BF564" t="s">
        <v>81</v>
      </c>
      <c r="BG564" t="s">
        <v>81</v>
      </c>
      <c r="BH564" t="s">
        <v>81</v>
      </c>
    </row>
    <row r="565" spans="1:60" x14ac:dyDescent="0.35">
      <c r="A565" t="s">
        <v>976</v>
      </c>
      <c r="B565" t="s">
        <v>1215</v>
      </c>
      <c r="C565" t="s">
        <v>1221</v>
      </c>
      <c r="D565" t="s">
        <v>1222</v>
      </c>
      <c r="E565">
        <v>1414</v>
      </c>
      <c r="F565" t="s">
        <v>81</v>
      </c>
      <c r="G565" t="s">
        <v>81</v>
      </c>
      <c r="H565" t="s">
        <v>81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2</v>
      </c>
      <c r="BG565">
        <v>0</v>
      </c>
      <c r="BH565">
        <v>0</v>
      </c>
    </row>
    <row r="566" spans="1:60" x14ac:dyDescent="0.35">
      <c r="A566" t="s">
        <v>976</v>
      </c>
      <c r="B566" t="s">
        <v>1215</v>
      </c>
      <c r="C566" t="s">
        <v>1223</v>
      </c>
      <c r="D566" t="s">
        <v>1224</v>
      </c>
      <c r="E566">
        <v>1175</v>
      </c>
      <c r="F566" t="s">
        <v>81</v>
      </c>
      <c r="G566" t="s">
        <v>81</v>
      </c>
      <c r="H566" t="s">
        <v>81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 t="s">
        <v>81</v>
      </c>
      <c r="BB566" t="s">
        <v>81</v>
      </c>
      <c r="BC566" t="s">
        <v>81</v>
      </c>
      <c r="BD566" t="s">
        <v>81</v>
      </c>
      <c r="BE566" t="s">
        <v>81</v>
      </c>
      <c r="BF566" t="s">
        <v>81</v>
      </c>
      <c r="BG566" t="s">
        <v>81</v>
      </c>
      <c r="BH566" t="s">
        <v>81</v>
      </c>
    </row>
    <row r="567" spans="1:60" x14ac:dyDescent="0.35">
      <c r="A567" t="s">
        <v>976</v>
      </c>
      <c r="B567" t="s">
        <v>1215</v>
      </c>
      <c r="C567" t="s">
        <v>1225</v>
      </c>
      <c r="D567" t="s">
        <v>1226</v>
      </c>
      <c r="E567">
        <v>1012</v>
      </c>
      <c r="F567" t="s">
        <v>81</v>
      </c>
      <c r="G567" t="s">
        <v>81</v>
      </c>
      <c r="H567" t="s">
        <v>81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 t="s">
        <v>81</v>
      </c>
      <c r="BB567" t="s">
        <v>81</v>
      </c>
      <c r="BC567" t="s">
        <v>81</v>
      </c>
      <c r="BD567" t="s">
        <v>81</v>
      </c>
      <c r="BE567" t="s">
        <v>81</v>
      </c>
      <c r="BF567" t="s">
        <v>81</v>
      </c>
      <c r="BG567" t="s">
        <v>81</v>
      </c>
      <c r="BH567" t="s">
        <v>81</v>
      </c>
    </row>
    <row r="568" spans="1:60" x14ac:dyDescent="0.35">
      <c r="A568" t="s">
        <v>976</v>
      </c>
      <c r="B568" t="s">
        <v>1215</v>
      </c>
      <c r="C568" t="s">
        <v>1227</v>
      </c>
      <c r="D568" t="s">
        <v>1228</v>
      </c>
      <c r="E568">
        <v>988</v>
      </c>
      <c r="F568" t="s">
        <v>81</v>
      </c>
      <c r="G568" t="s">
        <v>81</v>
      </c>
      <c r="H568" t="s">
        <v>81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</v>
      </c>
      <c r="BG568">
        <v>0</v>
      </c>
      <c r="BH568">
        <v>0</v>
      </c>
    </row>
    <row r="569" spans="1:60" x14ac:dyDescent="0.35">
      <c r="A569" t="s">
        <v>976</v>
      </c>
      <c r="B569" t="s">
        <v>1215</v>
      </c>
      <c r="C569" t="s">
        <v>1229</v>
      </c>
      <c r="D569" t="s">
        <v>1230</v>
      </c>
      <c r="E569">
        <v>3829</v>
      </c>
      <c r="F569" t="s">
        <v>81</v>
      </c>
      <c r="G569" t="s">
        <v>81</v>
      </c>
      <c r="H569" t="s">
        <v>81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4</v>
      </c>
      <c r="BG569">
        <v>0</v>
      </c>
      <c r="BH569">
        <v>0</v>
      </c>
    </row>
    <row r="570" spans="1:60" x14ac:dyDescent="0.35">
      <c r="A570" t="s">
        <v>1231</v>
      </c>
      <c r="B570" t="s">
        <v>1231</v>
      </c>
      <c r="C570" t="s">
        <v>1231</v>
      </c>
      <c r="D570" t="s">
        <v>1232</v>
      </c>
      <c r="E570">
        <v>251058</v>
      </c>
      <c r="F570">
        <v>1385</v>
      </c>
      <c r="G570">
        <v>1195.5719999999999</v>
      </c>
      <c r="H570">
        <v>0.86322909999999997</v>
      </c>
      <c r="I570">
        <v>24.74</v>
      </c>
      <c r="J570">
        <v>0</v>
      </c>
      <c r="K570">
        <v>0</v>
      </c>
      <c r="L570">
        <v>0</v>
      </c>
      <c r="M570">
        <v>0</v>
      </c>
      <c r="N570">
        <v>24.74</v>
      </c>
      <c r="O570">
        <v>23062.959999999999</v>
      </c>
      <c r="P570">
        <v>539.42999999999995</v>
      </c>
      <c r="Q570">
        <v>0</v>
      </c>
      <c r="R570">
        <v>0</v>
      </c>
      <c r="S570">
        <v>0</v>
      </c>
      <c r="T570">
        <v>23602.39</v>
      </c>
      <c r="U570">
        <v>69892.87</v>
      </c>
      <c r="V570">
        <v>1098.6400000000001</v>
      </c>
      <c r="W570">
        <v>3116.85</v>
      </c>
      <c r="X570">
        <v>0</v>
      </c>
      <c r="Y570">
        <v>0</v>
      </c>
      <c r="Z570">
        <v>74108.36</v>
      </c>
      <c r="AA570">
        <v>549739.73</v>
      </c>
      <c r="AB570">
        <v>42672.98</v>
      </c>
      <c r="AC570">
        <v>262606.51</v>
      </c>
      <c r="AD570">
        <v>11195.89</v>
      </c>
      <c r="AE570">
        <v>0</v>
      </c>
      <c r="AF570">
        <v>866215.11</v>
      </c>
      <c r="AG570">
        <v>50886.879999999997</v>
      </c>
      <c r="AH570">
        <v>9372.09</v>
      </c>
      <c r="AI570">
        <v>44451.31</v>
      </c>
      <c r="AJ570">
        <v>6641.82</v>
      </c>
      <c r="AK570">
        <v>0</v>
      </c>
      <c r="AL570">
        <v>111352.1</v>
      </c>
      <c r="AM570">
        <v>1080685.05</v>
      </c>
      <c r="AN570">
        <v>61614.5</v>
      </c>
      <c r="AO570">
        <v>49508.82</v>
      </c>
      <c r="AP570">
        <v>2827.04</v>
      </c>
      <c r="AQ570">
        <v>0</v>
      </c>
      <c r="AR570">
        <v>1194635.4099999999</v>
      </c>
      <c r="AS570">
        <v>209814.46</v>
      </c>
      <c r="AT570">
        <v>0</v>
      </c>
      <c r="AU570">
        <v>8486.4</v>
      </c>
      <c r="AV570">
        <v>0</v>
      </c>
      <c r="AW570">
        <v>0</v>
      </c>
      <c r="AX570">
        <v>218300.86</v>
      </c>
      <c r="AY570">
        <v>2488238.9700000002</v>
      </c>
      <c r="AZ570">
        <v>1</v>
      </c>
      <c r="BA570">
        <v>460</v>
      </c>
      <c r="BB570">
        <v>44909.324999999997</v>
      </c>
      <c r="BC570">
        <v>20658289.576000001</v>
      </c>
      <c r="BD570">
        <v>4580.0543909999997</v>
      </c>
      <c r="BE570">
        <v>1912.12</v>
      </c>
      <c r="BF570">
        <v>2710</v>
      </c>
      <c r="BG570">
        <v>3812.7782659999998</v>
      </c>
      <c r="BH570">
        <v>1388.3879999999999</v>
      </c>
    </row>
    <row r="571" spans="1:60" x14ac:dyDescent="0.35">
      <c r="A571" t="s">
        <v>1231</v>
      </c>
      <c r="B571" t="s">
        <v>1231</v>
      </c>
      <c r="C571" t="s">
        <v>1233</v>
      </c>
      <c r="D571" t="s">
        <v>1234</v>
      </c>
      <c r="E571">
        <v>6805</v>
      </c>
      <c r="F571">
        <v>1</v>
      </c>
      <c r="G571">
        <v>1.1499999999999999</v>
      </c>
      <c r="H571">
        <v>1.1499999999999999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16</v>
      </c>
      <c r="BG571">
        <v>1029.3687500000001</v>
      </c>
      <c r="BH571">
        <v>0</v>
      </c>
    </row>
    <row r="572" spans="1:60" x14ac:dyDescent="0.35">
      <c r="A572" t="s">
        <v>1231</v>
      </c>
      <c r="B572" t="s">
        <v>1231</v>
      </c>
      <c r="C572" t="s">
        <v>1235</v>
      </c>
      <c r="D572" t="s">
        <v>1236</v>
      </c>
      <c r="E572">
        <v>3778</v>
      </c>
      <c r="F572" t="s">
        <v>81</v>
      </c>
      <c r="G572" t="s">
        <v>81</v>
      </c>
      <c r="H572" t="s">
        <v>81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 t="s">
        <v>81</v>
      </c>
      <c r="BB572" t="s">
        <v>81</v>
      </c>
      <c r="BC572" t="s">
        <v>81</v>
      </c>
      <c r="BD572" t="s">
        <v>81</v>
      </c>
      <c r="BE572" t="s">
        <v>81</v>
      </c>
      <c r="BF572" t="s">
        <v>81</v>
      </c>
      <c r="BG572" t="s">
        <v>81</v>
      </c>
      <c r="BH572" t="s">
        <v>81</v>
      </c>
    </row>
    <row r="573" spans="1:60" x14ac:dyDescent="0.35">
      <c r="A573" t="s">
        <v>1231</v>
      </c>
      <c r="B573" t="s">
        <v>1231</v>
      </c>
      <c r="C573" t="s">
        <v>1237</v>
      </c>
      <c r="D573" t="s">
        <v>1238</v>
      </c>
      <c r="E573">
        <v>6966</v>
      </c>
      <c r="F573">
        <v>1</v>
      </c>
      <c r="G573">
        <v>0.43</v>
      </c>
      <c r="H573">
        <v>0.43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4</v>
      </c>
      <c r="BG573">
        <v>0</v>
      </c>
      <c r="BH573">
        <v>0</v>
      </c>
    </row>
    <row r="574" spans="1:60" x14ac:dyDescent="0.35">
      <c r="A574" t="s">
        <v>1231</v>
      </c>
      <c r="B574" t="s">
        <v>1231</v>
      </c>
      <c r="C574" t="s">
        <v>1239</v>
      </c>
      <c r="D574" t="s">
        <v>1240</v>
      </c>
      <c r="E574">
        <v>18673</v>
      </c>
      <c r="F574">
        <v>1</v>
      </c>
      <c r="G574">
        <v>1.43</v>
      </c>
      <c r="H574">
        <v>1.43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31501</v>
      </c>
      <c r="BC574">
        <v>31501</v>
      </c>
      <c r="BD574">
        <v>0</v>
      </c>
      <c r="BE574">
        <v>0</v>
      </c>
      <c r="BF574">
        <v>36</v>
      </c>
      <c r="BG574">
        <v>90.627778000000006</v>
      </c>
      <c r="BH574">
        <v>0</v>
      </c>
    </row>
    <row r="575" spans="1:60" x14ac:dyDescent="0.35">
      <c r="A575" t="s">
        <v>1231</v>
      </c>
      <c r="B575" t="s">
        <v>1231</v>
      </c>
      <c r="C575" t="s">
        <v>1241</v>
      </c>
      <c r="D575" t="s">
        <v>1242</v>
      </c>
      <c r="E575">
        <v>16893</v>
      </c>
      <c r="F575">
        <v>6</v>
      </c>
      <c r="G575">
        <v>4.5152000000000001</v>
      </c>
      <c r="H575">
        <v>0.75253329999999996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1</v>
      </c>
      <c r="BB575">
        <v>3813.5830000000001</v>
      </c>
      <c r="BC575">
        <v>3813.5830000000001</v>
      </c>
      <c r="BD575">
        <v>0</v>
      </c>
      <c r="BE575">
        <v>0</v>
      </c>
      <c r="BF575">
        <v>26</v>
      </c>
      <c r="BG575">
        <v>1310.563077</v>
      </c>
      <c r="BH575">
        <v>0</v>
      </c>
    </row>
    <row r="576" spans="1:60" x14ac:dyDescent="0.35">
      <c r="A576" t="s">
        <v>1231</v>
      </c>
      <c r="B576" t="s">
        <v>1231</v>
      </c>
      <c r="C576" t="s">
        <v>1243</v>
      </c>
      <c r="D576" t="s">
        <v>1244</v>
      </c>
      <c r="E576">
        <v>6763</v>
      </c>
      <c r="F576">
        <v>1</v>
      </c>
      <c r="G576">
        <v>0.35</v>
      </c>
      <c r="H576">
        <v>0.35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11</v>
      </c>
      <c r="BG576">
        <v>1.46</v>
      </c>
      <c r="BH576">
        <v>0</v>
      </c>
    </row>
    <row r="577" spans="1:60" x14ac:dyDescent="0.35">
      <c r="A577" t="s">
        <v>1231</v>
      </c>
      <c r="B577" t="s">
        <v>1231</v>
      </c>
      <c r="C577" t="s">
        <v>1245</v>
      </c>
      <c r="D577" t="s">
        <v>1246</v>
      </c>
      <c r="E577">
        <v>57278</v>
      </c>
      <c r="F577">
        <v>56</v>
      </c>
      <c r="G577">
        <v>49.53642</v>
      </c>
      <c r="H577">
        <v>0.884579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9513.2099999999991</v>
      </c>
      <c r="AD577">
        <v>0</v>
      </c>
      <c r="AE577">
        <v>0</v>
      </c>
      <c r="AF577">
        <v>9513.2099999999991</v>
      </c>
      <c r="AG577">
        <v>0</v>
      </c>
      <c r="AH577">
        <v>0</v>
      </c>
      <c r="AI577">
        <v>1427.04</v>
      </c>
      <c r="AJ577">
        <v>0</v>
      </c>
      <c r="AK577">
        <v>0</v>
      </c>
      <c r="AL577">
        <v>1427.04</v>
      </c>
      <c r="AM577">
        <v>0</v>
      </c>
      <c r="AN577">
        <v>0</v>
      </c>
      <c r="AO577">
        <v>1812.03</v>
      </c>
      <c r="AP577">
        <v>0</v>
      </c>
      <c r="AQ577">
        <v>0</v>
      </c>
      <c r="AR577">
        <v>1812.03</v>
      </c>
      <c r="AS577">
        <v>0</v>
      </c>
      <c r="AT577">
        <v>0</v>
      </c>
      <c r="AU577">
        <v>291.29000000000002</v>
      </c>
      <c r="AV577">
        <v>0</v>
      </c>
      <c r="AW577">
        <v>0</v>
      </c>
      <c r="AX577">
        <v>291.29000000000002</v>
      </c>
      <c r="AY577">
        <v>13043.57</v>
      </c>
      <c r="AZ577">
        <v>1</v>
      </c>
      <c r="BA577">
        <v>34</v>
      </c>
      <c r="BB577">
        <v>28358.330999999998</v>
      </c>
      <c r="BC577">
        <v>964183.26699999999</v>
      </c>
      <c r="BD577">
        <v>57.879412000000002</v>
      </c>
      <c r="BE577">
        <v>1728.1289999999999</v>
      </c>
      <c r="BF577">
        <v>219</v>
      </c>
      <c r="BG577">
        <v>2545.5378999999998</v>
      </c>
      <c r="BH577">
        <v>1278.829</v>
      </c>
    </row>
    <row r="578" spans="1:60" x14ac:dyDescent="0.35">
      <c r="A578" t="s">
        <v>1231</v>
      </c>
      <c r="B578" t="s">
        <v>1231</v>
      </c>
      <c r="C578" t="s">
        <v>1247</v>
      </c>
      <c r="D578" t="s">
        <v>1248</v>
      </c>
      <c r="E578">
        <v>8611</v>
      </c>
      <c r="F578">
        <v>1</v>
      </c>
      <c r="G578">
        <v>0.43</v>
      </c>
      <c r="H578">
        <v>0.43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32</v>
      </c>
      <c r="BG578">
        <v>799.61812499999996</v>
      </c>
      <c r="BH578">
        <v>932.71100000000001</v>
      </c>
    </row>
    <row r="579" spans="1:60" x14ac:dyDescent="0.35">
      <c r="A579" t="s">
        <v>1231</v>
      </c>
      <c r="B579" t="s">
        <v>1231</v>
      </c>
      <c r="C579" t="s">
        <v>1249</v>
      </c>
      <c r="D579" t="s">
        <v>1250</v>
      </c>
      <c r="E579">
        <v>3728</v>
      </c>
      <c r="F579" t="s">
        <v>81</v>
      </c>
      <c r="G579" t="s">
        <v>81</v>
      </c>
      <c r="H579" t="s">
        <v>81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10</v>
      </c>
      <c r="BG579">
        <v>34.31</v>
      </c>
      <c r="BH579">
        <v>0</v>
      </c>
    </row>
    <row r="580" spans="1:60" x14ac:dyDescent="0.35">
      <c r="A580" t="s">
        <v>1231</v>
      </c>
      <c r="B580" t="s">
        <v>1231</v>
      </c>
      <c r="C580" t="s">
        <v>1251</v>
      </c>
      <c r="D580" t="s">
        <v>1252</v>
      </c>
      <c r="E580">
        <v>10463</v>
      </c>
      <c r="F580">
        <v>1</v>
      </c>
      <c r="G580">
        <v>0.43</v>
      </c>
      <c r="H580">
        <v>0.43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37</v>
      </c>
      <c r="BG580">
        <v>458.39729699999998</v>
      </c>
      <c r="BH580">
        <v>0</v>
      </c>
    </row>
    <row r="581" spans="1:60" x14ac:dyDescent="0.35">
      <c r="A581" t="s">
        <v>1231</v>
      </c>
      <c r="B581" t="s">
        <v>1231</v>
      </c>
      <c r="C581" t="s">
        <v>1253</v>
      </c>
      <c r="D581" t="s">
        <v>1254</v>
      </c>
      <c r="E581">
        <v>4425</v>
      </c>
      <c r="F581" t="s">
        <v>81</v>
      </c>
      <c r="G581" t="s">
        <v>81</v>
      </c>
      <c r="H581" t="s">
        <v>81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11019</v>
      </c>
      <c r="BC581">
        <v>11019</v>
      </c>
      <c r="BD581">
        <v>0</v>
      </c>
      <c r="BE581">
        <v>0</v>
      </c>
      <c r="BF581">
        <v>6</v>
      </c>
      <c r="BG581">
        <v>5216.8249999999998</v>
      </c>
      <c r="BH581">
        <v>0</v>
      </c>
    </row>
    <row r="582" spans="1:60" x14ac:dyDescent="0.35">
      <c r="A582" t="s">
        <v>1231</v>
      </c>
      <c r="B582" t="s">
        <v>1255</v>
      </c>
      <c r="C582" t="s">
        <v>1255</v>
      </c>
      <c r="D582" t="s">
        <v>1256</v>
      </c>
      <c r="E582">
        <v>35063</v>
      </c>
      <c r="F582">
        <v>121</v>
      </c>
      <c r="G582">
        <v>77.030789999999996</v>
      </c>
      <c r="H582">
        <v>0.63661809999999996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704.28</v>
      </c>
      <c r="X582">
        <v>0</v>
      </c>
      <c r="Y582">
        <v>0</v>
      </c>
      <c r="Z582">
        <v>704.28</v>
      </c>
      <c r="AA582">
        <v>48147.91</v>
      </c>
      <c r="AB582">
        <v>16122.65</v>
      </c>
      <c r="AC582">
        <v>60840.31</v>
      </c>
      <c r="AD582">
        <v>8213.3799999999992</v>
      </c>
      <c r="AE582">
        <v>0</v>
      </c>
      <c r="AF582">
        <v>133324.25</v>
      </c>
      <c r="AG582">
        <v>11304.88</v>
      </c>
      <c r="AH582">
        <v>3255.06</v>
      </c>
      <c r="AI582">
        <v>11437.89</v>
      </c>
      <c r="AJ582">
        <v>2813.35</v>
      </c>
      <c r="AK582">
        <v>0</v>
      </c>
      <c r="AL582">
        <v>28811.18</v>
      </c>
      <c r="AM582">
        <v>4251.2700000000004</v>
      </c>
      <c r="AN582">
        <v>5938.04</v>
      </c>
      <c r="AO582">
        <v>7275.47</v>
      </c>
      <c r="AP582">
        <v>384.43</v>
      </c>
      <c r="AQ582">
        <v>0</v>
      </c>
      <c r="AR582">
        <v>17849.21</v>
      </c>
      <c r="AS582">
        <v>522.70000000000005</v>
      </c>
      <c r="AT582">
        <v>0</v>
      </c>
      <c r="AU582">
        <v>5571.48</v>
      </c>
      <c r="AV582">
        <v>0</v>
      </c>
      <c r="AW582">
        <v>0</v>
      </c>
      <c r="AX582">
        <v>6094.18</v>
      </c>
      <c r="AY582">
        <v>186783.1</v>
      </c>
      <c r="AZ582">
        <v>0</v>
      </c>
      <c r="BA582">
        <v>5</v>
      </c>
      <c r="BB582">
        <v>58293.553</v>
      </c>
      <c r="BC582">
        <v>291467.76699999999</v>
      </c>
      <c r="BD582">
        <v>8522.3940000000002</v>
      </c>
      <c r="BE582">
        <v>0</v>
      </c>
      <c r="BF582">
        <v>313</v>
      </c>
      <c r="BG582">
        <v>4574.8268690000004</v>
      </c>
      <c r="BH582">
        <v>1469.4069999999999</v>
      </c>
    </row>
    <row r="583" spans="1:60" x14ac:dyDescent="0.35">
      <c r="A583" t="s">
        <v>1231</v>
      </c>
      <c r="B583" t="s">
        <v>1255</v>
      </c>
      <c r="C583" t="s">
        <v>1257</v>
      </c>
      <c r="D583" t="s">
        <v>1258</v>
      </c>
      <c r="E583">
        <v>25611</v>
      </c>
      <c r="F583">
        <v>13</v>
      </c>
      <c r="G583">
        <v>12.695729999999999</v>
      </c>
      <c r="H583">
        <v>0.97659439999999997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46</v>
      </c>
      <c r="BG583">
        <v>487.730435</v>
      </c>
      <c r="BH583">
        <v>0</v>
      </c>
    </row>
    <row r="584" spans="1:60" x14ac:dyDescent="0.35">
      <c r="A584" t="s">
        <v>1231</v>
      </c>
      <c r="B584" t="s">
        <v>1255</v>
      </c>
      <c r="C584" t="s">
        <v>1259</v>
      </c>
      <c r="D584" t="s">
        <v>1260</v>
      </c>
      <c r="E584">
        <v>15637</v>
      </c>
      <c r="F584">
        <v>2</v>
      </c>
      <c r="G584">
        <v>0.6</v>
      </c>
      <c r="H584">
        <v>0.3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17517.3</v>
      </c>
      <c r="BC584">
        <v>17517.3</v>
      </c>
      <c r="BD584">
        <v>0</v>
      </c>
      <c r="BE584">
        <v>0</v>
      </c>
      <c r="BF584">
        <v>18</v>
      </c>
      <c r="BG584">
        <v>193.02777800000001</v>
      </c>
      <c r="BH584">
        <v>601.31299999999999</v>
      </c>
    </row>
    <row r="585" spans="1:60" x14ac:dyDescent="0.35">
      <c r="A585" t="s">
        <v>1231</v>
      </c>
      <c r="B585" t="s">
        <v>1255</v>
      </c>
      <c r="C585" t="s">
        <v>1261</v>
      </c>
      <c r="D585" t="s">
        <v>1262</v>
      </c>
      <c r="E585">
        <v>7687</v>
      </c>
      <c r="F585" t="s">
        <v>81</v>
      </c>
      <c r="G585" t="s">
        <v>81</v>
      </c>
      <c r="H585" t="s">
        <v>81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16</v>
      </c>
      <c r="BG585">
        <v>4966.0874999999996</v>
      </c>
      <c r="BH585">
        <v>0</v>
      </c>
    </row>
    <row r="586" spans="1:60" x14ac:dyDescent="0.35">
      <c r="A586" t="s">
        <v>1231</v>
      </c>
      <c r="B586" t="s">
        <v>1263</v>
      </c>
      <c r="C586" t="s">
        <v>1263</v>
      </c>
      <c r="D586" t="s">
        <v>1264</v>
      </c>
      <c r="E586">
        <v>30049</v>
      </c>
      <c r="F586">
        <v>69</v>
      </c>
      <c r="G586">
        <v>40.554789999999997</v>
      </c>
      <c r="H586">
        <v>0.58775060000000001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26212.66</v>
      </c>
      <c r="AB586">
        <v>7983.23</v>
      </c>
      <c r="AC586">
        <v>57942.82</v>
      </c>
      <c r="AD586">
        <v>0</v>
      </c>
      <c r="AE586">
        <v>0</v>
      </c>
      <c r="AF586">
        <v>92138.71</v>
      </c>
      <c r="AG586">
        <v>7772.87</v>
      </c>
      <c r="AH586">
        <v>1869.26</v>
      </c>
      <c r="AI586">
        <v>16580.54</v>
      </c>
      <c r="AJ586">
        <v>0</v>
      </c>
      <c r="AK586">
        <v>0</v>
      </c>
      <c r="AL586">
        <v>26222.67</v>
      </c>
      <c r="AM586">
        <v>1297.94</v>
      </c>
      <c r="AN586">
        <v>445.84</v>
      </c>
      <c r="AO586">
        <v>13714.39</v>
      </c>
      <c r="AP586">
        <v>0</v>
      </c>
      <c r="AQ586">
        <v>0</v>
      </c>
      <c r="AR586">
        <v>15458.17</v>
      </c>
      <c r="AS586">
        <v>366.29</v>
      </c>
      <c r="AT586">
        <v>0</v>
      </c>
      <c r="AU586">
        <v>707.38</v>
      </c>
      <c r="AV586">
        <v>0</v>
      </c>
      <c r="AW586">
        <v>0</v>
      </c>
      <c r="AX586">
        <v>1073.67</v>
      </c>
      <c r="AY586">
        <v>134893.22</v>
      </c>
      <c r="AZ586">
        <v>0</v>
      </c>
      <c r="BA586">
        <v>3</v>
      </c>
      <c r="BB586">
        <v>27616.305</v>
      </c>
      <c r="BC586">
        <v>82848.915999999997</v>
      </c>
      <c r="BD586">
        <v>0</v>
      </c>
      <c r="BE586">
        <v>0</v>
      </c>
      <c r="BF586">
        <v>211</v>
      </c>
      <c r="BG586">
        <v>2172.7810899999999</v>
      </c>
      <c r="BH586">
        <v>740.69500000000005</v>
      </c>
    </row>
    <row r="587" spans="1:60" x14ac:dyDescent="0.35">
      <c r="A587" t="s">
        <v>1231</v>
      </c>
      <c r="B587" t="s">
        <v>1263</v>
      </c>
      <c r="C587" t="s">
        <v>1265</v>
      </c>
      <c r="D587" t="s">
        <v>1266</v>
      </c>
      <c r="E587">
        <v>2531</v>
      </c>
      <c r="F587">
        <v>1</v>
      </c>
      <c r="G587">
        <v>0.35</v>
      </c>
      <c r="H587">
        <v>0.35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</row>
    <row r="588" spans="1:60" x14ac:dyDescent="0.35">
      <c r="A588" t="s">
        <v>1231</v>
      </c>
      <c r="B588" t="s">
        <v>1263</v>
      </c>
      <c r="C588" t="s">
        <v>1267</v>
      </c>
      <c r="D588" t="s">
        <v>1268</v>
      </c>
      <c r="E588">
        <v>6984</v>
      </c>
      <c r="F588" t="s">
        <v>81</v>
      </c>
      <c r="G588" t="s">
        <v>81</v>
      </c>
      <c r="H588" t="s">
        <v>81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2</v>
      </c>
      <c r="BG588">
        <v>0</v>
      </c>
      <c r="BH588">
        <v>0</v>
      </c>
    </row>
    <row r="589" spans="1:60" x14ac:dyDescent="0.35">
      <c r="A589" t="s">
        <v>1231</v>
      </c>
      <c r="B589" t="s">
        <v>1263</v>
      </c>
      <c r="C589" t="s">
        <v>1269</v>
      </c>
      <c r="D589" t="s">
        <v>1270</v>
      </c>
      <c r="E589">
        <v>9982</v>
      </c>
      <c r="F589" t="s">
        <v>81</v>
      </c>
      <c r="G589" t="s">
        <v>81</v>
      </c>
      <c r="H589" t="s">
        <v>81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11</v>
      </c>
      <c r="BG589">
        <v>280.954545</v>
      </c>
      <c r="BH589">
        <v>0</v>
      </c>
    </row>
    <row r="590" spans="1:60" x14ac:dyDescent="0.35">
      <c r="A590" t="s">
        <v>1231</v>
      </c>
      <c r="B590" t="s">
        <v>1263</v>
      </c>
      <c r="C590" t="s">
        <v>1271</v>
      </c>
      <c r="D590" t="s">
        <v>1272</v>
      </c>
      <c r="E590">
        <v>429</v>
      </c>
      <c r="F590" t="s">
        <v>81</v>
      </c>
      <c r="G590" t="s">
        <v>81</v>
      </c>
      <c r="H590" t="s">
        <v>81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132</v>
      </c>
      <c r="BH590">
        <v>0</v>
      </c>
    </row>
    <row r="591" spans="1:60" x14ac:dyDescent="0.35">
      <c r="A591" t="s">
        <v>1231</v>
      </c>
      <c r="B591" t="s">
        <v>1263</v>
      </c>
      <c r="C591" t="s">
        <v>1273</v>
      </c>
      <c r="D591" t="s">
        <v>1274</v>
      </c>
      <c r="E591">
        <v>2662</v>
      </c>
      <c r="F591" t="s">
        <v>81</v>
      </c>
      <c r="G591" t="s">
        <v>81</v>
      </c>
      <c r="H591" t="s">
        <v>81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</row>
    <row r="592" spans="1:60" x14ac:dyDescent="0.35">
      <c r="A592" t="s">
        <v>1231</v>
      </c>
      <c r="B592" t="s">
        <v>1263</v>
      </c>
      <c r="C592" t="s">
        <v>1275</v>
      </c>
      <c r="D592" t="s">
        <v>1276</v>
      </c>
      <c r="E592">
        <v>3586</v>
      </c>
      <c r="F592" t="s">
        <v>81</v>
      </c>
      <c r="G592" t="s">
        <v>81</v>
      </c>
      <c r="H592" t="s">
        <v>81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2</v>
      </c>
      <c r="BG592">
        <v>0</v>
      </c>
      <c r="BH592">
        <v>0</v>
      </c>
    </row>
    <row r="593" spans="1:60" x14ac:dyDescent="0.35">
      <c r="A593" t="s">
        <v>1231</v>
      </c>
      <c r="B593" t="s">
        <v>1263</v>
      </c>
      <c r="C593" t="s">
        <v>1277</v>
      </c>
      <c r="D593" t="s">
        <v>1278</v>
      </c>
      <c r="E593">
        <v>5548</v>
      </c>
      <c r="F593" t="s">
        <v>81</v>
      </c>
      <c r="G593" t="s">
        <v>81</v>
      </c>
      <c r="H593" t="s">
        <v>81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3</v>
      </c>
      <c r="BG593">
        <v>0</v>
      </c>
      <c r="BH593">
        <v>0</v>
      </c>
    </row>
    <row r="594" spans="1:60" x14ac:dyDescent="0.35">
      <c r="A594" t="s">
        <v>1231</v>
      </c>
      <c r="B594" t="s">
        <v>1263</v>
      </c>
      <c r="C594" t="s">
        <v>1279</v>
      </c>
      <c r="D594" t="s">
        <v>1280</v>
      </c>
      <c r="E594">
        <v>6738</v>
      </c>
      <c r="F594">
        <v>2</v>
      </c>
      <c r="G594">
        <v>3.1268729999999998</v>
      </c>
      <c r="H594">
        <v>1.563437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1036.1099999999999</v>
      </c>
      <c r="AB594">
        <v>0</v>
      </c>
      <c r="AC594">
        <v>0</v>
      </c>
      <c r="AD594">
        <v>0</v>
      </c>
      <c r="AE594">
        <v>0</v>
      </c>
      <c r="AF594">
        <v>1036.1099999999999</v>
      </c>
      <c r="AG594">
        <v>1925.22</v>
      </c>
      <c r="AH594">
        <v>0</v>
      </c>
      <c r="AI594">
        <v>0</v>
      </c>
      <c r="AJ594">
        <v>0</v>
      </c>
      <c r="AK594">
        <v>0</v>
      </c>
      <c r="AL594">
        <v>1925.22</v>
      </c>
      <c r="AM594">
        <v>12.61</v>
      </c>
      <c r="AN594">
        <v>0</v>
      </c>
      <c r="AO594">
        <v>0</v>
      </c>
      <c r="AP594">
        <v>0</v>
      </c>
      <c r="AQ594">
        <v>0</v>
      </c>
      <c r="AR594">
        <v>12.61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2973.94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6</v>
      </c>
      <c r="BG594">
        <v>3820.4833330000001</v>
      </c>
      <c r="BH594">
        <v>0</v>
      </c>
    </row>
    <row r="595" spans="1:60" x14ac:dyDescent="0.35">
      <c r="A595" t="s">
        <v>1231</v>
      </c>
      <c r="B595" t="s">
        <v>1263</v>
      </c>
      <c r="C595" t="s">
        <v>1167</v>
      </c>
      <c r="D595" t="s">
        <v>1281</v>
      </c>
      <c r="E595">
        <v>5220</v>
      </c>
      <c r="F595" t="s">
        <v>81</v>
      </c>
      <c r="G595" t="s">
        <v>81</v>
      </c>
      <c r="H595" t="s">
        <v>81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4</v>
      </c>
      <c r="BG595">
        <v>0</v>
      </c>
      <c r="BH595">
        <v>0</v>
      </c>
    </row>
    <row r="596" spans="1:60" x14ac:dyDescent="0.35">
      <c r="A596" t="s">
        <v>1231</v>
      </c>
      <c r="B596" t="s">
        <v>1263</v>
      </c>
      <c r="C596" t="s">
        <v>1282</v>
      </c>
      <c r="D596" t="s">
        <v>1283</v>
      </c>
      <c r="E596">
        <v>1021</v>
      </c>
      <c r="F596" t="s">
        <v>81</v>
      </c>
      <c r="G596" t="s">
        <v>81</v>
      </c>
      <c r="H596" t="s">
        <v>81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2</v>
      </c>
      <c r="BG596">
        <v>0</v>
      </c>
      <c r="BH596">
        <v>0</v>
      </c>
    </row>
    <row r="597" spans="1:60" x14ac:dyDescent="0.35">
      <c r="A597" t="s">
        <v>1231</v>
      </c>
      <c r="B597" t="s">
        <v>1263</v>
      </c>
      <c r="C597" t="s">
        <v>1284</v>
      </c>
      <c r="D597" t="s">
        <v>1285</v>
      </c>
      <c r="E597">
        <v>6533</v>
      </c>
      <c r="F597" t="s">
        <v>81</v>
      </c>
      <c r="G597" t="s">
        <v>81</v>
      </c>
      <c r="H597" t="s">
        <v>81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3</v>
      </c>
      <c r="BG597">
        <v>0</v>
      </c>
      <c r="BH597">
        <v>0</v>
      </c>
    </row>
    <row r="598" spans="1:60" x14ac:dyDescent="0.35">
      <c r="A598" t="s">
        <v>1231</v>
      </c>
      <c r="B598" t="s">
        <v>1286</v>
      </c>
      <c r="C598" t="s">
        <v>1286</v>
      </c>
      <c r="D598" t="s">
        <v>1287</v>
      </c>
      <c r="E598">
        <v>52658</v>
      </c>
      <c r="F598">
        <v>151</v>
      </c>
      <c r="G598">
        <v>104.35509999999999</v>
      </c>
      <c r="H598">
        <v>0.69109339999999997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14819.72</v>
      </c>
      <c r="V598">
        <v>0</v>
      </c>
      <c r="W598">
        <v>949.36</v>
      </c>
      <c r="X598">
        <v>0</v>
      </c>
      <c r="Y598">
        <v>0</v>
      </c>
      <c r="Z598">
        <v>15769.08</v>
      </c>
      <c r="AA598">
        <v>184973.57</v>
      </c>
      <c r="AB598">
        <v>37933.93</v>
      </c>
      <c r="AC598">
        <v>110594.67</v>
      </c>
      <c r="AD598">
        <v>12251.81</v>
      </c>
      <c r="AE598">
        <v>0</v>
      </c>
      <c r="AF598">
        <v>345753.98</v>
      </c>
      <c r="AG598">
        <v>20754.400000000001</v>
      </c>
      <c r="AH598">
        <v>6312.99</v>
      </c>
      <c r="AI598">
        <v>21646.37</v>
      </c>
      <c r="AJ598">
        <v>3992.67</v>
      </c>
      <c r="AK598">
        <v>0</v>
      </c>
      <c r="AL598">
        <v>52706.43</v>
      </c>
      <c r="AM598">
        <v>83474.12</v>
      </c>
      <c r="AN598">
        <v>3949.79</v>
      </c>
      <c r="AO598">
        <v>28220.36</v>
      </c>
      <c r="AP598">
        <v>783.89</v>
      </c>
      <c r="AQ598">
        <v>0</v>
      </c>
      <c r="AR598">
        <v>116428.16</v>
      </c>
      <c r="AS598">
        <v>13939.12</v>
      </c>
      <c r="AT598">
        <v>0</v>
      </c>
      <c r="AU598">
        <v>5498.98</v>
      </c>
      <c r="AV598">
        <v>0</v>
      </c>
      <c r="AW598">
        <v>0</v>
      </c>
      <c r="AX598">
        <v>19438.099999999999</v>
      </c>
      <c r="AY598">
        <v>550095.75</v>
      </c>
      <c r="AZ598">
        <v>0</v>
      </c>
      <c r="BA598">
        <v>7</v>
      </c>
      <c r="BB598">
        <v>17837.036</v>
      </c>
      <c r="BC598">
        <v>124859.25</v>
      </c>
      <c r="BD598">
        <v>0</v>
      </c>
      <c r="BE598">
        <v>83.64</v>
      </c>
      <c r="BF598">
        <v>572</v>
      </c>
      <c r="BG598">
        <v>967.91239499999995</v>
      </c>
      <c r="BH598">
        <v>230.03100000000001</v>
      </c>
    </row>
    <row r="599" spans="1:60" x14ac:dyDescent="0.35">
      <c r="A599" t="s">
        <v>1231</v>
      </c>
      <c r="B599" t="s">
        <v>1286</v>
      </c>
      <c r="C599" t="s">
        <v>1288</v>
      </c>
      <c r="D599" t="s">
        <v>1289</v>
      </c>
      <c r="E599">
        <v>2922</v>
      </c>
      <c r="F599" t="s">
        <v>81</v>
      </c>
      <c r="G599" t="s">
        <v>81</v>
      </c>
      <c r="H599" t="s">
        <v>81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</v>
      </c>
      <c r="BG599">
        <v>0</v>
      </c>
      <c r="BH599">
        <v>0</v>
      </c>
    </row>
    <row r="600" spans="1:60" x14ac:dyDescent="0.35">
      <c r="A600" t="s">
        <v>1231</v>
      </c>
      <c r="B600" t="s">
        <v>1286</v>
      </c>
      <c r="C600" t="s">
        <v>1290</v>
      </c>
      <c r="D600" t="s">
        <v>1291</v>
      </c>
      <c r="E600">
        <v>3481</v>
      </c>
      <c r="F600" t="s">
        <v>81</v>
      </c>
      <c r="G600" t="s">
        <v>81</v>
      </c>
      <c r="H600" t="s">
        <v>81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3</v>
      </c>
      <c r="BG600">
        <v>513.29666699999996</v>
      </c>
      <c r="BH600">
        <v>0</v>
      </c>
    </row>
    <row r="601" spans="1:60" x14ac:dyDescent="0.35">
      <c r="A601" t="s">
        <v>1231</v>
      </c>
      <c r="B601" t="s">
        <v>1286</v>
      </c>
      <c r="C601" t="s">
        <v>1292</v>
      </c>
      <c r="D601" t="s">
        <v>1293</v>
      </c>
      <c r="E601">
        <v>3325</v>
      </c>
      <c r="F601" t="s">
        <v>81</v>
      </c>
      <c r="G601" t="s">
        <v>81</v>
      </c>
      <c r="H601" t="s">
        <v>81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7</v>
      </c>
      <c r="BG601">
        <v>84.414286000000004</v>
      </c>
      <c r="BH601">
        <v>0</v>
      </c>
    </row>
    <row r="602" spans="1:60" x14ac:dyDescent="0.35">
      <c r="A602" t="s">
        <v>1231</v>
      </c>
      <c r="B602" t="s">
        <v>1286</v>
      </c>
      <c r="C602" t="s">
        <v>1294</v>
      </c>
      <c r="D602" t="s">
        <v>1295</v>
      </c>
      <c r="E602">
        <v>1906</v>
      </c>
      <c r="F602">
        <v>2</v>
      </c>
      <c r="G602">
        <v>0.440633</v>
      </c>
      <c r="H602">
        <v>0.2203165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 t="s">
        <v>81</v>
      </c>
      <c r="BB602" t="s">
        <v>81</v>
      </c>
      <c r="BC602" t="s">
        <v>81</v>
      </c>
      <c r="BD602" t="s">
        <v>81</v>
      </c>
      <c r="BE602" t="s">
        <v>81</v>
      </c>
      <c r="BF602" t="s">
        <v>81</v>
      </c>
      <c r="BG602" t="s">
        <v>81</v>
      </c>
      <c r="BH602" t="s">
        <v>81</v>
      </c>
    </row>
    <row r="603" spans="1:60" x14ac:dyDescent="0.35">
      <c r="A603" t="s">
        <v>1231</v>
      </c>
      <c r="B603" t="s">
        <v>1286</v>
      </c>
      <c r="C603" t="s">
        <v>1296</v>
      </c>
      <c r="D603" t="s">
        <v>1297</v>
      </c>
      <c r="E603">
        <v>2046</v>
      </c>
      <c r="F603" t="s">
        <v>81</v>
      </c>
      <c r="G603" t="s">
        <v>81</v>
      </c>
      <c r="H603" t="s">
        <v>81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3</v>
      </c>
      <c r="BG603">
        <v>0</v>
      </c>
      <c r="BH603">
        <v>0</v>
      </c>
    </row>
    <row r="604" spans="1:60" x14ac:dyDescent="0.35">
      <c r="A604" t="s">
        <v>1231</v>
      </c>
      <c r="B604" t="s">
        <v>1286</v>
      </c>
      <c r="C604" t="s">
        <v>253</v>
      </c>
      <c r="D604" t="s">
        <v>1298</v>
      </c>
      <c r="E604">
        <v>5564</v>
      </c>
      <c r="F604" t="s">
        <v>81</v>
      </c>
      <c r="G604" t="s">
        <v>81</v>
      </c>
      <c r="H604" t="s">
        <v>81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9</v>
      </c>
      <c r="BG604">
        <v>0</v>
      </c>
      <c r="BH604">
        <v>0</v>
      </c>
    </row>
    <row r="605" spans="1:60" x14ac:dyDescent="0.35">
      <c r="A605" t="s">
        <v>1231</v>
      </c>
      <c r="B605" t="s">
        <v>1286</v>
      </c>
      <c r="C605" t="s">
        <v>1299</v>
      </c>
      <c r="D605" t="s">
        <v>1300</v>
      </c>
      <c r="E605">
        <v>5770</v>
      </c>
      <c r="F605" t="s">
        <v>81</v>
      </c>
      <c r="G605" t="s">
        <v>81</v>
      </c>
      <c r="H605" t="s">
        <v>81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8</v>
      </c>
      <c r="BG605">
        <v>0</v>
      </c>
      <c r="BH605">
        <v>0</v>
      </c>
    </row>
    <row r="606" spans="1:60" x14ac:dyDescent="0.35">
      <c r="A606" t="s">
        <v>1231</v>
      </c>
      <c r="B606" t="s">
        <v>1286</v>
      </c>
      <c r="C606" t="s">
        <v>1301</v>
      </c>
      <c r="D606" t="s">
        <v>1302</v>
      </c>
      <c r="E606">
        <v>8280</v>
      </c>
      <c r="F606">
        <v>2</v>
      </c>
      <c r="G606">
        <v>0.91272799999999998</v>
      </c>
      <c r="H606">
        <v>0.45636399999999999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377.64</v>
      </c>
      <c r="AF606">
        <v>377.64</v>
      </c>
      <c r="AG606">
        <v>0</v>
      </c>
      <c r="AH606">
        <v>0</v>
      </c>
      <c r="AI606">
        <v>0</v>
      </c>
      <c r="AJ606">
        <v>0</v>
      </c>
      <c r="AK606">
        <v>1040</v>
      </c>
      <c r="AL606">
        <v>1040</v>
      </c>
      <c r="AM606">
        <v>0</v>
      </c>
      <c r="AN606">
        <v>0</v>
      </c>
      <c r="AO606">
        <v>0</v>
      </c>
      <c r="AP606">
        <v>0</v>
      </c>
      <c r="AQ606">
        <v>67.010000000000005</v>
      </c>
      <c r="AR606">
        <v>67.010000000000005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1484.65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18</v>
      </c>
      <c r="BG606">
        <v>0</v>
      </c>
      <c r="BH606">
        <v>0</v>
      </c>
    </row>
    <row r="607" spans="1:60" x14ac:dyDescent="0.35">
      <c r="A607" t="s">
        <v>1231</v>
      </c>
      <c r="B607" t="s">
        <v>1286</v>
      </c>
      <c r="C607" t="s">
        <v>1303</v>
      </c>
      <c r="D607" t="s">
        <v>1304</v>
      </c>
      <c r="E607">
        <v>11200</v>
      </c>
      <c r="F607">
        <v>1</v>
      </c>
      <c r="G607">
        <v>0.43</v>
      </c>
      <c r="H607">
        <v>0.43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25</v>
      </c>
      <c r="BG607">
        <v>0</v>
      </c>
      <c r="BH607">
        <v>1303.9570000000001</v>
      </c>
    </row>
    <row r="608" spans="1:60" x14ac:dyDescent="0.35">
      <c r="A608" t="s">
        <v>1231</v>
      </c>
      <c r="B608" t="s">
        <v>1286</v>
      </c>
      <c r="C608" t="s">
        <v>1305</v>
      </c>
      <c r="D608" t="s">
        <v>1306</v>
      </c>
      <c r="E608">
        <v>7143</v>
      </c>
      <c r="F608">
        <v>1</v>
      </c>
      <c r="G608">
        <v>0.41749999999999998</v>
      </c>
      <c r="H608">
        <v>0.41749999999999998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12</v>
      </c>
      <c r="BG608">
        <v>0</v>
      </c>
      <c r="BH608">
        <v>0</v>
      </c>
    </row>
    <row r="609" spans="1:60" x14ac:dyDescent="0.35">
      <c r="A609" t="s">
        <v>1231</v>
      </c>
      <c r="B609" t="s">
        <v>1286</v>
      </c>
      <c r="C609" t="s">
        <v>1307</v>
      </c>
      <c r="D609" t="s">
        <v>1308</v>
      </c>
      <c r="E609">
        <v>3165</v>
      </c>
      <c r="F609" t="s">
        <v>81</v>
      </c>
      <c r="G609" t="s">
        <v>81</v>
      </c>
      <c r="H609" t="s">
        <v>81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 t="s">
        <v>81</v>
      </c>
      <c r="BB609" t="s">
        <v>81</v>
      </c>
      <c r="BC609" t="s">
        <v>81</v>
      </c>
      <c r="BD609" t="s">
        <v>81</v>
      </c>
      <c r="BE609" t="s">
        <v>81</v>
      </c>
      <c r="BF609" t="s">
        <v>81</v>
      </c>
      <c r="BG609" t="s">
        <v>81</v>
      </c>
      <c r="BH609" t="s">
        <v>81</v>
      </c>
    </row>
    <row r="610" spans="1:60" x14ac:dyDescent="0.35">
      <c r="A610" t="s">
        <v>1231</v>
      </c>
      <c r="B610" t="s">
        <v>1286</v>
      </c>
      <c r="C610" t="s">
        <v>1309</v>
      </c>
      <c r="D610" t="s">
        <v>1310</v>
      </c>
      <c r="E610">
        <v>4442</v>
      </c>
      <c r="F610">
        <v>5</v>
      </c>
      <c r="G610">
        <v>6.8604229999999999</v>
      </c>
      <c r="H610">
        <v>1.372085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3592.43</v>
      </c>
      <c r="AB610">
        <v>0</v>
      </c>
      <c r="AC610">
        <v>0</v>
      </c>
      <c r="AD610">
        <v>0</v>
      </c>
      <c r="AE610">
        <v>0</v>
      </c>
      <c r="AF610">
        <v>3592.43</v>
      </c>
      <c r="AG610">
        <v>1469.74</v>
      </c>
      <c r="AH610">
        <v>0</v>
      </c>
      <c r="AI610">
        <v>0</v>
      </c>
      <c r="AJ610">
        <v>0</v>
      </c>
      <c r="AK610">
        <v>0</v>
      </c>
      <c r="AL610">
        <v>1469.74</v>
      </c>
      <c r="AM610">
        <v>35.51</v>
      </c>
      <c r="AN610">
        <v>0</v>
      </c>
      <c r="AO610">
        <v>0</v>
      </c>
      <c r="AP610">
        <v>0</v>
      </c>
      <c r="AQ610">
        <v>0</v>
      </c>
      <c r="AR610">
        <v>35.51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5097.68</v>
      </c>
      <c r="AZ610">
        <v>0</v>
      </c>
      <c r="BA610">
        <v>1</v>
      </c>
      <c r="BB610">
        <v>9110.4169999999995</v>
      </c>
      <c r="BC610">
        <v>9110.4169999999995</v>
      </c>
      <c r="BD610">
        <v>0</v>
      </c>
      <c r="BE610">
        <v>0</v>
      </c>
      <c r="BF610">
        <v>12</v>
      </c>
      <c r="BG610">
        <v>0</v>
      </c>
      <c r="BH610">
        <v>0</v>
      </c>
    </row>
    <row r="611" spans="1:60" x14ac:dyDescent="0.35">
      <c r="A611" t="s">
        <v>1231</v>
      </c>
      <c r="B611" t="s">
        <v>1286</v>
      </c>
      <c r="C611" t="s">
        <v>1311</v>
      </c>
      <c r="D611" t="s">
        <v>1312</v>
      </c>
      <c r="E611">
        <v>1116</v>
      </c>
      <c r="F611" t="s">
        <v>81</v>
      </c>
      <c r="G611" t="s">
        <v>81</v>
      </c>
      <c r="H611" t="s">
        <v>81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 t="s">
        <v>81</v>
      </c>
      <c r="BB611" t="s">
        <v>81</v>
      </c>
      <c r="BC611" t="s">
        <v>81</v>
      </c>
      <c r="BD611" t="s">
        <v>81</v>
      </c>
      <c r="BE611" t="s">
        <v>81</v>
      </c>
      <c r="BF611" t="s">
        <v>81</v>
      </c>
      <c r="BG611" t="s">
        <v>81</v>
      </c>
      <c r="BH611" t="s">
        <v>81</v>
      </c>
    </row>
    <row r="612" spans="1:60" x14ac:dyDescent="0.35">
      <c r="A612" t="s">
        <v>1231</v>
      </c>
      <c r="B612" t="s">
        <v>1286</v>
      </c>
      <c r="C612" t="s">
        <v>1313</v>
      </c>
      <c r="D612" t="s">
        <v>1314</v>
      </c>
      <c r="E612">
        <v>8674</v>
      </c>
      <c r="F612">
        <v>7</v>
      </c>
      <c r="G612">
        <v>7.5624219999999998</v>
      </c>
      <c r="H612">
        <v>1.080346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415644.41700000002</v>
      </c>
      <c r="BC612">
        <v>415644.41700000002</v>
      </c>
      <c r="BD612">
        <v>0</v>
      </c>
      <c r="BE612">
        <v>0</v>
      </c>
      <c r="BF612">
        <v>25</v>
      </c>
      <c r="BG612">
        <v>121.88</v>
      </c>
      <c r="BH612">
        <v>0</v>
      </c>
    </row>
    <row r="613" spans="1:60" x14ac:dyDescent="0.35">
      <c r="A613" t="s">
        <v>1231</v>
      </c>
      <c r="B613" t="s">
        <v>1286</v>
      </c>
      <c r="C613" t="s">
        <v>1315</v>
      </c>
      <c r="D613" t="s">
        <v>1316</v>
      </c>
      <c r="E613">
        <v>935</v>
      </c>
      <c r="F613" t="s">
        <v>81</v>
      </c>
      <c r="G613" t="s">
        <v>81</v>
      </c>
      <c r="H613" t="s">
        <v>81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 t="s">
        <v>81</v>
      </c>
      <c r="BB613" t="s">
        <v>81</v>
      </c>
      <c r="BC613" t="s">
        <v>81</v>
      </c>
      <c r="BD613" t="s">
        <v>81</v>
      </c>
      <c r="BE613" t="s">
        <v>81</v>
      </c>
      <c r="BF613" t="s">
        <v>81</v>
      </c>
      <c r="BG613" t="s">
        <v>81</v>
      </c>
      <c r="BH613" t="s">
        <v>81</v>
      </c>
    </row>
    <row r="614" spans="1:60" x14ac:dyDescent="0.35">
      <c r="A614" t="s">
        <v>1231</v>
      </c>
      <c r="B614" t="s">
        <v>1286</v>
      </c>
      <c r="C614" t="s">
        <v>1317</v>
      </c>
      <c r="D614" t="s">
        <v>1318</v>
      </c>
      <c r="E614">
        <v>15938</v>
      </c>
      <c r="F614">
        <v>9</v>
      </c>
      <c r="G614">
        <v>9.4284859999999995</v>
      </c>
      <c r="H614">
        <v>1.0476099999999999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4926.72</v>
      </c>
      <c r="AB614">
        <v>0</v>
      </c>
      <c r="AC614">
        <v>12366.97</v>
      </c>
      <c r="AD614">
        <v>0</v>
      </c>
      <c r="AE614">
        <v>0</v>
      </c>
      <c r="AF614">
        <v>17293.689999999999</v>
      </c>
      <c r="AG614">
        <v>899.61</v>
      </c>
      <c r="AH614">
        <v>0</v>
      </c>
      <c r="AI614">
        <v>3324.33</v>
      </c>
      <c r="AJ614">
        <v>0</v>
      </c>
      <c r="AK614">
        <v>0</v>
      </c>
      <c r="AL614">
        <v>4223.9399999999996</v>
      </c>
      <c r="AM614">
        <v>1.79</v>
      </c>
      <c r="AN614">
        <v>0</v>
      </c>
      <c r="AO614">
        <v>1007.12</v>
      </c>
      <c r="AP614">
        <v>0</v>
      </c>
      <c r="AQ614">
        <v>0</v>
      </c>
      <c r="AR614">
        <v>1008.91</v>
      </c>
      <c r="AS614">
        <v>0</v>
      </c>
      <c r="AT614">
        <v>0</v>
      </c>
      <c r="AU614">
        <v>691.71</v>
      </c>
      <c r="AV614">
        <v>0</v>
      </c>
      <c r="AW614">
        <v>0</v>
      </c>
      <c r="AX614">
        <v>691.71</v>
      </c>
      <c r="AY614">
        <v>23218.25</v>
      </c>
      <c r="AZ614">
        <v>0</v>
      </c>
      <c r="BA614">
        <v>1</v>
      </c>
      <c r="BB614">
        <v>8321.5</v>
      </c>
      <c r="BC614">
        <v>8321.5</v>
      </c>
      <c r="BD614">
        <v>0</v>
      </c>
      <c r="BE614">
        <v>0</v>
      </c>
      <c r="BF614">
        <v>50</v>
      </c>
      <c r="BG614">
        <v>73.38</v>
      </c>
      <c r="BH614">
        <v>0</v>
      </c>
    </row>
    <row r="615" spans="1:60" x14ac:dyDescent="0.35">
      <c r="A615" t="s">
        <v>1231</v>
      </c>
      <c r="B615" t="s">
        <v>1286</v>
      </c>
      <c r="C615" t="s">
        <v>1319</v>
      </c>
      <c r="D615" t="s">
        <v>1320</v>
      </c>
      <c r="E615">
        <v>846</v>
      </c>
      <c r="F615" t="s">
        <v>81</v>
      </c>
      <c r="G615" t="s">
        <v>81</v>
      </c>
      <c r="H615" t="s">
        <v>81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 t="s">
        <v>81</v>
      </c>
      <c r="BB615" t="s">
        <v>81</v>
      </c>
      <c r="BC615" t="s">
        <v>81</v>
      </c>
      <c r="BD615" t="s">
        <v>81</v>
      </c>
      <c r="BE615" t="s">
        <v>81</v>
      </c>
      <c r="BF615" t="s">
        <v>81</v>
      </c>
      <c r="BG615" t="s">
        <v>81</v>
      </c>
      <c r="BH615" t="s">
        <v>81</v>
      </c>
    </row>
    <row r="616" spans="1:60" x14ac:dyDescent="0.35">
      <c r="A616" t="s">
        <v>1231</v>
      </c>
      <c r="B616" t="s">
        <v>1286</v>
      </c>
      <c r="C616" t="s">
        <v>1321</v>
      </c>
      <c r="D616" t="s">
        <v>1322</v>
      </c>
      <c r="E616">
        <v>9374</v>
      </c>
      <c r="F616">
        <v>1</v>
      </c>
      <c r="G616">
        <v>0.65</v>
      </c>
      <c r="H616">
        <v>0.65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16</v>
      </c>
      <c r="BG616">
        <v>620.83749999999998</v>
      </c>
      <c r="BH616">
        <v>0</v>
      </c>
    </row>
    <row r="617" spans="1:60" x14ac:dyDescent="0.35">
      <c r="A617" t="s">
        <v>1231</v>
      </c>
      <c r="B617" t="s">
        <v>1323</v>
      </c>
      <c r="C617" t="s">
        <v>1323</v>
      </c>
      <c r="D617" t="s">
        <v>1324</v>
      </c>
      <c r="E617">
        <v>7756</v>
      </c>
      <c r="F617">
        <v>1</v>
      </c>
      <c r="G617">
        <v>2.25</v>
      </c>
      <c r="H617">
        <v>2.25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19</v>
      </c>
      <c r="BG617">
        <v>1.6842109999999999</v>
      </c>
      <c r="BH617">
        <v>0</v>
      </c>
    </row>
    <row r="618" spans="1:60" x14ac:dyDescent="0.35">
      <c r="A618" t="s">
        <v>1231</v>
      </c>
      <c r="B618" t="s">
        <v>1323</v>
      </c>
      <c r="C618" t="s">
        <v>1325</v>
      </c>
      <c r="D618" t="s">
        <v>1326</v>
      </c>
      <c r="E618">
        <v>2531</v>
      </c>
      <c r="F618">
        <v>9</v>
      </c>
      <c r="G618">
        <v>6.41709</v>
      </c>
      <c r="H618">
        <v>0.71301000000000003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12792.81</v>
      </c>
      <c r="AD618">
        <v>0</v>
      </c>
      <c r="AE618">
        <v>0</v>
      </c>
      <c r="AF618">
        <v>12792.81</v>
      </c>
      <c r="AG618">
        <v>0</v>
      </c>
      <c r="AH618">
        <v>0</v>
      </c>
      <c r="AI618">
        <v>3864.29</v>
      </c>
      <c r="AJ618">
        <v>0</v>
      </c>
      <c r="AK618">
        <v>0</v>
      </c>
      <c r="AL618">
        <v>3864.29</v>
      </c>
      <c r="AM618">
        <v>0</v>
      </c>
      <c r="AN618">
        <v>0</v>
      </c>
      <c r="AO618">
        <v>2875.94</v>
      </c>
      <c r="AP618">
        <v>0</v>
      </c>
      <c r="AQ618">
        <v>0</v>
      </c>
      <c r="AR618">
        <v>2875.94</v>
      </c>
      <c r="AS618">
        <v>0</v>
      </c>
      <c r="AT618">
        <v>0</v>
      </c>
      <c r="AU618">
        <v>333.64</v>
      </c>
      <c r="AV618">
        <v>0</v>
      </c>
      <c r="AW618">
        <v>0</v>
      </c>
      <c r="AX618">
        <v>333.64</v>
      </c>
      <c r="AY618">
        <v>19866.68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15</v>
      </c>
      <c r="BG618">
        <v>1599.8393329999999</v>
      </c>
      <c r="BH618">
        <v>0</v>
      </c>
    </row>
    <row r="619" spans="1:60" x14ac:dyDescent="0.35">
      <c r="A619" t="s">
        <v>1231</v>
      </c>
      <c r="B619" t="s">
        <v>1323</v>
      </c>
      <c r="C619" t="s">
        <v>1327</v>
      </c>
      <c r="D619" t="s">
        <v>1328</v>
      </c>
      <c r="E619">
        <v>1314</v>
      </c>
      <c r="F619" t="s">
        <v>81</v>
      </c>
      <c r="G619" t="s">
        <v>81</v>
      </c>
      <c r="H619" t="s">
        <v>81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 t="s">
        <v>81</v>
      </c>
      <c r="BB619" t="s">
        <v>81</v>
      </c>
      <c r="BC619" t="s">
        <v>81</v>
      </c>
      <c r="BD619" t="s">
        <v>81</v>
      </c>
      <c r="BE619" t="s">
        <v>81</v>
      </c>
      <c r="BF619" t="s">
        <v>81</v>
      </c>
      <c r="BG619" t="s">
        <v>81</v>
      </c>
      <c r="BH619" t="s">
        <v>81</v>
      </c>
    </row>
    <row r="620" spans="1:60" x14ac:dyDescent="0.35">
      <c r="A620" t="s">
        <v>1231</v>
      </c>
      <c r="B620" t="s">
        <v>1323</v>
      </c>
      <c r="C620" t="s">
        <v>1329</v>
      </c>
      <c r="D620" t="s">
        <v>1330</v>
      </c>
      <c r="E620">
        <v>2819</v>
      </c>
      <c r="F620" t="s">
        <v>81</v>
      </c>
      <c r="G620" t="s">
        <v>81</v>
      </c>
      <c r="H620" t="s">
        <v>81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</row>
    <row r="621" spans="1:60" x14ac:dyDescent="0.35">
      <c r="A621" t="s">
        <v>1231</v>
      </c>
      <c r="B621" t="s">
        <v>1323</v>
      </c>
      <c r="C621" t="s">
        <v>1331</v>
      </c>
      <c r="D621" t="s">
        <v>1332</v>
      </c>
      <c r="E621">
        <v>3622</v>
      </c>
      <c r="F621" t="s">
        <v>81</v>
      </c>
      <c r="G621" t="s">
        <v>81</v>
      </c>
      <c r="H621" t="s">
        <v>81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2</v>
      </c>
      <c r="BG621">
        <v>0</v>
      </c>
      <c r="BH621">
        <v>0</v>
      </c>
    </row>
    <row r="622" spans="1:60" x14ac:dyDescent="0.35">
      <c r="A622" t="s">
        <v>1231</v>
      </c>
      <c r="B622" t="s">
        <v>1323</v>
      </c>
      <c r="C622" t="s">
        <v>1333</v>
      </c>
      <c r="D622" t="s">
        <v>1334</v>
      </c>
      <c r="E622">
        <v>1002</v>
      </c>
      <c r="F622" t="s">
        <v>81</v>
      </c>
      <c r="G622" t="s">
        <v>81</v>
      </c>
      <c r="H622" t="s">
        <v>81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 t="s">
        <v>81</v>
      </c>
      <c r="BB622" t="s">
        <v>81</v>
      </c>
      <c r="BC622" t="s">
        <v>81</v>
      </c>
      <c r="BD622" t="s">
        <v>81</v>
      </c>
      <c r="BE622" t="s">
        <v>81</v>
      </c>
      <c r="BF622" t="s">
        <v>81</v>
      </c>
      <c r="BG622" t="s">
        <v>81</v>
      </c>
      <c r="BH622" t="s">
        <v>81</v>
      </c>
    </row>
    <row r="623" spans="1:60" x14ac:dyDescent="0.35">
      <c r="A623" t="s">
        <v>1231</v>
      </c>
      <c r="B623" t="s">
        <v>1323</v>
      </c>
      <c r="C623" t="s">
        <v>1335</v>
      </c>
      <c r="D623" t="s">
        <v>1336</v>
      </c>
      <c r="E623">
        <v>2659</v>
      </c>
      <c r="F623" t="s">
        <v>81</v>
      </c>
      <c r="G623" t="s">
        <v>81</v>
      </c>
      <c r="H623" t="s">
        <v>81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4</v>
      </c>
      <c r="BG623">
        <v>10767.0175</v>
      </c>
      <c r="BH623">
        <v>0</v>
      </c>
    </row>
    <row r="624" spans="1:60" x14ac:dyDescent="0.35">
      <c r="A624" t="s">
        <v>1231</v>
      </c>
      <c r="B624" t="s">
        <v>1323</v>
      </c>
      <c r="C624" t="s">
        <v>1337</v>
      </c>
      <c r="D624" t="s">
        <v>1338</v>
      </c>
      <c r="E624">
        <v>6616</v>
      </c>
      <c r="F624" t="s">
        <v>81</v>
      </c>
      <c r="G624" t="s">
        <v>81</v>
      </c>
      <c r="H624" t="s">
        <v>81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10</v>
      </c>
      <c r="BG624">
        <v>5992</v>
      </c>
      <c r="BH624">
        <v>0</v>
      </c>
    </row>
    <row r="625" spans="1:60" x14ac:dyDescent="0.35">
      <c r="A625" t="s">
        <v>1231</v>
      </c>
      <c r="B625" t="s">
        <v>1339</v>
      </c>
      <c r="C625" t="s">
        <v>1339</v>
      </c>
      <c r="D625" t="s">
        <v>1340</v>
      </c>
      <c r="E625">
        <v>51053</v>
      </c>
      <c r="F625">
        <v>216</v>
      </c>
      <c r="G625">
        <v>164.13679999999999</v>
      </c>
      <c r="H625">
        <v>0.75989260000000003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1672</v>
      </c>
      <c r="R625">
        <v>0</v>
      </c>
      <c r="S625">
        <v>0</v>
      </c>
      <c r="T625">
        <v>1672</v>
      </c>
      <c r="U625">
        <v>43.01</v>
      </c>
      <c r="V625">
        <v>0</v>
      </c>
      <c r="W625">
        <v>133.5</v>
      </c>
      <c r="X625">
        <v>0</v>
      </c>
      <c r="Y625">
        <v>0</v>
      </c>
      <c r="Z625">
        <v>176.51</v>
      </c>
      <c r="AA625">
        <v>48804.66</v>
      </c>
      <c r="AB625">
        <v>15183.04</v>
      </c>
      <c r="AC625">
        <v>81622.570000000007</v>
      </c>
      <c r="AD625">
        <v>5779.99</v>
      </c>
      <c r="AE625">
        <v>772.56</v>
      </c>
      <c r="AF625">
        <v>152162.82</v>
      </c>
      <c r="AG625">
        <v>10286.5</v>
      </c>
      <c r="AH625">
        <v>1832.53</v>
      </c>
      <c r="AI625">
        <v>14377.02</v>
      </c>
      <c r="AJ625">
        <v>1694.01</v>
      </c>
      <c r="AK625">
        <v>1277.69</v>
      </c>
      <c r="AL625">
        <v>29467.75</v>
      </c>
      <c r="AM625">
        <v>2148.39</v>
      </c>
      <c r="AN625">
        <v>757.55</v>
      </c>
      <c r="AO625">
        <v>44866.96</v>
      </c>
      <c r="AP625">
        <v>209.17</v>
      </c>
      <c r="AQ625">
        <v>175.47</v>
      </c>
      <c r="AR625">
        <v>48157.54</v>
      </c>
      <c r="AS625">
        <v>1113.79</v>
      </c>
      <c r="AT625">
        <v>0</v>
      </c>
      <c r="AU625">
        <v>8597.48</v>
      </c>
      <c r="AV625">
        <v>0</v>
      </c>
      <c r="AW625">
        <v>0</v>
      </c>
      <c r="AX625">
        <v>9711.27</v>
      </c>
      <c r="AY625">
        <v>241347.89</v>
      </c>
      <c r="AZ625">
        <v>0</v>
      </c>
      <c r="BA625">
        <v>1</v>
      </c>
      <c r="BB625">
        <v>89244.25</v>
      </c>
      <c r="BC625">
        <v>89244.25</v>
      </c>
      <c r="BD625">
        <v>0</v>
      </c>
      <c r="BE625">
        <v>23327.242999999999</v>
      </c>
      <c r="BF625">
        <v>435</v>
      </c>
      <c r="BG625">
        <v>5310.7587359999998</v>
      </c>
      <c r="BH625">
        <v>352.69</v>
      </c>
    </row>
    <row r="626" spans="1:60" x14ac:dyDescent="0.35">
      <c r="A626" t="s">
        <v>1231</v>
      </c>
      <c r="B626" t="s">
        <v>1339</v>
      </c>
      <c r="C626" t="s">
        <v>1341</v>
      </c>
      <c r="D626" t="s">
        <v>1342</v>
      </c>
      <c r="E626">
        <v>9442</v>
      </c>
      <c r="F626">
        <v>1</v>
      </c>
      <c r="G626">
        <v>0.43</v>
      </c>
      <c r="H626">
        <v>0.43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7</v>
      </c>
      <c r="BG626">
        <v>0</v>
      </c>
      <c r="BH626">
        <v>0</v>
      </c>
    </row>
    <row r="627" spans="1:60" x14ac:dyDescent="0.35">
      <c r="A627" t="s">
        <v>1231</v>
      </c>
      <c r="B627" t="s">
        <v>1339</v>
      </c>
      <c r="C627" t="s">
        <v>1343</v>
      </c>
      <c r="D627" t="s">
        <v>1344</v>
      </c>
      <c r="E627">
        <v>3226</v>
      </c>
      <c r="F627" t="s">
        <v>81</v>
      </c>
      <c r="G627" t="s">
        <v>81</v>
      </c>
      <c r="H627" t="s">
        <v>81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5</v>
      </c>
      <c r="BG627">
        <v>0</v>
      </c>
      <c r="BH627">
        <v>8038.5829999999996</v>
      </c>
    </row>
    <row r="628" spans="1:60" x14ac:dyDescent="0.35">
      <c r="A628" t="s">
        <v>1231</v>
      </c>
      <c r="B628" t="s">
        <v>1339</v>
      </c>
      <c r="C628" t="s">
        <v>1345</v>
      </c>
      <c r="D628" t="s">
        <v>1346</v>
      </c>
      <c r="E628">
        <v>2485</v>
      </c>
      <c r="F628" t="s">
        <v>81</v>
      </c>
      <c r="G628" t="s">
        <v>81</v>
      </c>
      <c r="H628" t="s">
        <v>81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 t="s">
        <v>81</v>
      </c>
      <c r="BB628" t="s">
        <v>81</v>
      </c>
      <c r="BC628" t="s">
        <v>81</v>
      </c>
      <c r="BD628" t="s">
        <v>81</v>
      </c>
      <c r="BE628" t="s">
        <v>81</v>
      </c>
      <c r="BF628" t="s">
        <v>81</v>
      </c>
      <c r="BG628" t="s">
        <v>81</v>
      </c>
      <c r="BH628" t="s">
        <v>81</v>
      </c>
    </row>
    <row r="629" spans="1:60" x14ac:dyDescent="0.35">
      <c r="A629" t="s">
        <v>1231</v>
      </c>
      <c r="B629" t="s">
        <v>1339</v>
      </c>
      <c r="C629" t="s">
        <v>1347</v>
      </c>
      <c r="D629" t="s">
        <v>1348</v>
      </c>
      <c r="E629">
        <v>3800</v>
      </c>
      <c r="F629" t="s">
        <v>81</v>
      </c>
      <c r="G629" t="s">
        <v>81</v>
      </c>
      <c r="H629" t="s">
        <v>81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9</v>
      </c>
      <c r="BG629">
        <v>0</v>
      </c>
      <c r="BH629">
        <v>0</v>
      </c>
    </row>
    <row r="630" spans="1:60" x14ac:dyDescent="0.35">
      <c r="A630" t="s">
        <v>1231</v>
      </c>
      <c r="B630" t="s">
        <v>1339</v>
      </c>
      <c r="C630" t="s">
        <v>1349</v>
      </c>
      <c r="D630" t="s">
        <v>1350</v>
      </c>
      <c r="E630">
        <v>4856</v>
      </c>
      <c r="F630" t="s">
        <v>81</v>
      </c>
      <c r="G630" t="s">
        <v>81</v>
      </c>
      <c r="H630" t="s">
        <v>81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6</v>
      </c>
      <c r="BG630">
        <v>0</v>
      </c>
      <c r="BH630">
        <v>0</v>
      </c>
    </row>
    <row r="631" spans="1:60" x14ac:dyDescent="0.35">
      <c r="A631" t="s">
        <v>1231</v>
      </c>
      <c r="B631" t="s">
        <v>1339</v>
      </c>
      <c r="C631" t="s">
        <v>1351</v>
      </c>
      <c r="D631" t="s">
        <v>1352</v>
      </c>
      <c r="E631">
        <v>12641</v>
      </c>
      <c r="F631">
        <v>4</v>
      </c>
      <c r="G631">
        <v>2.4172280000000002</v>
      </c>
      <c r="H631">
        <v>0.60430700000000004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9</v>
      </c>
      <c r="BG631">
        <v>0</v>
      </c>
      <c r="BH631">
        <v>0</v>
      </c>
    </row>
    <row r="632" spans="1:60" x14ac:dyDescent="0.35">
      <c r="A632" t="s">
        <v>1231</v>
      </c>
      <c r="B632" t="s">
        <v>1339</v>
      </c>
      <c r="C632" t="s">
        <v>1353</v>
      </c>
      <c r="D632" t="s">
        <v>1354</v>
      </c>
      <c r="E632">
        <v>4020</v>
      </c>
      <c r="F632" t="s">
        <v>81</v>
      </c>
      <c r="G632" t="s">
        <v>81</v>
      </c>
      <c r="H632" t="s">
        <v>81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9</v>
      </c>
      <c r="BG632">
        <v>0</v>
      </c>
      <c r="BH632">
        <v>0</v>
      </c>
    </row>
    <row r="633" spans="1:60" x14ac:dyDescent="0.35">
      <c r="A633" t="s">
        <v>1231</v>
      </c>
      <c r="B633" t="s">
        <v>1339</v>
      </c>
      <c r="C633" t="s">
        <v>1355</v>
      </c>
      <c r="D633" t="s">
        <v>1356</v>
      </c>
      <c r="E633">
        <v>1782</v>
      </c>
      <c r="F633" t="s">
        <v>81</v>
      </c>
      <c r="G633" t="s">
        <v>81</v>
      </c>
      <c r="H633" t="s">
        <v>81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1</v>
      </c>
      <c r="BG633">
        <v>0</v>
      </c>
      <c r="BH633">
        <v>0</v>
      </c>
    </row>
    <row r="634" spans="1:60" x14ac:dyDescent="0.35">
      <c r="A634" t="s">
        <v>1231</v>
      </c>
      <c r="B634" t="s">
        <v>1339</v>
      </c>
      <c r="C634" t="s">
        <v>1357</v>
      </c>
      <c r="D634" t="s">
        <v>1358</v>
      </c>
      <c r="E634">
        <v>2768</v>
      </c>
      <c r="F634" t="s">
        <v>81</v>
      </c>
      <c r="G634" t="s">
        <v>81</v>
      </c>
      <c r="H634" t="s">
        <v>81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</row>
    <row r="635" spans="1:60" x14ac:dyDescent="0.35">
      <c r="A635" t="s">
        <v>1231</v>
      </c>
      <c r="B635" t="s">
        <v>1339</v>
      </c>
      <c r="C635" t="s">
        <v>1359</v>
      </c>
      <c r="D635" t="s">
        <v>1360</v>
      </c>
      <c r="E635">
        <v>2534</v>
      </c>
      <c r="F635" t="s">
        <v>81</v>
      </c>
      <c r="G635" t="s">
        <v>81</v>
      </c>
      <c r="H635" t="s">
        <v>81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1</v>
      </c>
      <c r="BG635">
        <v>0</v>
      </c>
      <c r="BH635">
        <v>0</v>
      </c>
    </row>
    <row r="636" spans="1:60" x14ac:dyDescent="0.35">
      <c r="A636" t="s">
        <v>1231</v>
      </c>
      <c r="B636" t="s">
        <v>1339</v>
      </c>
      <c r="C636" t="s">
        <v>1361</v>
      </c>
      <c r="D636" t="s">
        <v>1362</v>
      </c>
      <c r="E636">
        <v>4912</v>
      </c>
      <c r="F636">
        <v>1</v>
      </c>
      <c r="G636">
        <v>0.2</v>
      </c>
      <c r="H636">
        <v>0.2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12</v>
      </c>
      <c r="BG636">
        <v>696.76916700000004</v>
      </c>
      <c r="BH636">
        <v>0</v>
      </c>
    </row>
    <row r="637" spans="1:60" x14ac:dyDescent="0.35">
      <c r="A637" t="s">
        <v>1231</v>
      </c>
      <c r="B637" t="s">
        <v>1339</v>
      </c>
      <c r="C637" t="s">
        <v>1363</v>
      </c>
      <c r="D637" t="s">
        <v>1364</v>
      </c>
      <c r="E637">
        <v>7446</v>
      </c>
      <c r="F637">
        <v>1</v>
      </c>
      <c r="G637">
        <v>0.43</v>
      </c>
      <c r="H637">
        <v>0.43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16</v>
      </c>
      <c r="BG637">
        <v>0</v>
      </c>
      <c r="BH637">
        <v>789.29200000000003</v>
      </c>
    </row>
    <row r="638" spans="1:60" x14ac:dyDescent="0.35">
      <c r="A638" t="s">
        <v>1231</v>
      </c>
      <c r="B638" t="s">
        <v>1339</v>
      </c>
      <c r="C638" t="s">
        <v>1365</v>
      </c>
      <c r="D638" t="s">
        <v>1366</v>
      </c>
      <c r="E638">
        <v>8760</v>
      </c>
      <c r="F638">
        <v>6</v>
      </c>
      <c r="G638">
        <v>2.9725000000000001</v>
      </c>
      <c r="H638">
        <v>0.49541669999999999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385.33</v>
      </c>
      <c r="X638">
        <v>0</v>
      </c>
      <c r="Y638">
        <v>0</v>
      </c>
      <c r="Z638">
        <v>385.33</v>
      </c>
      <c r="AA638">
        <v>0</v>
      </c>
      <c r="AB638">
        <v>0</v>
      </c>
      <c r="AC638">
        <v>9939.5400000000009</v>
      </c>
      <c r="AD638">
        <v>0</v>
      </c>
      <c r="AE638">
        <v>0</v>
      </c>
      <c r="AF638">
        <v>9939.5400000000009</v>
      </c>
      <c r="AG638">
        <v>0</v>
      </c>
      <c r="AH638">
        <v>0</v>
      </c>
      <c r="AI638">
        <v>2281.44</v>
      </c>
      <c r="AJ638">
        <v>0</v>
      </c>
      <c r="AK638">
        <v>0</v>
      </c>
      <c r="AL638">
        <v>2281.44</v>
      </c>
      <c r="AM638">
        <v>0</v>
      </c>
      <c r="AN638">
        <v>0</v>
      </c>
      <c r="AO638">
        <v>6077.14</v>
      </c>
      <c r="AP638">
        <v>0</v>
      </c>
      <c r="AQ638">
        <v>0</v>
      </c>
      <c r="AR638">
        <v>6077.14</v>
      </c>
      <c r="AS638">
        <v>0</v>
      </c>
      <c r="AT638">
        <v>0</v>
      </c>
      <c r="AU638">
        <v>587.67999999999995</v>
      </c>
      <c r="AV638">
        <v>0</v>
      </c>
      <c r="AW638">
        <v>0</v>
      </c>
      <c r="AX638">
        <v>587.67999999999995</v>
      </c>
      <c r="AY638">
        <v>19271.13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35</v>
      </c>
      <c r="BG638">
        <v>14121.34</v>
      </c>
      <c r="BH638">
        <v>78.558000000000007</v>
      </c>
    </row>
    <row r="639" spans="1:60" x14ac:dyDescent="0.35">
      <c r="A639" t="s">
        <v>1231</v>
      </c>
      <c r="B639" t="s">
        <v>1339</v>
      </c>
      <c r="C639" t="s">
        <v>1367</v>
      </c>
      <c r="D639" t="s">
        <v>1368</v>
      </c>
      <c r="E639">
        <v>1018</v>
      </c>
      <c r="F639" t="s">
        <v>81</v>
      </c>
      <c r="G639" t="s">
        <v>81</v>
      </c>
      <c r="H639" t="s">
        <v>81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 t="s">
        <v>81</v>
      </c>
      <c r="BB639" t="s">
        <v>81</v>
      </c>
      <c r="BC639" t="s">
        <v>81</v>
      </c>
      <c r="BD639" t="s">
        <v>81</v>
      </c>
      <c r="BE639" t="s">
        <v>81</v>
      </c>
      <c r="BF639" t="s">
        <v>81</v>
      </c>
      <c r="BG639" t="s">
        <v>81</v>
      </c>
      <c r="BH639" t="s">
        <v>81</v>
      </c>
    </row>
    <row r="640" spans="1:60" x14ac:dyDescent="0.35">
      <c r="A640" t="s">
        <v>1231</v>
      </c>
      <c r="B640" t="s">
        <v>1369</v>
      </c>
      <c r="C640" t="s">
        <v>1370</v>
      </c>
      <c r="D640" t="s">
        <v>1371</v>
      </c>
      <c r="E640">
        <v>62299</v>
      </c>
      <c r="F640">
        <v>54</v>
      </c>
      <c r="G640">
        <v>49.012680000000003</v>
      </c>
      <c r="H640">
        <v>0.90764219999999995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63748.18</v>
      </c>
      <c r="AB640">
        <v>23429</v>
      </c>
      <c r="AC640">
        <v>85908.79</v>
      </c>
      <c r="AD640">
        <v>2303.5300000000002</v>
      </c>
      <c r="AE640">
        <v>0</v>
      </c>
      <c r="AF640">
        <v>175389.5</v>
      </c>
      <c r="AG640">
        <v>16615.009999999998</v>
      </c>
      <c r="AH640">
        <v>6356.19</v>
      </c>
      <c r="AI640">
        <v>18149.48</v>
      </c>
      <c r="AJ640">
        <v>939.92</v>
      </c>
      <c r="AK640">
        <v>0</v>
      </c>
      <c r="AL640">
        <v>42060.6</v>
      </c>
      <c r="AM640">
        <v>5111.42</v>
      </c>
      <c r="AN640">
        <v>3382.12</v>
      </c>
      <c r="AO640">
        <v>15515.92</v>
      </c>
      <c r="AP640">
        <v>84.99</v>
      </c>
      <c r="AQ640">
        <v>0</v>
      </c>
      <c r="AR640">
        <v>24094.45</v>
      </c>
      <c r="AS640">
        <v>1589.67</v>
      </c>
      <c r="AT640">
        <v>0</v>
      </c>
      <c r="AU640">
        <v>6883.84</v>
      </c>
      <c r="AV640">
        <v>0</v>
      </c>
      <c r="AW640">
        <v>0</v>
      </c>
      <c r="AX640">
        <v>8473.51</v>
      </c>
      <c r="AY640">
        <v>250018.06</v>
      </c>
      <c r="AZ640">
        <v>0</v>
      </c>
      <c r="BA640">
        <v>4</v>
      </c>
      <c r="BB640">
        <v>12683.396000000001</v>
      </c>
      <c r="BC640">
        <v>50733.584000000003</v>
      </c>
      <c r="BD640">
        <v>0</v>
      </c>
      <c r="BE640">
        <v>139.547</v>
      </c>
      <c r="BF640">
        <v>311</v>
      </c>
      <c r="BG640">
        <v>3970.686463</v>
      </c>
      <c r="BH640">
        <v>65.736999999999995</v>
      </c>
    </row>
    <row r="641" spans="1:60" x14ac:dyDescent="0.35">
      <c r="A641" t="s">
        <v>1231</v>
      </c>
      <c r="B641" t="s">
        <v>1369</v>
      </c>
      <c r="C641" t="s">
        <v>1372</v>
      </c>
      <c r="D641" t="s">
        <v>1373</v>
      </c>
      <c r="E641">
        <v>2751</v>
      </c>
      <c r="F641" t="s">
        <v>81</v>
      </c>
      <c r="G641" t="s">
        <v>81</v>
      </c>
      <c r="H641" t="s">
        <v>81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3</v>
      </c>
      <c r="BG641">
        <v>0</v>
      </c>
      <c r="BH641">
        <v>0</v>
      </c>
    </row>
    <row r="642" spans="1:60" x14ac:dyDescent="0.35">
      <c r="A642" t="s">
        <v>1231</v>
      </c>
      <c r="B642" t="s">
        <v>1369</v>
      </c>
      <c r="C642" t="s">
        <v>1369</v>
      </c>
      <c r="D642" t="s">
        <v>1374</v>
      </c>
      <c r="E642">
        <v>15846</v>
      </c>
      <c r="F642">
        <v>9</v>
      </c>
      <c r="G642">
        <v>8.5417170000000002</v>
      </c>
      <c r="H642">
        <v>0.94907960000000002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25</v>
      </c>
      <c r="BG642">
        <v>224.24</v>
      </c>
      <c r="BH642">
        <v>0</v>
      </c>
    </row>
    <row r="643" spans="1:60" x14ac:dyDescent="0.35">
      <c r="A643" t="s">
        <v>1231</v>
      </c>
      <c r="B643" t="s">
        <v>1375</v>
      </c>
      <c r="C643" t="s">
        <v>1375</v>
      </c>
      <c r="D643" t="s">
        <v>1376</v>
      </c>
      <c r="E643">
        <v>109435</v>
      </c>
      <c r="F643">
        <v>792</v>
      </c>
      <c r="G643">
        <v>720.90509999999995</v>
      </c>
      <c r="H643">
        <v>0.91023370000000003</v>
      </c>
      <c r="I643">
        <v>0.08</v>
      </c>
      <c r="J643">
        <v>0</v>
      </c>
      <c r="K643">
        <v>0</v>
      </c>
      <c r="L643">
        <v>0</v>
      </c>
      <c r="M643">
        <v>0</v>
      </c>
      <c r="N643">
        <v>0.08</v>
      </c>
      <c r="O643">
        <v>12965.86</v>
      </c>
      <c r="P643">
        <v>0</v>
      </c>
      <c r="Q643">
        <v>6618.6</v>
      </c>
      <c r="R643">
        <v>0</v>
      </c>
      <c r="S643">
        <v>0</v>
      </c>
      <c r="T643">
        <v>19584.46</v>
      </c>
      <c r="U643">
        <v>72576.350000000006</v>
      </c>
      <c r="V643">
        <v>115.65</v>
      </c>
      <c r="W643">
        <v>7572.98</v>
      </c>
      <c r="X643">
        <v>0</v>
      </c>
      <c r="Y643">
        <v>0</v>
      </c>
      <c r="Z643">
        <v>80264.98</v>
      </c>
      <c r="AA643">
        <v>486613.67</v>
      </c>
      <c r="AB643">
        <v>17170.68</v>
      </c>
      <c r="AC643">
        <v>175886.25</v>
      </c>
      <c r="AD643">
        <v>18218.72</v>
      </c>
      <c r="AE643">
        <v>1873.73</v>
      </c>
      <c r="AF643">
        <v>699763.05</v>
      </c>
      <c r="AG643">
        <v>38312.639999999999</v>
      </c>
      <c r="AH643">
        <v>8622.4</v>
      </c>
      <c r="AI643">
        <v>31095.42</v>
      </c>
      <c r="AJ643">
        <v>6001.62</v>
      </c>
      <c r="AK643">
        <v>2753.24</v>
      </c>
      <c r="AL643">
        <v>86785.32</v>
      </c>
      <c r="AM643">
        <v>646991.23</v>
      </c>
      <c r="AN643">
        <v>40162.68</v>
      </c>
      <c r="AO643">
        <v>30593.42</v>
      </c>
      <c r="AP643">
        <v>2432.94</v>
      </c>
      <c r="AQ643">
        <v>674.94</v>
      </c>
      <c r="AR643">
        <v>720855.21</v>
      </c>
      <c r="AS643">
        <v>70327.44</v>
      </c>
      <c r="AT643">
        <v>0</v>
      </c>
      <c r="AU643">
        <v>37853.64</v>
      </c>
      <c r="AV643">
        <v>0</v>
      </c>
      <c r="AW643">
        <v>0</v>
      </c>
      <c r="AX643">
        <v>108181.08</v>
      </c>
      <c r="AY643">
        <v>1715434.18</v>
      </c>
      <c r="AZ643">
        <v>0</v>
      </c>
      <c r="BA643">
        <v>337</v>
      </c>
      <c r="BB643">
        <v>43790.923999999999</v>
      </c>
      <c r="BC643">
        <v>14757541.556</v>
      </c>
      <c r="BD643">
        <v>4715.487537</v>
      </c>
      <c r="BE643">
        <v>1775.9290000000001</v>
      </c>
      <c r="BF643">
        <v>1864</v>
      </c>
      <c r="BG643">
        <v>4620.770923</v>
      </c>
      <c r="BH643">
        <v>1443</v>
      </c>
    </row>
    <row r="644" spans="1:60" x14ac:dyDescent="0.35">
      <c r="A644" t="s">
        <v>1231</v>
      </c>
      <c r="B644" t="s">
        <v>1375</v>
      </c>
      <c r="C644" t="s">
        <v>1377</v>
      </c>
      <c r="D644" t="s">
        <v>1378</v>
      </c>
      <c r="E644">
        <v>16496</v>
      </c>
      <c r="F644">
        <v>12</v>
      </c>
      <c r="G644">
        <v>12.05273</v>
      </c>
      <c r="H644">
        <v>1.004394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3</v>
      </c>
      <c r="BB644">
        <v>16494.722000000002</v>
      </c>
      <c r="BC644">
        <v>49484.167000000001</v>
      </c>
      <c r="BD644">
        <v>28771.3</v>
      </c>
      <c r="BE644">
        <v>0</v>
      </c>
      <c r="BF644">
        <v>35</v>
      </c>
      <c r="BG644">
        <v>4203.9971429999996</v>
      </c>
      <c r="BH644">
        <v>1701.875</v>
      </c>
    </row>
    <row r="645" spans="1:60" x14ac:dyDescent="0.35">
      <c r="A645" t="s">
        <v>1231</v>
      </c>
      <c r="B645" t="s">
        <v>1375</v>
      </c>
      <c r="C645" t="s">
        <v>1379</v>
      </c>
      <c r="D645" t="s">
        <v>1380</v>
      </c>
      <c r="E645">
        <v>10499</v>
      </c>
      <c r="F645">
        <v>3</v>
      </c>
      <c r="G645">
        <v>4.6100000000000003</v>
      </c>
      <c r="H645">
        <v>1.536667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11</v>
      </c>
      <c r="BG645">
        <v>0</v>
      </c>
      <c r="BH645">
        <v>0</v>
      </c>
    </row>
    <row r="646" spans="1:60" x14ac:dyDescent="0.35">
      <c r="A646" t="s">
        <v>1231</v>
      </c>
      <c r="B646" t="s">
        <v>1375</v>
      </c>
      <c r="C646" t="s">
        <v>1381</v>
      </c>
      <c r="D646" t="s">
        <v>1382</v>
      </c>
      <c r="E646">
        <v>10223</v>
      </c>
      <c r="F646">
        <v>2</v>
      </c>
      <c r="G646">
        <v>1.86</v>
      </c>
      <c r="H646">
        <v>0.92999989999999999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10</v>
      </c>
      <c r="BG646">
        <v>4558.76</v>
      </c>
      <c r="BH646">
        <v>0</v>
      </c>
    </row>
    <row r="647" spans="1:60" x14ac:dyDescent="0.35">
      <c r="A647" t="s">
        <v>1231</v>
      </c>
      <c r="B647" t="s">
        <v>1375</v>
      </c>
      <c r="C647" t="s">
        <v>1383</v>
      </c>
      <c r="D647" t="s">
        <v>1384</v>
      </c>
      <c r="E647">
        <v>9059</v>
      </c>
      <c r="F647" t="s">
        <v>81</v>
      </c>
      <c r="G647" t="s">
        <v>81</v>
      </c>
      <c r="H647" t="s">
        <v>81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4</v>
      </c>
      <c r="BG647">
        <v>3740.7249999999999</v>
      </c>
      <c r="BH647">
        <v>0</v>
      </c>
    </row>
    <row r="648" spans="1:60" x14ac:dyDescent="0.35">
      <c r="A648" t="s">
        <v>1231</v>
      </c>
      <c r="B648" t="s">
        <v>1375</v>
      </c>
      <c r="C648" t="s">
        <v>1385</v>
      </c>
      <c r="D648" t="s">
        <v>1386</v>
      </c>
      <c r="E648">
        <v>4680</v>
      </c>
      <c r="F648" t="s">
        <v>81</v>
      </c>
      <c r="G648" t="s">
        <v>81</v>
      </c>
      <c r="H648" t="s">
        <v>81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5</v>
      </c>
      <c r="BG648">
        <v>0</v>
      </c>
      <c r="BH648">
        <v>0</v>
      </c>
    </row>
    <row r="649" spans="1:60" x14ac:dyDescent="0.35">
      <c r="A649" t="s">
        <v>1231</v>
      </c>
      <c r="B649" t="s">
        <v>1375</v>
      </c>
      <c r="C649" t="s">
        <v>1387</v>
      </c>
      <c r="D649" t="s">
        <v>1388</v>
      </c>
      <c r="E649">
        <v>9319</v>
      </c>
      <c r="F649">
        <v>14</v>
      </c>
      <c r="G649">
        <v>20.252500000000001</v>
      </c>
      <c r="H649">
        <v>1.446607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19</v>
      </c>
      <c r="BG649">
        <v>318.76473700000003</v>
      </c>
      <c r="BH649">
        <v>0</v>
      </c>
    </row>
    <row r="650" spans="1:60" x14ac:dyDescent="0.35">
      <c r="A650" t="s">
        <v>1231</v>
      </c>
      <c r="B650" t="s">
        <v>1375</v>
      </c>
      <c r="C650" t="s">
        <v>1389</v>
      </c>
      <c r="D650" t="s">
        <v>1390</v>
      </c>
      <c r="E650">
        <v>6899</v>
      </c>
      <c r="F650">
        <v>22</v>
      </c>
      <c r="G650">
        <v>9.7954319999999999</v>
      </c>
      <c r="H650">
        <v>0.4452469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1474.91</v>
      </c>
      <c r="AF650">
        <v>1474.91</v>
      </c>
      <c r="AG650">
        <v>0</v>
      </c>
      <c r="AH650">
        <v>0</v>
      </c>
      <c r="AI650">
        <v>0</v>
      </c>
      <c r="AJ650">
        <v>0</v>
      </c>
      <c r="AK650">
        <v>1878.29</v>
      </c>
      <c r="AL650">
        <v>1878.29</v>
      </c>
      <c r="AM650">
        <v>0</v>
      </c>
      <c r="AN650">
        <v>0</v>
      </c>
      <c r="AO650">
        <v>0</v>
      </c>
      <c r="AP650">
        <v>0</v>
      </c>
      <c r="AQ650">
        <v>433.43</v>
      </c>
      <c r="AR650">
        <v>433.43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3786.63</v>
      </c>
      <c r="AZ650">
        <v>0</v>
      </c>
      <c r="BA650">
        <v>1</v>
      </c>
      <c r="BB650">
        <v>273626.5</v>
      </c>
      <c r="BC650">
        <v>273626.5</v>
      </c>
      <c r="BD650">
        <v>0</v>
      </c>
      <c r="BE650">
        <v>0</v>
      </c>
      <c r="BF650">
        <v>52</v>
      </c>
      <c r="BG650">
        <v>11615.956346000001</v>
      </c>
      <c r="BH650">
        <v>277.34800000000001</v>
      </c>
    </row>
    <row r="651" spans="1:60" x14ac:dyDescent="0.35">
      <c r="A651" t="s">
        <v>1231</v>
      </c>
      <c r="B651" t="s">
        <v>1375</v>
      </c>
      <c r="C651" t="s">
        <v>1391</v>
      </c>
      <c r="D651" t="s">
        <v>1392</v>
      </c>
      <c r="E651">
        <v>7474</v>
      </c>
      <c r="F651" t="s">
        <v>81</v>
      </c>
      <c r="G651" t="s">
        <v>81</v>
      </c>
      <c r="H651" t="s">
        <v>81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7</v>
      </c>
      <c r="BG651">
        <v>540.07142899999997</v>
      </c>
      <c r="BH651">
        <v>0</v>
      </c>
    </row>
    <row r="652" spans="1:60" x14ac:dyDescent="0.35">
      <c r="A652" t="s">
        <v>1231</v>
      </c>
      <c r="B652" t="s">
        <v>1375</v>
      </c>
      <c r="C652" t="s">
        <v>1393</v>
      </c>
      <c r="D652" t="s">
        <v>1394</v>
      </c>
      <c r="E652">
        <v>4398</v>
      </c>
      <c r="F652">
        <v>1</v>
      </c>
      <c r="G652">
        <v>0.43</v>
      </c>
      <c r="H652">
        <v>0.43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5</v>
      </c>
      <c r="BG652">
        <v>0</v>
      </c>
      <c r="BH652">
        <v>0</v>
      </c>
    </row>
    <row r="653" spans="1:60" x14ac:dyDescent="0.35">
      <c r="A653" t="s">
        <v>1231</v>
      </c>
      <c r="B653" t="s">
        <v>1375</v>
      </c>
      <c r="C653" t="s">
        <v>1395</v>
      </c>
      <c r="D653" t="s">
        <v>1396</v>
      </c>
      <c r="E653">
        <v>8177</v>
      </c>
      <c r="F653" t="s">
        <v>81</v>
      </c>
      <c r="G653" t="s">
        <v>81</v>
      </c>
      <c r="H653" t="s">
        <v>81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8</v>
      </c>
      <c r="BG653">
        <v>223.0925</v>
      </c>
      <c r="BH653">
        <v>0</v>
      </c>
    </row>
    <row r="654" spans="1:60" x14ac:dyDescent="0.35">
      <c r="A654" t="s">
        <v>1231</v>
      </c>
      <c r="B654" t="s">
        <v>1375</v>
      </c>
      <c r="C654" t="s">
        <v>1397</v>
      </c>
      <c r="D654" t="s">
        <v>1398</v>
      </c>
      <c r="E654">
        <v>9702</v>
      </c>
      <c r="F654">
        <v>8</v>
      </c>
      <c r="G654">
        <v>5.44</v>
      </c>
      <c r="H654">
        <v>0.68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21</v>
      </c>
      <c r="BG654">
        <v>2951.5038100000002</v>
      </c>
      <c r="BH654">
        <v>0</v>
      </c>
    </row>
    <row r="655" spans="1:60" x14ac:dyDescent="0.35">
      <c r="A655" t="s">
        <v>1231</v>
      </c>
      <c r="B655" t="s">
        <v>1399</v>
      </c>
      <c r="C655" t="s">
        <v>1399</v>
      </c>
      <c r="D655" t="s">
        <v>1400</v>
      </c>
      <c r="E655">
        <v>42102</v>
      </c>
      <c r="F655">
        <v>162</v>
      </c>
      <c r="G655">
        <v>131.732</v>
      </c>
      <c r="H655">
        <v>0.81316069999999996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59.6</v>
      </c>
      <c r="X655">
        <v>0</v>
      </c>
      <c r="Y655">
        <v>0</v>
      </c>
      <c r="Z655">
        <v>59.6</v>
      </c>
      <c r="AA655">
        <v>23464.3</v>
      </c>
      <c r="AB655">
        <v>0</v>
      </c>
      <c r="AC655">
        <v>41014.36</v>
      </c>
      <c r="AD655">
        <v>0</v>
      </c>
      <c r="AE655">
        <v>1627.25</v>
      </c>
      <c r="AF655">
        <v>66105.91</v>
      </c>
      <c r="AG655">
        <v>5454.71</v>
      </c>
      <c r="AH655">
        <v>0</v>
      </c>
      <c r="AI655">
        <v>7932.15</v>
      </c>
      <c r="AJ655">
        <v>0</v>
      </c>
      <c r="AK655">
        <v>1817.87</v>
      </c>
      <c r="AL655">
        <v>15204.73</v>
      </c>
      <c r="AM655">
        <v>801.42</v>
      </c>
      <c r="AN655">
        <v>0</v>
      </c>
      <c r="AO655">
        <v>13637.67</v>
      </c>
      <c r="AP655">
        <v>0</v>
      </c>
      <c r="AQ655">
        <v>582.25</v>
      </c>
      <c r="AR655">
        <v>15021.34</v>
      </c>
      <c r="AS655">
        <v>634.74</v>
      </c>
      <c r="AT655">
        <v>0</v>
      </c>
      <c r="AU655">
        <v>1629</v>
      </c>
      <c r="AV655">
        <v>0</v>
      </c>
      <c r="AW655">
        <v>0</v>
      </c>
      <c r="AX655">
        <v>2263.7399999999998</v>
      </c>
      <c r="AY655">
        <v>98655.32</v>
      </c>
      <c r="AZ655">
        <v>0</v>
      </c>
      <c r="BA655">
        <v>10</v>
      </c>
      <c r="BB655">
        <v>64794.116999999998</v>
      </c>
      <c r="BC655">
        <v>647941.16700000002</v>
      </c>
      <c r="BD655">
        <v>0</v>
      </c>
      <c r="BE655">
        <v>0</v>
      </c>
      <c r="BF655">
        <v>186</v>
      </c>
      <c r="BG655">
        <v>1344.7510749999999</v>
      </c>
      <c r="BH655">
        <v>301.91800000000001</v>
      </c>
    </row>
    <row r="656" spans="1:60" x14ac:dyDescent="0.35">
      <c r="A656" t="s">
        <v>1231</v>
      </c>
      <c r="B656" t="s">
        <v>1399</v>
      </c>
      <c r="C656" t="s">
        <v>1401</v>
      </c>
      <c r="D656" t="s">
        <v>1402</v>
      </c>
      <c r="E656">
        <v>16454</v>
      </c>
      <c r="F656">
        <v>8</v>
      </c>
      <c r="G656">
        <v>5.9775</v>
      </c>
      <c r="H656">
        <v>0.7471875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26</v>
      </c>
      <c r="BG656">
        <v>1928.613846</v>
      </c>
      <c r="BH656">
        <v>0</v>
      </c>
    </row>
    <row r="657" spans="1:60" x14ac:dyDescent="0.35">
      <c r="A657" t="s">
        <v>1231</v>
      </c>
      <c r="B657" t="s">
        <v>1399</v>
      </c>
      <c r="C657" t="s">
        <v>1403</v>
      </c>
      <c r="D657" t="s">
        <v>1404</v>
      </c>
      <c r="E657">
        <v>17563</v>
      </c>
      <c r="F657">
        <v>5</v>
      </c>
      <c r="G657">
        <v>1.532</v>
      </c>
      <c r="H657">
        <v>0.30640000000000001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10444.166999999999</v>
      </c>
      <c r="BC657">
        <v>10444.166999999999</v>
      </c>
      <c r="BD657">
        <v>97066.7</v>
      </c>
      <c r="BE657">
        <v>0</v>
      </c>
      <c r="BF657">
        <v>37</v>
      </c>
      <c r="BG657">
        <v>3889.52</v>
      </c>
      <c r="BH657">
        <v>0</v>
      </c>
    </row>
    <row r="658" spans="1:60" x14ac:dyDescent="0.35">
      <c r="A658" t="s">
        <v>1231</v>
      </c>
      <c r="B658" t="s">
        <v>1399</v>
      </c>
      <c r="C658" t="s">
        <v>1405</v>
      </c>
      <c r="D658" t="s">
        <v>1406</v>
      </c>
      <c r="E658">
        <v>21573</v>
      </c>
      <c r="F658">
        <v>4</v>
      </c>
      <c r="G658">
        <v>2.9775</v>
      </c>
      <c r="H658">
        <v>0.74437500000000001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23</v>
      </c>
      <c r="BG658">
        <v>1724.10087</v>
      </c>
      <c r="BH658">
        <v>0</v>
      </c>
    </row>
    <row r="659" spans="1:60" x14ac:dyDescent="0.35">
      <c r="A659" t="s">
        <v>1231</v>
      </c>
      <c r="B659" t="s">
        <v>1399</v>
      </c>
      <c r="C659" t="s">
        <v>1407</v>
      </c>
      <c r="D659" t="s">
        <v>1408</v>
      </c>
      <c r="E659">
        <v>9621</v>
      </c>
      <c r="F659">
        <v>13</v>
      </c>
      <c r="G659">
        <v>14.0175</v>
      </c>
      <c r="H659">
        <v>1.0782689999999999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24</v>
      </c>
      <c r="BG659">
        <v>4113.1583330000003</v>
      </c>
      <c r="BH659">
        <v>0</v>
      </c>
    </row>
    <row r="660" spans="1:60" x14ac:dyDescent="0.35">
      <c r="A660" t="s">
        <v>1231</v>
      </c>
      <c r="B660" t="s">
        <v>1399</v>
      </c>
      <c r="C660" t="s">
        <v>1409</v>
      </c>
      <c r="D660" t="s">
        <v>1410</v>
      </c>
      <c r="E660">
        <v>20013</v>
      </c>
      <c r="F660">
        <v>8</v>
      </c>
      <c r="G660">
        <v>5.89</v>
      </c>
      <c r="H660">
        <v>0.73624999999999996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</v>
      </c>
      <c r="BB660">
        <v>33002.917000000001</v>
      </c>
      <c r="BC660">
        <v>33002.917000000001</v>
      </c>
      <c r="BD660">
        <v>0</v>
      </c>
      <c r="BE660">
        <v>0</v>
      </c>
      <c r="BF660">
        <v>24</v>
      </c>
      <c r="BG660">
        <v>392.45</v>
      </c>
      <c r="BH660">
        <v>0</v>
      </c>
    </row>
    <row r="661" spans="1:60" x14ac:dyDescent="0.35">
      <c r="A661" t="s">
        <v>1231</v>
      </c>
      <c r="B661" t="s">
        <v>1399</v>
      </c>
      <c r="C661" t="s">
        <v>1411</v>
      </c>
      <c r="D661" t="s">
        <v>1412</v>
      </c>
      <c r="E661">
        <v>20284</v>
      </c>
      <c r="F661">
        <v>2</v>
      </c>
      <c r="G661">
        <v>0.41</v>
      </c>
      <c r="H661">
        <v>0.20499999999999999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2</v>
      </c>
      <c r="BB661">
        <v>9555.4580000000005</v>
      </c>
      <c r="BC661">
        <v>19110.916000000001</v>
      </c>
      <c r="BD661">
        <v>5451.5</v>
      </c>
      <c r="BE661">
        <v>0</v>
      </c>
      <c r="BF661">
        <v>31</v>
      </c>
      <c r="BG661">
        <v>6496.66129</v>
      </c>
      <c r="BH661">
        <v>0</v>
      </c>
    </row>
    <row r="662" spans="1:60" x14ac:dyDescent="0.35">
      <c r="A662" t="s">
        <v>1231</v>
      </c>
      <c r="B662" t="s">
        <v>408</v>
      </c>
      <c r="C662" t="s">
        <v>1413</v>
      </c>
      <c r="D662" t="s">
        <v>1414</v>
      </c>
      <c r="E662">
        <v>22545</v>
      </c>
      <c r="F662">
        <v>40</v>
      </c>
      <c r="G662">
        <v>32.090159999999997</v>
      </c>
      <c r="H662">
        <v>0.80225400000000002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54</v>
      </c>
      <c r="X662">
        <v>0</v>
      </c>
      <c r="Y662">
        <v>0</v>
      </c>
      <c r="Z662">
        <v>54</v>
      </c>
      <c r="AA662">
        <v>13598.17</v>
      </c>
      <c r="AB662">
        <v>11329.76</v>
      </c>
      <c r="AC662">
        <v>38078.870000000003</v>
      </c>
      <c r="AD662">
        <v>0</v>
      </c>
      <c r="AE662">
        <v>0</v>
      </c>
      <c r="AF662">
        <v>63006.8</v>
      </c>
      <c r="AG662">
        <v>3199.99</v>
      </c>
      <c r="AH662">
        <v>2451.06</v>
      </c>
      <c r="AI662">
        <v>11127.59</v>
      </c>
      <c r="AJ662">
        <v>0</v>
      </c>
      <c r="AK662">
        <v>0</v>
      </c>
      <c r="AL662">
        <v>16778.64</v>
      </c>
      <c r="AM662">
        <v>885.17</v>
      </c>
      <c r="AN662">
        <v>1007.88</v>
      </c>
      <c r="AO662">
        <v>3714.28</v>
      </c>
      <c r="AP662">
        <v>0</v>
      </c>
      <c r="AQ662">
        <v>0</v>
      </c>
      <c r="AR662">
        <v>5607.33</v>
      </c>
      <c r="AS662">
        <v>74.66</v>
      </c>
      <c r="AT662">
        <v>0</v>
      </c>
      <c r="AU662">
        <v>1038.42</v>
      </c>
      <c r="AV662">
        <v>0</v>
      </c>
      <c r="AW662">
        <v>0</v>
      </c>
      <c r="AX662">
        <v>1113.08</v>
      </c>
      <c r="AY662">
        <v>86559.85</v>
      </c>
      <c r="AZ662">
        <v>0</v>
      </c>
      <c r="BA662">
        <v>3</v>
      </c>
      <c r="BB662">
        <v>29717.195</v>
      </c>
      <c r="BC662">
        <v>89151.584000000003</v>
      </c>
      <c r="BD662">
        <v>0</v>
      </c>
      <c r="BE662">
        <v>0</v>
      </c>
      <c r="BF662">
        <v>99</v>
      </c>
      <c r="BG662">
        <v>904.09292900000003</v>
      </c>
      <c r="BH662">
        <v>0</v>
      </c>
    </row>
    <row r="663" spans="1:60" x14ac:dyDescent="0.35">
      <c r="A663" t="s">
        <v>1231</v>
      </c>
      <c r="B663" t="s">
        <v>408</v>
      </c>
      <c r="C663" t="s">
        <v>1415</v>
      </c>
      <c r="D663" t="s">
        <v>1416</v>
      </c>
      <c r="E663">
        <v>3003</v>
      </c>
      <c r="F663" t="s">
        <v>81</v>
      </c>
      <c r="G663" t="s">
        <v>81</v>
      </c>
      <c r="H663" t="s">
        <v>81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2</v>
      </c>
      <c r="BG663">
        <v>0</v>
      </c>
      <c r="BH663">
        <v>0</v>
      </c>
    </row>
    <row r="664" spans="1:60" x14ac:dyDescent="0.35">
      <c r="A664" t="s">
        <v>1231</v>
      </c>
      <c r="B664" t="s">
        <v>408</v>
      </c>
      <c r="C664" t="s">
        <v>1417</v>
      </c>
      <c r="D664" t="s">
        <v>1418</v>
      </c>
      <c r="E664">
        <v>3323</v>
      </c>
      <c r="F664" t="s">
        <v>81</v>
      </c>
      <c r="G664" t="s">
        <v>81</v>
      </c>
      <c r="H664" t="s">
        <v>81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9</v>
      </c>
      <c r="BG664">
        <v>0</v>
      </c>
      <c r="BH664">
        <v>0</v>
      </c>
    </row>
    <row r="665" spans="1:60" x14ac:dyDescent="0.35">
      <c r="A665" t="s">
        <v>1231</v>
      </c>
      <c r="B665" t="s">
        <v>408</v>
      </c>
      <c r="C665" t="s">
        <v>1419</v>
      </c>
      <c r="D665" t="s">
        <v>1420</v>
      </c>
      <c r="E665">
        <v>4667</v>
      </c>
      <c r="F665" t="s">
        <v>81</v>
      </c>
      <c r="G665" t="s">
        <v>81</v>
      </c>
      <c r="H665" t="s">
        <v>81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2</v>
      </c>
      <c r="BG665">
        <v>16342.79</v>
      </c>
      <c r="BH665">
        <v>0</v>
      </c>
    </row>
    <row r="666" spans="1:60" x14ac:dyDescent="0.35">
      <c r="A666" t="s">
        <v>1231</v>
      </c>
      <c r="B666" t="s">
        <v>408</v>
      </c>
      <c r="C666" t="s">
        <v>1421</v>
      </c>
      <c r="D666" t="s">
        <v>1422</v>
      </c>
      <c r="E666">
        <v>1920</v>
      </c>
      <c r="F666" t="s">
        <v>81</v>
      </c>
      <c r="G666" t="s">
        <v>81</v>
      </c>
      <c r="H666" t="s">
        <v>81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</row>
    <row r="667" spans="1:60" x14ac:dyDescent="0.35">
      <c r="A667" t="s">
        <v>1231</v>
      </c>
      <c r="B667" t="s">
        <v>408</v>
      </c>
      <c r="C667" t="s">
        <v>1423</v>
      </c>
      <c r="D667" t="s">
        <v>1424</v>
      </c>
      <c r="E667">
        <v>3473</v>
      </c>
      <c r="F667" t="s">
        <v>81</v>
      </c>
      <c r="G667" t="s">
        <v>81</v>
      </c>
      <c r="H667" t="s">
        <v>81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</row>
    <row r="668" spans="1:60" x14ac:dyDescent="0.35">
      <c r="A668" t="s">
        <v>1231</v>
      </c>
      <c r="B668" t="s">
        <v>408</v>
      </c>
      <c r="C668" t="s">
        <v>1425</v>
      </c>
      <c r="D668" t="s">
        <v>1426</v>
      </c>
      <c r="E668">
        <v>13210</v>
      </c>
      <c r="F668">
        <v>3</v>
      </c>
      <c r="G668">
        <v>2.3140000000000001</v>
      </c>
      <c r="H668">
        <v>0.7713333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15</v>
      </c>
      <c r="BG668">
        <v>158.26666700000001</v>
      </c>
      <c r="BH668">
        <v>0</v>
      </c>
    </row>
    <row r="669" spans="1:60" x14ac:dyDescent="0.35">
      <c r="A669" t="s">
        <v>1231</v>
      </c>
      <c r="B669" t="s">
        <v>1427</v>
      </c>
      <c r="C669" t="s">
        <v>1427</v>
      </c>
      <c r="D669" t="s">
        <v>1428</v>
      </c>
      <c r="E669">
        <v>13414</v>
      </c>
      <c r="F669">
        <v>19</v>
      </c>
      <c r="G669">
        <v>14.94304</v>
      </c>
      <c r="H669">
        <v>0.78647579999999995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11526.07</v>
      </c>
      <c r="AB669">
        <v>6393.62</v>
      </c>
      <c r="AC669">
        <v>8287.5400000000009</v>
      </c>
      <c r="AD669">
        <v>0</v>
      </c>
      <c r="AE669">
        <v>0</v>
      </c>
      <c r="AF669">
        <v>26207.23</v>
      </c>
      <c r="AG669">
        <v>3000.63</v>
      </c>
      <c r="AH669">
        <v>1670.05</v>
      </c>
      <c r="AI669">
        <v>1834.72</v>
      </c>
      <c r="AJ669">
        <v>0</v>
      </c>
      <c r="AK669">
        <v>0</v>
      </c>
      <c r="AL669">
        <v>6505.4</v>
      </c>
      <c r="AM669">
        <v>329.25</v>
      </c>
      <c r="AN669">
        <v>2768.37</v>
      </c>
      <c r="AO669">
        <v>1112.5</v>
      </c>
      <c r="AP669">
        <v>0</v>
      </c>
      <c r="AQ669">
        <v>0</v>
      </c>
      <c r="AR669">
        <v>4210.12</v>
      </c>
      <c r="AS669">
        <v>0</v>
      </c>
      <c r="AT669">
        <v>0</v>
      </c>
      <c r="AU669">
        <v>1194.06</v>
      </c>
      <c r="AV669">
        <v>0</v>
      </c>
      <c r="AW669">
        <v>0</v>
      </c>
      <c r="AX669">
        <v>1194.06</v>
      </c>
      <c r="AY669">
        <v>38116.81</v>
      </c>
      <c r="AZ669">
        <v>0</v>
      </c>
      <c r="BA669">
        <v>1</v>
      </c>
      <c r="BB669">
        <v>17013.582999999999</v>
      </c>
      <c r="BC669">
        <v>17013.582999999999</v>
      </c>
      <c r="BD669">
        <v>0</v>
      </c>
      <c r="BE669">
        <v>0</v>
      </c>
      <c r="BF669">
        <v>59</v>
      </c>
      <c r="BG669">
        <v>773.19033899999999</v>
      </c>
      <c r="BH669">
        <v>4.1459999999999999</v>
      </c>
    </row>
    <row r="670" spans="1:60" x14ac:dyDescent="0.35">
      <c r="A670" t="s">
        <v>1231</v>
      </c>
      <c r="B670" t="s">
        <v>1427</v>
      </c>
      <c r="C670" t="s">
        <v>1429</v>
      </c>
      <c r="D670" t="s">
        <v>1430</v>
      </c>
      <c r="E670">
        <v>1178</v>
      </c>
      <c r="F670" t="s">
        <v>81</v>
      </c>
      <c r="G670" t="s">
        <v>81</v>
      </c>
      <c r="H670" t="s">
        <v>81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 t="s">
        <v>81</v>
      </c>
      <c r="BB670" t="s">
        <v>81</v>
      </c>
      <c r="BC670" t="s">
        <v>81</v>
      </c>
      <c r="BD670" t="s">
        <v>81</v>
      </c>
      <c r="BE670" t="s">
        <v>81</v>
      </c>
      <c r="BF670" t="s">
        <v>81</v>
      </c>
      <c r="BG670" t="s">
        <v>81</v>
      </c>
      <c r="BH670" t="s">
        <v>81</v>
      </c>
    </row>
    <row r="671" spans="1:60" x14ac:dyDescent="0.35">
      <c r="A671" t="s">
        <v>1231</v>
      </c>
      <c r="B671" t="s">
        <v>1427</v>
      </c>
      <c r="C671" t="s">
        <v>1431</v>
      </c>
      <c r="D671" t="s">
        <v>1432</v>
      </c>
      <c r="E671">
        <v>4228</v>
      </c>
      <c r="F671" t="s">
        <v>81</v>
      </c>
      <c r="G671" t="s">
        <v>81</v>
      </c>
      <c r="H671" t="s">
        <v>81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</row>
    <row r="672" spans="1:60" x14ac:dyDescent="0.35">
      <c r="A672" t="s">
        <v>1231</v>
      </c>
      <c r="B672" t="s">
        <v>1427</v>
      </c>
      <c r="C672" t="s">
        <v>1433</v>
      </c>
      <c r="D672" t="s">
        <v>1434</v>
      </c>
      <c r="E672">
        <v>2604</v>
      </c>
      <c r="F672" t="s">
        <v>81</v>
      </c>
      <c r="G672" t="s">
        <v>81</v>
      </c>
      <c r="H672" t="s">
        <v>81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3</v>
      </c>
      <c r="BG672">
        <v>0</v>
      </c>
      <c r="BH672">
        <v>0</v>
      </c>
    </row>
    <row r="673" spans="1:60" x14ac:dyDescent="0.35">
      <c r="A673" t="s">
        <v>1231</v>
      </c>
      <c r="B673" t="s">
        <v>1427</v>
      </c>
      <c r="C673" t="s">
        <v>1435</v>
      </c>
      <c r="D673" t="s">
        <v>1436</v>
      </c>
      <c r="E673">
        <v>1543</v>
      </c>
      <c r="F673" t="s">
        <v>81</v>
      </c>
      <c r="G673" t="s">
        <v>81</v>
      </c>
      <c r="H673" t="s">
        <v>81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2</v>
      </c>
      <c r="BG673">
        <v>0</v>
      </c>
      <c r="BH673">
        <v>0</v>
      </c>
    </row>
    <row r="674" spans="1:60" x14ac:dyDescent="0.35">
      <c r="A674" t="s">
        <v>1231</v>
      </c>
      <c r="B674" t="s">
        <v>1427</v>
      </c>
      <c r="C674" t="s">
        <v>1437</v>
      </c>
      <c r="D674" t="s">
        <v>1438</v>
      </c>
      <c r="E674">
        <v>2026</v>
      </c>
      <c r="F674" t="s">
        <v>81</v>
      </c>
      <c r="G674" t="s">
        <v>81</v>
      </c>
      <c r="H674" t="s">
        <v>81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5316</v>
      </c>
      <c r="BC674">
        <v>5316</v>
      </c>
      <c r="BD674">
        <v>0</v>
      </c>
      <c r="BE674">
        <v>23736.762999999999</v>
      </c>
      <c r="BF674">
        <v>1</v>
      </c>
      <c r="BG674">
        <v>0</v>
      </c>
      <c r="BH674">
        <v>0</v>
      </c>
    </row>
    <row r="675" spans="1:60" x14ac:dyDescent="0.35">
      <c r="A675" t="s">
        <v>1231</v>
      </c>
      <c r="B675" t="s">
        <v>1427</v>
      </c>
      <c r="C675" t="s">
        <v>1439</v>
      </c>
      <c r="D675" t="s">
        <v>1440</v>
      </c>
      <c r="E675">
        <v>4221</v>
      </c>
      <c r="F675" t="s">
        <v>81</v>
      </c>
      <c r="G675" t="s">
        <v>81</v>
      </c>
      <c r="H675" t="s">
        <v>81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7</v>
      </c>
      <c r="BG675">
        <v>10370.814286000001</v>
      </c>
      <c r="BH675">
        <v>0</v>
      </c>
    </row>
    <row r="676" spans="1:60" x14ac:dyDescent="0.35">
      <c r="A676" t="s">
        <v>1231</v>
      </c>
      <c r="B676" t="s">
        <v>1427</v>
      </c>
      <c r="C676" t="s">
        <v>1441</v>
      </c>
      <c r="D676" t="s">
        <v>1442</v>
      </c>
      <c r="E676">
        <v>1356</v>
      </c>
      <c r="F676" t="s">
        <v>81</v>
      </c>
      <c r="G676" t="s">
        <v>81</v>
      </c>
      <c r="H676" t="s">
        <v>81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 t="s">
        <v>81</v>
      </c>
      <c r="BB676" t="s">
        <v>81</v>
      </c>
      <c r="BC676" t="s">
        <v>81</v>
      </c>
      <c r="BD676" t="s">
        <v>81</v>
      </c>
      <c r="BE676" t="s">
        <v>81</v>
      </c>
      <c r="BF676" t="s">
        <v>81</v>
      </c>
      <c r="BG676" t="s">
        <v>81</v>
      </c>
      <c r="BH676" t="s">
        <v>81</v>
      </c>
    </row>
    <row r="677" spans="1:60" x14ac:dyDescent="0.35">
      <c r="A677" t="s">
        <v>1231</v>
      </c>
      <c r="B677" t="s">
        <v>1427</v>
      </c>
      <c r="C677" t="s">
        <v>1443</v>
      </c>
      <c r="D677" t="s">
        <v>1444</v>
      </c>
      <c r="E677">
        <v>2851</v>
      </c>
      <c r="F677">
        <v>2</v>
      </c>
      <c r="G677">
        <v>0.72</v>
      </c>
      <c r="H677">
        <v>0.36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</v>
      </c>
      <c r="BG677">
        <v>155</v>
      </c>
      <c r="BH677">
        <v>0</v>
      </c>
    </row>
    <row r="678" spans="1:60" x14ac:dyDescent="0.35">
      <c r="A678" t="s">
        <v>1231</v>
      </c>
      <c r="B678" t="s">
        <v>1427</v>
      </c>
      <c r="C678" t="s">
        <v>1445</v>
      </c>
      <c r="D678" t="s">
        <v>1446</v>
      </c>
      <c r="E678">
        <v>2185</v>
      </c>
      <c r="F678" t="s">
        <v>81</v>
      </c>
      <c r="G678" t="s">
        <v>81</v>
      </c>
      <c r="H678" t="s">
        <v>81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</v>
      </c>
      <c r="BG678">
        <v>0</v>
      </c>
      <c r="BH678">
        <v>0</v>
      </c>
    </row>
    <row r="679" spans="1:60" x14ac:dyDescent="0.35">
      <c r="A679" t="s">
        <v>1231</v>
      </c>
      <c r="B679" t="s">
        <v>1427</v>
      </c>
      <c r="C679" t="s">
        <v>1447</v>
      </c>
      <c r="D679" t="s">
        <v>1448</v>
      </c>
      <c r="E679">
        <v>3362</v>
      </c>
      <c r="F679" t="s">
        <v>81</v>
      </c>
      <c r="G679" t="s">
        <v>81</v>
      </c>
      <c r="H679" t="s">
        <v>81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8</v>
      </c>
      <c r="BG679">
        <v>606.25</v>
      </c>
      <c r="BH679">
        <v>0</v>
      </c>
    </row>
    <row r="680" spans="1:60" x14ac:dyDescent="0.35">
      <c r="A680" t="s">
        <v>1231</v>
      </c>
      <c r="B680" t="s">
        <v>1427</v>
      </c>
      <c r="C680" t="s">
        <v>1449</v>
      </c>
      <c r="D680" t="s">
        <v>1450</v>
      </c>
      <c r="E680">
        <v>2014</v>
      </c>
      <c r="F680">
        <v>2</v>
      </c>
      <c r="G680">
        <v>4.2068729999999999</v>
      </c>
      <c r="H680">
        <v>2.1034359999999999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5105.6400000000003</v>
      </c>
      <c r="AB680">
        <v>0</v>
      </c>
      <c r="AC680">
        <v>0</v>
      </c>
      <c r="AD680">
        <v>0</v>
      </c>
      <c r="AE680">
        <v>0</v>
      </c>
      <c r="AF680">
        <v>5105.6400000000003</v>
      </c>
      <c r="AG680">
        <v>1106.6199999999999</v>
      </c>
      <c r="AH680">
        <v>0</v>
      </c>
      <c r="AI680">
        <v>0</v>
      </c>
      <c r="AJ680">
        <v>0</v>
      </c>
      <c r="AK680">
        <v>0</v>
      </c>
      <c r="AL680">
        <v>1106.6199999999999</v>
      </c>
      <c r="AM680">
        <v>35.72</v>
      </c>
      <c r="AN680">
        <v>0</v>
      </c>
      <c r="AO680">
        <v>0</v>
      </c>
      <c r="AP680">
        <v>0</v>
      </c>
      <c r="AQ680">
        <v>0</v>
      </c>
      <c r="AR680">
        <v>35.72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6247.98</v>
      </c>
      <c r="AZ680">
        <v>0</v>
      </c>
      <c r="BA680">
        <v>2</v>
      </c>
      <c r="BB680">
        <v>20338.458999999999</v>
      </c>
      <c r="BC680">
        <v>40676.917000000001</v>
      </c>
      <c r="BD680">
        <v>0</v>
      </c>
      <c r="BE680">
        <v>0</v>
      </c>
      <c r="BF680">
        <v>11</v>
      </c>
      <c r="BG680">
        <v>0</v>
      </c>
      <c r="BH680">
        <v>464.61399999999998</v>
      </c>
    </row>
    <row r="681" spans="1:60" x14ac:dyDescent="0.35">
      <c r="A681" t="s">
        <v>1231</v>
      </c>
      <c r="B681" t="s">
        <v>1427</v>
      </c>
      <c r="C681" t="s">
        <v>1451</v>
      </c>
      <c r="D681" t="s">
        <v>1452</v>
      </c>
      <c r="E681">
        <v>2907</v>
      </c>
      <c r="F681" t="s">
        <v>81</v>
      </c>
      <c r="G681" t="s">
        <v>81</v>
      </c>
      <c r="H681" t="s">
        <v>81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 t="s">
        <v>81</v>
      </c>
      <c r="BB681" t="s">
        <v>81</v>
      </c>
      <c r="BC681" t="s">
        <v>81</v>
      </c>
      <c r="BD681" t="s">
        <v>81</v>
      </c>
      <c r="BE681" t="s">
        <v>81</v>
      </c>
      <c r="BF681" t="s">
        <v>81</v>
      </c>
      <c r="BG681" t="s">
        <v>81</v>
      </c>
      <c r="BH681" t="s">
        <v>81</v>
      </c>
    </row>
    <row r="682" spans="1:60" x14ac:dyDescent="0.35">
      <c r="A682" t="s">
        <v>1231</v>
      </c>
      <c r="B682" t="s">
        <v>1453</v>
      </c>
      <c r="C682" t="s">
        <v>1453</v>
      </c>
      <c r="D682" t="s">
        <v>1454</v>
      </c>
      <c r="E682">
        <v>13011</v>
      </c>
      <c r="F682">
        <v>4</v>
      </c>
      <c r="G682">
        <v>3.3568730000000002</v>
      </c>
      <c r="H682">
        <v>0.83921829999999997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5554.23</v>
      </c>
      <c r="AB682">
        <v>0</v>
      </c>
      <c r="AC682">
        <v>0</v>
      </c>
      <c r="AD682">
        <v>0</v>
      </c>
      <c r="AE682">
        <v>0</v>
      </c>
      <c r="AF682">
        <v>5554.23</v>
      </c>
      <c r="AG682">
        <v>1520.72</v>
      </c>
      <c r="AH682">
        <v>0</v>
      </c>
      <c r="AI682">
        <v>0</v>
      </c>
      <c r="AJ682">
        <v>0</v>
      </c>
      <c r="AK682">
        <v>0</v>
      </c>
      <c r="AL682">
        <v>1520.72</v>
      </c>
      <c r="AM682">
        <v>199.93</v>
      </c>
      <c r="AN682">
        <v>0</v>
      </c>
      <c r="AO682">
        <v>0</v>
      </c>
      <c r="AP682">
        <v>0</v>
      </c>
      <c r="AQ682">
        <v>0</v>
      </c>
      <c r="AR682">
        <v>199.93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7274.88</v>
      </c>
      <c r="AZ682">
        <v>0</v>
      </c>
      <c r="BA682">
        <v>2</v>
      </c>
      <c r="BB682">
        <v>10427.125</v>
      </c>
      <c r="BC682">
        <v>20854.25</v>
      </c>
      <c r="BD682">
        <v>75</v>
      </c>
      <c r="BE682">
        <v>0</v>
      </c>
      <c r="BF682">
        <v>42</v>
      </c>
      <c r="BG682">
        <v>588.37618999999995</v>
      </c>
      <c r="BH682">
        <v>555.67200000000003</v>
      </c>
    </row>
    <row r="683" spans="1:60" x14ac:dyDescent="0.35">
      <c r="A683" t="s">
        <v>1231</v>
      </c>
      <c r="B683" t="s">
        <v>1453</v>
      </c>
      <c r="C683" t="s">
        <v>1455</v>
      </c>
      <c r="D683" t="s">
        <v>1456</v>
      </c>
      <c r="E683">
        <v>4375</v>
      </c>
      <c r="F683" t="s">
        <v>81</v>
      </c>
      <c r="G683" t="s">
        <v>81</v>
      </c>
      <c r="H683" t="s">
        <v>81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3230.1669999999999</v>
      </c>
      <c r="BC683">
        <v>3230.1669999999999</v>
      </c>
      <c r="BD683">
        <v>0</v>
      </c>
      <c r="BE683">
        <v>0</v>
      </c>
      <c r="BF683">
        <v>5</v>
      </c>
      <c r="BG683">
        <v>1780.2</v>
      </c>
      <c r="BH683">
        <v>0</v>
      </c>
    </row>
    <row r="684" spans="1:60" x14ac:dyDescent="0.35">
      <c r="A684" t="s">
        <v>1231</v>
      </c>
      <c r="B684" t="s">
        <v>1453</v>
      </c>
      <c r="C684" t="s">
        <v>1457</v>
      </c>
      <c r="D684" t="s">
        <v>1458</v>
      </c>
      <c r="E684">
        <v>780</v>
      </c>
      <c r="F684" t="s">
        <v>81</v>
      </c>
      <c r="G684" t="s">
        <v>81</v>
      </c>
      <c r="H684" t="s">
        <v>81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2</v>
      </c>
      <c r="BG684">
        <v>0</v>
      </c>
      <c r="BH684">
        <v>0</v>
      </c>
    </row>
    <row r="685" spans="1:60" x14ac:dyDescent="0.35">
      <c r="A685" t="s">
        <v>1231</v>
      </c>
      <c r="B685" t="s">
        <v>1453</v>
      </c>
      <c r="C685" t="s">
        <v>1459</v>
      </c>
      <c r="D685" t="s">
        <v>1460</v>
      </c>
      <c r="E685">
        <v>3556</v>
      </c>
      <c r="F685" t="s">
        <v>81</v>
      </c>
      <c r="G685" t="s">
        <v>81</v>
      </c>
      <c r="H685" t="s">
        <v>81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4</v>
      </c>
      <c r="BG685">
        <v>1297.625</v>
      </c>
      <c r="BH685">
        <v>0</v>
      </c>
    </row>
    <row r="686" spans="1:60" x14ac:dyDescent="0.35">
      <c r="A686" t="s">
        <v>1231</v>
      </c>
      <c r="B686" t="s">
        <v>438</v>
      </c>
      <c r="C686" t="s">
        <v>438</v>
      </c>
      <c r="D686" t="s">
        <v>1461</v>
      </c>
      <c r="E686">
        <v>9435</v>
      </c>
      <c r="F686">
        <v>17</v>
      </c>
      <c r="G686">
        <v>12.776199999999999</v>
      </c>
      <c r="H686">
        <v>0.75154089999999996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463.83</v>
      </c>
      <c r="X686">
        <v>0</v>
      </c>
      <c r="Y686">
        <v>0</v>
      </c>
      <c r="Z686">
        <v>463.83</v>
      </c>
      <c r="AA686">
        <v>10584.06</v>
      </c>
      <c r="AB686">
        <v>0</v>
      </c>
      <c r="AC686">
        <v>10026.59</v>
      </c>
      <c r="AD686">
        <v>0</v>
      </c>
      <c r="AE686">
        <v>0</v>
      </c>
      <c r="AF686">
        <v>20610.650000000001</v>
      </c>
      <c r="AG686">
        <v>2220.21</v>
      </c>
      <c r="AH686">
        <v>0</v>
      </c>
      <c r="AI686">
        <v>1821.84</v>
      </c>
      <c r="AJ686">
        <v>0</v>
      </c>
      <c r="AK686">
        <v>0</v>
      </c>
      <c r="AL686">
        <v>4042.05</v>
      </c>
      <c r="AM686">
        <v>201.39</v>
      </c>
      <c r="AN686">
        <v>0</v>
      </c>
      <c r="AO686">
        <v>2980.19</v>
      </c>
      <c r="AP686">
        <v>0</v>
      </c>
      <c r="AQ686">
        <v>0</v>
      </c>
      <c r="AR686">
        <v>3181.58</v>
      </c>
      <c r="AS686">
        <v>145.44999999999999</v>
      </c>
      <c r="AT686">
        <v>0</v>
      </c>
      <c r="AU686">
        <v>1324.18</v>
      </c>
      <c r="AV686">
        <v>0</v>
      </c>
      <c r="AW686">
        <v>0</v>
      </c>
      <c r="AX686">
        <v>1469.63</v>
      </c>
      <c r="AY686">
        <v>29767.74</v>
      </c>
      <c r="AZ686">
        <v>0</v>
      </c>
      <c r="BA686">
        <v>1</v>
      </c>
      <c r="BB686">
        <v>25862.5</v>
      </c>
      <c r="BC686">
        <v>25862.5</v>
      </c>
      <c r="BD686">
        <v>0</v>
      </c>
      <c r="BE686">
        <v>0</v>
      </c>
      <c r="BF686">
        <v>59</v>
      </c>
      <c r="BG686">
        <v>496.67796600000003</v>
      </c>
      <c r="BH686">
        <v>47.674999999999997</v>
      </c>
    </row>
    <row r="687" spans="1:60" x14ac:dyDescent="0.35">
      <c r="A687" t="s">
        <v>1231</v>
      </c>
      <c r="B687" t="s">
        <v>438</v>
      </c>
      <c r="C687" t="s">
        <v>1462</v>
      </c>
      <c r="D687" t="s">
        <v>1463</v>
      </c>
      <c r="E687">
        <v>1175</v>
      </c>
      <c r="F687" t="s">
        <v>81</v>
      </c>
      <c r="G687" t="s">
        <v>81</v>
      </c>
      <c r="H687" t="s">
        <v>81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1</v>
      </c>
      <c r="BG687">
        <v>0</v>
      </c>
      <c r="BH687">
        <v>0</v>
      </c>
    </row>
    <row r="688" spans="1:60" x14ac:dyDescent="0.35">
      <c r="A688" t="s">
        <v>1231</v>
      </c>
      <c r="B688" t="s">
        <v>438</v>
      </c>
      <c r="C688" t="s">
        <v>1464</v>
      </c>
      <c r="D688" t="s">
        <v>1465</v>
      </c>
      <c r="E688">
        <v>9784</v>
      </c>
      <c r="F688" t="s">
        <v>81</v>
      </c>
      <c r="G688" t="s">
        <v>81</v>
      </c>
      <c r="H688" t="s">
        <v>81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6</v>
      </c>
      <c r="BG688">
        <v>0</v>
      </c>
      <c r="BH688">
        <v>0</v>
      </c>
    </row>
    <row r="689" spans="1:60" x14ac:dyDescent="0.35">
      <c r="A689" t="s">
        <v>1231</v>
      </c>
      <c r="B689" t="s">
        <v>438</v>
      </c>
      <c r="C689" t="s">
        <v>1466</v>
      </c>
      <c r="D689" t="s">
        <v>1467</v>
      </c>
      <c r="E689">
        <v>3273</v>
      </c>
      <c r="F689" t="s">
        <v>81</v>
      </c>
      <c r="G689" t="s">
        <v>81</v>
      </c>
      <c r="H689" t="s">
        <v>81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5</v>
      </c>
      <c r="BG689">
        <v>0</v>
      </c>
      <c r="BH689">
        <v>0</v>
      </c>
    </row>
    <row r="690" spans="1:60" x14ac:dyDescent="0.35">
      <c r="A690" t="s">
        <v>1231</v>
      </c>
      <c r="B690" t="s">
        <v>438</v>
      </c>
      <c r="C690" t="s">
        <v>1468</v>
      </c>
      <c r="D690" t="s">
        <v>1469</v>
      </c>
      <c r="E690">
        <v>2161</v>
      </c>
      <c r="F690" t="s">
        <v>81</v>
      </c>
      <c r="G690" t="s">
        <v>81</v>
      </c>
      <c r="H690" t="s">
        <v>81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 t="s">
        <v>81</v>
      </c>
      <c r="BB690" t="s">
        <v>81</v>
      </c>
      <c r="BC690" t="s">
        <v>81</v>
      </c>
      <c r="BD690" t="s">
        <v>81</v>
      </c>
      <c r="BE690" t="s">
        <v>81</v>
      </c>
      <c r="BF690" t="s">
        <v>81</v>
      </c>
      <c r="BG690" t="s">
        <v>81</v>
      </c>
      <c r="BH690" t="s">
        <v>81</v>
      </c>
    </row>
    <row r="691" spans="1:60" x14ac:dyDescent="0.35">
      <c r="A691" t="s">
        <v>1231</v>
      </c>
      <c r="B691" t="s">
        <v>438</v>
      </c>
      <c r="C691" t="s">
        <v>1470</v>
      </c>
      <c r="D691" t="s">
        <v>1471</v>
      </c>
      <c r="E691">
        <v>1721</v>
      </c>
      <c r="F691">
        <v>1</v>
      </c>
      <c r="G691">
        <v>0.25</v>
      </c>
      <c r="H691">
        <v>0.25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2</v>
      </c>
      <c r="BG691">
        <v>0</v>
      </c>
      <c r="BH691">
        <v>0</v>
      </c>
    </row>
    <row r="692" spans="1:60" x14ac:dyDescent="0.35">
      <c r="A692" t="s">
        <v>1231</v>
      </c>
      <c r="B692" t="s">
        <v>438</v>
      </c>
      <c r="C692" t="s">
        <v>1472</v>
      </c>
      <c r="D692" t="s">
        <v>1473</v>
      </c>
      <c r="E692">
        <v>3549</v>
      </c>
      <c r="F692">
        <v>3</v>
      </c>
      <c r="G692">
        <v>1.29</v>
      </c>
      <c r="H692">
        <v>0.43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7</v>
      </c>
      <c r="BG692">
        <v>0</v>
      </c>
      <c r="BH692">
        <v>0</v>
      </c>
    </row>
    <row r="693" spans="1:60" x14ac:dyDescent="0.35">
      <c r="A693" t="s">
        <v>1231</v>
      </c>
      <c r="B693" t="s">
        <v>438</v>
      </c>
      <c r="C693" t="s">
        <v>1474</v>
      </c>
      <c r="D693" t="s">
        <v>1475</v>
      </c>
      <c r="E693">
        <v>1222</v>
      </c>
      <c r="F693" t="s">
        <v>81</v>
      </c>
      <c r="G693" t="s">
        <v>81</v>
      </c>
      <c r="H693" t="s">
        <v>81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 t="s">
        <v>81</v>
      </c>
      <c r="BB693" t="s">
        <v>81</v>
      </c>
      <c r="BC693" t="s">
        <v>81</v>
      </c>
      <c r="BD693" t="s">
        <v>81</v>
      </c>
      <c r="BE693" t="s">
        <v>81</v>
      </c>
      <c r="BF693" t="s">
        <v>81</v>
      </c>
      <c r="BG693" t="s">
        <v>81</v>
      </c>
      <c r="BH693" t="s">
        <v>81</v>
      </c>
    </row>
    <row r="694" spans="1:60" x14ac:dyDescent="0.35">
      <c r="A694" t="s">
        <v>1231</v>
      </c>
      <c r="B694" t="s">
        <v>438</v>
      </c>
      <c r="C694" t="s">
        <v>1476</v>
      </c>
      <c r="D694" t="s">
        <v>1477</v>
      </c>
      <c r="E694">
        <v>412</v>
      </c>
      <c r="F694">
        <v>1</v>
      </c>
      <c r="G694">
        <v>4.039911</v>
      </c>
      <c r="H694">
        <v>4.039911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 t="s">
        <v>81</v>
      </c>
      <c r="BB694" t="s">
        <v>81</v>
      </c>
      <c r="BC694" t="s">
        <v>81</v>
      </c>
      <c r="BD694" t="s">
        <v>81</v>
      </c>
      <c r="BE694" t="s">
        <v>81</v>
      </c>
      <c r="BF694" t="s">
        <v>81</v>
      </c>
      <c r="BG694" t="s">
        <v>81</v>
      </c>
      <c r="BH694" t="s">
        <v>81</v>
      </c>
    </row>
    <row r="695" spans="1:60" x14ac:dyDescent="0.35">
      <c r="A695" t="s">
        <v>1231</v>
      </c>
      <c r="B695" t="s">
        <v>438</v>
      </c>
      <c r="C695" t="s">
        <v>1478</v>
      </c>
      <c r="D695" t="s">
        <v>1479</v>
      </c>
      <c r="E695">
        <v>1126</v>
      </c>
      <c r="F695" t="s">
        <v>81</v>
      </c>
      <c r="G695" t="s">
        <v>81</v>
      </c>
      <c r="H695" t="s">
        <v>81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 t="s">
        <v>81</v>
      </c>
      <c r="BB695" t="s">
        <v>81</v>
      </c>
      <c r="BC695" t="s">
        <v>81</v>
      </c>
      <c r="BD695" t="s">
        <v>81</v>
      </c>
      <c r="BE695" t="s">
        <v>81</v>
      </c>
      <c r="BF695" t="s">
        <v>81</v>
      </c>
      <c r="BG695" t="s">
        <v>81</v>
      </c>
      <c r="BH695" t="s">
        <v>81</v>
      </c>
    </row>
    <row r="696" spans="1:60" x14ac:dyDescent="0.35">
      <c r="A696" t="s">
        <v>1231</v>
      </c>
      <c r="B696" t="s">
        <v>438</v>
      </c>
      <c r="C696" t="s">
        <v>1480</v>
      </c>
      <c r="D696" t="s">
        <v>1481</v>
      </c>
      <c r="E696">
        <v>2661</v>
      </c>
      <c r="F696" t="s">
        <v>81</v>
      </c>
      <c r="G696" t="s">
        <v>81</v>
      </c>
      <c r="H696" t="s">
        <v>81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2</v>
      </c>
      <c r="BG696">
        <v>0</v>
      </c>
      <c r="BH696">
        <v>0</v>
      </c>
    </row>
    <row r="697" spans="1:60" x14ac:dyDescent="0.35">
      <c r="A697" t="s">
        <v>1482</v>
      </c>
      <c r="B697" t="s">
        <v>1482</v>
      </c>
      <c r="C697" t="s">
        <v>1482</v>
      </c>
      <c r="D697" t="s">
        <v>1483</v>
      </c>
      <c r="E697">
        <v>542675</v>
      </c>
      <c r="F697">
        <v>1959</v>
      </c>
      <c r="G697">
        <v>1965.0940000000001</v>
      </c>
      <c r="H697">
        <v>1.0031110000000001</v>
      </c>
      <c r="I697">
        <v>1664.17</v>
      </c>
      <c r="J697">
        <v>0</v>
      </c>
      <c r="K697">
        <v>0</v>
      </c>
      <c r="L697">
        <v>0</v>
      </c>
      <c r="M697">
        <v>0</v>
      </c>
      <c r="N697">
        <v>1664.17</v>
      </c>
      <c r="O697">
        <v>397372.47</v>
      </c>
      <c r="P697">
        <v>0</v>
      </c>
      <c r="Q697">
        <v>63.46</v>
      </c>
      <c r="R697">
        <v>0</v>
      </c>
      <c r="S697">
        <v>0</v>
      </c>
      <c r="T697">
        <v>397435.93</v>
      </c>
      <c r="U697">
        <v>232403.06</v>
      </c>
      <c r="V697">
        <v>0</v>
      </c>
      <c r="W697">
        <v>191.61</v>
      </c>
      <c r="X697">
        <v>0</v>
      </c>
      <c r="Y697">
        <v>0</v>
      </c>
      <c r="Z697">
        <v>232594.67</v>
      </c>
      <c r="AA697">
        <v>735374.74</v>
      </c>
      <c r="AB697">
        <v>0</v>
      </c>
      <c r="AC697">
        <v>34092.67</v>
      </c>
      <c r="AD697">
        <v>0</v>
      </c>
      <c r="AE697">
        <v>0</v>
      </c>
      <c r="AF697">
        <v>769467.41</v>
      </c>
      <c r="AG697">
        <v>13856.64</v>
      </c>
      <c r="AH697">
        <v>0</v>
      </c>
      <c r="AI697">
        <v>3482.78</v>
      </c>
      <c r="AJ697">
        <v>0</v>
      </c>
      <c r="AK697">
        <v>0</v>
      </c>
      <c r="AL697">
        <v>17339.419999999998</v>
      </c>
      <c r="AM697">
        <v>960701.83</v>
      </c>
      <c r="AN697">
        <v>21957.14</v>
      </c>
      <c r="AO697">
        <v>5530.57</v>
      </c>
      <c r="AP697">
        <v>2468.3200000000002</v>
      </c>
      <c r="AQ697">
        <v>0</v>
      </c>
      <c r="AR697">
        <v>990657.86</v>
      </c>
      <c r="AS697">
        <v>1407624.97</v>
      </c>
      <c r="AT697">
        <v>0</v>
      </c>
      <c r="AU697">
        <v>1061.6300000000001</v>
      </c>
      <c r="AV697">
        <v>0</v>
      </c>
      <c r="AW697">
        <v>0</v>
      </c>
      <c r="AX697">
        <v>1408686.6</v>
      </c>
      <c r="AY697">
        <v>3817846.06</v>
      </c>
      <c r="AZ697">
        <v>1</v>
      </c>
      <c r="BA697">
        <v>638</v>
      </c>
      <c r="BB697">
        <v>60228.805</v>
      </c>
      <c r="BC697">
        <v>38425977.387000002</v>
      </c>
      <c r="BD697">
        <v>8786.5233700000008</v>
      </c>
      <c r="BE697">
        <v>2433.261</v>
      </c>
      <c r="BF697">
        <v>2688</v>
      </c>
      <c r="BG697">
        <v>7173.8905020000002</v>
      </c>
      <c r="BH697">
        <v>2865.5459999999998</v>
      </c>
    </row>
    <row r="698" spans="1:60" x14ac:dyDescent="0.35">
      <c r="A698" t="s">
        <v>1482</v>
      </c>
      <c r="B698" t="s">
        <v>1482</v>
      </c>
      <c r="C698" t="s">
        <v>1484</v>
      </c>
      <c r="D698" t="s">
        <v>1485</v>
      </c>
      <c r="E698">
        <v>81839</v>
      </c>
      <c r="F698">
        <v>518</v>
      </c>
      <c r="G698">
        <v>436.72919999999999</v>
      </c>
      <c r="H698">
        <v>0.84310660000000004</v>
      </c>
      <c r="I698">
        <v>72603.679999999993</v>
      </c>
      <c r="J698">
        <v>0</v>
      </c>
      <c r="K698">
        <v>0</v>
      </c>
      <c r="L698">
        <v>0</v>
      </c>
      <c r="M698">
        <v>0</v>
      </c>
      <c r="N698">
        <v>72603.679999999993</v>
      </c>
      <c r="O698">
        <v>16094.89</v>
      </c>
      <c r="P698">
        <v>0</v>
      </c>
      <c r="Q698">
        <v>0</v>
      </c>
      <c r="R698">
        <v>0</v>
      </c>
      <c r="S698">
        <v>0</v>
      </c>
      <c r="T698">
        <v>16094.89</v>
      </c>
      <c r="U698">
        <v>18780.830000000002</v>
      </c>
      <c r="V698">
        <v>0</v>
      </c>
      <c r="W698">
        <v>0</v>
      </c>
      <c r="X698">
        <v>0</v>
      </c>
      <c r="Y698">
        <v>0</v>
      </c>
      <c r="Z698">
        <v>18780.830000000002</v>
      </c>
      <c r="AA698">
        <v>71348.11</v>
      </c>
      <c r="AB698">
        <v>12182.14</v>
      </c>
      <c r="AC698">
        <v>9575.69</v>
      </c>
      <c r="AD698">
        <v>0</v>
      </c>
      <c r="AE698">
        <v>0</v>
      </c>
      <c r="AF698">
        <v>93105.94</v>
      </c>
      <c r="AG698">
        <v>5180.4799999999996</v>
      </c>
      <c r="AH698">
        <v>2346.98</v>
      </c>
      <c r="AI698">
        <v>1398.22</v>
      </c>
      <c r="AJ698">
        <v>0</v>
      </c>
      <c r="AK698">
        <v>0</v>
      </c>
      <c r="AL698">
        <v>8925.68</v>
      </c>
      <c r="AM698">
        <v>147938.87</v>
      </c>
      <c r="AN698">
        <v>19477.04</v>
      </c>
      <c r="AO698">
        <v>2319.02</v>
      </c>
      <c r="AP698">
        <v>0</v>
      </c>
      <c r="AQ698">
        <v>0</v>
      </c>
      <c r="AR698">
        <v>169734.93</v>
      </c>
      <c r="AS698">
        <v>85699.61</v>
      </c>
      <c r="AT698">
        <v>0</v>
      </c>
      <c r="AU698">
        <v>554.76</v>
      </c>
      <c r="AV698">
        <v>0</v>
      </c>
      <c r="AW698">
        <v>0</v>
      </c>
      <c r="AX698">
        <v>86254.37</v>
      </c>
      <c r="AY698">
        <v>465500.32</v>
      </c>
      <c r="AZ698">
        <v>1</v>
      </c>
      <c r="BA698">
        <v>134</v>
      </c>
      <c r="BB698">
        <v>62076.762000000002</v>
      </c>
      <c r="BC698">
        <v>8318286.057</v>
      </c>
      <c r="BD698">
        <v>8234.0668659999992</v>
      </c>
      <c r="BE698">
        <v>2007.5519999999999</v>
      </c>
      <c r="BF698">
        <v>461</v>
      </c>
      <c r="BG698">
        <v>9425.7813879999994</v>
      </c>
      <c r="BH698">
        <v>2132.13</v>
      </c>
    </row>
    <row r="699" spans="1:60" x14ac:dyDescent="0.35">
      <c r="A699" t="s">
        <v>1482</v>
      </c>
      <c r="B699" t="s">
        <v>1482</v>
      </c>
      <c r="C699" t="s">
        <v>1486</v>
      </c>
      <c r="D699" t="s">
        <v>1487</v>
      </c>
      <c r="E699">
        <v>47558</v>
      </c>
      <c r="F699">
        <v>133</v>
      </c>
      <c r="G699">
        <v>106.7701</v>
      </c>
      <c r="H699">
        <v>0.80278240000000001</v>
      </c>
      <c r="I699">
        <v>214433.55</v>
      </c>
      <c r="J699">
        <v>0</v>
      </c>
      <c r="K699">
        <v>0</v>
      </c>
      <c r="L699">
        <v>0</v>
      </c>
      <c r="M699">
        <v>0</v>
      </c>
      <c r="N699">
        <v>214433.55</v>
      </c>
      <c r="O699">
        <v>15899.65</v>
      </c>
      <c r="P699">
        <v>0</v>
      </c>
      <c r="Q699">
        <v>0</v>
      </c>
      <c r="R699">
        <v>0</v>
      </c>
      <c r="S699">
        <v>0</v>
      </c>
      <c r="T699">
        <v>15899.65</v>
      </c>
      <c r="U699">
        <v>11562.33</v>
      </c>
      <c r="V699">
        <v>0</v>
      </c>
      <c r="W699">
        <v>0</v>
      </c>
      <c r="X699">
        <v>0</v>
      </c>
      <c r="Y699">
        <v>0</v>
      </c>
      <c r="Z699">
        <v>11562.33</v>
      </c>
      <c r="AA699">
        <v>3527.16</v>
      </c>
      <c r="AB699">
        <v>0</v>
      </c>
      <c r="AC699">
        <v>0</v>
      </c>
      <c r="AD699">
        <v>0</v>
      </c>
      <c r="AE699">
        <v>0</v>
      </c>
      <c r="AF699">
        <v>3527.16</v>
      </c>
      <c r="AG699">
        <v>4.75</v>
      </c>
      <c r="AH699">
        <v>0</v>
      </c>
      <c r="AI699">
        <v>0</v>
      </c>
      <c r="AJ699">
        <v>0</v>
      </c>
      <c r="AK699">
        <v>0</v>
      </c>
      <c r="AL699">
        <v>4.75</v>
      </c>
      <c r="AM699">
        <v>60325.760000000002</v>
      </c>
      <c r="AN699">
        <v>0</v>
      </c>
      <c r="AO699">
        <v>0</v>
      </c>
      <c r="AP699">
        <v>0</v>
      </c>
      <c r="AQ699">
        <v>0</v>
      </c>
      <c r="AR699">
        <v>60325.760000000002</v>
      </c>
      <c r="AS699">
        <v>34341.1</v>
      </c>
      <c r="AT699">
        <v>0</v>
      </c>
      <c r="AU699">
        <v>0</v>
      </c>
      <c r="AV699">
        <v>0</v>
      </c>
      <c r="AW699">
        <v>0</v>
      </c>
      <c r="AX699">
        <v>34341.1</v>
      </c>
      <c r="AY699">
        <v>340094.3</v>
      </c>
      <c r="AZ699">
        <v>1</v>
      </c>
      <c r="BA699">
        <v>44</v>
      </c>
      <c r="BB699">
        <v>62003.889000000003</v>
      </c>
      <c r="BC699">
        <v>2728171.0970000001</v>
      </c>
      <c r="BD699">
        <v>6704.3627269999997</v>
      </c>
      <c r="BE699">
        <v>1189.6579999999999</v>
      </c>
      <c r="BF699">
        <v>162</v>
      </c>
      <c r="BG699">
        <v>9858.6312350000007</v>
      </c>
      <c r="BH699">
        <v>8504.8029999999999</v>
      </c>
    </row>
    <row r="700" spans="1:60" x14ac:dyDescent="0.35">
      <c r="A700" t="s">
        <v>1482</v>
      </c>
      <c r="B700" t="s">
        <v>1482</v>
      </c>
      <c r="C700" t="s">
        <v>1488</v>
      </c>
      <c r="D700" t="s">
        <v>1489</v>
      </c>
      <c r="E700">
        <v>64826</v>
      </c>
      <c r="F700">
        <v>175</v>
      </c>
      <c r="G700">
        <v>114.9813</v>
      </c>
      <c r="H700">
        <v>0.65703599999999995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739.62</v>
      </c>
      <c r="P700">
        <v>0</v>
      </c>
      <c r="Q700">
        <v>0</v>
      </c>
      <c r="R700">
        <v>0</v>
      </c>
      <c r="S700">
        <v>0</v>
      </c>
      <c r="T700">
        <v>739.62</v>
      </c>
      <c r="U700">
        <v>20315.79</v>
      </c>
      <c r="V700">
        <v>0</v>
      </c>
      <c r="W700">
        <v>0</v>
      </c>
      <c r="X700">
        <v>0</v>
      </c>
      <c r="Y700">
        <v>0</v>
      </c>
      <c r="Z700">
        <v>20315.79</v>
      </c>
      <c r="AA700">
        <v>61023.01</v>
      </c>
      <c r="AB700">
        <v>0</v>
      </c>
      <c r="AC700">
        <v>0</v>
      </c>
      <c r="AD700">
        <v>0</v>
      </c>
      <c r="AE700">
        <v>0</v>
      </c>
      <c r="AF700">
        <v>61023.01</v>
      </c>
      <c r="AG700">
        <v>374.86</v>
      </c>
      <c r="AH700">
        <v>0</v>
      </c>
      <c r="AI700">
        <v>0</v>
      </c>
      <c r="AJ700">
        <v>0</v>
      </c>
      <c r="AK700">
        <v>0</v>
      </c>
      <c r="AL700">
        <v>374.86</v>
      </c>
      <c r="AM700">
        <v>90750.18</v>
      </c>
      <c r="AN700">
        <v>0</v>
      </c>
      <c r="AO700">
        <v>0</v>
      </c>
      <c r="AP700">
        <v>0</v>
      </c>
      <c r="AQ700">
        <v>0</v>
      </c>
      <c r="AR700">
        <v>90750.18</v>
      </c>
      <c r="AS700">
        <v>212566.07</v>
      </c>
      <c r="AT700">
        <v>0</v>
      </c>
      <c r="AU700">
        <v>0</v>
      </c>
      <c r="AV700">
        <v>0</v>
      </c>
      <c r="AW700">
        <v>0</v>
      </c>
      <c r="AX700">
        <v>212566.07</v>
      </c>
      <c r="AY700">
        <v>385769.53</v>
      </c>
      <c r="AZ700">
        <v>1</v>
      </c>
      <c r="BA700">
        <v>76</v>
      </c>
      <c r="BB700">
        <v>81806.902000000002</v>
      </c>
      <c r="BC700">
        <v>6217324.5599999996</v>
      </c>
      <c r="BD700">
        <v>3781.8517109999998</v>
      </c>
      <c r="BE700">
        <v>1490.7090000000001</v>
      </c>
      <c r="BF700">
        <v>234</v>
      </c>
      <c r="BG700">
        <v>4920.9750000000004</v>
      </c>
      <c r="BH700">
        <v>12402.796</v>
      </c>
    </row>
    <row r="701" spans="1:60" x14ac:dyDescent="0.35">
      <c r="A701" t="s">
        <v>1482</v>
      </c>
      <c r="B701" t="s">
        <v>1482</v>
      </c>
      <c r="C701" t="s">
        <v>1490</v>
      </c>
      <c r="D701" t="s">
        <v>1491</v>
      </c>
      <c r="E701">
        <v>3775</v>
      </c>
      <c r="F701">
        <v>23</v>
      </c>
      <c r="G701">
        <v>21.39819</v>
      </c>
      <c r="H701">
        <v>0.93035610000000002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0.16</v>
      </c>
      <c r="V701">
        <v>0</v>
      </c>
      <c r="W701">
        <v>0</v>
      </c>
      <c r="X701">
        <v>0</v>
      </c>
      <c r="Y701">
        <v>0</v>
      </c>
      <c r="Z701">
        <v>0.16</v>
      </c>
      <c r="AA701">
        <v>116.77</v>
      </c>
      <c r="AB701">
        <v>0</v>
      </c>
      <c r="AC701">
        <v>0</v>
      </c>
      <c r="AD701">
        <v>0</v>
      </c>
      <c r="AE701">
        <v>0</v>
      </c>
      <c r="AF701">
        <v>116.77</v>
      </c>
      <c r="AG701">
        <v>35.6</v>
      </c>
      <c r="AH701">
        <v>0</v>
      </c>
      <c r="AI701">
        <v>0</v>
      </c>
      <c r="AJ701">
        <v>0</v>
      </c>
      <c r="AK701">
        <v>0</v>
      </c>
      <c r="AL701">
        <v>35.6</v>
      </c>
      <c r="AM701">
        <v>1814.99</v>
      </c>
      <c r="AN701">
        <v>0</v>
      </c>
      <c r="AO701">
        <v>0</v>
      </c>
      <c r="AP701">
        <v>0</v>
      </c>
      <c r="AQ701">
        <v>0</v>
      </c>
      <c r="AR701">
        <v>1814.99</v>
      </c>
      <c r="AS701">
        <v>1994.17</v>
      </c>
      <c r="AT701">
        <v>0</v>
      </c>
      <c r="AU701">
        <v>0</v>
      </c>
      <c r="AV701">
        <v>0</v>
      </c>
      <c r="AW701">
        <v>0</v>
      </c>
      <c r="AX701">
        <v>1994.17</v>
      </c>
      <c r="AY701">
        <v>3961.69</v>
      </c>
      <c r="AZ701">
        <v>1</v>
      </c>
      <c r="BA701">
        <v>8</v>
      </c>
      <c r="BB701">
        <v>100452.27899999999</v>
      </c>
      <c r="BC701">
        <v>803618.228</v>
      </c>
      <c r="BD701">
        <v>272.03750000000002</v>
      </c>
      <c r="BE701">
        <v>11262.647000000001</v>
      </c>
      <c r="BF701">
        <v>20</v>
      </c>
      <c r="BG701">
        <v>738.98</v>
      </c>
      <c r="BH701">
        <v>13464.772999999999</v>
      </c>
    </row>
    <row r="702" spans="1:60" x14ac:dyDescent="0.35">
      <c r="A702" t="s">
        <v>1482</v>
      </c>
      <c r="B702" t="s">
        <v>1482</v>
      </c>
      <c r="C702" t="s">
        <v>1492</v>
      </c>
      <c r="D702" t="s">
        <v>1493</v>
      </c>
      <c r="E702">
        <v>412023</v>
      </c>
      <c r="F702">
        <v>421</v>
      </c>
      <c r="G702">
        <v>379.64839999999998</v>
      </c>
      <c r="H702">
        <v>0.90177759999999996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7611.38</v>
      </c>
      <c r="V702">
        <v>0</v>
      </c>
      <c r="W702">
        <v>0</v>
      </c>
      <c r="X702">
        <v>0</v>
      </c>
      <c r="Y702">
        <v>0</v>
      </c>
      <c r="Z702">
        <v>7611.38</v>
      </c>
      <c r="AA702">
        <v>224464.49</v>
      </c>
      <c r="AB702">
        <v>17436.68</v>
      </c>
      <c r="AC702">
        <v>111143.22</v>
      </c>
      <c r="AD702">
        <v>0</v>
      </c>
      <c r="AE702">
        <v>0</v>
      </c>
      <c r="AF702">
        <v>353044.39</v>
      </c>
      <c r="AG702">
        <v>75159.31</v>
      </c>
      <c r="AH702">
        <v>4620.8100000000004</v>
      </c>
      <c r="AI702">
        <v>22202.55</v>
      </c>
      <c r="AJ702">
        <v>0</v>
      </c>
      <c r="AK702">
        <v>0</v>
      </c>
      <c r="AL702">
        <v>101982.67</v>
      </c>
      <c r="AM702">
        <v>143873.26999999999</v>
      </c>
      <c r="AN702">
        <v>9311.34</v>
      </c>
      <c r="AO702">
        <v>17925.03</v>
      </c>
      <c r="AP702">
        <v>2526.04</v>
      </c>
      <c r="AQ702">
        <v>0</v>
      </c>
      <c r="AR702">
        <v>173635.68</v>
      </c>
      <c r="AS702">
        <v>67501.600000000006</v>
      </c>
      <c r="AT702">
        <v>0</v>
      </c>
      <c r="AU702">
        <v>2539.56</v>
      </c>
      <c r="AV702">
        <v>0</v>
      </c>
      <c r="AW702">
        <v>0</v>
      </c>
      <c r="AX702">
        <v>70041.16</v>
      </c>
      <c r="AY702">
        <v>706315.28</v>
      </c>
      <c r="AZ702">
        <v>1</v>
      </c>
      <c r="BA702">
        <v>225</v>
      </c>
      <c r="BB702">
        <v>57729.495000000003</v>
      </c>
      <c r="BC702">
        <v>12989136.332</v>
      </c>
      <c r="BD702">
        <v>9712.4441779999997</v>
      </c>
      <c r="BE702">
        <v>1885.171</v>
      </c>
      <c r="BF702">
        <v>1612</v>
      </c>
      <c r="BG702">
        <v>8480.0426239999997</v>
      </c>
      <c r="BH702">
        <v>967.73500000000001</v>
      </c>
    </row>
    <row r="703" spans="1:60" x14ac:dyDescent="0.35">
      <c r="A703" t="s">
        <v>1482</v>
      </c>
      <c r="B703" t="s">
        <v>1482</v>
      </c>
      <c r="C703" t="s">
        <v>1494</v>
      </c>
      <c r="D703" t="s">
        <v>1495</v>
      </c>
      <c r="E703">
        <v>56918</v>
      </c>
      <c r="F703">
        <v>30</v>
      </c>
      <c r="G703">
        <v>19.241309999999999</v>
      </c>
      <c r="H703">
        <v>0.64137699999999997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21</v>
      </c>
      <c r="BB703">
        <v>58285.044999999998</v>
      </c>
      <c r="BC703">
        <v>1223985.94</v>
      </c>
      <c r="BD703">
        <v>1032.455238</v>
      </c>
      <c r="BE703">
        <v>230.74199999999999</v>
      </c>
      <c r="BF703">
        <v>104</v>
      </c>
      <c r="BG703">
        <v>28054.236538000001</v>
      </c>
      <c r="BH703">
        <v>1981.951</v>
      </c>
    </row>
    <row r="704" spans="1:60" x14ac:dyDescent="0.35">
      <c r="A704" t="s">
        <v>1496</v>
      </c>
      <c r="B704" t="s">
        <v>1496</v>
      </c>
      <c r="C704" t="s">
        <v>1496</v>
      </c>
      <c r="D704" t="s">
        <v>1497</v>
      </c>
      <c r="E704">
        <v>119438</v>
      </c>
      <c r="F704">
        <v>683</v>
      </c>
      <c r="G704">
        <v>669.52419999999995</v>
      </c>
      <c r="H704">
        <v>0.98026970000000002</v>
      </c>
      <c r="I704">
        <v>39258.29</v>
      </c>
      <c r="J704">
        <v>0</v>
      </c>
      <c r="K704">
        <v>0</v>
      </c>
      <c r="L704">
        <v>0</v>
      </c>
      <c r="M704">
        <v>0</v>
      </c>
      <c r="N704">
        <v>39258.29</v>
      </c>
      <c r="O704">
        <v>181024.46</v>
      </c>
      <c r="P704">
        <v>0</v>
      </c>
      <c r="Q704">
        <v>0</v>
      </c>
      <c r="R704">
        <v>0</v>
      </c>
      <c r="S704">
        <v>0</v>
      </c>
      <c r="T704">
        <v>181024.46</v>
      </c>
      <c r="U704">
        <v>184528.85</v>
      </c>
      <c r="V704">
        <v>0</v>
      </c>
      <c r="W704">
        <v>2716.2</v>
      </c>
      <c r="X704">
        <v>0</v>
      </c>
      <c r="Y704">
        <v>0</v>
      </c>
      <c r="Z704">
        <v>187245.05</v>
      </c>
      <c r="AA704">
        <v>722730.35</v>
      </c>
      <c r="AB704">
        <v>1253.06</v>
      </c>
      <c r="AC704">
        <v>391696.99</v>
      </c>
      <c r="AD704">
        <v>0</v>
      </c>
      <c r="AE704">
        <v>0</v>
      </c>
      <c r="AF704">
        <v>1115680.3999999999</v>
      </c>
      <c r="AG704">
        <v>9497</v>
      </c>
      <c r="AH704">
        <v>224.28</v>
      </c>
      <c r="AI704">
        <v>48888.07</v>
      </c>
      <c r="AJ704">
        <v>0</v>
      </c>
      <c r="AK704">
        <v>0</v>
      </c>
      <c r="AL704">
        <v>58609.35</v>
      </c>
      <c r="AM704">
        <v>649448.13</v>
      </c>
      <c r="AN704">
        <v>47099.78</v>
      </c>
      <c r="AO704">
        <v>127840.33</v>
      </c>
      <c r="AP704">
        <v>0</v>
      </c>
      <c r="AQ704">
        <v>0</v>
      </c>
      <c r="AR704">
        <v>824388.24</v>
      </c>
      <c r="AS704">
        <v>522695.55</v>
      </c>
      <c r="AT704">
        <v>0</v>
      </c>
      <c r="AU704">
        <v>19777.79</v>
      </c>
      <c r="AV704">
        <v>0</v>
      </c>
      <c r="AW704">
        <v>0</v>
      </c>
      <c r="AX704">
        <v>542473.34</v>
      </c>
      <c r="AY704">
        <v>2948679.13</v>
      </c>
      <c r="AZ704">
        <v>1</v>
      </c>
      <c r="BA704">
        <v>271</v>
      </c>
      <c r="BB704">
        <v>48593.095000000001</v>
      </c>
      <c r="BC704">
        <v>13168728.630000001</v>
      </c>
      <c r="BD704">
        <v>4195.5735420000001</v>
      </c>
      <c r="BE704">
        <v>11218.691999999999</v>
      </c>
      <c r="BF704">
        <v>2086</v>
      </c>
      <c r="BG704">
        <v>7224.0547939999997</v>
      </c>
      <c r="BH704">
        <v>8636.7430000000004</v>
      </c>
    </row>
    <row r="705" spans="1:60" x14ac:dyDescent="0.35">
      <c r="A705" t="s">
        <v>1496</v>
      </c>
      <c r="B705" t="s">
        <v>1496</v>
      </c>
      <c r="C705" t="s">
        <v>1498</v>
      </c>
      <c r="D705" t="s">
        <v>1499</v>
      </c>
      <c r="E705">
        <v>2413</v>
      </c>
      <c r="F705" t="s">
        <v>81</v>
      </c>
      <c r="G705" t="s">
        <v>81</v>
      </c>
      <c r="H705" t="s">
        <v>81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2</v>
      </c>
      <c r="BG705">
        <v>0</v>
      </c>
      <c r="BH705">
        <v>0</v>
      </c>
    </row>
    <row r="706" spans="1:60" x14ac:dyDescent="0.35">
      <c r="A706" t="s">
        <v>1496</v>
      </c>
      <c r="B706" t="s">
        <v>1496</v>
      </c>
      <c r="C706" t="s">
        <v>1500</v>
      </c>
      <c r="D706" t="s">
        <v>1501</v>
      </c>
      <c r="E706">
        <v>14369</v>
      </c>
      <c r="F706">
        <v>11</v>
      </c>
      <c r="G706">
        <v>9.5156469999999995</v>
      </c>
      <c r="H706">
        <v>0.86505880000000002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6</v>
      </c>
      <c r="BB706">
        <v>15309.674999999999</v>
      </c>
      <c r="BC706">
        <v>91858.05</v>
      </c>
      <c r="BD706">
        <v>0</v>
      </c>
      <c r="BE706">
        <v>1705.252</v>
      </c>
      <c r="BF706">
        <v>57</v>
      </c>
      <c r="BG706">
        <v>4540.9526320000004</v>
      </c>
      <c r="BH706">
        <v>0</v>
      </c>
    </row>
    <row r="707" spans="1:60" x14ac:dyDescent="0.35">
      <c r="A707" t="s">
        <v>1496</v>
      </c>
      <c r="B707" t="s">
        <v>1496</v>
      </c>
      <c r="C707" t="s">
        <v>1502</v>
      </c>
      <c r="D707" t="s">
        <v>1503</v>
      </c>
      <c r="E707">
        <v>79628</v>
      </c>
      <c r="F707">
        <v>159</v>
      </c>
      <c r="G707">
        <v>190.82769999999999</v>
      </c>
      <c r="H707">
        <v>1.2001740000000001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4575.34</v>
      </c>
      <c r="V707">
        <v>0</v>
      </c>
      <c r="W707">
        <v>0</v>
      </c>
      <c r="X707">
        <v>0</v>
      </c>
      <c r="Y707">
        <v>0</v>
      </c>
      <c r="Z707">
        <v>4575.34</v>
      </c>
      <c r="AA707">
        <v>90018.83</v>
      </c>
      <c r="AB707">
        <v>0</v>
      </c>
      <c r="AC707">
        <v>186873.63</v>
      </c>
      <c r="AD707">
        <v>0</v>
      </c>
      <c r="AE707">
        <v>0</v>
      </c>
      <c r="AF707">
        <v>276892.46000000002</v>
      </c>
      <c r="AG707">
        <v>17948.560000000001</v>
      </c>
      <c r="AH707">
        <v>0</v>
      </c>
      <c r="AI707">
        <v>22715.68</v>
      </c>
      <c r="AJ707">
        <v>0</v>
      </c>
      <c r="AK707">
        <v>0</v>
      </c>
      <c r="AL707">
        <v>40664.239999999998</v>
      </c>
      <c r="AM707">
        <v>38254.65</v>
      </c>
      <c r="AN707">
        <v>0</v>
      </c>
      <c r="AO707">
        <v>19736.12</v>
      </c>
      <c r="AP707">
        <v>0</v>
      </c>
      <c r="AQ707">
        <v>0</v>
      </c>
      <c r="AR707">
        <v>57990.77</v>
      </c>
      <c r="AS707">
        <v>9587.94</v>
      </c>
      <c r="AT707">
        <v>0</v>
      </c>
      <c r="AU707">
        <v>2137.5100000000002</v>
      </c>
      <c r="AV707">
        <v>0</v>
      </c>
      <c r="AW707">
        <v>0</v>
      </c>
      <c r="AX707">
        <v>11725.45</v>
      </c>
      <c r="AY707">
        <v>391848.26</v>
      </c>
      <c r="AZ707">
        <v>1</v>
      </c>
      <c r="BA707">
        <v>89</v>
      </c>
      <c r="BB707">
        <v>55622.324000000001</v>
      </c>
      <c r="BC707">
        <v>4950386.8090000004</v>
      </c>
      <c r="BD707">
        <v>2431.3419100000001</v>
      </c>
      <c r="BE707">
        <v>1612.364</v>
      </c>
      <c r="BF707">
        <v>934</v>
      </c>
      <c r="BG707">
        <v>4629.2565949999998</v>
      </c>
      <c r="BH707">
        <v>1590.683</v>
      </c>
    </row>
    <row r="708" spans="1:60" x14ac:dyDescent="0.35">
      <c r="A708" t="s">
        <v>1496</v>
      </c>
      <c r="B708" t="s">
        <v>1496</v>
      </c>
      <c r="C708" t="s">
        <v>1504</v>
      </c>
      <c r="D708" t="s">
        <v>1505</v>
      </c>
      <c r="E708">
        <v>147108</v>
      </c>
      <c r="F708">
        <v>193</v>
      </c>
      <c r="G708">
        <v>160.03450000000001</v>
      </c>
      <c r="H708">
        <v>0.82919419999999999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1682.98</v>
      </c>
      <c r="P708">
        <v>0</v>
      </c>
      <c r="Q708">
        <v>0</v>
      </c>
      <c r="R708">
        <v>0</v>
      </c>
      <c r="S708">
        <v>0</v>
      </c>
      <c r="T708">
        <v>1682.98</v>
      </c>
      <c r="U708">
        <v>327.67</v>
      </c>
      <c r="V708">
        <v>0</v>
      </c>
      <c r="W708">
        <v>343.22</v>
      </c>
      <c r="X708">
        <v>0</v>
      </c>
      <c r="Y708">
        <v>0</v>
      </c>
      <c r="Z708">
        <v>670.89</v>
      </c>
      <c r="AA708">
        <v>91077.14</v>
      </c>
      <c r="AB708">
        <v>11922.63</v>
      </c>
      <c r="AC708">
        <v>329764.84999999998</v>
      </c>
      <c r="AD708">
        <v>10180.44</v>
      </c>
      <c r="AE708">
        <v>0</v>
      </c>
      <c r="AF708">
        <v>442945.06</v>
      </c>
      <c r="AG708">
        <v>6717.01</v>
      </c>
      <c r="AH708">
        <v>2158.73</v>
      </c>
      <c r="AI708">
        <v>43629.46</v>
      </c>
      <c r="AJ708">
        <v>1898.7</v>
      </c>
      <c r="AK708">
        <v>0</v>
      </c>
      <c r="AL708">
        <v>54403.9</v>
      </c>
      <c r="AM708">
        <v>26505.54</v>
      </c>
      <c r="AN708">
        <v>1166.49</v>
      </c>
      <c r="AO708">
        <v>52654.35</v>
      </c>
      <c r="AP708">
        <v>936.03</v>
      </c>
      <c r="AQ708">
        <v>0</v>
      </c>
      <c r="AR708">
        <v>81262.41</v>
      </c>
      <c r="AS708">
        <v>24075.42</v>
      </c>
      <c r="AT708">
        <v>0</v>
      </c>
      <c r="AU708">
        <v>10532.32</v>
      </c>
      <c r="AV708">
        <v>0</v>
      </c>
      <c r="AW708">
        <v>0</v>
      </c>
      <c r="AX708">
        <v>34607.74</v>
      </c>
      <c r="AY708">
        <v>615572.98</v>
      </c>
      <c r="AZ708">
        <v>1</v>
      </c>
      <c r="BA708">
        <v>135</v>
      </c>
      <c r="BB708">
        <v>44134.866000000002</v>
      </c>
      <c r="BC708">
        <v>5958206.8559999997</v>
      </c>
      <c r="BD708">
        <v>4533.9594070000003</v>
      </c>
      <c r="BE708">
        <v>3684.7370000000001</v>
      </c>
      <c r="BF708">
        <v>1424</v>
      </c>
      <c r="BG708">
        <v>4609.6952460000002</v>
      </c>
      <c r="BH708">
        <v>1570.1759999999999</v>
      </c>
    </row>
    <row r="709" spans="1:60" x14ac:dyDescent="0.35">
      <c r="A709" t="s">
        <v>1496</v>
      </c>
      <c r="B709" t="s">
        <v>1496</v>
      </c>
      <c r="C709" t="s">
        <v>1506</v>
      </c>
      <c r="D709" t="s">
        <v>1507</v>
      </c>
      <c r="E709">
        <v>107473</v>
      </c>
      <c r="F709">
        <v>143</v>
      </c>
      <c r="G709">
        <v>114.34520000000001</v>
      </c>
      <c r="H709">
        <v>0.79961700000000002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43895.68</v>
      </c>
      <c r="AB709">
        <v>0</v>
      </c>
      <c r="AC709">
        <v>192732</v>
      </c>
      <c r="AD709">
        <v>0</v>
      </c>
      <c r="AE709">
        <v>0</v>
      </c>
      <c r="AF709">
        <v>236627.68</v>
      </c>
      <c r="AG709">
        <v>6721.64</v>
      </c>
      <c r="AH709">
        <v>0</v>
      </c>
      <c r="AI709">
        <v>25613.43</v>
      </c>
      <c r="AJ709">
        <v>0</v>
      </c>
      <c r="AK709">
        <v>0</v>
      </c>
      <c r="AL709">
        <v>32335.07</v>
      </c>
      <c r="AM709">
        <v>706.92</v>
      </c>
      <c r="AN709">
        <v>0</v>
      </c>
      <c r="AO709">
        <v>34777.230000000003</v>
      </c>
      <c r="AP709">
        <v>0</v>
      </c>
      <c r="AQ709">
        <v>0</v>
      </c>
      <c r="AR709">
        <v>35484.15</v>
      </c>
      <c r="AS709">
        <v>129.38999999999999</v>
      </c>
      <c r="AT709">
        <v>0</v>
      </c>
      <c r="AU709">
        <v>4204.97</v>
      </c>
      <c r="AV709">
        <v>0</v>
      </c>
      <c r="AW709">
        <v>0</v>
      </c>
      <c r="AX709">
        <v>4334.3599999999997</v>
      </c>
      <c r="AY709">
        <v>308781.26</v>
      </c>
      <c r="AZ709">
        <v>1</v>
      </c>
      <c r="BA709">
        <v>83</v>
      </c>
      <c r="BB709">
        <v>46350.076000000001</v>
      </c>
      <c r="BC709">
        <v>3847056.3029999998</v>
      </c>
      <c r="BD709">
        <v>5640.2408429999996</v>
      </c>
      <c r="BE709">
        <v>4066.8240000000001</v>
      </c>
      <c r="BF709">
        <v>1234</v>
      </c>
      <c r="BG709">
        <v>4029.5204210000002</v>
      </c>
      <c r="BH709">
        <v>517.28599999999994</v>
      </c>
    </row>
    <row r="710" spans="1:60" x14ac:dyDescent="0.35">
      <c r="A710" t="s">
        <v>1496</v>
      </c>
      <c r="B710" t="s">
        <v>1496</v>
      </c>
      <c r="C710" t="s">
        <v>1508</v>
      </c>
      <c r="D710" t="s">
        <v>1509</v>
      </c>
      <c r="E710">
        <v>9751</v>
      </c>
      <c r="F710">
        <v>8</v>
      </c>
      <c r="G710">
        <v>18.304739999999999</v>
      </c>
      <c r="H710">
        <v>2.2880929999999999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5</v>
      </c>
      <c r="BB710">
        <v>112026.291</v>
      </c>
      <c r="BC710">
        <v>560131.45700000005</v>
      </c>
      <c r="BD710">
        <v>0</v>
      </c>
      <c r="BE710">
        <v>1617.6780000000001</v>
      </c>
      <c r="BF710">
        <v>78</v>
      </c>
      <c r="BG710">
        <v>1573.102179</v>
      </c>
      <c r="BH710">
        <v>2102.0050000000001</v>
      </c>
    </row>
    <row r="711" spans="1:60" x14ac:dyDescent="0.35">
      <c r="A711" t="s">
        <v>1496</v>
      </c>
      <c r="B711" t="s">
        <v>1496</v>
      </c>
      <c r="C711" t="s">
        <v>1510</v>
      </c>
      <c r="D711" t="s">
        <v>1511</v>
      </c>
      <c r="E711">
        <v>61588</v>
      </c>
      <c r="F711">
        <v>574</v>
      </c>
      <c r="G711">
        <v>591.77210000000002</v>
      </c>
      <c r="H711">
        <v>1.0309619999999999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1617.4</v>
      </c>
      <c r="P711">
        <v>390.66</v>
      </c>
      <c r="Q711">
        <v>0</v>
      </c>
      <c r="R711">
        <v>0</v>
      </c>
      <c r="S711">
        <v>0</v>
      </c>
      <c r="T711">
        <v>2008.06</v>
      </c>
      <c r="U711">
        <v>16609.46</v>
      </c>
      <c r="V711">
        <v>1761.17</v>
      </c>
      <c r="W711">
        <v>12794.76</v>
      </c>
      <c r="X711">
        <v>0</v>
      </c>
      <c r="Y711">
        <v>0</v>
      </c>
      <c r="Z711">
        <v>31165.39</v>
      </c>
      <c r="AA711">
        <v>158085.29</v>
      </c>
      <c r="AB711">
        <v>23652.43</v>
      </c>
      <c r="AC711">
        <v>458487.58</v>
      </c>
      <c r="AD711">
        <v>0</v>
      </c>
      <c r="AE711">
        <v>0</v>
      </c>
      <c r="AF711">
        <v>640225.30000000005</v>
      </c>
      <c r="AG711">
        <v>8271.89</v>
      </c>
      <c r="AH711">
        <v>0</v>
      </c>
      <c r="AI711">
        <v>45110.44</v>
      </c>
      <c r="AJ711">
        <v>0</v>
      </c>
      <c r="AK711">
        <v>0</v>
      </c>
      <c r="AL711">
        <v>53382.33</v>
      </c>
      <c r="AM711">
        <v>96904.639999999999</v>
      </c>
      <c r="AN711">
        <v>17617.939999999999</v>
      </c>
      <c r="AO711">
        <v>160253.07</v>
      </c>
      <c r="AP711">
        <v>0</v>
      </c>
      <c r="AQ711">
        <v>0</v>
      </c>
      <c r="AR711">
        <v>274775.65000000002</v>
      </c>
      <c r="AS711">
        <v>56761.54</v>
      </c>
      <c r="AT711">
        <v>0</v>
      </c>
      <c r="AU711">
        <v>26756.19</v>
      </c>
      <c r="AV711">
        <v>0</v>
      </c>
      <c r="AW711">
        <v>0</v>
      </c>
      <c r="AX711">
        <v>83517.73</v>
      </c>
      <c r="AY711">
        <v>1085074.46</v>
      </c>
      <c r="AZ711">
        <v>1</v>
      </c>
      <c r="BA711">
        <v>238</v>
      </c>
      <c r="BB711">
        <v>60860.887000000002</v>
      </c>
      <c r="BC711">
        <v>14484891.189999999</v>
      </c>
      <c r="BD711">
        <v>5808.0205880000003</v>
      </c>
      <c r="BE711">
        <v>6901.0630000000001</v>
      </c>
      <c r="BF711">
        <v>1574</v>
      </c>
      <c r="BG711">
        <v>4500.2697079999998</v>
      </c>
      <c r="BH711">
        <v>2885.4009999999998</v>
      </c>
    </row>
    <row r="712" spans="1:60" x14ac:dyDescent="0.35">
      <c r="A712" t="s">
        <v>1496</v>
      </c>
      <c r="B712" t="s">
        <v>1512</v>
      </c>
      <c r="C712" t="s">
        <v>1512</v>
      </c>
      <c r="D712" t="s">
        <v>1513</v>
      </c>
      <c r="E712">
        <v>4500</v>
      </c>
      <c r="F712">
        <v>8</v>
      </c>
      <c r="G712">
        <v>8.0255530000000004</v>
      </c>
      <c r="H712">
        <v>1.0031939999999999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1456.92</v>
      </c>
      <c r="AB712">
        <v>0</v>
      </c>
      <c r="AC712">
        <v>9070.57</v>
      </c>
      <c r="AD712">
        <v>0</v>
      </c>
      <c r="AE712">
        <v>0</v>
      </c>
      <c r="AF712">
        <v>10527.49</v>
      </c>
      <c r="AG712">
        <v>668.3</v>
      </c>
      <c r="AH712">
        <v>0</v>
      </c>
      <c r="AI712">
        <v>4001.62</v>
      </c>
      <c r="AJ712">
        <v>0</v>
      </c>
      <c r="AK712">
        <v>0</v>
      </c>
      <c r="AL712">
        <v>4669.92</v>
      </c>
      <c r="AM712">
        <v>0</v>
      </c>
      <c r="AN712">
        <v>0</v>
      </c>
      <c r="AO712">
        <v>1713.13</v>
      </c>
      <c r="AP712">
        <v>0</v>
      </c>
      <c r="AQ712">
        <v>0</v>
      </c>
      <c r="AR712">
        <v>1713.13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16910.54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17</v>
      </c>
      <c r="BG712">
        <v>11461.204118</v>
      </c>
      <c r="BH712">
        <v>0</v>
      </c>
    </row>
    <row r="713" spans="1:60" x14ac:dyDescent="0.35">
      <c r="A713" t="s">
        <v>1496</v>
      </c>
      <c r="B713" t="s">
        <v>1512</v>
      </c>
      <c r="C713" t="s">
        <v>1514</v>
      </c>
      <c r="D713" t="s">
        <v>1515</v>
      </c>
      <c r="E713">
        <v>3137</v>
      </c>
      <c r="F713" t="s">
        <v>81</v>
      </c>
      <c r="G713" t="s">
        <v>81</v>
      </c>
      <c r="H713" t="s">
        <v>81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11042.5</v>
      </c>
      <c r="BC713">
        <v>11042.5</v>
      </c>
      <c r="BD713">
        <v>0</v>
      </c>
      <c r="BE713">
        <v>0</v>
      </c>
      <c r="BF713">
        <v>5</v>
      </c>
      <c r="BG713">
        <v>0</v>
      </c>
      <c r="BH713">
        <v>0</v>
      </c>
    </row>
    <row r="714" spans="1:60" x14ac:dyDescent="0.35">
      <c r="A714" t="s">
        <v>1496</v>
      </c>
      <c r="B714" t="s">
        <v>1512</v>
      </c>
      <c r="C714" t="s">
        <v>1516</v>
      </c>
      <c r="D714" t="s">
        <v>1517</v>
      </c>
      <c r="E714">
        <v>2323</v>
      </c>
      <c r="F714" t="s">
        <v>81</v>
      </c>
      <c r="G714" t="s">
        <v>81</v>
      </c>
      <c r="H714" t="s">
        <v>81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4</v>
      </c>
      <c r="BG714">
        <v>304.625</v>
      </c>
      <c r="BH714">
        <v>0</v>
      </c>
    </row>
    <row r="715" spans="1:60" x14ac:dyDescent="0.35">
      <c r="A715" t="s">
        <v>1496</v>
      </c>
      <c r="B715" t="s">
        <v>1512</v>
      </c>
      <c r="C715" t="s">
        <v>1518</v>
      </c>
      <c r="D715" t="s">
        <v>1519</v>
      </c>
      <c r="E715">
        <v>963</v>
      </c>
      <c r="F715" t="s">
        <v>81</v>
      </c>
      <c r="G715" t="s">
        <v>81</v>
      </c>
      <c r="H715" t="s">
        <v>81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2</v>
      </c>
      <c r="BG715">
        <v>0</v>
      </c>
      <c r="BH715">
        <v>0</v>
      </c>
    </row>
    <row r="716" spans="1:60" x14ac:dyDescent="0.35">
      <c r="A716" t="s">
        <v>1496</v>
      </c>
      <c r="B716" t="s">
        <v>1512</v>
      </c>
      <c r="C716" t="s">
        <v>1520</v>
      </c>
      <c r="D716" t="s">
        <v>1521</v>
      </c>
      <c r="E716">
        <v>7497</v>
      </c>
      <c r="F716">
        <v>2</v>
      </c>
      <c r="G716">
        <v>2.9774729999999998</v>
      </c>
      <c r="H716">
        <v>1.488737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3352.54</v>
      </c>
      <c r="AB716">
        <v>0</v>
      </c>
      <c r="AC716">
        <v>4076.46</v>
      </c>
      <c r="AD716">
        <v>0</v>
      </c>
      <c r="AE716">
        <v>0</v>
      </c>
      <c r="AF716">
        <v>7429</v>
      </c>
      <c r="AG716">
        <v>1646.16</v>
      </c>
      <c r="AH716">
        <v>0</v>
      </c>
      <c r="AI716">
        <v>1682.78</v>
      </c>
      <c r="AJ716">
        <v>0</v>
      </c>
      <c r="AK716">
        <v>0</v>
      </c>
      <c r="AL716">
        <v>3328.94</v>
      </c>
      <c r="AM716">
        <v>258.10000000000002</v>
      </c>
      <c r="AN716">
        <v>0</v>
      </c>
      <c r="AO716">
        <v>293.06</v>
      </c>
      <c r="AP716">
        <v>0</v>
      </c>
      <c r="AQ716">
        <v>0</v>
      </c>
      <c r="AR716">
        <v>551.16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11309.1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17</v>
      </c>
      <c r="BG716">
        <v>3400.6352940000002</v>
      </c>
      <c r="BH716">
        <v>0</v>
      </c>
    </row>
    <row r="717" spans="1:60" x14ac:dyDescent="0.35">
      <c r="A717" t="s">
        <v>1496</v>
      </c>
      <c r="B717" t="s">
        <v>1512</v>
      </c>
      <c r="C717" t="s">
        <v>1522</v>
      </c>
      <c r="D717" t="s">
        <v>1523</v>
      </c>
      <c r="E717">
        <v>1772</v>
      </c>
      <c r="F717">
        <v>1</v>
      </c>
      <c r="G717">
        <v>0.43</v>
      </c>
      <c r="H717">
        <v>0.43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 t="s">
        <v>81</v>
      </c>
      <c r="BB717" t="s">
        <v>81</v>
      </c>
      <c r="BC717" t="s">
        <v>81</v>
      </c>
      <c r="BD717" t="s">
        <v>81</v>
      </c>
      <c r="BE717" t="s">
        <v>81</v>
      </c>
      <c r="BF717" t="s">
        <v>81</v>
      </c>
      <c r="BG717" t="s">
        <v>81</v>
      </c>
      <c r="BH717" t="s">
        <v>81</v>
      </c>
    </row>
    <row r="718" spans="1:60" x14ac:dyDescent="0.35">
      <c r="A718" t="s">
        <v>1496</v>
      </c>
      <c r="B718" t="s">
        <v>1512</v>
      </c>
      <c r="C718" t="s">
        <v>1524</v>
      </c>
      <c r="D718" t="s">
        <v>1525</v>
      </c>
      <c r="E718">
        <v>3353</v>
      </c>
      <c r="F718">
        <v>3</v>
      </c>
      <c r="G718">
        <v>0.87739999999999996</v>
      </c>
      <c r="H718">
        <v>0.29246670000000002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8</v>
      </c>
      <c r="BG718">
        <v>0</v>
      </c>
      <c r="BH718">
        <v>0</v>
      </c>
    </row>
    <row r="719" spans="1:60" x14ac:dyDescent="0.35">
      <c r="A719" t="s">
        <v>1496</v>
      </c>
      <c r="B719" t="s">
        <v>338</v>
      </c>
      <c r="C719" t="s">
        <v>1526</v>
      </c>
      <c r="D719" t="s">
        <v>1527</v>
      </c>
      <c r="E719">
        <v>27276</v>
      </c>
      <c r="F719">
        <v>29</v>
      </c>
      <c r="G719">
        <v>21.27948</v>
      </c>
      <c r="H719">
        <v>0.73377519999999996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25832.41</v>
      </c>
      <c r="AB719">
        <v>9125.15</v>
      </c>
      <c r="AC719">
        <v>113034.66</v>
      </c>
      <c r="AD719">
        <v>4242.0600000000004</v>
      </c>
      <c r="AE719">
        <v>0</v>
      </c>
      <c r="AF719">
        <v>152234.28</v>
      </c>
      <c r="AG719">
        <v>4939.8100000000004</v>
      </c>
      <c r="AH719">
        <v>1058.04</v>
      </c>
      <c r="AI719">
        <v>25065.82</v>
      </c>
      <c r="AJ719">
        <v>1202.51</v>
      </c>
      <c r="AK719">
        <v>0</v>
      </c>
      <c r="AL719">
        <v>32266.18</v>
      </c>
      <c r="AM719">
        <v>384.12</v>
      </c>
      <c r="AN719">
        <v>541.20000000000005</v>
      </c>
      <c r="AO719">
        <v>11621.06</v>
      </c>
      <c r="AP719">
        <v>292.86</v>
      </c>
      <c r="AQ719">
        <v>0</v>
      </c>
      <c r="AR719">
        <v>12839.24</v>
      </c>
      <c r="AS719">
        <v>0</v>
      </c>
      <c r="AT719">
        <v>0</v>
      </c>
      <c r="AU719">
        <v>154.88</v>
      </c>
      <c r="AV719">
        <v>0</v>
      </c>
      <c r="AW719">
        <v>0</v>
      </c>
      <c r="AX719">
        <v>154.88</v>
      </c>
      <c r="AY719">
        <v>197494.58</v>
      </c>
      <c r="AZ719">
        <v>0</v>
      </c>
      <c r="BA719">
        <v>6</v>
      </c>
      <c r="BB719">
        <v>63032.832999999999</v>
      </c>
      <c r="BC719">
        <v>378197</v>
      </c>
      <c r="BD719">
        <v>21458.825000000001</v>
      </c>
      <c r="BE719">
        <v>0</v>
      </c>
      <c r="BF719">
        <v>203</v>
      </c>
      <c r="BG719">
        <v>1452.777734</v>
      </c>
      <c r="BH719">
        <v>0</v>
      </c>
    </row>
    <row r="720" spans="1:60" x14ac:dyDescent="0.35">
      <c r="A720" t="s">
        <v>1496</v>
      </c>
      <c r="B720" t="s">
        <v>338</v>
      </c>
      <c r="C720" t="s">
        <v>1528</v>
      </c>
      <c r="D720" t="s">
        <v>1529</v>
      </c>
      <c r="E720">
        <v>7922</v>
      </c>
      <c r="F720">
        <v>4</v>
      </c>
      <c r="G720">
        <v>4.8420829999999997</v>
      </c>
      <c r="H720">
        <v>1.210521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44</v>
      </c>
      <c r="BG720">
        <v>10.25</v>
      </c>
      <c r="BH720">
        <v>0</v>
      </c>
    </row>
    <row r="721" spans="1:60" x14ac:dyDescent="0.35">
      <c r="A721" t="s">
        <v>1496</v>
      </c>
      <c r="B721" t="s">
        <v>338</v>
      </c>
      <c r="C721" t="s">
        <v>1530</v>
      </c>
      <c r="D721" t="s">
        <v>1531</v>
      </c>
      <c r="E721">
        <v>2882</v>
      </c>
      <c r="F721" t="s">
        <v>81</v>
      </c>
      <c r="G721" t="s">
        <v>81</v>
      </c>
      <c r="H721" t="s">
        <v>81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22</v>
      </c>
      <c r="BG721">
        <v>0</v>
      </c>
      <c r="BH721">
        <v>1848.722</v>
      </c>
    </row>
    <row r="722" spans="1:60" x14ac:dyDescent="0.35">
      <c r="A722" t="s">
        <v>1496</v>
      </c>
      <c r="B722" t="s">
        <v>338</v>
      </c>
      <c r="C722" t="s">
        <v>1532</v>
      </c>
      <c r="D722" t="s">
        <v>1533</v>
      </c>
      <c r="E722">
        <v>4260</v>
      </c>
      <c r="F722" t="s">
        <v>81</v>
      </c>
      <c r="G722" t="s">
        <v>81</v>
      </c>
      <c r="H722" t="s">
        <v>81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10</v>
      </c>
      <c r="BG722">
        <v>0</v>
      </c>
      <c r="BH722">
        <v>0</v>
      </c>
    </row>
    <row r="723" spans="1:60" x14ac:dyDescent="0.35">
      <c r="A723" t="s">
        <v>1496</v>
      </c>
      <c r="B723" t="s">
        <v>338</v>
      </c>
      <c r="C723" t="s">
        <v>1534</v>
      </c>
      <c r="D723" t="s">
        <v>1535</v>
      </c>
      <c r="E723">
        <v>4447</v>
      </c>
      <c r="F723">
        <v>1</v>
      </c>
      <c r="G723">
        <v>2.8036750000000001</v>
      </c>
      <c r="H723">
        <v>2.8036750000000001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</v>
      </c>
      <c r="BB723">
        <v>14216.333000000001</v>
      </c>
      <c r="BC723">
        <v>14216.333000000001</v>
      </c>
      <c r="BD723">
        <v>1202.2</v>
      </c>
      <c r="BE723">
        <v>0</v>
      </c>
      <c r="BF723">
        <v>11</v>
      </c>
      <c r="BG723">
        <v>480.545455</v>
      </c>
      <c r="BH723">
        <v>0</v>
      </c>
    </row>
    <row r="724" spans="1:60" x14ac:dyDescent="0.35">
      <c r="A724" t="s">
        <v>1496</v>
      </c>
      <c r="B724" t="s">
        <v>338</v>
      </c>
      <c r="C724" t="s">
        <v>1536</v>
      </c>
      <c r="D724" t="s">
        <v>1537</v>
      </c>
      <c r="E724">
        <v>7517</v>
      </c>
      <c r="F724">
        <v>2</v>
      </c>
      <c r="G724">
        <v>5.19</v>
      </c>
      <c r="H724">
        <v>2.5950000000000002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  <c r="BB724">
        <v>28095.273000000001</v>
      </c>
      <c r="BC724">
        <v>28095.273000000001</v>
      </c>
      <c r="BD724">
        <v>0</v>
      </c>
      <c r="BE724">
        <v>0</v>
      </c>
      <c r="BF724">
        <v>29</v>
      </c>
      <c r="BG724">
        <v>1737.1034480000001</v>
      </c>
      <c r="BH724">
        <v>0</v>
      </c>
    </row>
    <row r="725" spans="1:60" x14ac:dyDescent="0.35">
      <c r="A725" t="s">
        <v>1496</v>
      </c>
      <c r="B725" t="s">
        <v>338</v>
      </c>
      <c r="C725" t="s">
        <v>1538</v>
      </c>
      <c r="D725" t="s">
        <v>1539</v>
      </c>
      <c r="E725">
        <v>3600</v>
      </c>
      <c r="F725" t="s">
        <v>81</v>
      </c>
      <c r="G725" t="s">
        <v>81</v>
      </c>
      <c r="H725" t="s">
        <v>81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</v>
      </c>
      <c r="BB725">
        <v>39840</v>
      </c>
      <c r="BC725">
        <v>39840</v>
      </c>
      <c r="BD725">
        <v>0</v>
      </c>
      <c r="BE725">
        <v>38584.224999999999</v>
      </c>
      <c r="BF725">
        <v>17</v>
      </c>
      <c r="BG725">
        <v>11.764706</v>
      </c>
      <c r="BH725">
        <v>2269.66</v>
      </c>
    </row>
    <row r="726" spans="1:60" x14ac:dyDescent="0.35">
      <c r="A726" t="s">
        <v>1496</v>
      </c>
      <c r="B726" t="s">
        <v>338</v>
      </c>
      <c r="C726" t="s">
        <v>1540</v>
      </c>
      <c r="D726" t="s">
        <v>1541</v>
      </c>
      <c r="E726">
        <v>3099</v>
      </c>
      <c r="F726">
        <v>2</v>
      </c>
      <c r="G726">
        <v>1.58</v>
      </c>
      <c r="H726">
        <v>0.79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27</v>
      </c>
      <c r="BG726">
        <v>23.370370000000001</v>
      </c>
      <c r="BH726">
        <v>2663.328</v>
      </c>
    </row>
    <row r="727" spans="1:60" x14ac:dyDescent="0.35">
      <c r="A727" t="s">
        <v>1496</v>
      </c>
      <c r="B727" t="s">
        <v>338</v>
      </c>
      <c r="C727" t="s">
        <v>1542</v>
      </c>
      <c r="D727" t="s">
        <v>1543</v>
      </c>
      <c r="E727">
        <v>3766</v>
      </c>
      <c r="F727">
        <v>1</v>
      </c>
      <c r="G727">
        <v>0.252</v>
      </c>
      <c r="H727">
        <v>0.252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13</v>
      </c>
      <c r="BG727">
        <v>163.761538</v>
      </c>
      <c r="BH727">
        <v>0</v>
      </c>
    </row>
    <row r="728" spans="1:60" x14ac:dyDescent="0.35">
      <c r="A728" t="s">
        <v>1496</v>
      </c>
      <c r="B728" t="s">
        <v>1544</v>
      </c>
      <c r="C728" t="s">
        <v>1544</v>
      </c>
      <c r="D728" t="s">
        <v>1545</v>
      </c>
      <c r="E728">
        <v>24084</v>
      </c>
      <c r="F728">
        <v>63</v>
      </c>
      <c r="G728">
        <v>31.61185</v>
      </c>
      <c r="H728">
        <v>0.50177539999999998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11329.19</v>
      </c>
      <c r="AB728">
        <v>0</v>
      </c>
      <c r="AC728">
        <v>40587.56</v>
      </c>
      <c r="AD728">
        <v>0</v>
      </c>
      <c r="AE728">
        <v>0</v>
      </c>
      <c r="AF728">
        <v>51916.75</v>
      </c>
      <c r="AG728">
        <v>2096.2800000000002</v>
      </c>
      <c r="AH728">
        <v>0</v>
      </c>
      <c r="AI728">
        <v>10749.64</v>
      </c>
      <c r="AJ728">
        <v>0</v>
      </c>
      <c r="AK728">
        <v>0</v>
      </c>
      <c r="AL728">
        <v>12845.92</v>
      </c>
      <c r="AM728">
        <v>66.010000000000005</v>
      </c>
      <c r="AN728">
        <v>0</v>
      </c>
      <c r="AO728">
        <v>8568.06</v>
      </c>
      <c r="AP728">
        <v>0</v>
      </c>
      <c r="AQ728">
        <v>0</v>
      </c>
      <c r="AR728">
        <v>8634.07</v>
      </c>
      <c r="AS728">
        <v>0</v>
      </c>
      <c r="AT728">
        <v>0</v>
      </c>
      <c r="AU728">
        <v>340.23</v>
      </c>
      <c r="AV728">
        <v>0</v>
      </c>
      <c r="AW728">
        <v>0</v>
      </c>
      <c r="AX728">
        <v>340.23</v>
      </c>
      <c r="AY728">
        <v>73736.97</v>
      </c>
      <c r="AZ728">
        <v>0</v>
      </c>
      <c r="BA728">
        <v>13</v>
      </c>
      <c r="BB728">
        <v>60502.097000000002</v>
      </c>
      <c r="BC728">
        <v>786527.25600000005</v>
      </c>
      <c r="BD728">
        <v>1104.1615380000001</v>
      </c>
      <c r="BE728">
        <v>4446.4080000000004</v>
      </c>
      <c r="BF728">
        <v>230</v>
      </c>
      <c r="BG728">
        <v>3186.5482609999999</v>
      </c>
      <c r="BH728">
        <v>931.96100000000001</v>
      </c>
    </row>
    <row r="729" spans="1:60" x14ac:dyDescent="0.35">
      <c r="A729" t="s">
        <v>1496</v>
      </c>
      <c r="B729" t="s">
        <v>1544</v>
      </c>
      <c r="C729" t="s">
        <v>1546</v>
      </c>
      <c r="D729" t="s">
        <v>1547</v>
      </c>
      <c r="E729">
        <v>3609</v>
      </c>
      <c r="F729">
        <v>2</v>
      </c>
      <c r="G729">
        <v>5.12</v>
      </c>
      <c r="H729">
        <v>2.56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19</v>
      </c>
      <c r="BG729">
        <v>343.57894700000003</v>
      </c>
      <c r="BH729">
        <v>554.33799999999997</v>
      </c>
    </row>
    <row r="730" spans="1:60" x14ac:dyDescent="0.35">
      <c r="A730" t="s">
        <v>1496</v>
      </c>
      <c r="B730" t="s">
        <v>1544</v>
      </c>
      <c r="C730" t="s">
        <v>1548</v>
      </c>
      <c r="D730" t="s">
        <v>1549</v>
      </c>
      <c r="E730">
        <v>6038</v>
      </c>
      <c r="F730">
        <v>1</v>
      </c>
      <c r="G730">
        <v>0.96</v>
      </c>
      <c r="H730">
        <v>0.96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37</v>
      </c>
      <c r="BG730">
        <v>4866.0470269999996</v>
      </c>
      <c r="BH730">
        <v>171.63499999999999</v>
      </c>
    </row>
    <row r="731" spans="1:60" x14ac:dyDescent="0.35">
      <c r="A731" t="s">
        <v>1496</v>
      </c>
      <c r="B731" t="s">
        <v>1544</v>
      </c>
      <c r="C731" t="s">
        <v>1550</v>
      </c>
      <c r="D731" t="s">
        <v>1551</v>
      </c>
      <c r="E731">
        <v>6244</v>
      </c>
      <c r="F731" t="s">
        <v>81</v>
      </c>
      <c r="G731" t="s">
        <v>81</v>
      </c>
      <c r="H731" t="s">
        <v>81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8</v>
      </c>
      <c r="BG731">
        <v>0</v>
      </c>
      <c r="BH731">
        <v>0</v>
      </c>
    </row>
    <row r="732" spans="1:60" x14ac:dyDescent="0.35">
      <c r="A732" t="s">
        <v>1496</v>
      </c>
      <c r="B732" t="s">
        <v>1544</v>
      </c>
      <c r="C732" t="s">
        <v>1552</v>
      </c>
      <c r="D732" t="s">
        <v>1553</v>
      </c>
      <c r="E732">
        <v>11942</v>
      </c>
      <c r="F732">
        <v>13</v>
      </c>
      <c r="G732">
        <v>5.0303079999999998</v>
      </c>
      <c r="H732">
        <v>0.38694679999999998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23334.51</v>
      </c>
      <c r="AC732">
        <v>29379.51</v>
      </c>
      <c r="AD732">
        <v>0</v>
      </c>
      <c r="AE732">
        <v>0</v>
      </c>
      <c r="AF732">
        <v>52714.02</v>
      </c>
      <c r="AG732">
        <v>0</v>
      </c>
      <c r="AH732">
        <v>5577.4</v>
      </c>
      <c r="AI732">
        <v>6909.87</v>
      </c>
      <c r="AJ732">
        <v>0</v>
      </c>
      <c r="AK732">
        <v>0</v>
      </c>
      <c r="AL732">
        <v>12487.27</v>
      </c>
      <c r="AM732">
        <v>0</v>
      </c>
      <c r="AN732">
        <v>1645.2</v>
      </c>
      <c r="AO732">
        <v>1866.52</v>
      </c>
      <c r="AP732">
        <v>0</v>
      </c>
      <c r="AQ732">
        <v>0</v>
      </c>
      <c r="AR732">
        <v>3511.72</v>
      </c>
      <c r="AS732">
        <v>0</v>
      </c>
      <c r="AT732">
        <v>0</v>
      </c>
      <c r="AU732">
        <v>972.77</v>
      </c>
      <c r="AV732">
        <v>0</v>
      </c>
      <c r="AW732">
        <v>0</v>
      </c>
      <c r="AX732">
        <v>972.77</v>
      </c>
      <c r="AY732">
        <v>69685.78</v>
      </c>
      <c r="AZ732">
        <v>0</v>
      </c>
      <c r="BA732">
        <v>5</v>
      </c>
      <c r="BB732">
        <v>22991.45</v>
      </c>
      <c r="BC732">
        <v>114957.25</v>
      </c>
      <c r="BD732">
        <v>4271.4639999999999</v>
      </c>
      <c r="BE732">
        <v>16579.129000000001</v>
      </c>
      <c r="BF732">
        <v>97</v>
      </c>
      <c r="BG732">
        <v>7100.2313400000003</v>
      </c>
      <c r="BH732">
        <v>1161.085</v>
      </c>
    </row>
    <row r="733" spans="1:60" x14ac:dyDescent="0.35">
      <c r="A733" t="s">
        <v>1496</v>
      </c>
      <c r="B733" t="s">
        <v>1544</v>
      </c>
      <c r="C733" t="s">
        <v>1554</v>
      </c>
      <c r="D733" t="s">
        <v>1555</v>
      </c>
      <c r="E733">
        <v>6295</v>
      </c>
      <c r="F733">
        <v>1</v>
      </c>
      <c r="G733">
        <v>1.499493</v>
      </c>
      <c r="H733">
        <v>1.499493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37</v>
      </c>
      <c r="BG733">
        <v>30.405404999999998</v>
      </c>
      <c r="BH733">
        <v>0</v>
      </c>
    </row>
    <row r="734" spans="1:60" x14ac:dyDescent="0.35">
      <c r="A734" t="s">
        <v>1496</v>
      </c>
      <c r="B734" t="s">
        <v>1544</v>
      </c>
      <c r="C734" t="s">
        <v>1556</v>
      </c>
      <c r="D734" t="s">
        <v>1557</v>
      </c>
      <c r="E734">
        <v>4958</v>
      </c>
      <c r="F734" t="s">
        <v>81</v>
      </c>
      <c r="G734" t="s">
        <v>81</v>
      </c>
      <c r="H734" t="s">
        <v>81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5795</v>
      </c>
      <c r="BC734">
        <v>5795</v>
      </c>
      <c r="BD734">
        <v>15908</v>
      </c>
      <c r="BE734">
        <v>0</v>
      </c>
      <c r="BF734">
        <v>17</v>
      </c>
      <c r="BG734">
        <v>3665.1294119999998</v>
      </c>
      <c r="BH734">
        <v>0</v>
      </c>
    </row>
    <row r="735" spans="1:60" x14ac:dyDescent="0.35">
      <c r="A735" t="s">
        <v>1496</v>
      </c>
      <c r="B735" t="s">
        <v>1544</v>
      </c>
      <c r="C735" t="s">
        <v>1558</v>
      </c>
      <c r="D735" t="s">
        <v>1559</v>
      </c>
      <c r="E735">
        <v>9156</v>
      </c>
      <c r="F735">
        <v>4</v>
      </c>
      <c r="G735">
        <v>7.0026419999999998</v>
      </c>
      <c r="H735">
        <v>1.750661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12215.18</v>
      </c>
      <c r="AD735">
        <v>0</v>
      </c>
      <c r="AE735">
        <v>0</v>
      </c>
      <c r="AF735">
        <v>12215.18</v>
      </c>
      <c r="AG735">
        <v>0</v>
      </c>
      <c r="AH735">
        <v>0</v>
      </c>
      <c r="AI735">
        <v>2599.35</v>
      </c>
      <c r="AJ735">
        <v>0</v>
      </c>
      <c r="AK735">
        <v>0</v>
      </c>
      <c r="AL735">
        <v>2599.35</v>
      </c>
      <c r="AM735">
        <v>0</v>
      </c>
      <c r="AN735">
        <v>0</v>
      </c>
      <c r="AO735">
        <v>862.47</v>
      </c>
      <c r="AP735">
        <v>0</v>
      </c>
      <c r="AQ735">
        <v>0</v>
      </c>
      <c r="AR735">
        <v>862.47</v>
      </c>
      <c r="AS735">
        <v>0</v>
      </c>
      <c r="AT735">
        <v>0</v>
      </c>
      <c r="AU735">
        <v>52.81</v>
      </c>
      <c r="AV735">
        <v>0</v>
      </c>
      <c r="AW735">
        <v>0</v>
      </c>
      <c r="AX735">
        <v>52.81</v>
      </c>
      <c r="AY735">
        <v>15729.81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33</v>
      </c>
      <c r="BG735">
        <v>635.15151500000002</v>
      </c>
      <c r="BH735">
        <v>0</v>
      </c>
    </row>
    <row r="736" spans="1:60" x14ac:dyDescent="0.35">
      <c r="A736" t="s">
        <v>1496</v>
      </c>
      <c r="B736" t="s">
        <v>1560</v>
      </c>
      <c r="C736" t="s">
        <v>1561</v>
      </c>
      <c r="D736" t="s">
        <v>1562</v>
      </c>
      <c r="E736">
        <v>9232</v>
      </c>
      <c r="F736">
        <v>3</v>
      </c>
      <c r="G736">
        <v>1.9790000000000001</v>
      </c>
      <c r="H736">
        <v>0.65966670000000005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0.15</v>
      </c>
      <c r="AI736">
        <v>0</v>
      </c>
      <c r="AJ736">
        <v>0</v>
      </c>
      <c r="AK736">
        <v>0</v>
      </c>
      <c r="AL736">
        <v>0.15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0.15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29</v>
      </c>
      <c r="BG736">
        <v>937.58655199999998</v>
      </c>
      <c r="BH736">
        <v>0</v>
      </c>
    </row>
    <row r="737" spans="1:60" x14ac:dyDescent="0.35">
      <c r="A737" t="s">
        <v>1496</v>
      </c>
      <c r="B737" t="s">
        <v>1560</v>
      </c>
      <c r="C737" t="s">
        <v>1563</v>
      </c>
      <c r="D737" t="s">
        <v>1564</v>
      </c>
      <c r="E737">
        <v>5422</v>
      </c>
      <c r="F737" t="s">
        <v>81</v>
      </c>
      <c r="G737" t="s">
        <v>81</v>
      </c>
      <c r="H737" t="s">
        <v>81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8</v>
      </c>
      <c r="BG737">
        <v>0</v>
      </c>
      <c r="BH737">
        <v>0</v>
      </c>
    </row>
    <row r="738" spans="1:60" x14ac:dyDescent="0.35">
      <c r="A738" t="s">
        <v>1496</v>
      </c>
      <c r="B738" t="s">
        <v>1560</v>
      </c>
      <c r="C738" t="s">
        <v>1565</v>
      </c>
      <c r="D738" t="s">
        <v>1566</v>
      </c>
      <c r="E738">
        <v>5145</v>
      </c>
      <c r="F738">
        <v>2</v>
      </c>
      <c r="G738">
        <v>0.68799999999999994</v>
      </c>
      <c r="H738">
        <v>0.34399999999999997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20</v>
      </c>
      <c r="BG738">
        <v>474.02499999999998</v>
      </c>
      <c r="BH738">
        <v>0</v>
      </c>
    </row>
    <row r="739" spans="1:60" x14ac:dyDescent="0.35">
      <c r="A739" t="s">
        <v>1496</v>
      </c>
      <c r="B739" t="s">
        <v>1560</v>
      </c>
      <c r="C739" t="s">
        <v>1567</v>
      </c>
      <c r="D739" t="s">
        <v>1568</v>
      </c>
      <c r="E739">
        <v>2029</v>
      </c>
      <c r="F739">
        <v>1</v>
      </c>
      <c r="G739">
        <v>4.4834889999999996</v>
      </c>
      <c r="H739">
        <v>4.4834889999999996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6</v>
      </c>
      <c r="BG739">
        <v>6.6666670000000003</v>
      </c>
      <c r="BH739">
        <v>0</v>
      </c>
    </row>
    <row r="740" spans="1:60" x14ac:dyDescent="0.35">
      <c r="A740" t="s">
        <v>1496</v>
      </c>
      <c r="B740" t="s">
        <v>1560</v>
      </c>
      <c r="C740" t="s">
        <v>1569</v>
      </c>
      <c r="D740" t="s">
        <v>1570</v>
      </c>
      <c r="E740">
        <v>5457</v>
      </c>
      <c r="F740">
        <v>1</v>
      </c>
      <c r="G740">
        <v>2.25</v>
      </c>
      <c r="H740">
        <v>2.25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8</v>
      </c>
      <c r="BG740">
        <v>2293.2637500000001</v>
      </c>
      <c r="BH740">
        <v>0</v>
      </c>
    </row>
    <row r="741" spans="1:60" x14ac:dyDescent="0.35">
      <c r="A741" t="s">
        <v>1496</v>
      </c>
      <c r="B741" t="s">
        <v>1560</v>
      </c>
      <c r="C741" t="s">
        <v>1571</v>
      </c>
      <c r="D741" t="s">
        <v>1572</v>
      </c>
      <c r="E741">
        <v>1870</v>
      </c>
      <c r="F741">
        <v>1</v>
      </c>
      <c r="G741">
        <v>0.35</v>
      </c>
      <c r="H741">
        <v>0.35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8</v>
      </c>
      <c r="BG741">
        <v>0</v>
      </c>
      <c r="BH741">
        <v>0</v>
      </c>
    </row>
    <row r="742" spans="1:60" x14ac:dyDescent="0.35">
      <c r="A742" t="s">
        <v>1496</v>
      </c>
      <c r="B742" t="s">
        <v>1560</v>
      </c>
      <c r="C742" t="s">
        <v>1573</v>
      </c>
      <c r="D742" t="s">
        <v>1574</v>
      </c>
      <c r="E742">
        <v>2573</v>
      </c>
      <c r="F742" t="s">
        <v>81</v>
      </c>
      <c r="G742" t="s">
        <v>81</v>
      </c>
      <c r="H742" t="s">
        <v>81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7</v>
      </c>
      <c r="BG742">
        <v>0</v>
      </c>
      <c r="BH742">
        <v>0</v>
      </c>
    </row>
    <row r="743" spans="1:60" x14ac:dyDescent="0.35">
      <c r="A743" t="s">
        <v>1496</v>
      </c>
      <c r="B743" t="s">
        <v>1560</v>
      </c>
      <c r="C743" t="s">
        <v>1575</v>
      </c>
      <c r="D743" t="s">
        <v>1576</v>
      </c>
      <c r="E743">
        <v>2574</v>
      </c>
      <c r="F743">
        <v>1</v>
      </c>
      <c r="G743">
        <v>1.43</v>
      </c>
      <c r="H743">
        <v>1.43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1</v>
      </c>
      <c r="BB743">
        <v>49700</v>
      </c>
      <c r="BC743">
        <v>49700</v>
      </c>
      <c r="BD743">
        <v>3127.5</v>
      </c>
      <c r="BE743">
        <v>0</v>
      </c>
      <c r="BF743">
        <v>6</v>
      </c>
      <c r="BG743">
        <v>0</v>
      </c>
      <c r="BH743">
        <v>0</v>
      </c>
    </row>
    <row r="744" spans="1:60" x14ac:dyDescent="0.35">
      <c r="A744" t="s">
        <v>1496</v>
      </c>
      <c r="B744" t="s">
        <v>1577</v>
      </c>
      <c r="C744" t="s">
        <v>1578</v>
      </c>
      <c r="D744" t="s">
        <v>1579</v>
      </c>
      <c r="E744">
        <v>66071</v>
      </c>
      <c r="F744">
        <v>102</v>
      </c>
      <c r="G744">
        <v>82.232969999999995</v>
      </c>
      <c r="H744">
        <v>0.80620559999999997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1347.93</v>
      </c>
      <c r="V744">
        <v>0</v>
      </c>
      <c r="W744">
        <v>0</v>
      </c>
      <c r="X744">
        <v>0</v>
      </c>
      <c r="Y744">
        <v>0</v>
      </c>
      <c r="Z744">
        <v>1347.93</v>
      </c>
      <c r="AA744">
        <v>67344.55</v>
      </c>
      <c r="AB744">
        <v>0</v>
      </c>
      <c r="AC744">
        <v>251204.47</v>
      </c>
      <c r="AD744">
        <v>8803.6200000000008</v>
      </c>
      <c r="AE744">
        <v>0</v>
      </c>
      <c r="AF744">
        <v>327352.64</v>
      </c>
      <c r="AG744">
        <v>5358.71</v>
      </c>
      <c r="AH744">
        <v>0</v>
      </c>
      <c r="AI744">
        <v>37649</v>
      </c>
      <c r="AJ744">
        <v>3068.86</v>
      </c>
      <c r="AK744">
        <v>0</v>
      </c>
      <c r="AL744">
        <v>46076.57</v>
      </c>
      <c r="AM744">
        <v>2672.31</v>
      </c>
      <c r="AN744">
        <v>0</v>
      </c>
      <c r="AO744">
        <v>75312.53</v>
      </c>
      <c r="AP744">
        <v>367.7</v>
      </c>
      <c r="AQ744">
        <v>0</v>
      </c>
      <c r="AR744">
        <v>78352.539999999994</v>
      </c>
      <c r="AS744">
        <v>1769.21</v>
      </c>
      <c r="AT744">
        <v>0</v>
      </c>
      <c r="AU744">
        <v>2014.65</v>
      </c>
      <c r="AV744">
        <v>0</v>
      </c>
      <c r="AW744">
        <v>0</v>
      </c>
      <c r="AX744">
        <v>3783.86</v>
      </c>
      <c r="AY744">
        <v>456913.54</v>
      </c>
      <c r="AZ744">
        <v>0</v>
      </c>
      <c r="BA744">
        <v>13</v>
      </c>
      <c r="BB744">
        <v>59014.44</v>
      </c>
      <c r="BC744">
        <v>767187.72199999995</v>
      </c>
      <c r="BD744">
        <v>2632.9230769999999</v>
      </c>
      <c r="BE744">
        <v>19.442</v>
      </c>
      <c r="BF744">
        <v>729</v>
      </c>
      <c r="BG744">
        <v>1635.108326</v>
      </c>
      <c r="BH744">
        <v>54.747</v>
      </c>
    </row>
    <row r="745" spans="1:60" x14ac:dyDescent="0.35">
      <c r="A745" t="s">
        <v>1496</v>
      </c>
      <c r="B745" t="s">
        <v>1577</v>
      </c>
      <c r="C745" t="s">
        <v>1580</v>
      </c>
      <c r="D745" t="s">
        <v>1581</v>
      </c>
      <c r="E745">
        <v>5258</v>
      </c>
      <c r="F745" t="s">
        <v>81</v>
      </c>
      <c r="G745" t="s">
        <v>81</v>
      </c>
      <c r="H745" t="s">
        <v>81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18</v>
      </c>
      <c r="BG745">
        <v>0</v>
      </c>
      <c r="BH745">
        <v>0</v>
      </c>
    </row>
    <row r="746" spans="1:60" x14ac:dyDescent="0.35">
      <c r="A746" t="s">
        <v>1496</v>
      </c>
      <c r="B746" t="s">
        <v>1577</v>
      </c>
      <c r="C746" t="s">
        <v>1582</v>
      </c>
      <c r="D746" t="s">
        <v>1583</v>
      </c>
      <c r="E746">
        <v>4984</v>
      </c>
      <c r="F746">
        <v>3</v>
      </c>
      <c r="G746">
        <v>3.4561809999999999</v>
      </c>
      <c r="H746">
        <v>1.1520600000000001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16944.22</v>
      </c>
      <c r="AB746">
        <v>0</v>
      </c>
      <c r="AC746">
        <v>15257.44</v>
      </c>
      <c r="AD746">
        <v>0</v>
      </c>
      <c r="AE746">
        <v>0</v>
      </c>
      <c r="AF746">
        <v>32201.66</v>
      </c>
      <c r="AG746">
        <v>4230.97</v>
      </c>
      <c r="AH746">
        <v>0</v>
      </c>
      <c r="AI746">
        <v>5733.07</v>
      </c>
      <c r="AJ746">
        <v>0</v>
      </c>
      <c r="AK746">
        <v>0</v>
      </c>
      <c r="AL746">
        <v>9964.0400000000009</v>
      </c>
      <c r="AM746">
        <v>471.57</v>
      </c>
      <c r="AN746">
        <v>0</v>
      </c>
      <c r="AO746">
        <v>1424.07</v>
      </c>
      <c r="AP746">
        <v>0</v>
      </c>
      <c r="AQ746">
        <v>0</v>
      </c>
      <c r="AR746">
        <v>1895.64</v>
      </c>
      <c r="AS746">
        <v>106.72</v>
      </c>
      <c r="AT746">
        <v>0</v>
      </c>
      <c r="AU746">
        <v>0</v>
      </c>
      <c r="AV746">
        <v>0</v>
      </c>
      <c r="AW746">
        <v>0</v>
      </c>
      <c r="AX746">
        <v>106.72</v>
      </c>
      <c r="AY746">
        <v>44168.06</v>
      </c>
      <c r="AZ746">
        <v>0</v>
      </c>
      <c r="BA746">
        <v>2</v>
      </c>
      <c r="BB746">
        <v>68979</v>
      </c>
      <c r="BC746">
        <v>137958</v>
      </c>
      <c r="BD746">
        <v>0</v>
      </c>
      <c r="BE746">
        <v>0</v>
      </c>
      <c r="BF746">
        <v>25</v>
      </c>
      <c r="BG746">
        <v>702.98</v>
      </c>
      <c r="BH746">
        <v>0</v>
      </c>
    </row>
    <row r="747" spans="1:60" x14ac:dyDescent="0.35">
      <c r="A747" t="s">
        <v>1496</v>
      </c>
      <c r="B747" t="s">
        <v>1577</v>
      </c>
      <c r="C747" t="s">
        <v>1584</v>
      </c>
      <c r="D747" t="s">
        <v>1585</v>
      </c>
      <c r="E747">
        <v>10243</v>
      </c>
      <c r="F747">
        <v>2</v>
      </c>
      <c r="G747">
        <v>1.5725</v>
      </c>
      <c r="H747">
        <v>0.78625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36</v>
      </c>
      <c r="BG747">
        <v>339.705556</v>
      </c>
      <c r="BH747">
        <v>0</v>
      </c>
    </row>
    <row r="748" spans="1:60" x14ac:dyDescent="0.35">
      <c r="A748" t="s">
        <v>1496</v>
      </c>
      <c r="B748" t="s">
        <v>1577</v>
      </c>
      <c r="C748" t="s">
        <v>1586</v>
      </c>
      <c r="D748" t="s">
        <v>1587</v>
      </c>
      <c r="E748">
        <v>8574</v>
      </c>
      <c r="F748">
        <v>1</v>
      </c>
      <c r="G748">
        <v>0.252</v>
      </c>
      <c r="H748">
        <v>0.252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25</v>
      </c>
      <c r="BG748">
        <v>42.64</v>
      </c>
      <c r="BH748">
        <v>0</v>
      </c>
    </row>
    <row r="749" spans="1:60" x14ac:dyDescent="0.35">
      <c r="A749" t="s">
        <v>1496</v>
      </c>
      <c r="B749" t="s">
        <v>1577</v>
      </c>
      <c r="C749" t="s">
        <v>1588</v>
      </c>
      <c r="D749" t="s">
        <v>1589</v>
      </c>
      <c r="E749">
        <v>4372</v>
      </c>
      <c r="F749" t="s">
        <v>81</v>
      </c>
      <c r="G749" t="s">
        <v>81</v>
      </c>
      <c r="H749" t="s">
        <v>81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9</v>
      </c>
      <c r="BG749">
        <v>0</v>
      </c>
      <c r="BH749">
        <v>0</v>
      </c>
    </row>
    <row r="750" spans="1:60" x14ac:dyDescent="0.35">
      <c r="A750" t="s">
        <v>1496</v>
      </c>
      <c r="B750" t="s">
        <v>1577</v>
      </c>
      <c r="C750" t="s">
        <v>1590</v>
      </c>
      <c r="D750" t="s">
        <v>1591</v>
      </c>
      <c r="E750">
        <v>2769</v>
      </c>
      <c r="F750" t="s">
        <v>81</v>
      </c>
      <c r="G750" t="s">
        <v>81</v>
      </c>
      <c r="H750" t="s">
        <v>81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</v>
      </c>
      <c r="BB750">
        <v>13996</v>
      </c>
      <c r="BC750">
        <v>13996</v>
      </c>
      <c r="BD750">
        <v>0</v>
      </c>
      <c r="BE750">
        <v>0</v>
      </c>
      <c r="BF750">
        <v>23</v>
      </c>
      <c r="BG750">
        <v>5252.0417390000002</v>
      </c>
      <c r="BH750">
        <v>0</v>
      </c>
    </row>
    <row r="751" spans="1:60" x14ac:dyDescent="0.35">
      <c r="A751" t="s">
        <v>1496</v>
      </c>
      <c r="B751" t="s">
        <v>1577</v>
      </c>
      <c r="C751" t="s">
        <v>1592</v>
      </c>
      <c r="D751" t="s">
        <v>1593</v>
      </c>
      <c r="E751">
        <v>5445</v>
      </c>
      <c r="F751" t="s">
        <v>81</v>
      </c>
      <c r="G751" t="s">
        <v>81</v>
      </c>
      <c r="H751" t="s">
        <v>81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23</v>
      </c>
      <c r="BG751">
        <v>1453.879565</v>
      </c>
      <c r="BH751">
        <v>50.347999999999999</v>
      </c>
    </row>
    <row r="752" spans="1:60" x14ac:dyDescent="0.35">
      <c r="A752" t="s">
        <v>1496</v>
      </c>
      <c r="B752" t="s">
        <v>1594</v>
      </c>
      <c r="C752" t="s">
        <v>1595</v>
      </c>
      <c r="D752" t="s">
        <v>1596</v>
      </c>
      <c r="E752">
        <v>22581</v>
      </c>
      <c r="F752">
        <v>16</v>
      </c>
      <c r="G752">
        <v>17.842669999999998</v>
      </c>
      <c r="H752">
        <v>1.115167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14362.75</v>
      </c>
      <c r="AB752">
        <v>0</v>
      </c>
      <c r="AC752">
        <v>41802.06</v>
      </c>
      <c r="AD752">
        <v>7342.58</v>
      </c>
      <c r="AE752">
        <v>0</v>
      </c>
      <c r="AF752">
        <v>63507.39</v>
      </c>
      <c r="AG752">
        <v>3708.72</v>
      </c>
      <c r="AH752">
        <v>0</v>
      </c>
      <c r="AI752">
        <v>7686.11</v>
      </c>
      <c r="AJ752">
        <v>2449.6</v>
      </c>
      <c r="AK752">
        <v>0</v>
      </c>
      <c r="AL752">
        <v>13844.43</v>
      </c>
      <c r="AM752">
        <v>139</v>
      </c>
      <c r="AN752">
        <v>0</v>
      </c>
      <c r="AO752">
        <v>14072.15</v>
      </c>
      <c r="AP752">
        <v>863.06</v>
      </c>
      <c r="AQ752">
        <v>0</v>
      </c>
      <c r="AR752">
        <v>15074.21</v>
      </c>
      <c r="AS752">
        <v>0</v>
      </c>
      <c r="AT752">
        <v>0</v>
      </c>
      <c r="AU752">
        <v>248.73</v>
      </c>
      <c r="AV752">
        <v>0</v>
      </c>
      <c r="AW752">
        <v>0</v>
      </c>
      <c r="AX752">
        <v>248.73</v>
      </c>
      <c r="AY752">
        <v>92674.76</v>
      </c>
      <c r="AZ752">
        <v>0</v>
      </c>
      <c r="BA752">
        <v>2</v>
      </c>
      <c r="BB752">
        <v>72067.667000000001</v>
      </c>
      <c r="BC752">
        <v>144135.33300000001</v>
      </c>
      <c r="BD752">
        <v>0</v>
      </c>
      <c r="BE752">
        <v>0</v>
      </c>
      <c r="BF752">
        <v>162</v>
      </c>
      <c r="BG752">
        <v>170.854938</v>
      </c>
      <c r="BH752">
        <v>0</v>
      </c>
    </row>
    <row r="753" spans="1:60" x14ac:dyDescent="0.35">
      <c r="A753" t="s">
        <v>1496</v>
      </c>
      <c r="B753" t="s">
        <v>1594</v>
      </c>
      <c r="C753" t="s">
        <v>1597</v>
      </c>
      <c r="D753" t="s">
        <v>1598</v>
      </c>
      <c r="E753">
        <v>4051</v>
      </c>
      <c r="F753">
        <v>1</v>
      </c>
      <c r="G753">
        <v>0.25</v>
      </c>
      <c r="H753">
        <v>0.25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6975</v>
      </c>
      <c r="BC753">
        <v>6975</v>
      </c>
      <c r="BD753">
        <v>0</v>
      </c>
      <c r="BE753">
        <v>0</v>
      </c>
      <c r="BF753">
        <v>15</v>
      </c>
      <c r="BG753">
        <v>22248.787333</v>
      </c>
      <c r="BH753">
        <v>0</v>
      </c>
    </row>
    <row r="754" spans="1:60" x14ac:dyDescent="0.35">
      <c r="A754" t="s">
        <v>1496</v>
      </c>
      <c r="B754" t="s">
        <v>1594</v>
      </c>
      <c r="C754" t="s">
        <v>1599</v>
      </c>
      <c r="D754" t="s">
        <v>1600</v>
      </c>
      <c r="E754">
        <v>6324</v>
      </c>
      <c r="F754">
        <v>2</v>
      </c>
      <c r="G754">
        <v>1.86</v>
      </c>
      <c r="H754">
        <v>0.92999989999999999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1</v>
      </c>
      <c r="BB754">
        <v>18439.667000000001</v>
      </c>
      <c r="BC754">
        <v>18439.667000000001</v>
      </c>
      <c r="BD754">
        <v>0</v>
      </c>
      <c r="BE754">
        <v>0</v>
      </c>
      <c r="BF754">
        <v>45</v>
      </c>
      <c r="BG754">
        <v>0</v>
      </c>
      <c r="BH754">
        <v>0</v>
      </c>
    </row>
    <row r="755" spans="1:60" x14ac:dyDescent="0.35">
      <c r="A755" t="s">
        <v>1496</v>
      </c>
      <c r="B755" t="s">
        <v>1594</v>
      </c>
      <c r="C755" t="s">
        <v>1601</v>
      </c>
      <c r="D755" t="s">
        <v>1602</v>
      </c>
      <c r="E755">
        <v>6876</v>
      </c>
      <c r="F755">
        <v>2</v>
      </c>
      <c r="G755">
        <v>0.83</v>
      </c>
      <c r="H755">
        <v>0.41499999999999998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6631.3329999999996</v>
      </c>
      <c r="BC755">
        <v>6631.3329999999996</v>
      </c>
      <c r="BD755">
        <v>0</v>
      </c>
      <c r="BE755">
        <v>0</v>
      </c>
      <c r="BF755">
        <v>41</v>
      </c>
      <c r="BG755">
        <v>78.472683000000004</v>
      </c>
      <c r="BH755">
        <v>0</v>
      </c>
    </row>
    <row r="756" spans="1:60" x14ac:dyDescent="0.35">
      <c r="A756" t="s">
        <v>1496</v>
      </c>
      <c r="B756" t="s">
        <v>1594</v>
      </c>
      <c r="C756" t="s">
        <v>1603</v>
      </c>
      <c r="D756" t="s">
        <v>1604</v>
      </c>
      <c r="E756">
        <v>13066</v>
      </c>
      <c r="F756">
        <v>4</v>
      </c>
      <c r="G756">
        <v>7.1357309999999998</v>
      </c>
      <c r="H756">
        <v>1.783933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</v>
      </c>
      <c r="BB756">
        <v>185263.58300000001</v>
      </c>
      <c r="BC756">
        <v>185263.58300000001</v>
      </c>
      <c r="BD756">
        <v>0</v>
      </c>
      <c r="BE756">
        <v>0</v>
      </c>
      <c r="BF756">
        <v>47</v>
      </c>
      <c r="BG756">
        <v>0</v>
      </c>
      <c r="BH756">
        <v>1.17</v>
      </c>
    </row>
    <row r="757" spans="1:60" x14ac:dyDescent="0.35">
      <c r="A757" t="s">
        <v>1496</v>
      </c>
      <c r="B757" t="s">
        <v>1594</v>
      </c>
      <c r="C757" t="s">
        <v>1605</v>
      </c>
      <c r="D757" t="s">
        <v>1606</v>
      </c>
      <c r="E757">
        <v>4022</v>
      </c>
      <c r="F757" t="s">
        <v>81</v>
      </c>
      <c r="G757" t="s">
        <v>81</v>
      </c>
      <c r="H757" t="s">
        <v>81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7</v>
      </c>
      <c r="BG757">
        <v>5660.6428569999998</v>
      </c>
      <c r="BH757">
        <v>0</v>
      </c>
    </row>
    <row r="758" spans="1:60" x14ac:dyDescent="0.35">
      <c r="A758" t="s">
        <v>1496</v>
      </c>
      <c r="B758" t="s">
        <v>1594</v>
      </c>
      <c r="C758" t="s">
        <v>1607</v>
      </c>
      <c r="D758" t="s">
        <v>1608</v>
      </c>
      <c r="E758">
        <v>3969</v>
      </c>
      <c r="F758">
        <v>1</v>
      </c>
      <c r="G758">
        <v>0.93855100000000002</v>
      </c>
      <c r="H758">
        <v>0.93855100000000002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10</v>
      </c>
      <c r="BG758">
        <v>0</v>
      </c>
      <c r="BH758">
        <v>0</v>
      </c>
    </row>
    <row r="759" spans="1:60" x14ac:dyDescent="0.35">
      <c r="A759" t="s">
        <v>1496</v>
      </c>
      <c r="B759" t="s">
        <v>1594</v>
      </c>
      <c r="C759" t="s">
        <v>1609</v>
      </c>
      <c r="D759" t="s">
        <v>1610</v>
      </c>
      <c r="E759">
        <v>8619</v>
      </c>
      <c r="F759">
        <v>5</v>
      </c>
      <c r="G759">
        <v>2.8876390000000001</v>
      </c>
      <c r="H759">
        <v>0.57752780000000004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4</v>
      </c>
      <c r="BB759">
        <v>21501.292000000001</v>
      </c>
      <c r="BC759">
        <v>86005.165999999997</v>
      </c>
      <c r="BD759">
        <v>0</v>
      </c>
      <c r="BE759">
        <v>0</v>
      </c>
      <c r="BF759">
        <v>55</v>
      </c>
      <c r="BG759">
        <v>72.763636000000005</v>
      </c>
      <c r="BH759">
        <v>0</v>
      </c>
    </row>
    <row r="760" spans="1:60" x14ac:dyDescent="0.35">
      <c r="A760" t="s">
        <v>1496</v>
      </c>
      <c r="B760" t="s">
        <v>1611</v>
      </c>
      <c r="C760" t="s">
        <v>1611</v>
      </c>
      <c r="D760" t="s">
        <v>1612</v>
      </c>
      <c r="E760">
        <v>41373</v>
      </c>
      <c r="F760">
        <v>92</v>
      </c>
      <c r="G760">
        <v>95.782629999999997</v>
      </c>
      <c r="H760">
        <v>1.0411159999999999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1409.24</v>
      </c>
      <c r="V760">
        <v>0</v>
      </c>
      <c r="W760">
        <v>0</v>
      </c>
      <c r="X760">
        <v>0</v>
      </c>
      <c r="Y760">
        <v>0</v>
      </c>
      <c r="Z760">
        <v>1409.24</v>
      </c>
      <c r="AA760">
        <v>22221.53</v>
      </c>
      <c r="AB760">
        <v>0</v>
      </c>
      <c r="AC760">
        <v>139811.17000000001</v>
      </c>
      <c r="AD760">
        <v>4634.79</v>
      </c>
      <c r="AE760">
        <v>0</v>
      </c>
      <c r="AF760">
        <v>166667.49</v>
      </c>
      <c r="AG760">
        <v>3018.08</v>
      </c>
      <c r="AH760">
        <v>0</v>
      </c>
      <c r="AI760">
        <v>18177.34</v>
      </c>
      <c r="AJ760">
        <v>976.24</v>
      </c>
      <c r="AK760">
        <v>0</v>
      </c>
      <c r="AL760">
        <v>22171.66</v>
      </c>
      <c r="AM760">
        <v>30530.34</v>
      </c>
      <c r="AN760">
        <v>0</v>
      </c>
      <c r="AO760">
        <v>41476.47</v>
      </c>
      <c r="AP760">
        <v>421.65</v>
      </c>
      <c r="AQ760">
        <v>0</v>
      </c>
      <c r="AR760">
        <v>72428.460000000006</v>
      </c>
      <c r="AS760">
        <v>18589.22</v>
      </c>
      <c r="AT760">
        <v>0</v>
      </c>
      <c r="AU760">
        <v>1136.32</v>
      </c>
      <c r="AV760">
        <v>0</v>
      </c>
      <c r="AW760">
        <v>0</v>
      </c>
      <c r="AX760">
        <v>19725.54</v>
      </c>
      <c r="AY760">
        <v>282402.39</v>
      </c>
      <c r="AZ760">
        <v>0</v>
      </c>
      <c r="BA760">
        <v>22</v>
      </c>
      <c r="BB760">
        <v>50261.764999999999</v>
      </c>
      <c r="BC760">
        <v>1105758.8289999999</v>
      </c>
      <c r="BD760">
        <v>819.82045500000004</v>
      </c>
      <c r="BE760">
        <v>0</v>
      </c>
      <c r="BF760">
        <v>582</v>
      </c>
      <c r="BG760">
        <v>653.72061900000006</v>
      </c>
      <c r="BH760">
        <v>218.47800000000001</v>
      </c>
    </row>
    <row r="761" spans="1:60" x14ac:dyDescent="0.35">
      <c r="A761" t="s">
        <v>1496</v>
      </c>
      <c r="B761" t="s">
        <v>1611</v>
      </c>
      <c r="C761" t="s">
        <v>1613</v>
      </c>
      <c r="D761" t="s">
        <v>1614</v>
      </c>
      <c r="E761">
        <v>812</v>
      </c>
      <c r="F761">
        <v>3</v>
      </c>
      <c r="G761">
        <v>3.43377</v>
      </c>
      <c r="H761">
        <v>1.14459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6</v>
      </c>
      <c r="BG761">
        <v>4345.3333329999996</v>
      </c>
      <c r="BH761">
        <v>0</v>
      </c>
    </row>
    <row r="762" spans="1:60" x14ac:dyDescent="0.35">
      <c r="A762" t="s">
        <v>1496</v>
      </c>
      <c r="B762" t="s">
        <v>1611</v>
      </c>
      <c r="C762" t="s">
        <v>896</v>
      </c>
      <c r="D762" t="s">
        <v>1615</v>
      </c>
      <c r="E762">
        <v>8333</v>
      </c>
      <c r="F762" t="s">
        <v>81</v>
      </c>
      <c r="G762" t="s">
        <v>81</v>
      </c>
      <c r="H762" t="s">
        <v>81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11</v>
      </c>
      <c r="BG762">
        <v>17424.747273000001</v>
      </c>
      <c r="BH762">
        <v>0</v>
      </c>
    </row>
    <row r="763" spans="1:60" x14ac:dyDescent="0.35">
      <c r="A763" t="s">
        <v>1496</v>
      </c>
      <c r="B763" t="s">
        <v>1611</v>
      </c>
      <c r="C763" t="s">
        <v>1616</v>
      </c>
      <c r="D763" t="s">
        <v>1617</v>
      </c>
      <c r="E763">
        <v>874</v>
      </c>
      <c r="F763">
        <v>1</v>
      </c>
      <c r="G763">
        <v>2.1665930000000002</v>
      </c>
      <c r="H763">
        <v>2.1665930000000002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5</v>
      </c>
      <c r="BG763">
        <v>0</v>
      </c>
      <c r="BH763">
        <v>0</v>
      </c>
    </row>
    <row r="764" spans="1:60" x14ac:dyDescent="0.35">
      <c r="A764" t="s">
        <v>1496</v>
      </c>
      <c r="B764" t="s">
        <v>1611</v>
      </c>
      <c r="C764" t="s">
        <v>1618</v>
      </c>
      <c r="D764" t="s">
        <v>1619</v>
      </c>
      <c r="E764">
        <v>5040</v>
      </c>
      <c r="F764">
        <v>6</v>
      </c>
      <c r="G764">
        <v>4.7986940000000002</v>
      </c>
      <c r="H764">
        <v>0.79978229999999995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</v>
      </c>
      <c r="BB764">
        <v>70246.667000000001</v>
      </c>
      <c r="BC764">
        <v>70246.667000000001</v>
      </c>
      <c r="BD764">
        <v>0</v>
      </c>
      <c r="BE764">
        <v>0</v>
      </c>
      <c r="BF764">
        <v>36</v>
      </c>
      <c r="BG764">
        <v>0</v>
      </c>
      <c r="BH764">
        <v>0</v>
      </c>
    </row>
    <row r="765" spans="1:60" x14ac:dyDescent="0.35">
      <c r="A765" t="s">
        <v>1496</v>
      </c>
      <c r="B765" t="s">
        <v>1611</v>
      </c>
      <c r="C765" t="s">
        <v>1620</v>
      </c>
      <c r="D765" t="s">
        <v>1621</v>
      </c>
      <c r="E765">
        <v>2614</v>
      </c>
      <c r="F765" t="s">
        <v>81</v>
      </c>
      <c r="G765" t="s">
        <v>81</v>
      </c>
      <c r="H765" t="s">
        <v>81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5</v>
      </c>
      <c r="BG765">
        <v>0</v>
      </c>
      <c r="BH765">
        <v>203.48099999999999</v>
      </c>
    </row>
    <row r="766" spans="1:60" x14ac:dyDescent="0.35">
      <c r="A766" t="s">
        <v>1496</v>
      </c>
      <c r="B766" t="s">
        <v>1611</v>
      </c>
      <c r="C766" t="s">
        <v>1622</v>
      </c>
      <c r="D766" t="s">
        <v>1623</v>
      </c>
      <c r="E766">
        <v>1312</v>
      </c>
      <c r="F766" t="s">
        <v>81</v>
      </c>
      <c r="G766" t="s">
        <v>81</v>
      </c>
      <c r="H766" t="s">
        <v>81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6</v>
      </c>
      <c r="BG766">
        <v>2065.0333329999999</v>
      </c>
      <c r="BH766">
        <v>0</v>
      </c>
    </row>
    <row r="767" spans="1:60" x14ac:dyDescent="0.35">
      <c r="A767" t="s">
        <v>1496</v>
      </c>
      <c r="B767" t="s">
        <v>1611</v>
      </c>
      <c r="C767" t="s">
        <v>1624</v>
      </c>
      <c r="D767" t="s">
        <v>1625</v>
      </c>
      <c r="E767">
        <v>1867</v>
      </c>
      <c r="F767" t="s">
        <v>81</v>
      </c>
      <c r="G767" t="s">
        <v>81</v>
      </c>
      <c r="H767" t="s">
        <v>81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</row>
    <row r="768" spans="1:60" x14ac:dyDescent="0.35">
      <c r="A768" t="s">
        <v>1496</v>
      </c>
      <c r="B768" t="s">
        <v>1626</v>
      </c>
      <c r="C768" t="s">
        <v>1627</v>
      </c>
      <c r="D768" t="s">
        <v>1628</v>
      </c>
      <c r="E768">
        <v>29105</v>
      </c>
      <c r="F768">
        <v>198</v>
      </c>
      <c r="G768">
        <v>153.9666</v>
      </c>
      <c r="H768">
        <v>0.77760890000000005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11749.33</v>
      </c>
      <c r="V768">
        <v>0</v>
      </c>
      <c r="W768">
        <v>0</v>
      </c>
      <c r="X768">
        <v>0</v>
      </c>
      <c r="Y768">
        <v>0</v>
      </c>
      <c r="Z768">
        <v>11749.33</v>
      </c>
      <c r="AA768">
        <v>140598.85999999999</v>
      </c>
      <c r="AB768">
        <v>596.55999999999995</v>
      </c>
      <c r="AC768">
        <v>127207.5</v>
      </c>
      <c r="AD768">
        <v>0</v>
      </c>
      <c r="AE768">
        <v>0</v>
      </c>
      <c r="AF768">
        <v>268402.92</v>
      </c>
      <c r="AG768">
        <v>7205.35</v>
      </c>
      <c r="AH768">
        <v>774.26</v>
      </c>
      <c r="AI768">
        <v>24608.27</v>
      </c>
      <c r="AJ768">
        <v>0</v>
      </c>
      <c r="AK768">
        <v>0</v>
      </c>
      <c r="AL768">
        <v>32587.88</v>
      </c>
      <c r="AM768">
        <v>32606.73</v>
      </c>
      <c r="AN768">
        <v>3671.6</v>
      </c>
      <c r="AO768">
        <v>44683.33</v>
      </c>
      <c r="AP768">
        <v>0</v>
      </c>
      <c r="AQ768">
        <v>0</v>
      </c>
      <c r="AR768">
        <v>80961.66</v>
      </c>
      <c r="AS768">
        <v>11767.48</v>
      </c>
      <c r="AT768">
        <v>0</v>
      </c>
      <c r="AU768">
        <v>1749.09</v>
      </c>
      <c r="AV768">
        <v>0</v>
      </c>
      <c r="AW768">
        <v>0</v>
      </c>
      <c r="AX768">
        <v>13516.57</v>
      </c>
      <c r="AY768">
        <v>407218.36</v>
      </c>
      <c r="AZ768">
        <v>0</v>
      </c>
      <c r="BA768">
        <v>20</v>
      </c>
      <c r="BB768">
        <v>90167.853000000003</v>
      </c>
      <c r="BC768">
        <v>1803357.051</v>
      </c>
      <c r="BD768">
        <v>3238.5774999999999</v>
      </c>
      <c r="BE768">
        <v>0</v>
      </c>
      <c r="BF768">
        <v>855</v>
      </c>
      <c r="BG768">
        <v>1534.8556369999999</v>
      </c>
      <c r="BH768">
        <v>187.875</v>
      </c>
    </row>
    <row r="769" spans="1:60" x14ac:dyDescent="0.35">
      <c r="A769" t="s">
        <v>1496</v>
      </c>
      <c r="B769" t="s">
        <v>1626</v>
      </c>
      <c r="C769" t="s">
        <v>1629</v>
      </c>
      <c r="D769" t="s">
        <v>1630</v>
      </c>
      <c r="E769">
        <v>17510</v>
      </c>
      <c r="F769">
        <v>22</v>
      </c>
      <c r="G769">
        <v>13.36905</v>
      </c>
      <c r="H769">
        <v>0.60768429999999996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5369.32</v>
      </c>
      <c r="AB769">
        <v>0</v>
      </c>
      <c r="AC769">
        <v>11723.38</v>
      </c>
      <c r="AD769">
        <v>0</v>
      </c>
      <c r="AE769">
        <v>0</v>
      </c>
      <c r="AF769">
        <v>17092.7</v>
      </c>
      <c r="AG769">
        <v>1055.8</v>
      </c>
      <c r="AH769">
        <v>0</v>
      </c>
      <c r="AI769">
        <v>3099.71</v>
      </c>
      <c r="AJ769">
        <v>0</v>
      </c>
      <c r="AK769">
        <v>0</v>
      </c>
      <c r="AL769">
        <v>4155.51</v>
      </c>
      <c r="AM769">
        <v>18.61</v>
      </c>
      <c r="AN769">
        <v>0</v>
      </c>
      <c r="AO769">
        <v>1189.75</v>
      </c>
      <c r="AP769">
        <v>0</v>
      </c>
      <c r="AQ769">
        <v>0</v>
      </c>
      <c r="AR769">
        <v>1208.3599999999999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22456.57</v>
      </c>
      <c r="AZ769">
        <v>0</v>
      </c>
      <c r="BA769">
        <v>6</v>
      </c>
      <c r="BB769">
        <v>49152.688000000002</v>
      </c>
      <c r="BC769">
        <v>294916.12800000003</v>
      </c>
      <c r="BD769">
        <v>0</v>
      </c>
      <c r="BE769">
        <v>0</v>
      </c>
      <c r="BF769">
        <v>206</v>
      </c>
      <c r="BG769">
        <v>367.35563100000002</v>
      </c>
      <c r="BH769">
        <v>640.24099999999999</v>
      </c>
    </row>
    <row r="770" spans="1:60" x14ac:dyDescent="0.35">
      <c r="A770" t="s">
        <v>1496</v>
      </c>
      <c r="B770" t="s">
        <v>1626</v>
      </c>
      <c r="C770" t="s">
        <v>1631</v>
      </c>
      <c r="D770" t="s">
        <v>1632</v>
      </c>
      <c r="E770">
        <v>5398</v>
      </c>
      <c r="F770">
        <v>3</v>
      </c>
      <c r="G770">
        <v>3.5068730000000001</v>
      </c>
      <c r="H770">
        <v>1.1689579999999999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3088.88</v>
      </c>
      <c r="AB770">
        <v>0</v>
      </c>
      <c r="AC770">
        <v>0</v>
      </c>
      <c r="AD770">
        <v>0</v>
      </c>
      <c r="AE770">
        <v>0</v>
      </c>
      <c r="AF770">
        <v>3088.88</v>
      </c>
      <c r="AG770">
        <v>658.47</v>
      </c>
      <c r="AH770">
        <v>0</v>
      </c>
      <c r="AI770">
        <v>0</v>
      </c>
      <c r="AJ770">
        <v>0</v>
      </c>
      <c r="AK770">
        <v>0</v>
      </c>
      <c r="AL770">
        <v>658.47</v>
      </c>
      <c r="AM770">
        <v>4.28</v>
      </c>
      <c r="AN770">
        <v>0</v>
      </c>
      <c r="AO770">
        <v>0</v>
      </c>
      <c r="AP770">
        <v>0</v>
      </c>
      <c r="AQ770">
        <v>0</v>
      </c>
      <c r="AR770">
        <v>4.28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3751.63</v>
      </c>
      <c r="AZ770">
        <v>0</v>
      </c>
      <c r="BA770">
        <v>1</v>
      </c>
      <c r="BB770">
        <v>160198.16699999999</v>
      </c>
      <c r="BC770">
        <v>160198.16699999999</v>
      </c>
      <c r="BD770">
        <v>0</v>
      </c>
      <c r="BE770">
        <v>0</v>
      </c>
      <c r="BF770">
        <v>34</v>
      </c>
      <c r="BG770">
        <v>990.08235300000001</v>
      </c>
      <c r="BH770">
        <v>0</v>
      </c>
    </row>
    <row r="771" spans="1:60" x14ac:dyDescent="0.35">
      <c r="A771" t="s">
        <v>1496</v>
      </c>
      <c r="B771" t="s">
        <v>1626</v>
      </c>
      <c r="C771" t="s">
        <v>1633</v>
      </c>
      <c r="D771" t="s">
        <v>1634</v>
      </c>
      <c r="E771">
        <v>4847</v>
      </c>
      <c r="F771">
        <v>2</v>
      </c>
      <c r="G771">
        <v>1.145</v>
      </c>
      <c r="H771">
        <v>0.57250000000000001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31</v>
      </c>
      <c r="BG771">
        <v>121.432258</v>
      </c>
      <c r="BH771">
        <v>0</v>
      </c>
    </row>
    <row r="772" spans="1:60" x14ac:dyDescent="0.35">
      <c r="A772" t="s">
        <v>1496</v>
      </c>
      <c r="B772" t="s">
        <v>1626</v>
      </c>
      <c r="C772" t="s">
        <v>1635</v>
      </c>
      <c r="D772" t="s">
        <v>1636</v>
      </c>
      <c r="E772">
        <v>5819</v>
      </c>
      <c r="F772" t="s">
        <v>81</v>
      </c>
      <c r="G772" t="s">
        <v>81</v>
      </c>
      <c r="H772" t="s">
        <v>81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12230.25</v>
      </c>
      <c r="BC772">
        <v>12230.25</v>
      </c>
      <c r="BD772">
        <v>0</v>
      </c>
      <c r="BE772">
        <v>0</v>
      </c>
      <c r="BF772">
        <v>20</v>
      </c>
      <c r="BG772">
        <v>840.67499999999995</v>
      </c>
      <c r="BH772">
        <v>0</v>
      </c>
    </row>
    <row r="773" spans="1:60" x14ac:dyDescent="0.35">
      <c r="A773" t="s">
        <v>1496</v>
      </c>
      <c r="B773" t="s">
        <v>1626</v>
      </c>
      <c r="C773" t="s">
        <v>1637</v>
      </c>
      <c r="D773" t="s">
        <v>1638</v>
      </c>
      <c r="E773">
        <v>15071</v>
      </c>
      <c r="F773">
        <v>4</v>
      </c>
      <c r="G773">
        <v>2.13</v>
      </c>
      <c r="H773">
        <v>0.53249999999999997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</v>
      </c>
      <c r="BB773">
        <v>99530.5</v>
      </c>
      <c r="BC773">
        <v>99530.5</v>
      </c>
      <c r="BD773">
        <v>0</v>
      </c>
      <c r="BE773">
        <v>0</v>
      </c>
      <c r="BF773">
        <v>96</v>
      </c>
      <c r="BG773">
        <v>646.00416700000005</v>
      </c>
      <c r="BH773">
        <v>6.9930000000000003</v>
      </c>
    </row>
    <row r="774" spans="1:60" x14ac:dyDescent="0.35">
      <c r="A774" t="s">
        <v>1496</v>
      </c>
      <c r="B774" t="s">
        <v>1626</v>
      </c>
      <c r="C774" t="s">
        <v>1639</v>
      </c>
      <c r="D774" t="s">
        <v>1640</v>
      </c>
      <c r="E774">
        <v>14212</v>
      </c>
      <c r="F774">
        <v>37</v>
      </c>
      <c r="G774">
        <v>29.55499</v>
      </c>
      <c r="H774">
        <v>0.79878349999999998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9</v>
      </c>
      <c r="BB774">
        <v>36200.269999999997</v>
      </c>
      <c r="BC774">
        <v>325802.43300000002</v>
      </c>
      <c r="BD774">
        <v>11195.967778</v>
      </c>
      <c r="BE774">
        <v>1.1120000000000001</v>
      </c>
      <c r="BF774">
        <v>163</v>
      </c>
      <c r="BG774">
        <v>2611.8285890000002</v>
      </c>
      <c r="BH774">
        <v>0</v>
      </c>
    </row>
    <row r="775" spans="1:60" x14ac:dyDescent="0.35">
      <c r="A775" t="s">
        <v>1496</v>
      </c>
      <c r="B775" t="s">
        <v>1626</v>
      </c>
      <c r="C775" t="s">
        <v>1641</v>
      </c>
      <c r="D775" t="s">
        <v>1642</v>
      </c>
      <c r="E775">
        <v>6902</v>
      </c>
      <c r="F775">
        <v>4</v>
      </c>
      <c r="G775">
        <v>4.0049999999999999</v>
      </c>
      <c r="H775">
        <v>1.00125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6746.25</v>
      </c>
      <c r="BC775">
        <v>6746.25</v>
      </c>
      <c r="BD775">
        <v>10088</v>
      </c>
      <c r="BE775">
        <v>0</v>
      </c>
      <c r="BF775">
        <v>46</v>
      </c>
      <c r="BG775">
        <v>21772.218043000001</v>
      </c>
      <c r="BH775">
        <v>0</v>
      </c>
    </row>
    <row r="776" spans="1:60" x14ac:dyDescent="0.35">
      <c r="A776" t="s">
        <v>1496</v>
      </c>
      <c r="B776" t="s">
        <v>1626</v>
      </c>
      <c r="C776" t="s">
        <v>1643</v>
      </c>
      <c r="D776" t="s">
        <v>1644</v>
      </c>
      <c r="E776">
        <v>9899</v>
      </c>
      <c r="F776" t="s">
        <v>81</v>
      </c>
      <c r="G776" t="s">
        <v>81</v>
      </c>
      <c r="H776" t="s">
        <v>81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33</v>
      </c>
      <c r="BG776">
        <v>0</v>
      </c>
      <c r="BH776">
        <v>0</v>
      </c>
    </row>
    <row r="777" spans="1:60" x14ac:dyDescent="0.35">
      <c r="A777" t="s">
        <v>1496</v>
      </c>
      <c r="B777" t="s">
        <v>1626</v>
      </c>
      <c r="C777" t="s">
        <v>1645</v>
      </c>
      <c r="D777" t="s">
        <v>1646</v>
      </c>
      <c r="E777">
        <v>24860</v>
      </c>
      <c r="F777">
        <v>119</v>
      </c>
      <c r="G777">
        <v>66.70778</v>
      </c>
      <c r="H777">
        <v>0.5605696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965.75</v>
      </c>
      <c r="X777">
        <v>0</v>
      </c>
      <c r="Y777">
        <v>0</v>
      </c>
      <c r="Z777">
        <v>965.75</v>
      </c>
      <c r="AA777">
        <v>0</v>
      </c>
      <c r="AB777">
        <v>8910.66</v>
      </c>
      <c r="AC777">
        <v>91789.71</v>
      </c>
      <c r="AD777">
        <v>0</v>
      </c>
      <c r="AE777">
        <v>0</v>
      </c>
      <c r="AF777">
        <v>100700.37</v>
      </c>
      <c r="AG777">
        <v>0</v>
      </c>
      <c r="AH777">
        <v>3669.28</v>
      </c>
      <c r="AI777">
        <v>17142.060000000001</v>
      </c>
      <c r="AJ777">
        <v>0</v>
      </c>
      <c r="AK777">
        <v>0</v>
      </c>
      <c r="AL777">
        <v>20811.34</v>
      </c>
      <c r="AM777">
        <v>0</v>
      </c>
      <c r="AN777">
        <v>1475.16</v>
      </c>
      <c r="AO777">
        <v>12244.29</v>
      </c>
      <c r="AP777">
        <v>0</v>
      </c>
      <c r="AQ777">
        <v>0</v>
      </c>
      <c r="AR777">
        <v>13719.45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136196.91</v>
      </c>
      <c r="AZ777">
        <v>0</v>
      </c>
      <c r="BA777">
        <v>16</v>
      </c>
      <c r="BB777">
        <v>78241.417000000001</v>
      </c>
      <c r="BC777">
        <v>1251862.6740000001</v>
      </c>
      <c r="BD777">
        <v>8687.8106250000001</v>
      </c>
      <c r="BE777">
        <v>0</v>
      </c>
      <c r="BF777">
        <v>440</v>
      </c>
      <c r="BG777">
        <v>2852.5796140000002</v>
      </c>
      <c r="BH777">
        <v>27.061</v>
      </c>
    </row>
    <row r="778" spans="1:60" x14ac:dyDescent="0.35">
      <c r="A778" t="s">
        <v>1496</v>
      </c>
      <c r="B778" t="s">
        <v>1626</v>
      </c>
      <c r="C778" t="s">
        <v>1647</v>
      </c>
      <c r="D778" t="s">
        <v>1648</v>
      </c>
      <c r="E778">
        <v>5207</v>
      </c>
      <c r="F778">
        <v>1</v>
      </c>
      <c r="G778">
        <v>0.28333399999999997</v>
      </c>
      <c r="H778">
        <v>0.28333399999999997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1</v>
      </c>
      <c r="BG778">
        <v>0</v>
      </c>
      <c r="BH778">
        <v>13111.298000000001</v>
      </c>
    </row>
    <row r="779" spans="1:60" x14ac:dyDescent="0.35">
      <c r="A779" t="s">
        <v>1496</v>
      </c>
      <c r="B779" t="s">
        <v>1626</v>
      </c>
      <c r="C779" t="s">
        <v>1649</v>
      </c>
      <c r="D779" t="s">
        <v>1650</v>
      </c>
      <c r="E779">
        <v>2479</v>
      </c>
      <c r="F779" t="s">
        <v>81</v>
      </c>
      <c r="G779" t="s">
        <v>81</v>
      </c>
      <c r="H779" t="s">
        <v>81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8</v>
      </c>
      <c r="BG779">
        <v>0</v>
      </c>
      <c r="BH779">
        <v>0</v>
      </c>
    </row>
    <row r="780" spans="1:60" x14ac:dyDescent="0.35">
      <c r="A780" t="s">
        <v>1496</v>
      </c>
      <c r="B780" t="s">
        <v>1626</v>
      </c>
      <c r="C780" t="s">
        <v>1651</v>
      </c>
      <c r="D780" t="s">
        <v>1652</v>
      </c>
      <c r="E780">
        <v>2431</v>
      </c>
      <c r="F780">
        <v>3</v>
      </c>
      <c r="G780">
        <v>1.3439000000000001</v>
      </c>
      <c r="H780">
        <v>0.4479667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4</v>
      </c>
      <c r="BG780">
        <v>0</v>
      </c>
      <c r="BH780">
        <v>0</v>
      </c>
    </row>
    <row r="781" spans="1:60" x14ac:dyDescent="0.35">
      <c r="A781" t="s">
        <v>1496</v>
      </c>
      <c r="B781" t="s">
        <v>1626</v>
      </c>
      <c r="C781" t="s">
        <v>1653</v>
      </c>
      <c r="D781" t="s">
        <v>1654</v>
      </c>
      <c r="E781">
        <v>7363</v>
      </c>
      <c r="F781" t="s">
        <v>81</v>
      </c>
      <c r="G781" t="s">
        <v>81</v>
      </c>
      <c r="H781" t="s">
        <v>81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2</v>
      </c>
      <c r="BB781">
        <v>262774.92800000001</v>
      </c>
      <c r="BC781">
        <v>525549.85600000003</v>
      </c>
      <c r="BD781">
        <v>0</v>
      </c>
      <c r="BE781">
        <v>0</v>
      </c>
      <c r="BF781">
        <v>32</v>
      </c>
      <c r="BG781">
        <v>2417.453125</v>
      </c>
      <c r="BH781">
        <v>0</v>
      </c>
    </row>
    <row r="782" spans="1:60" x14ac:dyDescent="0.35">
      <c r="A782" t="s">
        <v>1496</v>
      </c>
      <c r="B782" t="s">
        <v>1626</v>
      </c>
      <c r="C782" t="s">
        <v>1655</v>
      </c>
      <c r="D782" t="s">
        <v>1656</v>
      </c>
      <c r="E782">
        <v>5683</v>
      </c>
      <c r="F782" t="s">
        <v>81</v>
      </c>
      <c r="G782" t="s">
        <v>81</v>
      </c>
      <c r="H782" t="s">
        <v>81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</v>
      </c>
      <c r="BB782">
        <v>8347.3330000000005</v>
      </c>
      <c r="BC782">
        <v>8347.3330000000005</v>
      </c>
      <c r="BD782">
        <v>0</v>
      </c>
      <c r="BE782">
        <v>0</v>
      </c>
      <c r="BF782">
        <v>2</v>
      </c>
      <c r="BG782">
        <v>0</v>
      </c>
      <c r="BH782">
        <v>145.625</v>
      </c>
    </row>
    <row r="783" spans="1:60" x14ac:dyDescent="0.35">
      <c r="A783" t="s">
        <v>1496</v>
      </c>
      <c r="B783" t="s">
        <v>1626</v>
      </c>
      <c r="C783" t="s">
        <v>1657</v>
      </c>
      <c r="D783" t="s">
        <v>1658</v>
      </c>
      <c r="E783">
        <v>2288</v>
      </c>
      <c r="F783">
        <v>1</v>
      </c>
      <c r="G783">
        <v>0.33700000000000002</v>
      </c>
      <c r="H783">
        <v>0.33700000000000002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 t="s">
        <v>81</v>
      </c>
      <c r="BB783" t="s">
        <v>81</v>
      </c>
      <c r="BC783" t="s">
        <v>81</v>
      </c>
      <c r="BD783" t="s">
        <v>81</v>
      </c>
      <c r="BE783" t="s">
        <v>81</v>
      </c>
      <c r="BF783" t="s">
        <v>81</v>
      </c>
      <c r="BG783" t="s">
        <v>81</v>
      </c>
      <c r="BH783" t="s">
        <v>81</v>
      </c>
    </row>
    <row r="784" spans="1:60" x14ac:dyDescent="0.35">
      <c r="A784" t="s">
        <v>1496</v>
      </c>
      <c r="B784" t="s">
        <v>1626</v>
      </c>
      <c r="C784" t="s">
        <v>1659</v>
      </c>
      <c r="D784" t="s">
        <v>1660</v>
      </c>
      <c r="E784">
        <v>3666</v>
      </c>
      <c r="F784">
        <v>2</v>
      </c>
      <c r="G784">
        <v>1.7502</v>
      </c>
      <c r="H784">
        <v>0.87509999999999999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2</v>
      </c>
      <c r="BG784">
        <v>0</v>
      </c>
      <c r="BH784">
        <v>0</v>
      </c>
    </row>
    <row r="785" spans="1:60" x14ac:dyDescent="0.35">
      <c r="A785" t="s">
        <v>1496</v>
      </c>
      <c r="B785" t="s">
        <v>1626</v>
      </c>
      <c r="C785" t="s">
        <v>1661</v>
      </c>
      <c r="D785" t="s">
        <v>1662</v>
      </c>
      <c r="E785">
        <v>6072</v>
      </c>
      <c r="F785">
        <v>20</v>
      </c>
      <c r="G785">
        <v>7.1639999999999997</v>
      </c>
      <c r="H785">
        <v>0.35820000000000002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3</v>
      </c>
      <c r="BG785">
        <v>0</v>
      </c>
      <c r="BH785">
        <v>0</v>
      </c>
    </row>
    <row r="786" spans="1:60" x14ac:dyDescent="0.35">
      <c r="A786" t="s">
        <v>1496</v>
      </c>
      <c r="B786" t="s">
        <v>1663</v>
      </c>
      <c r="C786" t="s">
        <v>1663</v>
      </c>
      <c r="D786" t="s">
        <v>1664</v>
      </c>
      <c r="E786">
        <v>3479</v>
      </c>
      <c r="F786">
        <v>2</v>
      </c>
      <c r="G786">
        <v>1.467187</v>
      </c>
      <c r="H786">
        <v>0.73359350000000001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14720.73</v>
      </c>
      <c r="AD786">
        <v>0</v>
      </c>
      <c r="AE786">
        <v>0</v>
      </c>
      <c r="AF786">
        <v>14720.73</v>
      </c>
      <c r="AG786">
        <v>0</v>
      </c>
      <c r="AH786">
        <v>0</v>
      </c>
      <c r="AI786">
        <v>4348.4799999999996</v>
      </c>
      <c r="AJ786">
        <v>0</v>
      </c>
      <c r="AK786">
        <v>0</v>
      </c>
      <c r="AL786">
        <v>4348.4799999999996</v>
      </c>
      <c r="AM786">
        <v>0</v>
      </c>
      <c r="AN786">
        <v>0</v>
      </c>
      <c r="AO786">
        <v>254.62</v>
      </c>
      <c r="AP786">
        <v>0</v>
      </c>
      <c r="AQ786">
        <v>0</v>
      </c>
      <c r="AR786">
        <v>254.62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19323.830000000002</v>
      </c>
      <c r="AZ786">
        <v>0</v>
      </c>
      <c r="BA786">
        <v>1</v>
      </c>
      <c r="BB786">
        <v>86582</v>
      </c>
      <c r="BC786">
        <v>86582</v>
      </c>
      <c r="BD786">
        <v>0</v>
      </c>
      <c r="BE786">
        <v>0</v>
      </c>
      <c r="BF786">
        <v>11</v>
      </c>
      <c r="BG786">
        <v>1473.359091</v>
      </c>
      <c r="BH786">
        <v>0</v>
      </c>
    </row>
    <row r="787" spans="1:60" x14ac:dyDescent="0.35">
      <c r="A787" t="s">
        <v>1496</v>
      </c>
      <c r="B787" t="s">
        <v>1663</v>
      </c>
      <c r="C787" t="s">
        <v>1665</v>
      </c>
      <c r="D787" t="s">
        <v>1666</v>
      </c>
      <c r="E787">
        <v>3020</v>
      </c>
      <c r="F787">
        <v>3</v>
      </c>
      <c r="G787">
        <v>2.565639</v>
      </c>
      <c r="H787">
        <v>0.855213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12</v>
      </c>
      <c r="BG787">
        <v>0</v>
      </c>
      <c r="BH787">
        <v>0</v>
      </c>
    </row>
    <row r="788" spans="1:60" x14ac:dyDescent="0.35">
      <c r="A788" t="s">
        <v>1496</v>
      </c>
      <c r="B788" t="s">
        <v>1663</v>
      </c>
      <c r="C788" t="s">
        <v>1667</v>
      </c>
      <c r="D788" t="s">
        <v>1668</v>
      </c>
      <c r="E788">
        <v>3015</v>
      </c>
      <c r="F788" t="s">
        <v>81</v>
      </c>
      <c r="G788" t="s">
        <v>81</v>
      </c>
      <c r="H788" t="s">
        <v>81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13</v>
      </c>
      <c r="BG788">
        <v>1113.730769</v>
      </c>
      <c r="BH788">
        <v>0</v>
      </c>
    </row>
    <row r="789" spans="1:60" x14ac:dyDescent="0.35">
      <c r="A789" t="s">
        <v>1496</v>
      </c>
      <c r="B789" t="s">
        <v>1663</v>
      </c>
      <c r="C789" t="s">
        <v>1669</v>
      </c>
      <c r="D789" t="s">
        <v>1670</v>
      </c>
      <c r="E789">
        <v>894</v>
      </c>
      <c r="F789" t="s">
        <v>81</v>
      </c>
      <c r="G789" t="s">
        <v>81</v>
      </c>
      <c r="H789" t="s">
        <v>81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 t="s">
        <v>81</v>
      </c>
      <c r="BB789" t="s">
        <v>81</v>
      </c>
      <c r="BC789" t="s">
        <v>81</v>
      </c>
      <c r="BD789" t="s">
        <v>81</v>
      </c>
      <c r="BE789" t="s">
        <v>81</v>
      </c>
      <c r="BF789" t="s">
        <v>81</v>
      </c>
      <c r="BG789" t="s">
        <v>81</v>
      </c>
      <c r="BH789" t="s">
        <v>81</v>
      </c>
    </row>
    <row r="790" spans="1:60" x14ac:dyDescent="0.35">
      <c r="A790" t="s">
        <v>1496</v>
      </c>
      <c r="B790" t="s">
        <v>1663</v>
      </c>
      <c r="C790" t="s">
        <v>1671</v>
      </c>
      <c r="D790" t="s">
        <v>1672</v>
      </c>
      <c r="E790">
        <v>5012</v>
      </c>
      <c r="F790" t="s">
        <v>81</v>
      </c>
      <c r="G790" t="s">
        <v>81</v>
      </c>
      <c r="H790" t="s">
        <v>81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18</v>
      </c>
      <c r="BG790">
        <v>387.33333299999998</v>
      </c>
      <c r="BH790">
        <v>0</v>
      </c>
    </row>
    <row r="791" spans="1:60" x14ac:dyDescent="0.35">
      <c r="A791" t="s">
        <v>1496</v>
      </c>
      <c r="B791" t="s">
        <v>1663</v>
      </c>
      <c r="C791" t="s">
        <v>1673</v>
      </c>
      <c r="D791" t="s">
        <v>1674</v>
      </c>
      <c r="E791">
        <v>5752</v>
      </c>
      <c r="F791" t="s">
        <v>81</v>
      </c>
      <c r="G791" t="s">
        <v>81</v>
      </c>
      <c r="H791" t="s">
        <v>81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</row>
    <row r="792" spans="1:60" x14ac:dyDescent="0.35">
      <c r="A792" t="s">
        <v>1496</v>
      </c>
      <c r="B792" t="s">
        <v>1663</v>
      </c>
      <c r="C792" t="s">
        <v>1675</v>
      </c>
      <c r="D792" t="s">
        <v>1676</v>
      </c>
      <c r="E792">
        <v>2042</v>
      </c>
      <c r="F792">
        <v>1</v>
      </c>
      <c r="G792">
        <v>0.74747399999999997</v>
      </c>
      <c r="H792">
        <v>0.74747399999999997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9</v>
      </c>
      <c r="BG792">
        <v>0</v>
      </c>
      <c r="BH792">
        <v>0</v>
      </c>
    </row>
    <row r="793" spans="1:60" x14ac:dyDescent="0.35">
      <c r="A793" t="s">
        <v>1496</v>
      </c>
      <c r="B793" t="s">
        <v>1663</v>
      </c>
      <c r="C793" t="s">
        <v>1677</v>
      </c>
      <c r="D793" t="s">
        <v>1678</v>
      </c>
      <c r="E793">
        <v>993</v>
      </c>
      <c r="F793" t="s">
        <v>81</v>
      </c>
      <c r="G793" t="s">
        <v>81</v>
      </c>
      <c r="H793" t="s">
        <v>81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</row>
    <row r="794" spans="1:60" x14ac:dyDescent="0.35">
      <c r="A794" t="s">
        <v>1496</v>
      </c>
      <c r="B794" t="s">
        <v>1663</v>
      </c>
      <c r="C794" t="s">
        <v>1679</v>
      </c>
      <c r="D794" t="s">
        <v>1680</v>
      </c>
      <c r="E794">
        <v>1836</v>
      </c>
      <c r="F794" t="s">
        <v>81</v>
      </c>
      <c r="G794" t="s">
        <v>81</v>
      </c>
      <c r="H794" t="s">
        <v>81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2</v>
      </c>
      <c r="BG794">
        <v>0</v>
      </c>
      <c r="BH794">
        <v>0</v>
      </c>
    </row>
    <row r="795" spans="1:60" x14ac:dyDescent="0.35">
      <c r="A795" t="s">
        <v>1496</v>
      </c>
      <c r="B795" t="s">
        <v>1681</v>
      </c>
      <c r="C795" t="s">
        <v>1681</v>
      </c>
      <c r="D795" t="s">
        <v>1682</v>
      </c>
      <c r="E795">
        <v>13788</v>
      </c>
      <c r="F795">
        <v>2</v>
      </c>
      <c r="G795">
        <v>1.169308</v>
      </c>
      <c r="H795">
        <v>0.58465400000000001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2666.99</v>
      </c>
      <c r="AB795">
        <v>0</v>
      </c>
      <c r="AC795">
        <v>34140.519999999997</v>
      </c>
      <c r="AD795">
        <v>0</v>
      </c>
      <c r="AE795">
        <v>0</v>
      </c>
      <c r="AF795">
        <v>36807.51</v>
      </c>
      <c r="AG795">
        <v>820.28</v>
      </c>
      <c r="AH795">
        <v>0</v>
      </c>
      <c r="AI795">
        <v>7672.68</v>
      </c>
      <c r="AJ795">
        <v>0</v>
      </c>
      <c r="AK795">
        <v>0</v>
      </c>
      <c r="AL795">
        <v>8492.9599999999991</v>
      </c>
      <c r="AM795">
        <v>6.22</v>
      </c>
      <c r="AN795">
        <v>0</v>
      </c>
      <c r="AO795">
        <v>2682.4</v>
      </c>
      <c r="AP795">
        <v>0</v>
      </c>
      <c r="AQ795">
        <v>0</v>
      </c>
      <c r="AR795">
        <v>2688.62</v>
      </c>
      <c r="AS795">
        <v>0</v>
      </c>
      <c r="AT795">
        <v>0</v>
      </c>
      <c r="AU795">
        <v>295.93</v>
      </c>
      <c r="AV795">
        <v>0</v>
      </c>
      <c r="AW795">
        <v>0</v>
      </c>
      <c r="AX795">
        <v>295.93</v>
      </c>
      <c r="AY795">
        <v>48285.02</v>
      </c>
      <c r="AZ795">
        <v>0</v>
      </c>
      <c r="BA795">
        <v>1</v>
      </c>
      <c r="BB795">
        <v>3809</v>
      </c>
      <c r="BC795">
        <v>3809</v>
      </c>
      <c r="BD795">
        <v>2096</v>
      </c>
      <c r="BE795">
        <v>0</v>
      </c>
      <c r="BF795">
        <v>73</v>
      </c>
      <c r="BG795">
        <v>514.06904099999997</v>
      </c>
      <c r="BH795">
        <v>0</v>
      </c>
    </row>
    <row r="796" spans="1:60" x14ac:dyDescent="0.35">
      <c r="A796" t="s">
        <v>1496</v>
      </c>
      <c r="B796" t="s">
        <v>1681</v>
      </c>
      <c r="C796" t="s">
        <v>1683</v>
      </c>
      <c r="D796" t="s">
        <v>1684</v>
      </c>
      <c r="E796">
        <v>3181</v>
      </c>
      <c r="F796" t="s">
        <v>81</v>
      </c>
      <c r="G796" t="s">
        <v>81</v>
      </c>
      <c r="H796" t="s">
        <v>81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6</v>
      </c>
      <c r="BG796">
        <v>0</v>
      </c>
      <c r="BH796">
        <v>0</v>
      </c>
    </row>
    <row r="797" spans="1:60" x14ac:dyDescent="0.35">
      <c r="A797" t="s">
        <v>1496</v>
      </c>
      <c r="B797" t="s">
        <v>1681</v>
      </c>
      <c r="C797" t="s">
        <v>1685</v>
      </c>
      <c r="D797" t="s">
        <v>1686</v>
      </c>
      <c r="E797">
        <v>9350</v>
      </c>
      <c r="F797" t="s">
        <v>81</v>
      </c>
      <c r="G797" t="s">
        <v>81</v>
      </c>
      <c r="H797" t="s">
        <v>81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36</v>
      </c>
      <c r="BG797">
        <v>274.79722199999998</v>
      </c>
      <c r="BH797">
        <v>0</v>
      </c>
    </row>
    <row r="798" spans="1:60" x14ac:dyDescent="0.35">
      <c r="A798" t="s">
        <v>1496</v>
      </c>
      <c r="B798" t="s">
        <v>1681</v>
      </c>
      <c r="C798" t="s">
        <v>1687</v>
      </c>
      <c r="D798" t="s">
        <v>1688</v>
      </c>
      <c r="E798">
        <v>8815</v>
      </c>
      <c r="F798" t="s">
        <v>81</v>
      </c>
      <c r="G798" t="s">
        <v>81</v>
      </c>
      <c r="H798" t="s">
        <v>81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19</v>
      </c>
      <c r="BG798">
        <v>5248.3884209999997</v>
      </c>
      <c r="BH798">
        <v>0</v>
      </c>
    </row>
    <row r="799" spans="1:60" x14ac:dyDescent="0.35">
      <c r="A799" t="s">
        <v>1496</v>
      </c>
      <c r="B799" t="s">
        <v>1681</v>
      </c>
      <c r="C799" t="s">
        <v>1689</v>
      </c>
      <c r="D799" t="s">
        <v>1690</v>
      </c>
      <c r="E799">
        <v>8029</v>
      </c>
      <c r="F799">
        <v>1</v>
      </c>
      <c r="G799">
        <v>0.65</v>
      </c>
      <c r="H799">
        <v>0.65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38</v>
      </c>
      <c r="BG799">
        <v>993.97894699999995</v>
      </c>
      <c r="BH799">
        <v>0</v>
      </c>
    </row>
    <row r="800" spans="1:60" x14ac:dyDescent="0.35">
      <c r="A800" t="s">
        <v>1496</v>
      </c>
      <c r="B800" t="s">
        <v>1681</v>
      </c>
      <c r="C800" t="s">
        <v>1691</v>
      </c>
      <c r="D800" t="s">
        <v>1692</v>
      </c>
      <c r="E800">
        <v>4935</v>
      </c>
      <c r="F800" t="s">
        <v>81</v>
      </c>
      <c r="G800" t="s">
        <v>81</v>
      </c>
      <c r="H800" t="s">
        <v>81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28</v>
      </c>
      <c r="BG800">
        <v>621.55357100000003</v>
      </c>
      <c r="BH800">
        <v>0</v>
      </c>
    </row>
    <row r="801" spans="1:60" x14ac:dyDescent="0.35">
      <c r="A801" t="s">
        <v>1496</v>
      </c>
      <c r="B801" t="s">
        <v>1693</v>
      </c>
      <c r="C801" t="s">
        <v>1694</v>
      </c>
      <c r="D801" t="s">
        <v>1695</v>
      </c>
      <c r="E801">
        <v>12657</v>
      </c>
      <c r="F801">
        <v>14</v>
      </c>
      <c r="G801">
        <v>26.34206</v>
      </c>
      <c r="H801">
        <v>1.881575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20782.009999999998</v>
      </c>
      <c r="AB801">
        <v>17019.62</v>
      </c>
      <c r="AC801">
        <v>47406.81</v>
      </c>
      <c r="AD801">
        <v>8271.7000000000007</v>
      </c>
      <c r="AE801">
        <v>0</v>
      </c>
      <c r="AF801">
        <v>93480.14</v>
      </c>
      <c r="AG801">
        <v>3582.41</v>
      </c>
      <c r="AH801">
        <v>5580.25</v>
      </c>
      <c r="AI801">
        <v>8570.4699999999993</v>
      </c>
      <c r="AJ801">
        <v>2794.22</v>
      </c>
      <c r="AK801">
        <v>0</v>
      </c>
      <c r="AL801">
        <v>20527.349999999999</v>
      </c>
      <c r="AM801">
        <v>161.55000000000001</v>
      </c>
      <c r="AN801">
        <v>2347.8200000000002</v>
      </c>
      <c r="AO801">
        <v>7608.29</v>
      </c>
      <c r="AP801">
        <v>149.22999999999999</v>
      </c>
      <c r="AQ801">
        <v>0</v>
      </c>
      <c r="AR801">
        <v>10266.89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124274.38</v>
      </c>
      <c r="AZ801">
        <v>0</v>
      </c>
      <c r="BA801">
        <v>5</v>
      </c>
      <c r="BB801">
        <v>49359.360999999997</v>
      </c>
      <c r="BC801">
        <v>246796.80300000001</v>
      </c>
      <c r="BD801">
        <v>31969.72</v>
      </c>
      <c r="BE801">
        <v>4831.41</v>
      </c>
      <c r="BF801">
        <v>114</v>
      </c>
      <c r="BG801">
        <v>3150.4792980000002</v>
      </c>
      <c r="BH801">
        <v>211.904</v>
      </c>
    </row>
    <row r="802" spans="1:60" x14ac:dyDescent="0.35">
      <c r="A802" t="s">
        <v>1496</v>
      </c>
      <c r="B802" t="s">
        <v>1693</v>
      </c>
      <c r="C802" t="s">
        <v>1696</v>
      </c>
      <c r="D802" t="s">
        <v>1697</v>
      </c>
      <c r="E802">
        <v>7509</v>
      </c>
      <c r="F802">
        <v>2</v>
      </c>
      <c r="G802">
        <v>4.215859</v>
      </c>
      <c r="H802">
        <v>2.1079289999999999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66790.417000000001</v>
      </c>
      <c r="BC802">
        <v>66790.417000000001</v>
      </c>
      <c r="BD802">
        <v>0</v>
      </c>
      <c r="BE802">
        <v>0</v>
      </c>
      <c r="BF802">
        <v>45</v>
      </c>
      <c r="BG802">
        <v>788.62888899999996</v>
      </c>
      <c r="BH802">
        <v>8755.1470000000008</v>
      </c>
    </row>
    <row r="803" spans="1:60" x14ac:dyDescent="0.35">
      <c r="A803" t="s">
        <v>1496</v>
      </c>
      <c r="B803" t="s">
        <v>1693</v>
      </c>
      <c r="C803" t="s">
        <v>1698</v>
      </c>
      <c r="D803" t="s">
        <v>1699</v>
      </c>
      <c r="E803">
        <v>2710</v>
      </c>
      <c r="F803">
        <v>16</v>
      </c>
      <c r="G803">
        <v>7.1896820000000004</v>
      </c>
      <c r="H803">
        <v>0.44935510000000001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7701.4549999999999</v>
      </c>
      <c r="BC803">
        <v>7701.4549999999999</v>
      </c>
      <c r="BD803">
        <v>0</v>
      </c>
      <c r="BE803">
        <v>0</v>
      </c>
      <c r="BF803">
        <v>39</v>
      </c>
      <c r="BG803">
        <v>548.154359</v>
      </c>
      <c r="BH803">
        <v>222.97200000000001</v>
      </c>
    </row>
    <row r="804" spans="1:60" x14ac:dyDescent="0.35">
      <c r="A804" t="s">
        <v>1496</v>
      </c>
      <c r="B804" t="s">
        <v>1693</v>
      </c>
      <c r="C804" t="s">
        <v>1700</v>
      </c>
      <c r="D804" t="s">
        <v>1701</v>
      </c>
      <c r="E804">
        <v>3204</v>
      </c>
      <c r="F804">
        <v>2</v>
      </c>
      <c r="G804">
        <v>0.67200000000000004</v>
      </c>
      <c r="H804">
        <v>0.33600000000000002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10</v>
      </c>
      <c r="BG804">
        <v>0</v>
      </c>
      <c r="BH804">
        <v>0</v>
      </c>
    </row>
    <row r="805" spans="1:60" x14ac:dyDescent="0.35">
      <c r="A805" t="s">
        <v>1496</v>
      </c>
      <c r="B805" t="s">
        <v>1693</v>
      </c>
      <c r="C805" t="s">
        <v>1702</v>
      </c>
      <c r="D805" t="s">
        <v>1703</v>
      </c>
      <c r="E805">
        <v>15197</v>
      </c>
      <c r="F805">
        <v>1</v>
      </c>
      <c r="G805">
        <v>3.0059999999999998</v>
      </c>
      <c r="H805">
        <v>3.0059999999999998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46</v>
      </c>
      <c r="BG805">
        <v>414.92391300000003</v>
      </c>
      <c r="BH805">
        <v>0</v>
      </c>
    </row>
    <row r="806" spans="1:60" x14ac:dyDescent="0.35">
      <c r="A806" t="s">
        <v>1496</v>
      </c>
      <c r="B806" t="s">
        <v>1693</v>
      </c>
      <c r="C806" t="s">
        <v>1704</v>
      </c>
      <c r="D806" t="s">
        <v>1705</v>
      </c>
      <c r="E806">
        <v>4635</v>
      </c>
      <c r="F806">
        <v>3</v>
      </c>
      <c r="G806">
        <v>0.76319999999999999</v>
      </c>
      <c r="H806">
        <v>0.25440000000000002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18</v>
      </c>
      <c r="BG806">
        <v>2430.0250000000001</v>
      </c>
      <c r="BH806">
        <v>0</v>
      </c>
    </row>
    <row r="807" spans="1:60" x14ac:dyDescent="0.35">
      <c r="A807" t="s">
        <v>1496</v>
      </c>
      <c r="B807" t="s">
        <v>1693</v>
      </c>
      <c r="C807" t="s">
        <v>1706</v>
      </c>
      <c r="D807" t="s">
        <v>1707</v>
      </c>
      <c r="E807">
        <v>5073</v>
      </c>
      <c r="F807" t="s">
        <v>81</v>
      </c>
      <c r="G807" t="s">
        <v>81</v>
      </c>
      <c r="H807" t="s">
        <v>81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12</v>
      </c>
      <c r="BG807">
        <v>1.75</v>
      </c>
      <c r="BH807">
        <v>0</v>
      </c>
    </row>
    <row r="808" spans="1:60" x14ac:dyDescent="0.35">
      <c r="A808" t="s">
        <v>1496</v>
      </c>
      <c r="B808" t="s">
        <v>1693</v>
      </c>
      <c r="C808" t="s">
        <v>674</v>
      </c>
      <c r="D808" t="s">
        <v>1708</v>
      </c>
      <c r="E808">
        <v>5592</v>
      </c>
      <c r="F808">
        <v>4</v>
      </c>
      <c r="G808">
        <v>1.88</v>
      </c>
      <c r="H808">
        <v>0.47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54402.832999999999</v>
      </c>
      <c r="BC808">
        <v>54402.832999999999</v>
      </c>
      <c r="BD808">
        <v>0</v>
      </c>
      <c r="BE808">
        <v>6840</v>
      </c>
      <c r="BF808">
        <v>43</v>
      </c>
      <c r="BG808">
        <v>888.14418599999999</v>
      </c>
      <c r="BH808">
        <v>221.50800000000001</v>
      </c>
    </row>
    <row r="809" spans="1:60" x14ac:dyDescent="0.35">
      <c r="A809" t="s">
        <v>1496</v>
      </c>
      <c r="B809" t="s">
        <v>1693</v>
      </c>
      <c r="C809" t="s">
        <v>1709</v>
      </c>
      <c r="D809" t="s">
        <v>1710</v>
      </c>
      <c r="E809">
        <v>5019</v>
      </c>
      <c r="F809" t="s">
        <v>81</v>
      </c>
      <c r="G809" t="s">
        <v>81</v>
      </c>
      <c r="H809" t="s">
        <v>81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15</v>
      </c>
      <c r="BG809">
        <v>0</v>
      </c>
      <c r="BH809">
        <v>0</v>
      </c>
    </row>
    <row r="810" spans="1:60" x14ac:dyDescent="0.35">
      <c r="A810" t="s">
        <v>1496</v>
      </c>
      <c r="B810" t="s">
        <v>1693</v>
      </c>
      <c r="C810" t="s">
        <v>1711</v>
      </c>
      <c r="D810" t="s">
        <v>1712</v>
      </c>
      <c r="E810">
        <v>19417</v>
      </c>
      <c r="F810">
        <v>9</v>
      </c>
      <c r="G810">
        <v>4.3621080000000001</v>
      </c>
      <c r="H810">
        <v>0.48467870000000002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15294.61</v>
      </c>
      <c r="AD810">
        <v>0</v>
      </c>
      <c r="AE810">
        <v>0</v>
      </c>
      <c r="AF810">
        <v>15294.61</v>
      </c>
      <c r="AG810">
        <v>0</v>
      </c>
      <c r="AH810">
        <v>0</v>
      </c>
      <c r="AI810">
        <v>6893.84</v>
      </c>
      <c r="AJ810">
        <v>0</v>
      </c>
      <c r="AK810">
        <v>0</v>
      </c>
      <c r="AL810">
        <v>6893.84</v>
      </c>
      <c r="AM810">
        <v>0</v>
      </c>
      <c r="AN810">
        <v>0</v>
      </c>
      <c r="AO810">
        <v>465.57</v>
      </c>
      <c r="AP810">
        <v>0</v>
      </c>
      <c r="AQ810">
        <v>0</v>
      </c>
      <c r="AR810">
        <v>465.57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22654.02</v>
      </c>
      <c r="AZ810">
        <v>0</v>
      </c>
      <c r="BA810">
        <v>1</v>
      </c>
      <c r="BB810">
        <v>3119</v>
      </c>
      <c r="BC810">
        <v>3119</v>
      </c>
      <c r="BD810">
        <v>0</v>
      </c>
      <c r="BE810">
        <v>0</v>
      </c>
      <c r="BF810">
        <v>108</v>
      </c>
      <c r="BG810">
        <v>1497.245185</v>
      </c>
      <c r="BH810">
        <v>0</v>
      </c>
    </row>
    <row r="811" spans="1:60" x14ac:dyDescent="0.35">
      <c r="A811" t="s">
        <v>1496</v>
      </c>
      <c r="B811" t="s">
        <v>1693</v>
      </c>
      <c r="C811" t="s">
        <v>1713</v>
      </c>
      <c r="D811" t="s">
        <v>1714</v>
      </c>
      <c r="E811">
        <v>12836</v>
      </c>
      <c r="F811">
        <v>13</v>
      </c>
      <c r="G811">
        <v>12.475099999999999</v>
      </c>
      <c r="H811">
        <v>0.95962340000000002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14229.61</v>
      </c>
      <c r="AD811">
        <v>0</v>
      </c>
      <c r="AE811">
        <v>0</v>
      </c>
      <c r="AF811">
        <v>14229.61</v>
      </c>
      <c r="AG811">
        <v>0</v>
      </c>
      <c r="AH811">
        <v>0</v>
      </c>
      <c r="AI811">
        <v>2539.88</v>
      </c>
      <c r="AJ811">
        <v>0</v>
      </c>
      <c r="AK811">
        <v>0</v>
      </c>
      <c r="AL811">
        <v>2539.88</v>
      </c>
      <c r="AM811">
        <v>0</v>
      </c>
      <c r="AN811">
        <v>0</v>
      </c>
      <c r="AO811">
        <v>1273.8599999999999</v>
      </c>
      <c r="AP811">
        <v>0</v>
      </c>
      <c r="AQ811">
        <v>0</v>
      </c>
      <c r="AR811">
        <v>1273.8599999999999</v>
      </c>
      <c r="AS811">
        <v>0</v>
      </c>
      <c r="AT811">
        <v>0</v>
      </c>
      <c r="AU811">
        <v>226.12</v>
      </c>
      <c r="AV811">
        <v>0</v>
      </c>
      <c r="AW811">
        <v>0</v>
      </c>
      <c r="AX811">
        <v>226.12</v>
      </c>
      <c r="AY811">
        <v>18269.47</v>
      </c>
      <c r="AZ811">
        <v>0</v>
      </c>
      <c r="BA811">
        <v>3</v>
      </c>
      <c r="BB811">
        <v>64472.938999999998</v>
      </c>
      <c r="BC811">
        <v>193418.818</v>
      </c>
      <c r="BD811">
        <v>0</v>
      </c>
      <c r="BE811">
        <v>0</v>
      </c>
      <c r="BF811">
        <v>126</v>
      </c>
      <c r="BG811">
        <v>1288.063889</v>
      </c>
      <c r="BH811">
        <v>535.05600000000004</v>
      </c>
    </row>
    <row r="812" spans="1:60" x14ac:dyDescent="0.35">
      <c r="A812" t="s">
        <v>1496</v>
      </c>
      <c r="B812" t="s">
        <v>1693</v>
      </c>
      <c r="C812" t="s">
        <v>1715</v>
      </c>
      <c r="D812" t="s">
        <v>1716</v>
      </c>
      <c r="E812">
        <v>12132</v>
      </c>
      <c r="F812">
        <v>7</v>
      </c>
      <c r="G812">
        <v>5.7312000000000003</v>
      </c>
      <c r="H812">
        <v>0.81874290000000005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40</v>
      </c>
      <c r="BG812">
        <v>1290.2375</v>
      </c>
      <c r="BH812">
        <v>35.865000000000002</v>
      </c>
    </row>
    <row r="813" spans="1:60" x14ac:dyDescent="0.35">
      <c r="A813" t="s">
        <v>1496</v>
      </c>
      <c r="B813" t="s">
        <v>1717</v>
      </c>
      <c r="C813" t="s">
        <v>1717</v>
      </c>
      <c r="D813" t="s">
        <v>1718</v>
      </c>
      <c r="E813">
        <v>25201</v>
      </c>
      <c r="F813">
        <v>94</v>
      </c>
      <c r="G813">
        <v>77.272760000000005</v>
      </c>
      <c r="H813">
        <v>0.82205059999999996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123.59</v>
      </c>
      <c r="AB813">
        <v>0</v>
      </c>
      <c r="AC813">
        <v>180064.41</v>
      </c>
      <c r="AD813">
        <v>0</v>
      </c>
      <c r="AE813">
        <v>0</v>
      </c>
      <c r="AF813">
        <v>180188.00000000003</v>
      </c>
      <c r="AG813">
        <v>4.59</v>
      </c>
      <c r="AH813">
        <v>0</v>
      </c>
      <c r="AI813">
        <v>30798.86</v>
      </c>
      <c r="AJ813">
        <v>0</v>
      </c>
      <c r="AK813">
        <v>0</v>
      </c>
      <c r="AL813">
        <v>30803.45</v>
      </c>
      <c r="AM813">
        <v>473.92</v>
      </c>
      <c r="AN813">
        <v>0</v>
      </c>
      <c r="AO813">
        <v>25677.97</v>
      </c>
      <c r="AP813">
        <v>0</v>
      </c>
      <c r="AQ813">
        <v>0</v>
      </c>
      <c r="AR813">
        <v>26151.89</v>
      </c>
      <c r="AS813">
        <v>263.72000000000003</v>
      </c>
      <c r="AT813">
        <v>0</v>
      </c>
      <c r="AU813">
        <v>1215.46</v>
      </c>
      <c r="AV813">
        <v>0</v>
      </c>
      <c r="AW813">
        <v>0</v>
      </c>
      <c r="AX813">
        <v>1479.18</v>
      </c>
      <c r="AY813">
        <v>238622.52</v>
      </c>
      <c r="AZ813">
        <v>0</v>
      </c>
      <c r="BA813">
        <v>17</v>
      </c>
      <c r="BB813">
        <v>51817.961000000003</v>
      </c>
      <c r="BC813">
        <v>880905.33</v>
      </c>
      <c r="BD813">
        <v>3155.4370589999999</v>
      </c>
      <c r="BE813">
        <v>6650.1310000000003</v>
      </c>
      <c r="BF813">
        <v>323</v>
      </c>
      <c r="BG813">
        <v>2301.2891949999998</v>
      </c>
      <c r="BH813">
        <v>1730.6859999999999</v>
      </c>
    </row>
    <row r="814" spans="1:60" x14ac:dyDescent="0.35">
      <c r="A814" t="s">
        <v>1496</v>
      </c>
      <c r="B814" t="s">
        <v>1717</v>
      </c>
      <c r="C814" t="s">
        <v>1719</v>
      </c>
      <c r="D814" t="s">
        <v>1720</v>
      </c>
      <c r="E814">
        <v>12970</v>
      </c>
      <c r="F814">
        <v>10</v>
      </c>
      <c r="G814">
        <v>4.9914630000000004</v>
      </c>
      <c r="H814">
        <v>0.49914629999999999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6615.05</v>
      </c>
      <c r="AC814">
        <v>23126.52</v>
      </c>
      <c r="AD814">
        <v>0</v>
      </c>
      <c r="AE814">
        <v>0</v>
      </c>
      <c r="AF814">
        <v>29741.57</v>
      </c>
      <c r="AG814">
        <v>0</v>
      </c>
      <c r="AH814">
        <v>946.91</v>
      </c>
      <c r="AI814">
        <v>5755.09</v>
      </c>
      <c r="AJ814">
        <v>0</v>
      </c>
      <c r="AK814">
        <v>0</v>
      </c>
      <c r="AL814">
        <v>6702</v>
      </c>
      <c r="AM814">
        <v>0</v>
      </c>
      <c r="AN814">
        <v>818.29</v>
      </c>
      <c r="AO814">
        <v>223.52</v>
      </c>
      <c r="AP814">
        <v>0</v>
      </c>
      <c r="AQ814">
        <v>0</v>
      </c>
      <c r="AR814">
        <v>1041.81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37485.379999999997</v>
      </c>
      <c r="AZ814">
        <v>0</v>
      </c>
      <c r="BA814">
        <v>13</v>
      </c>
      <c r="BB814">
        <v>79606.644</v>
      </c>
      <c r="BC814">
        <v>1034886.3689999999</v>
      </c>
      <c r="BD814">
        <v>0</v>
      </c>
      <c r="BE814">
        <v>54165.733</v>
      </c>
      <c r="BF814">
        <v>157</v>
      </c>
      <c r="BG814">
        <v>2652.2676430000001</v>
      </c>
      <c r="BH814">
        <v>6077.7420000000002</v>
      </c>
    </row>
    <row r="815" spans="1:60" x14ac:dyDescent="0.35">
      <c r="A815" t="s">
        <v>1496</v>
      </c>
      <c r="B815" t="s">
        <v>1717</v>
      </c>
      <c r="C815" t="s">
        <v>1721</v>
      </c>
      <c r="D815" t="s">
        <v>1722</v>
      </c>
      <c r="E815">
        <v>6585</v>
      </c>
      <c r="F815">
        <v>1</v>
      </c>
      <c r="G815">
        <v>0.25</v>
      </c>
      <c r="H815">
        <v>0.25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</v>
      </c>
      <c r="BB815">
        <v>7505.5</v>
      </c>
      <c r="BC815">
        <v>7505.5</v>
      </c>
      <c r="BD815">
        <v>0</v>
      </c>
      <c r="BE815">
        <v>0</v>
      </c>
      <c r="BF815">
        <v>36</v>
      </c>
      <c r="BG815">
        <v>300.59583300000003</v>
      </c>
      <c r="BH815">
        <v>1409.0989999999999</v>
      </c>
    </row>
    <row r="816" spans="1:60" x14ac:dyDescent="0.35">
      <c r="A816" t="s">
        <v>1496</v>
      </c>
      <c r="B816" t="s">
        <v>1717</v>
      </c>
      <c r="C816" t="s">
        <v>1723</v>
      </c>
      <c r="D816" t="s">
        <v>1724</v>
      </c>
      <c r="E816">
        <v>5772</v>
      </c>
      <c r="F816">
        <v>23</v>
      </c>
      <c r="G816">
        <v>24.498139999999999</v>
      </c>
      <c r="H816">
        <v>1.065137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27709.15</v>
      </c>
      <c r="AD816">
        <v>0</v>
      </c>
      <c r="AE816">
        <v>0</v>
      </c>
      <c r="AF816">
        <v>27709.15</v>
      </c>
      <c r="AG816">
        <v>0</v>
      </c>
      <c r="AH816">
        <v>0</v>
      </c>
      <c r="AI816">
        <v>3870.78</v>
      </c>
      <c r="AJ816">
        <v>0</v>
      </c>
      <c r="AK816">
        <v>0</v>
      </c>
      <c r="AL816">
        <v>3870.78</v>
      </c>
      <c r="AM816">
        <v>152.16999999999999</v>
      </c>
      <c r="AN816">
        <v>0</v>
      </c>
      <c r="AO816">
        <v>2174.9499999999998</v>
      </c>
      <c r="AP816">
        <v>0</v>
      </c>
      <c r="AQ816">
        <v>0</v>
      </c>
      <c r="AR816">
        <v>2327.12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33907.050000000003</v>
      </c>
      <c r="AZ816">
        <v>0</v>
      </c>
      <c r="BA816">
        <v>4</v>
      </c>
      <c r="BB816">
        <v>23290.792000000001</v>
      </c>
      <c r="BC816">
        <v>93163.167000000001</v>
      </c>
      <c r="BD816">
        <v>0</v>
      </c>
      <c r="BE816">
        <v>14751.14</v>
      </c>
      <c r="BF816">
        <v>152</v>
      </c>
      <c r="BG816">
        <v>4860.047039</v>
      </c>
      <c r="BH816">
        <v>8173.5140000000001</v>
      </c>
    </row>
    <row r="817" spans="1:60" x14ac:dyDescent="0.35">
      <c r="A817" t="s">
        <v>1496</v>
      </c>
      <c r="B817" t="s">
        <v>1717</v>
      </c>
      <c r="C817" t="s">
        <v>1725</v>
      </c>
      <c r="D817" t="s">
        <v>1726</v>
      </c>
      <c r="E817">
        <v>6853</v>
      </c>
      <c r="F817">
        <v>1</v>
      </c>
      <c r="G817">
        <v>4.84</v>
      </c>
      <c r="H817">
        <v>4.84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10716.857</v>
      </c>
      <c r="BC817">
        <v>10716.857</v>
      </c>
      <c r="BD817">
        <v>0</v>
      </c>
      <c r="BE817">
        <v>1248.3630000000001</v>
      </c>
      <c r="BF817">
        <v>31</v>
      </c>
      <c r="BG817">
        <v>1416.116452</v>
      </c>
      <c r="BH817">
        <v>25743.536</v>
      </c>
    </row>
    <row r="818" spans="1:60" x14ac:dyDescent="0.35">
      <c r="A818" t="s">
        <v>1496</v>
      </c>
      <c r="B818" t="s">
        <v>1717</v>
      </c>
      <c r="C818" t="s">
        <v>1727</v>
      </c>
      <c r="D818" t="s">
        <v>1728</v>
      </c>
      <c r="E818">
        <v>12110</v>
      </c>
      <c r="F818">
        <v>8</v>
      </c>
      <c r="G818">
        <v>6.5174669999999999</v>
      </c>
      <c r="H818">
        <v>0.81468339999999995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2</v>
      </c>
      <c r="BB818">
        <v>29789.125</v>
      </c>
      <c r="BC818">
        <v>59578.25</v>
      </c>
      <c r="BD818">
        <v>0</v>
      </c>
      <c r="BE818">
        <v>25133.679</v>
      </c>
      <c r="BF818">
        <v>75</v>
      </c>
      <c r="BG818">
        <v>806.57066699999996</v>
      </c>
      <c r="BH818">
        <v>3679.79</v>
      </c>
    </row>
    <row r="819" spans="1:60" x14ac:dyDescent="0.35">
      <c r="A819" t="s">
        <v>1496</v>
      </c>
      <c r="B819" t="s">
        <v>1717</v>
      </c>
      <c r="C819" t="s">
        <v>1729</v>
      </c>
      <c r="D819" t="s">
        <v>1730</v>
      </c>
      <c r="E819">
        <v>3452</v>
      </c>
      <c r="F819">
        <v>3</v>
      </c>
      <c r="G819">
        <v>4.3083309999999999</v>
      </c>
      <c r="H819">
        <v>1.43611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23</v>
      </c>
      <c r="BG819">
        <v>675.67391299999997</v>
      </c>
      <c r="BH819">
        <v>9533.1620000000003</v>
      </c>
    </row>
    <row r="820" spans="1:60" x14ac:dyDescent="0.35">
      <c r="A820" t="s">
        <v>1731</v>
      </c>
      <c r="B820" t="s">
        <v>1731</v>
      </c>
      <c r="C820" t="s">
        <v>1731</v>
      </c>
      <c r="D820" t="s">
        <v>1732</v>
      </c>
      <c r="E820">
        <v>43380</v>
      </c>
      <c r="F820">
        <v>150</v>
      </c>
      <c r="G820">
        <v>118.92619999999999</v>
      </c>
      <c r="H820">
        <v>0.79284120000000002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27.5</v>
      </c>
      <c r="P820">
        <v>0</v>
      </c>
      <c r="Q820">
        <v>0</v>
      </c>
      <c r="R820">
        <v>0</v>
      </c>
      <c r="S820">
        <v>0</v>
      </c>
      <c r="T820">
        <v>27.5</v>
      </c>
      <c r="U820">
        <v>1873.34</v>
      </c>
      <c r="V820">
        <v>0</v>
      </c>
      <c r="W820">
        <v>649.04999999999995</v>
      </c>
      <c r="X820">
        <v>0</v>
      </c>
      <c r="Y820">
        <v>0</v>
      </c>
      <c r="Z820">
        <v>2522.39</v>
      </c>
      <c r="AA820">
        <v>50597.5</v>
      </c>
      <c r="AB820">
        <v>22427.11</v>
      </c>
      <c r="AC820">
        <v>124107.9</v>
      </c>
      <c r="AD820">
        <v>0</v>
      </c>
      <c r="AE820">
        <v>0</v>
      </c>
      <c r="AF820">
        <v>197132.51</v>
      </c>
      <c r="AG820">
        <v>1520.49</v>
      </c>
      <c r="AH820">
        <v>4668.97</v>
      </c>
      <c r="AI820">
        <v>15366.45</v>
      </c>
      <c r="AJ820">
        <v>0</v>
      </c>
      <c r="AK820">
        <v>0</v>
      </c>
      <c r="AL820">
        <v>21555.91</v>
      </c>
      <c r="AM820">
        <v>3915.11</v>
      </c>
      <c r="AN820">
        <v>12701.59</v>
      </c>
      <c r="AO820">
        <v>107597.74</v>
      </c>
      <c r="AP820">
        <v>0</v>
      </c>
      <c r="AQ820">
        <v>0</v>
      </c>
      <c r="AR820">
        <v>124214.44</v>
      </c>
      <c r="AS820">
        <v>5978.15</v>
      </c>
      <c r="AT820">
        <v>0</v>
      </c>
      <c r="AU820">
        <v>4654.54</v>
      </c>
      <c r="AV820">
        <v>0</v>
      </c>
      <c r="AW820">
        <v>0</v>
      </c>
      <c r="AX820">
        <v>10632.69</v>
      </c>
      <c r="AY820">
        <v>356085.44</v>
      </c>
      <c r="AZ820">
        <v>0</v>
      </c>
      <c r="BA820">
        <v>7</v>
      </c>
      <c r="BB820">
        <v>86661.082999999999</v>
      </c>
      <c r="BC820">
        <v>606627.58299999998</v>
      </c>
      <c r="BD820">
        <v>0</v>
      </c>
      <c r="BE820">
        <v>0</v>
      </c>
      <c r="BF820">
        <v>456</v>
      </c>
      <c r="BG820">
        <v>485.77910100000003</v>
      </c>
      <c r="BH820">
        <v>489.59100000000001</v>
      </c>
    </row>
    <row r="821" spans="1:60" x14ac:dyDescent="0.35">
      <c r="A821" t="s">
        <v>1731</v>
      </c>
      <c r="B821" t="s">
        <v>1731</v>
      </c>
      <c r="C821" t="s">
        <v>1733</v>
      </c>
      <c r="D821" t="s">
        <v>1734</v>
      </c>
      <c r="E821">
        <v>1489</v>
      </c>
      <c r="F821" t="s">
        <v>81</v>
      </c>
      <c r="G821" t="s">
        <v>81</v>
      </c>
      <c r="H821" t="s">
        <v>81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1</v>
      </c>
      <c r="BG821">
        <v>0</v>
      </c>
      <c r="BH821">
        <v>0</v>
      </c>
    </row>
    <row r="822" spans="1:60" x14ac:dyDescent="0.35">
      <c r="A822" t="s">
        <v>1731</v>
      </c>
      <c r="B822" t="s">
        <v>1731</v>
      </c>
      <c r="C822" t="s">
        <v>1735</v>
      </c>
      <c r="D822" t="s">
        <v>1736</v>
      </c>
      <c r="E822">
        <v>13632</v>
      </c>
      <c r="F822">
        <v>3</v>
      </c>
      <c r="G822">
        <v>0.7288</v>
      </c>
      <c r="H822">
        <v>0.24293329999999999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36</v>
      </c>
      <c r="BG822">
        <v>0</v>
      </c>
      <c r="BH822">
        <v>0</v>
      </c>
    </row>
    <row r="823" spans="1:60" x14ac:dyDescent="0.35">
      <c r="A823" t="s">
        <v>1731</v>
      </c>
      <c r="B823" t="s">
        <v>1731</v>
      </c>
      <c r="C823" t="s">
        <v>1737</v>
      </c>
      <c r="D823" t="s">
        <v>1738</v>
      </c>
      <c r="E823">
        <v>751</v>
      </c>
      <c r="F823" t="s">
        <v>81</v>
      </c>
      <c r="G823" t="s">
        <v>81</v>
      </c>
      <c r="H823" t="s">
        <v>81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 t="s">
        <v>81</v>
      </c>
      <c r="BB823" t="s">
        <v>81</v>
      </c>
      <c r="BC823" t="s">
        <v>81</v>
      </c>
      <c r="BD823" t="s">
        <v>81</v>
      </c>
      <c r="BE823" t="s">
        <v>81</v>
      </c>
      <c r="BF823" t="s">
        <v>81</v>
      </c>
      <c r="BG823" t="s">
        <v>81</v>
      </c>
      <c r="BH823" t="s">
        <v>81</v>
      </c>
    </row>
    <row r="824" spans="1:60" x14ac:dyDescent="0.35">
      <c r="A824" t="s">
        <v>1731</v>
      </c>
      <c r="B824" t="s">
        <v>1731</v>
      </c>
      <c r="C824" t="s">
        <v>1739</v>
      </c>
      <c r="D824" t="s">
        <v>1740</v>
      </c>
      <c r="E824">
        <v>877</v>
      </c>
      <c r="F824" t="s">
        <v>81</v>
      </c>
      <c r="G824" t="s">
        <v>81</v>
      </c>
      <c r="H824" t="s">
        <v>81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0</v>
      </c>
      <c r="BH824">
        <v>0</v>
      </c>
    </row>
    <row r="825" spans="1:60" x14ac:dyDescent="0.35">
      <c r="A825" t="s">
        <v>1731</v>
      </c>
      <c r="B825" t="s">
        <v>1731</v>
      </c>
      <c r="C825" t="s">
        <v>1741</v>
      </c>
      <c r="D825" t="s">
        <v>1742</v>
      </c>
      <c r="E825">
        <v>1517</v>
      </c>
      <c r="F825">
        <v>4</v>
      </c>
      <c r="G825">
        <v>2.3666299999999998</v>
      </c>
      <c r="H825">
        <v>0.59165749999999995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14</v>
      </c>
      <c r="BG825">
        <v>0</v>
      </c>
      <c r="BH825">
        <v>0</v>
      </c>
    </row>
    <row r="826" spans="1:60" x14ac:dyDescent="0.35">
      <c r="A826" t="s">
        <v>1731</v>
      </c>
      <c r="B826" t="s">
        <v>1731</v>
      </c>
      <c r="C826" t="s">
        <v>1743</v>
      </c>
      <c r="D826" t="s">
        <v>1744</v>
      </c>
      <c r="E826">
        <v>608</v>
      </c>
      <c r="F826" t="s">
        <v>81</v>
      </c>
      <c r="G826" t="s">
        <v>81</v>
      </c>
      <c r="H826" t="s">
        <v>81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1</v>
      </c>
      <c r="BG826">
        <v>383</v>
      </c>
      <c r="BH826">
        <v>0</v>
      </c>
    </row>
    <row r="827" spans="1:60" x14ac:dyDescent="0.35">
      <c r="A827" t="s">
        <v>1731</v>
      </c>
      <c r="B827" t="s">
        <v>1731</v>
      </c>
      <c r="C827" t="s">
        <v>1745</v>
      </c>
      <c r="D827" t="s">
        <v>1746</v>
      </c>
      <c r="E827">
        <v>910</v>
      </c>
      <c r="F827">
        <v>3</v>
      </c>
      <c r="G827">
        <v>0.83</v>
      </c>
      <c r="H827">
        <v>0.27666669999999999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3</v>
      </c>
      <c r="BG827">
        <v>0</v>
      </c>
      <c r="BH827">
        <v>0</v>
      </c>
    </row>
    <row r="828" spans="1:60" x14ac:dyDescent="0.35">
      <c r="A828" t="s">
        <v>1731</v>
      </c>
      <c r="B828" t="s">
        <v>1731</v>
      </c>
      <c r="C828" t="s">
        <v>1747</v>
      </c>
      <c r="D828" t="s">
        <v>1748</v>
      </c>
      <c r="E828">
        <v>612</v>
      </c>
      <c r="F828" t="s">
        <v>81</v>
      </c>
      <c r="G828" t="s">
        <v>81</v>
      </c>
      <c r="H828" t="s">
        <v>81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 t="s">
        <v>81</v>
      </c>
      <c r="BB828" t="s">
        <v>81</v>
      </c>
      <c r="BC828" t="s">
        <v>81</v>
      </c>
      <c r="BD828" t="s">
        <v>81</v>
      </c>
      <c r="BE828" t="s">
        <v>81</v>
      </c>
      <c r="BF828" t="s">
        <v>81</v>
      </c>
      <c r="BG828" t="s">
        <v>81</v>
      </c>
      <c r="BH828" t="s">
        <v>81</v>
      </c>
    </row>
    <row r="829" spans="1:60" x14ac:dyDescent="0.35">
      <c r="A829" t="s">
        <v>1731</v>
      </c>
      <c r="B829" t="s">
        <v>1731</v>
      </c>
      <c r="C829" t="s">
        <v>1749</v>
      </c>
      <c r="D829" t="s">
        <v>1750</v>
      </c>
      <c r="E829">
        <v>762</v>
      </c>
      <c r="F829" t="s">
        <v>81</v>
      </c>
      <c r="G829" t="s">
        <v>81</v>
      </c>
      <c r="H829" t="s">
        <v>81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</row>
    <row r="830" spans="1:60" x14ac:dyDescent="0.35">
      <c r="A830" t="s">
        <v>1731</v>
      </c>
      <c r="B830" t="s">
        <v>1731</v>
      </c>
      <c r="C830" t="s">
        <v>1751</v>
      </c>
      <c r="D830" t="s">
        <v>1752</v>
      </c>
      <c r="E830">
        <v>435</v>
      </c>
      <c r="F830" t="s">
        <v>81</v>
      </c>
      <c r="G830" t="s">
        <v>81</v>
      </c>
      <c r="H830" t="s">
        <v>81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4</v>
      </c>
      <c r="BG830">
        <v>0</v>
      </c>
      <c r="BH830">
        <v>0</v>
      </c>
    </row>
    <row r="831" spans="1:60" x14ac:dyDescent="0.35">
      <c r="A831" t="s">
        <v>1731</v>
      </c>
      <c r="B831" t="s">
        <v>1731</v>
      </c>
      <c r="C831" t="s">
        <v>1753</v>
      </c>
      <c r="D831" t="s">
        <v>1754</v>
      </c>
      <c r="E831">
        <v>700</v>
      </c>
      <c r="F831" t="s">
        <v>81</v>
      </c>
      <c r="G831" t="s">
        <v>81</v>
      </c>
      <c r="H831" t="s">
        <v>81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3</v>
      </c>
      <c r="BG831">
        <v>0</v>
      </c>
      <c r="BH831">
        <v>0</v>
      </c>
    </row>
    <row r="832" spans="1:60" x14ac:dyDescent="0.35">
      <c r="A832" t="s">
        <v>1731</v>
      </c>
      <c r="B832" t="s">
        <v>1731</v>
      </c>
      <c r="C832" t="s">
        <v>1755</v>
      </c>
      <c r="D832" t="s">
        <v>1756</v>
      </c>
      <c r="E832">
        <v>1511</v>
      </c>
      <c r="F832" t="s">
        <v>81</v>
      </c>
      <c r="G832" t="s">
        <v>81</v>
      </c>
      <c r="H832" t="s">
        <v>81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2</v>
      </c>
      <c r="BG832">
        <v>0</v>
      </c>
      <c r="BH832">
        <v>0</v>
      </c>
    </row>
    <row r="833" spans="1:60" x14ac:dyDescent="0.35">
      <c r="A833" t="s">
        <v>1731</v>
      </c>
      <c r="B833" t="s">
        <v>1731</v>
      </c>
      <c r="C833" t="s">
        <v>1757</v>
      </c>
      <c r="D833" t="s">
        <v>1758</v>
      </c>
      <c r="E833">
        <v>1559</v>
      </c>
      <c r="F833" t="s">
        <v>81</v>
      </c>
      <c r="G833" t="s">
        <v>81</v>
      </c>
      <c r="H833" t="s">
        <v>81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4</v>
      </c>
      <c r="BG833">
        <v>0</v>
      </c>
      <c r="BH833">
        <v>0</v>
      </c>
    </row>
    <row r="834" spans="1:60" x14ac:dyDescent="0.35">
      <c r="A834" t="s">
        <v>1731</v>
      </c>
      <c r="B834" t="s">
        <v>1731</v>
      </c>
      <c r="C834" t="s">
        <v>1759</v>
      </c>
      <c r="D834" t="s">
        <v>1760</v>
      </c>
      <c r="E834">
        <v>496</v>
      </c>
      <c r="F834" t="s">
        <v>81</v>
      </c>
      <c r="G834" t="s">
        <v>81</v>
      </c>
      <c r="H834" t="s">
        <v>81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1</v>
      </c>
      <c r="BG834">
        <v>0</v>
      </c>
      <c r="BH834">
        <v>0</v>
      </c>
    </row>
    <row r="835" spans="1:60" x14ac:dyDescent="0.35">
      <c r="A835" t="s">
        <v>1731</v>
      </c>
      <c r="B835" t="s">
        <v>1731</v>
      </c>
      <c r="C835" t="s">
        <v>1761</v>
      </c>
      <c r="D835" t="s">
        <v>1762</v>
      </c>
      <c r="E835">
        <v>1532</v>
      </c>
      <c r="F835" t="s">
        <v>81</v>
      </c>
      <c r="G835" t="s">
        <v>81</v>
      </c>
      <c r="H835" t="s">
        <v>81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</row>
    <row r="836" spans="1:60" x14ac:dyDescent="0.35">
      <c r="A836" t="s">
        <v>1731</v>
      </c>
      <c r="B836" t="s">
        <v>1731</v>
      </c>
      <c r="C836" t="s">
        <v>1763</v>
      </c>
      <c r="D836" t="s">
        <v>1764</v>
      </c>
      <c r="E836">
        <v>17448</v>
      </c>
      <c r="F836" t="s">
        <v>81</v>
      </c>
      <c r="G836" t="s">
        <v>81</v>
      </c>
      <c r="H836" t="s">
        <v>81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40</v>
      </c>
      <c r="BG836">
        <v>30.375</v>
      </c>
      <c r="BH836">
        <v>0</v>
      </c>
    </row>
    <row r="837" spans="1:60" x14ac:dyDescent="0.35">
      <c r="A837" t="s">
        <v>1731</v>
      </c>
      <c r="B837" t="s">
        <v>1731</v>
      </c>
      <c r="C837" t="s">
        <v>1765</v>
      </c>
      <c r="D837" t="s">
        <v>1766</v>
      </c>
      <c r="E837">
        <v>21383</v>
      </c>
      <c r="F837">
        <v>14</v>
      </c>
      <c r="G837">
        <v>20.78389</v>
      </c>
      <c r="H837">
        <v>1.484564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</v>
      </c>
      <c r="BB837">
        <v>34084.5</v>
      </c>
      <c r="BC837">
        <v>68169</v>
      </c>
      <c r="BD837">
        <v>0</v>
      </c>
      <c r="BE837">
        <v>0</v>
      </c>
      <c r="BF837">
        <v>79</v>
      </c>
      <c r="BG837">
        <v>1212.5974679999999</v>
      </c>
      <c r="BH837">
        <v>0</v>
      </c>
    </row>
    <row r="838" spans="1:60" x14ac:dyDescent="0.35">
      <c r="A838" t="s">
        <v>1731</v>
      </c>
      <c r="B838" t="s">
        <v>1731</v>
      </c>
      <c r="C838" t="s">
        <v>1767</v>
      </c>
      <c r="D838" t="s">
        <v>1768</v>
      </c>
      <c r="E838">
        <v>5971</v>
      </c>
      <c r="F838">
        <v>3</v>
      </c>
      <c r="G838">
        <v>1.760311</v>
      </c>
      <c r="H838">
        <v>0.58677029999999997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22</v>
      </c>
      <c r="BG838">
        <v>5.1363640000000004</v>
      </c>
      <c r="BH838">
        <v>0</v>
      </c>
    </row>
    <row r="839" spans="1:60" x14ac:dyDescent="0.35">
      <c r="A839" t="s">
        <v>1731</v>
      </c>
      <c r="B839" t="s">
        <v>550</v>
      </c>
      <c r="C839" t="s">
        <v>1769</v>
      </c>
      <c r="D839" t="s">
        <v>1770</v>
      </c>
      <c r="E839">
        <v>8955</v>
      </c>
      <c r="F839">
        <v>5</v>
      </c>
      <c r="G839">
        <v>7.9066520000000002</v>
      </c>
      <c r="H839">
        <v>1.5813299999999999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26403.79</v>
      </c>
      <c r="AD839">
        <v>0</v>
      </c>
      <c r="AE839">
        <v>0</v>
      </c>
      <c r="AF839">
        <v>26403.79</v>
      </c>
      <c r="AG839">
        <v>0</v>
      </c>
      <c r="AH839">
        <v>0</v>
      </c>
      <c r="AI839">
        <v>6127.92</v>
      </c>
      <c r="AJ839">
        <v>0</v>
      </c>
      <c r="AK839">
        <v>0</v>
      </c>
      <c r="AL839">
        <v>6127.92</v>
      </c>
      <c r="AM839">
        <v>0</v>
      </c>
      <c r="AN839">
        <v>0</v>
      </c>
      <c r="AO839">
        <v>11717.05</v>
      </c>
      <c r="AP839">
        <v>0</v>
      </c>
      <c r="AQ839">
        <v>0</v>
      </c>
      <c r="AR839">
        <v>11717.05</v>
      </c>
      <c r="AS839">
        <v>0</v>
      </c>
      <c r="AT839">
        <v>0</v>
      </c>
      <c r="AU839">
        <v>87.11</v>
      </c>
      <c r="AV839">
        <v>0</v>
      </c>
      <c r="AW839">
        <v>0</v>
      </c>
      <c r="AX839">
        <v>87.11</v>
      </c>
      <c r="AY839">
        <v>44335.87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60</v>
      </c>
      <c r="BG839">
        <v>13527.698167</v>
      </c>
      <c r="BH839">
        <v>0</v>
      </c>
    </row>
    <row r="840" spans="1:60" x14ac:dyDescent="0.35">
      <c r="A840" t="s">
        <v>1731</v>
      </c>
      <c r="B840" t="s">
        <v>550</v>
      </c>
      <c r="C840" t="s">
        <v>1771</v>
      </c>
      <c r="D840" t="s">
        <v>1772</v>
      </c>
      <c r="E840">
        <v>2662</v>
      </c>
      <c r="F840" t="s">
        <v>81</v>
      </c>
      <c r="G840" t="s">
        <v>81</v>
      </c>
      <c r="H840" t="s">
        <v>81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4</v>
      </c>
      <c r="BG840">
        <v>0</v>
      </c>
      <c r="BH840">
        <v>0</v>
      </c>
    </row>
    <row r="841" spans="1:60" x14ac:dyDescent="0.35">
      <c r="A841" t="s">
        <v>1731</v>
      </c>
      <c r="B841" t="s">
        <v>550</v>
      </c>
      <c r="C841" t="s">
        <v>1773</v>
      </c>
      <c r="D841" t="s">
        <v>1774</v>
      </c>
      <c r="E841">
        <v>3538</v>
      </c>
      <c r="F841" t="s">
        <v>81</v>
      </c>
      <c r="G841" t="s">
        <v>81</v>
      </c>
      <c r="H841" t="s">
        <v>81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9</v>
      </c>
      <c r="BG841">
        <v>16.111111000000001</v>
      </c>
      <c r="BH841">
        <v>0</v>
      </c>
    </row>
    <row r="842" spans="1:60" x14ac:dyDescent="0.35">
      <c r="A842" t="s">
        <v>1731</v>
      </c>
      <c r="B842" t="s">
        <v>550</v>
      </c>
      <c r="C842" t="s">
        <v>1775</v>
      </c>
      <c r="D842" t="s">
        <v>1776</v>
      </c>
      <c r="E842">
        <v>1481</v>
      </c>
      <c r="F842" t="s">
        <v>81</v>
      </c>
      <c r="G842" t="s">
        <v>81</v>
      </c>
      <c r="H842" t="s">
        <v>81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2</v>
      </c>
      <c r="BG842">
        <v>0</v>
      </c>
      <c r="BH842">
        <v>0</v>
      </c>
    </row>
    <row r="843" spans="1:60" x14ac:dyDescent="0.35">
      <c r="A843" t="s">
        <v>1731</v>
      </c>
      <c r="B843" t="s">
        <v>550</v>
      </c>
      <c r="C843" t="s">
        <v>1777</v>
      </c>
      <c r="D843" t="s">
        <v>1778</v>
      </c>
      <c r="E843">
        <v>1265</v>
      </c>
      <c r="F843" t="s">
        <v>81</v>
      </c>
      <c r="G843" t="s">
        <v>81</v>
      </c>
      <c r="H843" t="s">
        <v>81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 t="s">
        <v>81</v>
      </c>
      <c r="BB843" t="s">
        <v>81</v>
      </c>
      <c r="BC843" t="s">
        <v>81</v>
      </c>
      <c r="BD843" t="s">
        <v>81</v>
      </c>
      <c r="BE843" t="s">
        <v>81</v>
      </c>
      <c r="BF843" t="s">
        <v>81</v>
      </c>
      <c r="BG843" t="s">
        <v>81</v>
      </c>
      <c r="BH843" t="s">
        <v>81</v>
      </c>
    </row>
    <row r="844" spans="1:60" x14ac:dyDescent="0.35">
      <c r="A844" t="s">
        <v>1731</v>
      </c>
      <c r="B844" t="s">
        <v>550</v>
      </c>
      <c r="C844" t="s">
        <v>1779</v>
      </c>
      <c r="D844" t="s">
        <v>1780</v>
      </c>
      <c r="E844">
        <v>6300</v>
      </c>
      <c r="F844">
        <v>15</v>
      </c>
      <c r="G844">
        <v>9.3602519999999991</v>
      </c>
      <c r="H844">
        <v>0.62401680000000004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10154.83</v>
      </c>
      <c r="AB844">
        <v>222.28</v>
      </c>
      <c r="AC844">
        <v>29966.01</v>
      </c>
      <c r="AD844">
        <v>0</v>
      </c>
      <c r="AE844">
        <v>0</v>
      </c>
      <c r="AF844">
        <v>40343.120000000003</v>
      </c>
      <c r="AG844">
        <v>1117.28</v>
      </c>
      <c r="AH844">
        <v>531.67999999999995</v>
      </c>
      <c r="AI844">
        <v>8164.09</v>
      </c>
      <c r="AJ844">
        <v>0</v>
      </c>
      <c r="AK844">
        <v>0</v>
      </c>
      <c r="AL844">
        <v>9813.0499999999993</v>
      </c>
      <c r="AM844">
        <v>21.02</v>
      </c>
      <c r="AN844">
        <v>0</v>
      </c>
      <c r="AO844">
        <v>5785.41</v>
      </c>
      <c r="AP844">
        <v>0</v>
      </c>
      <c r="AQ844">
        <v>0</v>
      </c>
      <c r="AR844">
        <v>5806.43</v>
      </c>
      <c r="AS844">
        <v>421.59</v>
      </c>
      <c r="AT844">
        <v>0</v>
      </c>
      <c r="AU844">
        <v>36.54</v>
      </c>
      <c r="AV844">
        <v>0</v>
      </c>
      <c r="AW844">
        <v>0</v>
      </c>
      <c r="AX844">
        <v>458.13</v>
      </c>
      <c r="AY844">
        <v>56420.73</v>
      </c>
      <c r="AZ844">
        <v>0</v>
      </c>
      <c r="BA844">
        <v>1</v>
      </c>
      <c r="BB844">
        <v>122737</v>
      </c>
      <c r="BC844">
        <v>122737</v>
      </c>
      <c r="BD844">
        <v>0</v>
      </c>
      <c r="BE844">
        <v>0</v>
      </c>
      <c r="BF844">
        <v>98</v>
      </c>
      <c r="BG844">
        <v>1045.3791839999999</v>
      </c>
      <c r="BH844">
        <v>117.881</v>
      </c>
    </row>
    <row r="845" spans="1:60" x14ac:dyDescent="0.35">
      <c r="A845" t="s">
        <v>1731</v>
      </c>
      <c r="B845" t="s">
        <v>550</v>
      </c>
      <c r="C845" t="s">
        <v>1781</v>
      </c>
      <c r="D845" t="s">
        <v>1782</v>
      </c>
      <c r="E845">
        <v>2426</v>
      </c>
      <c r="F845">
        <v>2</v>
      </c>
      <c r="G845">
        <v>0.46250000000000002</v>
      </c>
      <c r="H845">
        <v>0.23125000000000001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0</v>
      </c>
      <c r="BH845">
        <v>0</v>
      </c>
    </row>
    <row r="846" spans="1:60" x14ac:dyDescent="0.35">
      <c r="A846" t="s">
        <v>1731</v>
      </c>
      <c r="B846" t="s">
        <v>550</v>
      </c>
      <c r="C846" t="s">
        <v>1783</v>
      </c>
      <c r="D846" t="s">
        <v>1784</v>
      </c>
      <c r="E846">
        <v>4253</v>
      </c>
      <c r="F846" t="s">
        <v>81</v>
      </c>
      <c r="G846" t="s">
        <v>81</v>
      </c>
      <c r="H846" t="s">
        <v>81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7</v>
      </c>
      <c r="BG846">
        <v>0</v>
      </c>
      <c r="BH846">
        <v>0</v>
      </c>
    </row>
    <row r="847" spans="1:60" x14ac:dyDescent="0.35">
      <c r="A847" t="s">
        <v>1731</v>
      </c>
      <c r="B847" t="s">
        <v>1785</v>
      </c>
      <c r="C847" t="s">
        <v>1786</v>
      </c>
      <c r="D847" t="s">
        <v>1787</v>
      </c>
      <c r="E847">
        <v>24808</v>
      </c>
      <c r="F847">
        <v>28</v>
      </c>
      <c r="G847">
        <v>25.708659999999998</v>
      </c>
      <c r="H847">
        <v>0.9181665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43698.26</v>
      </c>
      <c r="AD847">
        <v>0</v>
      </c>
      <c r="AE847">
        <v>0</v>
      </c>
      <c r="AF847">
        <v>43698.26</v>
      </c>
      <c r="AG847">
        <v>0</v>
      </c>
      <c r="AH847">
        <v>0</v>
      </c>
      <c r="AI847">
        <v>8273.52</v>
      </c>
      <c r="AJ847">
        <v>0</v>
      </c>
      <c r="AK847">
        <v>0</v>
      </c>
      <c r="AL847">
        <v>8273.52</v>
      </c>
      <c r="AM847">
        <v>0</v>
      </c>
      <c r="AN847">
        <v>0</v>
      </c>
      <c r="AO847">
        <v>30679.25</v>
      </c>
      <c r="AP847">
        <v>0</v>
      </c>
      <c r="AQ847">
        <v>0</v>
      </c>
      <c r="AR847">
        <v>30679.25</v>
      </c>
      <c r="AS847">
        <v>0</v>
      </c>
      <c r="AT847">
        <v>0</v>
      </c>
      <c r="AU847">
        <v>541.12</v>
      </c>
      <c r="AV847">
        <v>0</v>
      </c>
      <c r="AW847">
        <v>0</v>
      </c>
      <c r="AX847">
        <v>541.12</v>
      </c>
      <c r="AY847">
        <v>83192.149999999994</v>
      </c>
      <c r="AZ847">
        <v>0</v>
      </c>
      <c r="BA847">
        <v>2</v>
      </c>
      <c r="BB847">
        <v>17723.583999999999</v>
      </c>
      <c r="BC847">
        <v>35447.167000000001</v>
      </c>
      <c r="BD847">
        <v>0</v>
      </c>
      <c r="BE847">
        <v>0</v>
      </c>
      <c r="BF847">
        <v>105</v>
      </c>
      <c r="BG847">
        <v>787.82476199999996</v>
      </c>
      <c r="BH847">
        <v>3.7999999999999999E-2</v>
      </c>
    </row>
    <row r="848" spans="1:60" x14ac:dyDescent="0.35">
      <c r="A848" t="s">
        <v>1731</v>
      </c>
      <c r="B848" t="s">
        <v>1785</v>
      </c>
      <c r="C848" t="s">
        <v>1788</v>
      </c>
      <c r="D848" t="s">
        <v>1789</v>
      </c>
      <c r="E848">
        <v>7290</v>
      </c>
      <c r="F848">
        <v>1</v>
      </c>
      <c r="G848">
        <v>1.43</v>
      </c>
      <c r="H848">
        <v>1.43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8</v>
      </c>
      <c r="BG848">
        <v>0</v>
      </c>
      <c r="BH848">
        <v>0</v>
      </c>
    </row>
    <row r="849" spans="1:60" x14ac:dyDescent="0.35">
      <c r="A849" t="s">
        <v>1731</v>
      </c>
      <c r="B849" t="s">
        <v>1785</v>
      </c>
      <c r="C849" t="s">
        <v>1790</v>
      </c>
      <c r="D849" t="s">
        <v>1791</v>
      </c>
      <c r="E849">
        <v>495</v>
      </c>
      <c r="F849">
        <v>1</v>
      </c>
      <c r="G849">
        <v>1.7076389999999999</v>
      </c>
      <c r="H849">
        <v>1.7076389999999999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0</v>
      </c>
      <c r="BH849">
        <v>0</v>
      </c>
    </row>
    <row r="850" spans="1:60" x14ac:dyDescent="0.35">
      <c r="A850" t="s">
        <v>1731</v>
      </c>
      <c r="B850" t="s">
        <v>1785</v>
      </c>
      <c r="C850" t="s">
        <v>1792</v>
      </c>
      <c r="D850" t="s">
        <v>1793</v>
      </c>
      <c r="E850">
        <v>2854</v>
      </c>
      <c r="F850">
        <v>4</v>
      </c>
      <c r="G850">
        <v>6.4053519999999997</v>
      </c>
      <c r="H850">
        <v>1.6013379999999999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11</v>
      </c>
      <c r="BG850">
        <v>0</v>
      </c>
      <c r="BH850">
        <v>0</v>
      </c>
    </row>
    <row r="851" spans="1:60" x14ac:dyDescent="0.35">
      <c r="A851" t="s">
        <v>1731</v>
      </c>
      <c r="B851" t="s">
        <v>1785</v>
      </c>
      <c r="C851" t="s">
        <v>1794</v>
      </c>
      <c r="D851" t="s">
        <v>1795</v>
      </c>
      <c r="E851">
        <v>807</v>
      </c>
      <c r="F851" t="s">
        <v>81</v>
      </c>
      <c r="G851" t="s">
        <v>81</v>
      </c>
      <c r="H851" t="s">
        <v>81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1</v>
      </c>
      <c r="BG851">
        <v>0</v>
      </c>
      <c r="BH851">
        <v>0</v>
      </c>
    </row>
    <row r="852" spans="1:60" x14ac:dyDescent="0.35">
      <c r="A852" t="s">
        <v>1731</v>
      </c>
      <c r="B852" t="s">
        <v>1785</v>
      </c>
      <c r="C852" t="s">
        <v>1796</v>
      </c>
      <c r="D852" t="s">
        <v>1797</v>
      </c>
      <c r="E852">
        <v>3339</v>
      </c>
      <c r="F852" t="s">
        <v>81</v>
      </c>
      <c r="G852" t="s">
        <v>81</v>
      </c>
      <c r="H852" t="s">
        <v>81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2</v>
      </c>
      <c r="BG852">
        <v>0</v>
      </c>
      <c r="BH852">
        <v>0</v>
      </c>
    </row>
    <row r="853" spans="1:60" x14ac:dyDescent="0.35">
      <c r="A853" t="s">
        <v>1731</v>
      </c>
      <c r="B853" t="s">
        <v>1785</v>
      </c>
      <c r="C853" t="s">
        <v>1798</v>
      </c>
      <c r="D853" t="s">
        <v>1799</v>
      </c>
      <c r="E853">
        <v>1212</v>
      </c>
      <c r="F853" t="s">
        <v>81</v>
      </c>
      <c r="G853" t="s">
        <v>81</v>
      </c>
      <c r="H853" t="s">
        <v>81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3</v>
      </c>
      <c r="BG853">
        <v>0</v>
      </c>
      <c r="BH853">
        <v>0</v>
      </c>
    </row>
    <row r="854" spans="1:60" x14ac:dyDescent="0.35">
      <c r="A854" t="s">
        <v>1731</v>
      </c>
      <c r="B854" t="s">
        <v>1785</v>
      </c>
      <c r="C854" t="s">
        <v>1800</v>
      </c>
      <c r="D854" t="s">
        <v>1801</v>
      </c>
      <c r="E854">
        <v>792</v>
      </c>
      <c r="F854" t="s">
        <v>81</v>
      </c>
      <c r="G854" t="s">
        <v>81</v>
      </c>
      <c r="H854" t="s">
        <v>81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2</v>
      </c>
      <c r="BG854">
        <v>0</v>
      </c>
      <c r="BH854">
        <v>0</v>
      </c>
    </row>
    <row r="855" spans="1:60" x14ac:dyDescent="0.35">
      <c r="A855" t="s">
        <v>1731</v>
      </c>
      <c r="B855" t="s">
        <v>1785</v>
      </c>
      <c r="C855" t="s">
        <v>1802</v>
      </c>
      <c r="D855" t="s">
        <v>1803</v>
      </c>
      <c r="E855">
        <v>1834</v>
      </c>
      <c r="F855" t="s">
        <v>81</v>
      </c>
      <c r="G855" t="s">
        <v>81</v>
      </c>
      <c r="H855" t="s">
        <v>81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 t="s">
        <v>81</v>
      </c>
      <c r="BB855" t="s">
        <v>81</v>
      </c>
      <c r="BC855" t="s">
        <v>81</v>
      </c>
      <c r="BD855" t="s">
        <v>81</v>
      </c>
      <c r="BE855" t="s">
        <v>81</v>
      </c>
      <c r="BF855" t="s">
        <v>81</v>
      </c>
      <c r="BG855" t="s">
        <v>81</v>
      </c>
      <c r="BH855" t="s">
        <v>81</v>
      </c>
    </row>
    <row r="856" spans="1:60" x14ac:dyDescent="0.35">
      <c r="A856" t="s">
        <v>1731</v>
      </c>
      <c r="B856" t="s">
        <v>1785</v>
      </c>
      <c r="C856" t="s">
        <v>1804</v>
      </c>
      <c r="D856" t="s">
        <v>1805</v>
      </c>
      <c r="E856">
        <v>2051</v>
      </c>
      <c r="F856" t="s">
        <v>81</v>
      </c>
      <c r="G856" t="s">
        <v>81</v>
      </c>
      <c r="H856" t="s">
        <v>81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</row>
    <row r="857" spans="1:60" x14ac:dyDescent="0.35">
      <c r="A857" t="s">
        <v>1731</v>
      </c>
      <c r="B857" t="s">
        <v>1785</v>
      </c>
      <c r="C857" t="s">
        <v>1806</v>
      </c>
      <c r="D857" t="s">
        <v>1807</v>
      </c>
      <c r="E857">
        <v>1295</v>
      </c>
      <c r="F857" t="s">
        <v>81</v>
      </c>
      <c r="G857" t="s">
        <v>81</v>
      </c>
      <c r="H857" t="s">
        <v>81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</row>
    <row r="858" spans="1:60" x14ac:dyDescent="0.35">
      <c r="A858" t="s">
        <v>1731</v>
      </c>
      <c r="B858" t="s">
        <v>1785</v>
      </c>
      <c r="C858" t="s">
        <v>1808</v>
      </c>
      <c r="D858" t="s">
        <v>1809</v>
      </c>
      <c r="E858">
        <v>2997</v>
      </c>
      <c r="F858" t="s">
        <v>81</v>
      </c>
      <c r="G858" t="s">
        <v>81</v>
      </c>
      <c r="H858" t="s">
        <v>81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7</v>
      </c>
      <c r="BG858">
        <v>0</v>
      </c>
      <c r="BH858">
        <v>0</v>
      </c>
    </row>
    <row r="859" spans="1:60" x14ac:dyDescent="0.35">
      <c r="A859" t="s">
        <v>1731</v>
      </c>
      <c r="B859" t="s">
        <v>1810</v>
      </c>
      <c r="C859" t="s">
        <v>1810</v>
      </c>
      <c r="D859" t="s">
        <v>1811</v>
      </c>
      <c r="E859">
        <v>2970</v>
      </c>
      <c r="F859">
        <v>2</v>
      </c>
      <c r="G859">
        <v>0.95</v>
      </c>
      <c r="H859">
        <v>0.47499999999999998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9</v>
      </c>
      <c r="BG859">
        <v>0</v>
      </c>
      <c r="BH859">
        <v>0</v>
      </c>
    </row>
    <row r="860" spans="1:60" x14ac:dyDescent="0.35">
      <c r="A860" t="s">
        <v>1731</v>
      </c>
      <c r="B860" t="s">
        <v>1810</v>
      </c>
      <c r="C860" t="s">
        <v>1812</v>
      </c>
      <c r="D860" t="s">
        <v>1813</v>
      </c>
      <c r="E860">
        <v>816</v>
      </c>
      <c r="F860" t="s">
        <v>81</v>
      </c>
      <c r="G860" t="s">
        <v>81</v>
      </c>
      <c r="H860" t="s">
        <v>81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1</v>
      </c>
      <c r="BG860">
        <v>0</v>
      </c>
      <c r="BH860">
        <v>0</v>
      </c>
    </row>
    <row r="861" spans="1:60" x14ac:dyDescent="0.35">
      <c r="A861" t="s">
        <v>1731</v>
      </c>
      <c r="B861" t="s">
        <v>1810</v>
      </c>
      <c r="C861" t="s">
        <v>1814</v>
      </c>
      <c r="D861" t="s">
        <v>1815</v>
      </c>
      <c r="E861">
        <v>1289</v>
      </c>
      <c r="F861" t="s">
        <v>81</v>
      </c>
      <c r="G861" t="s">
        <v>81</v>
      </c>
      <c r="H861" t="s">
        <v>81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1000</v>
      </c>
      <c r="BH861">
        <v>0</v>
      </c>
    </row>
    <row r="862" spans="1:60" x14ac:dyDescent="0.35">
      <c r="A862" t="s">
        <v>1731</v>
      </c>
      <c r="B862" t="s">
        <v>1810</v>
      </c>
      <c r="C862" t="s">
        <v>1816</v>
      </c>
      <c r="D862" t="s">
        <v>1817</v>
      </c>
      <c r="E862">
        <v>770</v>
      </c>
      <c r="F862" t="s">
        <v>81</v>
      </c>
      <c r="G862" t="s">
        <v>81</v>
      </c>
      <c r="H862" t="s">
        <v>81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 t="s">
        <v>81</v>
      </c>
      <c r="BB862" t="s">
        <v>81</v>
      </c>
      <c r="BC862" t="s">
        <v>81</v>
      </c>
      <c r="BD862" t="s">
        <v>81</v>
      </c>
      <c r="BE862" t="s">
        <v>81</v>
      </c>
      <c r="BF862" t="s">
        <v>81</v>
      </c>
      <c r="BG862" t="s">
        <v>81</v>
      </c>
      <c r="BH862" t="s">
        <v>81</v>
      </c>
    </row>
    <row r="863" spans="1:60" x14ac:dyDescent="0.35">
      <c r="A863" t="s">
        <v>1731</v>
      </c>
      <c r="B863" t="s">
        <v>1810</v>
      </c>
      <c r="C863" t="s">
        <v>1818</v>
      </c>
      <c r="D863" t="s">
        <v>1819</v>
      </c>
      <c r="E863">
        <v>847</v>
      </c>
      <c r="F863" t="s">
        <v>81</v>
      </c>
      <c r="G863" t="s">
        <v>81</v>
      </c>
      <c r="H863" t="s">
        <v>81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 t="s">
        <v>81</v>
      </c>
      <c r="BB863" t="s">
        <v>81</v>
      </c>
      <c r="BC863" t="s">
        <v>81</v>
      </c>
      <c r="BD863" t="s">
        <v>81</v>
      </c>
      <c r="BE863" t="s">
        <v>81</v>
      </c>
      <c r="BF863" t="s">
        <v>81</v>
      </c>
      <c r="BG863" t="s">
        <v>81</v>
      </c>
      <c r="BH863" t="s">
        <v>81</v>
      </c>
    </row>
    <row r="864" spans="1:60" x14ac:dyDescent="0.35">
      <c r="A864" t="s">
        <v>1731</v>
      </c>
      <c r="B864" t="s">
        <v>1810</v>
      </c>
      <c r="C864" t="s">
        <v>1820</v>
      </c>
      <c r="D864" t="s">
        <v>1821</v>
      </c>
      <c r="E864">
        <v>655</v>
      </c>
      <c r="F864" t="s">
        <v>81</v>
      </c>
      <c r="G864" t="s">
        <v>81</v>
      </c>
      <c r="H864" t="s">
        <v>81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</row>
    <row r="865" spans="1:60" x14ac:dyDescent="0.35">
      <c r="A865" t="s">
        <v>1731</v>
      </c>
      <c r="B865" t="s">
        <v>1810</v>
      </c>
      <c r="C865" t="s">
        <v>1822</v>
      </c>
      <c r="D865" t="s">
        <v>1823</v>
      </c>
      <c r="E865">
        <v>679</v>
      </c>
      <c r="F865" t="s">
        <v>81</v>
      </c>
      <c r="G865" t="s">
        <v>81</v>
      </c>
      <c r="H865" t="s">
        <v>81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</row>
    <row r="866" spans="1:60" x14ac:dyDescent="0.35">
      <c r="A866" t="s">
        <v>1731</v>
      </c>
      <c r="B866" t="s">
        <v>1810</v>
      </c>
      <c r="C866" t="s">
        <v>1824</v>
      </c>
      <c r="D866" t="s">
        <v>1825</v>
      </c>
      <c r="E866">
        <v>397</v>
      </c>
      <c r="F866" t="s">
        <v>81</v>
      </c>
      <c r="G866" t="s">
        <v>81</v>
      </c>
      <c r="H866" t="s">
        <v>81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 t="s">
        <v>81</v>
      </c>
      <c r="BB866" t="s">
        <v>81</v>
      </c>
      <c r="BC866" t="s">
        <v>81</v>
      </c>
      <c r="BD866" t="s">
        <v>81</v>
      </c>
      <c r="BE866" t="s">
        <v>81</v>
      </c>
      <c r="BF866" t="s">
        <v>81</v>
      </c>
      <c r="BG866" t="s">
        <v>81</v>
      </c>
      <c r="BH866" t="s">
        <v>81</v>
      </c>
    </row>
    <row r="867" spans="1:60" x14ac:dyDescent="0.35">
      <c r="A867" t="s">
        <v>1731</v>
      </c>
      <c r="B867" t="s">
        <v>1810</v>
      </c>
      <c r="C867" t="s">
        <v>1826</v>
      </c>
      <c r="D867" t="s">
        <v>1827</v>
      </c>
      <c r="E867">
        <v>1067</v>
      </c>
      <c r="F867" t="s">
        <v>81</v>
      </c>
      <c r="G867" t="s">
        <v>81</v>
      </c>
      <c r="H867" t="s">
        <v>81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 t="s">
        <v>81</v>
      </c>
      <c r="BB867" t="s">
        <v>81</v>
      </c>
      <c r="BC867" t="s">
        <v>81</v>
      </c>
      <c r="BD867" t="s">
        <v>81</v>
      </c>
      <c r="BE867" t="s">
        <v>81</v>
      </c>
      <c r="BF867" t="s">
        <v>81</v>
      </c>
      <c r="BG867" t="s">
        <v>81</v>
      </c>
      <c r="BH867" t="s">
        <v>81</v>
      </c>
    </row>
    <row r="868" spans="1:60" x14ac:dyDescent="0.35">
      <c r="A868" t="s">
        <v>1731</v>
      </c>
      <c r="B868" t="s">
        <v>1810</v>
      </c>
      <c r="C868" t="s">
        <v>1828</v>
      </c>
      <c r="D868" t="s">
        <v>1829</v>
      </c>
      <c r="E868">
        <v>791</v>
      </c>
      <c r="F868" t="s">
        <v>81</v>
      </c>
      <c r="G868" t="s">
        <v>81</v>
      </c>
      <c r="H868" t="s">
        <v>81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1</v>
      </c>
      <c r="BG868">
        <v>0</v>
      </c>
      <c r="BH868">
        <v>0</v>
      </c>
    </row>
    <row r="869" spans="1:60" x14ac:dyDescent="0.35">
      <c r="A869" t="s">
        <v>1731</v>
      </c>
      <c r="B869" t="s">
        <v>1810</v>
      </c>
      <c r="C869" t="s">
        <v>1830</v>
      </c>
      <c r="D869" t="s">
        <v>1831</v>
      </c>
      <c r="E869">
        <v>645</v>
      </c>
      <c r="F869">
        <v>1</v>
      </c>
      <c r="G869">
        <v>0.25445899999999999</v>
      </c>
      <c r="H869">
        <v>0.25445899999999999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3</v>
      </c>
      <c r="BG869">
        <v>0</v>
      </c>
      <c r="BH869">
        <v>0</v>
      </c>
    </row>
    <row r="870" spans="1:60" x14ac:dyDescent="0.35">
      <c r="A870" t="s">
        <v>1731</v>
      </c>
      <c r="B870" t="s">
        <v>1810</v>
      </c>
      <c r="C870" t="s">
        <v>1832</v>
      </c>
      <c r="D870" t="s">
        <v>1833</v>
      </c>
      <c r="E870">
        <v>640</v>
      </c>
      <c r="F870" t="s">
        <v>81</v>
      </c>
      <c r="G870" t="s">
        <v>81</v>
      </c>
      <c r="H870" t="s">
        <v>81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 t="s">
        <v>81</v>
      </c>
      <c r="BB870" t="s">
        <v>81</v>
      </c>
      <c r="BC870" t="s">
        <v>81</v>
      </c>
      <c r="BD870" t="s">
        <v>81</v>
      </c>
      <c r="BE870" t="s">
        <v>81</v>
      </c>
      <c r="BF870" t="s">
        <v>81</v>
      </c>
      <c r="BG870" t="s">
        <v>81</v>
      </c>
      <c r="BH870" t="s">
        <v>81</v>
      </c>
    </row>
    <row r="871" spans="1:60" x14ac:dyDescent="0.35">
      <c r="A871" t="s">
        <v>1731</v>
      </c>
      <c r="B871" t="s">
        <v>1810</v>
      </c>
      <c r="C871" t="s">
        <v>1834</v>
      </c>
      <c r="D871" t="s">
        <v>1835</v>
      </c>
      <c r="E871">
        <v>1443</v>
      </c>
      <c r="F871">
        <v>2</v>
      </c>
      <c r="G871">
        <v>0.36</v>
      </c>
      <c r="H871">
        <v>0.18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7</v>
      </c>
      <c r="BG871">
        <v>8927.0857140000007</v>
      </c>
      <c r="BH871">
        <v>0</v>
      </c>
    </row>
    <row r="872" spans="1:60" x14ac:dyDescent="0.35">
      <c r="A872" t="s">
        <v>1731</v>
      </c>
      <c r="B872" t="s">
        <v>1836</v>
      </c>
      <c r="C872" t="s">
        <v>1836</v>
      </c>
      <c r="D872" t="s">
        <v>1837</v>
      </c>
      <c r="E872">
        <v>5231</v>
      </c>
      <c r="F872">
        <v>8</v>
      </c>
      <c r="G872">
        <v>3.9985529999999998</v>
      </c>
      <c r="H872">
        <v>0.49981910000000002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1</v>
      </c>
      <c r="BB872">
        <v>178576</v>
      </c>
      <c r="BC872">
        <v>178576</v>
      </c>
      <c r="BD872">
        <v>0</v>
      </c>
      <c r="BE872">
        <v>0</v>
      </c>
      <c r="BF872">
        <v>27</v>
      </c>
      <c r="BG872">
        <v>280.44444399999998</v>
      </c>
      <c r="BH872">
        <v>0</v>
      </c>
    </row>
    <row r="873" spans="1:60" x14ac:dyDescent="0.35">
      <c r="A873" t="s">
        <v>1731</v>
      </c>
      <c r="B873" t="s">
        <v>1836</v>
      </c>
      <c r="C873" t="s">
        <v>1838</v>
      </c>
      <c r="D873" t="s">
        <v>1839</v>
      </c>
      <c r="E873">
        <v>5463</v>
      </c>
      <c r="F873" t="s">
        <v>81</v>
      </c>
      <c r="G873" t="s">
        <v>81</v>
      </c>
      <c r="H873" t="s">
        <v>81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19</v>
      </c>
      <c r="BG873">
        <v>10</v>
      </c>
      <c r="BH873">
        <v>114.38200000000001</v>
      </c>
    </row>
    <row r="874" spans="1:60" x14ac:dyDescent="0.35">
      <c r="A874" t="s">
        <v>1731</v>
      </c>
      <c r="B874" t="s">
        <v>1836</v>
      </c>
      <c r="C874" t="s">
        <v>1840</v>
      </c>
      <c r="D874" t="s">
        <v>1841</v>
      </c>
      <c r="E874">
        <v>1481</v>
      </c>
      <c r="F874" t="s">
        <v>81</v>
      </c>
      <c r="G874" t="s">
        <v>81</v>
      </c>
      <c r="H874" t="s">
        <v>81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 t="s">
        <v>81</v>
      </c>
      <c r="BB874" t="s">
        <v>81</v>
      </c>
      <c r="BC874" t="s">
        <v>81</v>
      </c>
      <c r="BD874" t="s">
        <v>81</v>
      </c>
      <c r="BE874" t="s">
        <v>81</v>
      </c>
      <c r="BF874" t="s">
        <v>81</v>
      </c>
      <c r="BG874" t="s">
        <v>81</v>
      </c>
      <c r="BH874" t="s">
        <v>81</v>
      </c>
    </row>
    <row r="875" spans="1:60" x14ac:dyDescent="0.35">
      <c r="A875" t="s">
        <v>1731</v>
      </c>
      <c r="B875" t="s">
        <v>1836</v>
      </c>
      <c r="C875" t="s">
        <v>1842</v>
      </c>
      <c r="D875" t="s">
        <v>1843</v>
      </c>
      <c r="E875">
        <v>2296</v>
      </c>
      <c r="F875" t="s">
        <v>81</v>
      </c>
      <c r="G875" t="s">
        <v>81</v>
      </c>
      <c r="H875" t="s">
        <v>81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3</v>
      </c>
      <c r="BG875">
        <v>0</v>
      </c>
      <c r="BH875">
        <v>345.04700000000003</v>
      </c>
    </row>
    <row r="876" spans="1:60" x14ac:dyDescent="0.35">
      <c r="A876" t="s">
        <v>1731</v>
      </c>
      <c r="B876" t="s">
        <v>1836</v>
      </c>
      <c r="C876" t="s">
        <v>1844</v>
      </c>
      <c r="D876" t="s">
        <v>1845</v>
      </c>
      <c r="E876">
        <v>1192</v>
      </c>
      <c r="F876" t="s">
        <v>81</v>
      </c>
      <c r="G876" t="s">
        <v>81</v>
      </c>
      <c r="H876" t="s">
        <v>81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 t="s">
        <v>81</v>
      </c>
      <c r="BB876" t="s">
        <v>81</v>
      </c>
      <c r="BC876" t="s">
        <v>81</v>
      </c>
      <c r="BD876" t="s">
        <v>81</v>
      </c>
      <c r="BE876" t="s">
        <v>81</v>
      </c>
      <c r="BF876" t="s">
        <v>81</v>
      </c>
      <c r="BG876" t="s">
        <v>81</v>
      </c>
      <c r="BH876" t="s">
        <v>81</v>
      </c>
    </row>
    <row r="877" spans="1:60" x14ac:dyDescent="0.35">
      <c r="A877" t="s">
        <v>1731</v>
      </c>
      <c r="B877" t="s">
        <v>1836</v>
      </c>
      <c r="C877" t="s">
        <v>1846</v>
      </c>
      <c r="D877" t="s">
        <v>1847</v>
      </c>
      <c r="E877">
        <v>3077</v>
      </c>
      <c r="F877" t="s">
        <v>81</v>
      </c>
      <c r="G877" t="s">
        <v>81</v>
      </c>
      <c r="H877" t="s">
        <v>81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</v>
      </c>
      <c r="BG877">
        <v>559.5</v>
      </c>
      <c r="BH877">
        <v>0</v>
      </c>
    </row>
    <row r="878" spans="1:60" x14ac:dyDescent="0.35">
      <c r="A878" t="s">
        <v>1731</v>
      </c>
      <c r="B878" t="s">
        <v>1836</v>
      </c>
      <c r="C878" t="s">
        <v>1848</v>
      </c>
      <c r="D878" t="s">
        <v>1849</v>
      </c>
      <c r="E878">
        <v>3559</v>
      </c>
      <c r="F878">
        <v>4</v>
      </c>
      <c r="G878">
        <v>2.2149999999999999</v>
      </c>
      <c r="H878">
        <v>0.55374999999999996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22</v>
      </c>
      <c r="BG878">
        <v>0</v>
      </c>
      <c r="BH878">
        <v>55.442999999999998</v>
      </c>
    </row>
    <row r="879" spans="1:60" x14ac:dyDescent="0.35">
      <c r="A879" t="s">
        <v>1731</v>
      </c>
      <c r="B879" t="s">
        <v>1836</v>
      </c>
      <c r="C879" t="s">
        <v>1850</v>
      </c>
      <c r="D879" t="s">
        <v>1851</v>
      </c>
      <c r="E879">
        <v>646</v>
      </c>
      <c r="F879" t="s">
        <v>81</v>
      </c>
      <c r="G879" t="s">
        <v>81</v>
      </c>
      <c r="H879" t="s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</v>
      </c>
      <c r="BG879">
        <v>0</v>
      </c>
      <c r="BH879">
        <v>0</v>
      </c>
    </row>
    <row r="880" spans="1:60" x14ac:dyDescent="0.35">
      <c r="A880" t="s">
        <v>1731</v>
      </c>
      <c r="B880" t="s">
        <v>1836</v>
      </c>
      <c r="C880" t="s">
        <v>1852</v>
      </c>
      <c r="D880" t="s">
        <v>1853</v>
      </c>
      <c r="E880">
        <v>3154</v>
      </c>
      <c r="F880">
        <v>3</v>
      </c>
      <c r="G880">
        <v>2.2554750000000001</v>
      </c>
      <c r="H880">
        <v>0.75182499999999997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11</v>
      </c>
      <c r="BG880">
        <v>97.272727000000003</v>
      </c>
      <c r="BH880">
        <v>135.06100000000001</v>
      </c>
    </row>
    <row r="881" spans="1:60" x14ac:dyDescent="0.35">
      <c r="A881" t="s">
        <v>1731</v>
      </c>
      <c r="B881" t="s">
        <v>1836</v>
      </c>
      <c r="C881" t="s">
        <v>1854</v>
      </c>
      <c r="D881" t="s">
        <v>1855</v>
      </c>
      <c r="E881">
        <v>1571</v>
      </c>
      <c r="F881" t="s">
        <v>81</v>
      </c>
      <c r="G881" t="s">
        <v>81</v>
      </c>
      <c r="H881" t="s">
        <v>81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1</v>
      </c>
      <c r="BG881">
        <v>0</v>
      </c>
      <c r="BH881">
        <v>0</v>
      </c>
    </row>
    <row r="882" spans="1:60" x14ac:dyDescent="0.35">
      <c r="A882" t="s">
        <v>1731</v>
      </c>
      <c r="B882" t="s">
        <v>1836</v>
      </c>
      <c r="C882" t="s">
        <v>1856</v>
      </c>
      <c r="D882" t="s">
        <v>1857</v>
      </c>
      <c r="E882">
        <v>2628</v>
      </c>
      <c r="F882">
        <v>1</v>
      </c>
      <c r="G882">
        <v>1.488667</v>
      </c>
      <c r="H882">
        <v>1.488667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2</v>
      </c>
      <c r="BG882">
        <v>0</v>
      </c>
      <c r="BH882">
        <v>0</v>
      </c>
    </row>
    <row r="883" spans="1:60" x14ac:dyDescent="0.35">
      <c r="A883" t="s">
        <v>1731</v>
      </c>
      <c r="B883" t="s">
        <v>1858</v>
      </c>
      <c r="C883" t="s">
        <v>1858</v>
      </c>
      <c r="D883" t="s">
        <v>1859</v>
      </c>
      <c r="E883">
        <v>2312</v>
      </c>
      <c r="F883">
        <v>7</v>
      </c>
      <c r="G883">
        <v>5.0758010000000002</v>
      </c>
      <c r="H883">
        <v>0.7251145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3640.7779999999998</v>
      </c>
      <c r="BC883">
        <v>3640.7779999999998</v>
      </c>
      <c r="BD883">
        <v>0</v>
      </c>
      <c r="BE883">
        <v>3601.0010000000002</v>
      </c>
      <c r="BF883">
        <v>19</v>
      </c>
      <c r="BG883">
        <v>2.1105260000000001</v>
      </c>
      <c r="BH883">
        <v>3317.6550000000002</v>
      </c>
    </row>
    <row r="884" spans="1:60" x14ac:dyDescent="0.35">
      <c r="A884" t="s">
        <v>1731</v>
      </c>
      <c r="B884" t="s">
        <v>1858</v>
      </c>
      <c r="C884" t="s">
        <v>1860</v>
      </c>
      <c r="D884" t="s">
        <v>1861</v>
      </c>
      <c r="E884">
        <v>798</v>
      </c>
      <c r="F884" t="s">
        <v>81</v>
      </c>
      <c r="G884" t="s">
        <v>81</v>
      </c>
      <c r="H884" t="s">
        <v>81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2</v>
      </c>
      <c r="BG884">
        <v>5</v>
      </c>
      <c r="BH884">
        <v>0</v>
      </c>
    </row>
    <row r="885" spans="1:60" x14ac:dyDescent="0.35">
      <c r="A885" t="s">
        <v>1731</v>
      </c>
      <c r="B885" t="s">
        <v>1858</v>
      </c>
      <c r="C885" t="s">
        <v>1862</v>
      </c>
      <c r="D885" t="s">
        <v>1863</v>
      </c>
      <c r="E885">
        <v>674</v>
      </c>
      <c r="F885" t="s">
        <v>81</v>
      </c>
      <c r="G885" t="s">
        <v>81</v>
      </c>
      <c r="H885" t="s">
        <v>81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 t="s">
        <v>81</v>
      </c>
      <c r="BB885" t="s">
        <v>81</v>
      </c>
      <c r="BC885" t="s">
        <v>81</v>
      </c>
      <c r="BD885" t="s">
        <v>81</v>
      </c>
      <c r="BE885" t="s">
        <v>81</v>
      </c>
      <c r="BF885" t="s">
        <v>81</v>
      </c>
      <c r="BG885" t="s">
        <v>81</v>
      </c>
      <c r="BH885" t="s">
        <v>81</v>
      </c>
    </row>
    <row r="886" spans="1:60" x14ac:dyDescent="0.35">
      <c r="A886" t="s">
        <v>1731</v>
      </c>
      <c r="B886" t="s">
        <v>1858</v>
      </c>
      <c r="C886" t="s">
        <v>1864</v>
      </c>
      <c r="D886" t="s">
        <v>1865</v>
      </c>
      <c r="E886">
        <v>497</v>
      </c>
      <c r="F886" t="s">
        <v>81</v>
      </c>
      <c r="G886" t="s">
        <v>81</v>
      </c>
      <c r="H886" t="s">
        <v>81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</row>
    <row r="887" spans="1:60" x14ac:dyDescent="0.35">
      <c r="A887" t="s">
        <v>1731</v>
      </c>
      <c r="B887" t="s">
        <v>1858</v>
      </c>
      <c r="C887" t="s">
        <v>1866</v>
      </c>
      <c r="D887" t="s">
        <v>1867</v>
      </c>
      <c r="E887">
        <v>775</v>
      </c>
      <c r="F887" t="s">
        <v>81</v>
      </c>
      <c r="G887" t="s">
        <v>81</v>
      </c>
      <c r="H887" t="s">
        <v>81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 t="s">
        <v>81</v>
      </c>
      <c r="BB887" t="s">
        <v>81</v>
      </c>
      <c r="BC887" t="s">
        <v>81</v>
      </c>
      <c r="BD887" t="s">
        <v>81</v>
      </c>
      <c r="BE887" t="s">
        <v>81</v>
      </c>
      <c r="BF887" t="s">
        <v>81</v>
      </c>
      <c r="BG887" t="s">
        <v>81</v>
      </c>
      <c r="BH887" t="s">
        <v>81</v>
      </c>
    </row>
    <row r="888" spans="1:60" x14ac:dyDescent="0.35">
      <c r="A888" t="s">
        <v>1731</v>
      </c>
      <c r="B888" t="s">
        <v>1858</v>
      </c>
      <c r="C888" t="s">
        <v>1868</v>
      </c>
      <c r="D888" t="s">
        <v>1869</v>
      </c>
      <c r="E888">
        <v>527</v>
      </c>
      <c r="F888">
        <v>2</v>
      </c>
      <c r="G888">
        <v>5.5097230000000001</v>
      </c>
      <c r="H888">
        <v>2.7548620000000001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 t="s">
        <v>81</v>
      </c>
      <c r="BB888" t="s">
        <v>81</v>
      </c>
      <c r="BC888" t="s">
        <v>81</v>
      </c>
      <c r="BD888" t="s">
        <v>81</v>
      </c>
      <c r="BE888" t="s">
        <v>81</v>
      </c>
      <c r="BF888" t="s">
        <v>81</v>
      </c>
      <c r="BG888" t="s">
        <v>81</v>
      </c>
      <c r="BH888" t="s">
        <v>81</v>
      </c>
    </row>
    <row r="889" spans="1:60" x14ac:dyDescent="0.35">
      <c r="A889" t="s">
        <v>1731</v>
      </c>
      <c r="B889" t="s">
        <v>1858</v>
      </c>
      <c r="C889" t="s">
        <v>1870</v>
      </c>
      <c r="D889" t="s">
        <v>1871</v>
      </c>
      <c r="E889">
        <v>2453</v>
      </c>
      <c r="F889" t="s">
        <v>81</v>
      </c>
      <c r="G889" t="s">
        <v>81</v>
      </c>
      <c r="H889" t="s">
        <v>81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9</v>
      </c>
      <c r="BG889">
        <v>2834.0444440000001</v>
      </c>
      <c r="BH889">
        <v>0</v>
      </c>
    </row>
    <row r="890" spans="1:60" x14ac:dyDescent="0.35">
      <c r="A890" t="s">
        <v>1731</v>
      </c>
      <c r="B890" t="s">
        <v>1858</v>
      </c>
      <c r="C890" t="s">
        <v>1872</v>
      </c>
      <c r="D890" t="s">
        <v>1873</v>
      </c>
      <c r="E890">
        <v>1330</v>
      </c>
      <c r="F890">
        <v>1</v>
      </c>
      <c r="G890">
        <v>0.45</v>
      </c>
      <c r="H890">
        <v>0.45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</v>
      </c>
      <c r="BG890">
        <v>0</v>
      </c>
      <c r="BH890">
        <v>0</v>
      </c>
    </row>
    <row r="891" spans="1:60" x14ac:dyDescent="0.35">
      <c r="A891" t="s">
        <v>1731</v>
      </c>
      <c r="B891" t="s">
        <v>1858</v>
      </c>
      <c r="C891" t="s">
        <v>1874</v>
      </c>
      <c r="D891" t="s">
        <v>1875</v>
      </c>
      <c r="E891">
        <v>627</v>
      </c>
      <c r="F891" t="s">
        <v>81</v>
      </c>
      <c r="G891" t="s">
        <v>81</v>
      </c>
      <c r="H891" t="s">
        <v>81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 t="s">
        <v>81</v>
      </c>
      <c r="BB891" t="s">
        <v>81</v>
      </c>
      <c r="BC891" t="s">
        <v>81</v>
      </c>
      <c r="BD891" t="s">
        <v>81</v>
      </c>
      <c r="BE891" t="s">
        <v>81</v>
      </c>
      <c r="BF891" t="s">
        <v>81</v>
      </c>
      <c r="BG891" t="s">
        <v>81</v>
      </c>
      <c r="BH891" t="s">
        <v>81</v>
      </c>
    </row>
    <row r="892" spans="1:60" x14ac:dyDescent="0.35">
      <c r="A892" t="s">
        <v>1731</v>
      </c>
      <c r="B892" t="s">
        <v>1858</v>
      </c>
      <c r="C892" t="s">
        <v>1876</v>
      </c>
      <c r="D892" t="s">
        <v>1877</v>
      </c>
      <c r="E892">
        <v>1280</v>
      </c>
      <c r="F892" t="s">
        <v>81</v>
      </c>
      <c r="G892" t="s">
        <v>81</v>
      </c>
      <c r="H892" t="s">
        <v>81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</row>
    <row r="893" spans="1:60" x14ac:dyDescent="0.35">
      <c r="A893" t="s">
        <v>1731</v>
      </c>
      <c r="B893" t="s">
        <v>1858</v>
      </c>
      <c r="C893" t="s">
        <v>1878</v>
      </c>
      <c r="D893" t="s">
        <v>1879</v>
      </c>
      <c r="E893">
        <v>1079</v>
      </c>
      <c r="F893" t="s">
        <v>81</v>
      </c>
      <c r="G893" t="s">
        <v>81</v>
      </c>
      <c r="H893" t="s">
        <v>81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 t="s">
        <v>81</v>
      </c>
      <c r="BB893" t="s">
        <v>81</v>
      </c>
      <c r="BC893" t="s">
        <v>81</v>
      </c>
      <c r="BD893" t="s">
        <v>81</v>
      </c>
      <c r="BE893" t="s">
        <v>81</v>
      </c>
      <c r="BF893" t="s">
        <v>81</v>
      </c>
      <c r="BG893" t="s">
        <v>81</v>
      </c>
      <c r="BH893" t="s">
        <v>81</v>
      </c>
    </row>
    <row r="894" spans="1:60" x14ac:dyDescent="0.35">
      <c r="A894" t="s">
        <v>1731</v>
      </c>
      <c r="B894" t="s">
        <v>1858</v>
      </c>
      <c r="C894" t="s">
        <v>1880</v>
      </c>
      <c r="D894" t="s">
        <v>1881</v>
      </c>
      <c r="E894">
        <v>1111</v>
      </c>
      <c r="F894" t="s">
        <v>81</v>
      </c>
      <c r="G894" t="s">
        <v>81</v>
      </c>
      <c r="H894" t="s">
        <v>81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 t="s">
        <v>81</v>
      </c>
      <c r="BB894" t="s">
        <v>81</v>
      </c>
      <c r="BC894" t="s">
        <v>81</v>
      </c>
      <c r="BD894" t="s">
        <v>81</v>
      </c>
      <c r="BE894" t="s">
        <v>81</v>
      </c>
      <c r="BF894" t="s">
        <v>81</v>
      </c>
      <c r="BG894" t="s">
        <v>81</v>
      </c>
      <c r="BH894" t="s">
        <v>81</v>
      </c>
    </row>
    <row r="895" spans="1:60" x14ac:dyDescent="0.35">
      <c r="A895" t="s">
        <v>1731</v>
      </c>
      <c r="B895" t="s">
        <v>1858</v>
      </c>
      <c r="C895" t="s">
        <v>1882</v>
      </c>
      <c r="D895" t="s">
        <v>1883</v>
      </c>
      <c r="E895">
        <v>1161</v>
      </c>
      <c r="F895">
        <v>3</v>
      </c>
      <c r="G895">
        <v>0.79200000000000004</v>
      </c>
      <c r="H895">
        <v>0.26400000000000001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1</v>
      </c>
      <c r="BG895">
        <v>0</v>
      </c>
      <c r="BH895">
        <v>0</v>
      </c>
    </row>
    <row r="896" spans="1:60" x14ac:dyDescent="0.35">
      <c r="A896" t="s">
        <v>1731</v>
      </c>
      <c r="B896" t="s">
        <v>1858</v>
      </c>
      <c r="C896" t="s">
        <v>1884</v>
      </c>
      <c r="D896" t="s">
        <v>1885</v>
      </c>
      <c r="E896">
        <v>264</v>
      </c>
      <c r="F896" t="s">
        <v>81</v>
      </c>
      <c r="G896" t="s">
        <v>81</v>
      </c>
      <c r="H896" t="s">
        <v>81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 t="s">
        <v>81</v>
      </c>
      <c r="BB896" t="s">
        <v>81</v>
      </c>
      <c r="BC896" t="s">
        <v>81</v>
      </c>
      <c r="BD896" t="s">
        <v>81</v>
      </c>
      <c r="BE896" t="s">
        <v>81</v>
      </c>
      <c r="BF896" t="s">
        <v>81</v>
      </c>
      <c r="BG896" t="s">
        <v>81</v>
      </c>
      <c r="BH896" t="s">
        <v>81</v>
      </c>
    </row>
    <row r="897" spans="1:60" x14ac:dyDescent="0.35">
      <c r="A897" t="s">
        <v>1731</v>
      </c>
      <c r="B897" t="s">
        <v>1858</v>
      </c>
      <c r="C897" t="s">
        <v>1886</v>
      </c>
      <c r="D897" t="s">
        <v>1887</v>
      </c>
      <c r="E897">
        <v>640</v>
      </c>
      <c r="F897" t="s">
        <v>81</v>
      </c>
      <c r="G897" t="s">
        <v>81</v>
      </c>
      <c r="H897" t="s">
        <v>81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84</v>
      </c>
      <c r="BH897">
        <v>0</v>
      </c>
    </row>
    <row r="898" spans="1:60" x14ac:dyDescent="0.35">
      <c r="A898" t="s">
        <v>1731</v>
      </c>
      <c r="B898" t="s">
        <v>1858</v>
      </c>
      <c r="C898" t="s">
        <v>1888</v>
      </c>
      <c r="D898" t="s">
        <v>1889</v>
      </c>
      <c r="E898">
        <v>915</v>
      </c>
      <c r="F898" t="s">
        <v>81</v>
      </c>
      <c r="G898" t="s">
        <v>81</v>
      </c>
      <c r="H898" t="s">
        <v>81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</v>
      </c>
      <c r="BG898">
        <v>0</v>
      </c>
      <c r="BH898">
        <v>0</v>
      </c>
    </row>
    <row r="899" spans="1:60" x14ac:dyDescent="0.35">
      <c r="A899" t="s">
        <v>1731</v>
      </c>
      <c r="B899" t="s">
        <v>1890</v>
      </c>
      <c r="C899" t="s">
        <v>1891</v>
      </c>
      <c r="D899" t="s">
        <v>1892</v>
      </c>
      <c r="E899">
        <v>11628</v>
      </c>
      <c r="F899">
        <v>34</v>
      </c>
      <c r="G899">
        <v>30.4161</v>
      </c>
      <c r="H899">
        <v>0.89459109999999997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20427.64</v>
      </c>
      <c r="AB899">
        <v>22302.36</v>
      </c>
      <c r="AC899">
        <v>31784</v>
      </c>
      <c r="AD899">
        <v>2853.31</v>
      </c>
      <c r="AE899">
        <v>0</v>
      </c>
      <c r="AF899">
        <v>77367.31</v>
      </c>
      <c r="AG899">
        <v>3960.12</v>
      </c>
      <c r="AH899">
        <v>7905.91</v>
      </c>
      <c r="AI899">
        <v>7623.97</v>
      </c>
      <c r="AJ899">
        <v>900.06</v>
      </c>
      <c r="AK899">
        <v>0</v>
      </c>
      <c r="AL899">
        <v>20390.060000000001</v>
      </c>
      <c r="AM899">
        <v>1200.99</v>
      </c>
      <c r="AN899">
        <v>4394.8599999999997</v>
      </c>
      <c r="AO899">
        <v>14645.02</v>
      </c>
      <c r="AP899">
        <v>175.61</v>
      </c>
      <c r="AQ899">
        <v>0</v>
      </c>
      <c r="AR899">
        <v>20416.48</v>
      </c>
      <c r="AS899">
        <v>0</v>
      </c>
      <c r="AT899">
        <v>0</v>
      </c>
      <c r="AU899">
        <v>242.21</v>
      </c>
      <c r="AV899">
        <v>0</v>
      </c>
      <c r="AW899">
        <v>0</v>
      </c>
      <c r="AX899">
        <v>242.21</v>
      </c>
      <c r="AY899">
        <v>118416.06</v>
      </c>
      <c r="AZ899">
        <v>0</v>
      </c>
      <c r="BA899">
        <v>3</v>
      </c>
      <c r="BB899">
        <v>33143.455999999998</v>
      </c>
      <c r="BC899">
        <v>99430.366999999998</v>
      </c>
      <c r="BD899">
        <v>310910.003333</v>
      </c>
      <c r="BE899">
        <v>23065.306</v>
      </c>
      <c r="BF899">
        <v>120</v>
      </c>
      <c r="BG899">
        <v>2305.629833</v>
      </c>
      <c r="BH899">
        <v>23.407</v>
      </c>
    </row>
    <row r="900" spans="1:60" x14ac:dyDescent="0.35">
      <c r="A900" t="s">
        <v>1731</v>
      </c>
      <c r="B900" t="s">
        <v>1890</v>
      </c>
      <c r="C900" t="s">
        <v>1893</v>
      </c>
      <c r="D900" t="s">
        <v>1894</v>
      </c>
      <c r="E900">
        <v>2948</v>
      </c>
      <c r="F900" t="s">
        <v>81</v>
      </c>
      <c r="G900" t="s">
        <v>81</v>
      </c>
      <c r="H900" t="s">
        <v>81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10</v>
      </c>
      <c r="BG900">
        <v>0.5</v>
      </c>
      <c r="BH900">
        <v>0</v>
      </c>
    </row>
    <row r="901" spans="1:60" x14ac:dyDescent="0.35">
      <c r="A901" t="s">
        <v>1731</v>
      </c>
      <c r="B901" t="s">
        <v>1890</v>
      </c>
      <c r="C901" t="s">
        <v>1895</v>
      </c>
      <c r="D901" t="s">
        <v>1896</v>
      </c>
      <c r="E901">
        <v>3025</v>
      </c>
      <c r="F901" t="s">
        <v>81</v>
      </c>
      <c r="G901" t="s">
        <v>81</v>
      </c>
      <c r="H901" t="s">
        <v>81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11</v>
      </c>
      <c r="BG901">
        <v>1426.481818</v>
      </c>
      <c r="BH901">
        <v>0</v>
      </c>
    </row>
    <row r="902" spans="1:60" x14ac:dyDescent="0.35">
      <c r="A902" t="s">
        <v>1731</v>
      </c>
      <c r="B902" t="s">
        <v>1890</v>
      </c>
      <c r="C902" t="s">
        <v>1897</v>
      </c>
      <c r="D902" t="s">
        <v>1898</v>
      </c>
      <c r="E902">
        <v>3516</v>
      </c>
      <c r="F902">
        <v>1</v>
      </c>
      <c r="G902">
        <v>0.43</v>
      </c>
      <c r="H902">
        <v>0.43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9</v>
      </c>
      <c r="BG902">
        <v>0</v>
      </c>
      <c r="BH902">
        <v>0</v>
      </c>
    </row>
    <row r="903" spans="1:60" x14ac:dyDescent="0.35">
      <c r="A903" t="s">
        <v>1731</v>
      </c>
      <c r="B903" t="s">
        <v>1890</v>
      </c>
      <c r="C903" t="s">
        <v>1899</v>
      </c>
      <c r="D903" t="s">
        <v>1900</v>
      </c>
      <c r="E903">
        <v>11139</v>
      </c>
      <c r="F903">
        <v>9</v>
      </c>
      <c r="G903">
        <v>10.324</v>
      </c>
      <c r="H903">
        <v>1.147111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</v>
      </c>
      <c r="BB903">
        <v>5541.75</v>
      </c>
      <c r="BC903">
        <v>5541.75</v>
      </c>
      <c r="BD903">
        <v>0</v>
      </c>
      <c r="BE903">
        <v>0</v>
      </c>
      <c r="BF903">
        <v>31</v>
      </c>
      <c r="BG903">
        <v>162.64354800000001</v>
      </c>
      <c r="BH903">
        <v>0</v>
      </c>
    </row>
    <row r="904" spans="1:60" x14ac:dyDescent="0.35">
      <c r="A904" t="s">
        <v>1731</v>
      </c>
      <c r="B904" t="s">
        <v>1890</v>
      </c>
      <c r="C904" t="s">
        <v>1901</v>
      </c>
      <c r="D904" t="s">
        <v>1902</v>
      </c>
      <c r="E904">
        <v>10074</v>
      </c>
      <c r="F904">
        <v>3</v>
      </c>
      <c r="G904">
        <v>1.6568149999999999</v>
      </c>
      <c r="H904">
        <v>0.55227170000000003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38</v>
      </c>
      <c r="BG904">
        <v>348.44210500000003</v>
      </c>
      <c r="BH904">
        <v>1693.2829999999999</v>
      </c>
    </row>
    <row r="905" spans="1:60" x14ac:dyDescent="0.35">
      <c r="A905" t="s">
        <v>1731</v>
      </c>
      <c r="B905" t="s">
        <v>1890</v>
      </c>
      <c r="C905" t="s">
        <v>1903</v>
      </c>
      <c r="D905" t="s">
        <v>1904</v>
      </c>
      <c r="E905">
        <v>2217</v>
      </c>
      <c r="F905" t="s">
        <v>81</v>
      </c>
      <c r="G905" t="s">
        <v>81</v>
      </c>
      <c r="H905" t="s">
        <v>81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4</v>
      </c>
      <c r="BG905">
        <v>0</v>
      </c>
      <c r="BH905">
        <v>0</v>
      </c>
    </row>
    <row r="906" spans="1:60" x14ac:dyDescent="0.35">
      <c r="A906" t="s">
        <v>1731</v>
      </c>
      <c r="B906" t="s">
        <v>1890</v>
      </c>
      <c r="C906" t="s">
        <v>1905</v>
      </c>
      <c r="D906" t="s">
        <v>1906</v>
      </c>
      <c r="E906">
        <v>2639</v>
      </c>
      <c r="F906" t="s">
        <v>81</v>
      </c>
      <c r="G906" t="s">
        <v>81</v>
      </c>
      <c r="H906" t="s">
        <v>81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</v>
      </c>
      <c r="BG906">
        <v>0.5</v>
      </c>
      <c r="BH906">
        <v>0</v>
      </c>
    </row>
    <row r="907" spans="1:60" x14ac:dyDescent="0.35">
      <c r="A907" t="s">
        <v>1731</v>
      </c>
      <c r="B907" t="s">
        <v>1890</v>
      </c>
      <c r="C907" t="s">
        <v>1907</v>
      </c>
      <c r="D907" t="s">
        <v>1908</v>
      </c>
      <c r="E907">
        <v>1260</v>
      </c>
      <c r="F907">
        <v>1</v>
      </c>
      <c r="G907">
        <v>0.5</v>
      </c>
      <c r="H907">
        <v>0.5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2</v>
      </c>
      <c r="BG907">
        <v>0</v>
      </c>
      <c r="BH907">
        <v>0</v>
      </c>
    </row>
    <row r="908" spans="1:60" x14ac:dyDescent="0.35">
      <c r="A908" t="s">
        <v>1731</v>
      </c>
      <c r="B908" t="s">
        <v>1890</v>
      </c>
      <c r="C908" t="s">
        <v>1909</v>
      </c>
      <c r="D908" t="s">
        <v>1910</v>
      </c>
      <c r="E908">
        <v>4452</v>
      </c>
      <c r="F908" t="s">
        <v>81</v>
      </c>
      <c r="G908" t="s">
        <v>81</v>
      </c>
      <c r="H908" t="s">
        <v>81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19</v>
      </c>
      <c r="BG908">
        <v>1.3684210000000001</v>
      </c>
      <c r="BH908">
        <v>0</v>
      </c>
    </row>
    <row r="909" spans="1:60" x14ac:dyDescent="0.35">
      <c r="A909" t="s">
        <v>1731</v>
      </c>
      <c r="B909" t="s">
        <v>1890</v>
      </c>
      <c r="C909" t="s">
        <v>1911</v>
      </c>
      <c r="D909" t="s">
        <v>1912</v>
      </c>
      <c r="E909">
        <v>675</v>
      </c>
      <c r="F909" t="s">
        <v>81</v>
      </c>
      <c r="G909" t="s">
        <v>81</v>
      </c>
      <c r="H909" t="s">
        <v>81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 t="s">
        <v>81</v>
      </c>
      <c r="BB909" t="s">
        <v>81</v>
      </c>
      <c r="BC909" t="s">
        <v>81</v>
      </c>
      <c r="BD909" t="s">
        <v>81</v>
      </c>
      <c r="BE909" t="s">
        <v>81</v>
      </c>
      <c r="BF909" t="s">
        <v>81</v>
      </c>
      <c r="BG909" t="s">
        <v>81</v>
      </c>
      <c r="BH909" t="s">
        <v>81</v>
      </c>
    </row>
    <row r="910" spans="1:60" x14ac:dyDescent="0.35">
      <c r="A910" t="s">
        <v>1731</v>
      </c>
      <c r="B910" t="s">
        <v>1890</v>
      </c>
      <c r="C910" t="s">
        <v>1913</v>
      </c>
      <c r="D910" t="s">
        <v>1914</v>
      </c>
      <c r="E910">
        <v>3568</v>
      </c>
      <c r="F910">
        <v>1</v>
      </c>
      <c r="G910">
        <v>0.216</v>
      </c>
      <c r="H910">
        <v>0.216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4</v>
      </c>
      <c r="BG910">
        <v>3766</v>
      </c>
      <c r="BH910">
        <v>0</v>
      </c>
    </row>
    <row r="911" spans="1:60" x14ac:dyDescent="0.35">
      <c r="A911" t="s">
        <v>1731</v>
      </c>
      <c r="B911" t="s">
        <v>1890</v>
      </c>
      <c r="C911" t="s">
        <v>1915</v>
      </c>
      <c r="D911" t="s">
        <v>1916</v>
      </c>
      <c r="E911">
        <v>2367</v>
      </c>
      <c r="F911" t="s">
        <v>81</v>
      </c>
      <c r="G911" t="s">
        <v>81</v>
      </c>
      <c r="H911" t="s">
        <v>81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</v>
      </c>
      <c r="BG911">
        <v>9983</v>
      </c>
      <c r="BH911">
        <v>0</v>
      </c>
    </row>
    <row r="912" spans="1:60" x14ac:dyDescent="0.35">
      <c r="A912" t="s">
        <v>1731</v>
      </c>
      <c r="B912" t="s">
        <v>1890</v>
      </c>
      <c r="C912" t="s">
        <v>1917</v>
      </c>
      <c r="D912" t="s">
        <v>1918</v>
      </c>
      <c r="E912">
        <v>1443</v>
      </c>
      <c r="F912" t="s">
        <v>81</v>
      </c>
      <c r="G912" t="s">
        <v>81</v>
      </c>
      <c r="H912" t="s">
        <v>81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2</v>
      </c>
      <c r="BG912">
        <v>475</v>
      </c>
      <c r="BH912">
        <v>0</v>
      </c>
    </row>
    <row r="913" spans="1:60" x14ac:dyDescent="0.35">
      <c r="A913" t="s">
        <v>1731</v>
      </c>
      <c r="B913" t="s">
        <v>1890</v>
      </c>
      <c r="C913" t="s">
        <v>1919</v>
      </c>
      <c r="D913" t="s">
        <v>1920</v>
      </c>
      <c r="E913">
        <v>3872</v>
      </c>
      <c r="F913" t="s">
        <v>81</v>
      </c>
      <c r="G913" t="s">
        <v>81</v>
      </c>
      <c r="H913" t="s">
        <v>81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7</v>
      </c>
      <c r="BG913">
        <v>3.1428569999999998</v>
      </c>
      <c r="BH913">
        <v>0</v>
      </c>
    </row>
    <row r="914" spans="1:60" x14ac:dyDescent="0.35">
      <c r="A914" t="s">
        <v>1731</v>
      </c>
      <c r="B914" t="s">
        <v>1890</v>
      </c>
      <c r="C914" t="s">
        <v>1921</v>
      </c>
      <c r="D914" t="s">
        <v>1922</v>
      </c>
      <c r="E914">
        <v>1368</v>
      </c>
      <c r="F914">
        <v>1</v>
      </c>
      <c r="G914">
        <v>4.4447760000000001</v>
      </c>
      <c r="H914">
        <v>4.4447760000000001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5</v>
      </c>
      <c r="BG914">
        <v>0</v>
      </c>
      <c r="BH914">
        <v>0</v>
      </c>
    </row>
    <row r="915" spans="1:60" x14ac:dyDescent="0.35">
      <c r="A915" t="s">
        <v>1731</v>
      </c>
      <c r="B915" t="s">
        <v>1890</v>
      </c>
      <c r="C915" t="s">
        <v>1923</v>
      </c>
      <c r="D915" t="s">
        <v>1924</v>
      </c>
      <c r="E915">
        <v>4076</v>
      </c>
      <c r="F915" t="s">
        <v>81</v>
      </c>
      <c r="G915" t="s">
        <v>81</v>
      </c>
      <c r="H915" t="s">
        <v>81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3</v>
      </c>
      <c r="BG915">
        <v>0</v>
      </c>
      <c r="BH915">
        <v>0</v>
      </c>
    </row>
    <row r="916" spans="1:60" x14ac:dyDescent="0.35">
      <c r="A916" t="s">
        <v>1731</v>
      </c>
      <c r="B916" t="s">
        <v>1890</v>
      </c>
      <c r="C916" t="s">
        <v>1925</v>
      </c>
      <c r="D916" t="s">
        <v>1926</v>
      </c>
      <c r="E916">
        <v>2685</v>
      </c>
      <c r="F916" t="s">
        <v>81</v>
      </c>
      <c r="G916" t="s">
        <v>81</v>
      </c>
      <c r="H916" t="s">
        <v>81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</row>
    <row r="917" spans="1:60" x14ac:dyDescent="0.35">
      <c r="A917" t="s">
        <v>1731</v>
      </c>
      <c r="B917" t="s">
        <v>1890</v>
      </c>
      <c r="C917" t="s">
        <v>1927</v>
      </c>
      <c r="D917" t="s">
        <v>1928</v>
      </c>
      <c r="E917">
        <v>930</v>
      </c>
      <c r="F917" t="s">
        <v>81</v>
      </c>
      <c r="G917" t="s">
        <v>81</v>
      </c>
      <c r="H917" t="s">
        <v>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 t="s">
        <v>81</v>
      </c>
      <c r="BB917" t="s">
        <v>81</v>
      </c>
      <c r="BC917" t="s">
        <v>81</v>
      </c>
      <c r="BD917" t="s">
        <v>81</v>
      </c>
      <c r="BE917" t="s">
        <v>81</v>
      </c>
      <c r="BF917" t="s">
        <v>81</v>
      </c>
      <c r="BG917" t="s">
        <v>81</v>
      </c>
      <c r="BH917" t="s">
        <v>81</v>
      </c>
    </row>
    <row r="918" spans="1:60" x14ac:dyDescent="0.35">
      <c r="A918" t="s">
        <v>1731</v>
      </c>
      <c r="B918" t="s">
        <v>1890</v>
      </c>
      <c r="C918" t="s">
        <v>1929</v>
      </c>
      <c r="D918" t="s">
        <v>1930</v>
      </c>
      <c r="E918">
        <v>1521</v>
      </c>
      <c r="F918">
        <v>1</v>
      </c>
      <c r="G918">
        <v>1.7076389999999999</v>
      </c>
      <c r="H918">
        <v>1.7076389999999999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2</v>
      </c>
      <c r="BG918">
        <v>129</v>
      </c>
      <c r="BH918">
        <v>0</v>
      </c>
    </row>
    <row r="919" spans="1:60" x14ac:dyDescent="0.35">
      <c r="A919" t="s">
        <v>1731</v>
      </c>
      <c r="B919" t="s">
        <v>1890</v>
      </c>
      <c r="C919" t="s">
        <v>1931</v>
      </c>
      <c r="D919" t="s">
        <v>1932</v>
      </c>
      <c r="E919">
        <v>1411</v>
      </c>
      <c r="F919" t="s">
        <v>81</v>
      </c>
      <c r="G919" t="s">
        <v>81</v>
      </c>
      <c r="H919" t="s">
        <v>81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0</v>
      </c>
    </row>
    <row r="920" spans="1:60" x14ac:dyDescent="0.35">
      <c r="A920" t="s">
        <v>1731</v>
      </c>
      <c r="B920" t="s">
        <v>1890</v>
      </c>
      <c r="C920" t="s">
        <v>1933</v>
      </c>
      <c r="D920" t="s">
        <v>1934</v>
      </c>
      <c r="E920">
        <v>1493</v>
      </c>
      <c r="F920" t="s">
        <v>81</v>
      </c>
      <c r="G920" t="s">
        <v>81</v>
      </c>
      <c r="H920" t="s">
        <v>81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 t="s">
        <v>81</v>
      </c>
      <c r="BB920" t="s">
        <v>81</v>
      </c>
      <c r="BC920" t="s">
        <v>81</v>
      </c>
      <c r="BD920" t="s">
        <v>81</v>
      </c>
      <c r="BE920" t="s">
        <v>81</v>
      </c>
      <c r="BF920" t="s">
        <v>81</v>
      </c>
      <c r="BG920" t="s">
        <v>81</v>
      </c>
      <c r="BH920" t="s">
        <v>81</v>
      </c>
    </row>
    <row r="921" spans="1:60" x14ac:dyDescent="0.35">
      <c r="A921" t="s">
        <v>1731</v>
      </c>
      <c r="B921" t="s">
        <v>1890</v>
      </c>
      <c r="C921" t="s">
        <v>1935</v>
      </c>
      <c r="D921" t="s">
        <v>1936</v>
      </c>
      <c r="E921">
        <v>858</v>
      </c>
      <c r="F921">
        <v>1</v>
      </c>
      <c r="G921">
        <v>0.2</v>
      </c>
      <c r="H921">
        <v>0.2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 t="s">
        <v>81</v>
      </c>
      <c r="BB921" t="s">
        <v>81</v>
      </c>
      <c r="BC921" t="s">
        <v>81</v>
      </c>
      <c r="BD921" t="s">
        <v>81</v>
      </c>
      <c r="BE921" t="s">
        <v>81</v>
      </c>
      <c r="BF921" t="s">
        <v>81</v>
      </c>
      <c r="BG921" t="s">
        <v>81</v>
      </c>
      <c r="BH921" t="s">
        <v>81</v>
      </c>
    </row>
    <row r="922" spans="1:60" x14ac:dyDescent="0.35">
      <c r="A922" t="s">
        <v>1937</v>
      </c>
      <c r="B922" t="s">
        <v>1937</v>
      </c>
      <c r="C922" t="s">
        <v>1938</v>
      </c>
      <c r="D922" t="s">
        <v>1939</v>
      </c>
      <c r="E922">
        <v>98234</v>
      </c>
      <c r="F922">
        <v>724</v>
      </c>
      <c r="G922">
        <v>661.5421</v>
      </c>
      <c r="H922">
        <v>0.91373219999999999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9689</v>
      </c>
      <c r="P922">
        <v>0</v>
      </c>
      <c r="Q922">
        <v>0</v>
      </c>
      <c r="R922">
        <v>0</v>
      </c>
      <c r="S922">
        <v>0</v>
      </c>
      <c r="T922">
        <v>9689</v>
      </c>
      <c r="U922">
        <v>87896.87</v>
      </c>
      <c r="V922">
        <v>0</v>
      </c>
      <c r="W922">
        <v>1551.43</v>
      </c>
      <c r="X922">
        <v>0</v>
      </c>
      <c r="Y922">
        <v>0</v>
      </c>
      <c r="Z922">
        <v>89448.3</v>
      </c>
      <c r="AA922">
        <v>505805.13</v>
      </c>
      <c r="AB922">
        <v>42260.76</v>
      </c>
      <c r="AC922">
        <v>198905.97</v>
      </c>
      <c r="AD922">
        <v>11896.69</v>
      </c>
      <c r="AE922">
        <v>0</v>
      </c>
      <c r="AF922">
        <v>758868.55</v>
      </c>
      <c r="AG922">
        <v>27935.4</v>
      </c>
      <c r="AH922">
        <v>13647.75</v>
      </c>
      <c r="AI922">
        <v>40006.47</v>
      </c>
      <c r="AJ922">
        <v>3383.86</v>
      </c>
      <c r="AK922">
        <v>0</v>
      </c>
      <c r="AL922">
        <v>84973.48</v>
      </c>
      <c r="AM922">
        <v>597920.52</v>
      </c>
      <c r="AN922">
        <v>50397.19</v>
      </c>
      <c r="AO922">
        <v>110988.58</v>
      </c>
      <c r="AP922">
        <v>1502.81</v>
      </c>
      <c r="AQ922">
        <v>0</v>
      </c>
      <c r="AR922">
        <v>760809.1</v>
      </c>
      <c r="AS922">
        <v>131259.34</v>
      </c>
      <c r="AT922">
        <v>0</v>
      </c>
      <c r="AU922">
        <v>15120.12</v>
      </c>
      <c r="AV922">
        <v>0</v>
      </c>
      <c r="AW922">
        <v>0</v>
      </c>
      <c r="AX922">
        <v>146379.46</v>
      </c>
      <c r="AY922">
        <v>1850167.89</v>
      </c>
      <c r="AZ922">
        <v>1</v>
      </c>
      <c r="BA922">
        <v>98</v>
      </c>
      <c r="BB922">
        <v>47492.205000000002</v>
      </c>
      <c r="BC922">
        <v>4654236.1140000001</v>
      </c>
      <c r="BD922">
        <v>10107.87551</v>
      </c>
      <c r="BE922">
        <v>1441.83</v>
      </c>
      <c r="BF922">
        <v>1249</v>
      </c>
      <c r="BG922">
        <v>7640.9335469999996</v>
      </c>
      <c r="BH922">
        <v>1269.9580000000001</v>
      </c>
    </row>
    <row r="923" spans="1:60" x14ac:dyDescent="0.35">
      <c r="A923" t="s">
        <v>1937</v>
      </c>
      <c r="B923" t="s">
        <v>1937</v>
      </c>
      <c r="C923" t="s">
        <v>1940</v>
      </c>
      <c r="D923" t="s">
        <v>1941</v>
      </c>
      <c r="E923">
        <v>92458</v>
      </c>
      <c r="F923">
        <v>203</v>
      </c>
      <c r="G923">
        <v>193.40989999999999</v>
      </c>
      <c r="H923">
        <v>0.95275829999999995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10.53</v>
      </c>
      <c r="Q923">
        <v>0</v>
      </c>
      <c r="R923">
        <v>0</v>
      </c>
      <c r="S923">
        <v>0</v>
      </c>
      <c r="T923">
        <v>10.53</v>
      </c>
      <c r="U923">
        <v>0</v>
      </c>
      <c r="V923">
        <v>308.98</v>
      </c>
      <c r="W923">
        <v>0</v>
      </c>
      <c r="X923">
        <v>0</v>
      </c>
      <c r="Y923">
        <v>0</v>
      </c>
      <c r="Z923">
        <v>308.98</v>
      </c>
      <c r="AA923">
        <v>0</v>
      </c>
      <c r="AB923">
        <v>5397.16</v>
      </c>
      <c r="AC923">
        <v>0</v>
      </c>
      <c r="AD923">
        <v>0</v>
      </c>
      <c r="AE923">
        <v>0</v>
      </c>
      <c r="AF923">
        <v>5397.16</v>
      </c>
      <c r="AG923">
        <v>0</v>
      </c>
      <c r="AH923">
        <v>39.58</v>
      </c>
      <c r="AI923">
        <v>0</v>
      </c>
      <c r="AJ923">
        <v>0</v>
      </c>
      <c r="AK923">
        <v>0</v>
      </c>
      <c r="AL923">
        <v>39.58</v>
      </c>
      <c r="AM923">
        <v>0</v>
      </c>
      <c r="AN923">
        <v>20827.349999999999</v>
      </c>
      <c r="AO923">
        <v>0</v>
      </c>
      <c r="AP923">
        <v>0</v>
      </c>
      <c r="AQ923">
        <v>0</v>
      </c>
      <c r="AR923">
        <v>20827.349999999999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26583.599999999999</v>
      </c>
      <c r="AZ923">
        <v>1</v>
      </c>
      <c r="BA923">
        <v>50</v>
      </c>
      <c r="BB923">
        <v>47455.542999999998</v>
      </c>
      <c r="BC923">
        <v>2372777.1710000001</v>
      </c>
      <c r="BD923">
        <v>8810.4467999999997</v>
      </c>
      <c r="BE923">
        <v>108.788</v>
      </c>
      <c r="BF923">
        <v>624</v>
      </c>
      <c r="BG923">
        <v>3266.3093589999999</v>
      </c>
      <c r="BH923">
        <v>1239.7159999999999</v>
      </c>
    </row>
    <row r="924" spans="1:60" x14ac:dyDescent="0.35">
      <c r="A924" t="s">
        <v>1937</v>
      </c>
      <c r="B924" t="s">
        <v>1937</v>
      </c>
      <c r="C924" t="s">
        <v>1942</v>
      </c>
      <c r="D924" t="s">
        <v>1943</v>
      </c>
      <c r="E924">
        <v>12639</v>
      </c>
      <c r="F924">
        <v>5</v>
      </c>
      <c r="G924">
        <v>1.7709999999999999</v>
      </c>
      <c r="H924">
        <v>0.35420000000000001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19090.582999999999</v>
      </c>
      <c r="BC924">
        <v>19090.582999999999</v>
      </c>
      <c r="BD924">
        <v>0</v>
      </c>
      <c r="BE924">
        <v>0</v>
      </c>
      <c r="BF924">
        <v>69</v>
      </c>
      <c r="BG924">
        <v>8459.1284059999998</v>
      </c>
      <c r="BH924">
        <v>438.08800000000002</v>
      </c>
    </row>
    <row r="925" spans="1:60" x14ac:dyDescent="0.35">
      <c r="A925" t="s">
        <v>1937</v>
      </c>
      <c r="B925" t="s">
        <v>1937</v>
      </c>
      <c r="C925" t="s">
        <v>1944</v>
      </c>
      <c r="D925" t="s">
        <v>1945</v>
      </c>
      <c r="E925">
        <v>12602</v>
      </c>
      <c r="F925">
        <v>2</v>
      </c>
      <c r="G925">
        <v>0.55000000000000004</v>
      </c>
      <c r="H925">
        <v>0.27500000000000002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17</v>
      </c>
      <c r="BG925">
        <v>628.47058800000002</v>
      </c>
      <c r="BH925">
        <v>0</v>
      </c>
    </row>
    <row r="926" spans="1:60" x14ac:dyDescent="0.35">
      <c r="A926" t="s">
        <v>1937</v>
      </c>
      <c r="B926" t="s">
        <v>1937</v>
      </c>
      <c r="C926" t="s">
        <v>1946</v>
      </c>
      <c r="D926" t="s">
        <v>1947</v>
      </c>
      <c r="E926">
        <v>3503</v>
      </c>
      <c r="F926" t="s">
        <v>81</v>
      </c>
      <c r="G926" t="s">
        <v>81</v>
      </c>
      <c r="H926" t="s">
        <v>81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2</v>
      </c>
      <c r="BG926">
        <v>0</v>
      </c>
      <c r="BH926">
        <v>0</v>
      </c>
    </row>
    <row r="927" spans="1:60" x14ac:dyDescent="0.35">
      <c r="A927" t="s">
        <v>1937</v>
      </c>
      <c r="B927" t="s">
        <v>1937</v>
      </c>
      <c r="C927" t="s">
        <v>1948</v>
      </c>
      <c r="D927" t="s">
        <v>1949</v>
      </c>
      <c r="E927">
        <v>2694</v>
      </c>
      <c r="F927">
        <v>1</v>
      </c>
      <c r="G927">
        <v>0.19</v>
      </c>
      <c r="H927">
        <v>0.19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8</v>
      </c>
      <c r="BG927">
        <v>0</v>
      </c>
      <c r="BH927">
        <v>0</v>
      </c>
    </row>
    <row r="928" spans="1:60" x14ac:dyDescent="0.35">
      <c r="A928" t="s">
        <v>1937</v>
      </c>
      <c r="B928" t="s">
        <v>1937</v>
      </c>
      <c r="C928" t="s">
        <v>1950</v>
      </c>
      <c r="D928" t="s">
        <v>1951</v>
      </c>
      <c r="E928">
        <v>4672</v>
      </c>
      <c r="F928">
        <v>1</v>
      </c>
      <c r="G928">
        <v>0.2</v>
      </c>
      <c r="H928">
        <v>0.2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7</v>
      </c>
      <c r="BG928">
        <v>13879.164285999999</v>
      </c>
      <c r="BH928">
        <v>0</v>
      </c>
    </row>
    <row r="929" spans="1:60" x14ac:dyDescent="0.35">
      <c r="A929" t="s">
        <v>1937</v>
      </c>
      <c r="B929" t="s">
        <v>1937</v>
      </c>
      <c r="C929" t="s">
        <v>1952</v>
      </c>
      <c r="D929" t="s">
        <v>1953</v>
      </c>
      <c r="E929">
        <v>2369</v>
      </c>
      <c r="F929" t="s">
        <v>81</v>
      </c>
      <c r="G929" t="s">
        <v>81</v>
      </c>
      <c r="H929" t="s">
        <v>81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4</v>
      </c>
      <c r="BG929">
        <v>24161.5975</v>
      </c>
      <c r="BH929">
        <v>0</v>
      </c>
    </row>
    <row r="930" spans="1:60" x14ac:dyDescent="0.35">
      <c r="A930" t="s">
        <v>1937</v>
      </c>
      <c r="B930" t="s">
        <v>1937</v>
      </c>
      <c r="C930" t="s">
        <v>1954</v>
      </c>
      <c r="D930" t="s">
        <v>1955</v>
      </c>
      <c r="E930">
        <v>22342</v>
      </c>
      <c r="F930">
        <v>1</v>
      </c>
      <c r="G930">
        <v>3</v>
      </c>
      <c r="H930">
        <v>3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22</v>
      </c>
      <c r="BG930">
        <v>2432.3818179999998</v>
      </c>
      <c r="BH930">
        <v>0</v>
      </c>
    </row>
    <row r="931" spans="1:60" x14ac:dyDescent="0.35">
      <c r="A931" t="s">
        <v>1937</v>
      </c>
      <c r="B931" t="s">
        <v>1937</v>
      </c>
      <c r="C931" t="s">
        <v>1956</v>
      </c>
      <c r="D931" t="s">
        <v>1957</v>
      </c>
      <c r="E931">
        <v>1572</v>
      </c>
      <c r="F931" t="s">
        <v>81</v>
      </c>
      <c r="G931" t="s">
        <v>81</v>
      </c>
      <c r="H931" t="s">
        <v>81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</row>
    <row r="932" spans="1:60" x14ac:dyDescent="0.35">
      <c r="A932" t="s">
        <v>1937</v>
      </c>
      <c r="B932" t="s">
        <v>1937</v>
      </c>
      <c r="C932" t="s">
        <v>1958</v>
      </c>
      <c r="D932" t="s">
        <v>1959</v>
      </c>
      <c r="E932">
        <v>57452</v>
      </c>
      <c r="F932">
        <v>65</v>
      </c>
      <c r="G932">
        <v>56.682699999999997</v>
      </c>
      <c r="H932">
        <v>0.87204150000000002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18179.48</v>
      </c>
      <c r="AD932">
        <v>0</v>
      </c>
      <c r="AE932">
        <v>0</v>
      </c>
      <c r="AF932">
        <v>18179.48</v>
      </c>
      <c r="AG932">
        <v>0</v>
      </c>
      <c r="AH932">
        <v>0</v>
      </c>
      <c r="AI932">
        <v>3263.13</v>
      </c>
      <c r="AJ932">
        <v>0</v>
      </c>
      <c r="AK932">
        <v>0</v>
      </c>
      <c r="AL932">
        <v>3263.13</v>
      </c>
      <c r="AM932">
        <v>0</v>
      </c>
      <c r="AN932">
        <v>0</v>
      </c>
      <c r="AO932">
        <v>10396.91</v>
      </c>
      <c r="AP932">
        <v>0</v>
      </c>
      <c r="AQ932">
        <v>0</v>
      </c>
      <c r="AR932">
        <v>10396.91</v>
      </c>
      <c r="AS932">
        <v>0</v>
      </c>
      <c r="AT932">
        <v>0</v>
      </c>
      <c r="AU932">
        <v>912.42</v>
      </c>
      <c r="AV932">
        <v>0</v>
      </c>
      <c r="AW932">
        <v>0</v>
      </c>
      <c r="AX932">
        <v>912.42</v>
      </c>
      <c r="AY932">
        <v>32751.94</v>
      </c>
      <c r="AZ932">
        <v>1</v>
      </c>
      <c r="BA932">
        <v>8</v>
      </c>
      <c r="BB932">
        <v>49996.468999999997</v>
      </c>
      <c r="BC932">
        <v>399971.75</v>
      </c>
      <c r="BD932">
        <v>13975.6075</v>
      </c>
      <c r="BE932">
        <v>1839.9880000000001</v>
      </c>
      <c r="BF932">
        <v>312</v>
      </c>
      <c r="BG932">
        <v>2898.2472440000001</v>
      </c>
      <c r="BH932">
        <v>346.96</v>
      </c>
    </row>
    <row r="933" spans="1:60" x14ac:dyDescent="0.35">
      <c r="A933" t="s">
        <v>1937</v>
      </c>
      <c r="B933" t="s">
        <v>1937</v>
      </c>
      <c r="C933" t="s">
        <v>1960</v>
      </c>
      <c r="D933" t="s">
        <v>1961</v>
      </c>
      <c r="E933">
        <v>4611</v>
      </c>
      <c r="F933" t="s">
        <v>81</v>
      </c>
      <c r="G933" t="s">
        <v>81</v>
      </c>
      <c r="H933" t="s">
        <v>81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1</v>
      </c>
      <c r="BG933">
        <v>0</v>
      </c>
      <c r="BH933">
        <v>0</v>
      </c>
    </row>
    <row r="934" spans="1:60" x14ac:dyDescent="0.35">
      <c r="A934" t="s">
        <v>1937</v>
      </c>
      <c r="B934" t="s">
        <v>1937</v>
      </c>
      <c r="C934" t="s">
        <v>1962</v>
      </c>
      <c r="D934" t="s">
        <v>1963</v>
      </c>
      <c r="E934">
        <v>7604</v>
      </c>
      <c r="F934">
        <v>2</v>
      </c>
      <c r="G934">
        <v>0.69759700000000002</v>
      </c>
      <c r="H934">
        <v>0.34879850000000001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7</v>
      </c>
      <c r="BG934">
        <v>4508.5757139999996</v>
      </c>
      <c r="BH934">
        <v>0</v>
      </c>
    </row>
    <row r="935" spans="1:60" x14ac:dyDescent="0.35">
      <c r="A935" t="s">
        <v>1937</v>
      </c>
      <c r="B935" t="s">
        <v>1964</v>
      </c>
      <c r="C935" t="s">
        <v>1964</v>
      </c>
      <c r="D935" t="s">
        <v>1965</v>
      </c>
      <c r="E935">
        <v>24614</v>
      </c>
      <c r="F935">
        <v>55</v>
      </c>
      <c r="G935">
        <v>46.515419999999999</v>
      </c>
      <c r="H935">
        <v>0.84573500000000001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21309.65</v>
      </c>
      <c r="AD935">
        <v>5565.74</v>
      </c>
      <c r="AE935">
        <v>0</v>
      </c>
      <c r="AF935">
        <v>26875.39</v>
      </c>
      <c r="AG935">
        <v>0</v>
      </c>
      <c r="AH935">
        <v>0</v>
      </c>
      <c r="AI935">
        <v>4861.3</v>
      </c>
      <c r="AJ935">
        <v>1993.78</v>
      </c>
      <c r="AK935">
        <v>0</v>
      </c>
      <c r="AL935">
        <v>6855.08</v>
      </c>
      <c r="AM935">
        <v>0</v>
      </c>
      <c r="AN935">
        <v>0</v>
      </c>
      <c r="AO935">
        <v>5065.1099999999997</v>
      </c>
      <c r="AP935">
        <v>447.65</v>
      </c>
      <c r="AQ935">
        <v>0</v>
      </c>
      <c r="AR935">
        <v>5512.76</v>
      </c>
      <c r="AS935">
        <v>0</v>
      </c>
      <c r="AT935">
        <v>0</v>
      </c>
      <c r="AU935">
        <v>89.39</v>
      </c>
      <c r="AV935">
        <v>0</v>
      </c>
      <c r="AW935">
        <v>0</v>
      </c>
      <c r="AX935">
        <v>89.39</v>
      </c>
      <c r="AY935">
        <v>39332.620000000003</v>
      </c>
      <c r="AZ935">
        <v>0</v>
      </c>
      <c r="BA935">
        <v>2</v>
      </c>
      <c r="BB935">
        <v>18244.292000000001</v>
      </c>
      <c r="BC935">
        <v>36488.582999999999</v>
      </c>
      <c r="BD935">
        <v>1</v>
      </c>
      <c r="BE935">
        <v>138.92500000000001</v>
      </c>
      <c r="BF935">
        <v>149</v>
      </c>
      <c r="BG935">
        <v>2361.4779189999999</v>
      </c>
      <c r="BH935">
        <v>2897.4389999999999</v>
      </c>
    </row>
    <row r="936" spans="1:60" x14ac:dyDescent="0.35">
      <c r="A936" t="s">
        <v>1937</v>
      </c>
      <c r="B936" t="s">
        <v>1964</v>
      </c>
      <c r="C936" t="s">
        <v>1966</v>
      </c>
      <c r="D936" t="s">
        <v>1967</v>
      </c>
      <c r="E936">
        <v>1988</v>
      </c>
      <c r="F936" t="s">
        <v>81</v>
      </c>
      <c r="G936" t="s">
        <v>81</v>
      </c>
      <c r="H936" t="s">
        <v>81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0</v>
      </c>
    </row>
    <row r="937" spans="1:60" x14ac:dyDescent="0.35">
      <c r="A937" t="s">
        <v>1937</v>
      </c>
      <c r="B937" t="s">
        <v>1964</v>
      </c>
      <c r="C937" t="s">
        <v>1968</v>
      </c>
      <c r="D937" t="s">
        <v>1969</v>
      </c>
      <c r="E937">
        <v>1338</v>
      </c>
      <c r="F937" t="s">
        <v>81</v>
      </c>
      <c r="G937" t="s">
        <v>81</v>
      </c>
      <c r="H937" t="s">
        <v>81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</row>
    <row r="938" spans="1:60" x14ac:dyDescent="0.35">
      <c r="A938" t="s">
        <v>1937</v>
      </c>
      <c r="B938" t="s">
        <v>1964</v>
      </c>
      <c r="C938" t="s">
        <v>1970</v>
      </c>
      <c r="D938" t="s">
        <v>1971</v>
      </c>
      <c r="E938">
        <v>3847</v>
      </c>
      <c r="F938" t="s">
        <v>81</v>
      </c>
      <c r="G938" t="s">
        <v>81</v>
      </c>
      <c r="H938" t="s">
        <v>81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13</v>
      </c>
      <c r="BG938">
        <v>69.484615000000005</v>
      </c>
      <c r="BH938">
        <v>67.072999999999993</v>
      </c>
    </row>
    <row r="939" spans="1:60" x14ac:dyDescent="0.35">
      <c r="A939" t="s">
        <v>1937</v>
      </c>
      <c r="B939" t="s">
        <v>1964</v>
      </c>
      <c r="C939" t="s">
        <v>1972</v>
      </c>
      <c r="D939" t="s">
        <v>1973</v>
      </c>
      <c r="E939">
        <v>7748</v>
      </c>
      <c r="F939" t="s">
        <v>81</v>
      </c>
      <c r="G939" t="s">
        <v>81</v>
      </c>
      <c r="H939" t="s">
        <v>81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1</v>
      </c>
      <c r="BB939">
        <v>3685.8330000000001</v>
      </c>
      <c r="BC939">
        <v>3685.8330000000001</v>
      </c>
      <c r="BD939">
        <v>452</v>
      </c>
      <c r="BE939">
        <v>0</v>
      </c>
      <c r="BF939">
        <v>6</v>
      </c>
      <c r="BG939">
        <v>75.333332999999996</v>
      </c>
      <c r="BH939">
        <v>0</v>
      </c>
    </row>
    <row r="940" spans="1:60" x14ac:dyDescent="0.35">
      <c r="A940" t="s">
        <v>1937</v>
      </c>
      <c r="B940" t="s">
        <v>1964</v>
      </c>
      <c r="C940" t="s">
        <v>1974</v>
      </c>
      <c r="D940" t="s">
        <v>1975</v>
      </c>
      <c r="E940">
        <v>1045</v>
      </c>
      <c r="F940" t="s">
        <v>81</v>
      </c>
      <c r="G940" t="s">
        <v>81</v>
      </c>
      <c r="H940" t="s">
        <v>81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2</v>
      </c>
      <c r="BG940">
        <v>0</v>
      </c>
      <c r="BH940">
        <v>0</v>
      </c>
    </row>
    <row r="941" spans="1:60" x14ac:dyDescent="0.35">
      <c r="A941" t="s">
        <v>1937</v>
      </c>
      <c r="B941" t="s">
        <v>1964</v>
      </c>
      <c r="C941" t="s">
        <v>1976</v>
      </c>
      <c r="D941" t="s">
        <v>1977</v>
      </c>
      <c r="E941">
        <v>7663</v>
      </c>
      <c r="F941">
        <v>4</v>
      </c>
      <c r="G941">
        <v>2.4247999999999998</v>
      </c>
      <c r="H941">
        <v>0.60619999999999996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36</v>
      </c>
      <c r="BG941">
        <v>312.67222199999998</v>
      </c>
      <c r="BH941">
        <v>0</v>
      </c>
    </row>
    <row r="942" spans="1:60" x14ac:dyDescent="0.35">
      <c r="A942" t="s">
        <v>1937</v>
      </c>
      <c r="B942" t="s">
        <v>1964</v>
      </c>
      <c r="C942" t="s">
        <v>1978</v>
      </c>
      <c r="D942" t="s">
        <v>1979</v>
      </c>
      <c r="E942">
        <v>2921</v>
      </c>
      <c r="F942" t="s">
        <v>81</v>
      </c>
      <c r="G942" t="s">
        <v>81</v>
      </c>
      <c r="H942" t="s">
        <v>81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10</v>
      </c>
      <c r="BG942">
        <v>14457.941000000001</v>
      </c>
      <c r="BH942">
        <v>0</v>
      </c>
    </row>
    <row r="943" spans="1:60" x14ac:dyDescent="0.35">
      <c r="A943" t="s">
        <v>1937</v>
      </c>
      <c r="B943" t="s">
        <v>1980</v>
      </c>
      <c r="C943" t="s">
        <v>1981</v>
      </c>
      <c r="D943" t="s">
        <v>1982</v>
      </c>
      <c r="E943">
        <v>7112</v>
      </c>
      <c r="F943">
        <v>4</v>
      </c>
      <c r="G943">
        <v>4.9968729999999999</v>
      </c>
      <c r="H943">
        <v>1.2492179999999999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17238.2</v>
      </c>
      <c r="AB943">
        <v>0</v>
      </c>
      <c r="AC943">
        <v>16416.59</v>
      </c>
      <c r="AD943">
        <v>0</v>
      </c>
      <c r="AE943">
        <v>0</v>
      </c>
      <c r="AF943">
        <v>33654.79</v>
      </c>
      <c r="AG943">
        <v>2498.89</v>
      </c>
      <c r="AH943">
        <v>0</v>
      </c>
      <c r="AI943">
        <v>3837.25</v>
      </c>
      <c r="AJ943">
        <v>0</v>
      </c>
      <c r="AK943">
        <v>0</v>
      </c>
      <c r="AL943">
        <v>6336.14</v>
      </c>
      <c r="AM943">
        <v>803.72</v>
      </c>
      <c r="AN943">
        <v>0</v>
      </c>
      <c r="AO943">
        <v>7735.34</v>
      </c>
      <c r="AP943">
        <v>0</v>
      </c>
      <c r="AQ943">
        <v>0</v>
      </c>
      <c r="AR943">
        <v>8539.06</v>
      </c>
      <c r="AS943">
        <v>0</v>
      </c>
      <c r="AT943">
        <v>0</v>
      </c>
      <c r="AU943">
        <v>23</v>
      </c>
      <c r="AV943">
        <v>0</v>
      </c>
      <c r="AW943">
        <v>0</v>
      </c>
      <c r="AX943">
        <v>23</v>
      </c>
      <c r="AY943">
        <v>48552.99</v>
      </c>
      <c r="AZ943">
        <v>0</v>
      </c>
      <c r="BA943">
        <v>2</v>
      </c>
      <c r="BB943">
        <v>29060.059000000001</v>
      </c>
      <c r="BC943">
        <v>58120.116999999998</v>
      </c>
      <c r="BD943">
        <v>0</v>
      </c>
      <c r="BE943">
        <v>488.916</v>
      </c>
      <c r="BF943">
        <v>56</v>
      </c>
      <c r="BG943">
        <v>2206.5660710000002</v>
      </c>
      <c r="BH943">
        <v>17.460999999999999</v>
      </c>
    </row>
    <row r="944" spans="1:60" x14ac:dyDescent="0.35">
      <c r="A944" t="s">
        <v>1937</v>
      </c>
      <c r="B944" t="s">
        <v>1980</v>
      </c>
      <c r="C944" t="s">
        <v>1983</v>
      </c>
      <c r="D944" t="s">
        <v>1984</v>
      </c>
      <c r="E944">
        <v>2542</v>
      </c>
      <c r="F944" t="s">
        <v>81</v>
      </c>
      <c r="G944" t="s">
        <v>81</v>
      </c>
      <c r="H944" t="s">
        <v>81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5</v>
      </c>
      <c r="BG944">
        <v>1674.02</v>
      </c>
      <c r="BH944">
        <v>0</v>
      </c>
    </row>
    <row r="945" spans="1:60" x14ac:dyDescent="0.35">
      <c r="A945" t="s">
        <v>1937</v>
      </c>
      <c r="B945" t="s">
        <v>1980</v>
      </c>
      <c r="C945" t="s">
        <v>1985</v>
      </c>
      <c r="D945" t="s">
        <v>1986</v>
      </c>
      <c r="E945">
        <v>4768</v>
      </c>
      <c r="F945" t="s">
        <v>81</v>
      </c>
      <c r="G945" t="s">
        <v>81</v>
      </c>
      <c r="H945" t="s">
        <v>81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3</v>
      </c>
      <c r="BG945">
        <v>0</v>
      </c>
      <c r="BH945">
        <v>0</v>
      </c>
    </row>
    <row r="946" spans="1:60" x14ac:dyDescent="0.35">
      <c r="A946" t="s">
        <v>1937</v>
      </c>
      <c r="B946" t="s">
        <v>1980</v>
      </c>
      <c r="C946" t="s">
        <v>1987</v>
      </c>
      <c r="D946" t="s">
        <v>1988</v>
      </c>
      <c r="E946">
        <v>3500</v>
      </c>
      <c r="F946">
        <v>2</v>
      </c>
      <c r="G946">
        <v>5.72</v>
      </c>
      <c r="H946">
        <v>2.86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11</v>
      </c>
      <c r="BG946">
        <v>3266.6272730000001</v>
      </c>
      <c r="BH946">
        <v>0</v>
      </c>
    </row>
    <row r="947" spans="1:60" x14ac:dyDescent="0.35">
      <c r="A947" t="s">
        <v>1937</v>
      </c>
      <c r="B947" t="s">
        <v>1980</v>
      </c>
      <c r="C947" t="s">
        <v>1989</v>
      </c>
      <c r="D947" t="s">
        <v>1990</v>
      </c>
      <c r="E947">
        <v>849</v>
      </c>
      <c r="F947">
        <v>1</v>
      </c>
      <c r="G947">
        <v>0.4</v>
      </c>
      <c r="H947">
        <v>0.4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</row>
    <row r="948" spans="1:60" x14ac:dyDescent="0.35">
      <c r="A948" t="s">
        <v>1937</v>
      </c>
      <c r="B948" t="s">
        <v>1980</v>
      </c>
      <c r="C948" t="s">
        <v>1991</v>
      </c>
      <c r="D948" t="s">
        <v>1992</v>
      </c>
      <c r="E948">
        <v>4784</v>
      </c>
      <c r="F948">
        <v>2</v>
      </c>
      <c r="G948">
        <v>1.6325000000000001</v>
      </c>
      <c r="H948">
        <v>0.81625000000000003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14</v>
      </c>
      <c r="BG948">
        <v>1879.8357140000001</v>
      </c>
      <c r="BH948">
        <v>0</v>
      </c>
    </row>
    <row r="949" spans="1:60" x14ac:dyDescent="0.35">
      <c r="A949" t="s">
        <v>1937</v>
      </c>
      <c r="B949" t="s">
        <v>1980</v>
      </c>
      <c r="C949" t="s">
        <v>1993</v>
      </c>
      <c r="D949" t="s">
        <v>1994</v>
      </c>
      <c r="E949">
        <v>1279</v>
      </c>
      <c r="F949" t="s">
        <v>81</v>
      </c>
      <c r="G949" t="s">
        <v>81</v>
      </c>
      <c r="H949" t="s">
        <v>81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1</v>
      </c>
      <c r="BG949">
        <v>0</v>
      </c>
      <c r="BH949">
        <v>0</v>
      </c>
    </row>
    <row r="950" spans="1:60" x14ac:dyDescent="0.35">
      <c r="A950" t="s">
        <v>1937</v>
      </c>
      <c r="B950" t="s">
        <v>1980</v>
      </c>
      <c r="C950" t="s">
        <v>1995</v>
      </c>
      <c r="D950" t="s">
        <v>1996</v>
      </c>
      <c r="E950">
        <v>1327</v>
      </c>
      <c r="F950" t="s">
        <v>81</v>
      </c>
      <c r="G950" t="s">
        <v>81</v>
      </c>
      <c r="H950" t="s">
        <v>81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 t="s">
        <v>81</v>
      </c>
      <c r="BB950" t="s">
        <v>81</v>
      </c>
      <c r="BC950" t="s">
        <v>81</v>
      </c>
      <c r="BD950" t="s">
        <v>81</v>
      </c>
      <c r="BE950" t="s">
        <v>81</v>
      </c>
      <c r="BF950" t="s">
        <v>81</v>
      </c>
      <c r="BG950" t="s">
        <v>81</v>
      </c>
      <c r="BH950" t="s">
        <v>81</v>
      </c>
    </row>
    <row r="951" spans="1:60" x14ac:dyDescent="0.35">
      <c r="A951" t="s">
        <v>1937</v>
      </c>
      <c r="B951" t="s">
        <v>1980</v>
      </c>
      <c r="C951" t="s">
        <v>1997</v>
      </c>
      <c r="D951" t="s">
        <v>1998</v>
      </c>
      <c r="E951">
        <v>1869</v>
      </c>
      <c r="F951" t="s">
        <v>81</v>
      </c>
      <c r="G951" t="s">
        <v>81</v>
      </c>
      <c r="H951" t="s">
        <v>81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2</v>
      </c>
      <c r="BG951">
        <v>0</v>
      </c>
      <c r="BH951">
        <v>0</v>
      </c>
    </row>
    <row r="952" spans="1:60" x14ac:dyDescent="0.35">
      <c r="A952" t="s">
        <v>1937</v>
      </c>
      <c r="B952" t="s">
        <v>1999</v>
      </c>
      <c r="C952" t="s">
        <v>1999</v>
      </c>
      <c r="D952" t="s">
        <v>2000</v>
      </c>
      <c r="E952">
        <v>5370</v>
      </c>
      <c r="F952">
        <v>2</v>
      </c>
      <c r="G952">
        <v>0.52</v>
      </c>
      <c r="H952">
        <v>0.26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16</v>
      </c>
      <c r="BG952">
        <v>772.76687500000003</v>
      </c>
      <c r="BH952">
        <v>0</v>
      </c>
    </row>
    <row r="953" spans="1:60" x14ac:dyDescent="0.35">
      <c r="A953" t="s">
        <v>1937</v>
      </c>
      <c r="B953" t="s">
        <v>1999</v>
      </c>
      <c r="C953" t="s">
        <v>2001</v>
      </c>
      <c r="D953" t="s">
        <v>2002</v>
      </c>
      <c r="E953">
        <v>2552</v>
      </c>
      <c r="F953" t="s">
        <v>81</v>
      </c>
      <c r="G953" t="s">
        <v>81</v>
      </c>
      <c r="H953" t="s">
        <v>81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 t="s">
        <v>81</v>
      </c>
      <c r="BB953" t="s">
        <v>81</v>
      </c>
      <c r="BC953" t="s">
        <v>81</v>
      </c>
      <c r="BD953" t="s">
        <v>81</v>
      </c>
      <c r="BE953" t="s">
        <v>81</v>
      </c>
      <c r="BF953" t="s">
        <v>81</v>
      </c>
      <c r="BG953" t="s">
        <v>81</v>
      </c>
      <c r="BH953" t="s">
        <v>81</v>
      </c>
    </row>
    <row r="954" spans="1:60" x14ac:dyDescent="0.35">
      <c r="A954" t="s">
        <v>1937</v>
      </c>
      <c r="B954" t="s">
        <v>1999</v>
      </c>
      <c r="C954" t="s">
        <v>253</v>
      </c>
      <c r="D954" t="s">
        <v>2003</v>
      </c>
      <c r="E954">
        <v>1149</v>
      </c>
      <c r="F954" t="s">
        <v>81</v>
      </c>
      <c r="G954" t="s">
        <v>81</v>
      </c>
      <c r="H954" t="s">
        <v>81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 t="s">
        <v>81</v>
      </c>
      <c r="BB954" t="s">
        <v>81</v>
      </c>
      <c r="BC954" t="s">
        <v>81</v>
      </c>
      <c r="BD954" t="s">
        <v>81</v>
      </c>
      <c r="BE954" t="s">
        <v>81</v>
      </c>
      <c r="BF954" t="s">
        <v>81</v>
      </c>
      <c r="BG954" t="s">
        <v>81</v>
      </c>
      <c r="BH954" t="s">
        <v>81</v>
      </c>
    </row>
    <row r="955" spans="1:60" x14ac:dyDescent="0.35">
      <c r="A955" t="s">
        <v>1937</v>
      </c>
      <c r="B955" t="s">
        <v>1999</v>
      </c>
      <c r="C955" t="s">
        <v>2004</v>
      </c>
      <c r="D955" t="s">
        <v>2005</v>
      </c>
      <c r="E955">
        <v>5791</v>
      </c>
      <c r="F955" t="s">
        <v>81</v>
      </c>
      <c r="G955" t="s">
        <v>81</v>
      </c>
      <c r="H955" t="s">
        <v>81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4</v>
      </c>
      <c r="BG955">
        <v>0</v>
      </c>
      <c r="BH955">
        <v>0</v>
      </c>
    </row>
    <row r="956" spans="1:60" x14ac:dyDescent="0.35">
      <c r="A956" t="s">
        <v>1937</v>
      </c>
      <c r="B956" t="s">
        <v>2006</v>
      </c>
      <c r="C956" t="s">
        <v>2007</v>
      </c>
      <c r="D956" t="s">
        <v>2008</v>
      </c>
      <c r="E956">
        <v>13136</v>
      </c>
      <c r="F956">
        <v>12</v>
      </c>
      <c r="G956">
        <v>9.548235</v>
      </c>
      <c r="H956">
        <v>0.79568620000000001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4984.0600000000004</v>
      </c>
      <c r="AD956">
        <v>0</v>
      </c>
      <c r="AE956">
        <v>0</v>
      </c>
      <c r="AF956">
        <v>4984.0600000000004</v>
      </c>
      <c r="AG956">
        <v>0</v>
      </c>
      <c r="AH956">
        <v>0</v>
      </c>
      <c r="AI956">
        <v>1493.71</v>
      </c>
      <c r="AJ956">
        <v>0</v>
      </c>
      <c r="AK956">
        <v>0</v>
      </c>
      <c r="AL956">
        <v>1493.71</v>
      </c>
      <c r="AM956">
        <v>0</v>
      </c>
      <c r="AN956">
        <v>0</v>
      </c>
      <c r="AO956">
        <v>2326.0700000000002</v>
      </c>
      <c r="AP956">
        <v>0</v>
      </c>
      <c r="AQ956">
        <v>0</v>
      </c>
      <c r="AR956">
        <v>2326.0700000000002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8803.84</v>
      </c>
      <c r="AZ956">
        <v>0</v>
      </c>
      <c r="BA956">
        <v>1</v>
      </c>
      <c r="BB956">
        <v>117827</v>
      </c>
      <c r="BC956">
        <v>117827</v>
      </c>
      <c r="BD956">
        <v>0</v>
      </c>
      <c r="BE956">
        <v>0</v>
      </c>
      <c r="BF956">
        <v>50</v>
      </c>
      <c r="BG956">
        <v>5103.0613999999996</v>
      </c>
      <c r="BH956">
        <v>0</v>
      </c>
    </row>
    <row r="957" spans="1:60" x14ac:dyDescent="0.35">
      <c r="A957" t="s">
        <v>1937</v>
      </c>
      <c r="B957" t="s">
        <v>2006</v>
      </c>
      <c r="C957" t="s">
        <v>2009</v>
      </c>
      <c r="D957" t="s">
        <v>2010</v>
      </c>
      <c r="E957">
        <v>1150</v>
      </c>
      <c r="F957" t="s">
        <v>81</v>
      </c>
      <c r="G957" t="s">
        <v>81</v>
      </c>
      <c r="H957" t="s">
        <v>81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</row>
    <row r="958" spans="1:60" x14ac:dyDescent="0.35">
      <c r="A958" t="s">
        <v>1937</v>
      </c>
      <c r="B958" t="s">
        <v>2006</v>
      </c>
      <c r="C958" t="s">
        <v>2011</v>
      </c>
      <c r="D958" t="s">
        <v>2012</v>
      </c>
      <c r="E958">
        <v>3586</v>
      </c>
      <c r="F958" t="s">
        <v>81</v>
      </c>
      <c r="G958" t="s">
        <v>81</v>
      </c>
      <c r="H958" t="s">
        <v>81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3</v>
      </c>
      <c r="BG958">
        <v>0</v>
      </c>
      <c r="BH958">
        <v>0</v>
      </c>
    </row>
    <row r="959" spans="1:60" x14ac:dyDescent="0.35">
      <c r="A959" t="s">
        <v>1937</v>
      </c>
      <c r="B959" t="s">
        <v>2006</v>
      </c>
      <c r="C959" t="s">
        <v>2013</v>
      </c>
      <c r="D959" t="s">
        <v>2014</v>
      </c>
      <c r="E959">
        <v>5521</v>
      </c>
      <c r="F959">
        <v>1</v>
      </c>
      <c r="G959">
        <v>0.2</v>
      </c>
      <c r="H959">
        <v>0.2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5</v>
      </c>
      <c r="BG959">
        <v>0</v>
      </c>
      <c r="BH959">
        <v>0</v>
      </c>
    </row>
    <row r="960" spans="1:60" x14ac:dyDescent="0.35">
      <c r="A960" t="s">
        <v>1937</v>
      </c>
      <c r="B960" t="s">
        <v>2006</v>
      </c>
      <c r="C960" t="s">
        <v>2015</v>
      </c>
      <c r="D960" t="s">
        <v>2016</v>
      </c>
      <c r="E960">
        <v>926</v>
      </c>
      <c r="F960" t="s">
        <v>81</v>
      </c>
      <c r="G960" t="s">
        <v>81</v>
      </c>
      <c r="H960" t="s">
        <v>81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</row>
    <row r="961" spans="1:60" x14ac:dyDescent="0.35">
      <c r="A961" t="s">
        <v>1937</v>
      </c>
      <c r="B961" t="s">
        <v>2006</v>
      </c>
      <c r="C961" t="s">
        <v>2017</v>
      </c>
      <c r="D961" t="s">
        <v>2018</v>
      </c>
      <c r="E961">
        <v>2900</v>
      </c>
      <c r="F961">
        <v>1</v>
      </c>
      <c r="G961">
        <v>0.18</v>
      </c>
      <c r="H961">
        <v>0.18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1</v>
      </c>
      <c r="BG961">
        <v>0</v>
      </c>
      <c r="BH961">
        <v>0</v>
      </c>
    </row>
    <row r="962" spans="1:60" x14ac:dyDescent="0.35">
      <c r="A962" t="s">
        <v>1937</v>
      </c>
      <c r="B962" t="s">
        <v>2006</v>
      </c>
      <c r="C962" t="s">
        <v>2019</v>
      </c>
      <c r="D962" t="s">
        <v>2020</v>
      </c>
      <c r="E962">
        <v>10054</v>
      </c>
      <c r="F962">
        <v>1</v>
      </c>
      <c r="G962">
        <v>0.43</v>
      </c>
      <c r="H962">
        <v>0.43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46</v>
      </c>
      <c r="BG962">
        <v>0</v>
      </c>
      <c r="BH962">
        <v>0</v>
      </c>
    </row>
    <row r="963" spans="1:60" x14ac:dyDescent="0.35">
      <c r="A963" t="s">
        <v>1937</v>
      </c>
      <c r="B963" t="s">
        <v>2006</v>
      </c>
      <c r="C963" t="s">
        <v>2021</v>
      </c>
      <c r="D963" t="s">
        <v>2022</v>
      </c>
      <c r="E963">
        <v>1799</v>
      </c>
      <c r="F963">
        <v>1</v>
      </c>
      <c r="G963">
        <v>0.29749999999999999</v>
      </c>
      <c r="H963">
        <v>0.29749999999999999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2</v>
      </c>
      <c r="BG963">
        <v>0</v>
      </c>
      <c r="BH963">
        <v>0</v>
      </c>
    </row>
    <row r="964" spans="1:60" x14ac:dyDescent="0.35">
      <c r="A964" t="s">
        <v>1937</v>
      </c>
      <c r="B964" t="s">
        <v>2006</v>
      </c>
      <c r="C964" t="s">
        <v>2023</v>
      </c>
      <c r="D964" t="s">
        <v>2024</v>
      </c>
      <c r="E964">
        <v>3815</v>
      </c>
      <c r="F964" t="s">
        <v>81</v>
      </c>
      <c r="G964" t="s">
        <v>81</v>
      </c>
      <c r="H964" t="s">
        <v>81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</v>
      </c>
      <c r="BG964">
        <v>0</v>
      </c>
      <c r="BH964">
        <v>0</v>
      </c>
    </row>
    <row r="965" spans="1:60" x14ac:dyDescent="0.35">
      <c r="A965" t="s">
        <v>1937</v>
      </c>
      <c r="B965" t="s">
        <v>2006</v>
      </c>
      <c r="C965" t="s">
        <v>2025</v>
      </c>
      <c r="D965" t="s">
        <v>2026</v>
      </c>
      <c r="E965">
        <v>2669</v>
      </c>
      <c r="F965" t="s">
        <v>81</v>
      </c>
      <c r="G965" t="s">
        <v>81</v>
      </c>
      <c r="H965" t="s">
        <v>81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 t="s">
        <v>81</v>
      </c>
      <c r="BB965" t="s">
        <v>81</v>
      </c>
      <c r="BC965" t="s">
        <v>81</v>
      </c>
      <c r="BD965" t="s">
        <v>81</v>
      </c>
      <c r="BE965" t="s">
        <v>81</v>
      </c>
      <c r="BF965" t="s">
        <v>81</v>
      </c>
      <c r="BG965" t="s">
        <v>81</v>
      </c>
      <c r="BH965" t="s">
        <v>81</v>
      </c>
    </row>
    <row r="966" spans="1:60" x14ac:dyDescent="0.35">
      <c r="A966" t="s">
        <v>1937</v>
      </c>
      <c r="B966" t="s">
        <v>2006</v>
      </c>
      <c r="C966" t="s">
        <v>2027</v>
      </c>
      <c r="D966" t="s">
        <v>2028</v>
      </c>
      <c r="E966">
        <v>1359</v>
      </c>
      <c r="F966" t="s">
        <v>81</v>
      </c>
      <c r="G966" t="s">
        <v>81</v>
      </c>
      <c r="H966" t="s">
        <v>81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2</v>
      </c>
      <c r="BG966">
        <v>0</v>
      </c>
      <c r="BH966">
        <v>0</v>
      </c>
    </row>
    <row r="967" spans="1:60" x14ac:dyDescent="0.35">
      <c r="A967" t="s">
        <v>1937</v>
      </c>
      <c r="B967" t="s">
        <v>1105</v>
      </c>
      <c r="C967" t="s">
        <v>2029</v>
      </c>
      <c r="D967" t="s">
        <v>2030</v>
      </c>
      <c r="E967">
        <v>61187</v>
      </c>
      <c r="F967">
        <v>311</v>
      </c>
      <c r="G967">
        <v>270.3331</v>
      </c>
      <c r="H967">
        <v>0.86923810000000001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9050.64</v>
      </c>
      <c r="V967">
        <v>140.58000000000001</v>
      </c>
      <c r="W967">
        <v>412.13</v>
      </c>
      <c r="X967">
        <v>0</v>
      </c>
      <c r="Y967">
        <v>0</v>
      </c>
      <c r="Z967">
        <v>9603.35</v>
      </c>
      <c r="AA967">
        <v>151409.76999999999</v>
      </c>
      <c r="AB967">
        <v>38800.5</v>
      </c>
      <c r="AC967">
        <v>106616.69</v>
      </c>
      <c r="AD967">
        <v>8941.15</v>
      </c>
      <c r="AE967">
        <v>0</v>
      </c>
      <c r="AF967">
        <v>305768.11</v>
      </c>
      <c r="AG967">
        <v>18057.759999999998</v>
      </c>
      <c r="AH967">
        <v>13334.57</v>
      </c>
      <c r="AI967">
        <v>22762.23</v>
      </c>
      <c r="AJ967">
        <v>4087.63</v>
      </c>
      <c r="AK967">
        <v>0</v>
      </c>
      <c r="AL967">
        <v>58242.19</v>
      </c>
      <c r="AM967">
        <v>79316.070000000007</v>
      </c>
      <c r="AN967">
        <v>15429.11</v>
      </c>
      <c r="AO967">
        <v>55891.89</v>
      </c>
      <c r="AP967">
        <v>942.55</v>
      </c>
      <c r="AQ967">
        <v>0</v>
      </c>
      <c r="AR967">
        <v>151579.62</v>
      </c>
      <c r="AS967">
        <v>13223.82</v>
      </c>
      <c r="AT967">
        <v>0</v>
      </c>
      <c r="AU967">
        <v>8629.19</v>
      </c>
      <c r="AV967">
        <v>0</v>
      </c>
      <c r="AW967">
        <v>0</v>
      </c>
      <c r="AX967">
        <v>21853.01</v>
      </c>
      <c r="AY967">
        <v>547046.28</v>
      </c>
      <c r="AZ967">
        <v>0</v>
      </c>
      <c r="BA967">
        <v>21</v>
      </c>
      <c r="BB967">
        <v>55322.923999999999</v>
      </c>
      <c r="BC967">
        <v>1161781.402</v>
      </c>
      <c r="BD967">
        <v>0</v>
      </c>
      <c r="BE967">
        <v>269.69</v>
      </c>
      <c r="BF967">
        <v>753</v>
      </c>
      <c r="BG967">
        <v>2155.1496149999998</v>
      </c>
      <c r="BH967">
        <v>1453.7829999999999</v>
      </c>
    </row>
    <row r="968" spans="1:60" x14ac:dyDescent="0.35">
      <c r="A968" t="s">
        <v>1937</v>
      </c>
      <c r="B968" t="s">
        <v>1105</v>
      </c>
      <c r="C968" t="s">
        <v>2031</v>
      </c>
      <c r="D968" t="s">
        <v>2032</v>
      </c>
      <c r="E968">
        <v>6896</v>
      </c>
      <c r="F968" t="s">
        <v>81</v>
      </c>
      <c r="G968" t="s">
        <v>81</v>
      </c>
      <c r="H968" t="s">
        <v>81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9</v>
      </c>
      <c r="BG968">
        <v>0</v>
      </c>
      <c r="BH968">
        <v>129.22300000000001</v>
      </c>
    </row>
    <row r="969" spans="1:60" x14ac:dyDescent="0.35">
      <c r="A969" t="s">
        <v>1937</v>
      </c>
      <c r="B969" t="s">
        <v>1105</v>
      </c>
      <c r="C969" t="s">
        <v>2033</v>
      </c>
      <c r="D969" t="s">
        <v>2034</v>
      </c>
      <c r="E969">
        <v>3550</v>
      </c>
      <c r="F969" t="s">
        <v>81</v>
      </c>
      <c r="G969" t="s">
        <v>81</v>
      </c>
      <c r="H969" t="s">
        <v>81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</v>
      </c>
      <c r="BB969">
        <v>30470.544999999998</v>
      </c>
      <c r="BC969">
        <v>30470.544999999998</v>
      </c>
      <c r="BD969">
        <v>0</v>
      </c>
      <c r="BE969">
        <v>0</v>
      </c>
      <c r="BF969">
        <v>2</v>
      </c>
      <c r="BG969">
        <v>0</v>
      </c>
      <c r="BH969">
        <v>0</v>
      </c>
    </row>
    <row r="970" spans="1:60" x14ac:dyDescent="0.35">
      <c r="A970" t="s">
        <v>1937</v>
      </c>
      <c r="B970" t="s">
        <v>1105</v>
      </c>
      <c r="C970" t="s">
        <v>2035</v>
      </c>
      <c r="D970" t="s">
        <v>2036</v>
      </c>
      <c r="E970">
        <v>23973</v>
      </c>
      <c r="F970">
        <v>55</v>
      </c>
      <c r="G970">
        <v>41.044939999999997</v>
      </c>
      <c r="H970">
        <v>0.74627169999999998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193.49</v>
      </c>
      <c r="R970">
        <v>0</v>
      </c>
      <c r="S970">
        <v>0</v>
      </c>
      <c r="T970">
        <v>193.49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17677.63</v>
      </c>
      <c r="AB970">
        <v>0</v>
      </c>
      <c r="AC970">
        <v>55437.78</v>
      </c>
      <c r="AD970">
        <v>5169.71</v>
      </c>
      <c r="AE970">
        <v>0</v>
      </c>
      <c r="AF970">
        <v>78285.119999999995</v>
      </c>
      <c r="AG970">
        <v>2812.14</v>
      </c>
      <c r="AH970">
        <v>0</v>
      </c>
      <c r="AI970">
        <v>10311.24</v>
      </c>
      <c r="AJ970">
        <v>899.6</v>
      </c>
      <c r="AK970">
        <v>0</v>
      </c>
      <c r="AL970">
        <v>14022.98</v>
      </c>
      <c r="AM970">
        <v>317.86</v>
      </c>
      <c r="AN970">
        <v>0</v>
      </c>
      <c r="AO970">
        <v>3151.93</v>
      </c>
      <c r="AP970">
        <v>475.77</v>
      </c>
      <c r="AQ970">
        <v>0</v>
      </c>
      <c r="AR970">
        <v>3945.56</v>
      </c>
      <c r="AS970">
        <v>960.47</v>
      </c>
      <c r="AT970">
        <v>0</v>
      </c>
      <c r="AU970">
        <v>983.4</v>
      </c>
      <c r="AV970">
        <v>0</v>
      </c>
      <c r="AW970">
        <v>0</v>
      </c>
      <c r="AX970">
        <v>1943.87</v>
      </c>
      <c r="AY970">
        <v>98391.02</v>
      </c>
      <c r="AZ970">
        <v>0</v>
      </c>
      <c r="BA970">
        <v>2</v>
      </c>
      <c r="BB970">
        <v>13335.25</v>
      </c>
      <c r="BC970">
        <v>26670.5</v>
      </c>
      <c r="BD970">
        <v>0</v>
      </c>
      <c r="BE970">
        <v>0</v>
      </c>
      <c r="BF970">
        <v>236</v>
      </c>
      <c r="BG970">
        <v>1252.100678</v>
      </c>
      <c r="BH970">
        <v>64.850999999999999</v>
      </c>
    </row>
    <row r="971" spans="1:60" x14ac:dyDescent="0.35">
      <c r="A971" t="s">
        <v>1937</v>
      </c>
      <c r="B971" t="s">
        <v>1105</v>
      </c>
      <c r="C971" t="s">
        <v>2037</v>
      </c>
      <c r="D971" t="s">
        <v>2038</v>
      </c>
      <c r="E971">
        <v>9535</v>
      </c>
      <c r="F971">
        <v>16</v>
      </c>
      <c r="G971">
        <v>14.82878</v>
      </c>
      <c r="H971">
        <v>0.92679889999999998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49</v>
      </c>
      <c r="BG971">
        <v>444.82449000000003</v>
      </c>
      <c r="BH971">
        <v>691.12199999999996</v>
      </c>
    </row>
    <row r="972" spans="1:60" x14ac:dyDescent="0.35">
      <c r="A972" t="s">
        <v>1937</v>
      </c>
      <c r="B972" t="s">
        <v>1105</v>
      </c>
      <c r="C972" t="s">
        <v>2039</v>
      </c>
      <c r="D972" t="s">
        <v>2040</v>
      </c>
      <c r="E972">
        <v>11504</v>
      </c>
      <c r="F972">
        <v>2</v>
      </c>
      <c r="G972">
        <v>0.5</v>
      </c>
      <c r="H972">
        <v>0.25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153198.08300000001</v>
      </c>
      <c r="BC972">
        <v>153198.08300000001</v>
      </c>
      <c r="BD972">
        <v>0</v>
      </c>
      <c r="BE972">
        <v>0</v>
      </c>
      <c r="BF972">
        <v>28</v>
      </c>
      <c r="BG972">
        <v>207.596429</v>
      </c>
      <c r="BH972">
        <v>4598.6719999999996</v>
      </c>
    </row>
    <row r="973" spans="1:60" x14ac:dyDescent="0.35">
      <c r="A973" t="s">
        <v>1937</v>
      </c>
      <c r="B973" t="s">
        <v>1105</v>
      </c>
      <c r="C973" t="s">
        <v>2041</v>
      </c>
      <c r="D973" t="s">
        <v>2042</v>
      </c>
      <c r="E973">
        <v>3932</v>
      </c>
      <c r="F973" t="s">
        <v>81</v>
      </c>
      <c r="G973" t="s">
        <v>81</v>
      </c>
      <c r="H973" t="s">
        <v>81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4</v>
      </c>
      <c r="BG973">
        <v>0</v>
      </c>
      <c r="BH973">
        <v>0</v>
      </c>
    </row>
    <row r="974" spans="1:60" x14ac:dyDescent="0.35">
      <c r="A974" t="s">
        <v>1937</v>
      </c>
      <c r="B974" t="s">
        <v>1105</v>
      </c>
      <c r="C974" t="s">
        <v>2043</v>
      </c>
      <c r="D974" t="s">
        <v>2044</v>
      </c>
      <c r="E974">
        <v>14552</v>
      </c>
      <c r="F974">
        <v>17</v>
      </c>
      <c r="G974">
        <v>9.9126720000000006</v>
      </c>
      <c r="H974">
        <v>0.58309840000000002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3</v>
      </c>
      <c r="BB974">
        <v>18400.667000000001</v>
      </c>
      <c r="BC974">
        <v>55202</v>
      </c>
      <c r="BD974">
        <v>0</v>
      </c>
      <c r="BE974">
        <v>0</v>
      </c>
      <c r="BF974">
        <v>36</v>
      </c>
      <c r="BG974">
        <v>224.756944</v>
      </c>
      <c r="BH974">
        <v>5190.4480000000003</v>
      </c>
    </row>
    <row r="975" spans="1:60" x14ac:dyDescent="0.35">
      <c r="A975" t="s">
        <v>1937</v>
      </c>
      <c r="B975" t="s">
        <v>1105</v>
      </c>
      <c r="C975" t="s">
        <v>2045</v>
      </c>
      <c r="D975" t="s">
        <v>2046</v>
      </c>
      <c r="E975">
        <v>4200</v>
      </c>
      <c r="F975" t="s">
        <v>81</v>
      </c>
      <c r="G975" t="s">
        <v>81</v>
      </c>
      <c r="H975" t="s">
        <v>81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3</v>
      </c>
      <c r="BG975">
        <v>0</v>
      </c>
      <c r="BH975">
        <v>0</v>
      </c>
    </row>
    <row r="976" spans="1:60" x14ac:dyDescent="0.35">
      <c r="A976" t="s">
        <v>1937</v>
      </c>
      <c r="B976" t="s">
        <v>1105</v>
      </c>
      <c r="C976" t="s">
        <v>2047</v>
      </c>
      <c r="D976" t="s">
        <v>2048</v>
      </c>
      <c r="E976">
        <v>2480</v>
      </c>
      <c r="F976" t="s">
        <v>81</v>
      </c>
      <c r="G976" t="s">
        <v>81</v>
      </c>
      <c r="H976" t="s">
        <v>81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0</v>
      </c>
    </row>
    <row r="977" spans="1:60" x14ac:dyDescent="0.35">
      <c r="A977" t="s">
        <v>1937</v>
      </c>
      <c r="B977" t="s">
        <v>2049</v>
      </c>
      <c r="C977" t="s">
        <v>2050</v>
      </c>
      <c r="D977" t="s">
        <v>2051</v>
      </c>
      <c r="E977">
        <v>15026</v>
      </c>
      <c r="F977">
        <v>8</v>
      </c>
      <c r="G977">
        <v>2.9049999999999998</v>
      </c>
      <c r="H977">
        <v>0.36312499999999998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23</v>
      </c>
      <c r="BG977">
        <v>4.3478000000000003E-2</v>
      </c>
      <c r="BH977">
        <v>0</v>
      </c>
    </row>
    <row r="978" spans="1:60" x14ac:dyDescent="0.35">
      <c r="A978" t="s">
        <v>1937</v>
      </c>
      <c r="B978" t="s">
        <v>2049</v>
      </c>
      <c r="C978" t="s">
        <v>2052</v>
      </c>
      <c r="D978" t="s">
        <v>2053</v>
      </c>
      <c r="E978">
        <v>5353</v>
      </c>
      <c r="F978">
        <v>1</v>
      </c>
      <c r="G978">
        <v>4.84</v>
      </c>
      <c r="H978">
        <v>4.84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9</v>
      </c>
      <c r="BG978">
        <v>8347.5455559999991</v>
      </c>
      <c r="BH978">
        <v>0</v>
      </c>
    </row>
    <row r="979" spans="1:60" x14ac:dyDescent="0.35">
      <c r="A979" t="s">
        <v>1937</v>
      </c>
      <c r="B979" t="s">
        <v>2049</v>
      </c>
      <c r="C979" t="s">
        <v>2054</v>
      </c>
      <c r="D979" t="s">
        <v>2055</v>
      </c>
      <c r="E979">
        <v>1898</v>
      </c>
      <c r="F979" t="s">
        <v>81</v>
      </c>
      <c r="G979" t="s">
        <v>81</v>
      </c>
      <c r="H979" t="s">
        <v>81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 t="s">
        <v>81</v>
      </c>
      <c r="BB979" t="s">
        <v>81</v>
      </c>
      <c r="BC979" t="s">
        <v>81</v>
      </c>
      <c r="BD979" t="s">
        <v>81</v>
      </c>
      <c r="BE979" t="s">
        <v>81</v>
      </c>
      <c r="BF979" t="s">
        <v>81</v>
      </c>
      <c r="BG979" t="s">
        <v>81</v>
      </c>
      <c r="BH979" t="s">
        <v>81</v>
      </c>
    </row>
    <row r="980" spans="1:60" x14ac:dyDescent="0.35">
      <c r="A980" t="s">
        <v>1937</v>
      </c>
      <c r="B980" t="s">
        <v>2049</v>
      </c>
      <c r="C980" t="s">
        <v>2056</v>
      </c>
      <c r="D980" t="s">
        <v>2057</v>
      </c>
      <c r="E980">
        <v>4072</v>
      </c>
      <c r="F980" t="s">
        <v>81</v>
      </c>
      <c r="G980" t="s">
        <v>81</v>
      </c>
      <c r="H980" t="s">
        <v>81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20</v>
      </c>
      <c r="BG980">
        <v>0</v>
      </c>
      <c r="BH980">
        <v>0</v>
      </c>
    </row>
    <row r="981" spans="1:60" x14ac:dyDescent="0.35">
      <c r="A981" t="s">
        <v>1937</v>
      </c>
      <c r="B981" t="s">
        <v>2049</v>
      </c>
      <c r="C981" t="s">
        <v>2058</v>
      </c>
      <c r="D981" t="s">
        <v>2059</v>
      </c>
      <c r="E981">
        <v>2875</v>
      </c>
      <c r="F981">
        <v>3</v>
      </c>
      <c r="G981">
        <v>0.98599999999999999</v>
      </c>
      <c r="H981">
        <v>0.32866669999999998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6</v>
      </c>
      <c r="BG981">
        <v>0</v>
      </c>
      <c r="BH981">
        <v>0</v>
      </c>
    </row>
    <row r="982" spans="1:60" x14ac:dyDescent="0.35">
      <c r="A982" t="s">
        <v>1937</v>
      </c>
      <c r="B982" t="s">
        <v>2060</v>
      </c>
      <c r="C982" t="s">
        <v>2061</v>
      </c>
      <c r="D982" t="s">
        <v>2062</v>
      </c>
      <c r="E982">
        <v>17376</v>
      </c>
      <c r="F982">
        <v>19</v>
      </c>
      <c r="G982">
        <v>21.447379999999999</v>
      </c>
      <c r="H982">
        <v>1.128809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19356.72</v>
      </c>
      <c r="AB982">
        <v>9214.89</v>
      </c>
      <c r="AC982">
        <v>27000.09</v>
      </c>
      <c r="AD982">
        <v>4650.41</v>
      </c>
      <c r="AE982">
        <v>0</v>
      </c>
      <c r="AF982">
        <v>60222.11</v>
      </c>
      <c r="AG982">
        <v>5427.51</v>
      </c>
      <c r="AH982">
        <v>5573.71</v>
      </c>
      <c r="AI982">
        <v>7588.26</v>
      </c>
      <c r="AJ982">
        <v>2036.37</v>
      </c>
      <c r="AK982">
        <v>0</v>
      </c>
      <c r="AL982">
        <v>20625.849999999999</v>
      </c>
      <c r="AM982">
        <v>610.49</v>
      </c>
      <c r="AN982">
        <v>541.17999999999995</v>
      </c>
      <c r="AO982">
        <v>2133.25</v>
      </c>
      <c r="AP982">
        <v>690.97</v>
      </c>
      <c r="AQ982">
        <v>0</v>
      </c>
      <c r="AR982">
        <v>3975.89</v>
      </c>
      <c r="AS982">
        <v>523.30999999999995</v>
      </c>
      <c r="AT982">
        <v>0</v>
      </c>
      <c r="AU982">
        <v>504.93</v>
      </c>
      <c r="AV982">
        <v>0</v>
      </c>
      <c r="AW982">
        <v>0</v>
      </c>
      <c r="AX982">
        <v>1028.24</v>
      </c>
      <c r="AY982">
        <v>85852.09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75</v>
      </c>
      <c r="BG982">
        <v>5167.3585329999996</v>
      </c>
      <c r="BH982">
        <v>219.184</v>
      </c>
    </row>
    <row r="983" spans="1:60" x14ac:dyDescent="0.35">
      <c r="A983" t="s">
        <v>1937</v>
      </c>
      <c r="B983" t="s">
        <v>2060</v>
      </c>
      <c r="C983" t="s">
        <v>2063</v>
      </c>
      <c r="D983" t="s">
        <v>2064</v>
      </c>
      <c r="E983">
        <v>9093</v>
      </c>
      <c r="F983">
        <v>2</v>
      </c>
      <c r="G983">
        <v>0.46310000000000001</v>
      </c>
      <c r="H983">
        <v>0.23155000000000001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31</v>
      </c>
      <c r="BG983">
        <v>4403.2041939999999</v>
      </c>
      <c r="BH983">
        <v>0</v>
      </c>
    </row>
    <row r="984" spans="1:60" x14ac:dyDescent="0.35">
      <c r="A984" t="s">
        <v>1937</v>
      </c>
      <c r="B984" t="s">
        <v>2060</v>
      </c>
      <c r="C984" t="s">
        <v>2065</v>
      </c>
      <c r="D984" t="s">
        <v>2066</v>
      </c>
      <c r="E984">
        <v>9614</v>
      </c>
      <c r="F984">
        <v>7</v>
      </c>
      <c r="G984">
        <v>2.93</v>
      </c>
      <c r="H984">
        <v>0.41857139999999998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</v>
      </c>
      <c r="BB984">
        <v>7648</v>
      </c>
      <c r="BC984">
        <v>7648</v>
      </c>
      <c r="BD984">
        <v>0</v>
      </c>
      <c r="BE984">
        <v>0</v>
      </c>
      <c r="BF984">
        <v>88</v>
      </c>
      <c r="BG984">
        <v>1506.685682</v>
      </c>
      <c r="BH984">
        <v>0</v>
      </c>
    </row>
    <row r="985" spans="1:60" x14ac:dyDescent="0.35">
      <c r="A985" t="s">
        <v>1937</v>
      </c>
      <c r="B985" t="s">
        <v>2060</v>
      </c>
      <c r="C985" t="s">
        <v>2067</v>
      </c>
      <c r="D985" t="s">
        <v>2068</v>
      </c>
      <c r="E985">
        <v>9289</v>
      </c>
      <c r="F985">
        <v>2</v>
      </c>
      <c r="G985">
        <v>0.4</v>
      </c>
      <c r="H985">
        <v>0.2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21</v>
      </c>
      <c r="BG985">
        <v>1594.07619</v>
      </c>
      <c r="BH985">
        <v>0</v>
      </c>
    </row>
    <row r="986" spans="1:60" x14ac:dyDescent="0.35">
      <c r="A986" t="s">
        <v>1937</v>
      </c>
      <c r="B986" t="s">
        <v>2069</v>
      </c>
      <c r="C986" t="s">
        <v>2069</v>
      </c>
      <c r="D986" t="s">
        <v>2070</v>
      </c>
      <c r="E986">
        <v>10993</v>
      </c>
      <c r="F986">
        <v>20</v>
      </c>
      <c r="G986">
        <v>8.9454999999999991</v>
      </c>
      <c r="H986">
        <v>0.44727499999999998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</v>
      </c>
      <c r="BB986">
        <v>12817.583000000001</v>
      </c>
      <c r="BC986">
        <v>12817.583000000001</v>
      </c>
      <c r="BD986">
        <v>0</v>
      </c>
      <c r="BE986">
        <v>0</v>
      </c>
      <c r="BF986">
        <v>58</v>
      </c>
      <c r="BG986">
        <v>2660.3629310000001</v>
      </c>
      <c r="BH986">
        <v>0</v>
      </c>
    </row>
    <row r="987" spans="1:60" x14ac:dyDescent="0.35">
      <c r="A987" t="s">
        <v>1937</v>
      </c>
      <c r="B987" t="s">
        <v>2069</v>
      </c>
      <c r="C987" t="s">
        <v>2071</v>
      </c>
      <c r="D987" t="s">
        <v>2072</v>
      </c>
      <c r="E987">
        <v>8753</v>
      </c>
      <c r="F987">
        <v>11</v>
      </c>
      <c r="G987">
        <v>4.9980000000000002</v>
      </c>
      <c r="H987">
        <v>0.45436359999999998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6668.56</v>
      </c>
      <c r="AD987">
        <v>0</v>
      </c>
      <c r="AE987">
        <v>0</v>
      </c>
      <c r="AF987">
        <v>6668.56</v>
      </c>
      <c r="AG987">
        <v>0</v>
      </c>
      <c r="AH987">
        <v>0</v>
      </c>
      <c r="AI987">
        <v>1342.72</v>
      </c>
      <c r="AJ987">
        <v>0</v>
      </c>
      <c r="AK987">
        <v>0</v>
      </c>
      <c r="AL987">
        <v>1342.72</v>
      </c>
      <c r="AM987">
        <v>0</v>
      </c>
      <c r="AN987">
        <v>0</v>
      </c>
      <c r="AO987">
        <v>788.14</v>
      </c>
      <c r="AP987">
        <v>0</v>
      </c>
      <c r="AQ987">
        <v>0</v>
      </c>
      <c r="AR987">
        <v>788.14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8799.42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56</v>
      </c>
      <c r="BG987">
        <v>863.55</v>
      </c>
      <c r="BH987">
        <v>0</v>
      </c>
    </row>
    <row r="988" spans="1:60" x14ac:dyDescent="0.35">
      <c r="A988" t="s">
        <v>1937</v>
      </c>
      <c r="B988" t="s">
        <v>2069</v>
      </c>
      <c r="C988" t="s">
        <v>2073</v>
      </c>
      <c r="D988" t="s">
        <v>2074</v>
      </c>
      <c r="E988">
        <v>4485</v>
      </c>
      <c r="F988" t="s">
        <v>81</v>
      </c>
      <c r="G988" t="s">
        <v>81</v>
      </c>
      <c r="H988" t="s">
        <v>81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8</v>
      </c>
      <c r="BG988">
        <v>0</v>
      </c>
      <c r="BH988">
        <v>0</v>
      </c>
    </row>
    <row r="989" spans="1:60" x14ac:dyDescent="0.35">
      <c r="A989" t="s">
        <v>1937</v>
      </c>
      <c r="B989" t="s">
        <v>2069</v>
      </c>
      <c r="C989" t="s">
        <v>2075</v>
      </c>
      <c r="D989" t="s">
        <v>2076</v>
      </c>
      <c r="E989">
        <v>6850</v>
      </c>
      <c r="F989">
        <v>3</v>
      </c>
      <c r="G989">
        <v>2.3557600000000001</v>
      </c>
      <c r="H989">
        <v>0.78525330000000004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12</v>
      </c>
      <c r="BG989">
        <v>2162.1916670000001</v>
      </c>
      <c r="BH989">
        <v>0</v>
      </c>
    </row>
    <row r="990" spans="1:60" x14ac:dyDescent="0.35">
      <c r="A990" t="s">
        <v>1937</v>
      </c>
      <c r="B990" t="s">
        <v>2069</v>
      </c>
      <c r="C990" t="s">
        <v>2077</v>
      </c>
      <c r="D990" t="s">
        <v>2078</v>
      </c>
      <c r="E990">
        <v>6822</v>
      </c>
      <c r="F990" t="s">
        <v>81</v>
      </c>
      <c r="G990" t="s">
        <v>81</v>
      </c>
      <c r="H990" t="s">
        <v>81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28</v>
      </c>
      <c r="BG990">
        <v>1637.875</v>
      </c>
      <c r="BH990">
        <v>0</v>
      </c>
    </row>
    <row r="991" spans="1:60" x14ac:dyDescent="0.35">
      <c r="A991" t="s">
        <v>1937</v>
      </c>
      <c r="B991" t="s">
        <v>2079</v>
      </c>
      <c r="C991" t="s">
        <v>2080</v>
      </c>
      <c r="D991" t="s">
        <v>2081</v>
      </c>
      <c r="E991">
        <v>3240</v>
      </c>
      <c r="F991" t="s">
        <v>81</v>
      </c>
      <c r="G991" t="s">
        <v>81</v>
      </c>
      <c r="H991" t="s">
        <v>81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1</v>
      </c>
      <c r="BB991">
        <v>13975.5</v>
      </c>
      <c r="BC991">
        <v>13975.5</v>
      </c>
      <c r="BD991">
        <v>0</v>
      </c>
      <c r="BE991">
        <v>0</v>
      </c>
      <c r="BF991">
        <v>11</v>
      </c>
      <c r="BG991">
        <v>5284.2636359999997</v>
      </c>
      <c r="BH991">
        <v>0</v>
      </c>
    </row>
    <row r="992" spans="1:60" x14ac:dyDescent="0.35">
      <c r="A992" t="s">
        <v>1937</v>
      </c>
      <c r="B992" t="s">
        <v>2079</v>
      </c>
      <c r="C992" t="s">
        <v>2082</v>
      </c>
      <c r="D992" t="s">
        <v>2083</v>
      </c>
      <c r="E992">
        <v>1046</v>
      </c>
      <c r="F992">
        <v>1</v>
      </c>
      <c r="G992">
        <v>0.32081199999999999</v>
      </c>
      <c r="H992">
        <v>0.32081199999999999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8</v>
      </c>
      <c r="BG992">
        <v>27423.965</v>
      </c>
      <c r="BH992">
        <v>0</v>
      </c>
    </row>
    <row r="993" spans="1:60" x14ac:dyDescent="0.35">
      <c r="A993" t="s">
        <v>1937</v>
      </c>
      <c r="B993" t="s">
        <v>2079</v>
      </c>
      <c r="C993" t="s">
        <v>2084</v>
      </c>
      <c r="D993" t="s">
        <v>2085</v>
      </c>
      <c r="E993">
        <v>714</v>
      </c>
      <c r="F993" t="s">
        <v>81</v>
      </c>
      <c r="G993" t="s">
        <v>81</v>
      </c>
      <c r="H993" t="s">
        <v>81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</row>
    <row r="994" spans="1:60" x14ac:dyDescent="0.35">
      <c r="A994" t="s">
        <v>1937</v>
      </c>
      <c r="B994" t="s">
        <v>2079</v>
      </c>
      <c r="C994" t="s">
        <v>2086</v>
      </c>
      <c r="D994" t="s">
        <v>2087</v>
      </c>
      <c r="E994">
        <v>735</v>
      </c>
      <c r="F994" t="s">
        <v>81</v>
      </c>
      <c r="G994" t="s">
        <v>81</v>
      </c>
      <c r="H994" t="s">
        <v>81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 t="s">
        <v>81</v>
      </c>
      <c r="BB994" t="s">
        <v>81</v>
      </c>
      <c r="BC994" t="s">
        <v>81</v>
      </c>
      <c r="BD994" t="s">
        <v>81</v>
      </c>
      <c r="BE994" t="s">
        <v>81</v>
      </c>
      <c r="BF994" t="s">
        <v>81</v>
      </c>
      <c r="BG994" t="s">
        <v>81</v>
      </c>
      <c r="BH994" t="s">
        <v>81</v>
      </c>
    </row>
    <row r="995" spans="1:60" x14ac:dyDescent="0.35">
      <c r="A995" t="s">
        <v>1937</v>
      </c>
      <c r="B995" t="s">
        <v>2079</v>
      </c>
      <c r="C995" t="s">
        <v>2088</v>
      </c>
      <c r="D995" t="s">
        <v>2089</v>
      </c>
      <c r="E995">
        <v>2473</v>
      </c>
      <c r="F995" t="s">
        <v>81</v>
      </c>
      <c r="G995" t="s">
        <v>81</v>
      </c>
      <c r="H995" t="s">
        <v>81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6</v>
      </c>
      <c r="BG995">
        <v>21055.631667000001</v>
      </c>
      <c r="BH995">
        <v>0</v>
      </c>
    </row>
    <row r="996" spans="1:60" x14ac:dyDescent="0.35">
      <c r="A996" t="s">
        <v>1937</v>
      </c>
      <c r="B996" t="s">
        <v>2079</v>
      </c>
      <c r="C996" t="s">
        <v>2090</v>
      </c>
      <c r="D996" t="s">
        <v>2091</v>
      </c>
      <c r="E996">
        <v>874</v>
      </c>
      <c r="F996" t="s">
        <v>81</v>
      </c>
      <c r="G996" t="s">
        <v>81</v>
      </c>
      <c r="H996" t="s">
        <v>81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0</v>
      </c>
    </row>
    <row r="997" spans="1:60" x14ac:dyDescent="0.35">
      <c r="A997" t="s">
        <v>1937</v>
      </c>
      <c r="B997" t="s">
        <v>2079</v>
      </c>
      <c r="C997" t="s">
        <v>2092</v>
      </c>
      <c r="D997" t="s">
        <v>2093</v>
      </c>
      <c r="E997">
        <v>4119</v>
      </c>
      <c r="F997" t="s">
        <v>81</v>
      </c>
      <c r="G997" t="s">
        <v>81</v>
      </c>
      <c r="H997" t="s">
        <v>81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22182.333999999999</v>
      </c>
      <c r="BC997">
        <v>44364.667000000001</v>
      </c>
      <c r="BD997">
        <v>0</v>
      </c>
      <c r="BE997">
        <v>0</v>
      </c>
      <c r="BF997">
        <v>3</v>
      </c>
      <c r="BG997">
        <v>1208.9333329999999</v>
      </c>
      <c r="BH997">
        <v>0</v>
      </c>
    </row>
    <row r="998" spans="1:60" x14ac:dyDescent="0.35">
      <c r="A998" t="s">
        <v>1937</v>
      </c>
      <c r="B998" t="s">
        <v>2094</v>
      </c>
      <c r="C998" t="s">
        <v>2095</v>
      </c>
      <c r="D998" t="s">
        <v>2096</v>
      </c>
      <c r="E998">
        <v>3848</v>
      </c>
      <c r="F998">
        <v>3</v>
      </c>
      <c r="G998">
        <v>1.74</v>
      </c>
      <c r="H998">
        <v>0.57999999999999996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17</v>
      </c>
      <c r="BG998">
        <v>9260.6382350000003</v>
      </c>
      <c r="BH998">
        <v>0</v>
      </c>
    </row>
    <row r="999" spans="1:60" x14ac:dyDescent="0.35">
      <c r="A999" t="s">
        <v>1937</v>
      </c>
      <c r="B999" t="s">
        <v>2094</v>
      </c>
      <c r="C999" t="s">
        <v>2097</v>
      </c>
      <c r="D999" t="s">
        <v>2098</v>
      </c>
      <c r="E999">
        <v>716</v>
      </c>
      <c r="F999">
        <v>1</v>
      </c>
      <c r="G999">
        <v>0.252</v>
      </c>
      <c r="H999">
        <v>0.252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2</v>
      </c>
      <c r="BG999">
        <v>0</v>
      </c>
      <c r="BH999">
        <v>0</v>
      </c>
    </row>
    <row r="1000" spans="1:60" x14ac:dyDescent="0.35">
      <c r="A1000" t="s">
        <v>1937</v>
      </c>
      <c r="B1000" t="s">
        <v>2094</v>
      </c>
      <c r="C1000" t="s">
        <v>2099</v>
      </c>
      <c r="D1000" t="s">
        <v>2100</v>
      </c>
      <c r="E1000">
        <v>694</v>
      </c>
      <c r="F1000" t="s">
        <v>81</v>
      </c>
      <c r="G1000" t="s">
        <v>81</v>
      </c>
      <c r="H1000" t="s">
        <v>81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 t="s">
        <v>81</v>
      </c>
      <c r="BB1000" t="s">
        <v>81</v>
      </c>
      <c r="BC1000" t="s">
        <v>81</v>
      </c>
      <c r="BD1000" t="s">
        <v>81</v>
      </c>
      <c r="BE1000" t="s">
        <v>81</v>
      </c>
      <c r="BF1000" t="s">
        <v>81</v>
      </c>
      <c r="BG1000" t="s">
        <v>81</v>
      </c>
      <c r="BH1000" t="s">
        <v>81</v>
      </c>
    </row>
    <row r="1001" spans="1:60" x14ac:dyDescent="0.35">
      <c r="A1001" t="s">
        <v>1937</v>
      </c>
      <c r="B1001" t="s">
        <v>2094</v>
      </c>
      <c r="C1001" t="s">
        <v>2101</v>
      </c>
      <c r="D1001" t="s">
        <v>2102</v>
      </c>
      <c r="E1001">
        <v>4013</v>
      </c>
      <c r="F1001" t="s">
        <v>81</v>
      </c>
      <c r="G1001" t="s">
        <v>81</v>
      </c>
      <c r="H1001" t="s">
        <v>81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7</v>
      </c>
      <c r="BG1001">
        <v>0</v>
      </c>
      <c r="BH1001">
        <v>0</v>
      </c>
    </row>
    <row r="1002" spans="1:60" x14ac:dyDescent="0.35">
      <c r="A1002" t="s">
        <v>1937</v>
      </c>
      <c r="B1002" t="s">
        <v>2094</v>
      </c>
      <c r="C1002" t="s">
        <v>2103</v>
      </c>
      <c r="D1002" t="s">
        <v>2104</v>
      </c>
      <c r="E1002">
        <v>786</v>
      </c>
      <c r="F1002" t="s">
        <v>81</v>
      </c>
      <c r="G1002" t="s">
        <v>81</v>
      </c>
      <c r="H1002" t="s">
        <v>81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</v>
      </c>
      <c r="BG1002">
        <v>0</v>
      </c>
      <c r="BH1002">
        <v>0</v>
      </c>
    </row>
    <row r="1003" spans="1:60" x14ac:dyDescent="0.35">
      <c r="A1003" t="s">
        <v>1937</v>
      </c>
      <c r="B1003" t="s">
        <v>2094</v>
      </c>
      <c r="C1003" t="s">
        <v>2105</v>
      </c>
      <c r="D1003" t="s">
        <v>2106</v>
      </c>
      <c r="E1003">
        <v>3014</v>
      </c>
      <c r="F1003" t="s">
        <v>81</v>
      </c>
      <c r="G1003" t="s">
        <v>81</v>
      </c>
      <c r="H1003" t="s">
        <v>81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</v>
      </c>
      <c r="BG1003">
        <v>13813.77</v>
      </c>
      <c r="BH1003">
        <v>0</v>
      </c>
    </row>
    <row r="1004" spans="1:60" x14ac:dyDescent="0.35">
      <c r="A1004" t="s">
        <v>1937</v>
      </c>
      <c r="B1004" t="s">
        <v>2094</v>
      </c>
      <c r="C1004" t="s">
        <v>2107</v>
      </c>
      <c r="D1004" t="s">
        <v>2108</v>
      </c>
      <c r="E1004">
        <v>736</v>
      </c>
      <c r="F1004" t="s">
        <v>81</v>
      </c>
      <c r="G1004" t="s">
        <v>81</v>
      </c>
      <c r="H1004" t="s">
        <v>81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 t="s">
        <v>81</v>
      </c>
      <c r="BB1004" t="s">
        <v>81</v>
      </c>
      <c r="BC1004" t="s">
        <v>81</v>
      </c>
      <c r="BD1004" t="s">
        <v>81</v>
      </c>
      <c r="BE1004" t="s">
        <v>81</v>
      </c>
      <c r="BF1004" t="s">
        <v>81</v>
      </c>
      <c r="BG1004" t="s">
        <v>81</v>
      </c>
      <c r="BH1004" t="s">
        <v>81</v>
      </c>
    </row>
    <row r="1005" spans="1:60" x14ac:dyDescent="0.35">
      <c r="A1005" t="s">
        <v>1937</v>
      </c>
      <c r="B1005" t="s">
        <v>2094</v>
      </c>
      <c r="C1005" t="s">
        <v>2109</v>
      </c>
      <c r="D1005" t="s">
        <v>2110</v>
      </c>
      <c r="E1005">
        <v>1470</v>
      </c>
      <c r="F1005" t="s">
        <v>81</v>
      </c>
      <c r="G1005" t="s">
        <v>81</v>
      </c>
      <c r="H1005" t="s">
        <v>81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1</v>
      </c>
      <c r="BG1005">
        <v>0</v>
      </c>
      <c r="BH1005">
        <v>0</v>
      </c>
    </row>
    <row r="1006" spans="1:60" x14ac:dyDescent="0.35">
      <c r="A1006" t="s">
        <v>2111</v>
      </c>
      <c r="B1006" t="s">
        <v>2111</v>
      </c>
      <c r="C1006" t="s">
        <v>2111</v>
      </c>
      <c r="D1006" t="s">
        <v>2112</v>
      </c>
      <c r="E1006">
        <v>185788</v>
      </c>
      <c r="F1006">
        <v>941</v>
      </c>
      <c r="G1006">
        <v>980.62030000000004</v>
      </c>
      <c r="H1006">
        <v>1.0421039999999999</v>
      </c>
      <c r="I1006">
        <v>456764</v>
      </c>
      <c r="J1006">
        <v>0</v>
      </c>
      <c r="K1006">
        <v>0</v>
      </c>
      <c r="L1006">
        <v>0</v>
      </c>
      <c r="M1006">
        <v>0</v>
      </c>
      <c r="N1006">
        <v>456764</v>
      </c>
      <c r="O1006">
        <v>302688.34999999998</v>
      </c>
      <c r="P1006">
        <v>0</v>
      </c>
      <c r="Q1006">
        <v>9219.09</v>
      </c>
      <c r="R1006">
        <v>0</v>
      </c>
      <c r="S1006">
        <v>0</v>
      </c>
      <c r="T1006">
        <v>311907.44</v>
      </c>
      <c r="U1006">
        <v>158603.51999999999</v>
      </c>
      <c r="V1006">
        <v>394.65</v>
      </c>
      <c r="W1006">
        <v>172.63</v>
      </c>
      <c r="X1006">
        <v>0</v>
      </c>
      <c r="Y1006">
        <v>0</v>
      </c>
      <c r="Z1006">
        <v>159170.79999999999</v>
      </c>
      <c r="AA1006">
        <v>566856.97</v>
      </c>
      <c r="AB1006">
        <v>26279.1</v>
      </c>
      <c r="AC1006">
        <v>346249.23</v>
      </c>
      <c r="AD1006">
        <v>0</v>
      </c>
      <c r="AE1006">
        <v>0</v>
      </c>
      <c r="AF1006">
        <v>939385.3</v>
      </c>
      <c r="AG1006">
        <v>41664.89</v>
      </c>
      <c r="AH1006">
        <v>5767.52</v>
      </c>
      <c r="AI1006">
        <v>59001.55</v>
      </c>
      <c r="AJ1006">
        <v>0</v>
      </c>
      <c r="AK1006">
        <v>0</v>
      </c>
      <c r="AL1006">
        <v>106433.96</v>
      </c>
      <c r="AM1006">
        <v>647442.64</v>
      </c>
      <c r="AN1006">
        <v>75624.02</v>
      </c>
      <c r="AO1006">
        <v>181074.22</v>
      </c>
      <c r="AP1006">
        <v>1752.74</v>
      </c>
      <c r="AQ1006">
        <v>0</v>
      </c>
      <c r="AR1006">
        <v>905893.62</v>
      </c>
      <c r="AS1006">
        <v>264266.27</v>
      </c>
      <c r="AT1006">
        <v>0</v>
      </c>
      <c r="AU1006">
        <v>98502.11</v>
      </c>
      <c r="AV1006">
        <v>0</v>
      </c>
      <c r="AW1006">
        <v>0</v>
      </c>
      <c r="AX1006">
        <v>362768.38</v>
      </c>
      <c r="AY1006">
        <v>3242323.5</v>
      </c>
      <c r="AZ1006">
        <v>1</v>
      </c>
      <c r="BA1006">
        <v>215</v>
      </c>
      <c r="BB1006">
        <v>57903.582000000002</v>
      </c>
      <c r="BC1006">
        <v>12449270.164999999</v>
      </c>
      <c r="BD1006">
        <v>8818.5067909999998</v>
      </c>
      <c r="BE1006">
        <v>6515.1639999999998</v>
      </c>
      <c r="BF1006">
        <v>2030</v>
      </c>
      <c r="BG1006">
        <v>12775.251501999999</v>
      </c>
      <c r="BH1006">
        <v>3555.2060000000001</v>
      </c>
    </row>
    <row r="1007" spans="1:60" x14ac:dyDescent="0.35">
      <c r="A1007" t="s">
        <v>2111</v>
      </c>
      <c r="B1007" t="s">
        <v>2111</v>
      </c>
      <c r="C1007" t="s">
        <v>2113</v>
      </c>
      <c r="D1007" t="s">
        <v>2114</v>
      </c>
      <c r="E1007">
        <v>52159</v>
      </c>
      <c r="F1007">
        <v>47</v>
      </c>
      <c r="G1007">
        <v>39.252830000000003</v>
      </c>
      <c r="H1007">
        <v>0.83516670000000004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120</v>
      </c>
      <c r="X1007">
        <v>0</v>
      </c>
      <c r="Y1007">
        <v>0</v>
      </c>
      <c r="Z1007">
        <v>120</v>
      </c>
      <c r="AA1007">
        <v>0</v>
      </c>
      <c r="AB1007">
        <v>0</v>
      </c>
      <c r="AC1007">
        <v>17454.8</v>
      </c>
      <c r="AD1007">
        <v>0</v>
      </c>
      <c r="AE1007">
        <v>0</v>
      </c>
      <c r="AF1007">
        <v>17454.8</v>
      </c>
      <c r="AG1007">
        <v>0</v>
      </c>
      <c r="AH1007">
        <v>0</v>
      </c>
      <c r="AI1007">
        <v>2770.41</v>
      </c>
      <c r="AJ1007">
        <v>0</v>
      </c>
      <c r="AK1007">
        <v>0</v>
      </c>
      <c r="AL1007">
        <v>2770.41</v>
      </c>
      <c r="AM1007">
        <v>0</v>
      </c>
      <c r="AN1007">
        <v>0</v>
      </c>
      <c r="AO1007">
        <v>5611.91</v>
      </c>
      <c r="AP1007">
        <v>0</v>
      </c>
      <c r="AQ1007">
        <v>0</v>
      </c>
      <c r="AR1007">
        <v>5611.91</v>
      </c>
      <c r="AS1007">
        <v>0</v>
      </c>
      <c r="AT1007">
        <v>0</v>
      </c>
      <c r="AU1007">
        <v>1936.55</v>
      </c>
      <c r="AV1007">
        <v>0</v>
      </c>
      <c r="AW1007">
        <v>0</v>
      </c>
      <c r="AX1007">
        <v>1936.55</v>
      </c>
      <c r="AY1007">
        <v>27893.67</v>
      </c>
      <c r="AZ1007">
        <v>1</v>
      </c>
      <c r="BA1007">
        <v>21</v>
      </c>
      <c r="BB1007">
        <v>73599.513000000006</v>
      </c>
      <c r="BC1007">
        <v>1545589.7660000001</v>
      </c>
      <c r="BD1007">
        <v>6279.0719049999998</v>
      </c>
      <c r="BE1007">
        <v>2410.4079999999999</v>
      </c>
      <c r="BF1007">
        <v>328</v>
      </c>
      <c r="BG1007">
        <v>5894.3646339999996</v>
      </c>
      <c r="BH1007">
        <v>2693.498</v>
      </c>
    </row>
    <row r="1008" spans="1:60" x14ac:dyDescent="0.35">
      <c r="A1008" t="s">
        <v>2111</v>
      </c>
      <c r="B1008" t="s">
        <v>2111</v>
      </c>
      <c r="C1008" t="s">
        <v>2115</v>
      </c>
      <c r="D1008" t="s">
        <v>2116</v>
      </c>
      <c r="E1008">
        <v>27906</v>
      </c>
      <c r="F1008">
        <v>9</v>
      </c>
      <c r="G1008">
        <v>15.469469999999999</v>
      </c>
      <c r="H1008">
        <v>1.7188300000000001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11201.8</v>
      </c>
      <c r="AD1008">
        <v>0</v>
      </c>
      <c r="AE1008">
        <v>0</v>
      </c>
      <c r="AF1008">
        <v>11201.8</v>
      </c>
      <c r="AG1008">
        <v>0</v>
      </c>
      <c r="AH1008">
        <v>0</v>
      </c>
      <c r="AI1008">
        <v>3339.76</v>
      </c>
      <c r="AJ1008">
        <v>0</v>
      </c>
      <c r="AK1008">
        <v>0</v>
      </c>
      <c r="AL1008">
        <v>3339.76</v>
      </c>
      <c r="AM1008">
        <v>0</v>
      </c>
      <c r="AN1008">
        <v>0</v>
      </c>
      <c r="AO1008">
        <v>4497.6499999999996</v>
      </c>
      <c r="AP1008">
        <v>0</v>
      </c>
      <c r="AQ1008">
        <v>0</v>
      </c>
      <c r="AR1008">
        <v>4497.6499999999996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19039.21</v>
      </c>
      <c r="AZ1008">
        <v>1</v>
      </c>
      <c r="BA1008">
        <v>12</v>
      </c>
      <c r="BB1008">
        <v>59369.945</v>
      </c>
      <c r="BC1008">
        <v>712439.33900000004</v>
      </c>
      <c r="BD1008">
        <v>10526.126667</v>
      </c>
      <c r="BE1008">
        <v>2550.0369999999998</v>
      </c>
      <c r="BF1008">
        <v>103</v>
      </c>
      <c r="BG1008">
        <v>8789.365049</v>
      </c>
      <c r="BH1008">
        <v>1878.3979999999999</v>
      </c>
    </row>
    <row r="1009" spans="1:60" x14ac:dyDescent="0.35">
      <c r="A1009" t="s">
        <v>2111</v>
      </c>
      <c r="B1009" t="s">
        <v>2111</v>
      </c>
      <c r="C1009" t="s">
        <v>2117</v>
      </c>
      <c r="D1009" t="s">
        <v>2118</v>
      </c>
      <c r="E1009">
        <v>5744</v>
      </c>
      <c r="F1009">
        <v>1</v>
      </c>
      <c r="G1009">
        <v>0.36228900000000003</v>
      </c>
      <c r="H1009">
        <v>0.36228900000000003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2</v>
      </c>
      <c r="BB1009">
        <v>19679</v>
      </c>
      <c r="BC1009">
        <v>39358</v>
      </c>
      <c r="BD1009">
        <v>0</v>
      </c>
      <c r="BE1009">
        <v>0</v>
      </c>
      <c r="BF1009">
        <v>15</v>
      </c>
      <c r="BG1009">
        <v>556.26</v>
      </c>
      <c r="BH1009">
        <v>0</v>
      </c>
    </row>
    <row r="1010" spans="1:60" x14ac:dyDescent="0.35">
      <c r="A1010" t="s">
        <v>2111</v>
      </c>
      <c r="B1010" t="s">
        <v>2111</v>
      </c>
      <c r="C1010" t="s">
        <v>2119</v>
      </c>
      <c r="D1010" t="s">
        <v>2120</v>
      </c>
      <c r="E1010">
        <v>9168</v>
      </c>
      <c r="F1010">
        <v>7</v>
      </c>
      <c r="G1010">
        <v>3.9710000000000001</v>
      </c>
      <c r="H1010">
        <v>0.5672857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2</v>
      </c>
      <c r="BB1010">
        <v>34099.75</v>
      </c>
      <c r="BC1010">
        <v>68199.5</v>
      </c>
      <c r="BD1010">
        <v>0</v>
      </c>
      <c r="BE1010">
        <v>0</v>
      </c>
      <c r="BF1010">
        <v>40</v>
      </c>
      <c r="BG1010">
        <v>2138.3895000000002</v>
      </c>
      <c r="BH1010">
        <v>109.874</v>
      </c>
    </row>
    <row r="1011" spans="1:60" x14ac:dyDescent="0.35">
      <c r="A1011" t="s">
        <v>2111</v>
      </c>
      <c r="B1011" t="s">
        <v>2111</v>
      </c>
      <c r="C1011" t="s">
        <v>2121</v>
      </c>
      <c r="D1011" t="s">
        <v>2122</v>
      </c>
      <c r="E1011">
        <v>63641</v>
      </c>
      <c r="F1011">
        <v>61</v>
      </c>
      <c r="G1011">
        <v>71.015110000000007</v>
      </c>
      <c r="H1011">
        <v>1.1641820000000001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28743.9</v>
      </c>
      <c r="AB1011">
        <v>0</v>
      </c>
      <c r="AC1011">
        <v>110562.09</v>
      </c>
      <c r="AD1011">
        <v>0</v>
      </c>
      <c r="AE1011">
        <v>0</v>
      </c>
      <c r="AF1011">
        <v>139305.99</v>
      </c>
      <c r="AG1011">
        <v>4280.7700000000004</v>
      </c>
      <c r="AH1011">
        <v>0</v>
      </c>
      <c r="AI1011">
        <v>20666.09</v>
      </c>
      <c r="AJ1011">
        <v>0</v>
      </c>
      <c r="AK1011">
        <v>0</v>
      </c>
      <c r="AL1011">
        <v>24946.86</v>
      </c>
      <c r="AM1011">
        <v>2691.04</v>
      </c>
      <c r="AN1011">
        <v>0</v>
      </c>
      <c r="AO1011">
        <v>37181.4</v>
      </c>
      <c r="AP1011">
        <v>0</v>
      </c>
      <c r="AQ1011">
        <v>0</v>
      </c>
      <c r="AR1011">
        <v>39872.44</v>
      </c>
      <c r="AS1011">
        <v>490.95</v>
      </c>
      <c r="AT1011">
        <v>0</v>
      </c>
      <c r="AU1011">
        <v>27743.599999999999</v>
      </c>
      <c r="AV1011">
        <v>0</v>
      </c>
      <c r="AW1011">
        <v>0</v>
      </c>
      <c r="AX1011">
        <v>28234.55</v>
      </c>
      <c r="AY1011">
        <v>232359.84</v>
      </c>
      <c r="AZ1011">
        <v>1</v>
      </c>
      <c r="BA1011">
        <v>30</v>
      </c>
      <c r="BB1011">
        <v>54292.212</v>
      </c>
      <c r="BC1011">
        <v>1628766.351</v>
      </c>
      <c r="BD1011">
        <v>6874.7883330000004</v>
      </c>
      <c r="BE1011">
        <v>914.30899999999997</v>
      </c>
      <c r="BF1011">
        <v>439</v>
      </c>
      <c r="BG1011">
        <v>7754.6648059999998</v>
      </c>
      <c r="BH1011">
        <v>1181.654</v>
      </c>
    </row>
    <row r="1012" spans="1:60" x14ac:dyDescent="0.35">
      <c r="A1012" t="s">
        <v>2111</v>
      </c>
      <c r="B1012" t="s">
        <v>2111</v>
      </c>
      <c r="C1012" t="s">
        <v>2123</v>
      </c>
      <c r="D1012" t="s">
        <v>2124</v>
      </c>
      <c r="E1012">
        <v>8795</v>
      </c>
      <c r="F1012">
        <v>3</v>
      </c>
      <c r="G1012">
        <v>6.77006</v>
      </c>
      <c r="H1012">
        <v>2.2566869999999999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</v>
      </c>
      <c r="BA1012">
        <v>3</v>
      </c>
      <c r="BB1012">
        <v>160023.80100000001</v>
      </c>
      <c r="BC1012">
        <v>480071.402</v>
      </c>
      <c r="BD1012">
        <v>0</v>
      </c>
      <c r="BE1012">
        <v>192.333</v>
      </c>
      <c r="BF1012">
        <v>16</v>
      </c>
      <c r="BG1012">
        <v>14572.85375</v>
      </c>
      <c r="BH1012">
        <v>36.063000000000002</v>
      </c>
    </row>
    <row r="1013" spans="1:60" x14ac:dyDescent="0.35">
      <c r="A1013" t="s">
        <v>2111</v>
      </c>
      <c r="B1013" t="s">
        <v>2111</v>
      </c>
      <c r="C1013" t="s">
        <v>2125</v>
      </c>
      <c r="D1013" t="s">
        <v>2126</v>
      </c>
      <c r="E1013">
        <v>32864</v>
      </c>
      <c r="F1013">
        <v>11</v>
      </c>
      <c r="G1013">
        <v>11.3232</v>
      </c>
      <c r="H1013">
        <v>1.029382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842.67</v>
      </c>
      <c r="X1013">
        <v>0</v>
      </c>
      <c r="Y1013">
        <v>0</v>
      </c>
      <c r="Z1013">
        <v>842.67</v>
      </c>
      <c r="AA1013">
        <v>0</v>
      </c>
      <c r="AB1013">
        <v>0</v>
      </c>
      <c r="AC1013">
        <v>38396.21</v>
      </c>
      <c r="AD1013">
        <v>0</v>
      </c>
      <c r="AE1013">
        <v>0</v>
      </c>
      <c r="AF1013">
        <v>38396.21</v>
      </c>
      <c r="AG1013">
        <v>0</v>
      </c>
      <c r="AH1013">
        <v>0</v>
      </c>
      <c r="AI1013">
        <v>5960.86</v>
      </c>
      <c r="AJ1013">
        <v>0</v>
      </c>
      <c r="AK1013">
        <v>0</v>
      </c>
      <c r="AL1013">
        <v>5960.86</v>
      </c>
      <c r="AM1013">
        <v>0</v>
      </c>
      <c r="AN1013">
        <v>0</v>
      </c>
      <c r="AO1013">
        <v>17036.080000000002</v>
      </c>
      <c r="AP1013">
        <v>0</v>
      </c>
      <c r="AQ1013">
        <v>0</v>
      </c>
      <c r="AR1013">
        <v>17036.080000000002</v>
      </c>
      <c r="AS1013">
        <v>0</v>
      </c>
      <c r="AT1013">
        <v>0</v>
      </c>
      <c r="AU1013">
        <v>4540.99</v>
      </c>
      <c r="AV1013">
        <v>0</v>
      </c>
      <c r="AW1013">
        <v>0</v>
      </c>
      <c r="AX1013">
        <v>4540.99</v>
      </c>
      <c r="AY1013">
        <v>66776.81</v>
      </c>
      <c r="AZ1013">
        <v>1</v>
      </c>
      <c r="BA1013">
        <v>6</v>
      </c>
      <c r="BB1013">
        <v>27490.562999999998</v>
      </c>
      <c r="BC1013">
        <v>164943.375</v>
      </c>
      <c r="BD1013">
        <v>12215.1</v>
      </c>
      <c r="BE1013">
        <v>0</v>
      </c>
      <c r="BF1013">
        <v>137</v>
      </c>
      <c r="BG1013">
        <v>7434.3010949999998</v>
      </c>
      <c r="BH1013">
        <v>6424.3720000000003</v>
      </c>
    </row>
    <row r="1014" spans="1:60" x14ac:dyDescent="0.35">
      <c r="A1014" t="s">
        <v>2111</v>
      </c>
      <c r="B1014" t="s">
        <v>2111</v>
      </c>
      <c r="C1014" t="s">
        <v>2127</v>
      </c>
      <c r="D1014" t="s">
        <v>2128</v>
      </c>
      <c r="E1014">
        <v>8727</v>
      </c>
      <c r="F1014">
        <v>2</v>
      </c>
      <c r="G1014">
        <v>3.68</v>
      </c>
      <c r="H1014">
        <v>1.84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1</v>
      </c>
      <c r="BB1014">
        <v>4148.75</v>
      </c>
      <c r="BC1014">
        <v>4148.75</v>
      </c>
      <c r="BD1014">
        <v>25684.49</v>
      </c>
      <c r="BE1014">
        <v>0</v>
      </c>
      <c r="BF1014">
        <v>26</v>
      </c>
      <c r="BG1014">
        <v>1179.6307690000001</v>
      </c>
      <c r="BH1014">
        <v>0</v>
      </c>
    </row>
    <row r="1015" spans="1:60" x14ac:dyDescent="0.35">
      <c r="A1015" t="s">
        <v>2111</v>
      </c>
      <c r="B1015" t="s">
        <v>2111</v>
      </c>
      <c r="C1015" t="s">
        <v>2129</v>
      </c>
      <c r="D1015" t="s">
        <v>2130</v>
      </c>
      <c r="E1015">
        <v>16683</v>
      </c>
      <c r="F1015">
        <v>1</v>
      </c>
      <c r="G1015">
        <v>3.3393419999999998</v>
      </c>
      <c r="H1015">
        <v>3.3393419999999998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1</v>
      </c>
      <c r="BB1015">
        <v>10706</v>
      </c>
      <c r="BC1015">
        <v>10706</v>
      </c>
      <c r="BD1015">
        <v>7266</v>
      </c>
      <c r="BE1015">
        <v>0</v>
      </c>
      <c r="BF1015">
        <v>33</v>
      </c>
      <c r="BG1015">
        <v>4729.7912120000001</v>
      </c>
      <c r="BH1015">
        <v>1060.421</v>
      </c>
    </row>
    <row r="1016" spans="1:60" x14ac:dyDescent="0.35">
      <c r="A1016" t="s">
        <v>2111</v>
      </c>
      <c r="B1016" t="s">
        <v>2111</v>
      </c>
      <c r="C1016" t="s">
        <v>2131</v>
      </c>
      <c r="D1016" t="s">
        <v>2132</v>
      </c>
      <c r="E1016">
        <v>33558</v>
      </c>
      <c r="F1016">
        <v>27</v>
      </c>
      <c r="G1016">
        <v>27.507950000000001</v>
      </c>
      <c r="H1016">
        <v>1.018813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49696.82</v>
      </c>
      <c r="AD1016">
        <v>0</v>
      </c>
      <c r="AE1016">
        <v>0</v>
      </c>
      <c r="AF1016">
        <v>49696.82</v>
      </c>
      <c r="AG1016">
        <v>0</v>
      </c>
      <c r="AH1016">
        <v>0</v>
      </c>
      <c r="AI1016">
        <v>8808.0300000000007</v>
      </c>
      <c r="AJ1016">
        <v>0</v>
      </c>
      <c r="AK1016">
        <v>0</v>
      </c>
      <c r="AL1016">
        <v>8808.0300000000007</v>
      </c>
      <c r="AM1016">
        <v>0</v>
      </c>
      <c r="AN1016">
        <v>0</v>
      </c>
      <c r="AO1016">
        <v>23111.64</v>
      </c>
      <c r="AP1016">
        <v>0</v>
      </c>
      <c r="AQ1016">
        <v>0</v>
      </c>
      <c r="AR1016">
        <v>23111.64</v>
      </c>
      <c r="AS1016">
        <v>0</v>
      </c>
      <c r="AT1016">
        <v>0</v>
      </c>
      <c r="AU1016">
        <v>1171.1300000000001</v>
      </c>
      <c r="AV1016">
        <v>0</v>
      </c>
      <c r="AW1016">
        <v>0</v>
      </c>
      <c r="AX1016">
        <v>1171.1300000000001</v>
      </c>
      <c r="AY1016">
        <v>82787.62</v>
      </c>
      <c r="AZ1016">
        <v>1</v>
      </c>
      <c r="BA1016">
        <v>9</v>
      </c>
      <c r="BB1016">
        <v>39914.218999999997</v>
      </c>
      <c r="BC1016">
        <v>359227.973</v>
      </c>
      <c r="BD1016">
        <v>563.44444399999998</v>
      </c>
      <c r="BE1016">
        <v>287.29599999999999</v>
      </c>
      <c r="BF1016">
        <v>152</v>
      </c>
      <c r="BG1016">
        <v>12454.756776</v>
      </c>
      <c r="BH1016">
        <v>51.780999999999999</v>
      </c>
    </row>
    <row r="1017" spans="1:60" x14ac:dyDescent="0.35">
      <c r="A1017" t="s">
        <v>2111</v>
      </c>
      <c r="B1017" t="s">
        <v>2111</v>
      </c>
      <c r="C1017" t="s">
        <v>2133</v>
      </c>
      <c r="D1017" t="s">
        <v>2134</v>
      </c>
      <c r="E1017">
        <v>35428</v>
      </c>
      <c r="F1017">
        <v>28</v>
      </c>
      <c r="G1017">
        <v>29.745370000000001</v>
      </c>
      <c r="H1017">
        <v>1.062335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7418.52</v>
      </c>
      <c r="AD1017">
        <v>0</v>
      </c>
      <c r="AE1017">
        <v>0</v>
      </c>
      <c r="AF1017">
        <v>7418.52</v>
      </c>
      <c r="AG1017">
        <v>0</v>
      </c>
      <c r="AH1017">
        <v>0</v>
      </c>
      <c r="AI1017">
        <v>1123.06</v>
      </c>
      <c r="AJ1017">
        <v>0</v>
      </c>
      <c r="AK1017">
        <v>0</v>
      </c>
      <c r="AL1017">
        <v>1123.06</v>
      </c>
      <c r="AM1017">
        <v>0</v>
      </c>
      <c r="AN1017">
        <v>0</v>
      </c>
      <c r="AO1017">
        <v>2890.07</v>
      </c>
      <c r="AP1017">
        <v>0</v>
      </c>
      <c r="AQ1017">
        <v>0</v>
      </c>
      <c r="AR1017">
        <v>2890.07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11431.65</v>
      </c>
      <c r="AZ1017">
        <v>1</v>
      </c>
      <c r="BA1017">
        <v>24</v>
      </c>
      <c r="BB1017">
        <v>63195.006000000001</v>
      </c>
      <c r="BC1017">
        <v>1516680.1429999999</v>
      </c>
      <c r="BD1017">
        <v>8019.6429170000001</v>
      </c>
      <c r="BE1017">
        <v>3263.739</v>
      </c>
      <c r="BF1017">
        <v>228</v>
      </c>
      <c r="BG1017">
        <v>8669.1285530000005</v>
      </c>
      <c r="BH1017">
        <v>6059.3140000000003</v>
      </c>
    </row>
    <row r="1018" spans="1:60" x14ac:dyDescent="0.35">
      <c r="A1018" t="s">
        <v>2111</v>
      </c>
      <c r="B1018" t="s">
        <v>2111</v>
      </c>
      <c r="C1018" t="s">
        <v>2135</v>
      </c>
      <c r="D1018" t="s">
        <v>2136</v>
      </c>
      <c r="E1018">
        <v>5591</v>
      </c>
      <c r="F1018">
        <v>7</v>
      </c>
      <c r="G1018">
        <v>12.351129999999999</v>
      </c>
      <c r="H1018">
        <v>1.764448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2</v>
      </c>
      <c r="BB1018">
        <v>157904.584</v>
      </c>
      <c r="BC1018">
        <v>315809.16700000002</v>
      </c>
      <c r="BD1018">
        <v>0</v>
      </c>
      <c r="BE1018">
        <v>0</v>
      </c>
      <c r="BF1018">
        <v>22</v>
      </c>
      <c r="BG1018">
        <v>8678.150909</v>
      </c>
      <c r="BH1018">
        <v>0</v>
      </c>
    </row>
    <row r="1019" spans="1:60" x14ac:dyDescent="0.35">
      <c r="A1019" t="s">
        <v>2111</v>
      </c>
      <c r="B1019" t="s">
        <v>2111</v>
      </c>
      <c r="C1019" t="s">
        <v>2137</v>
      </c>
      <c r="D1019" t="s">
        <v>2138</v>
      </c>
      <c r="E1019">
        <v>1333</v>
      </c>
      <c r="F1019" t="s">
        <v>81</v>
      </c>
      <c r="G1019" t="s">
        <v>81</v>
      </c>
      <c r="H1019" t="s">
        <v>81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2</v>
      </c>
      <c r="BG1019">
        <v>0</v>
      </c>
      <c r="BH1019">
        <v>0</v>
      </c>
    </row>
    <row r="1020" spans="1:60" x14ac:dyDescent="0.35">
      <c r="A1020" t="s">
        <v>2111</v>
      </c>
      <c r="B1020" t="s">
        <v>2139</v>
      </c>
      <c r="C1020" t="s">
        <v>2140</v>
      </c>
      <c r="D1020" t="s">
        <v>2141</v>
      </c>
      <c r="E1020">
        <v>82545</v>
      </c>
      <c r="F1020">
        <v>407</v>
      </c>
      <c r="G1020">
        <v>474.31950000000001</v>
      </c>
      <c r="H1020">
        <v>1.1654040000000001</v>
      </c>
      <c r="I1020">
        <v>775233.19</v>
      </c>
      <c r="J1020">
        <v>0</v>
      </c>
      <c r="K1020">
        <v>0</v>
      </c>
      <c r="L1020">
        <v>0</v>
      </c>
      <c r="M1020">
        <v>0</v>
      </c>
      <c r="N1020">
        <v>775233.19</v>
      </c>
      <c r="O1020">
        <v>384849.7</v>
      </c>
      <c r="P1020">
        <v>0</v>
      </c>
      <c r="Q1020">
        <v>0</v>
      </c>
      <c r="R1020">
        <v>0</v>
      </c>
      <c r="S1020">
        <v>0</v>
      </c>
      <c r="T1020">
        <v>384849.7</v>
      </c>
      <c r="U1020">
        <v>91205.32</v>
      </c>
      <c r="V1020">
        <v>0</v>
      </c>
      <c r="W1020">
        <v>5013.0200000000004</v>
      </c>
      <c r="X1020">
        <v>0</v>
      </c>
      <c r="Y1020">
        <v>0</v>
      </c>
      <c r="Z1020">
        <v>96218.34</v>
      </c>
      <c r="AA1020">
        <v>272397.86</v>
      </c>
      <c r="AB1020">
        <v>4585.3100000000004</v>
      </c>
      <c r="AC1020">
        <v>169143.27</v>
      </c>
      <c r="AD1020">
        <v>0</v>
      </c>
      <c r="AE1020">
        <v>0</v>
      </c>
      <c r="AF1020">
        <v>446126.44</v>
      </c>
      <c r="AG1020">
        <v>26427.15</v>
      </c>
      <c r="AH1020">
        <v>2234.94</v>
      </c>
      <c r="AI1020">
        <v>27740.11</v>
      </c>
      <c r="AJ1020">
        <v>0</v>
      </c>
      <c r="AK1020">
        <v>0</v>
      </c>
      <c r="AL1020">
        <v>56402.2</v>
      </c>
      <c r="AM1020">
        <v>271898.33</v>
      </c>
      <c r="AN1020">
        <v>29687.439999999999</v>
      </c>
      <c r="AO1020">
        <v>62540.95</v>
      </c>
      <c r="AP1020">
        <v>0</v>
      </c>
      <c r="AQ1020">
        <v>0</v>
      </c>
      <c r="AR1020">
        <v>364126.71999999997</v>
      </c>
      <c r="AS1020">
        <v>86178.26</v>
      </c>
      <c r="AT1020">
        <v>0</v>
      </c>
      <c r="AU1020">
        <v>10008.9</v>
      </c>
      <c r="AV1020">
        <v>0</v>
      </c>
      <c r="AW1020">
        <v>0</v>
      </c>
      <c r="AX1020">
        <v>96187.16</v>
      </c>
      <c r="AY1020">
        <v>2219143.75</v>
      </c>
      <c r="AZ1020">
        <v>1</v>
      </c>
      <c r="BA1020">
        <v>99</v>
      </c>
      <c r="BB1020">
        <v>60107.535000000003</v>
      </c>
      <c r="BC1020">
        <v>5950645.9400000004</v>
      </c>
      <c r="BD1020">
        <v>9473.3784849999993</v>
      </c>
      <c r="BE1020">
        <v>3724.3760000000002</v>
      </c>
      <c r="BF1020">
        <v>829</v>
      </c>
      <c r="BG1020">
        <v>10692.601906</v>
      </c>
      <c r="BH1020">
        <v>1714.0820000000001</v>
      </c>
    </row>
    <row r="1021" spans="1:60" x14ac:dyDescent="0.35">
      <c r="A1021" t="s">
        <v>2111</v>
      </c>
      <c r="B1021" t="s">
        <v>2139</v>
      </c>
      <c r="C1021" t="s">
        <v>2142</v>
      </c>
      <c r="D1021" t="s">
        <v>2143</v>
      </c>
      <c r="E1021">
        <v>9760</v>
      </c>
      <c r="F1021">
        <v>8</v>
      </c>
      <c r="G1021">
        <v>8.0995969999999993</v>
      </c>
      <c r="H1021">
        <v>1.0124500000000001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1</v>
      </c>
      <c r="BB1021">
        <v>21734.917000000001</v>
      </c>
      <c r="BC1021">
        <v>21734.917000000001</v>
      </c>
      <c r="BD1021">
        <v>0</v>
      </c>
      <c r="BE1021">
        <v>0</v>
      </c>
      <c r="BF1021">
        <v>40</v>
      </c>
      <c r="BG1021">
        <v>4390.0844999999999</v>
      </c>
      <c r="BH1021">
        <v>32.9</v>
      </c>
    </row>
    <row r="1022" spans="1:60" x14ac:dyDescent="0.35">
      <c r="A1022" t="s">
        <v>2111</v>
      </c>
      <c r="B1022" t="s">
        <v>2139</v>
      </c>
      <c r="C1022" t="s">
        <v>2144</v>
      </c>
      <c r="D1022" t="s">
        <v>2145</v>
      </c>
      <c r="E1022">
        <v>3469</v>
      </c>
      <c r="F1022" t="s">
        <v>81</v>
      </c>
      <c r="G1022" t="s">
        <v>81</v>
      </c>
      <c r="H1022" t="s">
        <v>81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1</v>
      </c>
      <c r="BG1022">
        <v>0</v>
      </c>
      <c r="BH1022">
        <v>0</v>
      </c>
    </row>
    <row r="1023" spans="1:60" x14ac:dyDescent="0.35">
      <c r="A1023" t="s">
        <v>2111</v>
      </c>
      <c r="B1023" t="s">
        <v>2139</v>
      </c>
      <c r="C1023" t="s">
        <v>2146</v>
      </c>
      <c r="D1023" t="s">
        <v>2147</v>
      </c>
      <c r="E1023">
        <v>15172</v>
      </c>
      <c r="F1023">
        <v>6</v>
      </c>
      <c r="G1023">
        <v>9.195589</v>
      </c>
      <c r="H1023">
        <v>1.5325979999999999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5</v>
      </c>
      <c r="BB1023">
        <v>31187.418000000001</v>
      </c>
      <c r="BC1023">
        <v>155937.09099999999</v>
      </c>
      <c r="BD1023">
        <v>1398</v>
      </c>
      <c r="BE1023">
        <v>0</v>
      </c>
      <c r="BF1023">
        <v>40</v>
      </c>
      <c r="BG1023">
        <v>5010.6792500000001</v>
      </c>
      <c r="BH1023">
        <v>41.725000000000001</v>
      </c>
    </row>
    <row r="1024" spans="1:60" x14ac:dyDescent="0.35">
      <c r="A1024" t="s">
        <v>2111</v>
      </c>
      <c r="B1024" t="s">
        <v>2139</v>
      </c>
      <c r="C1024" t="s">
        <v>2148</v>
      </c>
      <c r="D1024" t="s">
        <v>2149</v>
      </c>
      <c r="E1024">
        <v>14437</v>
      </c>
      <c r="F1024">
        <v>6</v>
      </c>
      <c r="G1024">
        <v>13.351509999999999</v>
      </c>
      <c r="H1024">
        <v>2.2252519999999998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39</v>
      </c>
      <c r="BG1024">
        <v>3556.5348720000002</v>
      </c>
      <c r="BH1024">
        <v>10826.523999999999</v>
      </c>
    </row>
    <row r="1025" spans="1:60" x14ac:dyDescent="0.35">
      <c r="A1025" t="s">
        <v>2111</v>
      </c>
      <c r="B1025" t="s">
        <v>2139</v>
      </c>
      <c r="C1025" t="s">
        <v>2150</v>
      </c>
      <c r="D1025" t="s">
        <v>2151</v>
      </c>
      <c r="E1025">
        <v>31753</v>
      </c>
      <c r="F1025">
        <v>32</v>
      </c>
      <c r="G1025">
        <v>45.727130000000002</v>
      </c>
      <c r="H1025">
        <v>1.428973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9765.35</v>
      </c>
      <c r="AD1025">
        <v>0</v>
      </c>
      <c r="AE1025">
        <v>0</v>
      </c>
      <c r="AF1025">
        <v>9765.35</v>
      </c>
      <c r="AG1025">
        <v>0</v>
      </c>
      <c r="AH1025">
        <v>0</v>
      </c>
      <c r="AI1025">
        <v>1492.56</v>
      </c>
      <c r="AJ1025">
        <v>0</v>
      </c>
      <c r="AK1025">
        <v>0</v>
      </c>
      <c r="AL1025">
        <v>1492.56</v>
      </c>
      <c r="AM1025">
        <v>0</v>
      </c>
      <c r="AN1025">
        <v>0</v>
      </c>
      <c r="AO1025">
        <v>2245.6</v>
      </c>
      <c r="AP1025">
        <v>0</v>
      </c>
      <c r="AQ1025">
        <v>0</v>
      </c>
      <c r="AR1025">
        <v>2245.6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13503.51</v>
      </c>
      <c r="AZ1025">
        <v>1</v>
      </c>
      <c r="BA1025">
        <v>20</v>
      </c>
      <c r="BB1025">
        <v>43157.663999999997</v>
      </c>
      <c r="BC1025">
        <v>863153.28899999999</v>
      </c>
      <c r="BD1025">
        <v>507.92500000000001</v>
      </c>
      <c r="BE1025">
        <v>558.98199999999997</v>
      </c>
      <c r="BF1025">
        <v>150</v>
      </c>
      <c r="BG1025">
        <v>18608.348000000002</v>
      </c>
      <c r="BH1025">
        <v>744.63599999999997</v>
      </c>
    </row>
    <row r="1026" spans="1:60" x14ac:dyDescent="0.35">
      <c r="A1026" t="s">
        <v>2111</v>
      </c>
      <c r="B1026" t="s">
        <v>2139</v>
      </c>
      <c r="C1026" t="s">
        <v>2152</v>
      </c>
      <c r="D1026" t="s">
        <v>2153</v>
      </c>
      <c r="E1026">
        <v>80353</v>
      </c>
      <c r="F1026">
        <v>46</v>
      </c>
      <c r="G1026">
        <v>60.966880000000003</v>
      </c>
      <c r="H1026">
        <v>1.325367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107.04</v>
      </c>
      <c r="AB1026">
        <v>0</v>
      </c>
      <c r="AC1026">
        <v>45245.15</v>
      </c>
      <c r="AD1026">
        <v>0</v>
      </c>
      <c r="AE1026">
        <v>0</v>
      </c>
      <c r="AF1026">
        <v>45352.19</v>
      </c>
      <c r="AG1026">
        <v>10931.65</v>
      </c>
      <c r="AH1026">
        <v>0</v>
      </c>
      <c r="AI1026">
        <v>8346</v>
      </c>
      <c r="AJ1026">
        <v>0</v>
      </c>
      <c r="AK1026">
        <v>0</v>
      </c>
      <c r="AL1026">
        <v>19277.650000000001</v>
      </c>
      <c r="AM1026">
        <v>56.12</v>
      </c>
      <c r="AN1026">
        <v>0</v>
      </c>
      <c r="AO1026">
        <v>14958.28</v>
      </c>
      <c r="AP1026">
        <v>0</v>
      </c>
      <c r="AQ1026">
        <v>0</v>
      </c>
      <c r="AR1026">
        <v>15014.4</v>
      </c>
      <c r="AS1026">
        <v>0</v>
      </c>
      <c r="AT1026">
        <v>0</v>
      </c>
      <c r="AU1026">
        <v>4665.4399999999996</v>
      </c>
      <c r="AV1026">
        <v>0</v>
      </c>
      <c r="AW1026">
        <v>0</v>
      </c>
      <c r="AX1026">
        <v>4665.4399999999996</v>
      </c>
      <c r="AY1026">
        <v>84309.68</v>
      </c>
      <c r="AZ1026">
        <v>0</v>
      </c>
      <c r="BA1026">
        <v>46</v>
      </c>
      <c r="BB1026">
        <v>56622.762000000002</v>
      </c>
      <c r="BC1026">
        <v>2604647.0359999998</v>
      </c>
      <c r="BD1026">
        <v>5048.915</v>
      </c>
      <c r="BE1026">
        <v>2611.4650000000001</v>
      </c>
      <c r="BF1026">
        <v>340</v>
      </c>
      <c r="BG1026">
        <v>6550.336147</v>
      </c>
      <c r="BH1026">
        <v>1096.028</v>
      </c>
    </row>
    <row r="1027" spans="1:60" x14ac:dyDescent="0.35">
      <c r="A1027" t="s">
        <v>2111</v>
      </c>
      <c r="B1027" t="s">
        <v>2139</v>
      </c>
      <c r="C1027" t="s">
        <v>2154</v>
      </c>
      <c r="D1027" t="s">
        <v>2155</v>
      </c>
      <c r="E1027">
        <v>2326</v>
      </c>
      <c r="F1027" t="s">
        <v>81</v>
      </c>
      <c r="G1027" t="s">
        <v>81</v>
      </c>
      <c r="H1027" t="s">
        <v>81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 t="s">
        <v>81</v>
      </c>
      <c r="BB1027" t="s">
        <v>81</v>
      </c>
      <c r="BC1027" t="s">
        <v>81</v>
      </c>
      <c r="BD1027" t="s">
        <v>81</v>
      </c>
      <c r="BE1027" t="s">
        <v>81</v>
      </c>
      <c r="BF1027" t="s">
        <v>81</v>
      </c>
      <c r="BG1027" t="s">
        <v>81</v>
      </c>
      <c r="BH1027" t="s">
        <v>81</v>
      </c>
    </row>
    <row r="1028" spans="1:60" x14ac:dyDescent="0.35">
      <c r="A1028" t="s">
        <v>2111</v>
      </c>
      <c r="B1028" t="s">
        <v>2139</v>
      </c>
      <c r="C1028" t="s">
        <v>2156</v>
      </c>
      <c r="D1028" t="s">
        <v>2157</v>
      </c>
      <c r="E1028">
        <v>1144</v>
      </c>
      <c r="F1028" t="s">
        <v>81</v>
      </c>
      <c r="G1028" t="s">
        <v>81</v>
      </c>
      <c r="H1028" t="s">
        <v>81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1</v>
      </c>
      <c r="BG1028">
        <v>0</v>
      </c>
      <c r="BH1028">
        <v>0</v>
      </c>
    </row>
    <row r="1029" spans="1:60" x14ac:dyDescent="0.35">
      <c r="A1029" t="s">
        <v>2111</v>
      </c>
      <c r="B1029" t="s">
        <v>2139</v>
      </c>
      <c r="C1029" t="s">
        <v>2158</v>
      </c>
      <c r="D1029" t="s">
        <v>2159</v>
      </c>
      <c r="E1029">
        <v>35927</v>
      </c>
      <c r="F1029">
        <v>25</v>
      </c>
      <c r="G1029">
        <v>40.113050000000001</v>
      </c>
      <c r="H1029">
        <v>1.604522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24</v>
      </c>
      <c r="BB1029">
        <v>62870.849000000002</v>
      </c>
      <c r="BC1029">
        <v>1508900.3740000001</v>
      </c>
      <c r="BD1029">
        <v>11378.171249999999</v>
      </c>
      <c r="BE1029">
        <v>0</v>
      </c>
      <c r="BF1029">
        <v>132</v>
      </c>
      <c r="BG1029">
        <v>15448.422424</v>
      </c>
      <c r="BH1029">
        <v>577.76900000000001</v>
      </c>
    </row>
    <row r="1030" spans="1:60" x14ac:dyDescent="0.35">
      <c r="A1030" t="s">
        <v>2111</v>
      </c>
      <c r="B1030" t="s">
        <v>2139</v>
      </c>
      <c r="C1030" t="s">
        <v>2160</v>
      </c>
      <c r="D1030" t="s">
        <v>2161</v>
      </c>
      <c r="E1030">
        <v>7165</v>
      </c>
      <c r="F1030">
        <v>3</v>
      </c>
      <c r="G1030">
        <v>6.990532</v>
      </c>
      <c r="H1030">
        <v>2.3301769999999999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</v>
      </c>
      <c r="BB1030">
        <v>18420.812999999998</v>
      </c>
      <c r="BC1030">
        <v>73683.25</v>
      </c>
      <c r="BD1030">
        <v>5958.5775000000003</v>
      </c>
      <c r="BE1030">
        <v>549.25</v>
      </c>
      <c r="BF1030">
        <v>18</v>
      </c>
      <c r="BG1030">
        <v>632.15</v>
      </c>
      <c r="BH1030">
        <v>0</v>
      </c>
    </row>
    <row r="1031" spans="1:60" x14ac:dyDescent="0.35">
      <c r="A1031" t="s">
        <v>2111</v>
      </c>
      <c r="B1031" t="s">
        <v>2162</v>
      </c>
      <c r="C1031" t="s">
        <v>2163</v>
      </c>
      <c r="D1031" t="s">
        <v>2164</v>
      </c>
      <c r="E1031">
        <v>31780</v>
      </c>
      <c r="F1031">
        <v>100</v>
      </c>
      <c r="G1031">
        <v>113.25020000000001</v>
      </c>
      <c r="H1031">
        <v>1.1325019999999999</v>
      </c>
      <c r="I1031">
        <v>0.09</v>
      </c>
      <c r="J1031">
        <v>0</v>
      </c>
      <c r="K1031">
        <v>0</v>
      </c>
      <c r="L1031">
        <v>0</v>
      </c>
      <c r="M1031">
        <v>0</v>
      </c>
      <c r="N1031">
        <v>0.09</v>
      </c>
      <c r="O1031">
        <v>0.24</v>
      </c>
      <c r="P1031">
        <v>0</v>
      </c>
      <c r="Q1031">
        <v>0</v>
      </c>
      <c r="R1031">
        <v>0</v>
      </c>
      <c r="S1031">
        <v>0</v>
      </c>
      <c r="T1031">
        <v>0.24</v>
      </c>
      <c r="U1031">
        <v>650.23</v>
      </c>
      <c r="V1031">
        <v>0</v>
      </c>
      <c r="W1031">
        <v>108.3</v>
      </c>
      <c r="X1031">
        <v>0</v>
      </c>
      <c r="Y1031">
        <v>0</v>
      </c>
      <c r="Z1031">
        <v>758.53</v>
      </c>
      <c r="AA1031">
        <v>96524.44</v>
      </c>
      <c r="AB1031">
        <v>163.63</v>
      </c>
      <c r="AC1031">
        <v>152524.95000000001</v>
      </c>
      <c r="AD1031">
        <v>0</v>
      </c>
      <c r="AE1031">
        <v>0</v>
      </c>
      <c r="AF1031">
        <v>249213.02</v>
      </c>
      <c r="AG1031">
        <v>11605.24</v>
      </c>
      <c r="AH1031">
        <v>242.49</v>
      </c>
      <c r="AI1031">
        <v>21743.47</v>
      </c>
      <c r="AJ1031">
        <v>0</v>
      </c>
      <c r="AK1031">
        <v>0</v>
      </c>
      <c r="AL1031">
        <v>33591.199999999997</v>
      </c>
      <c r="AM1031">
        <v>49530.48</v>
      </c>
      <c r="AN1031">
        <v>5919.94</v>
      </c>
      <c r="AO1031">
        <v>50366.3</v>
      </c>
      <c r="AP1031">
        <v>0</v>
      </c>
      <c r="AQ1031">
        <v>0</v>
      </c>
      <c r="AR1031">
        <v>105816.72</v>
      </c>
      <c r="AS1031">
        <v>12622.04</v>
      </c>
      <c r="AT1031">
        <v>0</v>
      </c>
      <c r="AU1031">
        <v>2866.56</v>
      </c>
      <c r="AV1031">
        <v>0</v>
      </c>
      <c r="AW1031">
        <v>0</v>
      </c>
      <c r="AX1031">
        <v>15488.6</v>
      </c>
      <c r="AY1031">
        <v>404868.4</v>
      </c>
      <c r="AZ1031">
        <v>0</v>
      </c>
      <c r="BA1031">
        <v>42</v>
      </c>
      <c r="BB1031">
        <v>39541.593000000001</v>
      </c>
      <c r="BC1031">
        <v>1660746.8870000001</v>
      </c>
      <c r="BD1031">
        <v>6733.7952379999997</v>
      </c>
      <c r="BE1031">
        <v>522.70799999999997</v>
      </c>
      <c r="BF1031">
        <v>498</v>
      </c>
      <c r="BG1031">
        <v>11781.871406</v>
      </c>
      <c r="BH1031">
        <v>865.23900000000003</v>
      </c>
    </row>
    <row r="1032" spans="1:60" x14ac:dyDescent="0.35">
      <c r="A1032" t="s">
        <v>2111</v>
      </c>
      <c r="B1032" t="s">
        <v>2162</v>
      </c>
      <c r="C1032" t="s">
        <v>2165</v>
      </c>
      <c r="D1032" t="s">
        <v>2166</v>
      </c>
      <c r="E1032">
        <v>2313</v>
      </c>
      <c r="F1032" t="s">
        <v>81</v>
      </c>
      <c r="G1032" t="s">
        <v>81</v>
      </c>
      <c r="H1032" t="s">
        <v>81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</v>
      </c>
      <c r="BB1032">
        <v>59849.3</v>
      </c>
      <c r="BC1032">
        <v>59849.3</v>
      </c>
      <c r="BD1032">
        <v>3097.3</v>
      </c>
      <c r="BE1032">
        <v>0</v>
      </c>
      <c r="BF1032">
        <v>3</v>
      </c>
      <c r="BG1032">
        <v>54.266666999999998</v>
      </c>
      <c r="BH1032">
        <v>0</v>
      </c>
    </row>
    <row r="1033" spans="1:60" x14ac:dyDescent="0.35">
      <c r="A1033" t="s">
        <v>2111</v>
      </c>
      <c r="B1033" t="s">
        <v>2162</v>
      </c>
      <c r="C1033" t="s">
        <v>2167</v>
      </c>
      <c r="D1033" t="s">
        <v>2168</v>
      </c>
      <c r="E1033">
        <v>3901</v>
      </c>
      <c r="F1033">
        <v>1</v>
      </c>
      <c r="G1033">
        <v>1.43</v>
      </c>
      <c r="H1033">
        <v>1.43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19</v>
      </c>
      <c r="BG1033">
        <v>2857.25</v>
      </c>
      <c r="BH1033">
        <v>0</v>
      </c>
    </row>
    <row r="1034" spans="1:60" x14ac:dyDescent="0.35">
      <c r="A1034" t="s">
        <v>2111</v>
      </c>
      <c r="B1034" t="s">
        <v>2162</v>
      </c>
      <c r="C1034" t="s">
        <v>2169</v>
      </c>
      <c r="D1034" t="s">
        <v>2170</v>
      </c>
      <c r="E1034">
        <v>20265</v>
      </c>
      <c r="F1034">
        <v>57</v>
      </c>
      <c r="G1034">
        <v>42.679519999999997</v>
      </c>
      <c r="H1034">
        <v>0.74876350000000003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303.97000000000003</v>
      </c>
      <c r="V1034">
        <v>0</v>
      </c>
      <c r="W1034">
        <v>0</v>
      </c>
      <c r="X1034">
        <v>0</v>
      </c>
      <c r="Y1034">
        <v>0</v>
      </c>
      <c r="Z1034">
        <v>303.97000000000003</v>
      </c>
      <c r="AA1034">
        <v>20442.96</v>
      </c>
      <c r="AB1034">
        <v>0</v>
      </c>
      <c r="AC1034">
        <v>13549.31</v>
      </c>
      <c r="AD1034">
        <v>0</v>
      </c>
      <c r="AE1034">
        <v>0</v>
      </c>
      <c r="AF1034">
        <v>33992.269999999997</v>
      </c>
      <c r="AG1034">
        <v>10.76</v>
      </c>
      <c r="AH1034">
        <v>0</v>
      </c>
      <c r="AI1034">
        <v>3114.85</v>
      </c>
      <c r="AJ1034">
        <v>0</v>
      </c>
      <c r="AK1034">
        <v>0</v>
      </c>
      <c r="AL1034">
        <v>3125.61</v>
      </c>
      <c r="AM1034">
        <v>8529.7000000000007</v>
      </c>
      <c r="AN1034">
        <v>0</v>
      </c>
      <c r="AO1034">
        <v>7385.08</v>
      </c>
      <c r="AP1034">
        <v>0</v>
      </c>
      <c r="AQ1034">
        <v>0</v>
      </c>
      <c r="AR1034">
        <v>15914.78</v>
      </c>
      <c r="AS1034">
        <v>10086.11</v>
      </c>
      <c r="AT1034">
        <v>0</v>
      </c>
      <c r="AU1034">
        <v>1301.0999999999999</v>
      </c>
      <c r="AV1034">
        <v>0</v>
      </c>
      <c r="AW1034">
        <v>0</v>
      </c>
      <c r="AX1034">
        <v>11387.21</v>
      </c>
      <c r="AY1034">
        <v>64723.839999999997</v>
      </c>
      <c r="AZ1034">
        <v>0</v>
      </c>
      <c r="BA1034">
        <v>33</v>
      </c>
      <c r="BB1034">
        <v>52450.086000000003</v>
      </c>
      <c r="BC1034">
        <v>1730852.825</v>
      </c>
      <c r="BD1034">
        <v>12942.292727</v>
      </c>
      <c r="BE1034">
        <v>1232.896</v>
      </c>
      <c r="BF1034">
        <v>192</v>
      </c>
      <c r="BG1034">
        <v>37149.261719000002</v>
      </c>
      <c r="BH1034">
        <v>1962.086</v>
      </c>
    </row>
    <row r="1035" spans="1:60" x14ac:dyDescent="0.35">
      <c r="A1035" t="s">
        <v>2111</v>
      </c>
      <c r="B1035" t="s">
        <v>2162</v>
      </c>
      <c r="C1035" t="s">
        <v>2171</v>
      </c>
      <c r="D1035" t="s">
        <v>2172</v>
      </c>
      <c r="E1035">
        <v>27075</v>
      </c>
      <c r="F1035">
        <v>53</v>
      </c>
      <c r="G1035">
        <v>53.037230000000001</v>
      </c>
      <c r="H1035">
        <v>1.0007029999999999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9</v>
      </c>
      <c r="BB1035">
        <v>51565.565999999999</v>
      </c>
      <c r="BC1035">
        <v>464090.098</v>
      </c>
      <c r="BD1035">
        <v>0</v>
      </c>
      <c r="BE1035">
        <v>2788.451</v>
      </c>
      <c r="BF1035">
        <v>286</v>
      </c>
      <c r="BG1035">
        <v>10404.401852999999</v>
      </c>
      <c r="BH1035">
        <v>2495.9380000000001</v>
      </c>
    </row>
    <row r="1036" spans="1:60" x14ac:dyDescent="0.35">
      <c r="A1036" t="s">
        <v>2111</v>
      </c>
      <c r="B1036" t="s">
        <v>2173</v>
      </c>
      <c r="C1036" t="s">
        <v>2173</v>
      </c>
      <c r="D1036" t="s">
        <v>2174</v>
      </c>
      <c r="E1036">
        <v>9160</v>
      </c>
      <c r="F1036">
        <v>10</v>
      </c>
      <c r="G1036">
        <v>11.49161</v>
      </c>
      <c r="H1036">
        <v>1.1491610000000001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38392.15</v>
      </c>
      <c r="AD1036">
        <v>0</v>
      </c>
      <c r="AE1036">
        <v>0</v>
      </c>
      <c r="AF1036">
        <v>38392.15</v>
      </c>
      <c r="AG1036">
        <v>0</v>
      </c>
      <c r="AH1036">
        <v>0</v>
      </c>
      <c r="AI1036">
        <v>9329.5499999999993</v>
      </c>
      <c r="AJ1036">
        <v>0</v>
      </c>
      <c r="AK1036">
        <v>0</v>
      </c>
      <c r="AL1036">
        <v>9329.5499999999993</v>
      </c>
      <c r="AM1036">
        <v>0</v>
      </c>
      <c r="AN1036">
        <v>0</v>
      </c>
      <c r="AO1036">
        <v>8028.65</v>
      </c>
      <c r="AP1036">
        <v>0</v>
      </c>
      <c r="AQ1036">
        <v>0</v>
      </c>
      <c r="AR1036">
        <v>8028.65</v>
      </c>
      <c r="AS1036">
        <v>0</v>
      </c>
      <c r="AT1036">
        <v>0</v>
      </c>
      <c r="AU1036">
        <v>1323.99</v>
      </c>
      <c r="AV1036">
        <v>0</v>
      </c>
      <c r="AW1036">
        <v>0</v>
      </c>
      <c r="AX1036">
        <v>1323.99</v>
      </c>
      <c r="AY1036">
        <v>57074.34</v>
      </c>
      <c r="AZ1036">
        <v>0</v>
      </c>
      <c r="BA1036">
        <v>3</v>
      </c>
      <c r="BB1036">
        <v>39771.527999999998</v>
      </c>
      <c r="BC1036">
        <v>119314.583</v>
      </c>
      <c r="BD1036">
        <v>0</v>
      </c>
      <c r="BE1036">
        <v>0</v>
      </c>
      <c r="BF1036">
        <v>100</v>
      </c>
      <c r="BG1036">
        <v>2706.2937999999999</v>
      </c>
      <c r="BH1036">
        <v>0</v>
      </c>
    </row>
    <row r="1037" spans="1:60" x14ac:dyDescent="0.35">
      <c r="A1037" t="s">
        <v>2111</v>
      </c>
      <c r="B1037" t="s">
        <v>2173</v>
      </c>
      <c r="C1037" t="s">
        <v>2175</v>
      </c>
      <c r="D1037" t="s">
        <v>2176</v>
      </c>
      <c r="E1037">
        <v>1891</v>
      </c>
      <c r="F1037">
        <v>1</v>
      </c>
      <c r="G1037">
        <v>2.0393159999999999</v>
      </c>
      <c r="H1037">
        <v>2.0393159999999999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7</v>
      </c>
      <c r="BG1037">
        <v>157.414286</v>
      </c>
      <c r="BH1037">
        <v>0</v>
      </c>
    </row>
    <row r="1038" spans="1:60" x14ac:dyDescent="0.35">
      <c r="A1038" t="s">
        <v>2111</v>
      </c>
      <c r="B1038" t="s">
        <v>2173</v>
      </c>
      <c r="C1038" t="s">
        <v>2177</v>
      </c>
      <c r="D1038" t="s">
        <v>2178</v>
      </c>
      <c r="E1038">
        <v>3046</v>
      </c>
      <c r="F1038" t="s">
        <v>81</v>
      </c>
      <c r="G1038" t="s">
        <v>81</v>
      </c>
      <c r="H1038" t="s">
        <v>81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13</v>
      </c>
      <c r="BG1038">
        <v>13971.822308000001</v>
      </c>
      <c r="BH1038">
        <v>0</v>
      </c>
    </row>
    <row r="1039" spans="1:60" x14ac:dyDescent="0.35">
      <c r="A1039" t="s">
        <v>2111</v>
      </c>
      <c r="B1039" t="s">
        <v>2173</v>
      </c>
      <c r="C1039" t="s">
        <v>2179</v>
      </c>
      <c r="D1039" t="s">
        <v>2180</v>
      </c>
      <c r="E1039">
        <v>1046</v>
      </c>
      <c r="F1039" t="s">
        <v>81</v>
      </c>
      <c r="G1039" t="s">
        <v>81</v>
      </c>
      <c r="H1039" t="s">
        <v>81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4</v>
      </c>
      <c r="BG1039">
        <v>11620.95</v>
      </c>
      <c r="BH1039">
        <v>0</v>
      </c>
    </row>
    <row r="1040" spans="1:60" x14ac:dyDescent="0.35">
      <c r="A1040" t="s">
        <v>2111</v>
      </c>
      <c r="B1040" t="s">
        <v>2173</v>
      </c>
      <c r="C1040" t="s">
        <v>2181</v>
      </c>
      <c r="D1040" t="s">
        <v>2182</v>
      </c>
      <c r="E1040">
        <v>355</v>
      </c>
      <c r="F1040" t="s">
        <v>81</v>
      </c>
      <c r="G1040" t="s">
        <v>81</v>
      </c>
      <c r="H1040" t="s">
        <v>81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 t="s">
        <v>81</v>
      </c>
      <c r="BB1040" t="s">
        <v>81</v>
      </c>
      <c r="BC1040" t="s">
        <v>81</v>
      </c>
      <c r="BD1040" t="s">
        <v>81</v>
      </c>
      <c r="BE1040" t="s">
        <v>81</v>
      </c>
      <c r="BF1040" t="s">
        <v>81</v>
      </c>
      <c r="BG1040" t="s">
        <v>81</v>
      </c>
      <c r="BH1040" t="s">
        <v>81</v>
      </c>
    </row>
    <row r="1041" spans="1:60" x14ac:dyDescent="0.35">
      <c r="A1041" t="s">
        <v>2111</v>
      </c>
      <c r="B1041" t="s">
        <v>2183</v>
      </c>
      <c r="C1041" t="s">
        <v>2183</v>
      </c>
      <c r="D1041" t="s">
        <v>2184</v>
      </c>
      <c r="E1041">
        <v>86548</v>
      </c>
      <c r="F1041">
        <v>190</v>
      </c>
      <c r="G1041">
        <v>213.965</v>
      </c>
      <c r="H1041">
        <v>1.1261319999999999</v>
      </c>
      <c r="I1041">
        <v>7.0000000000000007E-2</v>
      </c>
      <c r="J1041">
        <v>0</v>
      </c>
      <c r="K1041">
        <v>0</v>
      </c>
      <c r="L1041">
        <v>0</v>
      </c>
      <c r="M1041">
        <v>0</v>
      </c>
      <c r="N1041">
        <v>7.0000000000000007E-2</v>
      </c>
      <c r="O1041">
        <v>13.44</v>
      </c>
      <c r="P1041">
        <v>0</v>
      </c>
      <c r="Q1041">
        <v>0</v>
      </c>
      <c r="R1041">
        <v>0</v>
      </c>
      <c r="S1041">
        <v>0</v>
      </c>
      <c r="T1041">
        <v>13.44</v>
      </c>
      <c r="U1041">
        <v>12438.06</v>
      </c>
      <c r="V1041">
        <v>0</v>
      </c>
      <c r="W1041">
        <v>0</v>
      </c>
      <c r="X1041">
        <v>0</v>
      </c>
      <c r="Y1041">
        <v>0</v>
      </c>
      <c r="Z1041">
        <v>12438.06</v>
      </c>
      <c r="AA1041">
        <v>200367.61</v>
      </c>
      <c r="AB1041">
        <v>3203.05</v>
      </c>
      <c r="AC1041">
        <v>117423.37</v>
      </c>
      <c r="AD1041">
        <v>0</v>
      </c>
      <c r="AE1041">
        <v>0</v>
      </c>
      <c r="AF1041">
        <v>320994.03000000003</v>
      </c>
      <c r="AG1041">
        <v>43714.55</v>
      </c>
      <c r="AH1041">
        <v>1581.09</v>
      </c>
      <c r="AI1041">
        <v>20015.650000000001</v>
      </c>
      <c r="AJ1041">
        <v>0</v>
      </c>
      <c r="AK1041">
        <v>0</v>
      </c>
      <c r="AL1041">
        <v>65311.29</v>
      </c>
      <c r="AM1041">
        <v>190884.8</v>
      </c>
      <c r="AN1041">
        <v>6982.04</v>
      </c>
      <c r="AO1041">
        <v>31532.52</v>
      </c>
      <c r="AP1041">
        <v>0</v>
      </c>
      <c r="AQ1041">
        <v>0</v>
      </c>
      <c r="AR1041">
        <v>229399.36</v>
      </c>
      <c r="AS1041">
        <v>33117.730000000003</v>
      </c>
      <c r="AT1041">
        <v>0</v>
      </c>
      <c r="AU1041">
        <v>4258.47</v>
      </c>
      <c r="AV1041">
        <v>0</v>
      </c>
      <c r="AW1041">
        <v>0</v>
      </c>
      <c r="AX1041">
        <v>37376.199999999997</v>
      </c>
      <c r="AY1041">
        <v>665532.44999999995</v>
      </c>
      <c r="AZ1041">
        <v>0</v>
      </c>
      <c r="BA1041">
        <v>90</v>
      </c>
      <c r="BB1041">
        <v>48211.934000000001</v>
      </c>
      <c r="BC1041">
        <v>4339074.0999999996</v>
      </c>
      <c r="BD1041">
        <v>10614.387333000001</v>
      </c>
      <c r="BE1041">
        <v>476.63400000000001</v>
      </c>
      <c r="BF1041">
        <v>586</v>
      </c>
      <c r="BG1041">
        <v>12498.080802</v>
      </c>
      <c r="BH1041">
        <v>1129.616</v>
      </c>
    </row>
    <row r="1042" spans="1:60" x14ac:dyDescent="0.35">
      <c r="A1042" t="s">
        <v>2111</v>
      </c>
      <c r="B1042" t="s">
        <v>2183</v>
      </c>
      <c r="C1042" t="s">
        <v>2185</v>
      </c>
      <c r="D1042" t="s">
        <v>2186</v>
      </c>
      <c r="E1042">
        <v>1432</v>
      </c>
      <c r="F1042">
        <v>1</v>
      </c>
      <c r="G1042">
        <v>2.1800989999999998</v>
      </c>
      <c r="H1042">
        <v>2.1800989999999998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12</v>
      </c>
      <c r="BG1042">
        <v>0</v>
      </c>
      <c r="BH1042">
        <v>0</v>
      </c>
    </row>
    <row r="1043" spans="1:60" x14ac:dyDescent="0.35">
      <c r="A1043" t="s">
        <v>2111</v>
      </c>
      <c r="B1043" t="s">
        <v>2183</v>
      </c>
      <c r="C1043" t="s">
        <v>2187</v>
      </c>
      <c r="D1043" t="s">
        <v>2188</v>
      </c>
      <c r="E1043">
        <v>5990</v>
      </c>
      <c r="F1043">
        <v>2</v>
      </c>
      <c r="G1043">
        <v>1.0895459999999999</v>
      </c>
      <c r="H1043">
        <v>0.54477299999999995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29</v>
      </c>
      <c r="BG1043">
        <v>11467.036552</v>
      </c>
      <c r="BH1043">
        <v>0</v>
      </c>
    </row>
    <row r="1044" spans="1:60" x14ac:dyDescent="0.35">
      <c r="A1044" t="s">
        <v>2111</v>
      </c>
      <c r="B1044" t="s">
        <v>2183</v>
      </c>
      <c r="C1044" t="s">
        <v>2189</v>
      </c>
      <c r="D1044" t="s">
        <v>2190</v>
      </c>
      <c r="E1044">
        <v>15235</v>
      </c>
      <c r="F1044">
        <v>6</v>
      </c>
      <c r="G1044">
        <v>4.58</v>
      </c>
      <c r="H1044">
        <v>0.76333329999999999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2</v>
      </c>
      <c r="BB1044">
        <v>49151.459000000003</v>
      </c>
      <c r="BC1044">
        <v>98302.917000000001</v>
      </c>
      <c r="BD1044">
        <v>0</v>
      </c>
      <c r="BE1044">
        <v>0</v>
      </c>
      <c r="BF1044">
        <v>69</v>
      </c>
      <c r="BG1044">
        <v>8403.468116</v>
      </c>
      <c r="BH1044">
        <v>67.028000000000006</v>
      </c>
    </row>
    <row r="1045" spans="1:60" x14ac:dyDescent="0.35">
      <c r="A1045" t="s">
        <v>2111</v>
      </c>
      <c r="B1045" t="s">
        <v>2183</v>
      </c>
      <c r="C1045" t="s">
        <v>2191</v>
      </c>
      <c r="D1045" t="s">
        <v>2192</v>
      </c>
      <c r="E1045">
        <v>11173</v>
      </c>
      <c r="F1045">
        <v>12</v>
      </c>
      <c r="G1045">
        <v>13.9132</v>
      </c>
      <c r="H1045">
        <v>1.1594329999999999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5</v>
      </c>
      <c r="BB1045">
        <v>61920.283000000003</v>
      </c>
      <c r="BC1045">
        <v>309601.41600000003</v>
      </c>
      <c r="BD1045">
        <v>26262.092000000001</v>
      </c>
      <c r="BE1045">
        <v>11117.483</v>
      </c>
      <c r="BF1045">
        <v>114</v>
      </c>
      <c r="BG1045">
        <v>7029.461491</v>
      </c>
      <c r="BH1045">
        <v>3619.7109999999998</v>
      </c>
    </row>
    <row r="1046" spans="1:60" x14ac:dyDescent="0.35">
      <c r="A1046" t="s">
        <v>2111</v>
      </c>
      <c r="B1046" t="s">
        <v>2183</v>
      </c>
      <c r="C1046" t="s">
        <v>2193</v>
      </c>
      <c r="D1046" t="s">
        <v>2194</v>
      </c>
      <c r="E1046">
        <v>16903</v>
      </c>
      <c r="F1046">
        <v>40</v>
      </c>
      <c r="G1046">
        <v>44.541719999999998</v>
      </c>
      <c r="H1046">
        <v>1.1135429999999999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3</v>
      </c>
      <c r="BB1046">
        <v>13256.888999999999</v>
      </c>
      <c r="BC1046">
        <v>39770.667000000001</v>
      </c>
      <c r="BD1046">
        <v>0</v>
      </c>
      <c r="BE1046">
        <v>0</v>
      </c>
      <c r="BF1046">
        <v>82</v>
      </c>
      <c r="BG1046">
        <v>7000.6395119999997</v>
      </c>
      <c r="BH1046">
        <v>135.79499999999999</v>
      </c>
    </row>
    <row r="1047" spans="1:60" x14ac:dyDescent="0.35">
      <c r="A1047" t="s">
        <v>2111</v>
      </c>
      <c r="B1047" t="s">
        <v>2183</v>
      </c>
      <c r="C1047" t="s">
        <v>2195</v>
      </c>
      <c r="D1047" t="s">
        <v>2196</v>
      </c>
      <c r="E1047">
        <v>32227</v>
      </c>
      <c r="F1047">
        <v>71</v>
      </c>
      <c r="G1047">
        <v>59.018270000000001</v>
      </c>
      <c r="H1047">
        <v>0.83124319999999996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26</v>
      </c>
      <c r="BB1047">
        <v>36125.152999999998</v>
      </c>
      <c r="BC1047">
        <v>939253.99</v>
      </c>
      <c r="BD1047">
        <v>13388.867308000001</v>
      </c>
      <c r="BE1047">
        <v>19.940000000000001</v>
      </c>
      <c r="BF1047">
        <v>183</v>
      </c>
      <c r="BG1047">
        <v>10175.358141999999</v>
      </c>
      <c r="BH1047">
        <v>64.266000000000005</v>
      </c>
    </row>
    <row r="1048" spans="1:60" x14ac:dyDescent="0.35">
      <c r="A1048" t="s">
        <v>2111</v>
      </c>
      <c r="B1048" t="s">
        <v>2183</v>
      </c>
      <c r="C1048" t="s">
        <v>2197</v>
      </c>
      <c r="D1048" t="s">
        <v>2198</v>
      </c>
      <c r="E1048">
        <v>20570</v>
      </c>
      <c r="F1048">
        <v>14</v>
      </c>
      <c r="G1048">
        <v>14.1807</v>
      </c>
      <c r="H1048">
        <v>1.012907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6</v>
      </c>
      <c r="BB1048">
        <v>83627.911999999997</v>
      </c>
      <c r="BC1048">
        <v>501767.47200000001</v>
      </c>
      <c r="BD1048">
        <v>11594.116667</v>
      </c>
      <c r="BE1048">
        <v>406.822</v>
      </c>
      <c r="BF1048">
        <v>103</v>
      </c>
      <c r="BG1048">
        <v>14852.969515000001</v>
      </c>
      <c r="BH1048">
        <v>28.63</v>
      </c>
    </row>
    <row r="1049" spans="1:60" x14ac:dyDescent="0.35">
      <c r="A1049" t="s">
        <v>2199</v>
      </c>
      <c r="B1049" t="s">
        <v>2200</v>
      </c>
      <c r="C1049" t="s">
        <v>2200</v>
      </c>
      <c r="D1049" t="s">
        <v>2201</v>
      </c>
      <c r="E1049">
        <v>126352</v>
      </c>
      <c r="F1049">
        <v>1198</v>
      </c>
      <c r="G1049">
        <v>954.91629999999998</v>
      </c>
      <c r="H1049">
        <v>0.79709200000000002</v>
      </c>
      <c r="I1049">
        <v>44874.9</v>
      </c>
      <c r="J1049">
        <v>0</v>
      </c>
      <c r="K1049">
        <v>0</v>
      </c>
      <c r="L1049">
        <v>0</v>
      </c>
      <c r="M1049">
        <v>0</v>
      </c>
      <c r="N1049">
        <v>44874.9</v>
      </c>
      <c r="O1049">
        <v>168375.25</v>
      </c>
      <c r="P1049">
        <v>0</v>
      </c>
      <c r="Q1049">
        <v>27295.919999999998</v>
      </c>
      <c r="R1049">
        <v>2865.69</v>
      </c>
      <c r="S1049">
        <v>0</v>
      </c>
      <c r="T1049">
        <v>198536.86</v>
      </c>
      <c r="U1049">
        <v>151790.73000000001</v>
      </c>
      <c r="V1049">
        <v>0</v>
      </c>
      <c r="W1049">
        <v>9555.85</v>
      </c>
      <c r="X1049">
        <v>5853.33</v>
      </c>
      <c r="Y1049">
        <v>0</v>
      </c>
      <c r="Z1049">
        <v>167199.91</v>
      </c>
      <c r="AA1049">
        <v>594720.92000000004</v>
      </c>
      <c r="AB1049">
        <v>49014.2</v>
      </c>
      <c r="AC1049">
        <v>484511.83</v>
      </c>
      <c r="AD1049">
        <v>31904.67</v>
      </c>
      <c r="AE1049">
        <v>0</v>
      </c>
      <c r="AF1049">
        <v>1160151.6200000001</v>
      </c>
      <c r="AG1049">
        <v>27935.01</v>
      </c>
      <c r="AH1049">
        <v>11000.58</v>
      </c>
      <c r="AI1049">
        <v>71398.12</v>
      </c>
      <c r="AJ1049">
        <v>3277.72</v>
      </c>
      <c r="AK1049">
        <v>0</v>
      </c>
      <c r="AL1049">
        <v>113611.43</v>
      </c>
      <c r="AM1049">
        <v>964538.85</v>
      </c>
      <c r="AN1049">
        <v>76081.87</v>
      </c>
      <c r="AO1049">
        <v>246207.06</v>
      </c>
      <c r="AP1049">
        <v>16298.35</v>
      </c>
      <c r="AQ1049">
        <v>0</v>
      </c>
      <c r="AR1049">
        <v>1303126.1299999999</v>
      </c>
      <c r="AS1049">
        <v>400910.86</v>
      </c>
      <c r="AT1049">
        <v>2.4</v>
      </c>
      <c r="AU1049">
        <v>53415.29</v>
      </c>
      <c r="AV1049">
        <v>0</v>
      </c>
      <c r="AW1049">
        <v>0</v>
      </c>
      <c r="AX1049">
        <v>454328.55</v>
      </c>
      <c r="AY1049">
        <v>3441829.4</v>
      </c>
      <c r="AZ1049">
        <v>1</v>
      </c>
      <c r="BA1049">
        <v>262</v>
      </c>
      <c r="BB1049">
        <v>37514.868000000002</v>
      </c>
      <c r="BC1049">
        <v>9828895.4169999994</v>
      </c>
      <c r="BD1049">
        <v>3681.0281300000001</v>
      </c>
      <c r="BE1049">
        <v>1900.1869999999999</v>
      </c>
      <c r="BF1049">
        <v>2367</v>
      </c>
      <c r="BG1049">
        <v>5880.8223189999999</v>
      </c>
      <c r="BH1049">
        <v>1865.454</v>
      </c>
    </row>
    <row r="1050" spans="1:60" x14ac:dyDescent="0.35">
      <c r="A1050" t="s">
        <v>2199</v>
      </c>
      <c r="B1050" t="s">
        <v>2200</v>
      </c>
      <c r="C1050" t="s">
        <v>2202</v>
      </c>
      <c r="D1050" t="s">
        <v>2203</v>
      </c>
      <c r="E1050">
        <v>402</v>
      </c>
      <c r="F1050" t="s">
        <v>81</v>
      </c>
      <c r="G1050" t="s">
        <v>81</v>
      </c>
      <c r="H1050" t="s">
        <v>81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 t="s">
        <v>81</v>
      </c>
      <c r="BB1050" t="s">
        <v>81</v>
      </c>
      <c r="BC1050" t="s">
        <v>81</v>
      </c>
      <c r="BD1050" t="s">
        <v>81</v>
      </c>
      <c r="BE1050" t="s">
        <v>81</v>
      </c>
      <c r="BF1050" t="s">
        <v>81</v>
      </c>
      <c r="BG1050" t="s">
        <v>81</v>
      </c>
      <c r="BH1050" t="s">
        <v>81</v>
      </c>
    </row>
    <row r="1051" spans="1:60" x14ac:dyDescent="0.35">
      <c r="A1051" t="s">
        <v>2199</v>
      </c>
      <c r="B1051" t="s">
        <v>2200</v>
      </c>
      <c r="C1051" t="s">
        <v>2204</v>
      </c>
      <c r="D1051" t="s">
        <v>2205</v>
      </c>
      <c r="E1051">
        <v>862</v>
      </c>
      <c r="F1051" t="s">
        <v>81</v>
      </c>
      <c r="G1051" t="s">
        <v>81</v>
      </c>
      <c r="H1051" t="s">
        <v>81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 t="s">
        <v>81</v>
      </c>
      <c r="BB1051" t="s">
        <v>81</v>
      </c>
      <c r="BC1051" t="s">
        <v>81</v>
      </c>
      <c r="BD1051" t="s">
        <v>81</v>
      </c>
      <c r="BE1051" t="s">
        <v>81</v>
      </c>
      <c r="BF1051" t="s">
        <v>81</v>
      </c>
      <c r="BG1051" t="s">
        <v>81</v>
      </c>
      <c r="BH1051" t="s">
        <v>81</v>
      </c>
    </row>
    <row r="1052" spans="1:60" x14ac:dyDescent="0.35">
      <c r="A1052" t="s">
        <v>2199</v>
      </c>
      <c r="B1052" t="s">
        <v>2200</v>
      </c>
      <c r="C1052" t="s">
        <v>2206</v>
      </c>
      <c r="D1052" t="s">
        <v>2207</v>
      </c>
      <c r="E1052">
        <v>584</v>
      </c>
      <c r="F1052">
        <v>1</v>
      </c>
      <c r="G1052">
        <v>2.4031539999999998</v>
      </c>
      <c r="H1052">
        <v>2.4031539999999998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2</v>
      </c>
      <c r="BG1052">
        <v>0</v>
      </c>
      <c r="BH1052">
        <v>0</v>
      </c>
    </row>
    <row r="1053" spans="1:60" x14ac:dyDescent="0.35">
      <c r="A1053" t="s">
        <v>2199</v>
      </c>
      <c r="B1053" t="s">
        <v>2200</v>
      </c>
      <c r="C1053" t="s">
        <v>2208</v>
      </c>
      <c r="D1053" t="s">
        <v>2209</v>
      </c>
      <c r="E1053">
        <v>104173</v>
      </c>
      <c r="F1053">
        <v>200</v>
      </c>
      <c r="G1053">
        <v>149.8503</v>
      </c>
      <c r="H1053">
        <v>0.74925169999999996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59782.61</v>
      </c>
      <c r="AB1053">
        <v>16634.34</v>
      </c>
      <c r="AC1053">
        <v>189381.9</v>
      </c>
      <c r="AD1053">
        <v>7535.06</v>
      </c>
      <c r="AE1053">
        <v>0</v>
      </c>
      <c r="AF1053">
        <v>273333.90999999997</v>
      </c>
      <c r="AG1053">
        <v>7173.92</v>
      </c>
      <c r="AH1053">
        <v>4133.82</v>
      </c>
      <c r="AI1053">
        <v>29614.9</v>
      </c>
      <c r="AJ1053">
        <v>1331.29</v>
      </c>
      <c r="AK1053">
        <v>0</v>
      </c>
      <c r="AL1053">
        <v>42253.93</v>
      </c>
      <c r="AM1053">
        <v>2902.97</v>
      </c>
      <c r="AN1053">
        <v>3506.62</v>
      </c>
      <c r="AO1053">
        <v>56210.97</v>
      </c>
      <c r="AP1053">
        <v>2239.88</v>
      </c>
      <c r="AQ1053">
        <v>0</v>
      </c>
      <c r="AR1053">
        <v>64860.44</v>
      </c>
      <c r="AS1053">
        <v>136.94999999999999</v>
      </c>
      <c r="AT1053">
        <v>0</v>
      </c>
      <c r="AU1053">
        <v>9346.18</v>
      </c>
      <c r="AV1053">
        <v>0</v>
      </c>
      <c r="AW1053">
        <v>0</v>
      </c>
      <c r="AX1053">
        <v>9483.1299999999992</v>
      </c>
      <c r="AY1053">
        <v>389931.41</v>
      </c>
      <c r="AZ1053">
        <v>1</v>
      </c>
      <c r="BA1053">
        <v>73</v>
      </c>
      <c r="BB1053">
        <v>42158.762000000002</v>
      </c>
      <c r="BC1053">
        <v>3077589.6529999999</v>
      </c>
      <c r="BD1053">
        <v>4975.6145210000004</v>
      </c>
      <c r="BE1053">
        <v>598.61900000000003</v>
      </c>
      <c r="BF1053">
        <v>898</v>
      </c>
      <c r="BG1053">
        <v>2715.5847439999998</v>
      </c>
      <c r="BH1053">
        <v>572.58100000000002</v>
      </c>
    </row>
    <row r="1054" spans="1:60" x14ac:dyDescent="0.35">
      <c r="A1054" t="s">
        <v>2199</v>
      </c>
      <c r="B1054" t="s">
        <v>2200</v>
      </c>
      <c r="C1054" t="s">
        <v>2210</v>
      </c>
      <c r="D1054" t="s">
        <v>2211</v>
      </c>
      <c r="E1054">
        <v>1437</v>
      </c>
      <c r="F1054">
        <v>2</v>
      </c>
      <c r="G1054">
        <v>5.9301370000000002</v>
      </c>
      <c r="H1054">
        <v>2.9650690000000002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 t="s">
        <v>81</v>
      </c>
      <c r="BB1054" t="s">
        <v>81</v>
      </c>
      <c r="BC1054" t="s">
        <v>81</v>
      </c>
      <c r="BD1054" t="s">
        <v>81</v>
      </c>
      <c r="BE1054" t="s">
        <v>81</v>
      </c>
      <c r="BF1054" t="s">
        <v>81</v>
      </c>
      <c r="BG1054" t="s">
        <v>81</v>
      </c>
      <c r="BH1054" t="s">
        <v>81</v>
      </c>
    </row>
    <row r="1055" spans="1:60" x14ac:dyDescent="0.35">
      <c r="A1055" t="s">
        <v>2199</v>
      </c>
      <c r="B1055" t="s">
        <v>2200</v>
      </c>
      <c r="C1055" t="s">
        <v>2212</v>
      </c>
      <c r="D1055" t="s">
        <v>2213</v>
      </c>
      <c r="E1055">
        <v>2023</v>
      </c>
      <c r="F1055">
        <v>1</v>
      </c>
      <c r="G1055">
        <v>0.2</v>
      </c>
      <c r="H1055">
        <v>0.2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8</v>
      </c>
      <c r="BG1055">
        <v>0</v>
      </c>
      <c r="BH1055">
        <v>0</v>
      </c>
    </row>
    <row r="1056" spans="1:60" x14ac:dyDescent="0.35">
      <c r="A1056" t="s">
        <v>2199</v>
      </c>
      <c r="B1056" t="s">
        <v>2200</v>
      </c>
      <c r="C1056" t="s">
        <v>2214</v>
      </c>
      <c r="D1056" t="s">
        <v>2215</v>
      </c>
      <c r="E1056">
        <v>960</v>
      </c>
      <c r="F1056" t="s">
        <v>81</v>
      </c>
      <c r="G1056" t="s">
        <v>81</v>
      </c>
      <c r="H1056" t="s">
        <v>81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1</v>
      </c>
      <c r="BG1056">
        <v>0</v>
      </c>
      <c r="BH1056">
        <v>0</v>
      </c>
    </row>
    <row r="1057" spans="1:60" x14ac:dyDescent="0.35">
      <c r="A1057" t="s">
        <v>2199</v>
      </c>
      <c r="B1057" t="s">
        <v>2200</v>
      </c>
      <c r="C1057" t="s">
        <v>2216</v>
      </c>
      <c r="D1057" t="s">
        <v>2217</v>
      </c>
      <c r="E1057">
        <v>1167</v>
      </c>
      <c r="F1057" t="s">
        <v>81</v>
      </c>
      <c r="G1057" t="s">
        <v>81</v>
      </c>
      <c r="H1057" t="s">
        <v>81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1</v>
      </c>
      <c r="BB1057">
        <v>4500</v>
      </c>
      <c r="BC1057">
        <v>4500</v>
      </c>
      <c r="BD1057">
        <v>11928.93</v>
      </c>
      <c r="BE1057">
        <v>0</v>
      </c>
      <c r="BF1057">
        <v>6</v>
      </c>
      <c r="BG1057">
        <v>2427.8716669999999</v>
      </c>
      <c r="BH1057">
        <v>0</v>
      </c>
    </row>
    <row r="1058" spans="1:60" x14ac:dyDescent="0.35">
      <c r="A1058" t="s">
        <v>2199</v>
      </c>
      <c r="B1058" t="s">
        <v>2200</v>
      </c>
      <c r="C1058" t="s">
        <v>2218</v>
      </c>
      <c r="D1058" t="s">
        <v>2219</v>
      </c>
      <c r="E1058">
        <v>179769</v>
      </c>
      <c r="F1058">
        <v>604</v>
      </c>
      <c r="G1058">
        <v>547.21460000000002</v>
      </c>
      <c r="H1058">
        <v>0.90598449999999997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60.14</v>
      </c>
      <c r="P1058">
        <v>446.02</v>
      </c>
      <c r="Q1058">
        <v>0</v>
      </c>
      <c r="R1058">
        <v>0</v>
      </c>
      <c r="S1058">
        <v>0</v>
      </c>
      <c r="T1058">
        <v>506.16</v>
      </c>
      <c r="U1058">
        <v>13750.6</v>
      </c>
      <c r="V1058">
        <v>497.44</v>
      </c>
      <c r="W1058">
        <v>217.31</v>
      </c>
      <c r="X1058">
        <v>0</v>
      </c>
      <c r="Y1058">
        <v>0</v>
      </c>
      <c r="Z1058">
        <v>14465.35</v>
      </c>
      <c r="AA1058">
        <v>203132.43</v>
      </c>
      <c r="AB1058">
        <v>11779.16</v>
      </c>
      <c r="AC1058">
        <v>361428.45</v>
      </c>
      <c r="AD1058">
        <v>23633.14</v>
      </c>
      <c r="AE1058">
        <v>0</v>
      </c>
      <c r="AF1058">
        <v>599973.18000000005</v>
      </c>
      <c r="AG1058">
        <v>8149.8</v>
      </c>
      <c r="AH1058">
        <v>1972.29</v>
      </c>
      <c r="AI1058">
        <v>51383.31</v>
      </c>
      <c r="AJ1058">
        <v>4245.03</v>
      </c>
      <c r="AK1058">
        <v>0</v>
      </c>
      <c r="AL1058">
        <v>65750.429999999993</v>
      </c>
      <c r="AM1058">
        <v>211307.36</v>
      </c>
      <c r="AN1058">
        <v>19406.95</v>
      </c>
      <c r="AO1058">
        <v>131598.01</v>
      </c>
      <c r="AP1058">
        <v>5449.35</v>
      </c>
      <c r="AQ1058">
        <v>0</v>
      </c>
      <c r="AR1058">
        <v>367761.67</v>
      </c>
      <c r="AS1058">
        <v>78523.399999999994</v>
      </c>
      <c r="AT1058">
        <v>0</v>
      </c>
      <c r="AU1058">
        <v>30886.21</v>
      </c>
      <c r="AV1058">
        <v>0</v>
      </c>
      <c r="AW1058">
        <v>0</v>
      </c>
      <c r="AX1058">
        <v>109409.61</v>
      </c>
      <c r="AY1058">
        <v>1157866.3999999999</v>
      </c>
      <c r="AZ1058">
        <v>1</v>
      </c>
      <c r="BA1058">
        <v>205</v>
      </c>
      <c r="BB1058">
        <v>49849.442000000003</v>
      </c>
      <c r="BC1058">
        <v>10219135.530999999</v>
      </c>
      <c r="BD1058">
        <v>3886.8584390000001</v>
      </c>
      <c r="BE1058">
        <v>1726.557</v>
      </c>
      <c r="BF1058">
        <v>1672</v>
      </c>
      <c r="BG1058">
        <v>4489.5385349999997</v>
      </c>
      <c r="BH1058">
        <v>535.42200000000003</v>
      </c>
    </row>
    <row r="1059" spans="1:60" x14ac:dyDescent="0.35">
      <c r="A1059" t="s">
        <v>2199</v>
      </c>
      <c r="B1059" t="s">
        <v>2200</v>
      </c>
      <c r="C1059" t="s">
        <v>2220</v>
      </c>
      <c r="D1059" t="s">
        <v>2221</v>
      </c>
      <c r="E1059">
        <v>1358</v>
      </c>
      <c r="F1059" t="s">
        <v>81</v>
      </c>
      <c r="G1059" t="s">
        <v>81</v>
      </c>
      <c r="H1059" t="s">
        <v>81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3</v>
      </c>
      <c r="BG1059">
        <v>0</v>
      </c>
      <c r="BH1059">
        <v>0</v>
      </c>
    </row>
    <row r="1060" spans="1:60" x14ac:dyDescent="0.35">
      <c r="A1060" t="s">
        <v>2199</v>
      </c>
      <c r="B1060" t="s">
        <v>2200</v>
      </c>
      <c r="C1060" t="s">
        <v>2222</v>
      </c>
      <c r="D1060" t="s">
        <v>2223</v>
      </c>
      <c r="E1060">
        <v>6139</v>
      </c>
      <c r="F1060">
        <v>8</v>
      </c>
      <c r="G1060">
        <v>8.3433620000000008</v>
      </c>
      <c r="H1060">
        <v>1.0429200000000001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2</v>
      </c>
      <c r="BB1060">
        <v>63839.574999999997</v>
      </c>
      <c r="BC1060">
        <v>127679.15</v>
      </c>
      <c r="BD1060">
        <v>0</v>
      </c>
      <c r="BE1060">
        <v>0</v>
      </c>
      <c r="BF1060">
        <v>34</v>
      </c>
      <c r="BG1060">
        <v>512.71176500000001</v>
      </c>
      <c r="BH1060">
        <v>0</v>
      </c>
    </row>
    <row r="1061" spans="1:60" x14ac:dyDescent="0.35">
      <c r="A1061" t="s">
        <v>2199</v>
      </c>
      <c r="B1061" t="s">
        <v>2200</v>
      </c>
      <c r="C1061" t="s">
        <v>2224</v>
      </c>
      <c r="D1061" t="s">
        <v>2225</v>
      </c>
      <c r="E1061">
        <v>33516</v>
      </c>
      <c r="F1061">
        <v>22</v>
      </c>
      <c r="G1061">
        <v>8.6257999999999999</v>
      </c>
      <c r="H1061">
        <v>0.39208179999999998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</v>
      </c>
      <c r="BA1061">
        <v>3</v>
      </c>
      <c r="BB1061">
        <v>58283.222000000002</v>
      </c>
      <c r="BC1061">
        <v>174849.66699999999</v>
      </c>
      <c r="BD1061">
        <v>0</v>
      </c>
      <c r="BE1061">
        <v>329.38400000000001</v>
      </c>
      <c r="BF1061">
        <v>127</v>
      </c>
      <c r="BG1061">
        <v>2155.610709</v>
      </c>
      <c r="BH1061">
        <v>428.94200000000001</v>
      </c>
    </row>
    <row r="1062" spans="1:60" x14ac:dyDescent="0.35">
      <c r="A1062" t="s">
        <v>2199</v>
      </c>
      <c r="B1062" t="s">
        <v>2200</v>
      </c>
      <c r="C1062" t="s">
        <v>2226</v>
      </c>
      <c r="D1062" t="s">
        <v>2227</v>
      </c>
      <c r="E1062">
        <v>781</v>
      </c>
      <c r="F1062" t="s">
        <v>81</v>
      </c>
      <c r="G1062" t="s">
        <v>81</v>
      </c>
      <c r="H1062" t="s">
        <v>81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 t="s">
        <v>81</v>
      </c>
      <c r="BB1062" t="s">
        <v>81</v>
      </c>
      <c r="BC1062" t="s">
        <v>81</v>
      </c>
      <c r="BD1062" t="s">
        <v>81</v>
      </c>
      <c r="BE1062" t="s">
        <v>81</v>
      </c>
      <c r="BF1062" t="s">
        <v>81</v>
      </c>
      <c r="BG1062" t="s">
        <v>81</v>
      </c>
      <c r="BH1062" t="s">
        <v>81</v>
      </c>
    </row>
    <row r="1063" spans="1:60" x14ac:dyDescent="0.35">
      <c r="A1063" t="s">
        <v>2199</v>
      </c>
      <c r="B1063" t="s">
        <v>2200</v>
      </c>
      <c r="C1063" t="s">
        <v>2228</v>
      </c>
      <c r="D1063" t="s">
        <v>2229</v>
      </c>
      <c r="E1063">
        <v>11132</v>
      </c>
      <c r="F1063">
        <v>14</v>
      </c>
      <c r="G1063">
        <v>8.2936820000000004</v>
      </c>
      <c r="H1063">
        <v>0.59240590000000004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2807.72</v>
      </c>
      <c r="X1063">
        <v>0</v>
      </c>
      <c r="Y1063">
        <v>0</v>
      </c>
      <c r="Z1063">
        <v>2807.72</v>
      </c>
      <c r="AA1063">
        <v>0</v>
      </c>
      <c r="AB1063">
        <v>0</v>
      </c>
      <c r="AC1063">
        <v>23329.86</v>
      </c>
      <c r="AD1063">
        <v>0</v>
      </c>
      <c r="AE1063">
        <v>0</v>
      </c>
      <c r="AF1063">
        <v>23329.86</v>
      </c>
      <c r="AG1063">
        <v>0</v>
      </c>
      <c r="AH1063">
        <v>0</v>
      </c>
      <c r="AI1063">
        <v>4529.92</v>
      </c>
      <c r="AJ1063">
        <v>0</v>
      </c>
      <c r="AK1063">
        <v>0</v>
      </c>
      <c r="AL1063">
        <v>4529.92</v>
      </c>
      <c r="AM1063">
        <v>0</v>
      </c>
      <c r="AN1063">
        <v>0</v>
      </c>
      <c r="AO1063">
        <v>5774.7</v>
      </c>
      <c r="AP1063">
        <v>0</v>
      </c>
      <c r="AQ1063">
        <v>0</v>
      </c>
      <c r="AR1063">
        <v>5774.7</v>
      </c>
      <c r="AS1063">
        <v>0</v>
      </c>
      <c r="AT1063">
        <v>0</v>
      </c>
      <c r="AU1063">
        <v>867.37</v>
      </c>
      <c r="AV1063">
        <v>0</v>
      </c>
      <c r="AW1063">
        <v>0</v>
      </c>
      <c r="AX1063">
        <v>867.37</v>
      </c>
      <c r="AY1063">
        <v>37309.57</v>
      </c>
      <c r="AZ1063">
        <v>1</v>
      </c>
      <c r="BA1063">
        <v>2</v>
      </c>
      <c r="BB1063">
        <v>30824.417000000001</v>
      </c>
      <c r="BC1063">
        <v>61648.834000000003</v>
      </c>
      <c r="BD1063">
        <v>0</v>
      </c>
      <c r="BE1063">
        <v>0</v>
      </c>
      <c r="BF1063">
        <v>60</v>
      </c>
      <c r="BG1063">
        <v>2029.1163329999999</v>
      </c>
      <c r="BH1063">
        <v>696.52499999999998</v>
      </c>
    </row>
    <row r="1064" spans="1:60" x14ac:dyDescent="0.35">
      <c r="A1064" t="s">
        <v>2199</v>
      </c>
      <c r="B1064" t="s">
        <v>2200</v>
      </c>
      <c r="C1064" t="s">
        <v>2230</v>
      </c>
      <c r="D1064" t="s">
        <v>2231</v>
      </c>
      <c r="E1064">
        <v>2315</v>
      </c>
      <c r="F1064" t="s">
        <v>81</v>
      </c>
      <c r="G1064" t="s">
        <v>81</v>
      </c>
      <c r="H1064" t="s">
        <v>81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7766</v>
      </c>
      <c r="BC1064">
        <v>7766</v>
      </c>
      <c r="BD1064">
        <v>0</v>
      </c>
      <c r="BE1064">
        <v>1244.8920000000001</v>
      </c>
      <c r="BF1064">
        <v>15</v>
      </c>
      <c r="BG1064">
        <v>1116.44</v>
      </c>
      <c r="BH1064">
        <v>0</v>
      </c>
    </row>
    <row r="1065" spans="1:60" x14ac:dyDescent="0.35">
      <c r="A1065" t="s">
        <v>2199</v>
      </c>
      <c r="B1065" t="s">
        <v>2200</v>
      </c>
      <c r="C1065" t="s">
        <v>2232</v>
      </c>
      <c r="D1065" t="s">
        <v>2233</v>
      </c>
      <c r="E1065">
        <v>4586</v>
      </c>
      <c r="F1065" t="s">
        <v>81</v>
      </c>
      <c r="G1065" t="s">
        <v>81</v>
      </c>
      <c r="H1065" t="s">
        <v>81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6</v>
      </c>
      <c r="BG1065">
        <v>0</v>
      </c>
      <c r="BH1065">
        <v>0</v>
      </c>
    </row>
    <row r="1066" spans="1:60" x14ac:dyDescent="0.35">
      <c r="A1066" t="s">
        <v>2199</v>
      </c>
      <c r="B1066" t="s">
        <v>2200</v>
      </c>
      <c r="C1066" t="s">
        <v>2234</v>
      </c>
      <c r="D1066" t="s">
        <v>2235</v>
      </c>
      <c r="E1066">
        <v>26992</v>
      </c>
      <c r="F1066">
        <v>47</v>
      </c>
      <c r="G1066">
        <v>36.877490000000002</v>
      </c>
      <c r="H1066">
        <v>0.78462739999999997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24369.8</v>
      </c>
      <c r="AD1066">
        <v>0</v>
      </c>
      <c r="AE1066">
        <v>0</v>
      </c>
      <c r="AF1066">
        <v>24369.8</v>
      </c>
      <c r="AG1066">
        <v>0</v>
      </c>
      <c r="AH1066">
        <v>0</v>
      </c>
      <c r="AI1066">
        <v>4399.63</v>
      </c>
      <c r="AJ1066">
        <v>0</v>
      </c>
      <c r="AK1066">
        <v>0</v>
      </c>
      <c r="AL1066">
        <v>4399.63</v>
      </c>
      <c r="AM1066">
        <v>0</v>
      </c>
      <c r="AN1066">
        <v>0</v>
      </c>
      <c r="AO1066">
        <v>14088.71</v>
      </c>
      <c r="AP1066">
        <v>0</v>
      </c>
      <c r="AQ1066">
        <v>0</v>
      </c>
      <c r="AR1066">
        <v>14088.71</v>
      </c>
      <c r="AS1066">
        <v>0</v>
      </c>
      <c r="AT1066">
        <v>0</v>
      </c>
      <c r="AU1066">
        <v>3330.31</v>
      </c>
      <c r="AV1066">
        <v>0</v>
      </c>
      <c r="AW1066">
        <v>0</v>
      </c>
      <c r="AX1066">
        <v>3330.31</v>
      </c>
      <c r="AY1066">
        <v>46188.45</v>
      </c>
      <c r="AZ1066">
        <v>1</v>
      </c>
      <c r="BA1066">
        <v>16</v>
      </c>
      <c r="BB1066">
        <v>46102.427000000003</v>
      </c>
      <c r="BC1066">
        <v>737638.83299999998</v>
      </c>
      <c r="BD1066">
        <v>3.75</v>
      </c>
      <c r="BE1066">
        <v>0</v>
      </c>
      <c r="BF1066">
        <v>146</v>
      </c>
      <c r="BG1066">
        <v>1119.6186299999999</v>
      </c>
      <c r="BH1066">
        <v>1399.4760000000001</v>
      </c>
    </row>
    <row r="1067" spans="1:60" x14ac:dyDescent="0.35">
      <c r="A1067" t="s">
        <v>2199</v>
      </c>
      <c r="B1067" t="s">
        <v>2200</v>
      </c>
      <c r="C1067" t="s">
        <v>2236</v>
      </c>
      <c r="D1067" t="s">
        <v>2237</v>
      </c>
      <c r="E1067">
        <v>4533</v>
      </c>
      <c r="F1067" t="s">
        <v>81</v>
      </c>
      <c r="G1067" t="s">
        <v>81</v>
      </c>
      <c r="H1067" t="s">
        <v>81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6</v>
      </c>
      <c r="BG1067">
        <v>2626.333333</v>
      </c>
      <c r="BH1067">
        <v>0</v>
      </c>
    </row>
    <row r="1068" spans="1:60" x14ac:dyDescent="0.35">
      <c r="A1068" t="s">
        <v>2199</v>
      </c>
      <c r="B1068" t="s">
        <v>2200</v>
      </c>
      <c r="C1068" t="s">
        <v>2238</v>
      </c>
      <c r="D1068" t="s">
        <v>2239</v>
      </c>
      <c r="E1068">
        <v>1853</v>
      </c>
      <c r="F1068">
        <v>3</v>
      </c>
      <c r="G1068">
        <v>3.7015579999999999</v>
      </c>
      <c r="H1068">
        <v>1.2338530000000001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2</v>
      </c>
      <c r="BG1068">
        <v>0</v>
      </c>
      <c r="BH1068">
        <v>0</v>
      </c>
    </row>
    <row r="1069" spans="1:60" x14ac:dyDescent="0.35">
      <c r="A1069" t="s">
        <v>2199</v>
      </c>
      <c r="B1069" t="s">
        <v>2200</v>
      </c>
      <c r="C1069" t="s">
        <v>2240</v>
      </c>
      <c r="D1069" t="s">
        <v>2241</v>
      </c>
      <c r="E1069">
        <v>4122</v>
      </c>
      <c r="F1069">
        <v>4</v>
      </c>
      <c r="G1069">
        <v>2.0617930000000002</v>
      </c>
      <c r="H1069">
        <v>0.51544829999999997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22</v>
      </c>
      <c r="BG1069">
        <v>4795.1118180000003</v>
      </c>
      <c r="BH1069">
        <v>0</v>
      </c>
    </row>
    <row r="1070" spans="1:60" x14ac:dyDescent="0.35">
      <c r="A1070" t="s">
        <v>2199</v>
      </c>
      <c r="B1070" t="s">
        <v>2200</v>
      </c>
      <c r="C1070" t="s">
        <v>2242</v>
      </c>
      <c r="D1070" t="s">
        <v>2243</v>
      </c>
      <c r="E1070">
        <v>21202</v>
      </c>
      <c r="F1070">
        <v>36</v>
      </c>
      <c r="G1070">
        <v>45.970239999999997</v>
      </c>
      <c r="H1070">
        <v>1.2769509999999999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6716.15</v>
      </c>
      <c r="AD1070">
        <v>0</v>
      </c>
      <c r="AE1070">
        <v>0</v>
      </c>
      <c r="AF1070">
        <v>6716.15</v>
      </c>
      <c r="AG1070">
        <v>0</v>
      </c>
      <c r="AH1070">
        <v>0</v>
      </c>
      <c r="AI1070">
        <v>1217.7</v>
      </c>
      <c r="AJ1070">
        <v>0</v>
      </c>
      <c r="AK1070">
        <v>0</v>
      </c>
      <c r="AL1070">
        <v>1217.7</v>
      </c>
      <c r="AM1070">
        <v>0</v>
      </c>
      <c r="AN1070">
        <v>0</v>
      </c>
      <c r="AO1070">
        <v>1745.35</v>
      </c>
      <c r="AP1070">
        <v>0</v>
      </c>
      <c r="AQ1070">
        <v>0</v>
      </c>
      <c r="AR1070">
        <v>1745.35</v>
      </c>
      <c r="AS1070">
        <v>0</v>
      </c>
      <c r="AT1070">
        <v>0</v>
      </c>
      <c r="AU1070">
        <v>146.49</v>
      </c>
      <c r="AV1070">
        <v>0</v>
      </c>
      <c r="AW1070">
        <v>0</v>
      </c>
      <c r="AX1070">
        <v>146.49</v>
      </c>
      <c r="AY1070">
        <v>9825.69</v>
      </c>
      <c r="AZ1070">
        <v>0</v>
      </c>
      <c r="BA1070">
        <v>5</v>
      </c>
      <c r="BB1070">
        <v>95446.017999999996</v>
      </c>
      <c r="BC1070">
        <v>477230.092</v>
      </c>
      <c r="BD1070">
        <v>0</v>
      </c>
      <c r="BE1070">
        <v>0</v>
      </c>
      <c r="BF1070">
        <v>113</v>
      </c>
      <c r="BG1070">
        <v>2162.3388500000001</v>
      </c>
      <c r="BH1070">
        <v>0</v>
      </c>
    </row>
    <row r="1071" spans="1:60" x14ac:dyDescent="0.35">
      <c r="A1071" t="s">
        <v>2199</v>
      </c>
      <c r="B1071" t="s">
        <v>2200</v>
      </c>
      <c r="C1071" t="s">
        <v>2244</v>
      </c>
      <c r="D1071" t="s">
        <v>2245</v>
      </c>
      <c r="E1071">
        <v>13580</v>
      </c>
      <c r="F1071">
        <v>15</v>
      </c>
      <c r="G1071">
        <v>15.48183</v>
      </c>
      <c r="H1071">
        <v>1.032122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24712.19</v>
      </c>
      <c r="AD1071">
        <v>0</v>
      </c>
      <c r="AE1071">
        <v>0</v>
      </c>
      <c r="AF1071">
        <v>24712.19</v>
      </c>
      <c r="AG1071">
        <v>0</v>
      </c>
      <c r="AH1071">
        <v>0</v>
      </c>
      <c r="AI1071">
        <v>4726.3900000000003</v>
      </c>
      <c r="AJ1071">
        <v>0</v>
      </c>
      <c r="AK1071">
        <v>0</v>
      </c>
      <c r="AL1071">
        <v>4726.3900000000003</v>
      </c>
      <c r="AM1071">
        <v>0</v>
      </c>
      <c r="AN1071">
        <v>0</v>
      </c>
      <c r="AO1071">
        <v>16118.36</v>
      </c>
      <c r="AP1071">
        <v>0</v>
      </c>
      <c r="AQ1071">
        <v>0</v>
      </c>
      <c r="AR1071">
        <v>16118.36</v>
      </c>
      <c r="AS1071">
        <v>0</v>
      </c>
      <c r="AT1071">
        <v>0</v>
      </c>
      <c r="AU1071">
        <v>2883.09</v>
      </c>
      <c r="AV1071">
        <v>0</v>
      </c>
      <c r="AW1071">
        <v>0</v>
      </c>
      <c r="AX1071">
        <v>2883.09</v>
      </c>
      <c r="AY1071">
        <v>48440.03</v>
      </c>
      <c r="AZ1071">
        <v>0</v>
      </c>
      <c r="BA1071">
        <v>2</v>
      </c>
      <c r="BB1071">
        <v>4415.4170000000004</v>
      </c>
      <c r="BC1071">
        <v>8830.8340000000007</v>
      </c>
      <c r="BD1071">
        <v>0</v>
      </c>
      <c r="BE1071">
        <v>0</v>
      </c>
      <c r="BF1071">
        <v>77</v>
      </c>
      <c r="BG1071">
        <v>2867.730779</v>
      </c>
      <c r="BH1071">
        <v>466.05799999999999</v>
      </c>
    </row>
    <row r="1072" spans="1:60" x14ac:dyDescent="0.35">
      <c r="A1072" t="s">
        <v>2199</v>
      </c>
      <c r="B1072" t="s">
        <v>2200</v>
      </c>
      <c r="C1072" t="s">
        <v>2246</v>
      </c>
      <c r="D1072" t="s">
        <v>2247</v>
      </c>
      <c r="E1072">
        <v>6789</v>
      </c>
      <c r="F1072">
        <v>6</v>
      </c>
      <c r="G1072">
        <v>3.0370740000000001</v>
      </c>
      <c r="H1072">
        <v>0.50617900000000005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23</v>
      </c>
      <c r="BG1072">
        <v>2002.773913</v>
      </c>
      <c r="BH1072">
        <v>0</v>
      </c>
    </row>
    <row r="1073" spans="1:60" x14ac:dyDescent="0.35">
      <c r="A1073" t="s">
        <v>2199</v>
      </c>
      <c r="B1073" t="s">
        <v>2200</v>
      </c>
      <c r="C1073" t="s">
        <v>2248</v>
      </c>
      <c r="D1073" t="s">
        <v>2249</v>
      </c>
      <c r="E1073">
        <v>28165</v>
      </c>
      <c r="F1073">
        <v>20</v>
      </c>
      <c r="G1073">
        <v>18.498249999999999</v>
      </c>
      <c r="H1073">
        <v>0.92491230000000002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20236.560000000001</v>
      </c>
      <c r="AD1073">
        <v>0</v>
      </c>
      <c r="AE1073">
        <v>0</v>
      </c>
      <c r="AF1073">
        <v>20236.560000000001</v>
      </c>
      <c r="AG1073">
        <v>0</v>
      </c>
      <c r="AH1073">
        <v>0</v>
      </c>
      <c r="AI1073">
        <v>3258.43</v>
      </c>
      <c r="AJ1073">
        <v>0</v>
      </c>
      <c r="AK1073">
        <v>0</v>
      </c>
      <c r="AL1073">
        <v>3258.43</v>
      </c>
      <c r="AM1073">
        <v>0</v>
      </c>
      <c r="AN1073">
        <v>0</v>
      </c>
      <c r="AO1073">
        <v>7595.07</v>
      </c>
      <c r="AP1073">
        <v>0</v>
      </c>
      <c r="AQ1073">
        <v>0</v>
      </c>
      <c r="AR1073">
        <v>7595.07</v>
      </c>
      <c r="AS1073">
        <v>0</v>
      </c>
      <c r="AT1073">
        <v>0</v>
      </c>
      <c r="AU1073">
        <v>851.83</v>
      </c>
      <c r="AV1073">
        <v>0</v>
      </c>
      <c r="AW1073">
        <v>0</v>
      </c>
      <c r="AX1073">
        <v>851.83</v>
      </c>
      <c r="AY1073">
        <v>31941.89</v>
      </c>
      <c r="AZ1073">
        <v>1</v>
      </c>
      <c r="BA1073">
        <v>4</v>
      </c>
      <c r="BB1073">
        <v>22835.077000000001</v>
      </c>
      <c r="BC1073">
        <v>91340.308999999994</v>
      </c>
      <c r="BD1073">
        <v>0</v>
      </c>
      <c r="BE1073">
        <v>0</v>
      </c>
      <c r="BF1073">
        <v>146</v>
      </c>
      <c r="BG1073">
        <v>1188.1186299999999</v>
      </c>
      <c r="BH1073">
        <v>841.85400000000004</v>
      </c>
    </row>
    <row r="1074" spans="1:60" x14ac:dyDescent="0.35">
      <c r="A1074" t="s">
        <v>2199</v>
      </c>
      <c r="B1074" t="s">
        <v>2200</v>
      </c>
      <c r="C1074" t="s">
        <v>2250</v>
      </c>
      <c r="D1074" t="s">
        <v>2251</v>
      </c>
      <c r="E1074">
        <v>26727</v>
      </c>
      <c r="F1074">
        <v>20</v>
      </c>
      <c r="G1074">
        <v>9.4150810000000007</v>
      </c>
      <c r="H1074">
        <v>0.47075410000000001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</v>
      </c>
      <c r="BA1074">
        <v>4</v>
      </c>
      <c r="BB1074">
        <v>30786.021000000001</v>
      </c>
      <c r="BC1074">
        <v>123144.083</v>
      </c>
      <c r="BD1074">
        <v>6535.16</v>
      </c>
      <c r="BE1074">
        <v>0</v>
      </c>
      <c r="BF1074">
        <v>53</v>
      </c>
      <c r="BG1074">
        <v>3454.4654719999999</v>
      </c>
      <c r="BH1074">
        <v>0</v>
      </c>
    </row>
    <row r="1075" spans="1:60" x14ac:dyDescent="0.35">
      <c r="A1075" t="s">
        <v>2199</v>
      </c>
      <c r="B1075" t="s">
        <v>2200</v>
      </c>
      <c r="C1075" t="s">
        <v>2252</v>
      </c>
      <c r="D1075" t="s">
        <v>2253</v>
      </c>
      <c r="E1075">
        <v>5743</v>
      </c>
      <c r="F1075" t="s">
        <v>81</v>
      </c>
      <c r="G1075" t="s">
        <v>81</v>
      </c>
      <c r="H1075" t="s">
        <v>81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0</v>
      </c>
    </row>
    <row r="1076" spans="1:60" x14ac:dyDescent="0.35">
      <c r="A1076" t="s">
        <v>2199</v>
      </c>
      <c r="B1076" t="s">
        <v>2200</v>
      </c>
      <c r="C1076" t="s">
        <v>2254</v>
      </c>
      <c r="D1076" t="s">
        <v>2255</v>
      </c>
      <c r="E1076">
        <v>3056</v>
      </c>
      <c r="F1076" t="s">
        <v>81</v>
      </c>
      <c r="G1076" t="s">
        <v>81</v>
      </c>
      <c r="H1076" t="s">
        <v>81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12</v>
      </c>
      <c r="BG1076">
        <v>123.416667</v>
      </c>
      <c r="BH1076">
        <v>10.833</v>
      </c>
    </row>
    <row r="1077" spans="1:60" x14ac:dyDescent="0.35">
      <c r="A1077" t="s">
        <v>2199</v>
      </c>
      <c r="B1077" t="s">
        <v>2256</v>
      </c>
      <c r="C1077" t="s">
        <v>2257</v>
      </c>
      <c r="D1077" t="s">
        <v>2258</v>
      </c>
      <c r="E1077">
        <v>17391</v>
      </c>
      <c r="F1077">
        <v>79</v>
      </c>
      <c r="G1077">
        <v>72.755319999999998</v>
      </c>
      <c r="H1077">
        <v>0.92095340000000003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48.03</v>
      </c>
      <c r="X1077">
        <v>0</v>
      </c>
      <c r="Y1077">
        <v>0</v>
      </c>
      <c r="Z1077">
        <v>48.03</v>
      </c>
      <c r="AA1077">
        <v>27298.05</v>
      </c>
      <c r="AB1077">
        <v>10345.120000000001</v>
      </c>
      <c r="AC1077">
        <v>50052.04</v>
      </c>
      <c r="AD1077">
        <v>0</v>
      </c>
      <c r="AE1077">
        <v>0</v>
      </c>
      <c r="AF1077">
        <v>87695.21</v>
      </c>
      <c r="AG1077">
        <v>5110.3</v>
      </c>
      <c r="AH1077">
        <v>1359.93</v>
      </c>
      <c r="AI1077">
        <v>8077.45</v>
      </c>
      <c r="AJ1077">
        <v>0</v>
      </c>
      <c r="AK1077">
        <v>0</v>
      </c>
      <c r="AL1077">
        <v>14547.68</v>
      </c>
      <c r="AM1077">
        <v>1981.21</v>
      </c>
      <c r="AN1077">
        <v>1150.06</v>
      </c>
      <c r="AO1077">
        <v>16177.67</v>
      </c>
      <c r="AP1077">
        <v>0</v>
      </c>
      <c r="AQ1077">
        <v>0</v>
      </c>
      <c r="AR1077">
        <v>19308.939999999999</v>
      </c>
      <c r="AS1077">
        <v>46.91</v>
      </c>
      <c r="AT1077">
        <v>0</v>
      </c>
      <c r="AU1077">
        <v>1071.8399999999999</v>
      </c>
      <c r="AV1077">
        <v>0</v>
      </c>
      <c r="AW1077">
        <v>0</v>
      </c>
      <c r="AX1077">
        <v>1118.75</v>
      </c>
      <c r="AY1077">
        <v>122718.61</v>
      </c>
      <c r="AZ1077">
        <v>0</v>
      </c>
      <c r="BA1077">
        <v>8</v>
      </c>
      <c r="BB1077">
        <v>48136.224000000002</v>
      </c>
      <c r="BC1077">
        <v>385089.788</v>
      </c>
      <c r="BD1077">
        <v>2355.86375</v>
      </c>
      <c r="BE1077">
        <v>706.99199999999996</v>
      </c>
      <c r="BF1077">
        <v>210</v>
      </c>
      <c r="BG1077">
        <v>2850.370238</v>
      </c>
      <c r="BH1077">
        <v>368.90100000000001</v>
      </c>
    </row>
    <row r="1078" spans="1:60" x14ac:dyDescent="0.35">
      <c r="A1078" t="s">
        <v>2199</v>
      </c>
      <c r="B1078" t="s">
        <v>2256</v>
      </c>
      <c r="C1078" t="s">
        <v>2259</v>
      </c>
      <c r="D1078" t="s">
        <v>2260</v>
      </c>
      <c r="E1078">
        <v>1526</v>
      </c>
      <c r="F1078">
        <v>1</v>
      </c>
      <c r="G1078">
        <v>0.92159999999999997</v>
      </c>
      <c r="H1078">
        <v>0.92159999999999997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3</v>
      </c>
      <c r="BG1078">
        <v>18684.39</v>
      </c>
      <c r="BH1078">
        <v>0</v>
      </c>
    </row>
    <row r="1079" spans="1:60" x14ac:dyDescent="0.35">
      <c r="A1079" t="s">
        <v>2199</v>
      </c>
      <c r="B1079" t="s">
        <v>2256</v>
      </c>
      <c r="C1079" t="s">
        <v>2261</v>
      </c>
      <c r="D1079" t="s">
        <v>2262</v>
      </c>
      <c r="E1079">
        <v>2776</v>
      </c>
      <c r="F1079" t="s">
        <v>81</v>
      </c>
      <c r="G1079" t="s">
        <v>81</v>
      </c>
      <c r="H1079" t="s">
        <v>81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3</v>
      </c>
      <c r="BG1079">
        <v>0</v>
      </c>
      <c r="BH1079">
        <v>0</v>
      </c>
    </row>
    <row r="1080" spans="1:60" x14ac:dyDescent="0.35">
      <c r="A1080" t="s">
        <v>2199</v>
      </c>
      <c r="B1080" t="s">
        <v>2256</v>
      </c>
      <c r="C1080" t="s">
        <v>2263</v>
      </c>
      <c r="D1080" t="s">
        <v>2264</v>
      </c>
      <c r="E1080">
        <v>2537</v>
      </c>
      <c r="F1080" t="s">
        <v>81</v>
      </c>
      <c r="G1080" t="s">
        <v>81</v>
      </c>
      <c r="H1080" t="s">
        <v>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3</v>
      </c>
      <c r="BG1080">
        <v>0</v>
      </c>
      <c r="BH1080">
        <v>0</v>
      </c>
    </row>
    <row r="1081" spans="1:60" x14ac:dyDescent="0.35">
      <c r="A1081" t="s">
        <v>2199</v>
      </c>
      <c r="B1081" t="s">
        <v>2256</v>
      </c>
      <c r="C1081" t="s">
        <v>2265</v>
      </c>
      <c r="D1081" t="s">
        <v>2266</v>
      </c>
      <c r="E1081">
        <v>1862</v>
      </c>
      <c r="F1081" t="s">
        <v>81</v>
      </c>
      <c r="G1081" t="s">
        <v>81</v>
      </c>
      <c r="H1081" t="s">
        <v>81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7</v>
      </c>
      <c r="BG1081">
        <v>0</v>
      </c>
      <c r="BH1081">
        <v>0</v>
      </c>
    </row>
    <row r="1082" spans="1:60" x14ac:dyDescent="0.35">
      <c r="A1082" t="s">
        <v>2199</v>
      </c>
      <c r="B1082" t="s">
        <v>2256</v>
      </c>
      <c r="C1082" t="s">
        <v>2267</v>
      </c>
      <c r="D1082" t="s">
        <v>2268</v>
      </c>
      <c r="E1082">
        <v>4627</v>
      </c>
      <c r="F1082">
        <v>9</v>
      </c>
      <c r="G1082">
        <v>5.0314009999999998</v>
      </c>
      <c r="H1082">
        <v>0.55904450000000006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20</v>
      </c>
      <c r="BG1082">
        <v>10.65</v>
      </c>
      <c r="BH1082">
        <v>0</v>
      </c>
    </row>
    <row r="1083" spans="1:60" x14ac:dyDescent="0.35">
      <c r="A1083" t="s">
        <v>2199</v>
      </c>
      <c r="B1083" t="s">
        <v>2256</v>
      </c>
      <c r="C1083" t="s">
        <v>2269</v>
      </c>
      <c r="D1083" t="s">
        <v>2270</v>
      </c>
      <c r="E1083">
        <v>809</v>
      </c>
      <c r="F1083" t="s">
        <v>81</v>
      </c>
      <c r="G1083" t="s">
        <v>81</v>
      </c>
      <c r="H1083" t="s">
        <v>81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 t="s">
        <v>81</v>
      </c>
      <c r="BB1083" t="s">
        <v>81</v>
      </c>
      <c r="BC1083" t="s">
        <v>81</v>
      </c>
      <c r="BD1083" t="s">
        <v>81</v>
      </c>
      <c r="BE1083" t="s">
        <v>81</v>
      </c>
      <c r="BF1083" t="s">
        <v>81</v>
      </c>
      <c r="BG1083" t="s">
        <v>81</v>
      </c>
      <c r="BH1083" t="s">
        <v>81</v>
      </c>
    </row>
    <row r="1084" spans="1:60" x14ac:dyDescent="0.35">
      <c r="A1084" t="s">
        <v>2199</v>
      </c>
      <c r="B1084" t="s">
        <v>2256</v>
      </c>
      <c r="C1084" t="s">
        <v>2271</v>
      </c>
      <c r="D1084" t="s">
        <v>2272</v>
      </c>
      <c r="E1084">
        <v>1503</v>
      </c>
      <c r="F1084" t="s">
        <v>81</v>
      </c>
      <c r="G1084" t="s">
        <v>81</v>
      </c>
      <c r="H1084" t="s">
        <v>81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5</v>
      </c>
      <c r="BG1084">
        <v>0</v>
      </c>
      <c r="BH1084">
        <v>0</v>
      </c>
    </row>
    <row r="1085" spans="1:60" x14ac:dyDescent="0.35">
      <c r="A1085" t="s">
        <v>2199</v>
      </c>
      <c r="B1085" t="s">
        <v>2256</v>
      </c>
      <c r="C1085" t="s">
        <v>2273</v>
      </c>
      <c r="D1085" t="s">
        <v>2274</v>
      </c>
      <c r="E1085">
        <v>1427</v>
      </c>
      <c r="F1085" t="s">
        <v>81</v>
      </c>
      <c r="G1085" t="s">
        <v>81</v>
      </c>
      <c r="H1085" t="s">
        <v>81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5</v>
      </c>
      <c r="BG1085">
        <v>0</v>
      </c>
      <c r="BH1085">
        <v>0</v>
      </c>
    </row>
    <row r="1086" spans="1:60" x14ac:dyDescent="0.35">
      <c r="A1086" t="s">
        <v>2199</v>
      </c>
      <c r="B1086" t="s">
        <v>2256</v>
      </c>
      <c r="C1086" t="s">
        <v>2275</v>
      </c>
      <c r="D1086" t="s">
        <v>2276</v>
      </c>
      <c r="E1086">
        <v>6599</v>
      </c>
      <c r="F1086">
        <v>4</v>
      </c>
      <c r="G1086">
        <v>6.1844780000000004</v>
      </c>
      <c r="H1086">
        <v>1.5461199999999999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26</v>
      </c>
      <c r="BG1086">
        <v>3393.6992310000001</v>
      </c>
      <c r="BH1086">
        <v>773.053</v>
      </c>
    </row>
    <row r="1087" spans="1:60" x14ac:dyDescent="0.35">
      <c r="A1087" t="s">
        <v>2199</v>
      </c>
      <c r="B1087" t="s">
        <v>2256</v>
      </c>
      <c r="C1087" t="s">
        <v>2277</v>
      </c>
      <c r="D1087" t="s">
        <v>2278</v>
      </c>
      <c r="E1087">
        <v>1429</v>
      </c>
      <c r="F1087">
        <v>3</v>
      </c>
      <c r="G1087">
        <v>6.8080230000000004</v>
      </c>
      <c r="H1087">
        <v>2.2693409999999998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9</v>
      </c>
      <c r="BG1087">
        <v>8.8888890000000007</v>
      </c>
      <c r="BH1087">
        <v>0</v>
      </c>
    </row>
    <row r="1088" spans="1:60" x14ac:dyDescent="0.35">
      <c r="A1088" t="s">
        <v>2199</v>
      </c>
      <c r="B1088" t="s">
        <v>2256</v>
      </c>
      <c r="C1088" t="s">
        <v>2279</v>
      </c>
      <c r="D1088" t="s">
        <v>2280</v>
      </c>
      <c r="E1088">
        <v>2795</v>
      </c>
      <c r="F1088">
        <v>3</v>
      </c>
      <c r="G1088">
        <v>0.88680000000000003</v>
      </c>
      <c r="H1088">
        <v>0.29559999999999997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8</v>
      </c>
      <c r="BG1088">
        <v>0</v>
      </c>
      <c r="BH1088">
        <v>3894.9340000000002</v>
      </c>
    </row>
    <row r="1089" spans="1:60" x14ac:dyDescent="0.35">
      <c r="A1089" t="s">
        <v>2199</v>
      </c>
      <c r="B1089" t="s">
        <v>2256</v>
      </c>
      <c r="C1089" t="s">
        <v>2281</v>
      </c>
      <c r="D1089" t="s">
        <v>2282</v>
      </c>
      <c r="E1089">
        <v>5551</v>
      </c>
      <c r="F1089">
        <v>5</v>
      </c>
      <c r="G1089">
        <v>1.288</v>
      </c>
      <c r="H1089">
        <v>0.2576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29</v>
      </c>
      <c r="BG1089">
        <v>322.889655</v>
      </c>
      <c r="BH1089">
        <v>0</v>
      </c>
    </row>
    <row r="1090" spans="1:60" x14ac:dyDescent="0.35">
      <c r="A1090" t="s">
        <v>2199</v>
      </c>
      <c r="B1090" t="s">
        <v>2256</v>
      </c>
      <c r="C1090" t="s">
        <v>2283</v>
      </c>
      <c r="D1090" t="s">
        <v>2284</v>
      </c>
      <c r="E1090">
        <v>5381</v>
      </c>
      <c r="F1090">
        <v>4</v>
      </c>
      <c r="G1090">
        <v>1.974836</v>
      </c>
      <c r="H1090">
        <v>0.49370900000000001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8</v>
      </c>
      <c r="BG1090">
        <v>2.375</v>
      </c>
      <c r="BH1090">
        <v>0</v>
      </c>
    </row>
    <row r="1091" spans="1:60" x14ac:dyDescent="0.35">
      <c r="A1091" t="s">
        <v>2199</v>
      </c>
      <c r="B1091" t="s">
        <v>2256</v>
      </c>
      <c r="C1091" t="s">
        <v>2285</v>
      </c>
      <c r="D1091" t="s">
        <v>2286</v>
      </c>
      <c r="E1091">
        <v>2044</v>
      </c>
      <c r="F1091">
        <v>1</v>
      </c>
      <c r="G1091">
        <v>0.2</v>
      </c>
      <c r="H1091">
        <v>0.2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</v>
      </c>
      <c r="BG1091">
        <v>0</v>
      </c>
      <c r="BH1091">
        <v>378.31700000000001</v>
      </c>
    </row>
    <row r="1092" spans="1:60" x14ac:dyDescent="0.35">
      <c r="A1092" t="s">
        <v>2199</v>
      </c>
      <c r="B1092" t="s">
        <v>2287</v>
      </c>
      <c r="C1092" t="s">
        <v>2287</v>
      </c>
      <c r="D1092" t="s">
        <v>2288</v>
      </c>
      <c r="E1092">
        <v>29695</v>
      </c>
      <c r="F1092">
        <v>158</v>
      </c>
      <c r="G1092">
        <v>170.4633</v>
      </c>
      <c r="H1092">
        <v>1.0788819999999999</v>
      </c>
      <c r="I1092">
        <v>21.98</v>
      </c>
      <c r="J1092">
        <v>0</v>
      </c>
      <c r="K1092">
        <v>0</v>
      </c>
      <c r="L1092">
        <v>0</v>
      </c>
      <c r="M1092">
        <v>0</v>
      </c>
      <c r="N1092">
        <v>21.98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18126.12</v>
      </c>
      <c r="V1092">
        <v>0</v>
      </c>
      <c r="W1092">
        <v>199.6</v>
      </c>
      <c r="X1092">
        <v>0</v>
      </c>
      <c r="Y1092">
        <v>0</v>
      </c>
      <c r="Z1092">
        <v>18325.72</v>
      </c>
      <c r="AA1092">
        <v>205020.99</v>
      </c>
      <c r="AB1092">
        <v>12355.41</v>
      </c>
      <c r="AC1092">
        <v>76954.320000000007</v>
      </c>
      <c r="AD1092">
        <v>2069.38</v>
      </c>
      <c r="AE1092">
        <v>0</v>
      </c>
      <c r="AF1092">
        <v>296400.09999999998</v>
      </c>
      <c r="AG1092">
        <v>12256.07</v>
      </c>
      <c r="AH1092">
        <v>4944.0600000000004</v>
      </c>
      <c r="AI1092">
        <v>15155.78</v>
      </c>
      <c r="AJ1092">
        <v>1202.31</v>
      </c>
      <c r="AK1092">
        <v>0</v>
      </c>
      <c r="AL1092">
        <v>33558.22</v>
      </c>
      <c r="AM1092">
        <v>156550.28</v>
      </c>
      <c r="AN1092">
        <v>9161.76</v>
      </c>
      <c r="AO1092">
        <v>31444.18</v>
      </c>
      <c r="AP1092">
        <v>443.62</v>
      </c>
      <c r="AQ1092">
        <v>0</v>
      </c>
      <c r="AR1092">
        <v>197599.84</v>
      </c>
      <c r="AS1092">
        <v>38262.26</v>
      </c>
      <c r="AT1092">
        <v>0</v>
      </c>
      <c r="AU1092">
        <v>11335.58</v>
      </c>
      <c r="AV1092">
        <v>0</v>
      </c>
      <c r="AW1092">
        <v>0</v>
      </c>
      <c r="AX1092">
        <v>49597.84</v>
      </c>
      <c r="AY1092">
        <v>595503.69999999995</v>
      </c>
      <c r="AZ1092">
        <v>0</v>
      </c>
      <c r="BA1092">
        <v>69</v>
      </c>
      <c r="BB1092">
        <v>38309.012000000002</v>
      </c>
      <c r="BC1092">
        <v>2643321.8050000002</v>
      </c>
      <c r="BD1092">
        <v>13793.344638</v>
      </c>
      <c r="BE1092">
        <v>2511.0970000000002</v>
      </c>
      <c r="BF1092">
        <v>523</v>
      </c>
      <c r="BG1092">
        <v>5019.2451629999996</v>
      </c>
      <c r="BH1092">
        <v>501.43799999999999</v>
      </c>
    </row>
    <row r="1093" spans="1:60" x14ac:dyDescent="0.35">
      <c r="A1093" t="s">
        <v>2199</v>
      </c>
      <c r="B1093" t="s">
        <v>2287</v>
      </c>
      <c r="C1093" t="s">
        <v>2289</v>
      </c>
      <c r="D1093" t="s">
        <v>2290</v>
      </c>
      <c r="E1093">
        <v>60876</v>
      </c>
      <c r="F1093">
        <v>103</v>
      </c>
      <c r="G1093">
        <v>71.853520000000003</v>
      </c>
      <c r="H1093">
        <v>0.69760699999999998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1287.1099999999999</v>
      </c>
      <c r="X1093">
        <v>0</v>
      </c>
      <c r="Y1093">
        <v>0</v>
      </c>
      <c r="Z1093">
        <v>1287.1099999999999</v>
      </c>
      <c r="AA1093">
        <v>0</v>
      </c>
      <c r="AB1093">
        <v>8924.36</v>
      </c>
      <c r="AC1093">
        <v>70833.91</v>
      </c>
      <c r="AD1093">
        <v>0</v>
      </c>
      <c r="AE1093">
        <v>0</v>
      </c>
      <c r="AF1093">
        <v>79758.27</v>
      </c>
      <c r="AG1093">
        <v>0</v>
      </c>
      <c r="AH1093">
        <v>2421.86</v>
      </c>
      <c r="AI1093">
        <v>11420.23</v>
      </c>
      <c r="AJ1093">
        <v>0</v>
      </c>
      <c r="AK1093">
        <v>0</v>
      </c>
      <c r="AL1093">
        <v>13842.09</v>
      </c>
      <c r="AM1093">
        <v>0</v>
      </c>
      <c r="AN1093">
        <v>2615.08</v>
      </c>
      <c r="AO1093">
        <v>11120.84</v>
      </c>
      <c r="AP1093">
        <v>0</v>
      </c>
      <c r="AQ1093">
        <v>0</v>
      </c>
      <c r="AR1093">
        <v>13735.92</v>
      </c>
      <c r="AS1093">
        <v>0</v>
      </c>
      <c r="AT1093">
        <v>0</v>
      </c>
      <c r="AU1093">
        <v>6157.66</v>
      </c>
      <c r="AV1093">
        <v>0</v>
      </c>
      <c r="AW1093">
        <v>0</v>
      </c>
      <c r="AX1093">
        <v>6157.66</v>
      </c>
      <c r="AY1093">
        <v>114781.05</v>
      </c>
      <c r="AZ1093">
        <v>0</v>
      </c>
      <c r="BA1093">
        <v>18</v>
      </c>
      <c r="BB1093">
        <v>64802.699000000001</v>
      </c>
      <c r="BC1093">
        <v>1166448.575</v>
      </c>
      <c r="BD1093">
        <v>0</v>
      </c>
      <c r="BE1093">
        <v>0</v>
      </c>
      <c r="BF1093">
        <v>358</v>
      </c>
      <c r="BG1093">
        <v>1415.2797210000001</v>
      </c>
      <c r="BH1093">
        <v>348.36900000000003</v>
      </c>
    </row>
    <row r="1094" spans="1:60" x14ac:dyDescent="0.35">
      <c r="A1094" t="s">
        <v>2199</v>
      </c>
      <c r="B1094" t="s">
        <v>2287</v>
      </c>
      <c r="C1094" t="s">
        <v>2291</v>
      </c>
      <c r="D1094" t="s">
        <v>2292</v>
      </c>
      <c r="E1094">
        <v>39986</v>
      </c>
      <c r="F1094">
        <v>155</v>
      </c>
      <c r="G1094">
        <v>142.9342</v>
      </c>
      <c r="H1094">
        <v>0.92215590000000003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14475.22</v>
      </c>
      <c r="V1094">
        <v>0</v>
      </c>
      <c r="W1094">
        <v>510.38</v>
      </c>
      <c r="X1094">
        <v>0</v>
      </c>
      <c r="Y1094">
        <v>0</v>
      </c>
      <c r="Z1094">
        <v>14985.6</v>
      </c>
      <c r="AA1094">
        <v>129914.81</v>
      </c>
      <c r="AB1094">
        <v>24571.5</v>
      </c>
      <c r="AC1094">
        <v>93396.4</v>
      </c>
      <c r="AD1094">
        <v>4507.71</v>
      </c>
      <c r="AE1094">
        <v>0</v>
      </c>
      <c r="AF1094">
        <v>252390.42</v>
      </c>
      <c r="AG1094">
        <v>8090.86</v>
      </c>
      <c r="AH1094">
        <v>8637.99</v>
      </c>
      <c r="AI1094">
        <v>19091.64</v>
      </c>
      <c r="AJ1094">
        <v>1987.68</v>
      </c>
      <c r="AK1094">
        <v>0</v>
      </c>
      <c r="AL1094">
        <v>37808.17</v>
      </c>
      <c r="AM1094">
        <v>16655.57</v>
      </c>
      <c r="AN1094">
        <v>6442.34</v>
      </c>
      <c r="AO1094">
        <v>16064.2</v>
      </c>
      <c r="AP1094">
        <v>882.91</v>
      </c>
      <c r="AQ1094">
        <v>0</v>
      </c>
      <c r="AR1094">
        <v>40045.019999999997</v>
      </c>
      <c r="AS1094">
        <v>7692.96</v>
      </c>
      <c r="AT1094">
        <v>0</v>
      </c>
      <c r="AU1094">
        <v>4815.6000000000004</v>
      </c>
      <c r="AV1094">
        <v>0</v>
      </c>
      <c r="AW1094">
        <v>0</v>
      </c>
      <c r="AX1094">
        <v>12508.56</v>
      </c>
      <c r="AY1094">
        <v>357737.77</v>
      </c>
      <c r="AZ1094">
        <v>0</v>
      </c>
      <c r="BA1094">
        <v>13</v>
      </c>
      <c r="BB1094">
        <v>81872.013000000006</v>
      </c>
      <c r="BC1094">
        <v>1064336.1669999999</v>
      </c>
      <c r="BD1094">
        <v>853.24307699999997</v>
      </c>
      <c r="BE1094">
        <v>161.13399999999999</v>
      </c>
      <c r="BF1094">
        <v>498</v>
      </c>
      <c r="BG1094">
        <v>1210.813193</v>
      </c>
      <c r="BH1094">
        <v>419.33699999999999</v>
      </c>
    </row>
    <row r="1095" spans="1:60" x14ac:dyDescent="0.35">
      <c r="A1095" t="s">
        <v>2199</v>
      </c>
      <c r="B1095" t="s">
        <v>2287</v>
      </c>
      <c r="C1095" t="s">
        <v>2293</v>
      </c>
      <c r="D1095" t="s">
        <v>2294</v>
      </c>
      <c r="E1095">
        <v>3181</v>
      </c>
      <c r="F1095">
        <v>2</v>
      </c>
      <c r="G1095">
        <v>5.04</v>
      </c>
      <c r="H1095">
        <v>2.52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2</v>
      </c>
      <c r="BB1095">
        <v>216324.69200000001</v>
      </c>
      <c r="BC1095">
        <v>432649.38299999997</v>
      </c>
      <c r="BD1095">
        <v>25</v>
      </c>
      <c r="BE1095">
        <v>5906.25</v>
      </c>
      <c r="BF1095">
        <v>28</v>
      </c>
      <c r="BG1095">
        <v>4034.317857</v>
      </c>
      <c r="BH1095">
        <v>517.27700000000004</v>
      </c>
    </row>
    <row r="1096" spans="1:60" x14ac:dyDescent="0.35">
      <c r="A1096" t="s">
        <v>2199</v>
      </c>
      <c r="B1096" t="s">
        <v>2287</v>
      </c>
      <c r="C1096" t="s">
        <v>2295</v>
      </c>
      <c r="D1096" t="s">
        <v>2296</v>
      </c>
      <c r="E1096">
        <v>30097</v>
      </c>
      <c r="F1096">
        <v>81</v>
      </c>
      <c r="G1096">
        <v>55.551340000000003</v>
      </c>
      <c r="H1096">
        <v>0.68581899999999996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18026.439999999999</v>
      </c>
      <c r="AD1096">
        <v>0</v>
      </c>
      <c r="AE1096">
        <v>0</v>
      </c>
      <c r="AF1096">
        <v>18026.439999999999</v>
      </c>
      <c r="AG1096">
        <v>0</v>
      </c>
      <c r="AH1096">
        <v>0</v>
      </c>
      <c r="AI1096">
        <v>3870.06</v>
      </c>
      <c r="AJ1096">
        <v>0</v>
      </c>
      <c r="AK1096">
        <v>0</v>
      </c>
      <c r="AL1096">
        <v>3870.06</v>
      </c>
      <c r="AM1096">
        <v>0</v>
      </c>
      <c r="AN1096">
        <v>0</v>
      </c>
      <c r="AO1096">
        <v>6172.06</v>
      </c>
      <c r="AP1096">
        <v>0</v>
      </c>
      <c r="AQ1096">
        <v>0</v>
      </c>
      <c r="AR1096">
        <v>6172.06</v>
      </c>
      <c r="AS1096">
        <v>0</v>
      </c>
      <c r="AT1096">
        <v>0</v>
      </c>
      <c r="AU1096">
        <v>4864.26</v>
      </c>
      <c r="AV1096">
        <v>0</v>
      </c>
      <c r="AW1096">
        <v>0</v>
      </c>
      <c r="AX1096">
        <v>4864.26</v>
      </c>
      <c r="AY1096">
        <v>32932.82</v>
      </c>
      <c r="AZ1096">
        <v>0</v>
      </c>
      <c r="BA1096">
        <v>21</v>
      </c>
      <c r="BB1096">
        <v>46970.618000000002</v>
      </c>
      <c r="BC1096">
        <v>986382.97100000002</v>
      </c>
      <c r="BD1096">
        <v>10365.941905</v>
      </c>
      <c r="BE1096">
        <v>35.588000000000001</v>
      </c>
      <c r="BF1096">
        <v>264</v>
      </c>
      <c r="BG1096">
        <v>2877.3520830000002</v>
      </c>
      <c r="BH1096">
        <v>1480.88</v>
      </c>
    </row>
    <row r="1097" spans="1:60" x14ac:dyDescent="0.35">
      <c r="A1097" t="s">
        <v>2199</v>
      </c>
      <c r="B1097" t="s">
        <v>2287</v>
      </c>
      <c r="C1097" t="s">
        <v>2297</v>
      </c>
      <c r="D1097" t="s">
        <v>2298</v>
      </c>
      <c r="E1097">
        <v>1500</v>
      </c>
      <c r="F1097">
        <v>1</v>
      </c>
      <c r="G1097">
        <v>0.3</v>
      </c>
      <c r="H1097">
        <v>0.3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6</v>
      </c>
      <c r="BG1097">
        <v>20244.603332999999</v>
      </c>
      <c r="BH1097">
        <v>0</v>
      </c>
    </row>
    <row r="1098" spans="1:60" x14ac:dyDescent="0.35">
      <c r="A1098" t="s">
        <v>2199</v>
      </c>
      <c r="B1098" t="s">
        <v>2299</v>
      </c>
      <c r="C1098" t="s">
        <v>2299</v>
      </c>
      <c r="D1098" t="s">
        <v>2300</v>
      </c>
      <c r="E1098">
        <v>20651</v>
      </c>
      <c r="F1098">
        <v>74</v>
      </c>
      <c r="G1098">
        <v>64.266369999999995</v>
      </c>
      <c r="H1098">
        <v>0.86846449999999997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0.28000000000000003</v>
      </c>
      <c r="P1098">
        <v>0</v>
      </c>
      <c r="Q1098">
        <v>0</v>
      </c>
      <c r="R1098">
        <v>0</v>
      </c>
      <c r="S1098">
        <v>0</v>
      </c>
      <c r="T1098">
        <v>0.28000000000000003</v>
      </c>
      <c r="U1098">
        <v>1914.66</v>
      </c>
      <c r="V1098">
        <v>0</v>
      </c>
      <c r="W1098">
        <v>0</v>
      </c>
      <c r="X1098">
        <v>0</v>
      </c>
      <c r="Y1098">
        <v>0</v>
      </c>
      <c r="Z1098">
        <v>1914.66</v>
      </c>
      <c r="AA1098">
        <v>48044.54</v>
      </c>
      <c r="AB1098">
        <v>14217.29</v>
      </c>
      <c r="AC1098">
        <v>110512</v>
      </c>
      <c r="AD1098">
        <v>3842.74</v>
      </c>
      <c r="AE1098">
        <v>0</v>
      </c>
      <c r="AF1098">
        <v>176616.57</v>
      </c>
      <c r="AG1098">
        <v>4117.54</v>
      </c>
      <c r="AH1098">
        <v>2619.35</v>
      </c>
      <c r="AI1098">
        <v>19301.66</v>
      </c>
      <c r="AJ1098">
        <v>648.54999999999995</v>
      </c>
      <c r="AK1098">
        <v>0</v>
      </c>
      <c r="AL1098">
        <v>26687.1</v>
      </c>
      <c r="AM1098">
        <v>2254.65</v>
      </c>
      <c r="AN1098">
        <v>1896.69</v>
      </c>
      <c r="AO1098">
        <v>28987.43</v>
      </c>
      <c r="AP1098">
        <v>171.83</v>
      </c>
      <c r="AQ1098">
        <v>0</v>
      </c>
      <c r="AR1098">
        <v>33310.6</v>
      </c>
      <c r="AS1098">
        <v>1981.01</v>
      </c>
      <c r="AT1098">
        <v>0</v>
      </c>
      <c r="AU1098">
        <v>600.54999999999995</v>
      </c>
      <c r="AV1098">
        <v>0</v>
      </c>
      <c r="AW1098">
        <v>0</v>
      </c>
      <c r="AX1098">
        <v>2581.56</v>
      </c>
      <c r="AY1098">
        <v>241110.77</v>
      </c>
      <c r="AZ1098">
        <v>0</v>
      </c>
      <c r="BA1098">
        <v>18</v>
      </c>
      <c r="BB1098">
        <v>38170.455999999998</v>
      </c>
      <c r="BC1098">
        <v>687068.20600000001</v>
      </c>
      <c r="BD1098">
        <v>695.89166699999998</v>
      </c>
      <c r="BE1098">
        <v>46.384999999999998</v>
      </c>
      <c r="BF1098">
        <v>265</v>
      </c>
      <c r="BG1098">
        <v>2053.0297740000001</v>
      </c>
      <c r="BH1098">
        <v>290.78899999999999</v>
      </c>
    </row>
    <row r="1099" spans="1:60" x14ac:dyDescent="0.35">
      <c r="A1099" t="s">
        <v>2199</v>
      </c>
      <c r="B1099" t="s">
        <v>2299</v>
      </c>
      <c r="C1099" t="s">
        <v>2301</v>
      </c>
      <c r="D1099" t="s">
        <v>2302</v>
      </c>
      <c r="E1099">
        <v>5374</v>
      </c>
      <c r="F1099">
        <v>3</v>
      </c>
      <c r="G1099">
        <v>2.3650000000000002</v>
      </c>
      <c r="H1099">
        <v>0.78833339999999996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18</v>
      </c>
      <c r="BG1099">
        <v>399.86111099999999</v>
      </c>
      <c r="BH1099">
        <v>1181.498</v>
      </c>
    </row>
    <row r="1100" spans="1:60" x14ac:dyDescent="0.35">
      <c r="A1100" t="s">
        <v>2199</v>
      </c>
      <c r="B1100" t="s">
        <v>2299</v>
      </c>
      <c r="C1100" t="s">
        <v>2303</v>
      </c>
      <c r="D1100" t="s">
        <v>2304</v>
      </c>
      <c r="E1100">
        <v>4376</v>
      </c>
      <c r="F1100">
        <v>5</v>
      </c>
      <c r="G1100">
        <v>3.7135060000000002</v>
      </c>
      <c r="H1100">
        <v>0.74270119999999995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18</v>
      </c>
      <c r="BG1100">
        <v>31207.886666999999</v>
      </c>
      <c r="BH1100">
        <v>0</v>
      </c>
    </row>
    <row r="1101" spans="1:60" x14ac:dyDescent="0.35">
      <c r="A1101" t="s">
        <v>2199</v>
      </c>
      <c r="B1101" t="s">
        <v>2299</v>
      </c>
      <c r="C1101" t="s">
        <v>2305</v>
      </c>
      <c r="D1101" t="s">
        <v>2306</v>
      </c>
      <c r="E1101">
        <v>1412</v>
      </c>
      <c r="F1101">
        <v>1</v>
      </c>
      <c r="G1101">
        <v>1.3</v>
      </c>
      <c r="H1101">
        <v>1.3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2</v>
      </c>
      <c r="BB1101">
        <v>132891.54199999999</v>
      </c>
      <c r="BC1101">
        <v>265783.08299999998</v>
      </c>
      <c r="BD1101">
        <v>0</v>
      </c>
      <c r="BE1101">
        <v>1255.355</v>
      </c>
      <c r="BF1101">
        <v>9</v>
      </c>
      <c r="BG1101">
        <v>245.16111100000001</v>
      </c>
      <c r="BH1101">
        <v>222.834</v>
      </c>
    </row>
    <row r="1102" spans="1:60" x14ac:dyDescent="0.35">
      <c r="A1102" t="s">
        <v>2199</v>
      </c>
      <c r="B1102" t="s">
        <v>2299</v>
      </c>
      <c r="C1102" t="s">
        <v>2307</v>
      </c>
      <c r="D1102" t="s">
        <v>2308</v>
      </c>
      <c r="E1102">
        <v>1630</v>
      </c>
      <c r="F1102" t="s">
        <v>81</v>
      </c>
      <c r="G1102" t="s">
        <v>81</v>
      </c>
      <c r="H1102" t="s">
        <v>81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5</v>
      </c>
      <c r="BG1102">
        <v>0</v>
      </c>
      <c r="BH1102">
        <v>0</v>
      </c>
    </row>
    <row r="1103" spans="1:60" x14ac:dyDescent="0.35">
      <c r="A1103" t="s">
        <v>2199</v>
      </c>
      <c r="B1103" t="s">
        <v>2299</v>
      </c>
      <c r="C1103" t="s">
        <v>2309</v>
      </c>
      <c r="D1103" t="s">
        <v>2310</v>
      </c>
      <c r="E1103">
        <v>1339</v>
      </c>
      <c r="F1103">
        <v>5</v>
      </c>
      <c r="G1103">
        <v>2.2000000000000002</v>
      </c>
      <c r="H1103">
        <v>0.44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46062.667000000001</v>
      </c>
      <c r="BC1103">
        <v>46062.667000000001</v>
      </c>
      <c r="BD1103">
        <v>0</v>
      </c>
      <c r="BE1103">
        <v>0</v>
      </c>
      <c r="BF1103">
        <v>13</v>
      </c>
      <c r="BG1103">
        <v>0</v>
      </c>
      <c r="BH1103">
        <v>714.47799999999995</v>
      </c>
    </row>
    <row r="1104" spans="1:60" x14ac:dyDescent="0.35">
      <c r="A1104" t="s">
        <v>2199</v>
      </c>
      <c r="B1104" t="s">
        <v>2299</v>
      </c>
      <c r="C1104" t="s">
        <v>2311</v>
      </c>
      <c r="D1104" t="s">
        <v>2312</v>
      </c>
      <c r="E1104">
        <v>2778</v>
      </c>
      <c r="F1104">
        <v>1</v>
      </c>
      <c r="G1104">
        <v>0.43</v>
      </c>
      <c r="H1104">
        <v>0.43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13</v>
      </c>
      <c r="BG1104">
        <v>0</v>
      </c>
      <c r="BH1104">
        <v>0</v>
      </c>
    </row>
    <row r="1105" spans="1:60" x14ac:dyDescent="0.35">
      <c r="A1105" t="s">
        <v>2199</v>
      </c>
      <c r="B1105" t="s">
        <v>2299</v>
      </c>
      <c r="C1105" t="s">
        <v>2313</v>
      </c>
      <c r="D1105" t="s">
        <v>2314</v>
      </c>
      <c r="E1105">
        <v>1537</v>
      </c>
      <c r="F1105">
        <v>1</v>
      </c>
      <c r="G1105">
        <v>0.18</v>
      </c>
      <c r="H1105">
        <v>0.18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</v>
      </c>
      <c r="BB1105">
        <v>6380.1670000000004</v>
      </c>
      <c r="BC1105">
        <v>6380.1670000000004</v>
      </c>
      <c r="BD1105">
        <v>0</v>
      </c>
      <c r="BE1105">
        <v>1</v>
      </c>
      <c r="BF1105">
        <v>4</v>
      </c>
      <c r="BG1105">
        <v>0</v>
      </c>
      <c r="BH1105">
        <v>0</v>
      </c>
    </row>
    <row r="1106" spans="1:60" x14ac:dyDescent="0.35">
      <c r="A1106" t="s">
        <v>2199</v>
      </c>
      <c r="B1106" t="s">
        <v>2299</v>
      </c>
      <c r="C1106" t="s">
        <v>2315</v>
      </c>
      <c r="D1106" t="s">
        <v>2316</v>
      </c>
      <c r="E1106">
        <v>1124</v>
      </c>
      <c r="F1106" t="s">
        <v>81</v>
      </c>
      <c r="G1106" t="s">
        <v>81</v>
      </c>
      <c r="H1106" t="s">
        <v>81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 t="s">
        <v>81</v>
      </c>
      <c r="BB1106" t="s">
        <v>81</v>
      </c>
      <c r="BC1106" t="s">
        <v>81</v>
      </c>
      <c r="BD1106" t="s">
        <v>81</v>
      </c>
      <c r="BE1106" t="s">
        <v>81</v>
      </c>
      <c r="BF1106" t="s">
        <v>81</v>
      </c>
      <c r="BG1106" t="s">
        <v>81</v>
      </c>
      <c r="BH1106" t="s">
        <v>81</v>
      </c>
    </row>
    <row r="1107" spans="1:60" x14ac:dyDescent="0.35">
      <c r="A1107" t="s">
        <v>2199</v>
      </c>
      <c r="B1107" t="s">
        <v>2299</v>
      </c>
      <c r="C1107" t="s">
        <v>2317</v>
      </c>
      <c r="D1107" t="s">
        <v>2318</v>
      </c>
      <c r="E1107">
        <v>2309</v>
      </c>
      <c r="F1107">
        <v>4</v>
      </c>
      <c r="G1107">
        <v>2.8967480000000001</v>
      </c>
      <c r="H1107">
        <v>0.72418700000000003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9</v>
      </c>
      <c r="BG1107">
        <v>0</v>
      </c>
      <c r="BH1107">
        <v>0</v>
      </c>
    </row>
    <row r="1108" spans="1:60" x14ac:dyDescent="0.35">
      <c r="A1108" t="s">
        <v>2199</v>
      </c>
      <c r="B1108" t="s">
        <v>2299</v>
      </c>
      <c r="C1108" t="s">
        <v>2319</v>
      </c>
      <c r="D1108" t="s">
        <v>2320</v>
      </c>
      <c r="E1108">
        <v>502</v>
      </c>
      <c r="F1108" t="s">
        <v>81</v>
      </c>
      <c r="G1108" t="s">
        <v>81</v>
      </c>
      <c r="H1108" t="s">
        <v>81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 t="s">
        <v>81</v>
      </c>
      <c r="BB1108" t="s">
        <v>81</v>
      </c>
      <c r="BC1108" t="s">
        <v>81</v>
      </c>
      <c r="BD1108" t="s">
        <v>81</v>
      </c>
      <c r="BE1108" t="s">
        <v>81</v>
      </c>
      <c r="BF1108" t="s">
        <v>81</v>
      </c>
      <c r="BG1108" t="s">
        <v>81</v>
      </c>
      <c r="BH1108" t="s">
        <v>81</v>
      </c>
    </row>
    <row r="1109" spans="1:60" x14ac:dyDescent="0.35">
      <c r="A1109" t="s">
        <v>2199</v>
      </c>
      <c r="B1109" t="s">
        <v>2299</v>
      </c>
      <c r="C1109" t="s">
        <v>2321</v>
      </c>
      <c r="D1109" t="s">
        <v>2322</v>
      </c>
      <c r="E1109">
        <v>717</v>
      </c>
      <c r="F1109" t="s">
        <v>81</v>
      </c>
      <c r="G1109" t="s">
        <v>81</v>
      </c>
      <c r="H1109" t="s">
        <v>81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 t="s">
        <v>81</v>
      </c>
      <c r="BB1109" t="s">
        <v>81</v>
      </c>
      <c r="BC1109" t="s">
        <v>81</v>
      </c>
      <c r="BD1109" t="s">
        <v>81</v>
      </c>
      <c r="BE1109" t="s">
        <v>81</v>
      </c>
      <c r="BF1109" t="s">
        <v>81</v>
      </c>
      <c r="BG1109" t="s">
        <v>81</v>
      </c>
      <c r="BH1109" t="s">
        <v>81</v>
      </c>
    </row>
    <row r="1110" spans="1:60" x14ac:dyDescent="0.35">
      <c r="A1110" t="s">
        <v>2199</v>
      </c>
      <c r="B1110" t="s">
        <v>2299</v>
      </c>
      <c r="C1110" t="s">
        <v>2323</v>
      </c>
      <c r="D1110" t="s">
        <v>2324</v>
      </c>
      <c r="E1110">
        <v>1570</v>
      </c>
      <c r="F1110" t="s">
        <v>81</v>
      </c>
      <c r="G1110" t="s">
        <v>81</v>
      </c>
      <c r="H1110" t="s">
        <v>81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2</v>
      </c>
      <c r="BG1110">
        <v>0</v>
      </c>
      <c r="BH1110">
        <v>0</v>
      </c>
    </row>
    <row r="1111" spans="1:60" x14ac:dyDescent="0.35">
      <c r="A1111" t="s">
        <v>2199</v>
      </c>
      <c r="B1111" t="s">
        <v>2299</v>
      </c>
      <c r="C1111" t="s">
        <v>2325</v>
      </c>
      <c r="D1111" t="s">
        <v>2326</v>
      </c>
      <c r="E1111">
        <v>1107</v>
      </c>
      <c r="F1111">
        <v>1</v>
      </c>
      <c r="G1111">
        <v>0.65</v>
      </c>
      <c r="H1111">
        <v>0.65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 t="s">
        <v>81</v>
      </c>
      <c r="BB1111" t="s">
        <v>81</v>
      </c>
      <c r="BC1111" t="s">
        <v>81</v>
      </c>
      <c r="BD1111" t="s">
        <v>81</v>
      </c>
      <c r="BE1111" t="s">
        <v>81</v>
      </c>
      <c r="BF1111" t="s">
        <v>81</v>
      </c>
      <c r="BG1111" t="s">
        <v>81</v>
      </c>
      <c r="BH1111" t="s">
        <v>81</v>
      </c>
    </row>
    <row r="1112" spans="1:60" x14ac:dyDescent="0.35">
      <c r="A1112" t="s">
        <v>2199</v>
      </c>
      <c r="B1112" t="s">
        <v>2299</v>
      </c>
      <c r="C1112" t="s">
        <v>2327</v>
      </c>
      <c r="D1112" t="s">
        <v>2328</v>
      </c>
      <c r="E1112">
        <v>1269</v>
      </c>
      <c r="F1112" t="s">
        <v>81</v>
      </c>
      <c r="G1112" t="s">
        <v>81</v>
      </c>
      <c r="H1112" t="s">
        <v>81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</v>
      </c>
      <c r="BG1112">
        <v>0</v>
      </c>
      <c r="BH1112">
        <v>0</v>
      </c>
    </row>
    <row r="1113" spans="1:60" x14ac:dyDescent="0.35">
      <c r="A1113" t="s">
        <v>2199</v>
      </c>
      <c r="B1113" t="s">
        <v>2299</v>
      </c>
      <c r="C1113" t="s">
        <v>2329</v>
      </c>
      <c r="D1113" t="s">
        <v>2330</v>
      </c>
      <c r="E1113">
        <v>1614</v>
      </c>
      <c r="F1113" t="s">
        <v>81</v>
      </c>
      <c r="G1113" t="s">
        <v>81</v>
      </c>
      <c r="H1113" t="s">
        <v>81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4</v>
      </c>
      <c r="BG1113">
        <v>376.5</v>
      </c>
      <c r="BH1113">
        <v>0</v>
      </c>
    </row>
    <row r="1114" spans="1:60" x14ac:dyDescent="0.35">
      <c r="A1114" t="s">
        <v>2199</v>
      </c>
      <c r="B1114" t="s">
        <v>2299</v>
      </c>
      <c r="C1114" t="s">
        <v>2331</v>
      </c>
      <c r="D1114" t="s">
        <v>2332</v>
      </c>
      <c r="E1114">
        <v>679</v>
      </c>
      <c r="F1114" t="s">
        <v>81</v>
      </c>
      <c r="G1114" t="s">
        <v>81</v>
      </c>
      <c r="H1114" t="s">
        <v>81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 t="s">
        <v>81</v>
      </c>
      <c r="BB1114" t="s">
        <v>81</v>
      </c>
      <c r="BC1114" t="s">
        <v>81</v>
      </c>
      <c r="BD1114" t="s">
        <v>81</v>
      </c>
      <c r="BE1114" t="s">
        <v>81</v>
      </c>
      <c r="BF1114" t="s">
        <v>81</v>
      </c>
      <c r="BG1114" t="s">
        <v>81</v>
      </c>
      <c r="BH1114" t="s">
        <v>81</v>
      </c>
    </row>
    <row r="1115" spans="1:60" x14ac:dyDescent="0.35">
      <c r="A1115" t="s">
        <v>2199</v>
      </c>
      <c r="B1115" t="s">
        <v>2299</v>
      </c>
      <c r="C1115" t="s">
        <v>2333</v>
      </c>
      <c r="D1115" t="s">
        <v>2334</v>
      </c>
      <c r="E1115">
        <v>1522</v>
      </c>
      <c r="F1115" t="s">
        <v>81</v>
      </c>
      <c r="G1115" t="s">
        <v>81</v>
      </c>
      <c r="H1115" t="s">
        <v>81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 t="s">
        <v>81</v>
      </c>
      <c r="BB1115" t="s">
        <v>81</v>
      </c>
      <c r="BC1115" t="s">
        <v>81</v>
      </c>
      <c r="BD1115" t="s">
        <v>81</v>
      </c>
      <c r="BE1115" t="s">
        <v>81</v>
      </c>
      <c r="BF1115" t="s">
        <v>81</v>
      </c>
      <c r="BG1115" t="s">
        <v>81</v>
      </c>
      <c r="BH1115" t="s">
        <v>81</v>
      </c>
    </row>
    <row r="1116" spans="1:60" x14ac:dyDescent="0.35">
      <c r="A1116" t="s">
        <v>2199</v>
      </c>
      <c r="B1116" t="s">
        <v>2299</v>
      </c>
      <c r="C1116" t="s">
        <v>2335</v>
      </c>
      <c r="D1116" t="s">
        <v>2336</v>
      </c>
      <c r="E1116">
        <v>2093</v>
      </c>
      <c r="F1116" t="s">
        <v>81</v>
      </c>
      <c r="G1116" t="s">
        <v>81</v>
      </c>
      <c r="H1116" t="s">
        <v>81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</row>
    <row r="1117" spans="1:60" x14ac:dyDescent="0.35">
      <c r="A1117" t="s">
        <v>2199</v>
      </c>
      <c r="B1117" t="s">
        <v>2299</v>
      </c>
      <c r="C1117" t="s">
        <v>2337</v>
      </c>
      <c r="D1117" t="s">
        <v>2338</v>
      </c>
      <c r="E1117">
        <v>1032</v>
      </c>
      <c r="F1117" t="s">
        <v>81</v>
      </c>
      <c r="G1117" t="s">
        <v>81</v>
      </c>
      <c r="H1117" t="s">
        <v>81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3</v>
      </c>
      <c r="BG1117">
        <v>0</v>
      </c>
      <c r="BH1117">
        <v>0</v>
      </c>
    </row>
    <row r="1118" spans="1:60" x14ac:dyDescent="0.35">
      <c r="A1118" t="s">
        <v>2199</v>
      </c>
      <c r="B1118" t="s">
        <v>2299</v>
      </c>
      <c r="C1118" t="s">
        <v>2339</v>
      </c>
      <c r="D1118" t="s">
        <v>2340</v>
      </c>
      <c r="E1118">
        <v>2323</v>
      </c>
      <c r="F1118">
        <v>1</v>
      </c>
      <c r="G1118">
        <v>0.65</v>
      </c>
      <c r="H1118">
        <v>0.65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4</v>
      </c>
      <c r="BG1118">
        <v>0</v>
      </c>
      <c r="BH1118">
        <v>0</v>
      </c>
    </row>
    <row r="1119" spans="1:60" x14ac:dyDescent="0.35">
      <c r="A1119" t="s">
        <v>2199</v>
      </c>
      <c r="B1119" t="s">
        <v>2299</v>
      </c>
      <c r="C1119" t="s">
        <v>2341</v>
      </c>
      <c r="D1119" t="s">
        <v>2342</v>
      </c>
      <c r="E1119">
        <v>765</v>
      </c>
      <c r="F1119" t="s">
        <v>81</v>
      </c>
      <c r="G1119" t="s">
        <v>81</v>
      </c>
      <c r="H1119" t="s">
        <v>81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4</v>
      </c>
      <c r="BG1119">
        <v>275</v>
      </c>
      <c r="BH1119">
        <v>0</v>
      </c>
    </row>
    <row r="1120" spans="1:60" x14ac:dyDescent="0.35">
      <c r="A1120" t="s">
        <v>2199</v>
      </c>
      <c r="B1120" t="s">
        <v>2299</v>
      </c>
      <c r="C1120" t="s">
        <v>2343</v>
      </c>
      <c r="D1120" t="s">
        <v>2344</v>
      </c>
      <c r="E1120">
        <v>1228</v>
      </c>
      <c r="F1120">
        <v>1</v>
      </c>
      <c r="G1120">
        <v>0.2</v>
      </c>
      <c r="H1120">
        <v>0.2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4</v>
      </c>
      <c r="BG1120">
        <v>0</v>
      </c>
      <c r="BH1120">
        <v>0</v>
      </c>
    </row>
    <row r="1121" spans="1:60" x14ac:dyDescent="0.35">
      <c r="A1121" t="s">
        <v>2199</v>
      </c>
      <c r="B1121" t="s">
        <v>2299</v>
      </c>
      <c r="C1121" t="s">
        <v>2345</v>
      </c>
      <c r="D1121" t="s">
        <v>2346</v>
      </c>
      <c r="E1121">
        <v>1198</v>
      </c>
      <c r="F1121" t="s">
        <v>81</v>
      </c>
      <c r="G1121" t="s">
        <v>81</v>
      </c>
      <c r="H1121" t="s">
        <v>81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2</v>
      </c>
      <c r="BG1121">
        <v>0</v>
      </c>
      <c r="BH1121">
        <v>0</v>
      </c>
    </row>
    <row r="1122" spans="1:60" x14ac:dyDescent="0.35">
      <c r="A1122" t="s">
        <v>2199</v>
      </c>
      <c r="B1122" t="s">
        <v>2299</v>
      </c>
      <c r="C1122" t="s">
        <v>2347</v>
      </c>
      <c r="D1122" t="s">
        <v>2348</v>
      </c>
      <c r="E1122">
        <v>1035</v>
      </c>
      <c r="F1122" t="s">
        <v>81</v>
      </c>
      <c r="G1122" t="s">
        <v>81</v>
      </c>
      <c r="H1122" t="s">
        <v>81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21235.375</v>
      </c>
      <c r="BC1122">
        <v>21235.375</v>
      </c>
      <c r="BD1122">
        <v>0</v>
      </c>
      <c r="BE1122">
        <v>0</v>
      </c>
      <c r="BF1122">
        <v>3</v>
      </c>
      <c r="BG1122">
        <v>0</v>
      </c>
      <c r="BH1122">
        <v>0</v>
      </c>
    </row>
    <row r="1123" spans="1:60" x14ac:dyDescent="0.35">
      <c r="A1123" t="s">
        <v>2199</v>
      </c>
      <c r="B1123" t="s">
        <v>2299</v>
      </c>
      <c r="C1123" t="s">
        <v>2349</v>
      </c>
      <c r="D1123" t="s">
        <v>2350</v>
      </c>
      <c r="E1123">
        <v>1176</v>
      </c>
      <c r="F1123" t="s">
        <v>81</v>
      </c>
      <c r="G1123" t="s">
        <v>81</v>
      </c>
      <c r="H1123" t="s">
        <v>81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1</v>
      </c>
      <c r="BG1123">
        <v>0</v>
      </c>
      <c r="BH1123">
        <v>0</v>
      </c>
    </row>
    <row r="1124" spans="1:60" x14ac:dyDescent="0.35">
      <c r="A1124" t="s">
        <v>2199</v>
      </c>
      <c r="B1124" t="s">
        <v>2299</v>
      </c>
      <c r="C1124" t="s">
        <v>2351</v>
      </c>
      <c r="D1124" t="s">
        <v>2352</v>
      </c>
      <c r="E1124">
        <v>1060</v>
      </c>
      <c r="F1124" t="s">
        <v>81</v>
      </c>
      <c r="G1124" t="s">
        <v>81</v>
      </c>
      <c r="H1124" t="s">
        <v>81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2</v>
      </c>
      <c r="BG1124">
        <v>0</v>
      </c>
      <c r="BH1124">
        <v>0</v>
      </c>
    </row>
    <row r="1125" spans="1:60" x14ac:dyDescent="0.35">
      <c r="A1125" t="s">
        <v>2199</v>
      </c>
      <c r="B1125" t="s">
        <v>2299</v>
      </c>
      <c r="C1125" t="s">
        <v>2353</v>
      </c>
      <c r="D1125" t="s">
        <v>2354</v>
      </c>
      <c r="E1125">
        <v>2940</v>
      </c>
      <c r="F1125">
        <v>1</v>
      </c>
      <c r="G1125">
        <v>2.939438</v>
      </c>
      <c r="H1125">
        <v>2.939438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11</v>
      </c>
      <c r="BG1125">
        <v>9.0909089999999999</v>
      </c>
      <c r="BH1125">
        <v>0</v>
      </c>
    </row>
    <row r="1126" spans="1:60" x14ac:dyDescent="0.35">
      <c r="A1126" t="s">
        <v>2199</v>
      </c>
      <c r="B1126" t="s">
        <v>2299</v>
      </c>
      <c r="C1126" t="s">
        <v>2355</v>
      </c>
      <c r="D1126" t="s">
        <v>2356</v>
      </c>
      <c r="E1126">
        <v>588</v>
      </c>
      <c r="F1126" t="s">
        <v>81</v>
      </c>
      <c r="G1126" t="s">
        <v>81</v>
      </c>
      <c r="H1126" t="s">
        <v>81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</v>
      </c>
      <c r="BG1126">
        <v>0</v>
      </c>
      <c r="BH1126">
        <v>0</v>
      </c>
    </row>
    <row r="1127" spans="1:60" x14ac:dyDescent="0.35">
      <c r="A1127" t="s">
        <v>2199</v>
      </c>
      <c r="B1127" t="s">
        <v>2299</v>
      </c>
      <c r="C1127" t="s">
        <v>2357</v>
      </c>
      <c r="D1127" t="s">
        <v>2358</v>
      </c>
      <c r="E1127">
        <v>3479</v>
      </c>
      <c r="F1127">
        <v>6</v>
      </c>
      <c r="G1127">
        <v>2.0960130000000001</v>
      </c>
      <c r="H1127">
        <v>0.34933550000000002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16</v>
      </c>
      <c r="BG1127">
        <v>731.59375</v>
      </c>
      <c r="BH1127">
        <v>0</v>
      </c>
    </row>
    <row r="1128" spans="1:60" x14ac:dyDescent="0.35">
      <c r="A1128" t="s">
        <v>2199</v>
      </c>
      <c r="B1128" t="s">
        <v>2299</v>
      </c>
      <c r="C1128" t="s">
        <v>2359</v>
      </c>
      <c r="D1128" t="s">
        <v>2360</v>
      </c>
      <c r="E1128">
        <v>4051</v>
      </c>
      <c r="F1128">
        <v>1</v>
      </c>
      <c r="G1128">
        <v>0.58172100000000004</v>
      </c>
      <c r="H1128">
        <v>0.58172100000000004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>
        <v>36367.832999999999</v>
      </c>
      <c r="BC1128">
        <v>36367.832999999999</v>
      </c>
      <c r="BD1128">
        <v>0</v>
      </c>
      <c r="BE1128">
        <v>0</v>
      </c>
      <c r="BF1128">
        <v>7</v>
      </c>
      <c r="BG1128">
        <v>142.85714300000001</v>
      </c>
      <c r="BH1128">
        <v>0</v>
      </c>
    </row>
    <row r="1129" spans="1:60" x14ac:dyDescent="0.35">
      <c r="A1129" t="s">
        <v>2199</v>
      </c>
      <c r="B1129" t="s">
        <v>2299</v>
      </c>
      <c r="C1129" t="s">
        <v>2361</v>
      </c>
      <c r="D1129" t="s">
        <v>2362</v>
      </c>
      <c r="E1129">
        <v>877</v>
      </c>
      <c r="F1129">
        <v>1</v>
      </c>
      <c r="G1129">
        <v>0.2</v>
      </c>
      <c r="H1129">
        <v>0.2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4</v>
      </c>
      <c r="BG1129">
        <v>25</v>
      </c>
      <c r="BH1129">
        <v>0</v>
      </c>
    </row>
    <row r="1130" spans="1:60" x14ac:dyDescent="0.35">
      <c r="A1130" t="s">
        <v>2199</v>
      </c>
      <c r="B1130" t="s">
        <v>2299</v>
      </c>
      <c r="C1130" t="s">
        <v>2363</v>
      </c>
      <c r="D1130" t="s">
        <v>2364</v>
      </c>
      <c r="E1130">
        <v>897</v>
      </c>
      <c r="F1130" t="s">
        <v>81</v>
      </c>
      <c r="G1130" t="s">
        <v>81</v>
      </c>
      <c r="H1130" t="s">
        <v>81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3</v>
      </c>
      <c r="BG1130">
        <v>0</v>
      </c>
      <c r="BH1130">
        <v>0</v>
      </c>
    </row>
    <row r="1131" spans="1:60" x14ac:dyDescent="0.35">
      <c r="A1131" t="s">
        <v>2199</v>
      </c>
      <c r="B1131" t="s">
        <v>2299</v>
      </c>
      <c r="C1131" t="s">
        <v>2365</v>
      </c>
      <c r="D1131" t="s">
        <v>2366</v>
      </c>
      <c r="E1131">
        <v>10165</v>
      </c>
      <c r="F1131">
        <v>18</v>
      </c>
      <c r="G1131">
        <v>11.97054</v>
      </c>
      <c r="H1131">
        <v>0.6650298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19245.96</v>
      </c>
      <c r="AD1131">
        <v>0</v>
      </c>
      <c r="AE1131">
        <v>0</v>
      </c>
      <c r="AF1131">
        <v>19245.96</v>
      </c>
      <c r="AG1131">
        <v>0</v>
      </c>
      <c r="AH1131">
        <v>0</v>
      </c>
      <c r="AI1131">
        <v>7159.66</v>
      </c>
      <c r="AJ1131">
        <v>0</v>
      </c>
      <c r="AK1131">
        <v>0</v>
      </c>
      <c r="AL1131">
        <v>7159.66</v>
      </c>
      <c r="AM1131">
        <v>0</v>
      </c>
      <c r="AN1131">
        <v>0</v>
      </c>
      <c r="AO1131">
        <v>2188.1799999999998</v>
      </c>
      <c r="AP1131">
        <v>0</v>
      </c>
      <c r="AQ1131">
        <v>0</v>
      </c>
      <c r="AR1131">
        <v>2188.1799999999998</v>
      </c>
      <c r="AS1131">
        <v>0</v>
      </c>
      <c r="AT1131">
        <v>0</v>
      </c>
      <c r="AU1131">
        <v>234.55</v>
      </c>
      <c r="AV1131">
        <v>0</v>
      </c>
      <c r="AW1131">
        <v>0</v>
      </c>
      <c r="AX1131">
        <v>234.55</v>
      </c>
      <c r="AY1131">
        <v>28828.35</v>
      </c>
      <c r="AZ1131">
        <v>0</v>
      </c>
      <c r="BA1131">
        <v>1</v>
      </c>
      <c r="BB1131">
        <v>4789.6670000000004</v>
      </c>
      <c r="BC1131">
        <v>4789.6670000000004</v>
      </c>
      <c r="BD1131">
        <v>0</v>
      </c>
      <c r="BE1131">
        <v>51</v>
      </c>
      <c r="BF1131">
        <v>41</v>
      </c>
      <c r="BG1131">
        <v>53.445610000000002</v>
      </c>
      <c r="BH1131">
        <v>0</v>
      </c>
    </row>
    <row r="1132" spans="1:60" x14ac:dyDescent="0.35">
      <c r="A1132" t="s">
        <v>2199</v>
      </c>
      <c r="B1132" t="s">
        <v>2199</v>
      </c>
      <c r="C1132" t="s">
        <v>2367</v>
      </c>
      <c r="D1132" t="s">
        <v>2368</v>
      </c>
      <c r="E1132">
        <v>10368</v>
      </c>
      <c r="F1132">
        <v>27</v>
      </c>
      <c r="G1132">
        <v>27.774830000000001</v>
      </c>
      <c r="H1132">
        <v>1.028697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23703.17</v>
      </c>
      <c r="AD1132">
        <v>0</v>
      </c>
      <c r="AE1132">
        <v>0</v>
      </c>
      <c r="AF1132">
        <v>23703.17</v>
      </c>
      <c r="AG1132">
        <v>0</v>
      </c>
      <c r="AH1132">
        <v>0</v>
      </c>
      <c r="AI1132">
        <v>4042.3</v>
      </c>
      <c r="AJ1132">
        <v>0</v>
      </c>
      <c r="AK1132">
        <v>0</v>
      </c>
      <c r="AL1132">
        <v>4042.3</v>
      </c>
      <c r="AM1132">
        <v>0</v>
      </c>
      <c r="AN1132">
        <v>0</v>
      </c>
      <c r="AO1132">
        <v>6130.86</v>
      </c>
      <c r="AP1132">
        <v>0</v>
      </c>
      <c r="AQ1132">
        <v>0</v>
      </c>
      <c r="AR1132">
        <v>6130.86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33876.33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74</v>
      </c>
      <c r="BG1132">
        <v>2040.52027</v>
      </c>
      <c r="BH1132">
        <v>0</v>
      </c>
    </row>
    <row r="1133" spans="1:60" x14ac:dyDescent="0.35">
      <c r="A1133" t="s">
        <v>2199</v>
      </c>
      <c r="B1133" t="s">
        <v>2199</v>
      </c>
      <c r="C1133" t="s">
        <v>2369</v>
      </c>
      <c r="D1133" t="s">
        <v>2370</v>
      </c>
      <c r="E1133">
        <v>5769</v>
      </c>
      <c r="F1133">
        <v>28</v>
      </c>
      <c r="G1133">
        <v>16.781970000000001</v>
      </c>
      <c r="H1133">
        <v>0.599356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18635.91</v>
      </c>
      <c r="AD1133">
        <v>0</v>
      </c>
      <c r="AE1133">
        <v>0</v>
      </c>
      <c r="AF1133">
        <v>18635.91</v>
      </c>
      <c r="AG1133">
        <v>0</v>
      </c>
      <c r="AH1133">
        <v>0</v>
      </c>
      <c r="AI1133">
        <v>2715.88</v>
      </c>
      <c r="AJ1133">
        <v>0</v>
      </c>
      <c r="AK1133">
        <v>0</v>
      </c>
      <c r="AL1133">
        <v>2715.88</v>
      </c>
      <c r="AM1133">
        <v>0</v>
      </c>
      <c r="AN1133">
        <v>0</v>
      </c>
      <c r="AO1133">
        <v>3750.93</v>
      </c>
      <c r="AP1133">
        <v>0</v>
      </c>
      <c r="AQ1133">
        <v>0</v>
      </c>
      <c r="AR1133">
        <v>3750.93</v>
      </c>
      <c r="AS1133">
        <v>0</v>
      </c>
      <c r="AT1133">
        <v>0</v>
      </c>
      <c r="AU1133">
        <v>97.5</v>
      </c>
      <c r="AV1133">
        <v>0</v>
      </c>
      <c r="AW1133">
        <v>0</v>
      </c>
      <c r="AX1133">
        <v>97.5</v>
      </c>
      <c r="AY1133">
        <v>25200.22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64</v>
      </c>
      <c r="BG1133">
        <v>0</v>
      </c>
      <c r="BH1133">
        <v>0</v>
      </c>
    </row>
    <row r="1134" spans="1:60" x14ac:dyDescent="0.35">
      <c r="A1134" t="s">
        <v>2199</v>
      </c>
      <c r="B1134" t="s">
        <v>2199</v>
      </c>
      <c r="C1134" t="s">
        <v>2371</v>
      </c>
      <c r="D1134" t="s">
        <v>2372</v>
      </c>
      <c r="E1134">
        <v>971</v>
      </c>
      <c r="F1134" t="s">
        <v>81</v>
      </c>
      <c r="G1134" t="s">
        <v>81</v>
      </c>
      <c r="H1134" t="s">
        <v>81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 t="s">
        <v>81</v>
      </c>
      <c r="BB1134" t="s">
        <v>81</v>
      </c>
      <c r="BC1134" t="s">
        <v>81</v>
      </c>
      <c r="BD1134" t="s">
        <v>81</v>
      </c>
      <c r="BE1134" t="s">
        <v>81</v>
      </c>
      <c r="BF1134" t="s">
        <v>81</v>
      </c>
      <c r="BG1134" t="s">
        <v>81</v>
      </c>
      <c r="BH1134" t="s">
        <v>81</v>
      </c>
    </row>
    <row r="1135" spans="1:60" x14ac:dyDescent="0.35">
      <c r="A1135" t="s">
        <v>2199</v>
      </c>
      <c r="B1135" t="s">
        <v>2199</v>
      </c>
      <c r="C1135" t="s">
        <v>2373</v>
      </c>
      <c r="D1135" t="s">
        <v>2374</v>
      </c>
      <c r="E1135">
        <v>3437</v>
      </c>
      <c r="F1135" t="s">
        <v>81</v>
      </c>
      <c r="G1135" t="s">
        <v>81</v>
      </c>
      <c r="H1135" t="s">
        <v>81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18</v>
      </c>
      <c r="BG1135">
        <v>0</v>
      </c>
      <c r="BH1135">
        <v>0</v>
      </c>
    </row>
    <row r="1136" spans="1:60" x14ac:dyDescent="0.35">
      <c r="A1136" t="s">
        <v>2199</v>
      </c>
      <c r="B1136" t="s">
        <v>2375</v>
      </c>
      <c r="C1136" t="s">
        <v>2375</v>
      </c>
      <c r="D1136" t="s">
        <v>2376</v>
      </c>
      <c r="E1136">
        <v>44019</v>
      </c>
      <c r="F1136">
        <v>222</v>
      </c>
      <c r="G1136">
        <v>145.7569</v>
      </c>
      <c r="H1136">
        <v>0.65656270000000005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1311.57</v>
      </c>
      <c r="P1136">
        <v>0</v>
      </c>
      <c r="Q1136">
        <v>0</v>
      </c>
      <c r="R1136">
        <v>0</v>
      </c>
      <c r="S1136">
        <v>0</v>
      </c>
      <c r="T1136">
        <v>1311.57</v>
      </c>
      <c r="U1136">
        <v>16763.03</v>
      </c>
      <c r="V1136">
        <v>0</v>
      </c>
      <c r="W1136">
        <v>0</v>
      </c>
      <c r="X1136">
        <v>0</v>
      </c>
      <c r="Y1136">
        <v>0</v>
      </c>
      <c r="Z1136">
        <v>16763.03</v>
      </c>
      <c r="AA1136">
        <v>127010.57</v>
      </c>
      <c r="AB1136">
        <v>11411.01</v>
      </c>
      <c r="AC1136">
        <v>81778.100000000006</v>
      </c>
      <c r="AD1136">
        <v>5757.4</v>
      </c>
      <c r="AE1136">
        <v>0</v>
      </c>
      <c r="AF1136">
        <v>225957.08</v>
      </c>
      <c r="AG1136">
        <v>3399.7</v>
      </c>
      <c r="AH1136">
        <v>4609.0200000000004</v>
      </c>
      <c r="AI1136">
        <v>17191.14</v>
      </c>
      <c r="AJ1136">
        <v>3337.68</v>
      </c>
      <c r="AK1136">
        <v>0</v>
      </c>
      <c r="AL1136">
        <v>28537.54</v>
      </c>
      <c r="AM1136">
        <v>42291.99</v>
      </c>
      <c r="AN1136">
        <v>7598.11</v>
      </c>
      <c r="AO1136">
        <v>35939.870000000003</v>
      </c>
      <c r="AP1136">
        <v>830.92</v>
      </c>
      <c r="AQ1136">
        <v>0</v>
      </c>
      <c r="AR1136">
        <v>86660.89</v>
      </c>
      <c r="AS1136">
        <v>9050.34</v>
      </c>
      <c r="AT1136">
        <v>0</v>
      </c>
      <c r="AU1136">
        <v>4257.08</v>
      </c>
      <c r="AV1136">
        <v>0</v>
      </c>
      <c r="AW1136">
        <v>0</v>
      </c>
      <c r="AX1136">
        <v>13307.42</v>
      </c>
      <c r="AY1136">
        <v>372537.53</v>
      </c>
      <c r="AZ1136">
        <v>0</v>
      </c>
      <c r="BA1136">
        <v>29</v>
      </c>
      <c r="BB1136">
        <v>59575.453999999998</v>
      </c>
      <c r="BC1136">
        <v>1727688.156</v>
      </c>
      <c r="BD1136">
        <v>988.65069000000005</v>
      </c>
      <c r="BE1136">
        <v>26.12</v>
      </c>
      <c r="BF1136">
        <v>642</v>
      </c>
      <c r="BG1136">
        <v>2415.907087</v>
      </c>
      <c r="BH1136">
        <v>567.17100000000005</v>
      </c>
    </row>
    <row r="1137" spans="1:60" x14ac:dyDescent="0.35">
      <c r="A1137" t="s">
        <v>2199</v>
      </c>
      <c r="B1137" t="s">
        <v>2375</v>
      </c>
      <c r="C1137" t="s">
        <v>2377</v>
      </c>
      <c r="D1137" t="s">
        <v>2378</v>
      </c>
      <c r="E1137">
        <v>6799</v>
      </c>
      <c r="F1137" t="s">
        <v>81</v>
      </c>
      <c r="G1137" t="s">
        <v>81</v>
      </c>
      <c r="H1137" t="s">
        <v>81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</v>
      </c>
      <c r="BB1137">
        <v>82466.25</v>
      </c>
      <c r="BC1137">
        <v>82466.25</v>
      </c>
      <c r="BD1137">
        <v>0</v>
      </c>
      <c r="BE1137">
        <v>0</v>
      </c>
      <c r="BF1137">
        <v>4</v>
      </c>
      <c r="BG1137">
        <v>0</v>
      </c>
      <c r="BH1137">
        <v>0</v>
      </c>
    </row>
    <row r="1138" spans="1:60" x14ac:dyDescent="0.35">
      <c r="A1138" t="s">
        <v>2199</v>
      </c>
      <c r="B1138" t="s">
        <v>2375</v>
      </c>
      <c r="C1138" t="s">
        <v>2379</v>
      </c>
      <c r="D1138" t="s">
        <v>2380</v>
      </c>
      <c r="E1138">
        <v>8085</v>
      </c>
      <c r="F1138">
        <v>4</v>
      </c>
      <c r="G1138">
        <v>1.6148</v>
      </c>
      <c r="H1138">
        <v>0.4037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5</v>
      </c>
      <c r="BG1138">
        <v>0</v>
      </c>
      <c r="BH1138">
        <v>285.08</v>
      </c>
    </row>
    <row r="1139" spans="1:60" x14ac:dyDescent="0.35">
      <c r="A1139" t="s">
        <v>2199</v>
      </c>
      <c r="B1139" t="s">
        <v>2375</v>
      </c>
      <c r="C1139" t="s">
        <v>2381</v>
      </c>
      <c r="D1139" t="s">
        <v>2382</v>
      </c>
      <c r="E1139">
        <v>45804</v>
      </c>
      <c r="F1139">
        <v>82</v>
      </c>
      <c r="G1139">
        <v>50.97784</v>
      </c>
      <c r="H1139">
        <v>0.62168100000000004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3539.48</v>
      </c>
      <c r="AC1139">
        <v>28471.58</v>
      </c>
      <c r="AD1139">
        <v>0</v>
      </c>
      <c r="AE1139">
        <v>0</v>
      </c>
      <c r="AF1139">
        <v>32011.06</v>
      </c>
      <c r="AG1139">
        <v>0</v>
      </c>
      <c r="AH1139">
        <v>2068.61</v>
      </c>
      <c r="AI1139">
        <v>7651.57</v>
      </c>
      <c r="AJ1139">
        <v>0</v>
      </c>
      <c r="AK1139">
        <v>0</v>
      </c>
      <c r="AL1139">
        <v>9720.18</v>
      </c>
      <c r="AM1139">
        <v>0</v>
      </c>
      <c r="AN1139">
        <v>571.16999999999996</v>
      </c>
      <c r="AO1139">
        <v>10236.92</v>
      </c>
      <c r="AP1139">
        <v>0</v>
      </c>
      <c r="AQ1139">
        <v>0</v>
      </c>
      <c r="AR1139">
        <v>10808.09</v>
      </c>
      <c r="AS1139">
        <v>0</v>
      </c>
      <c r="AT1139">
        <v>0</v>
      </c>
      <c r="AU1139">
        <v>3030.34</v>
      </c>
      <c r="AV1139">
        <v>0</v>
      </c>
      <c r="AW1139">
        <v>0</v>
      </c>
      <c r="AX1139">
        <v>3030.34</v>
      </c>
      <c r="AY1139">
        <v>55569.67</v>
      </c>
      <c r="AZ1139">
        <v>0</v>
      </c>
      <c r="BA1139">
        <v>10</v>
      </c>
      <c r="BB1139">
        <v>29726.639999999999</v>
      </c>
      <c r="BC1139">
        <v>297266.40100000001</v>
      </c>
      <c r="BD1139">
        <v>2398.84</v>
      </c>
      <c r="BE1139">
        <v>254.541</v>
      </c>
      <c r="BF1139">
        <v>248</v>
      </c>
      <c r="BG1139">
        <v>282.872702</v>
      </c>
      <c r="BH1139">
        <v>372.91500000000002</v>
      </c>
    </row>
    <row r="1140" spans="1:60" x14ac:dyDescent="0.35">
      <c r="A1140" t="s">
        <v>2199</v>
      </c>
      <c r="B1140" t="s">
        <v>2375</v>
      </c>
      <c r="C1140" t="s">
        <v>2383</v>
      </c>
      <c r="D1140" t="s">
        <v>2384</v>
      </c>
      <c r="E1140">
        <v>3057</v>
      </c>
      <c r="F1140" t="s">
        <v>81</v>
      </c>
      <c r="G1140" t="s">
        <v>81</v>
      </c>
      <c r="H1140" t="s">
        <v>81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1</v>
      </c>
      <c r="BG1140">
        <v>0</v>
      </c>
      <c r="BH1140">
        <v>0</v>
      </c>
    </row>
    <row r="1141" spans="1:60" x14ac:dyDescent="0.35">
      <c r="A1141" t="s">
        <v>2199</v>
      </c>
      <c r="B1141" t="s">
        <v>2375</v>
      </c>
      <c r="C1141" t="s">
        <v>2385</v>
      </c>
      <c r="D1141" t="s">
        <v>2386</v>
      </c>
      <c r="E1141">
        <v>69263</v>
      </c>
      <c r="F1141">
        <v>62</v>
      </c>
      <c r="G1141">
        <v>64.374740000000003</v>
      </c>
      <c r="H1141">
        <v>1.0383020000000001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1126.6400000000001</v>
      </c>
      <c r="V1141">
        <v>0</v>
      </c>
      <c r="W1141">
        <v>0</v>
      </c>
      <c r="X1141">
        <v>0</v>
      </c>
      <c r="Y1141">
        <v>0</v>
      </c>
      <c r="Z1141">
        <v>1126.6400000000001</v>
      </c>
      <c r="AA1141">
        <v>44783.43</v>
      </c>
      <c r="AB1141">
        <v>23625.59</v>
      </c>
      <c r="AC1141">
        <v>35461.08</v>
      </c>
      <c r="AD1141">
        <v>0</v>
      </c>
      <c r="AE1141">
        <v>0</v>
      </c>
      <c r="AF1141">
        <v>103870.1</v>
      </c>
      <c r="AG1141">
        <v>3278.95</v>
      </c>
      <c r="AH1141">
        <v>7780.38</v>
      </c>
      <c r="AI1141">
        <v>5813.73</v>
      </c>
      <c r="AJ1141">
        <v>0</v>
      </c>
      <c r="AK1141">
        <v>0</v>
      </c>
      <c r="AL1141">
        <v>16873.060000000001</v>
      </c>
      <c r="AM1141">
        <v>2335.7399999999998</v>
      </c>
      <c r="AN1141">
        <v>4237.83</v>
      </c>
      <c r="AO1141">
        <v>12001.05</v>
      </c>
      <c r="AP1141">
        <v>0</v>
      </c>
      <c r="AQ1141">
        <v>0</v>
      </c>
      <c r="AR1141">
        <v>18574.62</v>
      </c>
      <c r="AS1141">
        <v>2219.4699999999998</v>
      </c>
      <c r="AT1141">
        <v>0</v>
      </c>
      <c r="AU1141">
        <v>1460.84</v>
      </c>
      <c r="AV1141">
        <v>0</v>
      </c>
      <c r="AW1141">
        <v>0</v>
      </c>
      <c r="AX1141">
        <v>3680.31</v>
      </c>
      <c r="AY1141">
        <v>144124.73000000001</v>
      </c>
      <c r="AZ1141">
        <v>0</v>
      </c>
      <c r="BA1141">
        <v>15</v>
      </c>
      <c r="BB1141">
        <v>101942.04300000001</v>
      </c>
      <c r="BC1141">
        <v>1529130.638</v>
      </c>
      <c r="BD1141">
        <v>70.2</v>
      </c>
      <c r="BE1141">
        <v>1540.7629999999999</v>
      </c>
      <c r="BF1141">
        <v>356</v>
      </c>
      <c r="BG1141">
        <v>810.23255600000005</v>
      </c>
      <c r="BH1141">
        <v>173.255</v>
      </c>
    </row>
    <row r="1142" spans="1:60" x14ac:dyDescent="0.35">
      <c r="A1142" t="s">
        <v>2199</v>
      </c>
      <c r="B1142" t="s">
        <v>2375</v>
      </c>
      <c r="C1142" t="s">
        <v>2387</v>
      </c>
      <c r="D1142" t="s">
        <v>2388</v>
      </c>
      <c r="E1142">
        <v>36286</v>
      </c>
      <c r="F1142">
        <v>4</v>
      </c>
      <c r="G1142">
        <v>5.9084519999999996</v>
      </c>
      <c r="H1142">
        <v>1.4771129999999999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</v>
      </c>
      <c r="BB1142">
        <v>3177.9169999999999</v>
      </c>
      <c r="BC1142">
        <v>3177.9169999999999</v>
      </c>
      <c r="BD1142">
        <v>0</v>
      </c>
      <c r="BE1142">
        <v>0</v>
      </c>
      <c r="BF1142">
        <v>81</v>
      </c>
      <c r="BG1142">
        <v>1143.321111</v>
      </c>
      <c r="BH1142">
        <v>1324.345</v>
      </c>
    </row>
    <row r="1143" spans="1:60" x14ac:dyDescent="0.35">
      <c r="A1143" t="s">
        <v>2199</v>
      </c>
      <c r="B1143" t="s">
        <v>2375</v>
      </c>
      <c r="C1143" t="s">
        <v>2389</v>
      </c>
      <c r="D1143" t="s">
        <v>2390</v>
      </c>
      <c r="E1143">
        <v>28215</v>
      </c>
      <c r="F1143">
        <v>6</v>
      </c>
      <c r="G1143">
        <v>6.8763670000000001</v>
      </c>
      <c r="H1143">
        <v>1.146061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33</v>
      </c>
      <c r="BG1143">
        <v>257.84848499999998</v>
      </c>
      <c r="BH1143">
        <v>0</v>
      </c>
    </row>
    <row r="1144" spans="1:60" x14ac:dyDescent="0.35">
      <c r="A1144" t="s">
        <v>2199</v>
      </c>
      <c r="B1144" t="s">
        <v>2375</v>
      </c>
      <c r="C1144" t="s">
        <v>2391</v>
      </c>
      <c r="D1144" t="s">
        <v>2392</v>
      </c>
      <c r="E1144">
        <v>6918</v>
      </c>
      <c r="F1144" t="s">
        <v>81</v>
      </c>
      <c r="G1144" t="s">
        <v>81</v>
      </c>
      <c r="H1144" t="s">
        <v>81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1</v>
      </c>
      <c r="BG1144">
        <v>0</v>
      </c>
      <c r="BH1144">
        <v>0</v>
      </c>
    </row>
    <row r="1145" spans="1:60" x14ac:dyDescent="0.35">
      <c r="A1145" t="s">
        <v>2199</v>
      </c>
      <c r="B1145" t="s">
        <v>2393</v>
      </c>
      <c r="C1145" t="s">
        <v>2393</v>
      </c>
      <c r="D1145" t="s">
        <v>2394</v>
      </c>
      <c r="E1145">
        <v>48896</v>
      </c>
      <c r="F1145">
        <v>245</v>
      </c>
      <c r="G1145">
        <v>165.88460000000001</v>
      </c>
      <c r="H1145">
        <v>0.67708020000000002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5867.2</v>
      </c>
      <c r="V1145">
        <v>0</v>
      </c>
      <c r="W1145">
        <v>0</v>
      </c>
      <c r="X1145">
        <v>0</v>
      </c>
      <c r="Y1145">
        <v>0</v>
      </c>
      <c r="Z1145">
        <v>5867.2</v>
      </c>
      <c r="AA1145">
        <v>138762.04999999999</v>
      </c>
      <c r="AB1145">
        <v>19197.27</v>
      </c>
      <c r="AC1145">
        <v>153277.76000000001</v>
      </c>
      <c r="AD1145">
        <v>5939.2</v>
      </c>
      <c r="AE1145">
        <v>0</v>
      </c>
      <c r="AF1145">
        <v>317176.28000000003</v>
      </c>
      <c r="AG1145">
        <v>4907.91</v>
      </c>
      <c r="AH1145">
        <v>5669.14</v>
      </c>
      <c r="AI1145">
        <v>25070.16</v>
      </c>
      <c r="AJ1145">
        <v>2407.42</v>
      </c>
      <c r="AK1145">
        <v>0</v>
      </c>
      <c r="AL1145">
        <v>38054.629999999997</v>
      </c>
      <c r="AM1145">
        <v>30152.83</v>
      </c>
      <c r="AN1145">
        <v>6955.05</v>
      </c>
      <c r="AO1145">
        <v>39085.58</v>
      </c>
      <c r="AP1145">
        <v>966.62</v>
      </c>
      <c r="AQ1145">
        <v>0</v>
      </c>
      <c r="AR1145">
        <v>77160.08</v>
      </c>
      <c r="AS1145">
        <v>21837.3</v>
      </c>
      <c r="AT1145">
        <v>0</v>
      </c>
      <c r="AU1145">
        <v>1460.88</v>
      </c>
      <c r="AV1145">
        <v>0</v>
      </c>
      <c r="AW1145">
        <v>0</v>
      </c>
      <c r="AX1145">
        <v>23298.18</v>
      </c>
      <c r="AY1145">
        <v>461556.37</v>
      </c>
      <c r="AZ1145">
        <v>0</v>
      </c>
      <c r="BA1145">
        <v>19</v>
      </c>
      <c r="BB1145">
        <v>40289.002999999997</v>
      </c>
      <c r="BC1145">
        <v>765491.05</v>
      </c>
      <c r="BD1145">
        <v>6693.29</v>
      </c>
      <c r="BE1145">
        <v>76.367999999999995</v>
      </c>
      <c r="BF1145">
        <v>585</v>
      </c>
      <c r="BG1145">
        <v>1663.5983590000001</v>
      </c>
      <c r="BH1145">
        <v>128.58099999999999</v>
      </c>
    </row>
    <row r="1146" spans="1:60" x14ac:dyDescent="0.35">
      <c r="A1146" t="s">
        <v>2199</v>
      </c>
      <c r="B1146" t="s">
        <v>2393</v>
      </c>
      <c r="C1146" t="s">
        <v>2395</v>
      </c>
      <c r="D1146" t="s">
        <v>2396</v>
      </c>
      <c r="E1146">
        <v>8140</v>
      </c>
      <c r="F1146">
        <v>12</v>
      </c>
      <c r="G1146">
        <v>4.9514680000000002</v>
      </c>
      <c r="H1146">
        <v>0.4126223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</v>
      </c>
      <c r="BB1146">
        <v>37118.167000000001</v>
      </c>
      <c r="BC1146">
        <v>37118.167000000001</v>
      </c>
      <c r="BD1146">
        <v>0</v>
      </c>
      <c r="BE1146">
        <v>0</v>
      </c>
      <c r="BF1146">
        <v>57</v>
      </c>
      <c r="BG1146">
        <v>134.63157899999999</v>
      </c>
      <c r="BH1146">
        <v>931.58</v>
      </c>
    </row>
    <row r="1147" spans="1:60" x14ac:dyDescent="0.35">
      <c r="A1147" t="s">
        <v>2199</v>
      </c>
      <c r="B1147" t="s">
        <v>2393</v>
      </c>
      <c r="C1147" t="s">
        <v>2397</v>
      </c>
      <c r="D1147" t="s">
        <v>2398</v>
      </c>
      <c r="E1147">
        <v>1491</v>
      </c>
      <c r="F1147">
        <v>1</v>
      </c>
      <c r="G1147">
        <v>2.6083780000000001</v>
      </c>
      <c r="H1147">
        <v>2.6083780000000001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4</v>
      </c>
      <c r="BG1147">
        <v>0</v>
      </c>
      <c r="BH1147">
        <v>0</v>
      </c>
    </row>
    <row r="1148" spans="1:60" x14ac:dyDescent="0.35">
      <c r="A1148" t="s">
        <v>2199</v>
      </c>
      <c r="B1148" t="s">
        <v>2393</v>
      </c>
      <c r="C1148" t="s">
        <v>2399</v>
      </c>
      <c r="D1148" t="s">
        <v>2400</v>
      </c>
      <c r="E1148">
        <v>8189</v>
      </c>
      <c r="F1148">
        <v>4</v>
      </c>
      <c r="G1148">
        <v>0.9</v>
      </c>
      <c r="H1148">
        <v>0.22500000000000001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38.79</v>
      </c>
      <c r="AD1148">
        <v>0</v>
      </c>
      <c r="AE1148">
        <v>0</v>
      </c>
      <c r="AF1148">
        <v>38.79</v>
      </c>
      <c r="AG1148">
        <v>0</v>
      </c>
      <c r="AH1148">
        <v>0</v>
      </c>
      <c r="AI1148">
        <v>200.64</v>
      </c>
      <c r="AJ1148">
        <v>0</v>
      </c>
      <c r="AK1148">
        <v>0</v>
      </c>
      <c r="AL1148">
        <v>200.64</v>
      </c>
      <c r="AM1148">
        <v>0</v>
      </c>
      <c r="AN1148">
        <v>0</v>
      </c>
      <c r="AO1148">
        <v>44.95</v>
      </c>
      <c r="AP1148">
        <v>0</v>
      </c>
      <c r="AQ1148">
        <v>0</v>
      </c>
      <c r="AR1148">
        <v>44.95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284.38</v>
      </c>
      <c r="AZ1148">
        <v>0</v>
      </c>
      <c r="BA1148">
        <v>1</v>
      </c>
      <c r="BB1148">
        <v>58252.167000000001</v>
      </c>
      <c r="BC1148">
        <v>58252.167000000001</v>
      </c>
      <c r="BD1148">
        <v>0</v>
      </c>
      <c r="BE1148">
        <v>0</v>
      </c>
      <c r="BF1148">
        <v>63</v>
      </c>
      <c r="BG1148">
        <v>866.62460299999998</v>
      </c>
      <c r="BH1148">
        <v>0</v>
      </c>
    </row>
    <row r="1149" spans="1:60" x14ac:dyDescent="0.35">
      <c r="A1149" t="s">
        <v>2199</v>
      </c>
      <c r="B1149" t="s">
        <v>2393</v>
      </c>
      <c r="C1149" t="s">
        <v>2401</v>
      </c>
      <c r="D1149" t="s">
        <v>2402</v>
      </c>
      <c r="E1149">
        <v>3498</v>
      </c>
      <c r="F1149">
        <v>10</v>
      </c>
      <c r="G1149">
        <v>11.40503</v>
      </c>
      <c r="H1149">
        <v>1.140503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22</v>
      </c>
      <c r="BG1149">
        <v>1257.072727</v>
      </c>
      <c r="BH1149">
        <v>0</v>
      </c>
    </row>
    <row r="1150" spans="1:60" x14ac:dyDescent="0.35">
      <c r="A1150" t="s">
        <v>2199</v>
      </c>
      <c r="B1150" t="s">
        <v>2393</v>
      </c>
      <c r="C1150" t="s">
        <v>2403</v>
      </c>
      <c r="D1150" t="s">
        <v>2404</v>
      </c>
      <c r="E1150">
        <v>5641</v>
      </c>
      <c r="F1150">
        <v>3</v>
      </c>
      <c r="G1150">
        <v>1.7</v>
      </c>
      <c r="H1150">
        <v>0.56666669999999997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14</v>
      </c>
      <c r="BG1150">
        <v>2153.2492860000002</v>
      </c>
      <c r="BH1150">
        <v>0</v>
      </c>
    </row>
    <row r="1151" spans="1:60" x14ac:dyDescent="0.35">
      <c r="A1151" t="s">
        <v>2199</v>
      </c>
      <c r="B1151" t="s">
        <v>2393</v>
      </c>
      <c r="C1151" t="s">
        <v>2405</v>
      </c>
      <c r="D1151" t="s">
        <v>2406</v>
      </c>
      <c r="E1151">
        <v>2584</v>
      </c>
      <c r="F1151">
        <v>6</v>
      </c>
      <c r="G1151">
        <v>2.0502750000000001</v>
      </c>
      <c r="H1151">
        <v>0.34171249999999997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22</v>
      </c>
      <c r="BG1151">
        <v>0</v>
      </c>
      <c r="BH1151">
        <v>0</v>
      </c>
    </row>
    <row r="1152" spans="1:60" x14ac:dyDescent="0.35">
      <c r="A1152" t="s">
        <v>2199</v>
      </c>
      <c r="B1152" t="s">
        <v>2393</v>
      </c>
      <c r="C1152" t="s">
        <v>2407</v>
      </c>
      <c r="D1152" t="s">
        <v>2408</v>
      </c>
      <c r="E1152">
        <v>2810</v>
      </c>
      <c r="F1152">
        <v>3</v>
      </c>
      <c r="G1152">
        <v>0.61299999999999999</v>
      </c>
      <c r="H1152">
        <v>0.2043333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8</v>
      </c>
      <c r="BG1152">
        <v>9057.8374999999996</v>
      </c>
      <c r="BH1152">
        <v>0</v>
      </c>
    </row>
    <row r="1153" spans="1:60" x14ac:dyDescent="0.35">
      <c r="A1153" t="s">
        <v>2199</v>
      </c>
      <c r="B1153" t="s">
        <v>2393</v>
      </c>
      <c r="C1153" t="s">
        <v>2409</v>
      </c>
      <c r="D1153" t="s">
        <v>2410</v>
      </c>
      <c r="E1153">
        <v>3987</v>
      </c>
      <c r="F1153" t="s">
        <v>81</v>
      </c>
      <c r="G1153" t="s">
        <v>81</v>
      </c>
      <c r="H1153" t="s">
        <v>81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5</v>
      </c>
      <c r="BG1153">
        <v>1993.5160000000001</v>
      </c>
      <c r="BH1153">
        <v>0</v>
      </c>
    </row>
    <row r="1154" spans="1:60" x14ac:dyDescent="0.35">
      <c r="A1154" t="s">
        <v>2199</v>
      </c>
      <c r="B1154" t="s">
        <v>1763</v>
      </c>
      <c r="C1154" t="s">
        <v>2411</v>
      </c>
      <c r="D1154" t="s">
        <v>2412</v>
      </c>
      <c r="E1154">
        <v>12194</v>
      </c>
      <c r="F1154">
        <v>27</v>
      </c>
      <c r="G1154">
        <v>19.695519999999998</v>
      </c>
      <c r="H1154">
        <v>0.72946359999999999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6940.52</v>
      </c>
      <c r="P1154">
        <v>0</v>
      </c>
      <c r="Q1154">
        <v>0</v>
      </c>
      <c r="R1154">
        <v>0</v>
      </c>
      <c r="S1154">
        <v>0</v>
      </c>
      <c r="T1154">
        <v>6940.52</v>
      </c>
      <c r="U1154">
        <v>5459.83</v>
      </c>
      <c r="V1154">
        <v>0</v>
      </c>
      <c r="W1154">
        <v>0</v>
      </c>
      <c r="X1154">
        <v>0</v>
      </c>
      <c r="Y1154">
        <v>0</v>
      </c>
      <c r="Z1154">
        <v>5459.83</v>
      </c>
      <c r="AA1154">
        <v>43696.3</v>
      </c>
      <c r="AB1154">
        <v>0</v>
      </c>
      <c r="AC1154">
        <v>15042.22</v>
      </c>
      <c r="AD1154">
        <v>0</v>
      </c>
      <c r="AE1154">
        <v>0</v>
      </c>
      <c r="AF1154">
        <v>58738.52</v>
      </c>
      <c r="AG1154">
        <v>29.91</v>
      </c>
      <c r="AH1154">
        <v>0</v>
      </c>
      <c r="AI1154">
        <v>2034.16</v>
      </c>
      <c r="AJ1154">
        <v>0</v>
      </c>
      <c r="AK1154">
        <v>0</v>
      </c>
      <c r="AL1154">
        <v>2064.0700000000002</v>
      </c>
      <c r="AM1154">
        <v>25339.47</v>
      </c>
      <c r="AN1154">
        <v>0</v>
      </c>
      <c r="AO1154">
        <v>5023.96</v>
      </c>
      <c r="AP1154">
        <v>0</v>
      </c>
      <c r="AQ1154">
        <v>0</v>
      </c>
      <c r="AR1154">
        <v>30363.43</v>
      </c>
      <c r="AS1154">
        <v>18942.310000000001</v>
      </c>
      <c r="AT1154">
        <v>0</v>
      </c>
      <c r="AU1154">
        <v>46.77</v>
      </c>
      <c r="AV1154">
        <v>0</v>
      </c>
      <c r="AW1154">
        <v>0</v>
      </c>
      <c r="AX1154">
        <v>18989.080000000002</v>
      </c>
      <c r="AY1154">
        <v>122555.45</v>
      </c>
      <c r="AZ1154">
        <v>0</v>
      </c>
      <c r="BA1154">
        <v>1</v>
      </c>
      <c r="BB1154">
        <v>5756</v>
      </c>
      <c r="BC1154">
        <v>5756</v>
      </c>
      <c r="BD1154">
        <v>0</v>
      </c>
      <c r="BE1154">
        <v>1203.5419999999999</v>
      </c>
      <c r="BF1154">
        <v>101</v>
      </c>
      <c r="BG1154">
        <v>1418.7418809999999</v>
      </c>
      <c r="BH1154">
        <v>859.10299999999995</v>
      </c>
    </row>
    <row r="1155" spans="1:60" x14ac:dyDescent="0.35">
      <c r="A1155" t="s">
        <v>2199</v>
      </c>
      <c r="B1155" t="s">
        <v>1763</v>
      </c>
      <c r="C1155" t="s">
        <v>2413</v>
      </c>
      <c r="D1155" t="s">
        <v>2414</v>
      </c>
      <c r="E1155">
        <v>594</v>
      </c>
      <c r="F1155">
        <v>1</v>
      </c>
      <c r="G1155">
        <v>1.2830060000000001</v>
      </c>
      <c r="H1155">
        <v>1.2830060000000001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 t="s">
        <v>81</v>
      </c>
      <c r="BB1155" t="s">
        <v>81</v>
      </c>
      <c r="BC1155" t="s">
        <v>81</v>
      </c>
      <c r="BD1155" t="s">
        <v>81</v>
      </c>
      <c r="BE1155" t="s">
        <v>81</v>
      </c>
      <c r="BF1155" t="s">
        <v>81</v>
      </c>
      <c r="BG1155" t="s">
        <v>81</v>
      </c>
      <c r="BH1155" t="s">
        <v>81</v>
      </c>
    </row>
    <row r="1156" spans="1:60" x14ac:dyDescent="0.35">
      <c r="A1156" t="s">
        <v>2199</v>
      </c>
      <c r="B1156" t="s">
        <v>1763</v>
      </c>
      <c r="C1156" t="s">
        <v>2415</v>
      </c>
      <c r="D1156" t="s">
        <v>2416</v>
      </c>
      <c r="E1156">
        <v>2308</v>
      </c>
      <c r="F1156">
        <v>7</v>
      </c>
      <c r="G1156">
        <v>5.4549510000000003</v>
      </c>
      <c r="H1156">
        <v>0.77927869999999999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10</v>
      </c>
      <c r="BG1156">
        <v>0</v>
      </c>
      <c r="BH1156">
        <v>0</v>
      </c>
    </row>
    <row r="1157" spans="1:60" x14ac:dyDescent="0.35">
      <c r="A1157" t="s">
        <v>2199</v>
      </c>
      <c r="B1157" t="s">
        <v>1763</v>
      </c>
      <c r="C1157" t="s">
        <v>2417</v>
      </c>
      <c r="D1157" t="s">
        <v>2418</v>
      </c>
      <c r="E1157">
        <v>676</v>
      </c>
      <c r="F1157">
        <v>1</v>
      </c>
      <c r="G1157">
        <v>4.84</v>
      </c>
      <c r="H1157">
        <v>4.84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 t="s">
        <v>81</v>
      </c>
      <c r="BB1157" t="s">
        <v>81</v>
      </c>
      <c r="BC1157" t="s">
        <v>81</v>
      </c>
      <c r="BD1157" t="s">
        <v>81</v>
      </c>
      <c r="BE1157" t="s">
        <v>81</v>
      </c>
      <c r="BF1157" t="s">
        <v>81</v>
      </c>
      <c r="BG1157" t="s">
        <v>81</v>
      </c>
      <c r="BH1157" t="s">
        <v>81</v>
      </c>
    </row>
    <row r="1158" spans="1:60" x14ac:dyDescent="0.35">
      <c r="A1158" t="s">
        <v>2199</v>
      </c>
      <c r="B1158" t="s">
        <v>1763</v>
      </c>
      <c r="C1158" t="s">
        <v>2419</v>
      </c>
      <c r="D1158" t="s">
        <v>2420</v>
      </c>
      <c r="E1158">
        <v>5208</v>
      </c>
      <c r="F1158">
        <v>5</v>
      </c>
      <c r="G1158">
        <v>10.98582</v>
      </c>
      <c r="H1158">
        <v>2.1971639999999999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2</v>
      </c>
      <c r="BB1158">
        <v>136297.584</v>
      </c>
      <c r="BC1158">
        <v>272595.16700000002</v>
      </c>
      <c r="BD1158">
        <v>0</v>
      </c>
      <c r="BE1158">
        <v>0</v>
      </c>
      <c r="BF1158">
        <v>57</v>
      </c>
      <c r="BG1158">
        <v>161.81228100000001</v>
      </c>
      <c r="BH1158">
        <v>2.6320000000000001</v>
      </c>
    </row>
    <row r="1159" spans="1:60" x14ac:dyDescent="0.35">
      <c r="A1159" t="s">
        <v>2199</v>
      </c>
      <c r="B1159" t="s">
        <v>1763</v>
      </c>
      <c r="C1159" t="s">
        <v>2421</v>
      </c>
      <c r="D1159" t="s">
        <v>2422</v>
      </c>
      <c r="E1159">
        <v>1562</v>
      </c>
      <c r="F1159">
        <v>12</v>
      </c>
      <c r="G1159">
        <v>4.6876850000000001</v>
      </c>
      <c r="H1159">
        <v>0.3906404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3</v>
      </c>
      <c r="BB1159">
        <v>80366.278000000006</v>
      </c>
      <c r="BC1159">
        <v>241098.83300000001</v>
      </c>
      <c r="BD1159">
        <v>3781.833333</v>
      </c>
      <c r="BE1159">
        <v>0</v>
      </c>
      <c r="BF1159">
        <v>31</v>
      </c>
      <c r="BG1159">
        <v>391.56451600000003</v>
      </c>
      <c r="BH1159">
        <v>0</v>
      </c>
    </row>
    <row r="1160" spans="1:60" x14ac:dyDescent="0.35">
      <c r="A1160" t="s">
        <v>2199</v>
      </c>
      <c r="B1160" t="s">
        <v>1763</v>
      </c>
      <c r="C1160" t="s">
        <v>2423</v>
      </c>
      <c r="D1160" t="s">
        <v>2424</v>
      </c>
      <c r="E1160">
        <v>811</v>
      </c>
      <c r="F1160">
        <v>2</v>
      </c>
      <c r="G1160">
        <v>4.0036889999999996</v>
      </c>
      <c r="H1160">
        <v>2.0018440000000002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3</v>
      </c>
      <c r="BG1160">
        <v>0</v>
      </c>
      <c r="BH1160">
        <v>0</v>
      </c>
    </row>
    <row r="1161" spans="1:60" x14ac:dyDescent="0.35">
      <c r="A1161" t="s">
        <v>2199</v>
      </c>
      <c r="B1161" t="s">
        <v>1763</v>
      </c>
      <c r="C1161" t="s">
        <v>2425</v>
      </c>
      <c r="D1161" t="s">
        <v>2426</v>
      </c>
      <c r="E1161">
        <v>7788</v>
      </c>
      <c r="F1161">
        <v>54</v>
      </c>
      <c r="G1161">
        <v>49.153060000000004</v>
      </c>
      <c r="H1161">
        <v>0.91024179999999999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11986.8</v>
      </c>
      <c r="AC1161">
        <v>20832.63</v>
      </c>
      <c r="AD1161">
        <v>0</v>
      </c>
      <c r="AE1161">
        <v>0</v>
      </c>
      <c r="AF1161">
        <v>32819.43</v>
      </c>
      <c r="AG1161">
        <v>0</v>
      </c>
      <c r="AH1161">
        <v>1432.55</v>
      </c>
      <c r="AI1161">
        <v>2198.54</v>
      </c>
      <c r="AJ1161">
        <v>0</v>
      </c>
      <c r="AK1161">
        <v>0</v>
      </c>
      <c r="AL1161">
        <v>3631.09</v>
      </c>
      <c r="AM1161">
        <v>0</v>
      </c>
      <c r="AN1161">
        <v>3348.14</v>
      </c>
      <c r="AO1161">
        <v>12738.22</v>
      </c>
      <c r="AP1161">
        <v>0</v>
      </c>
      <c r="AQ1161">
        <v>0</v>
      </c>
      <c r="AR1161">
        <v>16086.36</v>
      </c>
      <c r="AS1161">
        <v>0</v>
      </c>
      <c r="AT1161">
        <v>0</v>
      </c>
      <c r="AU1161">
        <v>212.52</v>
      </c>
      <c r="AV1161">
        <v>0</v>
      </c>
      <c r="AW1161">
        <v>0</v>
      </c>
      <c r="AX1161">
        <v>212.52</v>
      </c>
      <c r="AY1161">
        <v>52749.4</v>
      </c>
      <c r="AZ1161">
        <v>0</v>
      </c>
      <c r="BA1161">
        <v>1</v>
      </c>
      <c r="BB1161">
        <v>49009.25</v>
      </c>
      <c r="BC1161">
        <v>49009.25</v>
      </c>
      <c r="BD1161">
        <v>0</v>
      </c>
      <c r="BE1161">
        <v>0</v>
      </c>
      <c r="BF1161">
        <v>75</v>
      </c>
      <c r="BG1161">
        <v>495.83</v>
      </c>
      <c r="BH1161">
        <v>1348.817</v>
      </c>
    </row>
    <row r="1162" spans="1:60" x14ac:dyDescent="0.35">
      <c r="A1162" t="s">
        <v>2199</v>
      </c>
      <c r="B1162" t="s">
        <v>1763</v>
      </c>
      <c r="C1162" t="s">
        <v>2427</v>
      </c>
      <c r="D1162" t="s">
        <v>2428</v>
      </c>
      <c r="E1162">
        <v>650</v>
      </c>
      <c r="F1162" t="s">
        <v>81</v>
      </c>
      <c r="G1162" t="s">
        <v>81</v>
      </c>
      <c r="H1162" t="s">
        <v>81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5</v>
      </c>
      <c r="BG1162">
        <v>0</v>
      </c>
      <c r="BH1162">
        <v>0</v>
      </c>
    </row>
    <row r="1163" spans="1:60" x14ac:dyDescent="0.35">
      <c r="A1163" t="s">
        <v>2199</v>
      </c>
      <c r="B1163" t="s">
        <v>1763</v>
      </c>
      <c r="C1163" t="s">
        <v>2429</v>
      </c>
      <c r="D1163" t="s">
        <v>2430</v>
      </c>
      <c r="E1163">
        <v>5222</v>
      </c>
      <c r="F1163">
        <v>17</v>
      </c>
      <c r="G1163">
        <v>28.148890000000002</v>
      </c>
      <c r="H1163">
        <v>1.6558170000000001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2</v>
      </c>
      <c r="BB1163">
        <v>87626.993000000002</v>
      </c>
      <c r="BC1163">
        <v>175253.98499999999</v>
      </c>
      <c r="BD1163">
        <v>0</v>
      </c>
      <c r="BE1163">
        <v>0</v>
      </c>
      <c r="BF1163">
        <v>42</v>
      </c>
      <c r="BG1163">
        <v>0</v>
      </c>
      <c r="BH1163">
        <v>0</v>
      </c>
    </row>
    <row r="1164" spans="1:60" x14ac:dyDescent="0.35">
      <c r="A1164" t="s">
        <v>2199</v>
      </c>
      <c r="B1164" t="s">
        <v>2431</v>
      </c>
      <c r="C1164" t="s">
        <v>2431</v>
      </c>
      <c r="D1164" t="s">
        <v>2432</v>
      </c>
      <c r="E1164">
        <v>21361</v>
      </c>
      <c r="F1164">
        <v>70</v>
      </c>
      <c r="G1164">
        <v>57.411160000000002</v>
      </c>
      <c r="H1164">
        <v>0.82015939999999998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876.56</v>
      </c>
      <c r="X1164">
        <v>0</v>
      </c>
      <c r="Y1164">
        <v>0</v>
      </c>
      <c r="Z1164">
        <v>876.56</v>
      </c>
      <c r="AA1164">
        <v>62184.26</v>
      </c>
      <c r="AB1164">
        <v>11677.96</v>
      </c>
      <c r="AC1164">
        <v>213745.72</v>
      </c>
      <c r="AD1164">
        <v>8337.5400000000009</v>
      </c>
      <c r="AE1164">
        <v>0</v>
      </c>
      <c r="AF1164">
        <v>295945.48</v>
      </c>
      <c r="AG1164">
        <v>7695.05</v>
      </c>
      <c r="AH1164">
        <v>1591.52</v>
      </c>
      <c r="AI1164">
        <v>41363.61</v>
      </c>
      <c r="AJ1164">
        <v>1267.9000000000001</v>
      </c>
      <c r="AK1164">
        <v>0</v>
      </c>
      <c r="AL1164">
        <v>51918.080000000002</v>
      </c>
      <c r="AM1164">
        <v>5066.3999999999996</v>
      </c>
      <c r="AN1164">
        <v>643.98</v>
      </c>
      <c r="AO1164">
        <v>63810.27</v>
      </c>
      <c r="AP1164">
        <v>1556.86</v>
      </c>
      <c r="AQ1164">
        <v>0</v>
      </c>
      <c r="AR1164">
        <v>71077.509999999995</v>
      </c>
      <c r="AS1164">
        <v>106.39</v>
      </c>
      <c r="AT1164">
        <v>0</v>
      </c>
      <c r="AU1164">
        <v>5125.32</v>
      </c>
      <c r="AV1164">
        <v>0</v>
      </c>
      <c r="AW1164">
        <v>0</v>
      </c>
      <c r="AX1164">
        <v>5231.71</v>
      </c>
      <c r="AY1164">
        <v>425049.34</v>
      </c>
      <c r="AZ1164">
        <v>0</v>
      </c>
      <c r="BA1164">
        <v>18</v>
      </c>
      <c r="BB1164">
        <v>38955.622000000003</v>
      </c>
      <c r="BC1164">
        <v>701201.19400000002</v>
      </c>
      <c r="BD1164">
        <v>1804.4111109999999</v>
      </c>
      <c r="BE1164">
        <v>5.8780000000000001</v>
      </c>
      <c r="BF1164">
        <v>227</v>
      </c>
      <c r="BG1164">
        <v>1484.458678</v>
      </c>
      <c r="BH1164">
        <v>172.035</v>
      </c>
    </row>
    <row r="1165" spans="1:60" x14ac:dyDescent="0.35">
      <c r="A1165" t="s">
        <v>2199</v>
      </c>
      <c r="B1165" t="s">
        <v>2431</v>
      </c>
      <c r="C1165" t="s">
        <v>2433</v>
      </c>
      <c r="D1165" t="s">
        <v>2434</v>
      </c>
      <c r="E1165">
        <v>6619</v>
      </c>
      <c r="F1165">
        <v>1</v>
      </c>
      <c r="G1165">
        <v>0.3</v>
      </c>
      <c r="H1165">
        <v>0.3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23</v>
      </c>
      <c r="BG1165">
        <v>3006.0604349999999</v>
      </c>
      <c r="BH1165">
        <v>0</v>
      </c>
    </row>
    <row r="1166" spans="1:60" x14ac:dyDescent="0.35">
      <c r="A1166" t="s">
        <v>2199</v>
      </c>
      <c r="B1166" t="s">
        <v>2431</v>
      </c>
      <c r="C1166" t="s">
        <v>2435</v>
      </c>
      <c r="D1166" t="s">
        <v>2436</v>
      </c>
      <c r="E1166">
        <v>4857</v>
      </c>
      <c r="F1166">
        <v>3</v>
      </c>
      <c r="G1166">
        <v>1.559232</v>
      </c>
      <c r="H1166">
        <v>0.51974399999999998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15</v>
      </c>
      <c r="BG1166">
        <v>101.7</v>
      </c>
      <c r="BH1166">
        <v>0</v>
      </c>
    </row>
    <row r="1167" spans="1:60" x14ac:dyDescent="0.35">
      <c r="A1167" t="s">
        <v>2199</v>
      </c>
      <c r="B1167" t="s">
        <v>2431</v>
      </c>
      <c r="C1167" t="s">
        <v>2437</v>
      </c>
      <c r="D1167" t="s">
        <v>2438</v>
      </c>
      <c r="E1167">
        <v>2837</v>
      </c>
      <c r="F1167" t="s">
        <v>81</v>
      </c>
      <c r="G1167" t="s">
        <v>81</v>
      </c>
      <c r="H1167" t="s">
        <v>81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6</v>
      </c>
      <c r="BG1167">
        <v>27</v>
      </c>
      <c r="BH1167">
        <v>0</v>
      </c>
    </row>
    <row r="1168" spans="1:60" x14ac:dyDescent="0.35">
      <c r="A1168" t="s">
        <v>2199</v>
      </c>
      <c r="B1168" t="s">
        <v>2431</v>
      </c>
      <c r="C1168" t="s">
        <v>2439</v>
      </c>
      <c r="D1168" t="s">
        <v>2440</v>
      </c>
      <c r="E1168">
        <v>12810</v>
      </c>
      <c r="F1168">
        <v>6</v>
      </c>
      <c r="G1168">
        <v>8.3145030000000002</v>
      </c>
      <c r="H1168">
        <v>1.385751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2</v>
      </c>
      <c r="BB1168">
        <v>32055.167000000001</v>
      </c>
      <c r="BC1168">
        <v>64110.332999999999</v>
      </c>
      <c r="BD1168">
        <v>0</v>
      </c>
      <c r="BE1168">
        <v>0</v>
      </c>
      <c r="BF1168">
        <v>49</v>
      </c>
      <c r="BG1168">
        <v>2693.4834689999998</v>
      </c>
      <c r="BH1168">
        <v>237.673</v>
      </c>
    </row>
    <row r="1169" spans="1:60" x14ac:dyDescent="0.35">
      <c r="A1169" t="s">
        <v>2199</v>
      </c>
      <c r="B1169" t="s">
        <v>2431</v>
      </c>
      <c r="C1169" t="s">
        <v>2441</v>
      </c>
      <c r="D1169" t="s">
        <v>2442</v>
      </c>
      <c r="E1169">
        <v>2297</v>
      </c>
      <c r="F1169" t="s">
        <v>81</v>
      </c>
      <c r="G1169" t="s">
        <v>81</v>
      </c>
      <c r="H1169" t="s">
        <v>81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3</v>
      </c>
      <c r="BG1169">
        <v>0</v>
      </c>
      <c r="BH1169">
        <v>0</v>
      </c>
    </row>
    <row r="1170" spans="1:60" x14ac:dyDescent="0.35">
      <c r="A1170" t="s">
        <v>2199</v>
      </c>
      <c r="B1170" t="s">
        <v>2431</v>
      </c>
      <c r="C1170" t="s">
        <v>2443</v>
      </c>
      <c r="D1170" t="s">
        <v>2444</v>
      </c>
      <c r="E1170">
        <v>2307</v>
      </c>
      <c r="F1170" t="s">
        <v>81</v>
      </c>
      <c r="G1170" t="s">
        <v>81</v>
      </c>
      <c r="H1170" t="s">
        <v>81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3</v>
      </c>
      <c r="BG1170">
        <v>1840.166667</v>
      </c>
      <c r="BH1170">
        <v>0</v>
      </c>
    </row>
    <row r="1171" spans="1:60" x14ac:dyDescent="0.35">
      <c r="A1171" t="s">
        <v>2199</v>
      </c>
      <c r="B1171" t="s">
        <v>2431</v>
      </c>
      <c r="C1171" t="s">
        <v>2445</v>
      </c>
      <c r="D1171" t="s">
        <v>2446</v>
      </c>
      <c r="E1171">
        <v>3518</v>
      </c>
      <c r="F1171">
        <v>2</v>
      </c>
      <c r="G1171">
        <v>1.536</v>
      </c>
      <c r="H1171">
        <v>0.76800000000000002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2</v>
      </c>
      <c r="BB1171">
        <v>77785.292000000001</v>
      </c>
      <c r="BC1171">
        <v>155570.58300000001</v>
      </c>
      <c r="BD1171">
        <v>0</v>
      </c>
      <c r="BE1171">
        <v>0</v>
      </c>
      <c r="BF1171">
        <v>10</v>
      </c>
      <c r="BG1171">
        <v>68.599999999999994</v>
      </c>
      <c r="BH1171">
        <v>0</v>
      </c>
    </row>
    <row r="1172" spans="1:60" x14ac:dyDescent="0.35">
      <c r="A1172" t="s">
        <v>2199</v>
      </c>
      <c r="B1172" t="s">
        <v>2431</v>
      </c>
      <c r="C1172" t="s">
        <v>2447</v>
      </c>
      <c r="D1172" t="s">
        <v>2448</v>
      </c>
      <c r="E1172">
        <v>2388</v>
      </c>
      <c r="F1172" t="s">
        <v>81</v>
      </c>
      <c r="G1172" t="s">
        <v>81</v>
      </c>
      <c r="H1172" t="s">
        <v>81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6</v>
      </c>
      <c r="BG1172">
        <v>66.666667000000004</v>
      </c>
      <c r="BH1172">
        <v>0</v>
      </c>
    </row>
    <row r="1173" spans="1:60" x14ac:dyDescent="0.35">
      <c r="A1173" t="s">
        <v>263</v>
      </c>
      <c r="B1173" t="s">
        <v>2449</v>
      </c>
      <c r="C1173" t="s">
        <v>2449</v>
      </c>
      <c r="D1173" t="s">
        <v>2450</v>
      </c>
      <c r="E1173">
        <v>356985</v>
      </c>
      <c r="F1173">
        <v>3429</v>
      </c>
      <c r="G1173">
        <v>3363.768</v>
      </c>
      <c r="H1173">
        <v>0.98097630000000002</v>
      </c>
      <c r="I1173">
        <v>1289448.1100000001</v>
      </c>
      <c r="J1173">
        <v>0</v>
      </c>
      <c r="K1173">
        <v>0</v>
      </c>
      <c r="L1173">
        <v>0</v>
      </c>
      <c r="M1173">
        <v>0</v>
      </c>
      <c r="N1173">
        <v>1289448.1100000001</v>
      </c>
      <c r="O1173">
        <v>910213.73</v>
      </c>
      <c r="P1173">
        <v>251</v>
      </c>
      <c r="Q1173">
        <v>9506.73</v>
      </c>
      <c r="R1173">
        <v>0</v>
      </c>
      <c r="S1173">
        <v>0</v>
      </c>
      <c r="T1173">
        <v>919971.46</v>
      </c>
      <c r="U1173">
        <v>925761.77</v>
      </c>
      <c r="V1173">
        <v>5191.47</v>
      </c>
      <c r="W1173">
        <v>15886.74</v>
      </c>
      <c r="X1173">
        <v>0</v>
      </c>
      <c r="Y1173">
        <v>0</v>
      </c>
      <c r="Z1173">
        <v>946839.98</v>
      </c>
      <c r="AA1173">
        <v>2423928.65</v>
      </c>
      <c r="AB1173">
        <v>65931.19</v>
      </c>
      <c r="AC1173">
        <v>524158.53</v>
      </c>
      <c r="AD1173">
        <v>0</v>
      </c>
      <c r="AE1173">
        <v>0</v>
      </c>
      <c r="AF1173">
        <v>3014018.37</v>
      </c>
      <c r="AG1173">
        <v>91453.05</v>
      </c>
      <c r="AH1173">
        <v>12119.38</v>
      </c>
      <c r="AI1173">
        <v>69432.52</v>
      </c>
      <c r="AJ1173">
        <v>0</v>
      </c>
      <c r="AK1173">
        <v>0</v>
      </c>
      <c r="AL1173">
        <v>173004.95</v>
      </c>
      <c r="AM1173">
        <v>2009455.82</v>
      </c>
      <c r="AN1173">
        <v>213823.15</v>
      </c>
      <c r="AO1173">
        <v>117012.73</v>
      </c>
      <c r="AP1173">
        <v>6392.1</v>
      </c>
      <c r="AQ1173">
        <v>0</v>
      </c>
      <c r="AR1173">
        <v>2346683.7999999998</v>
      </c>
      <c r="AS1173">
        <v>1570079.33</v>
      </c>
      <c r="AT1173">
        <v>8</v>
      </c>
      <c r="AU1173">
        <v>71824.34</v>
      </c>
      <c r="AV1173">
        <v>0</v>
      </c>
      <c r="AW1173">
        <v>0</v>
      </c>
      <c r="AX1173">
        <v>1641911.67</v>
      </c>
      <c r="AY1173">
        <v>10331878.34</v>
      </c>
      <c r="AZ1173">
        <v>1</v>
      </c>
      <c r="BA1173">
        <v>1122</v>
      </c>
      <c r="BB1173">
        <v>63510.892999999996</v>
      </c>
      <c r="BC1173">
        <v>71259222.118000001</v>
      </c>
      <c r="BD1173">
        <v>7593.7360779999999</v>
      </c>
      <c r="BE1173">
        <v>2636.1030000000001</v>
      </c>
      <c r="BF1173">
        <v>5965</v>
      </c>
      <c r="BG1173">
        <v>8601.8419819999999</v>
      </c>
      <c r="BH1173">
        <v>2165.569</v>
      </c>
    </row>
    <row r="1174" spans="1:60" x14ac:dyDescent="0.35">
      <c r="A1174" t="s">
        <v>263</v>
      </c>
      <c r="B1174" t="s">
        <v>2449</v>
      </c>
      <c r="C1174" t="s">
        <v>2451</v>
      </c>
      <c r="D1174" t="s">
        <v>2452</v>
      </c>
      <c r="E1174">
        <v>131727</v>
      </c>
      <c r="F1174">
        <v>131</v>
      </c>
      <c r="G1174">
        <v>112.78489999999999</v>
      </c>
      <c r="H1174">
        <v>0.86095379999999999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124.26</v>
      </c>
      <c r="X1174">
        <v>0</v>
      </c>
      <c r="Y1174">
        <v>0</v>
      </c>
      <c r="Z1174">
        <v>124.26</v>
      </c>
      <c r="AA1174">
        <v>118945.1</v>
      </c>
      <c r="AB1174">
        <v>6428.34</v>
      </c>
      <c r="AC1174">
        <v>91044.55</v>
      </c>
      <c r="AD1174">
        <v>0</v>
      </c>
      <c r="AE1174">
        <v>0</v>
      </c>
      <c r="AF1174">
        <v>216417.99</v>
      </c>
      <c r="AG1174">
        <v>49909.82</v>
      </c>
      <c r="AH1174">
        <v>2042.04</v>
      </c>
      <c r="AI1174">
        <v>18592.61</v>
      </c>
      <c r="AJ1174">
        <v>0</v>
      </c>
      <c r="AK1174">
        <v>0</v>
      </c>
      <c r="AL1174">
        <v>70544.47</v>
      </c>
      <c r="AM1174">
        <v>30948.85</v>
      </c>
      <c r="AN1174">
        <v>8622.5300000000007</v>
      </c>
      <c r="AO1174">
        <v>12443.58</v>
      </c>
      <c r="AP1174">
        <v>0</v>
      </c>
      <c r="AQ1174">
        <v>0</v>
      </c>
      <c r="AR1174">
        <v>52014.96</v>
      </c>
      <c r="AS1174">
        <v>8569.2199999999993</v>
      </c>
      <c r="AT1174">
        <v>0</v>
      </c>
      <c r="AU1174">
        <v>10251.870000000001</v>
      </c>
      <c r="AV1174">
        <v>0</v>
      </c>
      <c r="AW1174">
        <v>0</v>
      </c>
      <c r="AX1174">
        <v>18821.09</v>
      </c>
      <c r="AY1174">
        <v>357922.77</v>
      </c>
      <c r="AZ1174">
        <v>1</v>
      </c>
      <c r="BA1174">
        <v>113</v>
      </c>
      <c r="BB1174">
        <v>37164.873</v>
      </c>
      <c r="BC1174">
        <v>4199630.6189999999</v>
      </c>
      <c r="BD1174">
        <v>14968.648938</v>
      </c>
      <c r="BE1174">
        <v>176.845</v>
      </c>
      <c r="BF1174">
        <v>1035</v>
      </c>
      <c r="BG1174">
        <v>8210.7842419999997</v>
      </c>
      <c r="BH1174">
        <v>484.35899999999998</v>
      </c>
    </row>
    <row r="1175" spans="1:60" x14ac:dyDescent="0.35">
      <c r="A1175" t="s">
        <v>263</v>
      </c>
      <c r="B1175" t="s">
        <v>2449</v>
      </c>
      <c r="C1175" t="s">
        <v>2453</v>
      </c>
      <c r="D1175" t="s">
        <v>2454</v>
      </c>
      <c r="E1175">
        <v>64079</v>
      </c>
      <c r="F1175">
        <v>24</v>
      </c>
      <c r="G1175">
        <v>12.558450000000001</v>
      </c>
      <c r="H1175">
        <v>0.52326879999999998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</v>
      </c>
      <c r="BA1175">
        <v>52</v>
      </c>
      <c r="BB1175">
        <v>35203.519999999997</v>
      </c>
      <c r="BC1175">
        <v>1830583.0209999999</v>
      </c>
      <c r="BD1175">
        <v>9580.3394229999994</v>
      </c>
      <c r="BE1175">
        <v>176.327</v>
      </c>
      <c r="BF1175">
        <v>383</v>
      </c>
      <c r="BG1175">
        <v>10168.471514000001</v>
      </c>
      <c r="BH1175">
        <v>432.52600000000001</v>
      </c>
    </row>
    <row r="1176" spans="1:60" x14ac:dyDescent="0.35">
      <c r="A1176" t="s">
        <v>263</v>
      </c>
      <c r="B1176" t="s">
        <v>2449</v>
      </c>
      <c r="C1176" t="s">
        <v>2455</v>
      </c>
      <c r="D1176" t="s">
        <v>2456</v>
      </c>
      <c r="E1176">
        <v>100027</v>
      </c>
      <c r="F1176">
        <v>185</v>
      </c>
      <c r="G1176">
        <v>191.72319999999999</v>
      </c>
      <c r="H1176">
        <v>1.0363420000000001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30833.48</v>
      </c>
      <c r="AB1176">
        <v>0</v>
      </c>
      <c r="AC1176">
        <v>24629.79</v>
      </c>
      <c r="AD1176">
        <v>0</v>
      </c>
      <c r="AE1176">
        <v>0</v>
      </c>
      <c r="AF1176">
        <v>55463.27</v>
      </c>
      <c r="AG1176">
        <v>6946.55</v>
      </c>
      <c r="AH1176">
        <v>0</v>
      </c>
      <c r="AI1176">
        <v>3723.54</v>
      </c>
      <c r="AJ1176">
        <v>0</v>
      </c>
      <c r="AK1176">
        <v>0</v>
      </c>
      <c r="AL1176">
        <v>10670.09</v>
      </c>
      <c r="AM1176">
        <v>1524.74</v>
      </c>
      <c r="AN1176">
        <v>0</v>
      </c>
      <c r="AO1176">
        <v>2584.42</v>
      </c>
      <c r="AP1176">
        <v>0</v>
      </c>
      <c r="AQ1176">
        <v>0</v>
      </c>
      <c r="AR1176">
        <v>4109.16</v>
      </c>
      <c r="AS1176">
        <v>2132.44</v>
      </c>
      <c r="AT1176">
        <v>0</v>
      </c>
      <c r="AU1176">
        <v>3694.99</v>
      </c>
      <c r="AV1176">
        <v>0</v>
      </c>
      <c r="AW1176">
        <v>0</v>
      </c>
      <c r="AX1176">
        <v>5827.43</v>
      </c>
      <c r="AY1176">
        <v>76069.95</v>
      </c>
      <c r="AZ1176">
        <v>1</v>
      </c>
      <c r="BA1176">
        <v>89</v>
      </c>
      <c r="BB1176">
        <v>64887.563000000002</v>
      </c>
      <c r="BC1176">
        <v>5774993.0939999996</v>
      </c>
      <c r="BD1176">
        <v>4119.1620220000004</v>
      </c>
      <c r="BE1176">
        <v>961.90700000000004</v>
      </c>
      <c r="BF1176">
        <v>673</v>
      </c>
      <c r="BG1176">
        <v>4178.2169089999998</v>
      </c>
      <c r="BH1176">
        <v>2294.1370000000002</v>
      </c>
    </row>
    <row r="1177" spans="1:60" x14ac:dyDescent="0.35">
      <c r="A1177" t="s">
        <v>263</v>
      </c>
      <c r="B1177" t="s">
        <v>2449</v>
      </c>
      <c r="C1177" t="s">
        <v>2457</v>
      </c>
      <c r="D1177" t="s">
        <v>2458</v>
      </c>
      <c r="E1177">
        <v>244607</v>
      </c>
      <c r="F1177">
        <v>255</v>
      </c>
      <c r="G1177">
        <v>266.25779999999997</v>
      </c>
      <c r="H1177">
        <v>1.0441480000000001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63.36</v>
      </c>
      <c r="R1177">
        <v>0</v>
      </c>
      <c r="S1177">
        <v>0</v>
      </c>
      <c r="T1177">
        <v>63.36</v>
      </c>
      <c r="U1177">
        <v>0</v>
      </c>
      <c r="V1177">
        <v>0</v>
      </c>
      <c r="W1177">
        <v>3419.48</v>
      </c>
      <c r="X1177">
        <v>0</v>
      </c>
      <c r="Y1177">
        <v>0</v>
      </c>
      <c r="Z1177">
        <v>3419.48</v>
      </c>
      <c r="AA1177">
        <v>84611.4</v>
      </c>
      <c r="AB1177">
        <v>10871.25</v>
      </c>
      <c r="AC1177">
        <v>149800.73000000001</v>
      </c>
      <c r="AD1177">
        <v>0</v>
      </c>
      <c r="AE1177">
        <v>0</v>
      </c>
      <c r="AF1177">
        <v>245283.38</v>
      </c>
      <c r="AG1177">
        <v>38686.379999999997</v>
      </c>
      <c r="AH1177">
        <v>2634.12</v>
      </c>
      <c r="AI1177">
        <v>15817.88</v>
      </c>
      <c r="AJ1177">
        <v>0</v>
      </c>
      <c r="AK1177">
        <v>0</v>
      </c>
      <c r="AL1177">
        <v>57138.38</v>
      </c>
      <c r="AM1177">
        <v>9272.2199999999993</v>
      </c>
      <c r="AN1177">
        <v>735.88</v>
      </c>
      <c r="AO1177">
        <v>18536.09</v>
      </c>
      <c r="AP1177">
        <v>0</v>
      </c>
      <c r="AQ1177">
        <v>0</v>
      </c>
      <c r="AR1177">
        <v>28544.19</v>
      </c>
      <c r="AS1177">
        <v>5902.3</v>
      </c>
      <c r="AT1177">
        <v>0</v>
      </c>
      <c r="AU1177">
        <v>9730.11</v>
      </c>
      <c r="AV1177">
        <v>0</v>
      </c>
      <c r="AW1177">
        <v>0</v>
      </c>
      <c r="AX1177">
        <v>15632.41</v>
      </c>
      <c r="AY1177">
        <v>350081.2</v>
      </c>
      <c r="AZ1177">
        <v>1</v>
      </c>
      <c r="BA1177">
        <v>130</v>
      </c>
      <c r="BB1177">
        <v>47849.46</v>
      </c>
      <c r="BC1177">
        <v>6220429.8370000003</v>
      </c>
      <c r="BD1177">
        <v>4997.2731540000004</v>
      </c>
      <c r="BE1177">
        <v>556.28099999999995</v>
      </c>
      <c r="BF1177">
        <v>981</v>
      </c>
      <c r="BG1177">
        <v>7750.027411</v>
      </c>
      <c r="BH1177">
        <v>630.96199999999999</v>
      </c>
    </row>
    <row r="1178" spans="1:60" x14ac:dyDescent="0.35">
      <c r="A1178" t="s">
        <v>263</v>
      </c>
      <c r="B1178" t="s">
        <v>2449</v>
      </c>
      <c r="C1178" t="s">
        <v>2459</v>
      </c>
      <c r="D1178" t="s">
        <v>2460</v>
      </c>
      <c r="E1178">
        <v>55649</v>
      </c>
      <c r="F1178">
        <v>40</v>
      </c>
      <c r="G1178">
        <v>27.911269999999998</v>
      </c>
      <c r="H1178">
        <v>0.69778169999999995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16780.349999999999</v>
      </c>
      <c r="AD1178">
        <v>0</v>
      </c>
      <c r="AE1178">
        <v>0</v>
      </c>
      <c r="AF1178">
        <v>16780.349999999999</v>
      </c>
      <c r="AG1178">
        <v>0</v>
      </c>
      <c r="AH1178">
        <v>0</v>
      </c>
      <c r="AI1178">
        <v>2591.1799999999998</v>
      </c>
      <c r="AJ1178">
        <v>0</v>
      </c>
      <c r="AK1178">
        <v>0</v>
      </c>
      <c r="AL1178">
        <v>2591.1799999999998</v>
      </c>
      <c r="AM1178">
        <v>0</v>
      </c>
      <c r="AN1178">
        <v>0</v>
      </c>
      <c r="AO1178">
        <v>1651.09</v>
      </c>
      <c r="AP1178">
        <v>0</v>
      </c>
      <c r="AQ1178">
        <v>0</v>
      </c>
      <c r="AR1178">
        <v>1651.09</v>
      </c>
      <c r="AS1178">
        <v>0</v>
      </c>
      <c r="AT1178">
        <v>0</v>
      </c>
      <c r="AU1178">
        <v>1317.9</v>
      </c>
      <c r="AV1178">
        <v>0</v>
      </c>
      <c r="AW1178">
        <v>0</v>
      </c>
      <c r="AX1178">
        <v>1317.9</v>
      </c>
      <c r="AY1178">
        <v>22340.52</v>
      </c>
      <c r="AZ1178">
        <v>1</v>
      </c>
      <c r="BA1178">
        <v>23</v>
      </c>
      <c r="BB1178">
        <v>55842.03</v>
      </c>
      <c r="BC1178">
        <v>1284366.68</v>
      </c>
      <c r="BD1178">
        <v>17322.263478000001</v>
      </c>
      <c r="BE1178">
        <v>1554.5160000000001</v>
      </c>
      <c r="BF1178">
        <v>175</v>
      </c>
      <c r="BG1178">
        <v>5147.825143</v>
      </c>
      <c r="BH1178">
        <v>3834.105</v>
      </c>
    </row>
    <row r="1179" spans="1:60" x14ac:dyDescent="0.35">
      <c r="A1179" t="s">
        <v>263</v>
      </c>
      <c r="B1179" t="s">
        <v>2449</v>
      </c>
      <c r="C1179" t="s">
        <v>2461</v>
      </c>
      <c r="D1179" t="s">
        <v>2462</v>
      </c>
      <c r="E1179">
        <v>46392</v>
      </c>
      <c r="F1179">
        <v>49</v>
      </c>
      <c r="G1179">
        <v>52.563960000000002</v>
      </c>
      <c r="H1179">
        <v>1.0727340000000001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55.07</v>
      </c>
      <c r="AB1179">
        <v>0</v>
      </c>
      <c r="AC1179">
        <v>0</v>
      </c>
      <c r="AD1179">
        <v>0</v>
      </c>
      <c r="AE1179">
        <v>0</v>
      </c>
      <c r="AF1179">
        <v>55.07</v>
      </c>
      <c r="AG1179">
        <v>8544.58</v>
      </c>
      <c r="AH1179">
        <v>0</v>
      </c>
      <c r="AI1179">
        <v>0</v>
      </c>
      <c r="AJ1179">
        <v>0</v>
      </c>
      <c r="AK1179">
        <v>0</v>
      </c>
      <c r="AL1179">
        <v>8544.58</v>
      </c>
      <c r="AM1179">
        <v>64.44</v>
      </c>
      <c r="AN1179">
        <v>0</v>
      </c>
      <c r="AO1179">
        <v>0</v>
      </c>
      <c r="AP1179">
        <v>0</v>
      </c>
      <c r="AQ1179">
        <v>0</v>
      </c>
      <c r="AR1179">
        <v>64.44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8664.09</v>
      </c>
      <c r="AZ1179">
        <v>1</v>
      </c>
      <c r="BA1179">
        <v>49</v>
      </c>
      <c r="BB1179">
        <v>62347.81</v>
      </c>
      <c r="BC1179">
        <v>3055042.6850000001</v>
      </c>
      <c r="BD1179">
        <v>2660.0220410000002</v>
      </c>
      <c r="BE1179">
        <v>217.62200000000001</v>
      </c>
      <c r="BF1179">
        <v>266</v>
      </c>
      <c r="BG1179">
        <v>5436.7916169999999</v>
      </c>
      <c r="BH1179">
        <v>1432.0119999999999</v>
      </c>
    </row>
    <row r="1180" spans="1:60" x14ac:dyDescent="0.35">
      <c r="A1180" t="s">
        <v>263</v>
      </c>
      <c r="B1180" t="s">
        <v>2449</v>
      </c>
      <c r="C1180" t="s">
        <v>2463</v>
      </c>
      <c r="D1180" t="s">
        <v>2464</v>
      </c>
      <c r="E1180">
        <v>4010</v>
      </c>
      <c r="F1180">
        <v>2</v>
      </c>
      <c r="G1180">
        <v>2.65</v>
      </c>
      <c r="H1180">
        <v>1.325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19</v>
      </c>
      <c r="BG1180">
        <v>13870.053684</v>
      </c>
      <c r="BH1180">
        <v>0</v>
      </c>
    </row>
    <row r="1181" spans="1:60" x14ac:dyDescent="0.35">
      <c r="A1181" t="s">
        <v>263</v>
      </c>
      <c r="B1181" t="s">
        <v>2449</v>
      </c>
      <c r="C1181" t="s">
        <v>2465</v>
      </c>
      <c r="D1181" t="s">
        <v>2466</v>
      </c>
      <c r="E1181">
        <v>25244</v>
      </c>
      <c r="F1181">
        <v>23</v>
      </c>
      <c r="G1181">
        <v>25.954280000000001</v>
      </c>
      <c r="H1181">
        <v>1.128447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14</v>
      </c>
      <c r="BB1181">
        <v>56927.811000000002</v>
      </c>
      <c r="BC1181">
        <v>796989.35600000003</v>
      </c>
      <c r="BD1181">
        <v>4130.595714</v>
      </c>
      <c r="BE1181">
        <v>601.63900000000001</v>
      </c>
      <c r="BF1181">
        <v>105</v>
      </c>
      <c r="BG1181">
        <v>4453.480286</v>
      </c>
      <c r="BH1181">
        <v>92.885000000000005</v>
      </c>
    </row>
    <row r="1182" spans="1:60" x14ac:dyDescent="0.35">
      <c r="A1182" t="s">
        <v>263</v>
      </c>
      <c r="B1182" t="s">
        <v>2449</v>
      </c>
      <c r="C1182" t="s">
        <v>2467</v>
      </c>
      <c r="D1182" t="s">
        <v>2468</v>
      </c>
      <c r="E1182">
        <v>4631</v>
      </c>
      <c r="F1182" t="s">
        <v>81</v>
      </c>
      <c r="G1182" t="s">
        <v>81</v>
      </c>
      <c r="H1182" t="s">
        <v>81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2</v>
      </c>
      <c r="BB1182">
        <v>3895.9</v>
      </c>
      <c r="BC1182">
        <v>7791.8</v>
      </c>
      <c r="BD1182">
        <v>0</v>
      </c>
      <c r="BE1182">
        <v>0</v>
      </c>
      <c r="BF1182">
        <v>17</v>
      </c>
      <c r="BG1182">
        <v>29.558824000000001</v>
      </c>
      <c r="BH1182">
        <v>0</v>
      </c>
    </row>
    <row r="1183" spans="1:60" x14ac:dyDescent="0.35">
      <c r="A1183" t="s">
        <v>263</v>
      </c>
      <c r="B1183" t="s">
        <v>2449</v>
      </c>
      <c r="C1183" t="s">
        <v>2469</v>
      </c>
      <c r="D1183" t="s">
        <v>2470</v>
      </c>
      <c r="E1183">
        <v>84452</v>
      </c>
      <c r="F1183">
        <v>329</v>
      </c>
      <c r="G1183">
        <v>282.42649999999998</v>
      </c>
      <c r="H1183">
        <v>0.85843919999999996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225.77</v>
      </c>
      <c r="Q1183">
        <v>0</v>
      </c>
      <c r="R1183">
        <v>0</v>
      </c>
      <c r="S1183">
        <v>0</v>
      </c>
      <c r="T1183">
        <v>225.77</v>
      </c>
      <c r="U1183">
        <v>0</v>
      </c>
      <c r="V1183">
        <v>1450.54</v>
      </c>
      <c r="W1183">
        <v>0</v>
      </c>
      <c r="X1183">
        <v>0</v>
      </c>
      <c r="Y1183">
        <v>0</v>
      </c>
      <c r="Z1183">
        <v>1450.54</v>
      </c>
      <c r="AA1183">
        <v>0</v>
      </c>
      <c r="AB1183">
        <v>10087.94</v>
      </c>
      <c r="AC1183">
        <v>0</v>
      </c>
      <c r="AD1183">
        <v>0</v>
      </c>
      <c r="AE1183">
        <v>0</v>
      </c>
      <c r="AF1183">
        <v>10087.94</v>
      </c>
      <c r="AG1183">
        <v>0</v>
      </c>
      <c r="AH1183">
        <v>1885.23</v>
      </c>
      <c r="AI1183">
        <v>0</v>
      </c>
      <c r="AJ1183">
        <v>0</v>
      </c>
      <c r="AK1183">
        <v>0</v>
      </c>
      <c r="AL1183">
        <v>1885.23</v>
      </c>
      <c r="AM1183">
        <v>0</v>
      </c>
      <c r="AN1183">
        <v>31738.34</v>
      </c>
      <c r="AO1183">
        <v>0</v>
      </c>
      <c r="AP1183">
        <v>0</v>
      </c>
      <c r="AQ1183">
        <v>0</v>
      </c>
      <c r="AR1183">
        <v>31738.34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45387.82</v>
      </c>
      <c r="AZ1183">
        <v>1</v>
      </c>
      <c r="BA1183">
        <v>159</v>
      </c>
      <c r="BB1183">
        <v>58309.114999999998</v>
      </c>
      <c r="BC1183">
        <v>9271149.341</v>
      </c>
      <c r="BD1183">
        <v>6115.4847170000003</v>
      </c>
      <c r="BE1183">
        <v>3948.6480000000001</v>
      </c>
      <c r="BF1183">
        <v>616</v>
      </c>
      <c r="BG1183">
        <v>4669.4412499999999</v>
      </c>
      <c r="BH1183">
        <v>10733.492</v>
      </c>
    </row>
    <row r="1184" spans="1:60" x14ac:dyDescent="0.35">
      <c r="A1184" t="s">
        <v>263</v>
      </c>
      <c r="B1184" t="s">
        <v>2449</v>
      </c>
      <c r="C1184" t="s">
        <v>2471</v>
      </c>
      <c r="D1184" t="s">
        <v>2472</v>
      </c>
      <c r="E1184">
        <v>85980</v>
      </c>
      <c r="F1184" t="s">
        <v>81</v>
      </c>
      <c r="G1184" t="s">
        <v>81</v>
      </c>
      <c r="H1184" t="s">
        <v>81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1</v>
      </c>
      <c r="BB1184">
        <v>117914.2</v>
      </c>
      <c r="BC1184">
        <v>117914.2</v>
      </c>
      <c r="BD1184">
        <v>7003</v>
      </c>
      <c r="BE1184">
        <v>0</v>
      </c>
      <c r="BF1184">
        <v>6</v>
      </c>
      <c r="BG1184">
        <v>1167.166667</v>
      </c>
      <c r="BH1184">
        <v>0</v>
      </c>
    </row>
    <row r="1185" spans="1:60" x14ac:dyDescent="0.35">
      <c r="A1185" t="s">
        <v>263</v>
      </c>
      <c r="B1185" t="s">
        <v>2473</v>
      </c>
      <c r="C1185" t="s">
        <v>2473</v>
      </c>
      <c r="D1185" t="s">
        <v>2474</v>
      </c>
      <c r="E1185">
        <v>6856</v>
      </c>
      <c r="F1185">
        <v>5</v>
      </c>
      <c r="G1185">
        <v>5.0619589999999999</v>
      </c>
      <c r="H1185">
        <v>1.012392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22</v>
      </c>
      <c r="BG1185">
        <v>964.95136400000001</v>
      </c>
      <c r="BH1185">
        <v>379.43</v>
      </c>
    </row>
    <row r="1186" spans="1:60" x14ac:dyDescent="0.35">
      <c r="A1186" t="s">
        <v>263</v>
      </c>
      <c r="B1186" t="s">
        <v>2473</v>
      </c>
      <c r="C1186" t="s">
        <v>2475</v>
      </c>
      <c r="D1186" t="s">
        <v>2476</v>
      </c>
      <c r="E1186">
        <v>16227</v>
      </c>
      <c r="F1186">
        <v>19</v>
      </c>
      <c r="G1186">
        <v>6.4778000000000002</v>
      </c>
      <c r="H1186">
        <v>0.34093679999999998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4</v>
      </c>
      <c r="BB1186">
        <v>21841.603999999999</v>
      </c>
      <c r="BC1186">
        <v>87366.415999999997</v>
      </c>
      <c r="BD1186">
        <v>10120.952499999999</v>
      </c>
      <c r="BE1186">
        <v>0</v>
      </c>
      <c r="BF1186">
        <v>44</v>
      </c>
      <c r="BG1186">
        <v>4990.4395450000002</v>
      </c>
      <c r="BH1186">
        <v>2334.0859999999998</v>
      </c>
    </row>
    <row r="1187" spans="1:60" x14ac:dyDescent="0.35">
      <c r="A1187" t="s">
        <v>263</v>
      </c>
      <c r="B1187" t="s">
        <v>2473</v>
      </c>
      <c r="C1187" t="s">
        <v>2477</v>
      </c>
      <c r="D1187" t="s">
        <v>2478</v>
      </c>
      <c r="E1187">
        <v>9768</v>
      </c>
      <c r="F1187">
        <v>24</v>
      </c>
      <c r="G1187">
        <v>25.394110000000001</v>
      </c>
      <c r="H1187">
        <v>1.0580879999999999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236.58</v>
      </c>
      <c r="X1187">
        <v>0</v>
      </c>
      <c r="Y1187">
        <v>0</v>
      </c>
      <c r="Z1187">
        <v>236.58</v>
      </c>
      <c r="AA1187">
        <v>40036.980000000003</v>
      </c>
      <c r="AB1187">
        <v>12329.85</v>
      </c>
      <c r="AC1187">
        <v>47051.56</v>
      </c>
      <c r="AD1187">
        <v>0</v>
      </c>
      <c r="AE1187">
        <v>0</v>
      </c>
      <c r="AF1187">
        <v>99418.39</v>
      </c>
      <c r="AG1187">
        <v>25184.75</v>
      </c>
      <c r="AH1187">
        <v>4346.6000000000004</v>
      </c>
      <c r="AI1187">
        <v>6613.71</v>
      </c>
      <c r="AJ1187">
        <v>0</v>
      </c>
      <c r="AK1187">
        <v>0</v>
      </c>
      <c r="AL1187">
        <v>36145.06</v>
      </c>
      <c r="AM1187">
        <v>7731.1</v>
      </c>
      <c r="AN1187">
        <v>3557.31</v>
      </c>
      <c r="AO1187">
        <v>7286.37</v>
      </c>
      <c r="AP1187">
        <v>0</v>
      </c>
      <c r="AQ1187">
        <v>0</v>
      </c>
      <c r="AR1187">
        <v>18574.78</v>
      </c>
      <c r="AS1187">
        <v>2057.8200000000002</v>
      </c>
      <c r="AT1187">
        <v>5.09</v>
      </c>
      <c r="AU1187">
        <v>2833.61</v>
      </c>
      <c r="AV1187">
        <v>0</v>
      </c>
      <c r="AW1187">
        <v>0</v>
      </c>
      <c r="AX1187">
        <v>4896.5200000000004</v>
      </c>
      <c r="AY1187">
        <v>159271.32999999999</v>
      </c>
      <c r="AZ1187">
        <v>0</v>
      </c>
      <c r="BA1187">
        <v>4</v>
      </c>
      <c r="BB1187">
        <v>85127.407000000007</v>
      </c>
      <c r="BC1187">
        <v>340509.62800000003</v>
      </c>
      <c r="BD1187">
        <v>0</v>
      </c>
      <c r="BE1187">
        <v>0</v>
      </c>
      <c r="BF1187">
        <v>41</v>
      </c>
      <c r="BG1187">
        <v>2251.2109759999998</v>
      </c>
      <c r="BH1187">
        <v>315.16800000000001</v>
      </c>
    </row>
    <row r="1188" spans="1:60" x14ac:dyDescent="0.35">
      <c r="A1188" t="s">
        <v>263</v>
      </c>
      <c r="B1188" t="s">
        <v>2473</v>
      </c>
      <c r="C1188" t="s">
        <v>2479</v>
      </c>
      <c r="D1188" t="s">
        <v>2480</v>
      </c>
      <c r="E1188">
        <v>2623</v>
      </c>
      <c r="F1188">
        <v>1</v>
      </c>
      <c r="G1188">
        <v>0.96</v>
      </c>
      <c r="H1188">
        <v>0.96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6</v>
      </c>
      <c r="BG1188">
        <v>4008.15</v>
      </c>
      <c r="BH1188">
        <v>0</v>
      </c>
    </row>
    <row r="1189" spans="1:60" x14ac:dyDescent="0.35">
      <c r="A1189" t="s">
        <v>263</v>
      </c>
      <c r="B1189" t="s">
        <v>2473</v>
      </c>
      <c r="C1189" t="s">
        <v>2481</v>
      </c>
      <c r="D1189" t="s">
        <v>2482</v>
      </c>
      <c r="E1189">
        <v>30586</v>
      </c>
      <c r="F1189">
        <v>66</v>
      </c>
      <c r="G1189">
        <v>60.37039</v>
      </c>
      <c r="H1189">
        <v>0.91470289999999999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2912.69</v>
      </c>
      <c r="AF1189">
        <v>2912.69</v>
      </c>
      <c r="AG1189">
        <v>0</v>
      </c>
      <c r="AH1189">
        <v>0</v>
      </c>
      <c r="AI1189">
        <v>0</v>
      </c>
      <c r="AJ1189">
        <v>0</v>
      </c>
      <c r="AK1189">
        <v>3892.93</v>
      </c>
      <c r="AL1189">
        <v>3892.93</v>
      </c>
      <c r="AM1189">
        <v>0</v>
      </c>
      <c r="AN1189">
        <v>0</v>
      </c>
      <c r="AO1189">
        <v>0</v>
      </c>
      <c r="AP1189">
        <v>0</v>
      </c>
      <c r="AQ1189">
        <v>2271.5700000000002</v>
      </c>
      <c r="AR1189">
        <v>2271.5700000000002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9077.19</v>
      </c>
      <c r="AZ1189">
        <v>0</v>
      </c>
      <c r="BA1189">
        <v>16</v>
      </c>
      <c r="BB1189">
        <v>70470.601999999999</v>
      </c>
      <c r="BC1189">
        <v>1127529.638</v>
      </c>
      <c r="BD1189">
        <v>20115.636875</v>
      </c>
      <c r="BE1189">
        <v>300.27300000000002</v>
      </c>
      <c r="BF1189">
        <v>141</v>
      </c>
      <c r="BG1189">
        <v>6869.2223400000003</v>
      </c>
      <c r="BH1189">
        <v>54.286999999999999</v>
      </c>
    </row>
    <row r="1190" spans="1:60" x14ac:dyDescent="0.35">
      <c r="A1190" t="s">
        <v>263</v>
      </c>
      <c r="B1190" t="s">
        <v>2473</v>
      </c>
      <c r="C1190" t="s">
        <v>2483</v>
      </c>
      <c r="D1190" t="s">
        <v>2484</v>
      </c>
      <c r="E1190">
        <v>9688</v>
      </c>
      <c r="F1190">
        <v>17</v>
      </c>
      <c r="G1190">
        <v>16.07028</v>
      </c>
      <c r="H1190">
        <v>0.94531089999999995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10047.429</v>
      </c>
      <c r="BC1190">
        <v>10047.429</v>
      </c>
      <c r="BD1190">
        <v>0</v>
      </c>
      <c r="BE1190">
        <v>0</v>
      </c>
      <c r="BF1190">
        <v>45</v>
      </c>
      <c r="BG1190">
        <v>5148.6444439999996</v>
      </c>
      <c r="BH1190">
        <v>1.889</v>
      </c>
    </row>
    <row r="1191" spans="1:60" x14ac:dyDescent="0.35">
      <c r="A1191" t="s">
        <v>263</v>
      </c>
      <c r="B1191" t="s">
        <v>2473</v>
      </c>
      <c r="C1191" t="s">
        <v>2485</v>
      </c>
      <c r="D1191" t="s">
        <v>2486</v>
      </c>
      <c r="E1191">
        <v>20180</v>
      </c>
      <c r="F1191">
        <v>10</v>
      </c>
      <c r="G1191">
        <v>16.547000000000001</v>
      </c>
      <c r="H1191">
        <v>1.6547000000000001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4</v>
      </c>
      <c r="BB1191">
        <v>47816.063000000002</v>
      </c>
      <c r="BC1191">
        <v>191264.25</v>
      </c>
      <c r="BD1191">
        <v>0</v>
      </c>
      <c r="BE1191">
        <v>0</v>
      </c>
      <c r="BF1191">
        <v>45</v>
      </c>
      <c r="BG1191">
        <v>27511.477111</v>
      </c>
      <c r="BH1191">
        <v>2446.6080000000002</v>
      </c>
    </row>
    <row r="1192" spans="1:60" x14ac:dyDescent="0.35">
      <c r="A1192" t="s">
        <v>263</v>
      </c>
      <c r="B1192" t="s">
        <v>2473</v>
      </c>
      <c r="C1192" t="s">
        <v>2487</v>
      </c>
      <c r="D1192" t="s">
        <v>2488</v>
      </c>
      <c r="E1192">
        <v>29970</v>
      </c>
      <c r="F1192">
        <v>18</v>
      </c>
      <c r="G1192">
        <v>14.33619</v>
      </c>
      <c r="H1192">
        <v>0.79645500000000002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14.83</v>
      </c>
      <c r="AB1192">
        <v>0</v>
      </c>
      <c r="AC1192">
        <v>0</v>
      </c>
      <c r="AD1192">
        <v>0</v>
      </c>
      <c r="AE1192">
        <v>0</v>
      </c>
      <c r="AF1192">
        <v>14.83</v>
      </c>
      <c r="AG1192">
        <v>25.38</v>
      </c>
      <c r="AH1192">
        <v>0</v>
      </c>
      <c r="AI1192">
        <v>0</v>
      </c>
      <c r="AJ1192">
        <v>0</v>
      </c>
      <c r="AK1192">
        <v>0</v>
      </c>
      <c r="AL1192">
        <v>25.38</v>
      </c>
      <c r="AM1192">
        <v>11770.22</v>
      </c>
      <c r="AN1192">
        <v>0</v>
      </c>
      <c r="AO1192">
        <v>0</v>
      </c>
      <c r="AP1192">
        <v>0</v>
      </c>
      <c r="AQ1192">
        <v>0</v>
      </c>
      <c r="AR1192">
        <v>11770.22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11810.43</v>
      </c>
      <c r="AZ1192">
        <v>0</v>
      </c>
      <c r="BA1192">
        <v>5</v>
      </c>
      <c r="BB1192">
        <v>15069.083000000001</v>
      </c>
      <c r="BC1192">
        <v>75345.417000000001</v>
      </c>
      <c r="BD1192">
        <v>22074.7</v>
      </c>
      <c r="BE1192">
        <v>0</v>
      </c>
      <c r="BF1192">
        <v>61</v>
      </c>
      <c r="BG1192">
        <v>11379.598361</v>
      </c>
      <c r="BH1192">
        <v>170.63200000000001</v>
      </c>
    </row>
    <row r="1193" spans="1:60" x14ac:dyDescent="0.35">
      <c r="A1193" t="s">
        <v>263</v>
      </c>
      <c r="B1193" t="s">
        <v>1429</v>
      </c>
      <c r="C1193" t="s">
        <v>2489</v>
      </c>
      <c r="D1193" t="s">
        <v>2490</v>
      </c>
      <c r="E1193">
        <v>5116</v>
      </c>
      <c r="F1193" t="s">
        <v>81</v>
      </c>
      <c r="G1193" t="s">
        <v>81</v>
      </c>
      <c r="H1193" t="s">
        <v>81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17689.455000000002</v>
      </c>
      <c r="BC1193">
        <v>17689.455000000002</v>
      </c>
      <c r="BD1193">
        <v>0</v>
      </c>
      <c r="BE1193">
        <v>0</v>
      </c>
      <c r="BF1193">
        <v>5</v>
      </c>
      <c r="BG1193">
        <v>0</v>
      </c>
      <c r="BH1193">
        <v>0</v>
      </c>
    </row>
    <row r="1194" spans="1:60" x14ac:dyDescent="0.35">
      <c r="A1194" t="s">
        <v>263</v>
      </c>
      <c r="B1194" t="s">
        <v>1429</v>
      </c>
      <c r="C1194" t="s">
        <v>2491</v>
      </c>
      <c r="D1194" t="s">
        <v>2492</v>
      </c>
      <c r="E1194">
        <v>3048</v>
      </c>
      <c r="F1194" t="s">
        <v>81</v>
      </c>
      <c r="G1194" t="s">
        <v>81</v>
      </c>
      <c r="H1194" t="s">
        <v>81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2</v>
      </c>
      <c r="BG1194">
        <v>0</v>
      </c>
      <c r="BH1194">
        <v>0</v>
      </c>
    </row>
    <row r="1195" spans="1:60" x14ac:dyDescent="0.35">
      <c r="A1195" t="s">
        <v>263</v>
      </c>
      <c r="B1195" t="s">
        <v>1429</v>
      </c>
      <c r="C1195" t="s">
        <v>2493</v>
      </c>
      <c r="D1195" t="s">
        <v>2494</v>
      </c>
      <c r="E1195">
        <v>2119</v>
      </c>
      <c r="F1195" t="s">
        <v>81</v>
      </c>
      <c r="G1195" t="s">
        <v>81</v>
      </c>
      <c r="H1195" t="s">
        <v>81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 t="s">
        <v>81</v>
      </c>
      <c r="BB1195" t="s">
        <v>81</v>
      </c>
      <c r="BC1195" t="s">
        <v>81</v>
      </c>
      <c r="BD1195" t="s">
        <v>81</v>
      </c>
      <c r="BE1195" t="s">
        <v>81</v>
      </c>
      <c r="BF1195" t="s">
        <v>81</v>
      </c>
      <c r="BG1195" t="s">
        <v>81</v>
      </c>
      <c r="BH1195" t="s">
        <v>81</v>
      </c>
    </row>
    <row r="1196" spans="1:60" x14ac:dyDescent="0.35">
      <c r="A1196" t="s">
        <v>263</v>
      </c>
      <c r="B1196" t="s">
        <v>1429</v>
      </c>
      <c r="C1196" t="s">
        <v>2495</v>
      </c>
      <c r="D1196" t="s">
        <v>2496</v>
      </c>
      <c r="E1196">
        <v>2366</v>
      </c>
      <c r="F1196" t="s">
        <v>81</v>
      </c>
      <c r="G1196" t="s">
        <v>81</v>
      </c>
      <c r="H1196" t="s">
        <v>81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5</v>
      </c>
      <c r="BG1196">
        <v>0</v>
      </c>
      <c r="BH1196">
        <v>0</v>
      </c>
    </row>
    <row r="1197" spans="1:60" x14ac:dyDescent="0.35">
      <c r="A1197" t="s">
        <v>263</v>
      </c>
      <c r="B1197" t="s">
        <v>1429</v>
      </c>
      <c r="C1197" t="s">
        <v>2497</v>
      </c>
      <c r="D1197" t="s">
        <v>2498</v>
      </c>
      <c r="E1197">
        <v>2257</v>
      </c>
      <c r="F1197">
        <v>2</v>
      </c>
      <c r="G1197">
        <v>1.5363519999999999</v>
      </c>
      <c r="H1197">
        <v>0.76817599999999997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 t="s">
        <v>81</v>
      </c>
      <c r="BB1197" t="s">
        <v>81</v>
      </c>
      <c r="BC1197" t="s">
        <v>81</v>
      </c>
      <c r="BD1197" t="s">
        <v>81</v>
      </c>
      <c r="BE1197" t="s">
        <v>81</v>
      </c>
      <c r="BF1197" t="s">
        <v>81</v>
      </c>
      <c r="BG1197" t="s">
        <v>81</v>
      </c>
      <c r="BH1197" t="s">
        <v>81</v>
      </c>
    </row>
    <row r="1198" spans="1:60" x14ac:dyDescent="0.35">
      <c r="A1198" t="s">
        <v>263</v>
      </c>
      <c r="B1198" t="s">
        <v>1429</v>
      </c>
      <c r="C1198" t="s">
        <v>2499</v>
      </c>
      <c r="D1198" t="s">
        <v>2500</v>
      </c>
      <c r="E1198">
        <v>891</v>
      </c>
      <c r="F1198" t="s">
        <v>81</v>
      </c>
      <c r="G1198" t="s">
        <v>81</v>
      </c>
      <c r="H1198" t="s">
        <v>81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1</v>
      </c>
      <c r="BG1198">
        <v>0</v>
      </c>
      <c r="BH1198">
        <v>0</v>
      </c>
    </row>
    <row r="1199" spans="1:60" x14ac:dyDescent="0.35">
      <c r="A1199" t="s">
        <v>263</v>
      </c>
      <c r="B1199" t="s">
        <v>2501</v>
      </c>
      <c r="C1199" t="s">
        <v>2501</v>
      </c>
      <c r="D1199" t="s">
        <v>2502</v>
      </c>
      <c r="E1199">
        <v>49914</v>
      </c>
      <c r="F1199">
        <v>179</v>
      </c>
      <c r="G1199">
        <v>162.22970000000001</v>
      </c>
      <c r="H1199">
        <v>0.90631099999999998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9686.31</v>
      </c>
      <c r="V1199">
        <v>0</v>
      </c>
      <c r="W1199">
        <v>0</v>
      </c>
      <c r="X1199">
        <v>0</v>
      </c>
      <c r="Y1199">
        <v>0</v>
      </c>
      <c r="Z1199">
        <v>9686.31</v>
      </c>
      <c r="AA1199">
        <v>148714.04</v>
      </c>
      <c r="AB1199">
        <v>15415.65</v>
      </c>
      <c r="AC1199">
        <v>112281.56</v>
      </c>
      <c r="AD1199">
        <v>0</v>
      </c>
      <c r="AE1199">
        <v>0</v>
      </c>
      <c r="AF1199">
        <v>276411.25</v>
      </c>
      <c r="AG1199">
        <v>39410.51</v>
      </c>
      <c r="AH1199">
        <v>5444.59</v>
      </c>
      <c r="AI1199">
        <v>15326.13</v>
      </c>
      <c r="AJ1199">
        <v>0</v>
      </c>
      <c r="AK1199">
        <v>0</v>
      </c>
      <c r="AL1199">
        <v>60181.23</v>
      </c>
      <c r="AM1199">
        <v>63653.23</v>
      </c>
      <c r="AN1199">
        <v>8348.43</v>
      </c>
      <c r="AO1199">
        <v>15396.51</v>
      </c>
      <c r="AP1199">
        <v>0</v>
      </c>
      <c r="AQ1199">
        <v>0</v>
      </c>
      <c r="AR1199">
        <v>87398.17</v>
      </c>
      <c r="AS1199">
        <v>15866.59</v>
      </c>
      <c r="AT1199">
        <v>1.82</v>
      </c>
      <c r="AU1199">
        <v>6981.53</v>
      </c>
      <c r="AV1199">
        <v>0</v>
      </c>
      <c r="AW1199">
        <v>0</v>
      </c>
      <c r="AX1199">
        <v>22849.94</v>
      </c>
      <c r="AY1199">
        <v>456526.9</v>
      </c>
      <c r="AZ1199">
        <v>0</v>
      </c>
      <c r="BA1199">
        <v>27</v>
      </c>
      <c r="BB1199">
        <v>61432.889000000003</v>
      </c>
      <c r="BC1199">
        <v>1658688.0109999999</v>
      </c>
      <c r="BD1199">
        <v>1324.37</v>
      </c>
      <c r="BE1199">
        <v>5944.6279999999997</v>
      </c>
      <c r="BF1199">
        <v>379</v>
      </c>
      <c r="BG1199">
        <v>3003.6021900000001</v>
      </c>
      <c r="BH1199">
        <v>1869.7950000000001</v>
      </c>
    </row>
    <row r="1200" spans="1:60" x14ac:dyDescent="0.35">
      <c r="A1200" t="s">
        <v>263</v>
      </c>
      <c r="B1200" t="s">
        <v>2501</v>
      </c>
      <c r="C1200" t="s">
        <v>2503</v>
      </c>
      <c r="D1200" t="s">
        <v>2504</v>
      </c>
      <c r="E1200">
        <v>26606</v>
      </c>
      <c r="F1200">
        <v>23</v>
      </c>
      <c r="G1200">
        <v>12.41</v>
      </c>
      <c r="H1200">
        <v>0.53956519999999997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5</v>
      </c>
      <c r="BB1200">
        <v>56658.5</v>
      </c>
      <c r="BC1200">
        <v>283292.49900000001</v>
      </c>
      <c r="BD1200">
        <v>0</v>
      </c>
      <c r="BE1200">
        <v>393.34</v>
      </c>
      <c r="BF1200">
        <v>86</v>
      </c>
      <c r="BG1200">
        <v>5785.3224419999997</v>
      </c>
      <c r="BH1200">
        <v>59.991</v>
      </c>
    </row>
    <row r="1201" spans="1:60" x14ac:dyDescent="0.35">
      <c r="A1201" t="s">
        <v>263</v>
      </c>
      <c r="B1201" t="s">
        <v>2501</v>
      </c>
      <c r="C1201" t="s">
        <v>2505</v>
      </c>
      <c r="D1201" t="s">
        <v>2506</v>
      </c>
      <c r="E1201">
        <v>12923</v>
      </c>
      <c r="F1201">
        <v>7</v>
      </c>
      <c r="G1201">
        <v>10.34961</v>
      </c>
      <c r="H1201">
        <v>1.4785159999999999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29</v>
      </c>
      <c r="BG1201">
        <v>712.61586199999999</v>
      </c>
      <c r="BH1201">
        <v>0</v>
      </c>
    </row>
    <row r="1202" spans="1:60" x14ac:dyDescent="0.35">
      <c r="A1202" t="s">
        <v>263</v>
      </c>
      <c r="B1202" t="s">
        <v>2321</v>
      </c>
      <c r="C1202" t="s">
        <v>2507</v>
      </c>
      <c r="D1202" t="s">
        <v>2508</v>
      </c>
      <c r="E1202">
        <v>12817</v>
      </c>
      <c r="F1202">
        <v>1</v>
      </c>
      <c r="G1202">
        <v>1.3425</v>
      </c>
      <c r="H1202">
        <v>1.3425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46</v>
      </c>
      <c r="BG1202">
        <v>93.995652000000007</v>
      </c>
      <c r="BH1202">
        <v>0</v>
      </c>
    </row>
    <row r="1203" spans="1:60" x14ac:dyDescent="0.35">
      <c r="A1203" t="s">
        <v>263</v>
      </c>
      <c r="B1203" t="s">
        <v>2321</v>
      </c>
      <c r="C1203" t="s">
        <v>2509</v>
      </c>
      <c r="D1203" t="s">
        <v>2510</v>
      </c>
      <c r="E1203">
        <v>4720</v>
      </c>
      <c r="F1203" t="s">
        <v>81</v>
      </c>
      <c r="G1203" t="s">
        <v>81</v>
      </c>
      <c r="H1203" t="s">
        <v>81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1</v>
      </c>
      <c r="BB1203">
        <v>5691.5559999999996</v>
      </c>
      <c r="BC1203">
        <v>5691.5559999999996</v>
      </c>
      <c r="BD1203">
        <v>0</v>
      </c>
      <c r="BE1203">
        <v>0</v>
      </c>
      <c r="BF1203">
        <v>9</v>
      </c>
      <c r="BG1203">
        <v>0</v>
      </c>
      <c r="BH1203">
        <v>0</v>
      </c>
    </row>
    <row r="1204" spans="1:60" x14ac:dyDescent="0.35">
      <c r="A1204" t="s">
        <v>263</v>
      </c>
      <c r="B1204" t="s">
        <v>2321</v>
      </c>
      <c r="C1204" t="s">
        <v>2511</v>
      </c>
      <c r="D1204" t="s">
        <v>2512</v>
      </c>
      <c r="E1204">
        <v>6933</v>
      </c>
      <c r="F1204">
        <v>1</v>
      </c>
      <c r="G1204">
        <v>0.25</v>
      </c>
      <c r="H1204">
        <v>0.25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1</v>
      </c>
      <c r="BB1204">
        <v>3116.6669999999999</v>
      </c>
      <c r="BC1204">
        <v>3116.6669999999999</v>
      </c>
      <c r="BD1204">
        <v>0</v>
      </c>
      <c r="BE1204">
        <v>0</v>
      </c>
      <c r="BF1204">
        <v>13</v>
      </c>
      <c r="BG1204">
        <v>11015.476923</v>
      </c>
      <c r="BH1204">
        <v>0</v>
      </c>
    </row>
    <row r="1205" spans="1:60" x14ac:dyDescent="0.35">
      <c r="A1205" t="s">
        <v>263</v>
      </c>
      <c r="B1205" t="s">
        <v>2321</v>
      </c>
      <c r="C1205" t="s">
        <v>2513</v>
      </c>
      <c r="D1205" t="s">
        <v>2514</v>
      </c>
      <c r="E1205">
        <v>6253</v>
      </c>
      <c r="F1205" t="s">
        <v>81</v>
      </c>
      <c r="G1205" t="s">
        <v>81</v>
      </c>
      <c r="H1205" t="s">
        <v>81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4</v>
      </c>
      <c r="BG1205">
        <v>0</v>
      </c>
      <c r="BH1205">
        <v>0</v>
      </c>
    </row>
    <row r="1206" spans="1:60" x14ac:dyDescent="0.35">
      <c r="A1206" t="s">
        <v>263</v>
      </c>
      <c r="B1206" t="s">
        <v>2515</v>
      </c>
      <c r="C1206" t="s">
        <v>2515</v>
      </c>
      <c r="D1206" t="s">
        <v>2516</v>
      </c>
      <c r="E1206">
        <v>27491</v>
      </c>
      <c r="F1206">
        <v>25</v>
      </c>
      <c r="G1206">
        <v>17.781130000000001</v>
      </c>
      <c r="H1206">
        <v>0.71124529999999997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57003.51</v>
      </c>
      <c r="AB1206">
        <v>20882.02</v>
      </c>
      <c r="AC1206">
        <v>72545.02</v>
      </c>
      <c r="AD1206">
        <v>0</v>
      </c>
      <c r="AE1206">
        <v>0</v>
      </c>
      <c r="AF1206">
        <v>150430.54999999999</v>
      </c>
      <c r="AG1206">
        <v>11604.98</v>
      </c>
      <c r="AH1206">
        <v>6782.61</v>
      </c>
      <c r="AI1206">
        <v>9405.8700000000008</v>
      </c>
      <c r="AJ1206">
        <v>0</v>
      </c>
      <c r="AK1206">
        <v>0</v>
      </c>
      <c r="AL1206">
        <v>27793.46</v>
      </c>
      <c r="AM1206">
        <v>792.33</v>
      </c>
      <c r="AN1206">
        <v>1375.21</v>
      </c>
      <c r="AO1206">
        <v>5478.8</v>
      </c>
      <c r="AP1206">
        <v>0</v>
      </c>
      <c r="AQ1206">
        <v>0</v>
      </c>
      <c r="AR1206">
        <v>7646.34</v>
      </c>
      <c r="AS1206">
        <v>5760.32</v>
      </c>
      <c r="AT1206">
        <v>0</v>
      </c>
      <c r="AU1206">
        <v>5967.5</v>
      </c>
      <c r="AV1206">
        <v>0</v>
      </c>
      <c r="AW1206">
        <v>0</v>
      </c>
      <c r="AX1206">
        <v>11727.82</v>
      </c>
      <c r="AY1206">
        <v>197598.17</v>
      </c>
      <c r="AZ1206">
        <v>0</v>
      </c>
      <c r="BA1206">
        <v>4</v>
      </c>
      <c r="BB1206">
        <v>52602.478999999999</v>
      </c>
      <c r="BC1206">
        <v>210409.91699999999</v>
      </c>
      <c r="BD1206">
        <v>282.57499999999999</v>
      </c>
      <c r="BE1206">
        <v>699.08900000000006</v>
      </c>
      <c r="BF1206">
        <v>190</v>
      </c>
      <c r="BG1206">
        <v>2308.178684</v>
      </c>
      <c r="BH1206">
        <v>11.135999999999999</v>
      </c>
    </row>
    <row r="1207" spans="1:60" x14ac:dyDescent="0.35">
      <c r="A1207" t="s">
        <v>263</v>
      </c>
      <c r="B1207" t="s">
        <v>2515</v>
      </c>
      <c r="C1207" t="s">
        <v>2517</v>
      </c>
      <c r="D1207" t="s">
        <v>2518</v>
      </c>
      <c r="E1207">
        <v>10666</v>
      </c>
      <c r="F1207" t="s">
        <v>81</v>
      </c>
      <c r="G1207" t="s">
        <v>81</v>
      </c>
      <c r="H1207" t="s">
        <v>81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24</v>
      </c>
      <c r="BG1207">
        <v>0</v>
      </c>
      <c r="BH1207">
        <v>0</v>
      </c>
    </row>
    <row r="1208" spans="1:60" x14ac:dyDescent="0.35">
      <c r="A1208" t="s">
        <v>263</v>
      </c>
      <c r="B1208" t="s">
        <v>2515</v>
      </c>
      <c r="C1208" t="s">
        <v>2519</v>
      </c>
      <c r="D1208" t="s">
        <v>2520</v>
      </c>
      <c r="E1208">
        <v>2444</v>
      </c>
      <c r="F1208" t="s">
        <v>81</v>
      </c>
      <c r="G1208" t="s">
        <v>81</v>
      </c>
      <c r="H1208" t="s">
        <v>81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2</v>
      </c>
      <c r="BG1208">
        <v>267</v>
      </c>
      <c r="BH1208">
        <v>0</v>
      </c>
    </row>
    <row r="1209" spans="1:60" x14ac:dyDescent="0.35">
      <c r="A1209" t="s">
        <v>263</v>
      </c>
      <c r="B1209" t="s">
        <v>2515</v>
      </c>
      <c r="C1209" t="s">
        <v>2521</v>
      </c>
      <c r="D1209" t="s">
        <v>2522</v>
      </c>
      <c r="E1209">
        <v>3880</v>
      </c>
      <c r="F1209">
        <v>3</v>
      </c>
      <c r="G1209">
        <v>1.1100000000000001</v>
      </c>
      <c r="H1209">
        <v>0.37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4</v>
      </c>
      <c r="BG1209">
        <v>0</v>
      </c>
      <c r="BH1209">
        <v>0</v>
      </c>
    </row>
    <row r="1210" spans="1:60" x14ac:dyDescent="0.35">
      <c r="A1210" t="s">
        <v>263</v>
      </c>
      <c r="B1210" t="s">
        <v>2515</v>
      </c>
      <c r="C1210" t="s">
        <v>2523</v>
      </c>
      <c r="D1210" t="s">
        <v>2524</v>
      </c>
      <c r="E1210">
        <v>653</v>
      </c>
      <c r="F1210" t="s">
        <v>81</v>
      </c>
      <c r="G1210" t="s">
        <v>81</v>
      </c>
      <c r="H1210" t="s">
        <v>81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 t="s">
        <v>81</v>
      </c>
      <c r="BB1210" t="s">
        <v>81</v>
      </c>
      <c r="BC1210" t="s">
        <v>81</v>
      </c>
      <c r="BD1210" t="s">
        <v>81</v>
      </c>
      <c r="BE1210" t="s">
        <v>81</v>
      </c>
      <c r="BF1210" t="s">
        <v>81</v>
      </c>
      <c r="BG1210" t="s">
        <v>81</v>
      </c>
      <c r="BH1210" t="s">
        <v>81</v>
      </c>
    </row>
    <row r="1211" spans="1:60" x14ac:dyDescent="0.35">
      <c r="A1211" t="s">
        <v>263</v>
      </c>
      <c r="B1211" t="s">
        <v>2515</v>
      </c>
      <c r="C1211" t="s">
        <v>2525</v>
      </c>
      <c r="D1211" t="s">
        <v>2526</v>
      </c>
      <c r="E1211">
        <v>2791</v>
      </c>
      <c r="F1211" t="s">
        <v>81</v>
      </c>
      <c r="G1211" t="s">
        <v>81</v>
      </c>
      <c r="H1211" t="s">
        <v>81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9</v>
      </c>
      <c r="BG1211">
        <v>0</v>
      </c>
      <c r="BH1211">
        <v>0</v>
      </c>
    </row>
    <row r="1212" spans="1:60" x14ac:dyDescent="0.35">
      <c r="A1212" t="s">
        <v>263</v>
      </c>
      <c r="B1212" t="s">
        <v>2515</v>
      </c>
      <c r="C1212" t="s">
        <v>2527</v>
      </c>
      <c r="D1212" t="s">
        <v>2528</v>
      </c>
      <c r="E1212">
        <v>517</v>
      </c>
      <c r="F1212" t="s">
        <v>81</v>
      </c>
      <c r="G1212" t="s">
        <v>81</v>
      </c>
      <c r="H1212" t="s">
        <v>81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 t="s">
        <v>81</v>
      </c>
      <c r="BB1212" t="s">
        <v>81</v>
      </c>
      <c r="BC1212" t="s">
        <v>81</v>
      </c>
      <c r="BD1212" t="s">
        <v>81</v>
      </c>
      <c r="BE1212" t="s">
        <v>81</v>
      </c>
      <c r="BF1212" t="s">
        <v>81</v>
      </c>
      <c r="BG1212" t="s">
        <v>81</v>
      </c>
      <c r="BH1212" t="s">
        <v>81</v>
      </c>
    </row>
    <row r="1213" spans="1:60" x14ac:dyDescent="0.35">
      <c r="A1213" t="s">
        <v>263</v>
      </c>
      <c r="B1213" t="s">
        <v>2515</v>
      </c>
      <c r="C1213" t="s">
        <v>2529</v>
      </c>
      <c r="D1213" t="s">
        <v>2530</v>
      </c>
      <c r="E1213">
        <v>6618</v>
      </c>
      <c r="F1213" t="s">
        <v>81</v>
      </c>
      <c r="G1213" t="s">
        <v>81</v>
      </c>
      <c r="H1213" t="s">
        <v>81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7</v>
      </c>
      <c r="BG1213">
        <v>0</v>
      </c>
      <c r="BH1213">
        <v>0</v>
      </c>
    </row>
    <row r="1214" spans="1:60" x14ac:dyDescent="0.35">
      <c r="A1214" t="s">
        <v>263</v>
      </c>
      <c r="B1214" t="s">
        <v>2515</v>
      </c>
      <c r="C1214" t="s">
        <v>2531</v>
      </c>
      <c r="D1214" t="s">
        <v>2532</v>
      </c>
      <c r="E1214">
        <v>7372</v>
      </c>
      <c r="F1214" t="s">
        <v>81</v>
      </c>
      <c r="G1214" t="s">
        <v>81</v>
      </c>
      <c r="H1214" t="s">
        <v>81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6</v>
      </c>
      <c r="BG1214">
        <v>1365.0783329999999</v>
      </c>
      <c r="BH1214">
        <v>0</v>
      </c>
    </row>
    <row r="1215" spans="1:60" x14ac:dyDescent="0.35">
      <c r="A1215" t="s">
        <v>263</v>
      </c>
      <c r="B1215" t="s">
        <v>2515</v>
      </c>
      <c r="C1215" t="s">
        <v>2533</v>
      </c>
      <c r="D1215" t="s">
        <v>2534</v>
      </c>
      <c r="E1215">
        <v>22181</v>
      </c>
      <c r="F1215">
        <v>1</v>
      </c>
      <c r="G1215">
        <v>0.27</v>
      </c>
      <c r="H1215">
        <v>0.27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32</v>
      </c>
      <c r="BG1215">
        <v>2198.4124999999999</v>
      </c>
      <c r="BH1215">
        <v>0</v>
      </c>
    </row>
    <row r="1216" spans="1:60" x14ac:dyDescent="0.35">
      <c r="A1216" t="s">
        <v>263</v>
      </c>
      <c r="B1216" t="s">
        <v>2535</v>
      </c>
      <c r="C1216" t="s">
        <v>2536</v>
      </c>
      <c r="D1216" t="s">
        <v>2537</v>
      </c>
      <c r="E1216">
        <v>20280</v>
      </c>
      <c r="F1216">
        <v>23</v>
      </c>
      <c r="G1216">
        <v>20.92876</v>
      </c>
      <c r="H1216">
        <v>0.90994589999999997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2</v>
      </c>
      <c r="BB1216">
        <v>17228.833999999999</v>
      </c>
      <c r="BC1216">
        <v>34457.667000000001</v>
      </c>
      <c r="BD1216">
        <v>0</v>
      </c>
      <c r="BE1216">
        <v>0</v>
      </c>
      <c r="BF1216">
        <v>58</v>
      </c>
      <c r="BG1216">
        <v>1745.027069</v>
      </c>
      <c r="BH1216">
        <v>31.943000000000001</v>
      </c>
    </row>
    <row r="1217" spans="1:60" x14ac:dyDescent="0.35">
      <c r="A1217" t="s">
        <v>263</v>
      </c>
      <c r="B1217" t="s">
        <v>2535</v>
      </c>
      <c r="C1217" t="s">
        <v>2538</v>
      </c>
      <c r="D1217" t="s">
        <v>2539</v>
      </c>
      <c r="E1217">
        <v>46016</v>
      </c>
      <c r="F1217">
        <v>94</v>
      </c>
      <c r="G1217">
        <v>89.557519999999997</v>
      </c>
      <c r="H1217">
        <v>0.95273949999999996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17</v>
      </c>
      <c r="BB1217">
        <v>31740.781999999999</v>
      </c>
      <c r="BC1217">
        <v>539593.29299999995</v>
      </c>
      <c r="BD1217">
        <v>4683.5911759999999</v>
      </c>
      <c r="BE1217">
        <v>1408.7529999999999</v>
      </c>
      <c r="BF1217">
        <v>257</v>
      </c>
      <c r="BG1217">
        <v>808.79875500000003</v>
      </c>
      <c r="BH1217">
        <v>1910.944</v>
      </c>
    </row>
    <row r="1218" spans="1:60" x14ac:dyDescent="0.35">
      <c r="A1218" t="s">
        <v>263</v>
      </c>
      <c r="B1218" t="s">
        <v>2535</v>
      </c>
      <c r="C1218" t="s">
        <v>2540</v>
      </c>
      <c r="D1218" t="s">
        <v>2541</v>
      </c>
      <c r="E1218">
        <v>4978</v>
      </c>
      <c r="F1218">
        <v>3</v>
      </c>
      <c r="G1218">
        <v>4.3416810000000003</v>
      </c>
      <c r="H1218">
        <v>1.447227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7</v>
      </c>
      <c r="BG1218">
        <v>0</v>
      </c>
      <c r="BH1218">
        <v>0</v>
      </c>
    </row>
    <row r="1219" spans="1:60" x14ac:dyDescent="0.35">
      <c r="A1219" t="s">
        <v>263</v>
      </c>
      <c r="B1219" t="s">
        <v>2535</v>
      </c>
      <c r="C1219" t="s">
        <v>2535</v>
      </c>
      <c r="D1219" t="s">
        <v>2542</v>
      </c>
      <c r="E1219">
        <v>33952</v>
      </c>
      <c r="F1219">
        <v>107</v>
      </c>
      <c r="G1219">
        <v>99.17953</v>
      </c>
      <c r="H1219">
        <v>0.9269115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4343.1899999999996</v>
      </c>
      <c r="V1219">
        <v>0</v>
      </c>
      <c r="W1219">
        <v>1194.01</v>
      </c>
      <c r="X1219">
        <v>0</v>
      </c>
      <c r="Y1219">
        <v>0</v>
      </c>
      <c r="Z1219">
        <v>5537.2</v>
      </c>
      <c r="AA1219">
        <v>46999.97</v>
      </c>
      <c r="AB1219">
        <v>75.55</v>
      </c>
      <c r="AC1219">
        <v>52497.52</v>
      </c>
      <c r="AD1219">
        <v>0</v>
      </c>
      <c r="AE1219">
        <v>1154.0899999999999</v>
      </c>
      <c r="AF1219">
        <v>100727.13</v>
      </c>
      <c r="AG1219">
        <v>63.01</v>
      </c>
      <c r="AH1219">
        <v>267.44</v>
      </c>
      <c r="AI1219">
        <v>5815.47</v>
      </c>
      <c r="AJ1219">
        <v>0</v>
      </c>
      <c r="AK1219">
        <v>1554.57</v>
      </c>
      <c r="AL1219">
        <v>7700.49</v>
      </c>
      <c r="AM1219">
        <v>28884.78</v>
      </c>
      <c r="AN1219">
        <v>2576.2800000000002</v>
      </c>
      <c r="AO1219">
        <v>9879.24</v>
      </c>
      <c r="AP1219">
        <v>0</v>
      </c>
      <c r="AQ1219">
        <v>850.02</v>
      </c>
      <c r="AR1219">
        <v>42190.32</v>
      </c>
      <c r="AS1219">
        <v>11867.61</v>
      </c>
      <c r="AT1219">
        <v>0</v>
      </c>
      <c r="AU1219">
        <v>4640.72</v>
      </c>
      <c r="AV1219">
        <v>0</v>
      </c>
      <c r="AW1219">
        <v>0</v>
      </c>
      <c r="AX1219">
        <v>16508.330000000002</v>
      </c>
      <c r="AY1219">
        <v>172663.47</v>
      </c>
      <c r="AZ1219">
        <v>0</v>
      </c>
      <c r="BA1219">
        <v>25</v>
      </c>
      <c r="BB1219">
        <v>51535.966</v>
      </c>
      <c r="BC1219">
        <v>1288399.138</v>
      </c>
      <c r="BD1219">
        <v>9261.2075999999997</v>
      </c>
      <c r="BE1219">
        <v>556.28399999999999</v>
      </c>
      <c r="BF1219">
        <v>269</v>
      </c>
      <c r="BG1219">
        <v>3196.9791449999998</v>
      </c>
      <c r="BH1219">
        <v>363.43400000000003</v>
      </c>
    </row>
    <row r="1220" spans="1:60" x14ac:dyDescent="0.35">
      <c r="A1220" t="s">
        <v>263</v>
      </c>
      <c r="B1220" t="s">
        <v>2535</v>
      </c>
      <c r="C1220" t="s">
        <v>2543</v>
      </c>
      <c r="D1220" t="s">
        <v>2544</v>
      </c>
      <c r="E1220">
        <v>13004</v>
      </c>
      <c r="F1220">
        <v>20</v>
      </c>
      <c r="G1220">
        <v>28.75534</v>
      </c>
      <c r="H1220">
        <v>1.437767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2</v>
      </c>
      <c r="BB1220">
        <v>9203.875</v>
      </c>
      <c r="BC1220">
        <v>18407.75</v>
      </c>
      <c r="BD1220">
        <v>0</v>
      </c>
      <c r="BE1220">
        <v>0</v>
      </c>
      <c r="BF1220">
        <v>55</v>
      </c>
      <c r="BG1220">
        <v>1053.4763640000001</v>
      </c>
      <c r="BH1220">
        <v>19.335999999999999</v>
      </c>
    </row>
    <row r="1221" spans="1:60" x14ac:dyDescent="0.35">
      <c r="A1221" t="s">
        <v>263</v>
      </c>
      <c r="B1221" t="s">
        <v>2545</v>
      </c>
      <c r="C1221" t="s">
        <v>2546</v>
      </c>
      <c r="D1221" t="s">
        <v>2547</v>
      </c>
      <c r="E1221">
        <v>13833</v>
      </c>
      <c r="F1221">
        <v>17</v>
      </c>
      <c r="G1221">
        <v>10.13669</v>
      </c>
      <c r="H1221">
        <v>0.59627589999999997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36040.69</v>
      </c>
      <c r="AC1221">
        <v>21496.63</v>
      </c>
      <c r="AD1221">
        <v>0</v>
      </c>
      <c r="AE1221">
        <v>0</v>
      </c>
      <c r="AF1221">
        <v>57537.32</v>
      </c>
      <c r="AG1221">
        <v>0</v>
      </c>
      <c r="AH1221">
        <v>5241.8599999999997</v>
      </c>
      <c r="AI1221">
        <v>1843.86</v>
      </c>
      <c r="AJ1221">
        <v>0</v>
      </c>
      <c r="AK1221">
        <v>0</v>
      </c>
      <c r="AL1221">
        <v>7085.72</v>
      </c>
      <c r="AM1221">
        <v>0</v>
      </c>
      <c r="AN1221">
        <v>1574.43</v>
      </c>
      <c r="AO1221">
        <v>6451.03</v>
      </c>
      <c r="AP1221">
        <v>0</v>
      </c>
      <c r="AQ1221">
        <v>0</v>
      </c>
      <c r="AR1221">
        <v>8025.46</v>
      </c>
      <c r="AS1221">
        <v>0</v>
      </c>
      <c r="AT1221">
        <v>1.62</v>
      </c>
      <c r="AU1221">
        <v>232.66</v>
      </c>
      <c r="AV1221">
        <v>0</v>
      </c>
      <c r="AW1221">
        <v>0</v>
      </c>
      <c r="AX1221">
        <v>234.28</v>
      </c>
      <c r="AY1221">
        <v>72882.78</v>
      </c>
      <c r="AZ1221">
        <v>0</v>
      </c>
      <c r="BA1221">
        <v>2</v>
      </c>
      <c r="BB1221">
        <v>131801.459</v>
      </c>
      <c r="BC1221">
        <v>263602.91700000002</v>
      </c>
      <c r="BD1221">
        <v>0</v>
      </c>
      <c r="BE1221">
        <v>0</v>
      </c>
      <c r="BF1221">
        <v>99</v>
      </c>
      <c r="BG1221">
        <v>8373.2164649999995</v>
      </c>
      <c r="BH1221">
        <v>59.527999999999999</v>
      </c>
    </row>
    <row r="1222" spans="1:60" x14ac:dyDescent="0.35">
      <c r="A1222" t="s">
        <v>263</v>
      </c>
      <c r="B1222" t="s">
        <v>2545</v>
      </c>
      <c r="C1222" t="s">
        <v>2548</v>
      </c>
      <c r="D1222" t="s">
        <v>2549</v>
      </c>
      <c r="E1222">
        <v>4336</v>
      </c>
      <c r="F1222">
        <v>3</v>
      </c>
      <c r="G1222">
        <v>5.0099330000000002</v>
      </c>
      <c r="H1222">
        <v>1.669978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4</v>
      </c>
      <c r="BG1222">
        <v>28643.275000000001</v>
      </c>
      <c r="BH1222">
        <v>0</v>
      </c>
    </row>
    <row r="1223" spans="1:60" x14ac:dyDescent="0.35">
      <c r="A1223" t="s">
        <v>263</v>
      </c>
      <c r="B1223" t="s">
        <v>2545</v>
      </c>
      <c r="C1223" t="s">
        <v>2550</v>
      </c>
      <c r="D1223" t="s">
        <v>2551</v>
      </c>
      <c r="E1223">
        <v>13318</v>
      </c>
      <c r="F1223">
        <v>12</v>
      </c>
      <c r="G1223">
        <v>5.69</v>
      </c>
      <c r="H1223">
        <v>0.4741667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3</v>
      </c>
      <c r="BB1223">
        <v>22758.611000000001</v>
      </c>
      <c r="BC1223">
        <v>68275.832999999999</v>
      </c>
      <c r="BD1223">
        <v>81800.106667</v>
      </c>
      <c r="BE1223">
        <v>0</v>
      </c>
      <c r="BF1223">
        <v>33</v>
      </c>
      <c r="BG1223">
        <v>28738.121818</v>
      </c>
      <c r="BH1223">
        <v>182.32499999999999</v>
      </c>
    </row>
    <row r="1224" spans="1:60" x14ac:dyDescent="0.35">
      <c r="A1224" t="s">
        <v>263</v>
      </c>
      <c r="B1224" t="s">
        <v>2545</v>
      </c>
      <c r="C1224" t="s">
        <v>2552</v>
      </c>
      <c r="D1224" t="s">
        <v>2553</v>
      </c>
      <c r="E1224">
        <v>6108</v>
      </c>
      <c r="F1224">
        <v>2</v>
      </c>
      <c r="G1224">
        <v>3.7958249999999998</v>
      </c>
      <c r="H1224">
        <v>1.897913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8</v>
      </c>
      <c r="BG1224">
        <v>26882.625</v>
      </c>
      <c r="BH1224">
        <v>0</v>
      </c>
    </row>
    <row r="1225" spans="1:60" x14ac:dyDescent="0.35">
      <c r="A1225" t="s">
        <v>263</v>
      </c>
      <c r="B1225" t="s">
        <v>2545</v>
      </c>
      <c r="C1225" t="s">
        <v>2554</v>
      </c>
      <c r="D1225" t="s">
        <v>2555</v>
      </c>
      <c r="E1225">
        <v>975</v>
      </c>
      <c r="F1225">
        <v>1</v>
      </c>
      <c r="G1225">
        <v>0.65</v>
      </c>
      <c r="H1225">
        <v>0.65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 t="s">
        <v>81</v>
      </c>
      <c r="BB1225" t="s">
        <v>81</v>
      </c>
      <c r="BC1225" t="s">
        <v>81</v>
      </c>
      <c r="BD1225" t="s">
        <v>81</v>
      </c>
      <c r="BE1225" t="s">
        <v>81</v>
      </c>
      <c r="BF1225" t="s">
        <v>81</v>
      </c>
      <c r="BG1225" t="s">
        <v>81</v>
      </c>
      <c r="BH1225" t="s">
        <v>81</v>
      </c>
    </row>
    <row r="1226" spans="1:60" x14ac:dyDescent="0.35">
      <c r="A1226" t="s">
        <v>263</v>
      </c>
      <c r="B1226" t="s">
        <v>2545</v>
      </c>
      <c r="C1226" t="s">
        <v>2556</v>
      </c>
      <c r="D1226" t="s">
        <v>2557</v>
      </c>
      <c r="E1226">
        <v>3685</v>
      </c>
      <c r="F1226" t="s">
        <v>81</v>
      </c>
      <c r="G1226" t="s">
        <v>81</v>
      </c>
      <c r="H1226" t="s">
        <v>81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1</v>
      </c>
      <c r="BG1226">
        <v>10285</v>
      </c>
      <c r="BH1226">
        <v>0</v>
      </c>
    </row>
    <row r="1227" spans="1:60" x14ac:dyDescent="0.35">
      <c r="A1227" t="s">
        <v>263</v>
      </c>
      <c r="B1227" t="s">
        <v>2545</v>
      </c>
      <c r="C1227" t="s">
        <v>2558</v>
      </c>
      <c r="D1227" t="s">
        <v>2559</v>
      </c>
      <c r="E1227">
        <v>1292</v>
      </c>
      <c r="F1227" t="s">
        <v>81</v>
      </c>
      <c r="G1227" t="s">
        <v>81</v>
      </c>
      <c r="H1227" t="s">
        <v>81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3</v>
      </c>
      <c r="BG1227">
        <v>7751.95</v>
      </c>
      <c r="BH1227">
        <v>0</v>
      </c>
    </row>
    <row r="1228" spans="1:60" x14ac:dyDescent="0.35">
      <c r="A1228" t="s">
        <v>263</v>
      </c>
      <c r="B1228" t="s">
        <v>2545</v>
      </c>
      <c r="C1228" t="s">
        <v>2560</v>
      </c>
      <c r="D1228" t="s">
        <v>2561</v>
      </c>
      <c r="E1228">
        <v>22405</v>
      </c>
      <c r="F1228">
        <v>11</v>
      </c>
      <c r="G1228">
        <v>7.3562969999999996</v>
      </c>
      <c r="H1228">
        <v>0.66875430000000002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13983.17</v>
      </c>
      <c r="AC1228">
        <v>0</v>
      </c>
      <c r="AD1228">
        <v>0</v>
      </c>
      <c r="AE1228">
        <v>0</v>
      </c>
      <c r="AF1228">
        <v>13983.17</v>
      </c>
      <c r="AG1228">
        <v>0</v>
      </c>
      <c r="AH1228">
        <v>3066.27</v>
      </c>
      <c r="AI1228">
        <v>0</v>
      </c>
      <c r="AJ1228">
        <v>0</v>
      </c>
      <c r="AK1228">
        <v>0</v>
      </c>
      <c r="AL1228">
        <v>3066.27</v>
      </c>
      <c r="AM1228">
        <v>957.53</v>
      </c>
      <c r="AN1228">
        <v>102.6</v>
      </c>
      <c r="AO1228">
        <v>0</v>
      </c>
      <c r="AP1228">
        <v>0</v>
      </c>
      <c r="AQ1228">
        <v>0</v>
      </c>
      <c r="AR1228">
        <v>1060.1300000000001</v>
      </c>
      <c r="AS1228">
        <v>41.53</v>
      </c>
      <c r="AT1228">
        <v>0</v>
      </c>
      <c r="AU1228">
        <v>0</v>
      </c>
      <c r="AV1228">
        <v>0</v>
      </c>
      <c r="AW1228">
        <v>0</v>
      </c>
      <c r="AX1228">
        <v>41.53</v>
      </c>
      <c r="AY1228">
        <v>18151.099999999999</v>
      </c>
      <c r="AZ1228">
        <v>0</v>
      </c>
      <c r="BA1228">
        <v>10</v>
      </c>
      <c r="BB1228">
        <v>75940.729000000007</v>
      </c>
      <c r="BC1228">
        <v>759407.29200000002</v>
      </c>
      <c r="BD1228">
        <v>63030.305999999997</v>
      </c>
      <c r="BE1228">
        <v>9685.3209999999999</v>
      </c>
      <c r="BF1228">
        <v>90</v>
      </c>
      <c r="BG1228">
        <v>44853.912333</v>
      </c>
      <c r="BH1228">
        <v>845.31899999999996</v>
      </c>
    </row>
    <row r="1229" spans="1:60" x14ac:dyDescent="0.35">
      <c r="A1229" t="s">
        <v>263</v>
      </c>
      <c r="B1229" t="s">
        <v>2545</v>
      </c>
      <c r="C1229" t="s">
        <v>2545</v>
      </c>
      <c r="D1229" t="s">
        <v>2562</v>
      </c>
      <c r="E1229">
        <v>11716</v>
      </c>
      <c r="F1229">
        <v>39</v>
      </c>
      <c r="G1229">
        <v>47.338760000000001</v>
      </c>
      <c r="H1229">
        <v>1.2138139999999999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1</v>
      </c>
      <c r="BB1229">
        <v>259701.75</v>
      </c>
      <c r="BC1229">
        <v>259701.75</v>
      </c>
      <c r="BD1229">
        <v>0</v>
      </c>
      <c r="BE1229">
        <v>5773.0550000000003</v>
      </c>
      <c r="BF1229">
        <v>92</v>
      </c>
      <c r="BG1229">
        <v>947.72934799999996</v>
      </c>
      <c r="BH1229">
        <v>184.315</v>
      </c>
    </row>
    <row r="1230" spans="1:60" x14ac:dyDescent="0.35">
      <c r="A1230" t="s">
        <v>263</v>
      </c>
      <c r="B1230" t="s">
        <v>2545</v>
      </c>
      <c r="C1230" t="s">
        <v>2563</v>
      </c>
      <c r="D1230" t="s">
        <v>2564</v>
      </c>
      <c r="E1230">
        <v>2003</v>
      </c>
      <c r="F1230">
        <v>1</v>
      </c>
      <c r="G1230">
        <v>0.65</v>
      </c>
      <c r="H1230">
        <v>0.65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</v>
      </c>
      <c r="BB1230">
        <v>14639.444</v>
      </c>
      <c r="BC1230">
        <v>14639.444</v>
      </c>
      <c r="BD1230">
        <v>58734.6</v>
      </c>
      <c r="BE1230">
        <v>0</v>
      </c>
      <c r="BF1230">
        <v>5</v>
      </c>
      <c r="BG1230">
        <v>22216.788</v>
      </c>
      <c r="BH1230">
        <v>0</v>
      </c>
    </row>
    <row r="1231" spans="1:60" x14ac:dyDescent="0.35">
      <c r="A1231" t="s">
        <v>263</v>
      </c>
      <c r="B1231" t="s">
        <v>2545</v>
      </c>
      <c r="C1231" t="s">
        <v>2565</v>
      </c>
      <c r="D1231" t="s">
        <v>2566</v>
      </c>
      <c r="E1231">
        <v>2186</v>
      </c>
      <c r="F1231" t="s">
        <v>81</v>
      </c>
      <c r="G1231" t="s">
        <v>81</v>
      </c>
      <c r="H1231" t="s">
        <v>81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2</v>
      </c>
      <c r="BG1231">
        <v>2061.5</v>
      </c>
      <c r="BH1231">
        <v>0</v>
      </c>
    </row>
    <row r="1232" spans="1:60" x14ac:dyDescent="0.35">
      <c r="A1232" t="s">
        <v>263</v>
      </c>
      <c r="B1232" t="s">
        <v>2545</v>
      </c>
      <c r="C1232" t="s">
        <v>2567</v>
      </c>
      <c r="D1232" t="s">
        <v>2568</v>
      </c>
      <c r="E1232">
        <v>3027</v>
      </c>
      <c r="F1232" t="s">
        <v>81</v>
      </c>
      <c r="G1232" t="s">
        <v>81</v>
      </c>
      <c r="H1232" t="s">
        <v>81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2</v>
      </c>
      <c r="BG1232">
        <v>76381.75</v>
      </c>
      <c r="BH1232">
        <v>0</v>
      </c>
    </row>
    <row r="1233" spans="1:60" x14ac:dyDescent="0.35">
      <c r="A1233" t="s">
        <v>263</v>
      </c>
      <c r="B1233" t="s">
        <v>2545</v>
      </c>
      <c r="C1233" t="s">
        <v>2569</v>
      </c>
      <c r="D1233" t="s">
        <v>2570</v>
      </c>
      <c r="E1233">
        <v>2305</v>
      </c>
      <c r="F1233" t="s">
        <v>81</v>
      </c>
      <c r="G1233" t="s">
        <v>81</v>
      </c>
      <c r="H1233" t="s">
        <v>81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2</v>
      </c>
      <c r="BG1233">
        <v>0</v>
      </c>
      <c r="BH1233">
        <v>0</v>
      </c>
    </row>
    <row r="1234" spans="1:60" x14ac:dyDescent="0.35">
      <c r="A1234" t="s">
        <v>263</v>
      </c>
      <c r="B1234" t="s">
        <v>2571</v>
      </c>
      <c r="C1234" t="s">
        <v>2572</v>
      </c>
      <c r="D1234" t="s">
        <v>2573</v>
      </c>
      <c r="E1234">
        <v>87823</v>
      </c>
      <c r="F1234">
        <v>133</v>
      </c>
      <c r="G1234">
        <v>135.5564</v>
      </c>
      <c r="H1234">
        <v>1.0192209999999999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50.67</v>
      </c>
      <c r="V1234">
        <v>0</v>
      </c>
      <c r="W1234">
        <v>191.1</v>
      </c>
      <c r="X1234">
        <v>0</v>
      </c>
      <c r="Y1234">
        <v>0</v>
      </c>
      <c r="Z1234">
        <v>241.77</v>
      </c>
      <c r="AA1234">
        <v>131510.41</v>
      </c>
      <c r="AB1234">
        <v>42981.43</v>
      </c>
      <c r="AC1234">
        <v>122718.84</v>
      </c>
      <c r="AD1234">
        <v>0</v>
      </c>
      <c r="AE1234">
        <v>0</v>
      </c>
      <c r="AF1234">
        <v>297210.68</v>
      </c>
      <c r="AG1234">
        <v>28305.59</v>
      </c>
      <c r="AH1234">
        <v>8710.69</v>
      </c>
      <c r="AI1234">
        <v>15441.66</v>
      </c>
      <c r="AJ1234">
        <v>0</v>
      </c>
      <c r="AK1234">
        <v>0</v>
      </c>
      <c r="AL1234">
        <v>52457.94</v>
      </c>
      <c r="AM1234">
        <v>16167.18</v>
      </c>
      <c r="AN1234">
        <v>5678.61</v>
      </c>
      <c r="AO1234">
        <v>15654.7</v>
      </c>
      <c r="AP1234">
        <v>0</v>
      </c>
      <c r="AQ1234">
        <v>0</v>
      </c>
      <c r="AR1234">
        <v>37500.49</v>
      </c>
      <c r="AS1234">
        <v>2879.6</v>
      </c>
      <c r="AT1234">
        <v>0</v>
      </c>
      <c r="AU1234">
        <v>1890.3</v>
      </c>
      <c r="AV1234">
        <v>0</v>
      </c>
      <c r="AW1234">
        <v>0</v>
      </c>
      <c r="AX1234">
        <v>4769.8999999999996</v>
      </c>
      <c r="AY1234">
        <v>392180.78</v>
      </c>
      <c r="AZ1234">
        <v>0</v>
      </c>
      <c r="BA1234">
        <v>34</v>
      </c>
      <c r="BB1234">
        <v>88440.051000000007</v>
      </c>
      <c r="BC1234">
        <v>3006961.7239999999</v>
      </c>
      <c r="BD1234">
        <v>5131.2017649999998</v>
      </c>
      <c r="BE1234">
        <v>679.29499999999996</v>
      </c>
      <c r="BF1234">
        <v>853</v>
      </c>
      <c r="BG1234">
        <v>5515.0280419999999</v>
      </c>
      <c r="BH1234">
        <v>1012.109</v>
      </c>
    </row>
    <row r="1235" spans="1:60" x14ac:dyDescent="0.35">
      <c r="A1235" t="s">
        <v>263</v>
      </c>
      <c r="B1235" t="s">
        <v>2571</v>
      </c>
      <c r="C1235" t="s">
        <v>2574</v>
      </c>
      <c r="D1235" t="s">
        <v>2575</v>
      </c>
      <c r="E1235">
        <v>19896</v>
      </c>
      <c r="F1235" t="s">
        <v>81</v>
      </c>
      <c r="G1235" t="s">
        <v>81</v>
      </c>
      <c r="H1235" t="s">
        <v>81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1</v>
      </c>
      <c r="BB1235">
        <v>22832.582999999999</v>
      </c>
      <c r="BC1235">
        <v>22832.582999999999</v>
      </c>
      <c r="BD1235">
        <v>0</v>
      </c>
      <c r="BE1235">
        <v>0</v>
      </c>
      <c r="BF1235">
        <v>31</v>
      </c>
      <c r="BG1235">
        <v>1985.754516</v>
      </c>
      <c r="BH1235">
        <v>0</v>
      </c>
    </row>
    <row r="1236" spans="1:60" x14ac:dyDescent="0.35">
      <c r="A1236" t="s">
        <v>263</v>
      </c>
      <c r="B1236" t="s">
        <v>2571</v>
      </c>
      <c r="C1236" t="s">
        <v>2576</v>
      </c>
      <c r="D1236" t="s">
        <v>2577</v>
      </c>
      <c r="E1236">
        <v>10395</v>
      </c>
      <c r="F1236" t="s">
        <v>81</v>
      </c>
      <c r="G1236" t="s">
        <v>81</v>
      </c>
      <c r="H1236" t="s">
        <v>81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13</v>
      </c>
      <c r="BG1236">
        <v>1730.2423080000001</v>
      </c>
      <c r="BH1236">
        <v>0</v>
      </c>
    </row>
    <row r="1237" spans="1:60" x14ac:dyDescent="0.35">
      <c r="A1237" t="s">
        <v>263</v>
      </c>
      <c r="B1237" t="s">
        <v>2571</v>
      </c>
      <c r="C1237" t="s">
        <v>2578</v>
      </c>
      <c r="D1237" t="s">
        <v>2579</v>
      </c>
      <c r="E1237">
        <v>8960</v>
      </c>
      <c r="F1237" t="s">
        <v>81</v>
      </c>
      <c r="G1237" t="s">
        <v>81</v>
      </c>
      <c r="H1237" t="s">
        <v>81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17</v>
      </c>
      <c r="BG1237">
        <v>328.35294099999999</v>
      </c>
      <c r="BH1237">
        <v>0</v>
      </c>
    </row>
    <row r="1238" spans="1:60" x14ac:dyDescent="0.35">
      <c r="A1238" t="s">
        <v>263</v>
      </c>
      <c r="B1238" t="s">
        <v>2571</v>
      </c>
      <c r="C1238" t="s">
        <v>2580</v>
      </c>
      <c r="D1238" t="s">
        <v>2581</v>
      </c>
      <c r="E1238">
        <v>10421</v>
      </c>
      <c r="F1238" t="s">
        <v>81</v>
      </c>
      <c r="G1238" t="s">
        <v>81</v>
      </c>
      <c r="H1238" t="s">
        <v>81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11</v>
      </c>
      <c r="BG1238">
        <v>2.3636360000000001</v>
      </c>
      <c r="BH1238">
        <v>0</v>
      </c>
    </row>
    <row r="1239" spans="1:60" x14ac:dyDescent="0.35">
      <c r="A1239" t="s">
        <v>263</v>
      </c>
      <c r="B1239" t="s">
        <v>2571</v>
      </c>
      <c r="C1239" t="s">
        <v>2582</v>
      </c>
      <c r="D1239" t="s">
        <v>2583</v>
      </c>
      <c r="E1239">
        <v>15379</v>
      </c>
      <c r="F1239" t="s">
        <v>81</v>
      </c>
      <c r="G1239" t="s">
        <v>81</v>
      </c>
      <c r="H1239" t="s">
        <v>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11</v>
      </c>
      <c r="BG1239">
        <v>644.04545499999995</v>
      </c>
      <c r="BH1239">
        <v>0</v>
      </c>
    </row>
    <row r="1240" spans="1:60" x14ac:dyDescent="0.35">
      <c r="A1240" t="s">
        <v>263</v>
      </c>
      <c r="B1240" t="s">
        <v>2571</v>
      </c>
      <c r="C1240" t="s">
        <v>2584</v>
      </c>
      <c r="D1240" t="s">
        <v>2585</v>
      </c>
      <c r="E1240">
        <v>10104</v>
      </c>
      <c r="F1240">
        <v>1</v>
      </c>
      <c r="G1240">
        <v>2.5255299999999998</v>
      </c>
      <c r="H1240">
        <v>2.5255299999999998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8</v>
      </c>
      <c r="BG1240">
        <v>0</v>
      </c>
      <c r="BH1240">
        <v>0</v>
      </c>
    </row>
    <row r="1241" spans="1:60" x14ac:dyDescent="0.35">
      <c r="A1241" t="s">
        <v>263</v>
      </c>
      <c r="B1241" t="s">
        <v>2571</v>
      </c>
      <c r="C1241" t="s">
        <v>2586</v>
      </c>
      <c r="D1241" t="s">
        <v>2587</v>
      </c>
      <c r="E1241">
        <v>14816</v>
      </c>
      <c r="F1241" t="s">
        <v>81</v>
      </c>
      <c r="G1241" t="s">
        <v>81</v>
      </c>
      <c r="H1241" t="s">
        <v>81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11</v>
      </c>
      <c r="BG1241">
        <v>0</v>
      </c>
      <c r="BH1241">
        <v>0</v>
      </c>
    </row>
    <row r="1242" spans="1:60" x14ac:dyDescent="0.35">
      <c r="A1242" t="s">
        <v>263</v>
      </c>
      <c r="B1242" t="s">
        <v>2588</v>
      </c>
      <c r="C1242" t="s">
        <v>2588</v>
      </c>
      <c r="D1242" t="s">
        <v>2589</v>
      </c>
      <c r="E1242">
        <v>20610</v>
      </c>
      <c r="F1242">
        <v>14</v>
      </c>
      <c r="G1242">
        <v>11.972670000000001</v>
      </c>
      <c r="H1242">
        <v>0.85519049999999996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12389.93</v>
      </c>
      <c r="AB1242">
        <v>7441.19</v>
      </c>
      <c r="AC1242">
        <v>14597.73</v>
      </c>
      <c r="AD1242">
        <v>0</v>
      </c>
      <c r="AE1242">
        <v>0</v>
      </c>
      <c r="AF1242">
        <v>34428.85</v>
      </c>
      <c r="AG1242">
        <v>2306.8000000000002</v>
      </c>
      <c r="AH1242">
        <v>2733.52</v>
      </c>
      <c r="AI1242">
        <v>1629.59</v>
      </c>
      <c r="AJ1242">
        <v>0</v>
      </c>
      <c r="AK1242">
        <v>0</v>
      </c>
      <c r="AL1242">
        <v>6669.91</v>
      </c>
      <c r="AM1242">
        <v>521.78</v>
      </c>
      <c r="AN1242">
        <v>303.94</v>
      </c>
      <c r="AO1242">
        <v>6136.54</v>
      </c>
      <c r="AP1242">
        <v>0</v>
      </c>
      <c r="AQ1242">
        <v>0</v>
      </c>
      <c r="AR1242">
        <v>6962.26</v>
      </c>
      <c r="AS1242">
        <v>74.349999999999994</v>
      </c>
      <c r="AT1242">
        <v>0</v>
      </c>
      <c r="AU1242">
        <v>911.41</v>
      </c>
      <c r="AV1242">
        <v>0</v>
      </c>
      <c r="AW1242">
        <v>0</v>
      </c>
      <c r="AX1242">
        <v>985.76</v>
      </c>
      <c r="AY1242">
        <v>49046.78</v>
      </c>
      <c r="AZ1242">
        <v>0</v>
      </c>
      <c r="BA1242">
        <v>1</v>
      </c>
      <c r="BB1242">
        <v>31385.417000000001</v>
      </c>
      <c r="BC1242">
        <v>31385.417000000001</v>
      </c>
      <c r="BD1242">
        <v>0</v>
      </c>
      <c r="BE1242">
        <v>0</v>
      </c>
      <c r="BF1242">
        <v>57</v>
      </c>
      <c r="BG1242">
        <v>2622.7798250000001</v>
      </c>
      <c r="BH1242">
        <v>0</v>
      </c>
    </row>
    <row r="1243" spans="1:60" x14ac:dyDescent="0.35">
      <c r="A1243" t="s">
        <v>263</v>
      </c>
      <c r="B1243" t="s">
        <v>2588</v>
      </c>
      <c r="C1243" t="s">
        <v>2590</v>
      </c>
      <c r="D1243" t="s">
        <v>2591</v>
      </c>
      <c r="E1243">
        <v>4736</v>
      </c>
      <c r="F1243">
        <v>1</v>
      </c>
      <c r="G1243">
        <v>0.34399999999999997</v>
      </c>
      <c r="H1243">
        <v>0.34399999999999997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1</v>
      </c>
      <c r="BB1243">
        <v>4784.5</v>
      </c>
      <c r="BC1243">
        <v>4784.5</v>
      </c>
      <c r="BD1243">
        <v>0</v>
      </c>
      <c r="BE1243">
        <v>0</v>
      </c>
      <c r="BF1243">
        <v>6</v>
      </c>
      <c r="BG1243">
        <v>63.333333000000003</v>
      </c>
      <c r="BH1243">
        <v>0</v>
      </c>
    </row>
    <row r="1244" spans="1:60" x14ac:dyDescent="0.35">
      <c r="A1244" t="s">
        <v>263</v>
      </c>
      <c r="B1244" t="s">
        <v>2588</v>
      </c>
      <c r="C1244" t="s">
        <v>2592</v>
      </c>
      <c r="D1244" t="s">
        <v>2593</v>
      </c>
      <c r="E1244">
        <v>5566</v>
      </c>
      <c r="F1244">
        <v>1</v>
      </c>
      <c r="G1244">
        <v>0.65</v>
      </c>
      <c r="H1244">
        <v>0.65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1</v>
      </c>
      <c r="BB1244">
        <v>45535.667000000001</v>
      </c>
      <c r="BC1244">
        <v>45535.667000000001</v>
      </c>
      <c r="BD1244">
        <v>0</v>
      </c>
      <c r="BE1244">
        <v>0</v>
      </c>
      <c r="BF1244">
        <v>18</v>
      </c>
      <c r="BG1244">
        <v>5722.1838889999999</v>
      </c>
      <c r="BH1244">
        <v>0</v>
      </c>
    </row>
    <row r="1245" spans="1:60" x14ac:dyDescent="0.35">
      <c r="A1245" t="s">
        <v>263</v>
      </c>
      <c r="B1245" t="s">
        <v>2588</v>
      </c>
      <c r="C1245" t="s">
        <v>2594</v>
      </c>
      <c r="D1245" t="s">
        <v>2595</v>
      </c>
      <c r="E1245">
        <v>1821</v>
      </c>
      <c r="F1245" t="s">
        <v>81</v>
      </c>
      <c r="G1245" t="s">
        <v>81</v>
      </c>
      <c r="H1245" t="s">
        <v>81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 t="s">
        <v>81</v>
      </c>
      <c r="BB1245" t="s">
        <v>81</v>
      </c>
      <c r="BC1245" t="s">
        <v>81</v>
      </c>
      <c r="BD1245" t="s">
        <v>81</v>
      </c>
      <c r="BE1245" t="s">
        <v>81</v>
      </c>
      <c r="BF1245" t="s">
        <v>81</v>
      </c>
      <c r="BG1245" t="s">
        <v>81</v>
      </c>
      <c r="BH1245" t="s">
        <v>81</v>
      </c>
    </row>
    <row r="1246" spans="1:60" x14ac:dyDescent="0.35">
      <c r="A1246" t="s">
        <v>263</v>
      </c>
      <c r="B1246" t="s">
        <v>2588</v>
      </c>
      <c r="C1246" t="s">
        <v>2596</v>
      </c>
      <c r="D1246" t="s">
        <v>2597</v>
      </c>
      <c r="E1246">
        <v>2363</v>
      </c>
      <c r="F1246" t="s">
        <v>81</v>
      </c>
      <c r="G1246" t="s">
        <v>81</v>
      </c>
      <c r="H1246" t="s">
        <v>81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 t="s">
        <v>81</v>
      </c>
      <c r="BB1246" t="s">
        <v>81</v>
      </c>
      <c r="BC1246" t="s">
        <v>81</v>
      </c>
      <c r="BD1246" t="s">
        <v>81</v>
      </c>
      <c r="BE1246" t="s">
        <v>81</v>
      </c>
      <c r="BF1246" t="s">
        <v>81</v>
      </c>
      <c r="BG1246" t="s">
        <v>81</v>
      </c>
      <c r="BH1246" t="s">
        <v>81</v>
      </c>
    </row>
    <row r="1247" spans="1:60" x14ac:dyDescent="0.35">
      <c r="A1247" t="s">
        <v>263</v>
      </c>
      <c r="B1247" t="s">
        <v>2588</v>
      </c>
      <c r="C1247" t="s">
        <v>2598</v>
      </c>
      <c r="D1247" t="s">
        <v>2599</v>
      </c>
      <c r="E1247">
        <v>13653</v>
      </c>
      <c r="F1247">
        <v>3</v>
      </c>
      <c r="G1247">
        <v>1.452275</v>
      </c>
      <c r="H1247">
        <v>0.48409170000000001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</v>
      </c>
      <c r="BB1247">
        <v>199832</v>
      </c>
      <c r="BC1247">
        <v>199832</v>
      </c>
      <c r="BD1247">
        <v>0</v>
      </c>
      <c r="BE1247">
        <v>0</v>
      </c>
      <c r="BF1247">
        <v>28</v>
      </c>
      <c r="BG1247">
        <v>5738.8064290000002</v>
      </c>
      <c r="BH1247">
        <v>0</v>
      </c>
    </row>
    <row r="1248" spans="1:60" x14ac:dyDescent="0.35">
      <c r="A1248" t="s">
        <v>263</v>
      </c>
      <c r="B1248" t="s">
        <v>2588</v>
      </c>
      <c r="C1248" t="s">
        <v>2600</v>
      </c>
      <c r="D1248" t="s">
        <v>2601</v>
      </c>
      <c r="E1248">
        <v>3007</v>
      </c>
      <c r="F1248" t="s">
        <v>81</v>
      </c>
      <c r="G1248" t="s">
        <v>81</v>
      </c>
      <c r="H1248" t="s">
        <v>81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2</v>
      </c>
      <c r="BG1248">
        <v>0</v>
      </c>
      <c r="BH1248">
        <v>0</v>
      </c>
    </row>
    <row r="1249" spans="1:60" x14ac:dyDescent="0.35">
      <c r="A1249" t="s">
        <v>263</v>
      </c>
      <c r="B1249" t="s">
        <v>2588</v>
      </c>
      <c r="C1249" t="s">
        <v>2602</v>
      </c>
      <c r="D1249" t="s">
        <v>2603</v>
      </c>
      <c r="E1249">
        <v>3669</v>
      </c>
      <c r="F1249" t="s">
        <v>81</v>
      </c>
      <c r="G1249" t="s">
        <v>81</v>
      </c>
      <c r="H1249" t="s">
        <v>81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 t="s">
        <v>81</v>
      </c>
      <c r="BB1249" t="s">
        <v>81</v>
      </c>
      <c r="BC1249" t="s">
        <v>81</v>
      </c>
      <c r="BD1249" t="s">
        <v>81</v>
      </c>
      <c r="BE1249" t="s">
        <v>81</v>
      </c>
      <c r="BF1249" t="s">
        <v>81</v>
      </c>
      <c r="BG1249" t="s">
        <v>81</v>
      </c>
      <c r="BH1249" t="s">
        <v>81</v>
      </c>
    </row>
    <row r="1250" spans="1:60" x14ac:dyDescent="0.35">
      <c r="A1250" t="s">
        <v>263</v>
      </c>
      <c r="B1250" t="s">
        <v>2604</v>
      </c>
      <c r="C1250" t="s">
        <v>2605</v>
      </c>
      <c r="D1250" t="s">
        <v>2606</v>
      </c>
      <c r="E1250">
        <v>14434</v>
      </c>
      <c r="F1250">
        <v>19</v>
      </c>
      <c r="G1250">
        <v>15.921559999999999</v>
      </c>
      <c r="H1250">
        <v>0.83797679999999997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47.27</v>
      </c>
      <c r="AC1250">
        <v>0</v>
      </c>
      <c r="AD1250">
        <v>0</v>
      </c>
      <c r="AE1250">
        <v>0</v>
      </c>
      <c r="AF1250">
        <v>47.27</v>
      </c>
      <c r="AG1250">
        <v>0</v>
      </c>
      <c r="AH1250">
        <v>7.62</v>
      </c>
      <c r="AI1250">
        <v>0</v>
      </c>
      <c r="AJ1250">
        <v>0</v>
      </c>
      <c r="AK1250">
        <v>0</v>
      </c>
      <c r="AL1250">
        <v>7.62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54.89</v>
      </c>
      <c r="AZ1250">
        <v>0</v>
      </c>
      <c r="BA1250">
        <v>2</v>
      </c>
      <c r="BB1250">
        <v>12959.606</v>
      </c>
      <c r="BC1250">
        <v>25919.212</v>
      </c>
      <c r="BD1250">
        <v>0</v>
      </c>
      <c r="BE1250">
        <v>0</v>
      </c>
      <c r="BF1250">
        <v>62</v>
      </c>
      <c r="BG1250">
        <v>973.82467699999995</v>
      </c>
      <c r="BH1250">
        <v>0</v>
      </c>
    </row>
    <row r="1251" spans="1:60" x14ac:dyDescent="0.35">
      <c r="A1251" t="s">
        <v>263</v>
      </c>
      <c r="B1251" t="s">
        <v>2604</v>
      </c>
      <c r="C1251" t="s">
        <v>2607</v>
      </c>
      <c r="D1251" t="s">
        <v>2608</v>
      </c>
      <c r="E1251">
        <v>4702</v>
      </c>
      <c r="F1251" t="s">
        <v>81</v>
      </c>
      <c r="G1251" t="s">
        <v>81</v>
      </c>
      <c r="H1251" t="s">
        <v>81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3</v>
      </c>
      <c r="BG1251">
        <v>343.66666700000002</v>
      </c>
      <c r="BH1251">
        <v>0</v>
      </c>
    </row>
    <row r="1252" spans="1:60" x14ac:dyDescent="0.35">
      <c r="A1252" t="s">
        <v>263</v>
      </c>
      <c r="B1252" t="s">
        <v>2604</v>
      </c>
      <c r="C1252" t="s">
        <v>2609</v>
      </c>
      <c r="D1252" t="s">
        <v>2610</v>
      </c>
      <c r="E1252">
        <v>2607</v>
      </c>
      <c r="F1252" t="s">
        <v>81</v>
      </c>
      <c r="G1252" t="s">
        <v>81</v>
      </c>
      <c r="H1252" t="s">
        <v>81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172079.06</v>
      </c>
      <c r="BH1252">
        <v>0</v>
      </c>
    </row>
    <row r="1253" spans="1:60" x14ac:dyDescent="0.35">
      <c r="A1253" t="s">
        <v>263</v>
      </c>
      <c r="B1253" t="s">
        <v>2604</v>
      </c>
      <c r="C1253" t="s">
        <v>2611</v>
      </c>
      <c r="D1253" t="s">
        <v>2612</v>
      </c>
      <c r="E1253">
        <v>6246</v>
      </c>
      <c r="F1253">
        <v>5</v>
      </c>
      <c r="G1253">
        <v>1.6080000000000001</v>
      </c>
      <c r="H1253">
        <v>0.3216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6</v>
      </c>
      <c r="BG1253">
        <v>0</v>
      </c>
      <c r="BH1253">
        <v>0</v>
      </c>
    </row>
    <row r="1254" spans="1:60" x14ac:dyDescent="0.35">
      <c r="A1254" t="s">
        <v>263</v>
      </c>
      <c r="B1254" t="s">
        <v>2613</v>
      </c>
      <c r="C1254" t="s">
        <v>2613</v>
      </c>
      <c r="D1254" t="s">
        <v>2614</v>
      </c>
      <c r="E1254">
        <v>61312</v>
      </c>
      <c r="F1254">
        <v>84</v>
      </c>
      <c r="G1254">
        <v>57.880299999999998</v>
      </c>
      <c r="H1254">
        <v>0.68905119999999997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46588.02</v>
      </c>
      <c r="AB1254">
        <v>21514.97</v>
      </c>
      <c r="AC1254">
        <v>90043.02</v>
      </c>
      <c r="AD1254">
        <v>0</v>
      </c>
      <c r="AE1254">
        <v>0</v>
      </c>
      <c r="AF1254">
        <v>158146.01</v>
      </c>
      <c r="AG1254">
        <v>21353.84</v>
      </c>
      <c r="AH1254">
        <v>5365.07</v>
      </c>
      <c r="AI1254">
        <v>13361.45</v>
      </c>
      <c r="AJ1254">
        <v>0</v>
      </c>
      <c r="AK1254">
        <v>0</v>
      </c>
      <c r="AL1254">
        <v>40080.36</v>
      </c>
      <c r="AM1254">
        <v>5762.13</v>
      </c>
      <c r="AN1254">
        <v>15331.25</v>
      </c>
      <c r="AO1254">
        <v>16294.27</v>
      </c>
      <c r="AP1254">
        <v>0</v>
      </c>
      <c r="AQ1254">
        <v>0</v>
      </c>
      <c r="AR1254">
        <v>37387.65</v>
      </c>
      <c r="AS1254">
        <v>828.14</v>
      </c>
      <c r="AT1254">
        <v>0</v>
      </c>
      <c r="AU1254">
        <v>738.28</v>
      </c>
      <c r="AV1254">
        <v>0</v>
      </c>
      <c r="AW1254">
        <v>0</v>
      </c>
      <c r="AX1254">
        <v>1566.42</v>
      </c>
      <c r="AY1254">
        <v>237180.44</v>
      </c>
      <c r="AZ1254">
        <v>0</v>
      </c>
      <c r="BA1254">
        <v>16</v>
      </c>
      <c r="BB1254">
        <v>38855.671000000002</v>
      </c>
      <c r="BC1254">
        <v>621690.74199999997</v>
      </c>
      <c r="BD1254">
        <v>12649.429375</v>
      </c>
      <c r="BE1254">
        <v>1079.904</v>
      </c>
      <c r="BF1254">
        <v>333</v>
      </c>
      <c r="BG1254">
        <v>26757.932793</v>
      </c>
      <c r="BH1254">
        <v>294.101</v>
      </c>
    </row>
    <row r="1255" spans="1:60" x14ac:dyDescent="0.35">
      <c r="A1255" t="s">
        <v>263</v>
      </c>
      <c r="B1255" t="s">
        <v>2613</v>
      </c>
      <c r="C1255" t="s">
        <v>2615</v>
      </c>
      <c r="D1255" t="s">
        <v>2616</v>
      </c>
      <c r="E1255">
        <v>43889</v>
      </c>
      <c r="F1255">
        <v>25</v>
      </c>
      <c r="G1255">
        <v>25.043530000000001</v>
      </c>
      <c r="H1255">
        <v>1.001741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11</v>
      </c>
      <c r="BB1255">
        <v>46259.487999999998</v>
      </c>
      <c r="BC1255">
        <v>508854.36900000001</v>
      </c>
      <c r="BD1255">
        <v>0</v>
      </c>
      <c r="BE1255">
        <v>848.64700000000005</v>
      </c>
      <c r="BF1255">
        <v>229</v>
      </c>
      <c r="BG1255">
        <v>24490.059258000001</v>
      </c>
      <c r="BH1255">
        <v>204.23</v>
      </c>
    </row>
    <row r="1256" spans="1:60" x14ac:dyDescent="0.35">
      <c r="A1256" t="s">
        <v>263</v>
      </c>
      <c r="B1256" t="s">
        <v>2613</v>
      </c>
      <c r="C1256" t="s">
        <v>2617</v>
      </c>
      <c r="D1256" t="s">
        <v>2618</v>
      </c>
      <c r="E1256">
        <v>8060</v>
      </c>
      <c r="F1256">
        <v>4</v>
      </c>
      <c r="G1256">
        <v>4.8718060000000003</v>
      </c>
      <c r="H1256">
        <v>1.2179519999999999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</v>
      </c>
      <c r="BB1256">
        <v>175707.16699999999</v>
      </c>
      <c r="BC1256">
        <v>175707.16699999999</v>
      </c>
      <c r="BD1256">
        <v>0</v>
      </c>
      <c r="BE1256">
        <v>0</v>
      </c>
      <c r="BF1256">
        <v>14</v>
      </c>
      <c r="BG1256">
        <v>13489.844286</v>
      </c>
      <c r="BH1256">
        <v>0</v>
      </c>
    </row>
    <row r="1257" spans="1:60" x14ac:dyDescent="0.35">
      <c r="A1257" t="s">
        <v>2619</v>
      </c>
      <c r="B1257" t="s">
        <v>2620</v>
      </c>
      <c r="C1257" t="s">
        <v>2620</v>
      </c>
      <c r="D1257" t="s">
        <v>2621</v>
      </c>
      <c r="E1257">
        <v>296645</v>
      </c>
      <c r="F1257">
        <v>2076</v>
      </c>
      <c r="G1257">
        <v>2049.6779999999999</v>
      </c>
      <c r="H1257">
        <v>0.98732070000000005</v>
      </c>
      <c r="I1257">
        <v>117546.32</v>
      </c>
      <c r="J1257">
        <v>0</v>
      </c>
      <c r="K1257">
        <v>1141.95</v>
      </c>
      <c r="L1257">
        <v>0</v>
      </c>
      <c r="M1257">
        <v>0</v>
      </c>
      <c r="N1257">
        <v>118688.27</v>
      </c>
      <c r="O1257">
        <v>720541.85</v>
      </c>
      <c r="P1257">
        <v>0</v>
      </c>
      <c r="Q1257">
        <v>660.03</v>
      </c>
      <c r="R1257">
        <v>0</v>
      </c>
      <c r="S1257">
        <v>0</v>
      </c>
      <c r="T1257">
        <v>721201.88</v>
      </c>
      <c r="U1257">
        <v>423879.03</v>
      </c>
      <c r="V1257">
        <v>1152.25</v>
      </c>
      <c r="W1257">
        <v>19083.57</v>
      </c>
      <c r="X1257">
        <v>0</v>
      </c>
      <c r="Y1257">
        <v>0</v>
      </c>
      <c r="Z1257">
        <v>444114.85</v>
      </c>
      <c r="AA1257">
        <v>1316688.44</v>
      </c>
      <c r="AB1257">
        <v>37498.22</v>
      </c>
      <c r="AC1257">
        <v>404249.4</v>
      </c>
      <c r="AD1257">
        <v>5780.04</v>
      </c>
      <c r="AE1257">
        <v>5549.41</v>
      </c>
      <c r="AF1257">
        <v>1769765.51</v>
      </c>
      <c r="AG1257">
        <v>79608.02</v>
      </c>
      <c r="AH1257">
        <v>12304.49</v>
      </c>
      <c r="AI1257">
        <v>65178.42</v>
      </c>
      <c r="AJ1257">
        <v>1835.85</v>
      </c>
      <c r="AK1257">
        <v>4589.3</v>
      </c>
      <c r="AL1257">
        <v>163516.07999999999</v>
      </c>
      <c r="AM1257">
        <v>1559753.03</v>
      </c>
      <c r="AN1257">
        <v>148897.85</v>
      </c>
      <c r="AO1257">
        <v>89160.49</v>
      </c>
      <c r="AP1257">
        <v>6585.09</v>
      </c>
      <c r="AQ1257">
        <v>1210.93</v>
      </c>
      <c r="AR1257">
        <v>1805607.39</v>
      </c>
      <c r="AS1257">
        <v>1086757.5900000001</v>
      </c>
      <c r="AT1257">
        <v>0</v>
      </c>
      <c r="AU1257">
        <v>44271.12</v>
      </c>
      <c r="AV1257">
        <v>0</v>
      </c>
      <c r="AW1257">
        <v>0</v>
      </c>
      <c r="AX1257">
        <v>1131028.71</v>
      </c>
      <c r="AY1257">
        <v>6153922.6900000004</v>
      </c>
      <c r="AZ1257">
        <v>1</v>
      </c>
      <c r="BA1257">
        <v>602</v>
      </c>
      <c r="BB1257">
        <v>48342.959000000003</v>
      </c>
      <c r="BC1257">
        <v>29102461.509</v>
      </c>
      <c r="BD1257">
        <v>5684.9547009999997</v>
      </c>
      <c r="BE1257">
        <v>5467.1779999999999</v>
      </c>
      <c r="BF1257">
        <v>3276</v>
      </c>
      <c r="BG1257">
        <v>6054.2445509999998</v>
      </c>
      <c r="BH1257">
        <v>3086.1080000000002</v>
      </c>
    </row>
    <row r="1258" spans="1:60" x14ac:dyDescent="0.35">
      <c r="A1258" t="s">
        <v>2619</v>
      </c>
      <c r="B1258" t="s">
        <v>2620</v>
      </c>
      <c r="C1258" t="s">
        <v>2622</v>
      </c>
      <c r="D1258" t="s">
        <v>2623</v>
      </c>
      <c r="E1258">
        <v>20168</v>
      </c>
      <c r="F1258">
        <v>19</v>
      </c>
      <c r="G1258">
        <v>15.50732</v>
      </c>
      <c r="H1258">
        <v>0.81617479999999998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236.62</v>
      </c>
      <c r="X1258">
        <v>0</v>
      </c>
      <c r="Y1258">
        <v>0</v>
      </c>
      <c r="Z1258">
        <v>236.62</v>
      </c>
      <c r="AA1258">
        <v>0</v>
      </c>
      <c r="AB1258">
        <v>0</v>
      </c>
      <c r="AC1258">
        <v>19735.990000000002</v>
      </c>
      <c r="AD1258">
        <v>0</v>
      </c>
      <c r="AE1258">
        <v>0</v>
      </c>
      <c r="AF1258">
        <v>19735.990000000002</v>
      </c>
      <c r="AG1258">
        <v>0</v>
      </c>
      <c r="AH1258">
        <v>0</v>
      </c>
      <c r="AI1258">
        <v>3205.19</v>
      </c>
      <c r="AJ1258">
        <v>0</v>
      </c>
      <c r="AK1258">
        <v>0</v>
      </c>
      <c r="AL1258">
        <v>3205.19</v>
      </c>
      <c r="AM1258">
        <v>0</v>
      </c>
      <c r="AN1258">
        <v>0</v>
      </c>
      <c r="AO1258">
        <v>2502.2600000000002</v>
      </c>
      <c r="AP1258">
        <v>0</v>
      </c>
      <c r="AQ1258">
        <v>0</v>
      </c>
      <c r="AR1258">
        <v>2502.2600000000002</v>
      </c>
      <c r="AS1258">
        <v>0</v>
      </c>
      <c r="AT1258">
        <v>0</v>
      </c>
      <c r="AU1258">
        <v>1961.69</v>
      </c>
      <c r="AV1258">
        <v>0</v>
      </c>
      <c r="AW1258">
        <v>0</v>
      </c>
      <c r="AX1258">
        <v>1961.69</v>
      </c>
      <c r="AY1258">
        <v>27641.75</v>
      </c>
      <c r="AZ1258">
        <v>0</v>
      </c>
      <c r="BA1258">
        <v>7</v>
      </c>
      <c r="BB1258">
        <v>33165.387000000002</v>
      </c>
      <c r="BC1258">
        <v>232157.709</v>
      </c>
      <c r="BD1258">
        <v>0</v>
      </c>
      <c r="BE1258">
        <v>0</v>
      </c>
      <c r="BF1258">
        <v>61</v>
      </c>
      <c r="BG1258">
        <v>1459.825902</v>
      </c>
      <c r="BH1258">
        <v>83.807000000000002</v>
      </c>
    </row>
    <row r="1259" spans="1:60" x14ac:dyDescent="0.35">
      <c r="A1259" t="s">
        <v>2619</v>
      </c>
      <c r="B1259" t="s">
        <v>2620</v>
      </c>
      <c r="C1259" t="s">
        <v>2624</v>
      </c>
      <c r="D1259" t="s">
        <v>2625</v>
      </c>
      <c r="E1259">
        <v>13887</v>
      </c>
      <c r="F1259">
        <v>13</v>
      </c>
      <c r="G1259">
        <v>8.5749999999999993</v>
      </c>
      <c r="H1259">
        <v>0.65961539999999996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2</v>
      </c>
      <c r="BB1259">
        <v>24201.083999999999</v>
      </c>
      <c r="BC1259">
        <v>48402.167000000001</v>
      </c>
      <c r="BD1259">
        <v>0</v>
      </c>
      <c r="BE1259">
        <v>0</v>
      </c>
      <c r="BF1259">
        <v>45</v>
      </c>
      <c r="BG1259">
        <v>14722.859555999999</v>
      </c>
      <c r="BH1259">
        <v>1130.163</v>
      </c>
    </row>
    <row r="1260" spans="1:60" x14ac:dyDescent="0.35">
      <c r="A1260" t="s">
        <v>2619</v>
      </c>
      <c r="B1260" t="s">
        <v>2620</v>
      </c>
      <c r="C1260" t="s">
        <v>2626</v>
      </c>
      <c r="D1260" t="s">
        <v>2627</v>
      </c>
      <c r="E1260">
        <v>2484</v>
      </c>
      <c r="F1260">
        <v>1</v>
      </c>
      <c r="G1260">
        <v>1.43</v>
      </c>
      <c r="H1260">
        <v>1.43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2</v>
      </c>
      <c r="BB1260">
        <v>12331.084000000001</v>
      </c>
      <c r="BC1260">
        <v>24662.167000000001</v>
      </c>
      <c r="BD1260">
        <v>5664.76</v>
      </c>
      <c r="BE1260">
        <v>0</v>
      </c>
      <c r="BF1260">
        <v>9</v>
      </c>
      <c r="BG1260">
        <v>4489.0666670000001</v>
      </c>
      <c r="BH1260">
        <v>0</v>
      </c>
    </row>
    <row r="1261" spans="1:60" x14ac:dyDescent="0.35">
      <c r="A1261" t="s">
        <v>2619</v>
      </c>
      <c r="B1261" t="s">
        <v>2620</v>
      </c>
      <c r="C1261" t="s">
        <v>2628</v>
      </c>
      <c r="D1261" t="s">
        <v>2629</v>
      </c>
      <c r="E1261">
        <v>168322</v>
      </c>
      <c r="F1261">
        <v>761</v>
      </c>
      <c r="G1261">
        <v>605.75509999999997</v>
      </c>
      <c r="H1261">
        <v>0.79599880000000001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2000</v>
      </c>
      <c r="P1261">
        <v>0</v>
      </c>
      <c r="Q1261">
        <v>0</v>
      </c>
      <c r="R1261">
        <v>0</v>
      </c>
      <c r="S1261">
        <v>0</v>
      </c>
      <c r="T1261">
        <v>2000</v>
      </c>
      <c r="U1261">
        <v>11442.49</v>
      </c>
      <c r="V1261">
        <v>0</v>
      </c>
      <c r="W1261">
        <v>566.47</v>
      </c>
      <c r="X1261">
        <v>0</v>
      </c>
      <c r="Y1261">
        <v>0</v>
      </c>
      <c r="Z1261">
        <v>12008.96</v>
      </c>
      <c r="AA1261">
        <v>115092.79</v>
      </c>
      <c r="AB1261">
        <v>0</v>
      </c>
      <c r="AC1261">
        <v>143660.43</v>
      </c>
      <c r="AD1261">
        <v>0</v>
      </c>
      <c r="AE1261">
        <v>0</v>
      </c>
      <c r="AF1261">
        <v>258753.22</v>
      </c>
      <c r="AG1261">
        <v>57274.73</v>
      </c>
      <c r="AH1261">
        <v>0</v>
      </c>
      <c r="AI1261">
        <v>22772.93</v>
      </c>
      <c r="AJ1261">
        <v>0</v>
      </c>
      <c r="AK1261">
        <v>0</v>
      </c>
      <c r="AL1261">
        <v>80047.66</v>
      </c>
      <c r="AM1261">
        <v>76879.69</v>
      </c>
      <c r="AN1261">
        <v>0</v>
      </c>
      <c r="AO1261">
        <v>13125.57</v>
      </c>
      <c r="AP1261">
        <v>0</v>
      </c>
      <c r="AQ1261">
        <v>0</v>
      </c>
      <c r="AR1261">
        <v>90005.26</v>
      </c>
      <c r="AS1261">
        <v>18846.61</v>
      </c>
      <c r="AT1261">
        <v>0</v>
      </c>
      <c r="AU1261">
        <v>12984.81</v>
      </c>
      <c r="AV1261">
        <v>0</v>
      </c>
      <c r="AW1261">
        <v>0</v>
      </c>
      <c r="AX1261">
        <v>31831.42</v>
      </c>
      <c r="AY1261">
        <v>474646.52</v>
      </c>
      <c r="AZ1261">
        <v>1</v>
      </c>
      <c r="BA1261">
        <v>212</v>
      </c>
      <c r="BB1261">
        <v>53753.127</v>
      </c>
      <c r="BC1261">
        <v>11395662.959000001</v>
      </c>
      <c r="BD1261">
        <v>5263.0749530000003</v>
      </c>
      <c r="BE1261">
        <v>909.29200000000003</v>
      </c>
      <c r="BF1261">
        <v>1661</v>
      </c>
      <c r="BG1261">
        <v>4326.0730460000004</v>
      </c>
      <c r="BH1261">
        <v>595.55799999999999</v>
      </c>
    </row>
    <row r="1262" spans="1:60" x14ac:dyDescent="0.35">
      <c r="A1262" t="s">
        <v>2619</v>
      </c>
      <c r="B1262" t="s">
        <v>2620</v>
      </c>
      <c r="C1262" t="s">
        <v>2630</v>
      </c>
      <c r="D1262" t="s">
        <v>2631</v>
      </c>
      <c r="E1262">
        <v>102183</v>
      </c>
      <c r="F1262">
        <v>274</v>
      </c>
      <c r="G1262">
        <v>227.7355</v>
      </c>
      <c r="H1262">
        <v>0.83115159999999999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829.99</v>
      </c>
      <c r="X1262">
        <v>0</v>
      </c>
      <c r="Y1262">
        <v>0</v>
      </c>
      <c r="Z1262">
        <v>829.99</v>
      </c>
      <c r="AA1262">
        <v>48195.76</v>
      </c>
      <c r="AB1262">
        <v>0</v>
      </c>
      <c r="AC1262">
        <v>23066.49</v>
      </c>
      <c r="AD1262">
        <v>0</v>
      </c>
      <c r="AE1262">
        <v>0</v>
      </c>
      <c r="AF1262">
        <v>71262.25</v>
      </c>
      <c r="AG1262">
        <v>25651.72</v>
      </c>
      <c r="AH1262">
        <v>0</v>
      </c>
      <c r="AI1262">
        <v>3591.03</v>
      </c>
      <c r="AJ1262">
        <v>0</v>
      </c>
      <c r="AK1262">
        <v>0</v>
      </c>
      <c r="AL1262">
        <v>29242.75</v>
      </c>
      <c r="AM1262">
        <v>1810.01</v>
      </c>
      <c r="AN1262">
        <v>0</v>
      </c>
      <c r="AO1262">
        <v>7100.02</v>
      </c>
      <c r="AP1262">
        <v>0</v>
      </c>
      <c r="AQ1262">
        <v>0</v>
      </c>
      <c r="AR1262">
        <v>8910.0300000000007</v>
      </c>
      <c r="AS1262">
        <v>4185.29</v>
      </c>
      <c r="AT1262">
        <v>0</v>
      </c>
      <c r="AU1262">
        <v>3928.03</v>
      </c>
      <c r="AV1262">
        <v>0</v>
      </c>
      <c r="AW1262">
        <v>0</v>
      </c>
      <c r="AX1262">
        <v>8113.32</v>
      </c>
      <c r="AY1262">
        <v>118358.34</v>
      </c>
      <c r="AZ1262">
        <v>1</v>
      </c>
      <c r="BA1262">
        <v>88</v>
      </c>
      <c r="BB1262">
        <v>50030.66</v>
      </c>
      <c r="BC1262">
        <v>4402698.07</v>
      </c>
      <c r="BD1262">
        <v>3676.6495450000002</v>
      </c>
      <c r="BE1262">
        <v>2322.279</v>
      </c>
      <c r="BF1262">
        <v>600</v>
      </c>
      <c r="BG1262">
        <v>7211.5159000000003</v>
      </c>
      <c r="BH1262">
        <v>2698.7930000000001</v>
      </c>
    </row>
    <row r="1263" spans="1:60" x14ac:dyDescent="0.35">
      <c r="A1263" t="s">
        <v>2619</v>
      </c>
      <c r="B1263" t="s">
        <v>2620</v>
      </c>
      <c r="C1263" t="s">
        <v>2632</v>
      </c>
      <c r="D1263" t="s">
        <v>2633</v>
      </c>
      <c r="E1263">
        <v>11246</v>
      </c>
      <c r="F1263">
        <v>6</v>
      </c>
      <c r="G1263">
        <v>7.6116000000000001</v>
      </c>
      <c r="H1263">
        <v>1.2685999999999999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26</v>
      </c>
      <c r="BG1263">
        <v>7273.8465379999998</v>
      </c>
      <c r="BH1263">
        <v>4293.0360000000001</v>
      </c>
    </row>
    <row r="1264" spans="1:60" x14ac:dyDescent="0.35">
      <c r="A1264" t="s">
        <v>2619</v>
      </c>
      <c r="B1264" t="s">
        <v>2620</v>
      </c>
      <c r="C1264" t="s">
        <v>2634</v>
      </c>
      <c r="D1264" t="s">
        <v>2635</v>
      </c>
      <c r="E1264">
        <v>36817</v>
      </c>
      <c r="F1264">
        <v>26</v>
      </c>
      <c r="G1264">
        <v>20.199079999999999</v>
      </c>
      <c r="H1264">
        <v>0.77688780000000002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140.56</v>
      </c>
      <c r="X1264">
        <v>0</v>
      </c>
      <c r="Y1264">
        <v>0</v>
      </c>
      <c r="Z1264">
        <v>140.56</v>
      </c>
      <c r="AA1264">
        <v>0</v>
      </c>
      <c r="AB1264">
        <v>0</v>
      </c>
      <c r="AC1264">
        <v>8856.99</v>
      </c>
      <c r="AD1264">
        <v>0</v>
      </c>
      <c r="AE1264">
        <v>0</v>
      </c>
      <c r="AF1264">
        <v>8856.99</v>
      </c>
      <c r="AG1264">
        <v>0</v>
      </c>
      <c r="AH1264">
        <v>0</v>
      </c>
      <c r="AI1264">
        <v>1358.65</v>
      </c>
      <c r="AJ1264">
        <v>0</v>
      </c>
      <c r="AK1264">
        <v>0</v>
      </c>
      <c r="AL1264">
        <v>1358.65</v>
      </c>
      <c r="AM1264">
        <v>0</v>
      </c>
      <c r="AN1264">
        <v>0</v>
      </c>
      <c r="AO1264">
        <v>1528.49</v>
      </c>
      <c r="AP1264">
        <v>0</v>
      </c>
      <c r="AQ1264">
        <v>0</v>
      </c>
      <c r="AR1264">
        <v>1528.49</v>
      </c>
      <c r="AS1264">
        <v>0</v>
      </c>
      <c r="AT1264">
        <v>0</v>
      </c>
      <c r="AU1264">
        <v>1048.1500000000001</v>
      </c>
      <c r="AV1264">
        <v>0</v>
      </c>
      <c r="AW1264">
        <v>0</v>
      </c>
      <c r="AX1264">
        <v>1048.1500000000001</v>
      </c>
      <c r="AY1264">
        <v>12932.84</v>
      </c>
      <c r="AZ1264">
        <v>1</v>
      </c>
      <c r="BA1264">
        <v>19</v>
      </c>
      <c r="BB1264">
        <v>21316.157999999999</v>
      </c>
      <c r="BC1264">
        <v>405007.011</v>
      </c>
      <c r="BD1264">
        <v>2694.2126320000002</v>
      </c>
      <c r="BE1264">
        <v>1722.43</v>
      </c>
      <c r="BF1264">
        <v>145</v>
      </c>
      <c r="BG1264">
        <v>8127.330414</v>
      </c>
      <c r="BH1264">
        <v>307.79000000000002</v>
      </c>
    </row>
    <row r="1265" spans="1:60" x14ac:dyDescent="0.35">
      <c r="A1265" t="s">
        <v>2619</v>
      </c>
      <c r="B1265" t="s">
        <v>2620</v>
      </c>
      <c r="C1265" t="s">
        <v>2636</v>
      </c>
      <c r="D1265" t="s">
        <v>2637</v>
      </c>
      <c r="E1265">
        <v>2571</v>
      </c>
      <c r="F1265" t="s">
        <v>81</v>
      </c>
      <c r="G1265" t="s">
        <v>81</v>
      </c>
      <c r="H1265" t="s">
        <v>81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3</v>
      </c>
      <c r="BG1265">
        <v>0</v>
      </c>
      <c r="BH1265">
        <v>0</v>
      </c>
    </row>
    <row r="1266" spans="1:60" x14ac:dyDescent="0.35">
      <c r="A1266" t="s">
        <v>2619</v>
      </c>
      <c r="B1266" t="s">
        <v>2620</v>
      </c>
      <c r="C1266" t="s">
        <v>2638</v>
      </c>
      <c r="D1266" t="s">
        <v>2639</v>
      </c>
      <c r="E1266">
        <v>8191</v>
      </c>
      <c r="F1266">
        <v>13</v>
      </c>
      <c r="G1266">
        <v>9.5296529999999997</v>
      </c>
      <c r="H1266">
        <v>0.73305019999999999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5018.6899999999996</v>
      </c>
      <c r="AB1266">
        <v>0</v>
      </c>
      <c r="AC1266">
        <v>5289.52</v>
      </c>
      <c r="AD1266">
        <v>0</v>
      </c>
      <c r="AE1266">
        <v>2470.31</v>
      </c>
      <c r="AF1266">
        <v>12778.52</v>
      </c>
      <c r="AG1266">
        <v>3076.31</v>
      </c>
      <c r="AH1266">
        <v>0</v>
      </c>
      <c r="AI1266">
        <v>990.28</v>
      </c>
      <c r="AJ1266">
        <v>0</v>
      </c>
      <c r="AK1266">
        <v>2317.02</v>
      </c>
      <c r="AL1266">
        <v>6383.61</v>
      </c>
      <c r="AM1266">
        <v>196.28</v>
      </c>
      <c r="AN1266">
        <v>0</v>
      </c>
      <c r="AO1266">
        <v>685.52</v>
      </c>
      <c r="AP1266">
        <v>0</v>
      </c>
      <c r="AQ1266">
        <v>1024.99</v>
      </c>
      <c r="AR1266">
        <v>1906.79</v>
      </c>
      <c r="AS1266">
        <v>108.55</v>
      </c>
      <c r="AT1266">
        <v>0</v>
      </c>
      <c r="AU1266">
        <v>244.18</v>
      </c>
      <c r="AV1266">
        <v>0</v>
      </c>
      <c r="AW1266">
        <v>0</v>
      </c>
      <c r="AX1266">
        <v>352.73</v>
      </c>
      <c r="AY1266">
        <v>21421.65</v>
      </c>
      <c r="AZ1266">
        <v>0</v>
      </c>
      <c r="BA1266">
        <v>1</v>
      </c>
      <c r="BB1266">
        <v>46252.082999999999</v>
      </c>
      <c r="BC1266">
        <v>46252.082999999999</v>
      </c>
      <c r="BD1266">
        <v>0</v>
      </c>
      <c r="BE1266">
        <v>0</v>
      </c>
      <c r="BF1266">
        <v>34</v>
      </c>
      <c r="BG1266">
        <v>406.87176499999998</v>
      </c>
      <c r="BH1266">
        <v>1528.5619999999999</v>
      </c>
    </row>
    <row r="1267" spans="1:60" x14ac:dyDescent="0.35">
      <c r="A1267" t="s">
        <v>2619</v>
      </c>
      <c r="B1267" t="s">
        <v>2620</v>
      </c>
      <c r="C1267" t="s">
        <v>2640</v>
      </c>
      <c r="D1267" t="s">
        <v>2641</v>
      </c>
      <c r="E1267">
        <v>15335</v>
      </c>
      <c r="F1267">
        <v>4</v>
      </c>
      <c r="G1267">
        <v>8.4667329999999996</v>
      </c>
      <c r="H1267">
        <v>2.1166830000000001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2</v>
      </c>
      <c r="BB1267">
        <v>89805.25</v>
      </c>
      <c r="BC1267">
        <v>179610.5</v>
      </c>
      <c r="BD1267">
        <v>9175.65</v>
      </c>
      <c r="BE1267">
        <v>0</v>
      </c>
      <c r="BF1267">
        <v>19</v>
      </c>
      <c r="BG1267">
        <v>3927.9878950000002</v>
      </c>
      <c r="BH1267">
        <v>0</v>
      </c>
    </row>
    <row r="1268" spans="1:60" x14ac:dyDescent="0.35">
      <c r="A1268" t="s">
        <v>2619</v>
      </c>
      <c r="B1268" t="s">
        <v>2620</v>
      </c>
      <c r="C1268" t="s">
        <v>2642</v>
      </c>
      <c r="D1268" t="s">
        <v>2643</v>
      </c>
      <c r="E1268">
        <v>54262</v>
      </c>
      <c r="F1268">
        <v>59</v>
      </c>
      <c r="G1268">
        <v>43.167810000000003</v>
      </c>
      <c r="H1268">
        <v>0.73165789999999997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18079.95</v>
      </c>
      <c r="AB1268">
        <v>0</v>
      </c>
      <c r="AC1268">
        <v>0</v>
      </c>
      <c r="AD1268">
        <v>0</v>
      </c>
      <c r="AE1268">
        <v>0</v>
      </c>
      <c r="AF1268">
        <v>18079.95</v>
      </c>
      <c r="AG1268">
        <v>5960.97</v>
      </c>
      <c r="AH1268">
        <v>0</v>
      </c>
      <c r="AI1268">
        <v>0</v>
      </c>
      <c r="AJ1268">
        <v>0</v>
      </c>
      <c r="AK1268">
        <v>0</v>
      </c>
      <c r="AL1268">
        <v>5960.97</v>
      </c>
      <c r="AM1268">
        <v>273.02</v>
      </c>
      <c r="AN1268">
        <v>0</v>
      </c>
      <c r="AO1268">
        <v>0</v>
      </c>
      <c r="AP1268">
        <v>0</v>
      </c>
      <c r="AQ1268">
        <v>0</v>
      </c>
      <c r="AR1268">
        <v>273.02</v>
      </c>
      <c r="AS1268">
        <v>484.18</v>
      </c>
      <c r="AT1268">
        <v>0</v>
      </c>
      <c r="AU1268">
        <v>0</v>
      </c>
      <c r="AV1268">
        <v>0</v>
      </c>
      <c r="AW1268">
        <v>0</v>
      </c>
      <c r="AX1268">
        <v>484.18</v>
      </c>
      <c r="AY1268">
        <v>24798.12</v>
      </c>
      <c r="AZ1268">
        <v>1</v>
      </c>
      <c r="BA1268">
        <v>34</v>
      </c>
      <c r="BB1268">
        <v>36346.033000000003</v>
      </c>
      <c r="BC1268">
        <v>1235765.1170000001</v>
      </c>
      <c r="BD1268">
        <v>1424.5947060000001</v>
      </c>
      <c r="BE1268">
        <v>3187.7669999999998</v>
      </c>
      <c r="BF1268">
        <v>175</v>
      </c>
      <c r="BG1268">
        <v>3048.768</v>
      </c>
      <c r="BH1268">
        <v>1745.2449999999999</v>
      </c>
    </row>
    <row r="1269" spans="1:60" x14ac:dyDescent="0.35">
      <c r="A1269" t="s">
        <v>2619</v>
      </c>
      <c r="B1269" t="s">
        <v>2620</v>
      </c>
      <c r="C1269" t="s">
        <v>2644</v>
      </c>
      <c r="D1269" t="s">
        <v>2645</v>
      </c>
      <c r="E1269">
        <v>18802</v>
      </c>
      <c r="F1269">
        <v>31</v>
      </c>
      <c r="G1269">
        <v>21.993359999999999</v>
      </c>
      <c r="H1269">
        <v>0.70946339999999997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10</v>
      </c>
      <c r="BB1269">
        <v>34724.542999999998</v>
      </c>
      <c r="BC1269">
        <v>347245.43</v>
      </c>
      <c r="BD1269">
        <v>11294.77</v>
      </c>
      <c r="BE1269">
        <v>0</v>
      </c>
      <c r="BF1269">
        <v>65</v>
      </c>
      <c r="BG1269">
        <v>8758.5707689999999</v>
      </c>
      <c r="BH1269">
        <v>1249.838</v>
      </c>
    </row>
    <row r="1270" spans="1:60" x14ac:dyDescent="0.35">
      <c r="A1270" t="s">
        <v>2619</v>
      </c>
      <c r="B1270" t="s">
        <v>2620</v>
      </c>
      <c r="C1270" t="s">
        <v>2646</v>
      </c>
      <c r="D1270" t="s">
        <v>2647</v>
      </c>
      <c r="E1270">
        <v>14795</v>
      </c>
      <c r="F1270">
        <v>11</v>
      </c>
      <c r="G1270">
        <v>17.01125</v>
      </c>
      <c r="H1270">
        <v>1.5464770000000001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7</v>
      </c>
      <c r="BB1270">
        <v>96232.646999999997</v>
      </c>
      <c r="BC1270">
        <v>673628.52899999998</v>
      </c>
      <c r="BD1270">
        <v>0</v>
      </c>
      <c r="BE1270">
        <v>0</v>
      </c>
      <c r="BF1270">
        <v>80</v>
      </c>
      <c r="BG1270">
        <v>8509.8230000000003</v>
      </c>
      <c r="BH1270">
        <v>3.3050000000000002</v>
      </c>
    </row>
    <row r="1271" spans="1:60" x14ac:dyDescent="0.35">
      <c r="A1271" t="s">
        <v>2619</v>
      </c>
      <c r="B1271" t="s">
        <v>2620</v>
      </c>
      <c r="C1271" t="s">
        <v>2648</v>
      </c>
      <c r="D1271" t="s">
        <v>2649</v>
      </c>
      <c r="E1271">
        <v>12781</v>
      </c>
      <c r="F1271">
        <v>5</v>
      </c>
      <c r="G1271">
        <v>5.3473990000000002</v>
      </c>
      <c r="H1271">
        <v>1.06948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1</v>
      </c>
      <c r="BB1271">
        <v>213622.44399999999</v>
      </c>
      <c r="BC1271">
        <v>213622.44399999999</v>
      </c>
      <c r="BD1271">
        <v>0</v>
      </c>
      <c r="BE1271">
        <v>0</v>
      </c>
      <c r="BF1271">
        <v>31</v>
      </c>
      <c r="BG1271">
        <v>6695.8080650000002</v>
      </c>
      <c r="BH1271">
        <v>0</v>
      </c>
    </row>
    <row r="1272" spans="1:60" x14ac:dyDescent="0.35">
      <c r="A1272" t="s">
        <v>2619</v>
      </c>
      <c r="B1272" t="s">
        <v>2620</v>
      </c>
      <c r="C1272" t="s">
        <v>2650</v>
      </c>
      <c r="D1272" t="s">
        <v>2651</v>
      </c>
      <c r="E1272">
        <v>14832</v>
      </c>
      <c r="F1272">
        <v>16</v>
      </c>
      <c r="G1272">
        <v>8.8299579999999995</v>
      </c>
      <c r="H1272">
        <v>0.55187240000000004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86.09</v>
      </c>
      <c r="X1272">
        <v>0</v>
      </c>
      <c r="Y1272">
        <v>0</v>
      </c>
      <c r="Z1272">
        <v>86.09</v>
      </c>
      <c r="AA1272">
        <v>17072.66</v>
      </c>
      <c r="AB1272">
        <v>0</v>
      </c>
      <c r="AC1272">
        <v>21404.75</v>
      </c>
      <c r="AD1272">
        <v>0</v>
      </c>
      <c r="AE1272">
        <v>0</v>
      </c>
      <c r="AF1272">
        <v>38477.410000000003</v>
      </c>
      <c r="AG1272">
        <v>7905.91</v>
      </c>
      <c r="AH1272">
        <v>0</v>
      </c>
      <c r="AI1272">
        <v>2762.08</v>
      </c>
      <c r="AJ1272">
        <v>0</v>
      </c>
      <c r="AK1272">
        <v>0</v>
      </c>
      <c r="AL1272">
        <v>10667.99</v>
      </c>
      <c r="AM1272">
        <v>1524.17</v>
      </c>
      <c r="AN1272">
        <v>0</v>
      </c>
      <c r="AO1272">
        <v>3712.45</v>
      </c>
      <c r="AP1272">
        <v>0</v>
      </c>
      <c r="AQ1272">
        <v>0</v>
      </c>
      <c r="AR1272">
        <v>5236.62</v>
      </c>
      <c r="AS1272">
        <v>2245.5</v>
      </c>
      <c r="AT1272">
        <v>0</v>
      </c>
      <c r="AU1272">
        <v>2539.83</v>
      </c>
      <c r="AV1272">
        <v>0</v>
      </c>
      <c r="AW1272">
        <v>0</v>
      </c>
      <c r="AX1272">
        <v>4785.33</v>
      </c>
      <c r="AY1272">
        <v>59253.440000000002</v>
      </c>
      <c r="AZ1272">
        <v>0</v>
      </c>
      <c r="BA1272">
        <v>5</v>
      </c>
      <c r="BB1272">
        <v>42753.313999999998</v>
      </c>
      <c r="BC1272">
        <v>213766.571</v>
      </c>
      <c r="BD1272">
        <v>13449.29</v>
      </c>
      <c r="BE1272">
        <v>0</v>
      </c>
      <c r="BF1272">
        <v>38</v>
      </c>
      <c r="BG1272">
        <v>6618.8597369999998</v>
      </c>
      <c r="BH1272">
        <v>0</v>
      </c>
    </row>
    <row r="1273" spans="1:60" x14ac:dyDescent="0.35">
      <c r="A1273" t="s">
        <v>2619</v>
      </c>
      <c r="B1273" t="s">
        <v>2620</v>
      </c>
      <c r="C1273" t="s">
        <v>2652</v>
      </c>
      <c r="D1273" t="s">
        <v>2653</v>
      </c>
      <c r="E1273">
        <v>26259</v>
      </c>
      <c r="F1273">
        <v>33</v>
      </c>
      <c r="G1273">
        <v>28.759989999999998</v>
      </c>
      <c r="H1273">
        <v>0.87151480000000003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9043.7199999999993</v>
      </c>
      <c r="AB1273">
        <v>0</v>
      </c>
      <c r="AC1273">
        <v>0</v>
      </c>
      <c r="AD1273">
        <v>0</v>
      </c>
      <c r="AE1273">
        <v>1990.41</v>
      </c>
      <c r="AF1273">
        <v>11034.13</v>
      </c>
      <c r="AG1273">
        <v>4121.21</v>
      </c>
      <c r="AH1273">
        <v>0</v>
      </c>
      <c r="AI1273">
        <v>0</v>
      </c>
      <c r="AJ1273">
        <v>0</v>
      </c>
      <c r="AK1273">
        <v>1613.22</v>
      </c>
      <c r="AL1273">
        <v>5734.43</v>
      </c>
      <c r="AM1273">
        <v>771.16</v>
      </c>
      <c r="AN1273">
        <v>0</v>
      </c>
      <c r="AO1273">
        <v>0</v>
      </c>
      <c r="AP1273">
        <v>0</v>
      </c>
      <c r="AQ1273">
        <v>941.61</v>
      </c>
      <c r="AR1273">
        <v>1712.77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18481.330000000002</v>
      </c>
      <c r="AZ1273">
        <v>0</v>
      </c>
      <c r="BA1273">
        <v>1</v>
      </c>
      <c r="BB1273">
        <v>7882.75</v>
      </c>
      <c r="BC1273">
        <v>7882.75</v>
      </c>
      <c r="BD1273">
        <v>0</v>
      </c>
      <c r="BE1273">
        <v>0</v>
      </c>
      <c r="BF1273">
        <v>63</v>
      </c>
      <c r="BG1273">
        <v>2443.245238</v>
      </c>
      <c r="BH1273">
        <v>581.48</v>
      </c>
    </row>
    <row r="1274" spans="1:60" x14ac:dyDescent="0.35">
      <c r="A1274" t="s">
        <v>2619</v>
      </c>
      <c r="B1274" t="s">
        <v>2620</v>
      </c>
      <c r="C1274" t="s">
        <v>2654</v>
      </c>
      <c r="D1274" t="s">
        <v>2655</v>
      </c>
      <c r="E1274">
        <v>28148</v>
      </c>
      <c r="F1274">
        <v>40</v>
      </c>
      <c r="G1274">
        <v>112.6688</v>
      </c>
      <c r="H1274">
        <v>2.816719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14808.39</v>
      </c>
      <c r="AB1274">
        <v>0</v>
      </c>
      <c r="AC1274">
        <v>0</v>
      </c>
      <c r="AD1274">
        <v>0</v>
      </c>
      <c r="AE1274">
        <v>0</v>
      </c>
      <c r="AF1274">
        <v>14808.39</v>
      </c>
      <c r="AG1274">
        <v>6683.02</v>
      </c>
      <c r="AH1274">
        <v>0</v>
      </c>
      <c r="AI1274">
        <v>0</v>
      </c>
      <c r="AJ1274">
        <v>0</v>
      </c>
      <c r="AK1274">
        <v>0</v>
      </c>
      <c r="AL1274">
        <v>6683.02</v>
      </c>
      <c r="AM1274">
        <v>1553.24</v>
      </c>
      <c r="AN1274">
        <v>0</v>
      </c>
      <c r="AO1274">
        <v>0</v>
      </c>
      <c r="AP1274">
        <v>0</v>
      </c>
      <c r="AQ1274">
        <v>0</v>
      </c>
      <c r="AR1274">
        <v>1553.24</v>
      </c>
      <c r="AS1274">
        <v>504.99</v>
      </c>
      <c r="AT1274">
        <v>0</v>
      </c>
      <c r="AU1274">
        <v>0</v>
      </c>
      <c r="AV1274">
        <v>0</v>
      </c>
      <c r="AW1274">
        <v>0</v>
      </c>
      <c r="AX1274">
        <v>504.99</v>
      </c>
      <c r="AY1274">
        <v>23549.64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57</v>
      </c>
      <c r="BG1274">
        <v>14174.00614</v>
      </c>
      <c r="BH1274">
        <v>98.644000000000005</v>
      </c>
    </row>
    <row r="1275" spans="1:60" x14ac:dyDescent="0.35">
      <c r="A1275" t="s">
        <v>2619</v>
      </c>
      <c r="B1275" t="s">
        <v>2620</v>
      </c>
      <c r="C1275" t="s">
        <v>2656</v>
      </c>
      <c r="D1275" t="s">
        <v>2657</v>
      </c>
      <c r="E1275">
        <v>9081</v>
      </c>
      <c r="F1275">
        <v>1</v>
      </c>
      <c r="G1275">
        <v>0.48</v>
      </c>
      <c r="H1275">
        <v>0.48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7</v>
      </c>
      <c r="BG1275">
        <v>1152</v>
      </c>
      <c r="BH1275">
        <v>0</v>
      </c>
    </row>
    <row r="1276" spans="1:60" x14ac:dyDescent="0.35">
      <c r="A1276" t="s">
        <v>2619</v>
      </c>
      <c r="B1276" t="s">
        <v>2620</v>
      </c>
      <c r="C1276" t="s">
        <v>2658</v>
      </c>
      <c r="D1276" t="s">
        <v>2659</v>
      </c>
      <c r="E1276">
        <v>30407</v>
      </c>
      <c r="F1276">
        <v>22</v>
      </c>
      <c r="G1276">
        <v>12.27359</v>
      </c>
      <c r="H1276">
        <v>0.55789029999999995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9</v>
      </c>
      <c r="BB1276">
        <v>28971.142</v>
      </c>
      <c r="BC1276">
        <v>260740.27799999999</v>
      </c>
      <c r="BD1276">
        <v>11823.517777999999</v>
      </c>
      <c r="BE1276">
        <v>0</v>
      </c>
      <c r="BF1276">
        <v>59</v>
      </c>
      <c r="BG1276">
        <v>7576.11661</v>
      </c>
      <c r="BH1276">
        <v>174.946</v>
      </c>
    </row>
    <row r="1277" spans="1:60" x14ac:dyDescent="0.35">
      <c r="A1277" t="s">
        <v>2619</v>
      </c>
      <c r="B1277" t="s">
        <v>2660</v>
      </c>
      <c r="C1277" t="s">
        <v>2660</v>
      </c>
      <c r="D1277" t="s">
        <v>2661</v>
      </c>
      <c r="E1277">
        <v>39013</v>
      </c>
      <c r="F1277">
        <v>71</v>
      </c>
      <c r="G1277">
        <v>58.893819999999998</v>
      </c>
      <c r="H1277">
        <v>0.82949039999999996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163.30000000000001</v>
      </c>
      <c r="X1277">
        <v>0</v>
      </c>
      <c r="Y1277">
        <v>0</v>
      </c>
      <c r="Z1277">
        <v>163.30000000000001</v>
      </c>
      <c r="AA1277">
        <v>28791.13</v>
      </c>
      <c r="AB1277">
        <v>0</v>
      </c>
      <c r="AC1277">
        <v>27462.83</v>
      </c>
      <c r="AD1277">
        <v>0</v>
      </c>
      <c r="AE1277">
        <v>1492.35</v>
      </c>
      <c r="AF1277">
        <v>57746.31</v>
      </c>
      <c r="AG1277">
        <v>22917.19</v>
      </c>
      <c r="AH1277">
        <v>0</v>
      </c>
      <c r="AI1277">
        <v>4585.42</v>
      </c>
      <c r="AJ1277">
        <v>0</v>
      </c>
      <c r="AK1277">
        <v>2522.5700000000002</v>
      </c>
      <c r="AL1277">
        <v>30025.18</v>
      </c>
      <c r="AM1277">
        <v>1660.18</v>
      </c>
      <c r="AN1277">
        <v>0</v>
      </c>
      <c r="AO1277">
        <v>5573.11</v>
      </c>
      <c r="AP1277">
        <v>0</v>
      </c>
      <c r="AQ1277">
        <v>690.36</v>
      </c>
      <c r="AR1277">
        <v>7923.65</v>
      </c>
      <c r="AS1277">
        <v>648.84</v>
      </c>
      <c r="AT1277">
        <v>0</v>
      </c>
      <c r="AU1277">
        <v>1540.98</v>
      </c>
      <c r="AV1277">
        <v>0</v>
      </c>
      <c r="AW1277">
        <v>0</v>
      </c>
      <c r="AX1277">
        <v>2189.8200000000002</v>
      </c>
      <c r="AY1277">
        <v>98048.26</v>
      </c>
      <c r="AZ1277">
        <v>0</v>
      </c>
      <c r="BA1277">
        <v>13</v>
      </c>
      <c r="BB1277">
        <v>21025.769</v>
      </c>
      <c r="BC1277">
        <v>273335</v>
      </c>
      <c r="BD1277">
        <v>12295.063077000001</v>
      </c>
      <c r="BE1277">
        <v>170.827</v>
      </c>
      <c r="BF1277">
        <v>142</v>
      </c>
      <c r="BG1277">
        <v>7955.7320419999996</v>
      </c>
      <c r="BH1277">
        <v>687.19</v>
      </c>
    </row>
    <row r="1278" spans="1:60" x14ac:dyDescent="0.35">
      <c r="A1278" t="s">
        <v>2619</v>
      </c>
      <c r="B1278" t="s">
        <v>2660</v>
      </c>
      <c r="C1278" t="s">
        <v>2662</v>
      </c>
      <c r="D1278" t="s">
        <v>2663</v>
      </c>
      <c r="E1278">
        <v>11861</v>
      </c>
      <c r="F1278">
        <v>1</v>
      </c>
      <c r="G1278">
        <v>0.36</v>
      </c>
      <c r="H1278">
        <v>0.36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8</v>
      </c>
      <c r="BG1278">
        <v>3192.6875</v>
      </c>
      <c r="BH1278">
        <v>0</v>
      </c>
    </row>
    <row r="1279" spans="1:60" x14ac:dyDescent="0.35">
      <c r="A1279" t="s">
        <v>2619</v>
      </c>
      <c r="B1279" t="s">
        <v>2660</v>
      </c>
      <c r="C1279" t="s">
        <v>2664</v>
      </c>
      <c r="D1279" t="s">
        <v>2665</v>
      </c>
      <c r="E1279">
        <v>15335</v>
      </c>
      <c r="F1279" t="s">
        <v>81</v>
      </c>
      <c r="G1279" t="s">
        <v>81</v>
      </c>
      <c r="H1279" t="s">
        <v>81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9</v>
      </c>
      <c r="BG1279">
        <v>0</v>
      </c>
      <c r="BH1279">
        <v>0</v>
      </c>
    </row>
    <row r="1280" spans="1:60" x14ac:dyDescent="0.35">
      <c r="A1280" t="s">
        <v>2619</v>
      </c>
      <c r="B1280" t="s">
        <v>2660</v>
      </c>
      <c r="C1280" t="s">
        <v>2666</v>
      </c>
      <c r="D1280" t="s">
        <v>2667</v>
      </c>
      <c r="E1280">
        <v>4224</v>
      </c>
      <c r="F1280">
        <v>2</v>
      </c>
      <c r="G1280">
        <v>2.6095459999999999</v>
      </c>
      <c r="H1280">
        <v>1.304773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6</v>
      </c>
      <c r="BG1280">
        <v>50111.881667000001</v>
      </c>
      <c r="BH1280">
        <v>0</v>
      </c>
    </row>
    <row r="1281" spans="1:60" x14ac:dyDescent="0.35">
      <c r="A1281" t="s">
        <v>2619</v>
      </c>
      <c r="B1281" t="s">
        <v>2660</v>
      </c>
      <c r="C1281" t="s">
        <v>2668</v>
      </c>
      <c r="D1281" t="s">
        <v>2669</v>
      </c>
      <c r="E1281">
        <v>22357</v>
      </c>
      <c r="F1281">
        <v>13</v>
      </c>
      <c r="G1281">
        <v>6.074554</v>
      </c>
      <c r="H1281">
        <v>0.46727340000000001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2</v>
      </c>
      <c r="BB1281">
        <v>197283.5</v>
      </c>
      <c r="BC1281">
        <v>394567</v>
      </c>
      <c r="BD1281">
        <v>0</v>
      </c>
      <c r="BE1281">
        <v>0</v>
      </c>
      <c r="BF1281">
        <v>54</v>
      </c>
      <c r="BG1281">
        <v>1406.287593</v>
      </c>
      <c r="BH1281">
        <v>295.85000000000002</v>
      </c>
    </row>
    <row r="1282" spans="1:60" x14ac:dyDescent="0.35">
      <c r="A1282" t="s">
        <v>2619</v>
      </c>
      <c r="B1282" t="s">
        <v>2660</v>
      </c>
      <c r="C1282" t="s">
        <v>2670</v>
      </c>
      <c r="D1282" t="s">
        <v>2671</v>
      </c>
      <c r="E1282">
        <v>16231</v>
      </c>
      <c r="F1282">
        <v>20</v>
      </c>
      <c r="G1282">
        <v>15.86359</v>
      </c>
      <c r="H1282">
        <v>0.79317959999999998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71.400000000000006</v>
      </c>
      <c r="AC1282">
        <v>0</v>
      </c>
      <c r="AD1282">
        <v>0</v>
      </c>
      <c r="AE1282">
        <v>0</v>
      </c>
      <c r="AF1282">
        <v>71.400000000000006</v>
      </c>
      <c r="AG1282">
        <v>0</v>
      </c>
      <c r="AH1282">
        <v>281.20999999999998</v>
      </c>
      <c r="AI1282">
        <v>0</v>
      </c>
      <c r="AJ1282">
        <v>0</v>
      </c>
      <c r="AK1282">
        <v>0</v>
      </c>
      <c r="AL1282">
        <v>281.20999999999998</v>
      </c>
      <c r="AM1282">
        <v>0</v>
      </c>
      <c r="AN1282">
        <v>3062.47</v>
      </c>
      <c r="AO1282">
        <v>0</v>
      </c>
      <c r="AP1282">
        <v>0</v>
      </c>
      <c r="AQ1282">
        <v>0</v>
      </c>
      <c r="AR1282">
        <v>3062.47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3415.08</v>
      </c>
      <c r="AZ1282">
        <v>0</v>
      </c>
      <c r="BA1282">
        <v>3</v>
      </c>
      <c r="BB1282">
        <v>5305.3109999999997</v>
      </c>
      <c r="BC1282">
        <v>15915.933000000001</v>
      </c>
      <c r="BD1282">
        <v>18410.166667000001</v>
      </c>
      <c r="BE1282">
        <v>0</v>
      </c>
      <c r="BF1282">
        <v>48</v>
      </c>
      <c r="BG1282">
        <v>6278.0933329999998</v>
      </c>
      <c r="BH1282">
        <v>2926.9490000000001</v>
      </c>
    </row>
    <row r="1283" spans="1:60" x14ac:dyDescent="0.35">
      <c r="A1283" t="s">
        <v>2619</v>
      </c>
      <c r="B1283" t="s">
        <v>2619</v>
      </c>
      <c r="C1283" t="s">
        <v>2619</v>
      </c>
      <c r="D1283" t="s">
        <v>2672</v>
      </c>
      <c r="E1283">
        <v>87181</v>
      </c>
      <c r="F1283">
        <v>150</v>
      </c>
      <c r="G1283">
        <v>152.35650000000001</v>
      </c>
      <c r="H1283">
        <v>1.0157099999999999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19812.97</v>
      </c>
      <c r="V1283">
        <v>0</v>
      </c>
      <c r="W1283">
        <v>13.43</v>
      </c>
      <c r="X1283">
        <v>0</v>
      </c>
      <c r="Y1283">
        <v>0</v>
      </c>
      <c r="Z1283">
        <v>19826.400000000001</v>
      </c>
      <c r="AA1283">
        <v>133342.94</v>
      </c>
      <c r="AB1283">
        <v>3753.89</v>
      </c>
      <c r="AC1283">
        <v>88153.68</v>
      </c>
      <c r="AD1283">
        <v>0</v>
      </c>
      <c r="AE1283">
        <v>1930.52</v>
      </c>
      <c r="AF1283">
        <v>227181.03</v>
      </c>
      <c r="AG1283">
        <v>36614.879999999997</v>
      </c>
      <c r="AH1283">
        <v>856.79</v>
      </c>
      <c r="AI1283">
        <v>18605.599999999999</v>
      </c>
      <c r="AJ1283">
        <v>0</v>
      </c>
      <c r="AK1283">
        <v>4998.51</v>
      </c>
      <c r="AL1283">
        <v>61075.78</v>
      </c>
      <c r="AM1283">
        <v>55880.75</v>
      </c>
      <c r="AN1283">
        <v>3902.39</v>
      </c>
      <c r="AO1283">
        <v>17682.830000000002</v>
      </c>
      <c r="AP1283">
        <v>0</v>
      </c>
      <c r="AQ1283">
        <v>736.74</v>
      </c>
      <c r="AR1283">
        <v>78202.710000000006</v>
      </c>
      <c r="AS1283">
        <v>31985.09</v>
      </c>
      <c r="AT1283">
        <v>0</v>
      </c>
      <c r="AU1283">
        <v>6905.91</v>
      </c>
      <c r="AV1283">
        <v>0</v>
      </c>
      <c r="AW1283">
        <v>0</v>
      </c>
      <c r="AX1283">
        <v>38891</v>
      </c>
      <c r="AY1283">
        <v>425176.92</v>
      </c>
      <c r="AZ1283">
        <v>1</v>
      </c>
      <c r="BA1283">
        <v>50</v>
      </c>
      <c r="BB1283">
        <v>63172.23</v>
      </c>
      <c r="BC1283">
        <v>3158611.477</v>
      </c>
      <c r="BD1283">
        <v>18447.253799999999</v>
      </c>
      <c r="BE1283">
        <v>420.10399999999998</v>
      </c>
      <c r="BF1283">
        <v>402</v>
      </c>
      <c r="BG1283">
        <v>5413.3537059999999</v>
      </c>
      <c r="BH1283">
        <v>3755.7049999999999</v>
      </c>
    </row>
    <row r="1284" spans="1:60" x14ac:dyDescent="0.35">
      <c r="A1284" t="s">
        <v>2619</v>
      </c>
      <c r="B1284" t="s">
        <v>2619</v>
      </c>
      <c r="C1284" t="s">
        <v>2673</v>
      </c>
      <c r="D1284" t="s">
        <v>2674</v>
      </c>
      <c r="E1284">
        <v>1720</v>
      </c>
      <c r="F1284" t="s">
        <v>81</v>
      </c>
      <c r="G1284" t="s">
        <v>81</v>
      </c>
      <c r="H1284" t="s">
        <v>81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1</v>
      </c>
      <c r="BG1284">
        <v>44227.360000000001</v>
      </c>
      <c r="BH1284">
        <v>0</v>
      </c>
    </row>
    <row r="1285" spans="1:60" x14ac:dyDescent="0.35">
      <c r="A1285" t="s">
        <v>2619</v>
      </c>
      <c r="B1285" t="s">
        <v>2619</v>
      </c>
      <c r="C1285" t="s">
        <v>2675</v>
      </c>
      <c r="D1285" t="s">
        <v>2676</v>
      </c>
      <c r="E1285">
        <v>9698</v>
      </c>
      <c r="F1285">
        <v>8</v>
      </c>
      <c r="G1285">
        <v>7.2826250000000003</v>
      </c>
      <c r="H1285">
        <v>0.91032809999999997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2</v>
      </c>
      <c r="BB1285">
        <v>10178.4</v>
      </c>
      <c r="BC1285">
        <v>20356.8</v>
      </c>
      <c r="BD1285">
        <v>0</v>
      </c>
      <c r="BE1285">
        <v>0</v>
      </c>
      <c r="BF1285">
        <v>41</v>
      </c>
      <c r="BG1285">
        <v>10206.785366</v>
      </c>
      <c r="BH1285">
        <v>0</v>
      </c>
    </row>
    <row r="1286" spans="1:60" x14ac:dyDescent="0.35">
      <c r="A1286" t="s">
        <v>2619</v>
      </c>
      <c r="B1286" t="s">
        <v>2619</v>
      </c>
      <c r="C1286" t="s">
        <v>2677</v>
      </c>
      <c r="D1286" t="s">
        <v>2678</v>
      </c>
      <c r="E1286">
        <v>21026</v>
      </c>
      <c r="F1286">
        <v>37</v>
      </c>
      <c r="G1286">
        <v>24.951930000000001</v>
      </c>
      <c r="H1286">
        <v>0.67437659999999999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2974.19</v>
      </c>
      <c r="AF1286">
        <v>2974.19</v>
      </c>
      <c r="AG1286">
        <v>0</v>
      </c>
      <c r="AH1286">
        <v>0</v>
      </c>
      <c r="AI1286">
        <v>0</v>
      </c>
      <c r="AJ1286">
        <v>0</v>
      </c>
      <c r="AK1286">
        <v>4691.17</v>
      </c>
      <c r="AL1286">
        <v>4691.17</v>
      </c>
      <c r="AM1286">
        <v>0</v>
      </c>
      <c r="AN1286">
        <v>0</v>
      </c>
      <c r="AO1286">
        <v>0</v>
      </c>
      <c r="AP1286">
        <v>0</v>
      </c>
      <c r="AQ1286">
        <v>1758.3</v>
      </c>
      <c r="AR1286">
        <v>1758.3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9423.66</v>
      </c>
      <c r="AZ1286">
        <v>0</v>
      </c>
      <c r="BA1286">
        <v>2</v>
      </c>
      <c r="BB1286">
        <v>88330.375</v>
      </c>
      <c r="BC1286">
        <v>176660.75</v>
      </c>
      <c r="BD1286">
        <v>0</v>
      </c>
      <c r="BE1286">
        <v>62931.347000000002</v>
      </c>
      <c r="BF1286">
        <v>81</v>
      </c>
      <c r="BG1286">
        <v>7874.0766670000003</v>
      </c>
      <c r="BH1286">
        <v>6669.232</v>
      </c>
    </row>
    <row r="1287" spans="1:60" x14ac:dyDescent="0.35">
      <c r="A1287" t="s">
        <v>2619</v>
      </c>
      <c r="B1287" t="s">
        <v>2619</v>
      </c>
      <c r="C1287" t="s">
        <v>2679</v>
      </c>
      <c r="D1287" t="s">
        <v>2680</v>
      </c>
      <c r="E1287">
        <v>21256</v>
      </c>
      <c r="F1287">
        <v>29</v>
      </c>
      <c r="G1287">
        <v>19.868089999999999</v>
      </c>
      <c r="H1287">
        <v>0.68510660000000001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60094.66</v>
      </c>
      <c r="AB1287">
        <v>0</v>
      </c>
      <c r="AC1287">
        <v>0</v>
      </c>
      <c r="AD1287">
        <v>0</v>
      </c>
      <c r="AE1287">
        <v>0</v>
      </c>
      <c r="AF1287">
        <v>60094.66</v>
      </c>
      <c r="AG1287">
        <v>20070.84</v>
      </c>
      <c r="AH1287">
        <v>0</v>
      </c>
      <c r="AI1287">
        <v>0</v>
      </c>
      <c r="AJ1287">
        <v>0</v>
      </c>
      <c r="AK1287">
        <v>0</v>
      </c>
      <c r="AL1287">
        <v>20070.84</v>
      </c>
      <c r="AM1287">
        <v>4120.78</v>
      </c>
      <c r="AN1287">
        <v>0</v>
      </c>
      <c r="AO1287">
        <v>0</v>
      </c>
      <c r="AP1287">
        <v>0</v>
      </c>
      <c r="AQ1287">
        <v>0</v>
      </c>
      <c r="AR1287">
        <v>4120.78</v>
      </c>
      <c r="AS1287">
        <v>411.95</v>
      </c>
      <c r="AT1287">
        <v>0</v>
      </c>
      <c r="AU1287">
        <v>0</v>
      </c>
      <c r="AV1287">
        <v>0</v>
      </c>
      <c r="AW1287">
        <v>0</v>
      </c>
      <c r="AX1287">
        <v>411.95</v>
      </c>
      <c r="AY1287">
        <v>84698.23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73</v>
      </c>
      <c r="BG1287">
        <v>598.37178100000006</v>
      </c>
      <c r="BH1287">
        <v>0</v>
      </c>
    </row>
    <row r="1288" spans="1:60" x14ac:dyDescent="0.35">
      <c r="A1288" t="s">
        <v>2619</v>
      </c>
      <c r="B1288" t="s">
        <v>2619</v>
      </c>
      <c r="C1288" t="s">
        <v>2681</v>
      </c>
      <c r="D1288" t="s">
        <v>2682</v>
      </c>
      <c r="E1288">
        <v>59372</v>
      </c>
      <c r="F1288">
        <v>37</v>
      </c>
      <c r="G1288">
        <v>30.245850000000001</v>
      </c>
      <c r="H1288">
        <v>0.8174555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55568.36</v>
      </c>
      <c r="AB1288">
        <v>0</v>
      </c>
      <c r="AC1288">
        <v>0</v>
      </c>
      <c r="AD1288">
        <v>0</v>
      </c>
      <c r="AE1288">
        <v>1270.6600000000001</v>
      </c>
      <c r="AF1288">
        <v>56839.02</v>
      </c>
      <c r="AG1288">
        <v>16848.54</v>
      </c>
      <c r="AH1288">
        <v>0</v>
      </c>
      <c r="AI1288">
        <v>0</v>
      </c>
      <c r="AJ1288">
        <v>0</v>
      </c>
      <c r="AK1288">
        <v>4146.83</v>
      </c>
      <c r="AL1288">
        <v>20995.37</v>
      </c>
      <c r="AM1288">
        <v>2225.2800000000002</v>
      </c>
      <c r="AN1288">
        <v>0</v>
      </c>
      <c r="AO1288">
        <v>0</v>
      </c>
      <c r="AP1288">
        <v>0</v>
      </c>
      <c r="AQ1288">
        <v>678.08</v>
      </c>
      <c r="AR1288">
        <v>2903.36</v>
      </c>
      <c r="AS1288">
        <v>815.32</v>
      </c>
      <c r="AT1288">
        <v>0</v>
      </c>
      <c r="AU1288">
        <v>0</v>
      </c>
      <c r="AV1288">
        <v>0</v>
      </c>
      <c r="AW1288">
        <v>0</v>
      </c>
      <c r="AX1288">
        <v>815.32</v>
      </c>
      <c r="AY1288">
        <v>81553.070000000007</v>
      </c>
      <c r="AZ1288">
        <v>0</v>
      </c>
      <c r="BA1288">
        <v>10</v>
      </c>
      <c r="BB1288">
        <v>29307.883000000002</v>
      </c>
      <c r="BC1288">
        <v>293078.83199999999</v>
      </c>
      <c r="BD1288">
        <v>7082.3969999999999</v>
      </c>
      <c r="BE1288">
        <v>3172.9070000000002</v>
      </c>
      <c r="BF1288">
        <v>211</v>
      </c>
      <c r="BG1288">
        <v>3848.1427490000001</v>
      </c>
      <c r="BH1288">
        <v>2229.989</v>
      </c>
    </row>
    <row r="1289" spans="1:60" x14ac:dyDescent="0.35">
      <c r="A1289" t="s">
        <v>2619</v>
      </c>
      <c r="B1289" t="s">
        <v>2619</v>
      </c>
      <c r="C1289" t="s">
        <v>2683</v>
      </c>
      <c r="D1289" t="s">
        <v>2684</v>
      </c>
      <c r="E1289">
        <v>37028</v>
      </c>
      <c r="F1289">
        <v>50</v>
      </c>
      <c r="G1289">
        <v>39.539119999999997</v>
      </c>
      <c r="H1289">
        <v>0.79078250000000005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17482.8</v>
      </c>
      <c r="AB1289">
        <v>41.93</v>
      </c>
      <c r="AC1289">
        <v>19900.93</v>
      </c>
      <c r="AD1289">
        <v>0</v>
      </c>
      <c r="AE1289">
        <v>981.59</v>
      </c>
      <c r="AF1289">
        <v>38407.25</v>
      </c>
      <c r="AG1289">
        <v>6644.81</v>
      </c>
      <c r="AH1289">
        <v>8.48</v>
      </c>
      <c r="AI1289">
        <v>4306.18</v>
      </c>
      <c r="AJ1289">
        <v>0</v>
      </c>
      <c r="AK1289">
        <v>2404.62</v>
      </c>
      <c r="AL1289">
        <v>13364.09</v>
      </c>
      <c r="AM1289">
        <v>2285.9899999999998</v>
      </c>
      <c r="AN1289">
        <v>1616.49</v>
      </c>
      <c r="AO1289">
        <v>3310.8</v>
      </c>
      <c r="AP1289">
        <v>0</v>
      </c>
      <c r="AQ1289">
        <v>1516.66</v>
      </c>
      <c r="AR1289">
        <v>8729.94</v>
      </c>
      <c r="AS1289">
        <v>0</v>
      </c>
      <c r="AT1289">
        <v>0</v>
      </c>
      <c r="AU1289">
        <v>133.82</v>
      </c>
      <c r="AV1289">
        <v>0</v>
      </c>
      <c r="AW1289">
        <v>0</v>
      </c>
      <c r="AX1289">
        <v>133.82</v>
      </c>
      <c r="AY1289">
        <v>60635.1</v>
      </c>
      <c r="AZ1289">
        <v>0</v>
      </c>
      <c r="BA1289">
        <v>6</v>
      </c>
      <c r="BB1289">
        <v>49263.917000000001</v>
      </c>
      <c r="BC1289">
        <v>295583.50099999999</v>
      </c>
      <c r="BD1289">
        <v>0</v>
      </c>
      <c r="BE1289">
        <v>1759.604</v>
      </c>
      <c r="BF1289">
        <v>123</v>
      </c>
      <c r="BG1289">
        <v>4493.3538209999997</v>
      </c>
      <c r="BH1289">
        <v>215.16900000000001</v>
      </c>
    </row>
    <row r="1290" spans="1:60" x14ac:dyDescent="0.35">
      <c r="A1290" t="s">
        <v>2619</v>
      </c>
      <c r="B1290" t="s">
        <v>2619</v>
      </c>
      <c r="C1290" t="s">
        <v>2685</v>
      </c>
      <c r="D1290" t="s">
        <v>2686</v>
      </c>
      <c r="E1290">
        <v>58895</v>
      </c>
      <c r="F1290">
        <v>94</v>
      </c>
      <c r="G1290">
        <v>68.227879999999999</v>
      </c>
      <c r="H1290">
        <v>0.72582849999999999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53830.78</v>
      </c>
      <c r="AB1290">
        <v>12569.48</v>
      </c>
      <c r="AC1290">
        <v>28814.720000000001</v>
      </c>
      <c r="AD1290">
        <v>0</v>
      </c>
      <c r="AE1290">
        <v>1856.85</v>
      </c>
      <c r="AF1290">
        <v>97071.83</v>
      </c>
      <c r="AG1290">
        <v>22286.89</v>
      </c>
      <c r="AH1290">
        <v>4373.12</v>
      </c>
      <c r="AI1290">
        <v>7286.34</v>
      </c>
      <c r="AJ1290">
        <v>0</v>
      </c>
      <c r="AK1290">
        <v>3087.41</v>
      </c>
      <c r="AL1290">
        <v>37033.760000000002</v>
      </c>
      <c r="AM1290">
        <v>5628.67</v>
      </c>
      <c r="AN1290">
        <v>2899.64</v>
      </c>
      <c r="AO1290">
        <v>2882.86</v>
      </c>
      <c r="AP1290">
        <v>0</v>
      </c>
      <c r="AQ1290">
        <v>610.69000000000005</v>
      </c>
      <c r="AR1290">
        <v>12021.86</v>
      </c>
      <c r="AS1290">
        <v>79.900000000000006</v>
      </c>
      <c r="AT1290">
        <v>0</v>
      </c>
      <c r="AU1290">
        <v>64.67</v>
      </c>
      <c r="AV1290">
        <v>0</v>
      </c>
      <c r="AW1290">
        <v>0</v>
      </c>
      <c r="AX1290">
        <v>144.57</v>
      </c>
      <c r="AY1290">
        <v>146272.01999999999</v>
      </c>
      <c r="AZ1290">
        <v>0</v>
      </c>
      <c r="BA1290">
        <v>14</v>
      </c>
      <c r="BB1290">
        <v>124397.10400000001</v>
      </c>
      <c r="BC1290">
        <v>1741559.45</v>
      </c>
      <c r="BD1290">
        <v>4091.4571430000001</v>
      </c>
      <c r="BE1290">
        <v>4722.7920000000004</v>
      </c>
      <c r="BF1290">
        <v>290</v>
      </c>
      <c r="BG1290">
        <v>8886.2187589999994</v>
      </c>
      <c r="BH1290">
        <v>452.14</v>
      </c>
    </row>
    <row r="1291" spans="1:60" x14ac:dyDescent="0.35">
      <c r="A1291" t="s">
        <v>2619</v>
      </c>
      <c r="B1291" t="s">
        <v>2619</v>
      </c>
      <c r="C1291" t="s">
        <v>2687</v>
      </c>
      <c r="D1291" t="s">
        <v>2688</v>
      </c>
      <c r="E1291">
        <v>9706</v>
      </c>
      <c r="F1291">
        <v>6</v>
      </c>
      <c r="G1291">
        <v>7.7821949999999998</v>
      </c>
      <c r="H1291">
        <v>1.297032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26</v>
      </c>
      <c r="BG1291">
        <v>1315.8746149999999</v>
      </c>
      <c r="BH1291">
        <v>5401.2280000000001</v>
      </c>
    </row>
    <row r="1292" spans="1:60" x14ac:dyDescent="0.35">
      <c r="A1292" t="s">
        <v>2619</v>
      </c>
      <c r="B1292" t="s">
        <v>2619</v>
      </c>
      <c r="C1292" t="s">
        <v>2689</v>
      </c>
      <c r="D1292" t="s">
        <v>2690</v>
      </c>
      <c r="E1292">
        <v>13916</v>
      </c>
      <c r="F1292">
        <v>8</v>
      </c>
      <c r="G1292">
        <v>2.6449959999999999</v>
      </c>
      <c r="H1292">
        <v>0.33062449999999999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16</v>
      </c>
      <c r="BG1292">
        <v>2269.7512499999998</v>
      </c>
      <c r="BH1292">
        <v>0</v>
      </c>
    </row>
    <row r="1293" spans="1:60" x14ac:dyDescent="0.35">
      <c r="A1293" t="s">
        <v>2619</v>
      </c>
      <c r="B1293" t="s">
        <v>2619</v>
      </c>
      <c r="C1293" t="s">
        <v>2691</v>
      </c>
      <c r="D1293" t="s">
        <v>2692</v>
      </c>
      <c r="E1293">
        <v>19819</v>
      </c>
      <c r="F1293">
        <v>9</v>
      </c>
      <c r="G1293">
        <v>4.1080829999999997</v>
      </c>
      <c r="H1293">
        <v>0.45645370000000002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1</v>
      </c>
      <c r="BB1293">
        <v>69688</v>
      </c>
      <c r="BC1293">
        <v>69688</v>
      </c>
      <c r="BD1293">
        <v>64905.2</v>
      </c>
      <c r="BE1293">
        <v>63357.26</v>
      </c>
      <c r="BF1293">
        <v>56</v>
      </c>
      <c r="BG1293">
        <v>3648.3474999999999</v>
      </c>
      <c r="BH1293">
        <v>29.762</v>
      </c>
    </row>
    <row r="1294" spans="1:60" x14ac:dyDescent="0.35">
      <c r="A1294" t="s">
        <v>2619</v>
      </c>
      <c r="B1294" t="s">
        <v>2619</v>
      </c>
      <c r="C1294" t="s">
        <v>2693</v>
      </c>
      <c r="D1294" t="s">
        <v>2694</v>
      </c>
      <c r="E1294">
        <v>25700</v>
      </c>
      <c r="F1294">
        <v>38</v>
      </c>
      <c r="G1294">
        <v>28.847079999999998</v>
      </c>
      <c r="H1294">
        <v>0.75913370000000002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8246.02</v>
      </c>
      <c r="AC1294">
        <v>0</v>
      </c>
      <c r="AD1294">
        <v>0</v>
      </c>
      <c r="AE1294">
        <v>0</v>
      </c>
      <c r="AF1294">
        <v>8246.02</v>
      </c>
      <c r="AG1294">
        <v>0</v>
      </c>
      <c r="AH1294">
        <v>3177.66</v>
      </c>
      <c r="AI1294">
        <v>0</v>
      </c>
      <c r="AJ1294">
        <v>0</v>
      </c>
      <c r="AK1294">
        <v>0</v>
      </c>
      <c r="AL1294">
        <v>3177.66</v>
      </c>
      <c r="AM1294">
        <v>0</v>
      </c>
      <c r="AN1294">
        <v>820.31</v>
      </c>
      <c r="AO1294">
        <v>0</v>
      </c>
      <c r="AP1294">
        <v>0</v>
      </c>
      <c r="AQ1294">
        <v>0</v>
      </c>
      <c r="AR1294">
        <v>820.31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12243.99</v>
      </c>
      <c r="AZ1294">
        <v>0</v>
      </c>
      <c r="BA1294">
        <v>10</v>
      </c>
      <c r="BB1294">
        <v>21526.133000000002</v>
      </c>
      <c r="BC1294">
        <v>215261.33300000001</v>
      </c>
      <c r="BD1294">
        <v>0</v>
      </c>
      <c r="BE1294">
        <v>0</v>
      </c>
      <c r="BF1294">
        <v>177</v>
      </c>
      <c r="BG1294">
        <v>3899.182429</v>
      </c>
      <c r="BH1294">
        <v>0</v>
      </c>
    </row>
    <row r="1295" spans="1:60" x14ac:dyDescent="0.35">
      <c r="A1295" t="s">
        <v>2695</v>
      </c>
      <c r="B1295" t="s">
        <v>2696</v>
      </c>
      <c r="C1295" t="s">
        <v>2697</v>
      </c>
      <c r="D1295" t="s">
        <v>2698</v>
      </c>
      <c r="E1295">
        <v>265991</v>
      </c>
      <c r="F1295">
        <v>7123</v>
      </c>
      <c r="G1295">
        <v>6326.8130000000001</v>
      </c>
      <c r="H1295">
        <v>0.88822310000000004</v>
      </c>
      <c r="I1295">
        <v>46063064.780000001</v>
      </c>
      <c r="J1295">
        <v>0</v>
      </c>
      <c r="K1295">
        <v>14868.68</v>
      </c>
      <c r="L1295">
        <v>0</v>
      </c>
      <c r="M1295">
        <v>0</v>
      </c>
      <c r="N1295">
        <v>46077933.460000001</v>
      </c>
      <c r="O1295">
        <v>10031896.4</v>
      </c>
      <c r="P1295">
        <v>0</v>
      </c>
      <c r="Q1295">
        <v>11114.84</v>
      </c>
      <c r="R1295">
        <v>0</v>
      </c>
      <c r="S1295">
        <v>0</v>
      </c>
      <c r="T1295">
        <v>10043011.24</v>
      </c>
      <c r="U1295">
        <v>3383885.64</v>
      </c>
      <c r="V1295">
        <v>0</v>
      </c>
      <c r="W1295">
        <v>10190.81</v>
      </c>
      <c r="X1295">
        <v>0</v>
      </c>
      <c r="Y1295">
        <v>0</v>
      </c>
      <c r="Z1295">
        <v>3394076.45</v>
      </c>
      <c r="AA1295">
        <v>9136623.6199999992</v>
      </c>
      <c r="AB1295">
        <v>5600.56</v>
      </c>
      <c r="AC1295">
        <v>196437.69</v>
      </c>
      <c r="AD1295">
        <v>0</v>
      </c>
      <c r="AE1295">
        <v>0</v>
      </c>
      <c r="AF1295">
        <v>9338661.8699999992</v>
      </c>
      <c r="AG1295">
        <v>143196.34</v>
      </c>
      <c r="AH1295">
        <v>942.98</v>
      </c>
      <c r="AI1295">
        <v>15795.55</v>
      </c>
      <c r="AJ1295">
        <v>0</v>
      </c>
      <c r="AK1295">
        <v>0</v>
      </c>
      <c r="AL1295">
        <v>159934.87</v>
      </c>
      <c r="AM1295">
        <v>18333812.43</v>
      </c>
      <c r="AN1295">
        <v>178194.25</v>
      </c>
      <c r="AO1295">
        <v>59362.41</v>
      </c>
      <c r="AP1295">
        <v>5490.28</v>
      </c>
      <c r="AQ1295">
        <v>0</v>
      </c>
      <c r="AR1295">
        <v>18576859.370000001</v>
      </c>
      <c r="AS1295">
        <v>7563098.6100000003</v>
      </c>
      <c r="AT1295">
        <v>0</v>
      </c>
      <c r="AU1295">
        <v>29580.28</v>
      </c>
      <c r="AV1295">
        <v>0</v>
      </c>
      <c r="AW1295">
        <v>0</v>
      </c>
      <c r="AX1295">
        <v>7592678.8899999997</v>
      </c>
      <c r="AY1295">
        <v>95183156.150000006</v>
      </c>
      <c r="AZ1295">
        <v>1</v>
      </c>
      <c r="BA1295">
        <v>2046</v>
      </c>
      <c r="BB1295">
        <v>65280.52</v>
      </c>
      <c r="BC1295">
        <v>133563943.208</v>
      </c>
      <c r="BD1295">
        <v>6823.1748040000002</v>
      </c>
      <c r="BE1295">
        <v>2233.779</v>
      </c>
      <c r="BF1295">
        <v>10626</v>
      </c>
      <c r="BG1295">
        <v>7728.3081000000002</v>
      </c>
      <c r="BH1295">
        <v>2435.1759999999999</v>
      </c>
    </row>
    <row r="1296" spans="1:60" x14ac:dyDescent="0.35">
      <c r="A1296" t="s">
        <v>2695</v>
      </c>
      <c r="B1296" t="s">
        <v>2696</v>
      </c>
      <c r="C1296" t="s">
        <v>2699</v>
      </c>
      <c r="D1296" t="s">
        <v>2700</v>
      </c>
      <c r="E1296">
        <v>100194</v>
      </c>
      <c r="F1296">
        <v>60</v>
      </c>
      <c r="G1296">
        <v>63.416930000000001</v>
      </c>
      <c r="H1296">
        <v>1.0569489999999999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20974.959999999999</v>
      </c>
      <c r="AB1296">
        <v>0</v>
      </c>
      <c r="AC1296">
        <v>1863.08</v>
      </c>
      <c r="AD1296">
        <v>0</v>
      </c>
      <c r="AE1296">
        <v>0</v>
      </c>
      <c r="AF1296">
        <v>22838.04</v>
      </c>
      <c r="AG1296">
        <v>7620.49</v>
      </c>
      <c r="AH1296">
        <v>0</v>
      </c>
      <c r="AI1296">
        <v>936.3</v>
      </c>
      <c r="AJ1296">
        <v>0</v>
      </c>
      <c r="AK1296">
        <v>0</v>
      </c>
      <c r="AL1296">
        <v>8556.7900000000009</v>
      </c>
      <c r="AM1296">
        <v>1442.98</v>
      </c>
      <c r="AN1296">
        <v>0</v>
      </c>
      <c r="AO1296">
        <v>631.03</v>
      </c>
      <c r="AP1296">
        <v>0</v>
      </c>
      <c r="AQ1296">
        <v>0</v>
      </c>
      <c r="AR1296">
        <v>2074.0100000000002</v>
      </c>
      <c r="AS1296">
        <v>562.29</v>
      </c>
      <c r="AT1296">
        <v>0</v>
      </c>
      <c r="AU1296">
        <v>0</v>
      </c>
      <c r="AV1296">
        <v>0</v>
      </c>
      <c r="AW1296">
        <v>0</v>
      </c>
      <c r="AX1296">
        <v>562.29</v>
      </c>
      <c r="AY1296">
        <v>34031.129999999997</v>
      </c>
      <c r="AZ1296">
        <v>1</v>
      </c>
      <c r="BA1296">
        <v>64</v>
      </c>
      <c r="BB1296">
        <v>86516.997000000003</v>
      </c>
      <c r="BC1296">
        <v>5537087.7920000004</v>
      </c>
      <c r="BD1296">
        <v>1109.5731249999999</v>
      </c>
      <c r="BE1296">
        <v>629.02700000000004</v>
      </c>
      <c r="BF1296">
        <v>368</v>
      </c>
      <c r="BG1296">
        <v>6802.0888859999995</v>
      </c>
      <c r="BH1296">
        <v>2263.3290000000002</v>
      </c>
    </row>
    <row r="1297" spans="1:60" x14ac:dyDescent="0.35">
      <c r="A1297" t="s">
        <v>2695</v>
      </c>
      <c r="B1297" t="s">
        <v>2696</v>
      </c>
      <c r="C1297" t="s">
        <v>2701</v>
      </c>
      <c r="D1297" t="s">
        <v>2702</v>
      </c>
      <c r="E1297">
        <v>730256</v>
      </c>
      <c r="F1297">
        <v>2267</v>
      </c>
      <c r="G1297">
        <v>2519.5239999999999</v>
      </c>
      <c r="H1297">
        <v>1.111391</v>
      </c>
      <c r="I1297">
        <v>183.74</v>
      </c>
      <c r="J1297">
        <v>0</v>
      </c>
      <c r="K1297">
        <v>0</v>
      </c>
      <c r="L1297">
        <v>0</v>
      </c>
      <c r="M1297">
        <v>0</v>
      </c>
      <c r="N1297">
        <v>183.74</v>
      </c>
      <c r="O1297">
        <v>16091.72</v>
      </c>
      <c r="P1297">
        <v>0</v>
      </c>
      <c r="Q1297">
        <v>0</v>
      </c>
      <c r="R1297">
        <v>0</v>
      </c>
      <c r="S1297">
        <v>0</v>
      </c>
      <c r="T1297">
        <v>16091.72</v>
      </c>
      <c r="U1297">
        <v>69290.89</v>
      </c>
      <c r="V1297">
        <v>120</v>
      </c>
      <c r="W1297">
        <v>333.33</v>
      </c>
      <c r="X1297">
        <v>0</v>
      </c>
      <c r="Y1297">
        <v>0</v>
      </c>
      <c r="Z1297">
        <v>69744.22</v>
      </c>
      <c r="AA1297">
        <v>656610.97</v>
      </c>
      <c r="AB1297">
        <v>86936.31</v>
      </c>
      <c r="AC1297">
        <v>439431.89</v>
      </c>
      <c r="AD1297">
        <v>11703.23</v>
      </c>
      <c r="AE1297">
        <v>0</v>
      </c>
      <c r="AF1297">
        <v>1194682.3999999999</v>
      </c>
      <c r="AG1297">
        <v>113989.4</v>
      </c>
      <c r="AH1297">
        <v>18857.75</v>
      </c>
      <c r="AI1297">
        <v>72610.490000000005</v>
      </c>
      <c r="AJ1297">
        <v>1363.51</v>
      </c>
      <c r="AK1297">
        <v>0</v>
      </c>
      <c r="AL1297">
        <v>206821.15</v>
      </c>
      <c r="AM1297">
        <v>433262.29</v>
      </c>
      <c r="AN1297">
        <v>115376.63</v>
      </c>
      <c r="AO1297">
        <v>104691.07</v>
      </c>
      <c r="AP1297">
        <v>6406.12</v>
      </c>
      <c r="AQ1297">
        <v>0</v>
      </c>
      <c r="AR1297">
        <v>659736.11</v>
      </c>
      <c r="AS1297">
        <v>395708.34</v>
      </c>
      <c r="AT1297">
        <v>0</v>
      </c>
      <c r="AU1297">
        <v>15226.47</v>
      </c>
      <c r="AV1297">
        <v>0</v>
      </c>
      <c r="AW1297">
        <v>0</v>
      </c>
      <c r="AX1297">
        <v>410934.81</v>
      </c>
      <c r="AY1297">
        <v>2558194.15</v>
      </c>
      <c r="AZ1297">
        <v>1</v>
      </c>
      <c r="BA1297">
        <v>1152</v>
      </c>
      <c r="BB1297">
        <v>74949.058999999994</v>
      </c>
      <c r="BC1297">
        <v>86341315.454999998</v>
      </c>
      <c r="BD1297">
        <v>5190.0162330000003</v>
      </c>
      <c r="BE1297">
        <v>1933.5530000000001</v>
      </c>
      <c r="BF1297">
        <v>6826</v>
      </c>
      <c r="BG1297">
        <v>4485.7678830000004</v>
      </c>
      <c r="BH1297">
        <v>2000.769</v>
      </c>
    </row>
    <row r="1298" spans="1:60" x14ac:dyDescent="0.35">
      <c r="A1298" t="s">
        <v>2695</v>
      </c>
      <c r="B1298" t="s">
        <v>2696</v>
      </c>
      <c r="C1298" t="s">
        <v>2703</v>
      </c>
      <c r="D1298" t="s">
        <v>2704</v>
      </c>
      <c r="E1298">
        <v>36968</v>
      </c>
      <c r="F1298">
        <v>187</v>
      </c>
      <c r="G1298">
        <v>236.1018</v>
      </c>
      <c r="H1298">
        <v>1.2625759999999999</v>
      </c>
      <c r="I1298">
        <v>0.9</v>
      </c>
      <c r="J1298">
        <v>0</v>
      </c>
      <c r="K1298">
        <v>0</v>
      </c>
      <c r="L1298">
        <v>0</v>
      </c>
      <c r="M1298">
        <v>0</v>
      </c>
      <c r="N1298">
        <v>0.9</v>
      </c>
      <c r="O1298">
        <v>6937.77</v>
      </c>
      <c r="P1298">
        <v>0</v>
      </c>
      <c r="Q1298">
        <v>0</v>
      </c>
      <c r="R1298">
        <v>0</v>
      </c>
      <c r="S1298">
        <v>0</v>
      </c>
      <c r="T1298">
        <v>6937.77</v>
      </c>
      <c r="U1298">
        <v>21562.48</v>
      </c>
      <c r="V1298">
        <v>0</v>
      </c>
      <c r="W1298">
        <v>0</v>
      </c>
      <c r="X1298">
        <v>0</v>
      </c>
      <c r="Y1298">
        <v>0</v>
      </c>
      <c r="Z1298">
        <v>21562.48</v>
      </c>
      <c r="AA1298">
        <v>34241.58</v>
      </c>
      <c r="AB1298">
        <v>0</v>
      </c>
      <c r="AC1298">
        <v>0</v>
      </c>
      <c r="AD1298">
        <v>0</v>
      </c>
      <c r="AE1298">
        <v>0</v>
      </c>
      <c r="AF1298">
        <v>34241.58</v>
      </c>
      <c r="AG1298">
        <v>381.01</v>
      </c>
      <c r="AH1298">
        <v>0</v>
      </c>
      <c r="AI1298">
        <v>0</v>
      </c>
      <c r="AJ1298">
        <v>0</v>
      </c>
      <c r="AK1298">
        <v>0</v>
      </c>
      <c r="AL1298">
        <v>381.01</v>
      </c>
      <c r="AM1298">
        <v>216179.58</v>
      </c>
      <c r="AN1298">
        <v>6955.52</v>
      </c>
      <c r="AO1298">
        <v>0</v>
      </c>
      <c r="AP1298">
        <v>349.65</v>
      </c>
      <c r="AQ1298">
        <v>0</v>
      </c>
      <c r="AR1298">
        <v>223484.75</v>
      </c>
      <c r="AS1298">
        <v>274811.11</v>
      </c>
      <c r="AT1298">
        <v>0</v>
      </c>
      <c r="AU1298">
        <v>0</v>
      </c>
      <c r="AV1298">
        <v>0</v>
      </c>
      <c r="AW1298">
        <v>0</v>
      </c>
      <c r="AX1298">
        <v>274811.11</v>
      </c>
      <c r="AY1298">
        <v>561419.6</v>
      </c>
      <c r="AZ1298">
        <v>1</v>
      </c>
      <c r="BA1298">
        <v>117</v>
      </c>
      <c r="BB1298">
        <v>70985.771999999997</v>
      </c>
      <c r="BC1298">
        <v>8305335.2999999998</v>
      </c>
      <c r="BD1298">
        <v>4898.4009400000004</v>
      </c>
      <c r="BE1298">
        <v>2380.3939999999998</v>
      </c>
      <c r="BF1298">
        <v>375</v>
      </c>
      <c r="BG1298">
        <v>5741.3762399999996</v>
      </c>
      <c r="BH1298">
        <v>22865.155999999999</v>
      </c>
    </row>
    <row r="1299" spans="1:60" x14ac:dyDescent="0.35">
      <c r="A1299" t="s">
        <v>2695</v>
      </c>
      <c r="B1299" t="s">
        <v>2696</v>
      </c>
      <c r="C1299" t="s">
        <v>2705</v>
      </c>
      <c r="D1299" t="s">
        <v>2706</v>
      </c>
      <c r="E1299">
        <v>96916</v>
      </c>
      <c r="F1299">
        <v>873</v>
      </c>
      <c r="G1299">
        <v>833.1721</v>
      </c>
      <c r="H1299">
        <v>0.95437810000000001</v>
      </c>
      <c r="I1299">
        <v>87.44</v>
      </c>
      <c r="J1299">
        <v>0</v>
      </c>
      <c r="K1299">
        <v>0</v>
      </c>
      <c r="L1299">
        <v>0</v>
      </c>
      <c r="M1299">
        <v>0</v>
      </c>
      <c r="N1299">
        <v>87.44</v>
      </c>
      <c r="O1299">
        <v>7219.01</v>
      </c>
      <c r="P1299">
        <v>0</v>
      </c>
      <c r="Q1299">
        <v>0</v>
      </c>
      <c r="R1299">
        <v>0</v>
      </c>
      <c r="S1299">
        <v>0</v>
      </c>
      <c r="T1299">
        <v>7219.01</v>
      </c>
      <c r="U1299">
        <v>43284.53</v>
      </c>
      <c r="V1299">
        <v>0</v>
      </c>
      <c r="W1299">
        <v>0</v>
      </c>
      <c r="X1299">
        <v>0</v>
      </c>
      <c r="Y1299">
        <v>0</v>
      </c>
      <c r="Z1299">
        <v>43284.53</v>
      </c>
      <c r="AA1299">
        <v>110556.3</v>
      </c>
      <c r="AB1299">
        <v>0</v>
      </c>
      <c r="AC1299">
        <v>0</v>
      </c>
      <c r="AD1299">
        <v>0</v>
      </c>
      <c r="AE1299">
        <v>0</v>
      </c>
      <c r="AF1299">
        <v>110556.3</v>
      </c>
      <c r="AG1299">
        <v>554.65</v>
      </c>
      <c r="AH1299">
        <v>0</v>
      </c>
      <c r="AI1299">
        <v>0</v>
      </c>
      <c r="AJ1299">
        <v>0</v>
      </c>
      <c r="AK1299">
        <v>0</v>
      </c>
      <c r="AL1299">
        <v>554.65</v>
      </c>
      <c r="AM1299">
        <v>131057.68</v>
      </c>
      <c r="AN1299">
        <v>0</v>
      </c>
      <c r="AO1299">
        <v>3841.49</v>
      </c>
      <c r="AP1299">
        <v>4107.99</v>
      </c>
      <c r="AQ1299">
        <v>0</v>
      </c>
      <c r="AR1299">
        <v>139007.16</v>
      </c>
      <c r="AS1299">
        <v>220758.42</v>
      </c>
      <c r="AT1299">
        <v>0</v>
      </c>
      <c r="AU1299">
        <v>0</v>
      </c>
      <c r="AV1299">
        <v>0</v>
      </c>
      <c r="AW1299">
        <v>0</v>
      </c>
      <c r="AX1299">
        <v>220758.42</v>
      </c>
      <c r="AY1299">
        <v>521467.51</v>
      </c>
      <c r="AZ1299">
        <v>1</v>
      </c>
      <c r="BA1299">
        <v>260</v>
      </c>
      <c r="BB1299">
        <v>60233.241000000002</v>
      </c>
      <c r="BC1299">
        <v>15660642.639</v>
      </c>
      <c r="BD1299">
        <v>3689.0801919999999</v>
      </c>
      <c r="BE1299">
        <v>2131.36</v>
      </c>
      <c r="BF1299">
        <v>973</v>
      </c>
      <c r="BG1299">
        <v>7094.6466600000003</v>
      </c>
      <c r="BH1299">
        <v>4178.8450000000003</v>
      </c>
    </row>
    <row r="1300" spans="1:60" x14ac:dyDescent="0.35">
      <c r="A1300" t="s">
        <v>2695</v>
      </c>
      <c r="B1300" t="s">
        <v>2696</v>
      </c>
      <c r="C1300" t="s">
        <v>2707</v>
      </c>
      <c r="D1300" t="s">
        <v>2708</v>
      </c>
      <c r="E1300">
        <v>446878</v>
      </c>
      <c r="F1300">
        <v>454</v>
      </c>
      <c r="G1300">
        <v>419.20150000000001</v>
      </c>
      <c r="H1300">
        <v>0.92335129999999999</v>
      </c>
      <c r="I1300">
        <v>5.17</v>
      </c>
      <c r="J1300">
        <v>0</v>
      </c>
      <c r="K1300">
        <v>0</v>
      </c>
      <c r="L1300">
        <v>0</v>
      </c>
      <c r="M1300">
        <v>0</v>
      </c>
      <c r="N1300">
        <v>5.17</v>
      </c>
      <c r="O1300">
        <v>0</v>
      </c>
      <c r="P1300">
        <v>0</v>
      </c>
      <c r="Q1300">
        <v>279.77</v>
      </c>
      <c r="R1300">
        <v>0</v>
      </c>
      <c r="S1300">
        <v>0</v>
      </c>
      <c r="T1300">
        <v>279.77</v>
      </c>
      <c r="U1300">
        <v>13117.28</v>
      </c>
      <c r="V1300">
        <v>0</v>
      </c>
      <c r="W1300">
        <v>242.93</v>
      </c>
      <c r="X1300">
        <v>0</v>
      </c>
      <c r="Y1300">
        <v>0</v>
      </c>
      <c r="Z1300">
        <v>13360.21</v>
      </c>
      <c r="AA1300">
        <v>117943.34</v>
      </c>
      <c r="AB1300">
        <v>18440.47</v>
      </c>
      <c r="AC1300">
        <v>154700.16</v>
      </c>
      <c r="AD1300">
        <v>0</v>
      </c>
      <c r="AE1300">
        <v>0</v>
      </c>
      <c r="AF1300">
        <v>291083.96999999997</v>
      </c>
      <c r="AG1300">
        <v>31011.53</v>
      </c>
      <c r="AH1300">
        <v>5853.1</v>
      </c>
      <c r="AI1300">
        <v>30766.94</v>
      </c>
      <c r="AJ1300">
        <v>0</v>
      </c>
      <c r="AK1300">
        <v>0</v>
      </c>
      <c r="AL1300">
        <v>67631.570000000007</v>
      </c>
      <c r="AM1300">
        <v>67707.759999999995</v>
      </c>
      <c r="AN1300">
        <v>7319.94</v>
      </c>
      <c r="AO1300">
        <v>45499.19</v>
      </c>
      <c r="AP1300">
        <v>0</v>
      </c>
      <c r="AQ1300">
        <v>0</v>
      </c>
      <c r="AR1300">
        <v>120526.89</v>
      </c>
      <c r="AS1300">
        <v>49792.05</v>
      </c>
      <c r="AT1300">
        <v>0</v>
      </c>
      <c r="AU1300">
        <v>8421.91</v>
      </c>
      <c r="AV1300">
        <v>0</v>
      </c>
      <c r="AW1300">
        <v>0</v>
      </c>
      <c r="AX1300">
        <v>58213.96</v>
      </c>
      <c r="AY1300">
        <v>551101.54</v>
      </c>
      <c r="AZ1300">
        <v>1</v>
      </c>
      <c r="BA1300">
        <v>406</v>
      </c>
      <c r="BB1300">
        <v>66024.409</v>
      </c>
      <c r="BC1300">
        <v>26805910.254999999</v>
      </c>
      <c r="BD1300">
        <v>12733.936158</v>
      </c>
      <c r="BE1300">
        <v>1614.5319999999999</v>
      </c>
      <c r="BF1300">
        <v>2255</v>
      </c>
      <c r="BG1300">
        <v>5668.9624880000001</v>
      </c>
      <c r="BH1300">
        <v>1079.934</v>
      </c>
    </row>
    <row r="1301" spans="1:60" x14ac:dyDescent="0.35">
      <c r="A1301" t="s">
        <v>2695</v>
      </c>
      <c r="B1301" t="s">
        <v>2696</v>
      </c>
      <c r="C1301" t="s">
        <v>2709</v>
      </c>
      <c r="D1301" t="s">
        <v>2710</v>
      </c>
      <c r="E1301">
        <v>45963</v>
      </c>
      <c r="F1301">
        <v>83</v>
      </c>
      <c r="G1301">
        <v>90.772949999999994</v>
      </c>
      <c r="H1301">
        <v>1.09365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0.55000000000000004</v>
      </c>
      <c r="V1301">
        <v>0</v>
      </c>
      <c r="W1301">
        <v>235.93</v>
      </c>
      <c r="X1301">
        <v>0</v>
      </c>
      <c r="Y1301">
        <v>0</v>
      </c>
      <c r="Z1301">
        <v>236.48</v>
      </c>
      <c r="AA1301">
        <v>582.42999999999995</v>
      </c>
      <c r="AB1301">
        <v>0</v>
      </c>
      <c r="AC1301">
        <v>20964.45</v>
      </c>
      <c r="AD1301">
        <v>0</v>
      </c>
      <c r="AE1301">
        <v>0</v>
      </c>
      <c r="AF1301">
        <v>21546.880000000001</v>
      </c>
      <c r="AG1301">
        <v>9.4600000000000009</v>
      </c>
      <c r="AH1301">
        <v>0</v>
      </c>
      <c r="AI1301">
        <v>3180.41</v>
      </c>
      <c r="AJ1301">
        <v>0</v>
      </c>
      <c r="AK1301">
        <v>0</v>
      </c>
      <c r="AL1301">
        <v>3189.87</v>
      </c>
      <c r="AM1301">
        <v>2248.44</v>
      </c>
      <c r="AN1301">
        <v>0</v>
      </c>
      <c r="AO1301">
        <v>7320.45</v>
      </c>
      <c r="AP1301">
        <v>1630.1</v>
      </c>
      <c r="AQ1301">
        <v>0</v>
      </c>
      <c r="AR1301">
        <v>11198.99</v>
      </c>
      <c r="AS1301">
        <v>2469.5300000000002</v>
      </c>
      <c r="AT1301">
        <v>0</v>
      </c>
      <c r="AU1301">
        <v>172.9</v>
      </c>
      <c r="AV1301">
        <v>0</v>
      </c>
      <c r="AW1301">
        <v>0</v>
      </c>
      <c r="AX1301">
        <v>2642.43</v>
      </c>
      <c r="AY1301">
        <v>38814.65</v>
      </c>
      <c r="AZ1301">
        <v>1</v>
      </c>
      <c r="BA1301">
        <v>63</v>
      </c>
      <c r="BB1301">
        <v>44161.741999999998</v>
      </c>
      <c r="BC1301">
        <v>2782189.7740000002</v>
      </c>
      <c r="BD1301">
        <v>9099.9125399999994</v>
      </c>
      <c r="BE1301">
        <v>1492.654</v>
      </c>
      <c r="BF1301">
        <v>286</v>
      </c>
      <c r="BG1301">
        <v>4101.3747199999998</v>
      </c>
      <c r="BH1301">
        <v>3639.5329999999999</v>
      </c>
    </row>
    <row r="1302" spans="1:60" x14ac:dyDescent="0.35">
      <c r="A1302" t="s">
        <v>2695</v>
      </c>
      <c r="B1302" t="s">
        <v>2696</v>
      </c>
      <c r="C1302" t="s">
        <v>2711</v>
      </c>
      <c r="D1302" t="s">
        <v>2712</v>
      </c>
      <c r="E1302">
        <v>376076</v>
      </c>
      <c r="F1302">
        <v>1283</v>
      </c>
      <c r="G1302">
        <v>1311.835</v>
      </c>
      <c r="H1302">
        <v>1.022475</v>
      </c>
      <c r="I1302">
        <v>51882.28</v>
      </c>
      <c r="J1302">
        <v>0</v>
      </c>
      <c r="K1302">
        <v>0</v>
      </c>
      <c r="L1302">
        <v>0</v>
      </c>
      <c r="M1302">
        <v>0</v>
      </c>
      <c r="N1302">
        <v>51882.28</v>
      </c>
      <c r="O1302">
        <v>5747.37</v>
      </c>
      <c r="P1302">
        <v>0</v>
      </c>
      <c r="Q1302">
        <v>0</v>
      </c>
      <c r="R1302">
        <v>0</v>
      </c>
      <c r="S1302">
        <v>0</v>
      </c>
      <c r="T1302">
        <v>5747.37</v>
      </c>
      <c r="U1302">
        <v>47486.26</v>
      </c>
      <c r="V1302">
        <v>9.61</v>
      </c>
      <c r="W1302">
        <v>3.56</v>
      </c>
      <c r="X1302">
        <v>0</v>
      </c>
      <c r="Y1302">
        <v>0</v>
      </c>
      <c r="Z1302">
        <v>47499.43</v>
      </c>
      <c r="AA1302">
        <v>272310.78999999998</v>
      </c>
      <c r="AB1302">
        <v>5502.73</v>
      </c>
      <c r="AC1302">
        <v>85524.09</v>
      </c>
      <c r="AD1302">
        <v>0</v>
      </c>
      <c r="AE1302">
        <v>0</v>
      </c>
      <c r="AF1302">
        <v>363337.61</v>
      </c>
      <c r="AG1302">
        <v>43629.08</v>
      </c>
      <c r="AH1302">
        <v>1226.1099999999999</v>
      </c>
      <c r="AI1302">
        <v>13538.23</v>
      </c>
      <c r="AJ1302">
        <v>0</v>
      </c>
      <c r="AK1302">
        <v>0</v>
      </c>
      <c r="AL1302">
        <v>58393.42</v>
      </c>
      <c r="AM1302">
        <v>355452.48</v>
      </c>
      <c r="AN1302">
        <v>27197.1</v>
      </c>
      <c r="AO1302">
        <v>15423.83</v>
      </c>
      <c r="AP1302">
        <v>347543.81</v>
      </c>
      <c r="AQ1302">
        <v>0</v>
      </c>
      <c r="AR1302">
        <v>745617.22</v>
      </c>
      <c r="AS1302">
        <v>406632.59</v>
      </c>
      <c r="AT1302">
        <v>0</v>
      </c>
      <c r="AU1302">
        <v>5811.62</v>
      </c>
      <c r="AV1302">
        <v>0</v>
      </c>
      <c r="AW1302">
        <v>0</v>
      </c>
      <c r="AX1302">
        <v>412444.21</v>
      </c>
      <c r="AY1302">
        <v>1684921.54</v>
      </c>
      <c r="AZ1302">
        <v>1</v>
      </c>
      <c r="BA1302">
        <v>512</v>
      </c>
      <c r="BB1302">
        <v>65179.97</v>
      </c>
      <c r="BC1302">
        <v>33372144.684999999</v>
      </c>
      <c r="BD1302">
        <v>4183.7859959999996</v>
      </c>
      <c r="BE1302">
        <v>2336.8919999999998</v>
      </c>
      <c r="BF1302">
        <v>2181</v>
      </c>
      <c r="BG1302">
        <v>6830.0538100000003</v>
      </c>
      <c r="BH1302">
        <v>8834.9069999999992</v>
      </c>
    </row>
    <row r="1303" spans="1:60" x14ac:dyDescent="0.35">
      <c r="A1303" t="s">
        <v>2695</v>
      </c>
      <c r="B1303" t="s">
        <v>2696</v>
      </c>
      <c r="C1303" t="s">
        <v>2713</v>
      </c>
      <c r="D1303" t="s">
        <v>2714</v>
      </c>
      <c r="E1303">
        <v>41278</v>
      </c>
      <c r="F1303">
        <v>65</v>
      </c>
      <c r="G1303">
        <v>41.022039999999997</v>
      </c>
      <c r="H1303">
        <v>0.63110829999999996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1</v>
      </c>
      <c r="BA1303">
        <v>35</v>
      </c>
      <c r="BB1303">
        <v>49889.718999999997</v>
      </c>
      <c r="BC1303">
        <v>1746140.175</v>
      </c>
      <c r="BD1303">
        <v>18.239999999999998</v>
      </c>
      <c r="BE1303">
        <v>658.95799999999997</v>
      </c>
      <c r="BF1303">
        <v>238</v>
      </c>
      <c r="BG1303">
        <v>4506.1295799999998</v>
      </c>
      <c r="BH1303">
        <v>3896.2159999999999</v>
      </c>
    </row>
    <row r="1304" spans="1:60" x14ac:dyDescent="0.35">
      <c r="A1304" t="s">
        <v>2695</v>
      </c>
      <c r="B1304" t="s">
        <v>2696</v>
      </c>
      <c r="C1304" t="s">
        <v>2715</v>
      </c>
      <c r="D1304" t="s">
        <v>2716</v>
      </c>
      <c r="E1304">
        <v>596186</v>
      </c>
      <c r="F1304">
        <v>1945</v>
      </c>
      <c r="G1304">
        <v>1604.66</v>
      </c>
      <c r="H1304">
        <v>0.82501780000000002</v>
      </c>
      <c r="I1304">
        <v>13660.5</v>
      </c>
      <c r="J1304">
        <v>0</v>
      </c>
      <c r="K1304">
        <v>0</v>
      </c>
      <c r="L1304">
        <v>0</v>
      </c>
      <c r="M1304">
        <v>0</v>
      </c>
      <c r="N1304">
        <v>13660.5</v>
      </c>
      <c r="O1304">
        <v>1995.46</v>
      </c>
      <c r="P1304">
        <v>0</v>
      </c>
      <c r="Q1304">
        <v>0</v>
      </c>
      <c r="R1304">
        <v>0</v>
      </c>
      <c r="S1304">
        <v>0</v>
      </c>
      <c r="T1304">
        <v>1995.46</v>
      </c>
      <c r="U1304">
        <v>86473.49</v>
      </c>
      <c r="V1304">
        <v>41.31</v>
      </c>
      <c r="W1304">
        <v>763.27</v>
      </c>
      <c r="X1304">
        <v>0</v>
      </c>
      <c r="Y1304">
        <v>0</v>
      </c>
      <c r="Z1304">
        <v>87278.07</v>
      </c>
      <c r="AA1304">
        <v>389827.19</v>
      </c>
      <c r="AB1304">
        <v>18106.61</v>
      </c>
      <c r="AC1304">
        <v>150319.10999999999</v>
      </c>
      <c r="AD1304">
        <v>11318.5</v>
      </c>
      <c r="AE1304">
        <v>0</v>
      </c>
      <c r="AF1304">
        <v>569571.41</v>
      </c>
      <c r="AG1304">
        <v>77585.94</v>
      </c>
      <c r="AH1304">
        <v>2814.89</v>
      </c>
      <c r="AI1304">
        <v>23857.9</v>
      </c>
      <c r="AJ1304">
        <v>1777.03</v>
      </c>
      <c r="AK1304">
        <v>0</v>
      </c>
      <c r="AL1304">
        <v>106035.76</v>
      </c>
      <c r="AM1304">
        <v>441991.35</v>
      </c>
      <c r="AN1304">
        <v>52403</v>
      </c>
      <c r="AO1304">
        <v>27187.63</v>
      </c>
      <c r="AP1304">
        <v>9814.6</v>
      </c>
      <c r="AQ1304">
        <v>0</v>
      </c>
      <c r="AR1304">
        <v>531396.57999999996</v>
      </c>
      <c r="AS1304">
        <v>557426.73</v>
      </c>
      <c r="AT1304">
        <v>0</v>
      </c>
      <c r="AU1304">
        <v>7315.3</v>
      </c>
      <c r="AV1304">
        <v>0</v>
      </c>
      <c r="AW1304">
        <v>0</v>
      </c>
      <c r="AX1304">
        <v>564742.03</v>
      </c>
      <c r="AY1304">
        <v>1874679.81</v>
      </c>
      <c r="AZ1304">
        <v>1</v>
      </c>
      <c r="BA1304">
        <v>611</v>
      </c>
      <c r="BB1304">
        <v>63631.947</v>
      </c>
      <c r="BC1304">
        <v>38879119.482000001</v>
      </c>
      <c r="BD1304">
        <v>8731.9393940000009</v>
      </c>
      <c r="BE1304">
        <v>2923.7620000000002</v>
      </c>
      <c r="BF1304">
        <v>3231</v>
      </c>
      <c r="BG1304">
        <v>11376.715785</v>
      </c>
      <c r="BH1304">
        <v>2157.29</v>
      </c>
    </row>
    <row r="1305" spans="1:60" x14ac:dyDescent="0.35">
      <c r="A1305" t="s">
        <v>2695</v>
      </c>
      <c r="B1305" t="s">
        <v>2696</v>
      </c>
      <c r="C1305" t="s">
        <v>2717</v>
      </c>
      <c r="D1305" t="s">
        <v>2718</v>
      </c>
      <c r="E1305">
        <v>236577</v>
      </c>
      <c r="F1305">
        <v>283</v>
      </c>
      <c r="G1305">
        <v>204.79300000000001</v>
      </c>
      <c r="H1305">
        <v>0.72365009999999996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6182.23</v>
      </c>
      <c r="V1305">
        <v>0</v>
      </c>
      <c r="W1305">
        <v>0</v>
      </c>
      <c r="X1305">
        <v>0</v>
      </c>
      <c r="Y1305">
        <v>0</v>
      </c>
      <c r="Z1305">
        <v>6182.23</v>
      </c>
      <c r="AA1305">
        <v>79192.67</v>
      </c>
      <c r="AB1305">
        <v>0</v>
      </c>
      <c r="AC1305">
        <v>40656.82</v>
      </c>
      <c r="AD1305">
        <v>0</v>
      </c>
      <c r="AE1305">
        <v>0</v>
      </c>
      <c r="AF1305">
        <v>119849.49</v>
      </c>
      <c r="AG1305">
        <v>33000.120000000003</v>
      </c>
      <c r="AH1305">
        <v>0</v>
      </c>
      <c r="AI1305">
        <v>6877.04</v>
      </c>
      <c r="AJ1305">
        <v>0</v>
      </c>
      <c r="AK1305">
        <v>0</v>
      </c>
      <c r="AL1305">
        <v>39877.160000000003</v>
      </c>
      <c r="AM1305">
        <v>67045.919999999998</v>
      </c>
      <c r="AN1305">
        <v>0</v>
      </c>
      <c r="AO1305">
        <v>4908.3100000000004</v>
      </c>
      <c r="AP1305">
        <v>1007.26</v>
      </c>
      <c r="AQ1305">
        <v>0</v>
      </c>
      <c r="AR1305">
        <v>72961.490000000005</v>
      </c>
      <c r="AS1305">
        <v>18734.38</v>
      </c>
      <c r="AT1305">
        <v>0</v>
      </c>
      <c r="AU1305">
        <v>602.08000000000004</v>
      </c>
      <c r="AV1305">
        <v>0</v>
      </c>
      <c r="AW1305">
        <v>0</v>
      </c>
      <c r="AX1305">
        <v>19336.46</v>
      </c>
      <c r="AY1305">
        <v>258206.83</v>
      </c>
      <c r="AZ1305">
        <v>1</v>
      </c>
      <c r="BA1305">
        <v>202</v>
      </c>
      <c r="BB1305">
        <v>65606.396999999997</v>
      </c>
      <c r="BC1305">
        <v>13252492.278000001</v>
      </c>
      <c r="BD1305">
        <v>5502.4907430000003</v>
      </c>
      <c r="BE1305">
        <v>762.30899999999997</v>
      </c>
      <c r="BF1305">
        <v>1151</v>
      </c>
      <c r="BG1305">
        <v>6427.2767940000003</v>
      </c>
      <c r="BH1305">
        <v>966.96</v>
      </c>
    </row>
    <row r="1306" spans="1:60" x14ac:dyDescent="0.35">
      <c r="A1306" t="s">
        <v>2695</v>
      </c>
      <c r="B1306" t="s">
        <v>2696</v>
      </c>
      <c r="C1306" t="s">
        <v>2719</v>
      </c>
      <c r="D1306" t="s">
        <v>2720</v>
      </c>
      <c r="E1306">
        <v>233081</v>
      </c>
      <c r="F1306">
        <v>1072</v>
      </c>
      <c r="G1306">
        <v>1170.932</v>
      </c>
      <c r="H1306">
        <v>1.092287</v>
      </c>
      <c r="I1306">
        <v>14372.46</v>
      </c>
      <c r="J1306">
        <v>0</v>
      </c>
      <c r="K1306">
        <v>0</v>
      </c>
      <c r="L1306">
        <v>0</v>
      </c>
      <c r="M1306">
        <v>0</v>
      </c>
      <c r="N1306">
        <v>14372.46</v>
      </c>
      <c r="O1306">
        <v>391847.41</v>
      </c>
      <c r="P1306">
        <v>68.88</v>
      </c>
      <c r="Q1306">
        <v>0</v>
      </c>
      <c r="R1306">
        <v>0</v>
      </c>
      <c r="S1306">
        <v>0</v>
      </c>
      <c r="T1306">
        <v>391916.29</v>
      </c>
      <c r="U1306">
        <v>127730.86</v>
      </c>
      <c r="V1306">
        <v>4024.86</v>
      </c>
      <c r="W1306">
        <v>705.66</v>
      </c>
      <c r="X1306">
        <v>0</v>
      </c>
      <c r="Y1306">
        <v>0</v>
      </c>
      <c r="Z1306">
        <v>132461.38</v>
      </c>
      <c r="AA1306">
        <v>195788.09</v>
      </c>
      <c r="AB1306">
        <v>11838.76</v>
      </c>
      <c r="AC1306">
        <v>88812.9</v>
      </c>
      <c r="AD1306">
        <v>9873.9699999999993</v>
      </c>
      <c r="AE1306">
        <v>0</v>
      </c>
      <c r="AF1306">
        <v>306313.71999999997</v>
      </c>
      <c r="AG1306">
        <v>31458.47</v>
      </c>
      <c r="AH1306">
        <v>154.94999999999999</v>
      </c>
      <c r="AI1306">
        <v>12023.19</v>
      </c>
      <c r="AJ1306">
        <v>1369.34</v>
      </c>
      <c r="AK1306">
        <v>0</v>
      </c>
      <c r="AL1306">
        <v>45005.95</v>
      </c>
      <c r="AM1306">
        <v>668020.9</v>
      </c>
      <c r="AN1306">
        <v>138446.14000000001</v>
      </c>
      <c r="AO1306">
        <v>12978.73</v>
      </c>
      <c r="AP1306">
        <v>14423.96</v>
      </c>
      <c r="AQ1306">
        <v>0</v>
      </c>
      <c r="AR1306">
        <v>833869.73</v>
      </c>
      <c r="AS1306">
        <v>288298.87</v>
      </c>
      <c r="AT1306">
        <v>0</v>
      </c>
      <c r="AU1306">
        <v>12819.74</v>
      </c>
      <c r="AV1306">
        <v>0</v>
      </c>
      <c r="AW1306">
        <v>0</v>
      </c>
      <c r="AX1306">
        <v>301118.61</v>
      </c>
      <c r="AY1306">
        <v>2025058.14</v>
      </c>
      <c r="AZ1306">
        <v>1</v>
      </c>
      <c r="BA1306">
        <v>227</v>
      </c>
      <c r="BB1306">
        <v>58828.881999999998</v>
      </c>
      <c r="BC1306">
        <v>13354156.194</v>
      </c>
      <c r="BD1306">
        <v>9896.9919379999992</v>
      </c>
      <c r="BE1306">
        <v>3980.5970000000002</v>
      </c>
      <c r="BF1306">
        <v>1267</v>
      </c>
      <c r="BG1306">
        <v>12803.787947999999</v>
      </c>
      <c r="BH1306">
        <v>2908.174</v>
      </c>
    </row>
    <row r="1307" spans="1:60" x14ac:dyDescent="0.35">
      <c r="A1307" t="s">
        <v>2695</v>
      </c>
      <c r="B1307" t="s">
        <v>2696</v>
      </c>
      <c r="C1307" t="s">
        <v>2721</v>
      </c>
      <c r="D1307" t="s">
        <v>2722</v>
      </c>
      <c r="E1307">
        <v>85952</v>
      </c>
      <c r="F1307">
        <v>926</v>
      </c>
      <c r="G1307">
        <v>1047.989</v>
      </c>
      <c r="H1307">
        <v>1.131737</v>
      </c>
      <c r="I1307">
        <v>37936.730000000003</v>
      </c>
      <c r="J1307">
        <v>0</v>
      </c>
      <c r="K1307">
        <v>0</v>
      </c>
      <c r="L1307">
        <v>0</v>
      </c>
      <c r="M1307">
        <v>0</v>
      </c>
      <c r="N1307">
        <v>37936.730000000003</v>
      </c>
      <c r="O1307">
        <v>5403.94</v>
      </c>
      <c r="P1307">
        <v>0</v>
      </c>
      <c r="Q1307">
        <v>0</v>
      </c>
      <c r="R1307">
        <v>0</v>
      </c>
      <c r="S1307">
        <v>0</v>
      </c>
      <c r="T1307">
        <v>5403.94</v>
      </c>
      <c r="U1307">
        <v>49997.120000000003</v>
      </c>
      <c r="V1307">
        <v>0</v>
      </c>
      <c r="W1307">
        <v>0</v>
      </c>
      <c r="X1307">
        <v>0</v>
      </c>
      <c r="Y1307">
        <v>0</v>
      </c>
      <c r="Z1307">
        <v>49997.120000000003</v>
      </c>
      <c r="AA1307">
        <v>160821.57999999999</v>
      </c>
      <c r="AB1307">
        <v>0</v>
      </c>
      <c r="AC1307">
        <v>22157.97</v>
      </c>
      <c r="AD1307">
        <v>0</v>
      </c>
      <c r="AE1307">
        <v>0</v>
      </c>
      <c r="AF1307">
        <v>182979.55</v>
      </c>
      <c r="AG1307">
        <v>620.16</v>
      </c>
      <c r="AH1307">
        <v>0</v>
      </c>
      <c r="AI1307">
        <v>2554.7199999999998</v>
      </c>
      <c r="AJ1307">
        <v>0</v>
      </c>
      <c r="AK1307">
        <v>0</v>
      </c>
      <c r="AL1307">
        <v>3174.88</v>
      </c>
      <c r="AM1307">
        <v>1643791.08</v>
      </c>
      <c r="AN1307">
        <v>79866.490000000005</v>
      </c>
      <c r="AO1307">
        <v>6017.37</v>
      </c>
      <c r="AP1307">
        <v>3387.07</v>
      </c>
      <c r="AQ1307">
        <v>0</v>
      </c>
      <c r="AR1307">
        <v>1733062.01</v>
      </c>
      <c r="AS1307">
        <v>1260333.1599999999</v>
      </c>
      <c r="AT1307">
        <v>0</v>
      </c>
      <c r="AU1307">
        <v>1626.42</v>
      </c>
      <c r="AV1307">
        <v>0</v>
      </c>
      <c r="AW1307">
        <v>0</v>
      </c>
      <c r="AX1307">
        <v>1261959.58</v>
      </c>
      <c r="AY1307">
        <v>3274513.81</v>
      </c>
      <c r="AZ1307">
        <v>1</v>
      </c>
      <c r="BA1307">
        <v>321</v>
      </c>
      <c r="BB1307">
        <v>62146.519</v>
      </c>
      <c r="BC1307">
        <v>19949032.493999999</v>
      </c>
      <c r="BD1307">
        <v>4761.379844</v>
      </c>
      <c r="BE1307">
        <v>3166.4850000000001</v>
      </c>
      <c r="BF1307">
        <v>948</v>
      </c>
      <c r="BG1307">
        <v>6612.1060969999999</v>
      </c>
      <c r="BH1307">
        <v>13244.142</v>
      </c>
    </row>
    <row r="1308" spans="1:60" x14ac:dyDescent="0.35">
      <c r="A1308" t="s">
        <v>2695</v>
      </c>
      <c r="B1308" t="s">
        <v>2696</v>
      </c>
      <c r="C1308" t="s">
        <v>2723</v>
      </c>
      <c r="D1308" t="s">
        <v>2724</v>
      </c>
      <c r="E1308">
        <v>169055</v>
      </c>
      <c r="F1308">
        <v>807</v>
      </c>
      <c r="G1308">
        <v>953.22919999999999</v>
      </c>
      <c r="H1308">
        <v>1.1812009999999999</v>
      </c>
      <c r="I1308">
        <v>265171.92</v>
      </c>
      <c r="J1308">
        <v>661.79</v>
      </c>
      <c r="K1308">
        <v>0</v>
      </c>
      <c r="L1308">
        <v>0</v>
      </c>
      <c r="M1308">
        <v>0</v>
      </c>
      <c r="N1308">
        <v>265833.71000000002</v>
      </c>
      <c r="O1308">
        <v>598533.44999999995</v>
      </c>
      <c r="P1308">
        <v>411.75</v>
      </c>
      <c r="Q1308">
        <v>0</v>
      </c>
      <c r="R1308">
        <v>0</v>
      </c>
      <c r="S1308">
        <v>0</v>
      </c>
      <c r="T1308">
        <v>598945.19999999995</v>
      </c>
      <c r="U1308">
        <v>274244.33</v>
      </c>
      <c r="V1308">
        <v>13220.65</v>
      </c>
      <c r="W1308">
        <v>430.11</v>
      </c>
      <c r="X1308">
        <v>0</v>
      </c>
      <c r="Y1308">
        <v>0</v>
      </c>
      <c r="Z1308">
        <v>287895.09000000003</v>
      </c>
      <c r="AA1308">
        <v>278487.81</v>
      </c>
      <c r="AB1308">
        <v>26529.19</v>
      </c>
      <c r="AC1308">
        <v>37721.32</v>
      </c>
      <c r="AD1308">
        <v>0</v>
      </c>
      <c r="AE1308">
        <v>0</v>
      </c>
      <c r="AF1308">
        <v>342738.32</v>
      </c>
      <c r="AG1308">
        <v>4693.43</v>
      </c>
      <c r="AH1308">
        <v>87.49</v>
      </c>
      <c r="AI1308">
        <v>3481.8</v>
      </c>
      <c r="AJ1308">
        <v>0</v>
      </c>
      <c r="AK1308">
        <v>0</v>
      </c>
      <c r="AL1308">
        <v>8262.7199999999993</v>
      </c>
      <c r="AM1308">
        <v>610950.04</v>
      </c>
      <c r="AN1308">
        <v>147344.74</v>
      </c>
      <c r="AO1308">
        <v>15193.3</v>
      </c>
      <c r="AP1308">
        <v>4336.12</v>
      </c>
      <c r="AQ1308">
        <v>0</v>
      </c>
      <c r="AR1308">
        <v>777824.2</v>
      </c>
      <c r="AS1308">
        <v>1144023.99</v>
      </c>
      <c r="AT1308">
        <v>0</v>
      </c>
      <c r="AU1308">
        <v>2969.26</v>
      </c>
      <c r="AV1308">
        <v>0</v>
      </c>
      <c r="AW1308">
        <v>0</v>
      </c>
      <c r="AX1308">
        <v>1146993.25</v>
      </c>
      <c r="AY1308">
        <v>3428492.49</v>
      </c>
      <c r="AZ1308">
        <v>1</v>
      </c>
      <c r="BA1308">
        <v>411</v>
      </c>
      <c r="BB1308">
        <v>67684.475000000006</v>
      </c>
      <c r="BC1308">
        <v>27818319.210999999</v>
      </c>
      <c r="BD1308">
        <v>3198.602895</v>
      </c>
      <c r="BE1308">
        <v>3471.7820000000002</v>
      </c>
      <c r="BF1308">
        <v>1471</v>
      </c>
      <c r="BG1308">
        <v>4676.5340239999996</v>
      </c>
      <c r="BH1308">
        <v>4939.0370000000003</v>
      </c>
    </row>
    <row r="1309" spans="1:60" x14ac:dyDescent="0.35">
      <c r="A1309" t="s">
        <v>2695</v>
      </c>
      <c r="B1309" t="s">
        <v>2696</v>
      </c>
      <c r="C1309" t="s">
        <v>2725</v>
      </c>
      <c r="D1309" t="s">
        <v>2726</v>
      </c>
      <c r="E1309">
        <v>190290</v>
      </c>
      <c r="F1309">
        <v>5826</v>
      </c>
      <c r="G1309">
        <v>4643.1790000000001</v>
      </c>
      <c r="H1309">
        <v>0.79697549999999995</v>
      </c>
      <c r="I1309">
        <v>3334733.4</v>
      </c>
      <c r="J1309">
        <v>800.61</v>
      </c>
      <c r="K1309">
        <v>0</v>
      </c>
      <c r="L1309">
        <v>0</v>
      </c>
      <c r="M1309">
        <v>0</v>
      </c>
      <c r="N1309">
        <v>3335534.01</v>
      </c>
      <c r="O1309">
        <v>763563.07</v>
      </c>
      <c r="P1309">
        <v>96.56</v>
      </c>
      <c r="Q1309">
        <v>0</v>
      </c>
      <c r="R1309">
        <v>0</v>
      </c>
      <c r="S1309">
        <v>0</v>
      </c>
      <c r="T1309">
        <v>763659.63</v>
      </c>
      <c r="U1309">
        <v>703760.72</v>
      </c>
      <c r="V1309">
        <v>3886.83</v>
      </c>
      <c r="W1309">
        <v>10575.51</v>
      </c>
      <c r="X1309">
        <v>0</v>
      </c>
      <c r="Y1309">
        <v>0</v>
      </c>
      <c r="Z1309">
        <v>718223.06</v>
      </c>
      <c r="AA1309">
        <v>976012.80000000005</v>
      </c>
      <c r="AB1309">
        <v>15438.36</v>
      </c>
      <c r="AC1309">
        <v>39475.660000000003</v>
      </c>
      <c r="AD1309">
        <v>0</v>
      </c>
      <c r="AE1309">
        <v>0</v>
      </c>
      <c r="AF1309">
        <v>1030926.82</v>
      </c>
      <c r="AG1309">
        <v>22836.560000000001</v>
      </c>
      <c r="AH1309">
        <v>185.86</v>
      </c>
      <c r="AI1309">
        <v>3854.92</v>
      </c>
      <c r="AJ1309">
        <v>0</v>
      </c>
      <c r="AK1309">
        <v>0</v>
      </c>
      <c r="AL1309">
        <v>26877.34</v>
      </c>
      <c r="AM1309">
        <v>2204695.2799999998</v>
      </c>
      <c r="AN1309">
        <v>63959.09</v>
      </c>
      <c r="AO1309">
        <v>2593.34</v>
      </c>
      <c r="AP1309">
        <v>3525.55</v>
      </c>
      <c r="AQ1309">
        <v>0</v>
      </c>
      <c r="AR1309">
        <v>2274773.2599999998</v>
      </c>
      <c r="AS1309">
        <v>750630.96</v>
      </c>
      <c r="AT1309">
        <v>0</v>
      </c>
      <c r="AU1309">
        <v>4709.71</v>
      </c>
      <c r="AV1309">
        <v>0</v>
      </c>
      <c r="AW1309">
        <v>0</v>
      </c>
      <c r="AX1309">
        <v>755340.67</v>
      </c>
      <c r="AY1309">
        <v>8905334.7899999991</v>
      </c>
      <c r="AZ1309">
        <v>1</v>
      </c>
      <c r="BA1309">
        <v>1275</v>
      </c>
      <c r="BB1309">
        <v>64576.9</v>
      </c>
      <c r="BC1309">
        <v>82335547.849999994</v>
      </c>
      <c r="BD1309">
        <v>9007.4900240000006</v>
      </c>
      <c r="BE1309">
        <v>2092.806</v>
      </c>
      <c r="BF1309">
        <v>7770</v>
      </c>
      <c r="BG1309">
        <v>9078.143435</v>
      </c>
      <c r="BH1309">
        <v>2589.71</v>
      </c>
    </row>
    <row r="1310" spans="1:60" x14ac:dyDescent="0.35">
      <c r="A1310" t="s">
        <v>2695</v>
      </c>
      <c r="B1310" t="s">
        <v>2696</v>
      </c>
      <c r="C1310" t="s">
        <v>2727</v>
      </c>
      <c r="D1310" t="s">
        <v>2728</v>
      </c>
      <c r="E1310">
        <v>63721</v>
      </c>
      <c r="F1310">
        <v>874</v>
      </c>
      <c r="G1310">
        <v>937.64139999999998</v>
      </c>
      <c r="H1310">
        <v>1.072816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8544.25</v>
      </c>
      <c r="P1310">
        <v>0</v>
      </c>
      <c r="Q1310">
        <v>0</v>
      </c>
      <c r="R1310">
        <v>0</v>
      </c>
      <c r="S1310">
        <v>0</v>
      </c>
      <c r="T1310">
        <v>8544.25</v>
      </c>
      <c r="U1310">
        <v>33910.769999999997</v>
      </c>
      <c r="V1310">
        <v>0</v>
      </c>
      <c r="W1310">
        <v>0</v>
      </c>
      <c r="X1310">
        <v>0</v>
      </c>
      <c r="Y1310">
        <v>0</v>
      </c>
      <c r="Z1310">
        <v>33910.769999999997</v>
      </c>
      <c r="AA1310">
        <v>117819.51</v>
      </c>
      <c r="AB1310">
        <v>0</v>
      </c>
      <c r="AC1310">
        <v>18110.98</v>
      </c>
      <c r="AD1310">
        <v>0</v>
      </c>
      <c r="AE1310">
        <v>0</v>
      </c>
      <c r="AF1310">
        <v>135930.49</v>
      </c>
      <c r="AG1310">
        <v>477.63</v>
      </c>
      <c r="AH1310">
        <v>0</v>
      </c>
      <c r="AI1310">
        <v>2240.48</v>
      </c>
      <c r="AJ1310">
        <v>0</v>
      </c>
      <c r="AK1310">
        <v>0</v>
      </c>
      <c r="AL1310">
        <v>2718.11</v>
      </c>
      <c r="AM1310">
        <v>571564.43999999994</v>
      </c>
      <c r="AN1310">
        <v>0</v>
      </c>
      <c r="AO1310">
        <v>6453.69</v>
      </c>
      <c r="AP1310">
        <v>0</v>
      </c>
      <c r="AQ1310">
        <v>0</v>
      </c>
      <c r="AR1310">
        <v>578018.13</v>
      </c>
      <c r="AS1310">
        <v>374789.34</v>
      </c>
      <c r="AT1310">
        <v>0</v>
      </c>
      <c r="AU1310">
        <v>239.44</v>
      </c>
      <c r="AV1310">
        <v>0</v>
      </c>
      <c r="AW1310">
        <v>0</v>
      </c>
      <c r="AX1310">
        <v>375028.78</v>
      </c>
      <c r="AY1310">
        <v>1134150.53</v>
      </c>
      <c r="AZ1310">
        <v>1</v>
      </c>
      <c r="BA1310">
        <v>333</v>
      </c>
      <c r="BB1310">
        <v>63897.366000000002</v>
      </c>
      <c r="BC1310">
        <v>21277822.784000002</v>
      </c>
      <c r="BD1310">
        <v>3668.2224019999999</v>
      </c>
      <c r="BE1310">
        <v>3413.1590000000001</v>
      </c>
      <c r="BF1310">
        <v>1131</v>
      </c>
      <c r="BG1310">
        <v>3808.4099649999998</v>
      </c>
      <c r="BH1310">
        <v>12448.812</v>
      </c>
    </row>
    <row r="1311" spans="1:60" x14ac:dyDescent="0.35">
      <c r="A1311" t="s">
        <v>2695</v>
      </c>
      <c r="B1311" t="s">
        <v>2696</v>
      </c>
      <c r="C1311" t="s">
        <v>2729</v>
      </c>
      <c r="D1311" t="s">
        <v>2730</v>
      </c>
      <c r="E1311">
        <v>365339</v>
      </c>
      <c r="F1311">
        <v>1990</v>
      </c>
      <c r="G1311">
        <v>1673.895</v>
      </c>
      <c r="H1311">
        <v>0.84115340000000005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8183.17</v>
      </c>
      <c r="P1311">
        <v>0</v>
      </c>
      <c r="Q1311">
        <v>465.88</v>
      </c>
      <c r="R1311">
        <v>0</v>
      </c>
      <c r="S1311">
        <v>0</v>
      </c>
      <c r="T1311">
        <v>8649.0499999999993</v>
      </c>
      <c r="U1311">
        <v>123033.34</v>
      </c>
      <c r="V1311">
        <v>0</v>
      </c>
      <c r="W1311">
        <v>1382.72</v>
      </c>
      <c r="X1311">
        <v>0</v>
      </c>
      <c r="Y1311">
        <v>0</v>
      </c>
      <c r="Z1311">
        <v>124416.06</v>
      </c>
      <c r="AA1311">
        <v>661832.11</v>
      </c>
      <c r="AB1311">
        <v>26327.64</v>
      </c>
      <c r="AC1311">
        <v>329133.02</v>
      </c>
      <c r="AD1311">
        <v>0</v>
      </c>
      <c r="AE1311">
        <v>0</v>
      </c>
      <c r="AF1311">
        <v>1017292.77</v>
      </c>
      <c r="AG1311">
        <v>75922.44</v>
      </c>
      <c r="AH1311">
        <v>6603.54</v>
      </c>
      <c r="AI1311">
        <v>40459.800000000003</v>
      </c>
      <c r="AJ1311">
        <v>0</v>
      </c>
      <c r="AK1311">
        <v>0</v>
      </c>
      <c r="AL1311">
        <v>122985.78</v>
      </c>
      <c r="AM1311">
        <v>413839.64</v>
      </c>
      <c r="AN1311">
        <v>50942.95</v>
      </c>
      <c r="AO1311">
        <v>58868.58</v>
      </c>
      <c r="AP1311">
        <v>0</v>
      </c>
      <c r="AQ1311">
        <v>0</v>
      </c>
      <c r="AR1311">
        <v>523651.17</v>
      </c>
      <c r="AS1311">
        <v>368691.79</v>
      </c>
      <c r="AT1311">
        <v>0</v>
      </c>
      <c r="AU1311">
        <v>16417.16</v>
      </c>
      <c r="AV1311">
        <v>0</v>
      </c>
      <c r="AW1311">
        <v>0</v>
      </c>
      <c r="AX1311">
        <v>385108.95</v>
      </c>
      <c r="AY1311">
        <v>2182103.7799999998</v>
      </c>
      <c r="AZ1311">
        <v>1</v>
      </c>
      <c r="BA1311">
        <v>726</v>
      </c>
      <c r="BB1311">
        <v>65671.566999999995</v>
      </c>
      <c r="BC1311">
        <v>47677557.395000003</v>
      </c>
      <c r="BD1311">
        <v>4991.2355509999998</v>
      </c>
      <c r="BE1311">
        <v>3041.2750000000001</v>
      </c>
      <c r="BF1311">
        <v>3448</v>
      </c>
      <c r="BG1311">
        <v>7738.3629469999996</v>
      </c>
      <c r="BH1311">
        <v>4394.7139999999999</v>
      </c>
    </row>
    <row r="1312" spans="1:60" x14ac:dyDescent="0.35">
      <c r="A1312" t="s">
        <v>2695</v>
      </c>
      <c r="B1312" t="s">
        <v>2696</v>
      </c>
      <c r="C1312" t="s">
        <v>2731</v>
      </c>
      <c r="D1312" t="s">
        <v>2732</v>
      </c>
      <c r="E1312">
        <v>319335</v>
      </c>
      <c r="F1312">
        <v>658</v>
      </c>
      <c r="G1312">
        <v>785.03300000000002</v>
      </c>
      <c r="H1312">
        <v>1.1930590000000001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871.27</v>
      </c>
      <c r="P1312">
        <v>0</v>
      </c>
      <c r="Q1312">
        <v>0</v>
      </c>
      <c r="R1312">
        <v>0</v>
      </c>
      <c r="S1312">
        <v>0</v>
      </c>
      <c r="T1312">
        <v>871.27</v>
      </c>
      <c r="U1312">
        <v>5160.46</v>
      </c>
      <c r="V1312">
        <v>0</v>
      </c>
      <c r="W1312">
        <v>0</v>
      </c>
      <c r="X1312">
        <v>0</v>
      </c>
      <c r="Y1312">
        <v>0</v>
      </c>
      <c r="Z1312">
        <v>5160.46</v>
      </c>
      <c r="AA1312">
        <v>89326.85</v>
      </c>
      <c r="AB1312">
        <v>13510.4</v>
      </c>
      <c r="AC1312">
        <v>77708.56</v>
      </c>
      <c r="AD1312">
        <v>0</v>
      </c>
      <c r="AE1312">
        <v>0</v>
      </c>
      <c r="AF1312">
        <v>180545.81</v>
      </c>
      <c r="AG1312">
        <v>20819.96</v>
      </c>
      <c r="AH1312">
        <v>4862.47</v>
      </c>
      <c r="AI1312">
        <v>11679.21</v>
      </c>
      <c r="AJ1312">
        <v>0</v>
      </c>
      <c r="AK1312">
        <v>0</v>
      </c>
      <c r="AL1312">
        <v>37361.64</v>
      </c>
      <c r="AM1312">
        <v>58636.61</v>
      </c>
      <c r="AN1312">
        <v>16406.849999999999</v>
      </c>
      <c r="AO1312">
        <v>41670.06</v>
      </c>
      <c r="AP1312">
        <v>0</v>
      </c>
      <c r="AQ1312">
        <v>0</v>
      </c>
      <c r="AR1312">
        <v>116713.52</v>
      </c>
      <c r="AS1312">
        <v>18893.8</v>
      </c>
      <c r="AT1312">
        <v>0</v>
      </c>
      <c r="AU1312">
        <v>2525.41</v>
      </c>
      <c r="AV1312">
        <v>0</v>
      </c>
      <c r="AW1312">
        <v>0</v>
      </c>
      <c r="AX1312">
        <v>21419.21</v>
      </c>
      <c r="AY1312">
        <v>362071.91</v>
      </c>
      <c r="AZ1312">
        <v>1</v>
      </c>
      <c r="BA1312">
        <v>355</v>
      </c>
      <c r="BB1312">
        <v>73752.088000000003</v>
      </c>
      <c r="BC1312">
        <v>26181991.377999999</v>
      </c>
      <c r="BD1312">
        <v>3137.367718</v>
      </c>
      <c r="BE1312">
        <v>949.91099999999994</v>
      </c>
      <c r="BF1312">
        <v>2097</v>
      </c>
      <c r="BG1312">
        <v>4475.338135</v>
      </c>
      <c r="BH1312">
        <v>1763.462</v>
      </c>
    </row>
    <row r="1313" spans="1:60" x14ac:dyDescent="0.35">
      <c r="A1313" t="s">
        <v>2695</v>
      </c>
      <c r="B1313" t="s">
        <v>2696</v>
      </c>
      <c r="C1313" t="s">
        <v>2733</v>
      </c>
      <c r="D1313" t="s">
        <v>2734</v>
      </c>
      <c r="E1313">
        <v>118398</v>
      </c>
      <c r="F1313">
        <v>470</v>
      </c>
      <c r="G1313">
        <v>479.1893</v>
      </c>
      <c r="H1313">
        <v>1.019552</v>
      </c>
      <c r="I1313">
        <v>1.47</v>
      </c>
      <c r="J1313">
        <v>0</v>
      </c>
      <c r="K1313">
        <v>0</v>
      </c>
      <c r="L1313">
        <v>0</v>
      </c>
      <c r="M1313">
        <v>57819.839999999997</v>
      </c>
      <c r="N1313">
        <v>57821.31</v>
      </c>
      <c r="O1313">
        <v>2694.37</v>
      </c>
      <c r="P1313">
        <v>0</v>
      </c>
      <c r="Q1313">
        <v>0</v>
      </c>
      <c r="R1313">
        <v>0</v>
      </c>
      <c r="S1313">
        <v>196557.69</v>
      </c>
      <c r="T1313">
        <v>199252.06</v>
      </c>
      <c r="U1313">
        <v>12798.22</v>
      </c>
      <c r="V1313">
        <v>0</v>
      </c>
      <c r="W1313">
        <v>0</v>
      </c>
      <c r="X1313">
        <v>0</v>
      </c>
      <c r="Y1313">
        <v>210550</v>
      </c>
      <c r="Z1313">
        <v>223348.22</v>
      </c>
      <c r="AA1313">
        <v>167448.35999999999</v>
      </c>
      <c r="AB1313">
        <v>13406.78</v>
      </c>
      <c r="AC1313">
        <v>57968.18</v>
      </c>
      <c r="AD1313">
        <v>0</v>
      </c>
      <c r="AE1313">
        <v>192465.39</v>
      </c>
      <c r="AF1313">
        <v>431288.71</v>
      </c>
      <c r="AG1313">
        <v>25496.99</v>
      </c>
      <c r="AH1313">
        <v>2863.48</v>
      </c>
      <c r="AI1313">
        <v>9223.15</v>
      </c>
      <c r="AJ1313">
        <v>0</v>
      </c>
      <c r="AK1313">
        <v>0</v>
      </c>
      <c r="AL1313">
        <v>37583.620000000003</v>
      </c>
      <c r="AM1313">
        <v>87250.58</v>
      </c>
      <c r="AN1313">
        <v>17264.12</v>
      </c>
      <c r="AO1313">
        <v>11093.06</v>
      </c>
      <c r="AP1313">
        <v>0</v>
      </c>
      <c r="AQ1313">
        <v>0</v>
      </c>
      <c r="AR1313">
        <v>115607.76</v>
      </c>
      <c r="AS1313">
        <v>71084</v>
      </c>
      <c r="AT1313">
        <v>0</v>
      </c>
      <c r="AU1313">
        <v>2232</v>
      </c>
      <c r="AV1313">
        <v>0</v>
      </c>
      <c r="AW1313">
        <v>0</v>
      </c>
      <c r="AX1313">
        <v>73316</v>
      </c>
      <c r="AY1313">
        <v>1138217.68</v>
      </c>
      <c r="AZ1313">
        <v>1</v>
      </c>
      <c r="BA1313">
        <v>153</v>
      </c>
      <c r="BB1313">
        <v>84232.123000000007</v>
      </c>
      <c r="BC1313">
        <v>12887514.85</v>
      </c>
      <c r="BD1313">
        <v>3253.4013730000001</v>
      </c>
      <c r="BE1313">
        <v>1266.452</v>
      </c>
      <c r="BF1313">
        <v>1111</v>
      </c>
      <c r="BG1313">
        <v>6886.2949680000002</v>
      </c>
      <c r="BH1313">
        <v>2182.8180000000002</v>
      </c>
    </row>
    <row r="1314" spans="1:60" x14ac:dyDescent="0.35">
      <c r="A1314" t="s">
        <v>2695</v>
      </c>
      <c r="B1314" t="s">
        <v>2696</v>
      </c>
      <c r="C1314" t="s">
        <v>2735</v>
      </c>
      <c r="D1314" t="s">
        <v>2736</v>
      </c>
      <c r="E1314">
        <v>70296</v>
      </c>
      <c r="F1314">
        <v>570</v>
      </c>
      <c r="G1314">
        <v>706.38630000000001</v>
      </c>
      <c r="H1314">
        <v>1.239274</v>
      </c>
      <c r="I1314">
        <v>93439.83</v>
      </c>
      <c r="J1314">
        <v>0</v>
      </c>
      <c r="K1314">
        <v>0</v>
      </c>
      <c r="L1314">
        <v>0</v>
      </c>
      <c r="M1314">
        <v>0</v>
      </c>
      <c r="N1314">
        <v>93439.83</v>
      </c>
      <c r="O1314">
        <v>1040858.72</v>
      </c>
      <c r="P1314">
        <v>0</v>
      </c>
      <c r="Q1314">
        <v>0</v>
      </c>
      <c r="R1314">
        <v>0</v>
      </c>
      <c r="S1314">
        <v>0</v>
      </c>
      <c r="T1314">
        <v>1040858.72</v>
      </c>
      <c r="U1314">
        <v>266843.52000000002</v>
      </c>
      <c r="V1314">
        <v>0</v>
      </c>
      <c r="W1314">
        <v>214.6</v>
      </c>
      <c r="X1314">
        <v>0</v>
      </c>
      <c r="Y1314">
        <v>0</v>
      </c>
      <c r="Z1314">
        <v>267058.12</v>
      </c>
      <c r="AA1314">
        <v>101367.21</v>
      </c>
      <c r="AB1314">
        <v>779.45</v>
      </c>
      <c r="AC1314">
        <v>80158.080000000002</v>
      </c>
      <c r="AD1314">
        <v>0</v>
      </c>
      <c r="AE1314">
        <v>0</v>
      </c>
      <c r="AF1314">
        <v>182304.74</v>
      </c>
      <c r="AG1314">
        <v>2981.78</v>
      </c>
      <c r="AH1314">
        <v>378.27</v>
      </c>
      <c r="AI1314">
        <v>8116.12</v>
      </c>
      <c r="AJ1314">
        <v>0</v>
      </c>
      <c r="AK1314">
        <v>0</v>
      </c>
      <c r="AL1314">
        <v>11476.17</v>
      </c>
      <c r="AM1314">
        <v>247879.3</v>
      </c>
      <c r="AN1314">
        <v>13246.65</v>
      </c>
      <c r="AO1314">
        <v>13949.83</v>
      </c>
      <c r="AP1314">
        <v>0</v>
      </c>
      <c r="AQ1314">
        <v>0</v>
      </c>
      <c r="AR1314">
        <v>275075.78000000003</v>
      </c>
      <c r="AS1314">
        <v>730389.21</v>
      </c>
      <c r="AT1314">
        <v>0</v>
      </c>
      <c r="AU1314">
        <v>10714.07</v>
      </c>
      <c r="AV1314">
        <v>0</v>
      </c>
      <c r="AW1314">
        <v>0</v>
      </c>
      <c r="AX1314">
        <v>741103.28</v>
      </c>
      <c r="AY1314">
        <v>2611316.64</v>
      </c>
      <c r="AZ1314">
        <v>1</v>
      </c>
      <c r="BA1314">
        <v>289</v>
      </c>
      <c r="BB1314">
        <v>82736.853000000003</v>
      </c>
      <c r="BC1314">
        <v>23910950.396000002</v>
      </c>
      <c r="BD1314">
        <v>5444.2148100000004</v>
      </c>
      <c r="BE1314">
        <v>5483.2380000000003</v>
      </c>
      <c r="BF1314">
        <v>1010</v>
      </c>
      <c r="BG1314">
        <v>7538.4990299999999</v>
      </c>
      <c r="BH1314">
        <v>8915.5689999999995</v>
      </c>
    </row>
    <row r="1315" spans="1:60" x14ac:dyDescent="0.35">
      <c r="A1315" t="s">
        <v>2695</v>
      </c>
      <c r="B1315" t="s">
        <v>2696</v>
      </c>
      <c r="C1315" t="s">
        <v>2737</v>
      </c>
      <c r="D1315" t="s">
        <v>2738</v>
      </c>
      <c r="E1315">
        <v>101000</v>
      </c>
      <c r="F1315">
        <v>409</v>
      </c>
      <c r="G1315">
        <v>426.90940000000001</v>
      </c>
      <c r="H1315">
        <v>1.0437879999999999</v>
      </c>
      <c r="I1315">
        <v>9162.14</v>
      </c>
      <c r="J1315">
        <v>0</v>
      </c>
      <c r="K1315">
        <v>0</v>
      </c>
      <c r="L1315">
        <v>0</v>
      </c>
      <c r="M1315">
        <v>0</v>
      </c>
      <c r="N1315">
        <v>9162.14</v>
      </c>
      <c r="O1315">
        <v>10215.06</v>
      </c>
      <c r="P1315">
        <v>0</v>
      </c>
      <c r="Q1315">
        <v>0</v>
      </c>
      <c r="R1315">
        <v>0</v>
      </c>
      <c r="S1315">
        <v>0</v>
      </c>
      <c r="T1315">
        <v>10215.06</v>
      </c>
      <c r="U1315">
        <v>23948</v>
      </c>
      <c r="V1315">
        <v>0</v>
      </c>
      <c r="W1315">
        <v>0</v>
      </c>
      <c r="X1315">
        <v>0</v>
      </c>
      <c r="Y1315">
        <v>0</v>
      </c>
      <c r="Z1315">
        <v>23948</v>
      </c>
      <c r="AA1315">
        <v>52300.27</v>
      </c>
      <c r="AB1315">
        <v>0</v>
      </c>
      <c r="AC1315">
        <v>0</v>
      </c>
      <c r="AD1315">
        <v>0</v>
      </c>
      <c r="AE1315">
        <v>0</v>
      </c>
      <c r="AF1315">
        <v>52300.27</v>
      </c>
      <c r="AG1315">
        <v>178.85</v>
      </c>
      <c r="AH1315">
        <v>0</v>
      </c>
      <c r="AI1315">
        <v>0</v>
      </c>
      <c r="AJ1315">
        <v>0</v>
      </c>
      <c r="AK1315">
        <v>0</v>
      </c>
      <c r="AL1315">
        <v>178.85</v>
      </c>
      <c r="AM1315">
        <v>188111.42</v>
      </c>
      <c r="AN1315">
        <v>8752</v>
      </c>
      <c r="AO1315">
        <v>7222.94</v>
      </c>
      <c r="AP1315">
        <v>0</v>
      </c>
      <c r="AQ1315">
        <v>0</v>
      </c>
      <c r="AR1315">
        <v>204086.36</v>
      </c>
      <c r="AS1315">
        <v>625428.63</v>
      </c>
      <c r="AT1315">
        <v>0</v>
      </c>
      <c r="AU1315">
        <v>0</v>
      </c>
      <c r="AV1315">
        <v>0</v>
      </c>
      <c r="AW1315">
        <v>0</v>
      </c>
      <c r="AX1315">
        <v>625428.63</v>
      </c>
      <c r="AY1315">
        <v>925319.31</v>
      </c>
      <c r="AZ1315">
        <v>1</v>
      </c>
      <c r="BA1315">
        <v>236</v>
      </c>
      <c r="BB1315">
        <v>68691.898000000001</v>
      </c>
      <c r="BC1315">
        <v>16211288.036</v>
      </c>
      <c r="BD1315">
        <v>5782.5251689999996</v>
      </c>
      <c r="BE1315">
        <v>2124.183</v>
      </c>
      <c r="BF1315">
        <v>794</v>
      </c>
      <c r="BG1315">
        <v>7002.1298360000001</v>
      </c>
      <c r="BH1315">
        <v>10240.52</v>
      </c>
    </row>
    <row r="1316" spans="1:60" x14ac:dyDescent="0.35">
      <c r="A1316" t="s">
        <v>2695</v>
      </c>
      <c r="B1316" t="s">
        <v>2696</v>
      </c>
      <c r="C1316" t="s">
        <v>2739</v>
      </c>
      <c r="D1316" t="s">
        <v>2740</v>
      </c>
      <c r="E1316">
        <v>118009</v>
      </c>
      <c r="F1316">
        <v>2784</v>
      </c>
      <c r="G1316">
        <v>3809.105</v>
      </c>
      <c r="H1316">
        <v>1.3682129999999999</v>
      </c>
      <c r="I1316">
        <v>3703118.52</v>
      </c>
      <c r="J1316">
        <v>0</v>
      </c>
      <c r="K1316">
        <v>0</v>
      </c>
      <c r="L1316">
        <v>2513.38</v>
      </c>
      <c r="M1316">
        <v>0</v>
      </c>
      <c r="N1316">
        <v>3705631.9</v>
      </c>
      <c r="O1316">
        <v>3469451.55</v>
      </c>
      <c r="P1316">
        <v>415.6</v>
      </c>
      <c r="Q1316">
        <v>378.42</v>
      </c>
      <c r="R1316">
        <v>7827.88</v>
      </c>
      <c r="S1316">
        <v>0</v>
      </c>
      <c r="T1316">
        <v>3478073.45</v>
      </c>
      <c r="U1316">
        <v>1253607.76</v>
      </c>
      <c r="V1316">
        <v>1074.48</v>
      </c>
      <c r="W1316">
        <v>1246.22</v>
      </c>
      <c r="X1316">
        <v>5954.32</v>
      </c>
      <c r="Y1316">
        <v>0</v>
      </c>
      <c r="Z1316">
        <v>1261882.78</v>
      </c>
      <c r="AA1316">
        <v>2346877.15</v>
      </c>
      <c r="AB1316">
        <v>5164.6000000000004</v>
      </c>
      <c r="AC1316">
        <v>78308.45</v>
      </c>
      <c r="AD1316">
        <v>5301.19</v>
      </c>
      <c r="AE1316">
        <v>0</v>
      </c>
      <c r="AF1316">
        <v>2435651.39</v>
      </c>
      <c r="AG1316">
        <v>12545.88</v>
      </c>
      <c r="AH1316">
        <v>22.67</v>
      </c>
      <c r="AI1316">
        <v>6783.94</v>
      </c>
      <c r="AJ1316">
        <v>8.92</v>
      </c>
      <c r="AK1316">
        <v>0</v>
      </c>
      <c r="AL1316">
        <v>19361.41</v>
      </c>
      <c r="AM1316">
        <v>5260916.92</v>
      </c>
      <c r="AN1316">
        <v>32705.49</v>
      </c>
      <c r="AO1316">
        <v>192031.14</v>
      </c>
      <c r="AP1316">
        <v>8698.68</v>
      </c>
      <c r="AQ1316">
        <v>0</v>
      </c>
      <c r="AR1316">
        <v>5494352.2300000004</v>
      </c>
      <c r="AS1316">
        <v>7374940.7999999998</v>
      </c>
      <c r="AT1316">
        <v>0</v>
      </c>
      <c r="AU1316">
        <v>18109.599999999999</v>
      </c>
      <c r="AV1316">
        <v>1.79</v>
      </c>
      <c r="AW1316">
        <v>0</v>
      </c>
      <c r="AX1316">
        <v>7393052.1900000004</v>
      </c>
      <c r="AY1316">
        <v>23788005.350000001</v>
      </c>
      <c r="AZ1316">
        <v>1</v>
      </c>
      <c r="BA1316">
        <v>764</v>
      </c>
      <c r="BB1316">
        <v>84483.914000000004</v>
      </c>
      <c r="BC1316">
        <v>64545710.519000001</v>
      </c>
      <c r="BD1316">
        <v>3046.987435</v>
      </c>
      <c r="BE1316">
        <v>7158.8710000000001</v>
      </c>
      <c r="BF1316">
        <v>2951</v>
      </c>
      <c r="BG1316">
        <v>1731.1039479999999</v>
      </c>
      <c r="BH1316">
        <v>29753.905999999999</v>
      </c>
    </row>
    <row r="1317" spans="1:60" x14ac:dyDescent="0.35">
      <c r="A1317" t="s">
        <v>2695</v>
      </c>
      <c r="B1317" t="s">
        <v>2696</v>
      </c>
      <c r="C1317" t="s">
        <v>2741</v>
      </c>
      <c r="D1317" t="s">
        <v>2742</v>
      </c>
      <c r="E1317">
        <v>162235</v>
      </c>
      <c r="F1317">
        <v>152</v>
      </c>
      <c r="G1317">
        <v>118.90130000000001</v>
      </c>
      <c r="H1317">
        <v>0.78224559999999999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212.28</v>
      </c>
      <c r="V1317">
        <v>0</v>
      </c>
      <c r="W1317">
        <v>0</v>
      </c>
      <c r="X1317">
        <v>0</v>
      </c>
      <c r="Y1317">
        <v>0</v>
      </c>
      <c r="Z1317">
        <v>212.28</v>
      </c>
      <c r="AA1317">
        <v>115940.43</v>
      </c>
      <c r="AB1317">
        <v>17022.740000000002</v>
      </c>
      <c r="AC1317">
        <v>74793.539999999994</v>
      </c>
      <c r="AD1317">
        <v>0</v>
      </c>
      <c r="AE1317">
        <v>0</v>
      </c>
      <c r="AF1317">
        <v>207756.71</v>
      </c>
      <c r="AG1317">
        <v>39258.86</v>
      </c>
      <c r="AH1317">
        <v>6026.42</v>
      </c>
      <c r="AI1317">
        <v>14526.75</v>
      </c>
      <c r="AJ1317">
        <v>0</v>
      </c>
      <c r="AK1317">
        <v>0</v>
      </c>
      <c r="AL1317">
        <v>59812.03</v>
      </c>
      <c r="AM1317">
        <v>11935.3</v>
      </c>
      <c r="AN1317">
        <v>4076.01</v>
      </c>
      <c r="AO1317">
        <v>20120.09</v>
      </c>
      <c r="AP1317">
        <v>0</v>
      </c>
      <c r="AQ1317">
        <v>0</v>
      </c>
      <c r="AR1317">
        <v>36131.4</v>
      </c>
      <c r="AS1317">
        <v>1173.79</v>
      </c>
      <c r="AT1317">
        <v>0</v>
      </c>
      <c r="AU1317">
        <v>519.14</v>
      </c>
      <c r="AV1317">
        <v>0</v>
      </c>
      <c r="AW1317">
        <v>0</v>
      </c>
      <c r="AX1317">
        <v>1692.93</v>
      </c>
      <c r="AY1317">
        <v>305605.34999999998</v>
      </c>
      <c r="AZ1317">
        <v>1</v>
      </c>
      <c r="BA1317">
        <v>146</v>
      </c>
      <c r="BB1317">
        <v>62874.942000000003</v>
      </c>
      <c r="BC1317">
        <v>9179741.4849999994</v>
      </c>
      <c r="BD1317">
        <v>6685.2651370000003</v>
      </c>
      <c r="BE1317">
        <v>1291.75</v>
      </c>
      <c r="BF1317">
        <v>909</v>
      </c>
      <c r="BG1317">
        <v>4167.3469530000002</v>
      </c>
      <c r="BH1317">
        <v>1841.6669999999999</v>
      </c>
    </row>
    <row r="1318" spans="1:60" x14ac:dyDescent="0.35">
      <c r="A1318" t="s">
        <v>2695</v>
      </c>
      <c r="B1318" t="s">
        <v>2696</v>
      </c>
      <c r="C1318" t="s">
        <v>2743</v>
      </c>
      <c r="D1318" t="s">
        <v>2744</v>
      </c>
      <c r="E1318">
        <v>18487</v>
      </c>
      <c r="F1318">
        <v>32</v>
      </c>
      <c r="G1318">
        <v>33.053620000000002</v>
      </c>
      <c r="H1318">
        <v>1.032926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1</v>
      </c>
      <c r="BA1318">
        <v>14</v>
      </c>
      <c r="BB1318">
        <v>31304.294999999998</v>
      </c>
      <c r="BC1318">
        <v>438260.13299999997</v>
      </c>
      <c r="BD1318">
        <v>27915.967143000002</v>
      </c>
      <c r="BE1318">
        <v>0</v>
      </c>
      <c r="BF1318">
        <v>109</v>
      </c>
      <c r="BG1318">
        <v>6140.6217429999997</v>
      </c>
      <c r="BH1318">
        <v>27.324999999999999</v>
      </c>
    </row>
    <row r="1319" spans="1:60" x14ac:dyDescent="0.35">
      <c r="A1319" t="s">
        <v>2695</v>
      </c>
      <c r="B1319" t="s">
        <v>2696</v>
      </c>
      <c r="C1319" t="s">
        <v>2745</v>
      </c>
      <c r="D1319" t="s">
        <v>2746</v>
      </c>
      <c r="E1319">
        <v>428008</v>
      </c>
      <c r="F1319">
        <v>977</v>
      </c>
      <c r="G1319">
        <v>825.0711</v>
      </c>
      <c r="H1319">
        <v>0.84449450000000004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94.59</v>
      </c>
      <c r="Q1319">
        <v>0</v>
      </c>
      <c r="R1319">
        <v>0</v>
      </c>
      <c r="S1319">
        <v>0</v>
      </c>
      <c r="T1319">
        <v>94.59</v>
      </c>
      <c r="U1319">
        <v>67459.38</v>
      </c>
      <c r="V1319">
        <v>0</v>
      </c>
      <c r="W1319">
        <v>0</v>
      </c>
      <c r="X1319">
        <v>0</v>
      </c>
      <c r="Y1319">
        <v>0</v>
      </c>
      <c r="Z1319">
        <v>67459.38</v>
      </c>
      <c r="AA1319">
        <v>300112.44</v>
      </c>
      <c r="AB1319">
        <v>17782.55</v>
      </c>
      <c r="AC1319">
        <v>139188.34</v>
      </c>
      <c r="AD1319">
        <v>11090.84</v>
      </c>
      <c r="AE1319">
        <v>0</v>
      </c>
      <c r="AF1319">
        <v>468174.17</v>
      </c>
      <c r="AG1319">
        <v>69177.34</v>
      </c>
      <c r="AH1319">
        <v>4143.99</v>
      </c>
      <c r="AI1319">
        <v>26610.29</v>
      </c>
      <c r="AJ1319">
        <v>1868.93</v>
      </c>
      <c r="AK1319">
        <v>0</v>
      </c>
      <c r="AL1319">
        <v>101800.55</v>
      </c>
      <c r="AM1319">
        <v>180952.29</v>
      </c>
      <c r="AN1319">
        <v>48212.95</v>
      </c>
      <c r="AO1319">
        <v>19861.169999999998</v>
      </c>
      <c r="AP1319">
        <v>534.74</v>
      </c>
      <c r="AQ1319">
        <v>0</v>
      </c>
      <c r="AR1319">
        <v>249561.15</v>
      </c>
      <c r="AS1319">
        <v>65245.99</v>
      </c>
      <c r="AT1319">
        <v>0</v>
      </c>
      <c r="AU1319">
        <v>5214.2299999999996</v>
      </c>
      <c r="AV1319">
        <v>0</v>
      </c>
      <c r="AW1319">
        <v>0</v>
      </c>
      <c r="AX1319">
        <v>70460.22</v>
      </c>
      <c r="AY1319">
        <v>957550.06</v>
      </c>
      <c r="AZ1319">
        <v>1</v>
      </c>
      <c r="BA1319">
        <v>462</v>
      </c>
      <c r="BB1319">
        <v>72468.365999999995</v>
      </c>
      <c r="BC1319">
        <v>33480385.105</v>
      </c>
      <c r="BD1319">
        <v>5912.1878790000001</v>
      </c>
      <c r="BE1319">
        <v>1001.667</v>
      </c>
      <c r="BF1319">
        <v>3000</v>
      </c>
      <c r="BG1319">
        <v>7154.8786129999999</v>
      </c>
      <c r="BH1319">
        <v>673.38300000000004</v>
      </c>
    </row>
    <row r="1320" spans="1:60" x14ac:dyDescent="0.35">
      <c r="A1320" t="s">
        <v>2695</v>
      </c>
      <c r="B1320" t="s">
        <v>2696</v>
      </c>
      <c r="C1320" t="s">
        <v>2747</v>
      </c>
      <c r="D1320" t="s">
        <v>2748</v>
      </c>
      <c r="E1320">
        <v>24683</v>
      </c>
      <c r="F1320">
        <v>61</v>
      </c>
      <c r="G1320">
        <v>82.701560000000001</v>
      </c>
      <c r="H1320">
        <v>1.3557630000000001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1039.8599999999999</v>
      </c>
      <c r="AN1320">
        <v>0</v>
      </c>
      <c r="AO1320">
        <v>0</v>
      </c>
      <c r="AP1320">
        <v>0</v>
      </c>
      <c r="AQ1320">
        <v>0</v>
      </c>
      <c r="AR1320">
        <v>1039.8599999999999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1039.8599999999999</v>
      </c>
      <c r="AZ1320">
        <v>1</v>
      </c>
      <c r="BA1320">
        <v>17</v>
      </c>
      <c r="BB1320">
        <v>76222.832999999999</v>
      </c>
      <c r="BC1320">
        <v>1295788.1580000001</v>
      </c>
      <c r="BD1320">
        <v>2761.9305880000002</v>
      </c>
      <c r="BE1320">
        <v>4791.1040000000003</v>
      </c>
      <c r="BF1320">
        <v>102</v>
      </c>
      <c r="BG1320">
        <v>5702.7469609999998</v>
      </c>
      <c r="BH1320">
        <v>5408.2039999999997</v>
      </c>
    </row>
    <row r="1321" spans="1:60" x14ac:dyDescent="0.35">
      <c r="A1321" t="s">
        <v>2695</v>
      </c>
      <c r="B1321" t="s">
        <v>2696</v>
      </c>
      <c r="C1321" t="s">
        <v>2749</v>
      </c>
      <c r="D1321" t="s">
        <v>2750</v>
      </c>
      <c r="E1321">
        <v>9349</v>
      </c>
      <c r="F1321">
        <v>8</v>
      </c>
      <c r="G1321">
        <v>5.44</v>
      </c>
      <c r="H1321">
        <v>0.68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1</v>
      </c>
      <c r="BA1321">
        <v>1</v>
      </c>
      <c r="BB1321">
        <v>17070.332999999999</v>
      </c>
      <c r="BC1321">
        <v>17070.332999999999</v>
      </c>
      <c r="BD1321">
        <v>0</v>
      </c>
      <c r="BE1321">
        <v>0</v>
      </c>
      <c r="BF1321">
        <v>48</v>
      </c>
      <c r="BG1321">
        <v>8580.0747919999994</v>
      </c>
      <c r="BH1321">
        <v>184.27099999999999</v>
      </c>
    </row>
    <row r="1322" spans="1:60" x14ac:dyDescent="0.35">
      <c r="A1322" t="s">
        <v>2695</v>
      </c>
      <c r="B1322" t="s">
        <v>2696</v>
      </c>
      <c r="C1322" t="s">
        <v>2751</v>
      </c>
      <c r="D1322" t="s">
        <v>2752</v>
      </c>
      <c r="E1322">
        <v>185245</v>
      </c>
      <c r="F1322">
        <v>377</v>
      </c>
      <c r="G1322">
        <v>328.221</v>
      </c>
      <c r="H1322">
        <v>0.87061279999999996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2132</v>
      </c>
      <c r="P1322">
        <v>0</v>
      </c>
      <c r="Q1322">
        <v>0</v>
      </c>
      <c r="R1322">
        <v>0</v>
      </c>
      <c r="S1322">
        <v>0</v>
      </c>
      <c r="T1322">
        <v>2132</v>
      </c>
      <c r="U1322">
        <v>10725.9</v>
      </c>
      <c r="V1322">
        <v>0</v>
      </c>
      <c r="W1322">
        <v>0</v>
      </c>
      <c r="X1322">
        <v>0</v>
      </c>
      <c r="Y1322">
        <v>0</v>
      </c>
      <c r="Z1322">
        <v>10725.9</v>
      </c>
      <c r="AA1322">
        <v>137183.81</v>
      </c>
      <c r="AB1322">
        <v>0</v>
      </c>
      <c r="AC1322">
        <v>42467.27</v>
      </c>
      <c r="AD1322">
        <v>0</v>
      </c>
      <c r="AE1322">
        <v>0</v>
      </c>
      <c r="AF1322">
        <v>179651.08</v>
      </c>
      <c r="AG1322">
        <v>12752.05</v>
      </c>
      <c r="AH1322">
        <v>0</v>
      </c>
      <c r="AI1322">
        <v>5748.35</v>
      </c>
      <c r="AJ1322">
        <v>0</v>
      </c>
      <c r="AK1322">
        <v>0</v>
      </c>
      <c r="AL1322">
        <v>18500.400000000001</v>
      </c>
      <c r="AM1322">
        <v>92728.02</v>
      </c>
      <c r="AN1322">
        <v>0</v>
      </c>
      <c r="AO1322">
        <v>7543.39</v>
      </c>
      <c r="AP1322">
        <v>1087.6199999999999</v>
      </c>
      <c r="AQ1322">
        <v>0</v>
      </c>
      <c r="AR1322">
        <v>101359.03</v>
      </c>
      <c r="AS1322">
        <v>125264.61</v>
      </c>
      <c r="AT1322">
        <v>0</v>
      </c>
      <c r="AU1322">
        <v>1285.71</v>
      </c>
      <c r="AV1322">
        <v>0</v>
      </c>
      <c r="AW1322">
        <v>0</v>
      </c>
      <c r="AX1322">
        <v>126550.32</v>
      </c>
      <c r="AY1322">
        <v>438918.73</v>
      </c>
      <c r="AZ1322">
        <v>1</v>
      </c>
      <c r="BA1322">
        <v>208</v>
      </c>
      <c r="BB1322">
        <v>43343.266000000003</v>
      </c>
      <c r="BC1322">
        <v>9015399.4120000005</v>
      </c>
      <c r="BD1322">
        <v>8528.1264420000007</v>
      </c>
      <c r="BE1322">
        <v>1569.259</v>
      </c>
      <c r="BF1322">
        <v>1095</v>
      </c>
      <c r="BG1322">
        <v>8990.8526760000004</v>
      </c>
      <c r="BH1322">
        <v>2560.9209999999998</v>
      </c>
    </row>
    <row r="1323" spans="1:60" x14ac:dyDescent="0.35">
      <c r="A1323" t="s">
        <v>2695</v>
      </c>
      <c r="B1323" t="s">
        <v>2696</v>
      </c>
      <c r="C1323" t="s">
        <v>2753</v>
      </c>
      <c r="D1323" t="s">
        <v>2754</v>
      </c>
      <c r="E1323">
        <v>9801</v>
      </c>
      <c r="F1323">
        <v>22</v>
      </c>
      <c r="G1323">
        <v>19.440259999999999</v>
      </c>
      <c r="H1323">
        <v>0.8836484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1</v>
      </c>
      <c r="BA1323">
        <v>7</v>
      </c>
      <c r="BB1323">
        <v>47409.964</v>
      </c>
      <c r="BC1323">
        <v>331869.74900000001</v>
      </c>
      <c r="BD1323">
        <v>0</v>
      </c>
      <c r="BE1323">
        <v>1603.097</v>
      </c>
      <c r="BF1323">
        <v>48</v>
      </c>
      <c r="BG1323">
        <v>20787.012707999998</v>
      </c>
      <c r="BH1323">
        <v>5889.3789999999999</v>
      </c>
    </row>
    <row r="1324" spans="1:60" x14ac:dyDescent="0.35">
      <c r="A1324" t="s">
        <v>2695</v>
      </c>
      <c r="B1324" t="s">
        <v>2696</v>
      </c>
      <c r="C1324" t="s">
        <v>2755</v>
      </c>
      <c r="D1324" t="s">
        <v>2756</v>
      </c>
      <c r="E1324">
        <v>134075</v>
      </c>
      <c r="F1324">
        <v>1069</v>
      </c>
      <c r="G1324">
        <v>1359.4659999999999</v>
      </c>
      <c r="H1324">
        <v>1.271717</v>
      </c>
      <c r="I1324">
        <v>23047.69</v>
      </c>
      <c r="J1324">
        <v>510.94</v>
      </c>
      <c r="K1324">
        <v>0</v>
      </c>
      <c r="L1324">
        <v>0</v>
      </c>
      <c r="M1324">
        <v>0</v>
      </c>
      <c r="N1324">
        <v>23558.63</v>
      </c>
      <c r="O1324">
        <v>38338.71</v>
      </c>
      <c r="P1324">
        <v>841.81</v>
      </c>
      <c r="Q1324">
        <v>0</v>
      </c>
      <c r="R1324">
        <v>0</v>
      </c>
      <c r="S1324">
        <v>0</v>
      </c>
      <c r="T1324">
        <v>39180.519999999997</v>
      </c>
      <c r="U1324">
        <v>67869.27</v>
      </c>
      <c r="V1324">
        <v>1994.48</v>
      </c>
      <c r="W1324">
        <v>5977.52</v>
      </c>
      <c r="X1324">
        <v>0</v>
      </c>
      <c r="Y1324">
        <v>0</v>
      </c>
      <c r="Z1324">
        <v>75841.27</v>
      </c>
      <c r="AA1324">
        <v>187565.54</v>
      </c>
      <c r="AB1324">
        <v>86902.6</v>
      </c>
      <c r="AC1324">
        <v>65786.75</v>
      </c>
      <c r="AD1324">
        <v>0</v>
      </c>
      <c r="AE1324">
        <v>0</v>
      </c>
      <c r="AF1324">
        <v>340254.89</v>
      </c>
      <c r="AG1324">
        <v>1989.42</v>
      </c>
      <c r="AH1324">
        <v>4582.1499999999996</v>
      </c>
      <c r="AI1324">
        <v>7069.42</v>
      </c>
      <c r="AJ1324">
        <v>0</v>
      </c>
      <c r="AK1324">
        <v>0</v>
      </c>
      <c r="AL1324">
        <v>13640.99</v>
      </c>
      <c r="AM1324">
        <v>2763932.46</v>
      </c>
      <c r="AN1324">
        <v>327310.96000000002</v>
      </c>
      <c r="AO1324">
        <v>30085.88</v>
      </c>
      <c r="AP1324">
        <v>6055.27</v>
      </c>
      <c r="AQ1324">
        <v>0</v>
      </c>
      <c r="AR1324">
        <v>3127384.57</v>
      </c>
      <c r="AS1324">
        <v>1487294.15</v>
      </c>
      <c r="AT1324">
        <v>0</v>
      </c>
      <c r="AU1324">
        <v>9845.91</v>
      </c>
      <c r="AV1324">
        <v>0</v>
      </c>
      <c r="AW1324">
        <v>0</v>
      </c>
      <c r="AX1324">
        <v>1497140.06</v>
      </c>
      <c r="AY1324">
        <v>5117000.93</v>
      </c>
      <c r="AZ1324">
        <v>1</v>
      </c>
      <c r="BA1324">
        <v>411</v>
      </c>
      <c r="BB1324">
        <v>73725.364000000001</v>
      </c>
      <c r="BC1324">
        <v>30301124.467999998</v>
      </c>
      <c r="BD1324">
        <v>8341.4614600000004</v>
      </c>
      <c r="BE1324">
        <v>7207.6019999999999</v>
      </c>
      <c r="BF1324">
        <v>1432</v>
      </c>
      <c r="BG1324">
        <v>4840.9716340000004</v>
      </c>
      <c r="BH1324">
        <v>24511.253000000001</v>
      </c>
    </row>
    <row r="1325" spans="1:60" x14ac:dyDescent="0.35">
      <c r="A1325" t="s">
        <v>2695</v>
      </c>
      <c r="B1325" t="s">
        <v>2696</v>
      </c>
      <c r="C1325" t="s">
        <v>2757</v>
      </c>
      <c r="D1325" t="s">
        <v>2758</v>
      </c>
      <c r="E1325">
        <v>70840</v>
      </c>
      <c r="F1325">
        <v>1908</v>
      </c>
      <c r="G1325">
        <v>3001.3229999999999</v>
      </c>
      <c r="H1325">
        <v>1.573021</v>
      </c>
      <c r="I1325">
        <v>49732138.619999997</v>
      </c>
      <c r="J1325">
        <v>892.03</v>
      </c>
      <c r="K1325">
        <v>0</v>
      </c>
      <c r="L1325">
        <v>0</v>
      </c>
      <c r="M1325">
        <v>0</v>
      </c>
      <c r="N1325">
        <v>49733030.649999999</v>
      </c>
      <c r="O1325">
        <v>14720876.279999999</v>
      </c>
      <c r="P1325">
        <v>8714.07</v>
      </c>
      <c r="Q1325">
        <v>0</v>
      </c>
      <c r="R1325">
        <v>0</v>
      </c>
      <c r="S1325">
        <v>822.81</v>
      </c>
      <c r="T1325">
        <v>14730413.16</v>
      </c>
      <c r="U1325">
        <v>6572207.8700000001</v>
      </c>
      <c r="V1325">
        <v>15397.58</v>
      </c>
      <c r="W1325">
        <v>199.8</v>
      </c>
      <c r="X1325">
        <v>0</v>
      </c>
      <c r="Y1325">
        <v>15273.78</v>
      </c>
      <c r="Z1325">
        <v>6603079.0300000003</v>
      </c>
      <c r="AA1325">
        <v>4036755.05</v>
      </c>
      <c r="AB1325">
        <v>296470.78999999998</v>
      </c>
      <c r="AC1325">
        <v>28231.360000000001</v>
      </c>
      <c r="AD1325">
        <v>0</v>
      </c>
      <c r="AE1325">
        <v>445339.67</v>
      </c>
      <c r="AF1325">
        <v>4806796.87</v>
      </c>
      <c r="AG1325">
        <v>11595.12</v>
      </c>
      <c r="AH1325">
        <v>94465.13</v>
      </c>
      <c r="AI1325">
        <v>2733.31</v>
      </c>
      <c r="AJ1325">
        <v>0</v>
      </c>
      <c r="AK1325">
        <v>4983.3599999999997</v>
      </c>
      <c r="AL1325">
        <v>113776.92</v>
      </c>
      <c r="AM1325">
        <v>16123411.789999999</v>
      </c>
      <c r="AN1325">
        <v>246869.37</v>
      </c>
      <c r="AO1325">
        <v>15003.15</v>
      </c>
      <c r="AP1325">
        <v>1756.55</v>
      </c>
      <c r="AQ1325">
        <v>985228.9</v>
      </c>
      <c r="AR1325">
        <v>17372269.760000002</v>
      </c>
      <c r="AS1325">
        <v>29842355.960000001</v>
      </c>
      <c r="AT1325">
        <v>0</v>
      </c>
      <c r="AU1325">
        <v>9535.1200000000008</v>
      </c>
      <c r="AV1325">
        <v>0</v>
      </c>
      <c r="AW1325">
        <v>211254.57</v>
      </c>
      <c r="AX1325">
        <v>30063145.649999999</v>
      </c>
      <c r="AY1325">
        <v>123422512.04000001</v>
      </c>
      <c r="AZ1325">
        <v>1</v>
      </c>
      <c r="BA1325">
        <v>540</v>
      </c>
      <c r="BB1325">
        <v>98583.782000000007</v>
      </c>
      <c r="BC1325">
        <v>53235242.100000001</v>
      </c>
      <c r="BD1325">
        <v>2252.1231849999999</v>
      </c>
      <c r="BE1325">
        <v>4476.2259999999997</v>
      </c>
      <c r="BF1325">
        <v>2216</v>
      </c>
      <c r="BG1325">
        <v>799.86480100000006</v>
      </c>
      <c r="BH1325">
        <v>18855.225999999999</v>
      </c>
    </row>
    <row r="1326" spans="1:60" x14ac:dyDescent="0.35">
      <c r="A1326" t="s">
        <v>2695</v>
      </c>
      <c r="B1326" t="s">
        <v>2696</v>
      </c>
      <c r="C1326" t="s">
        <v>2759</v>
      </c>
      <c r="D1326" t="s">
        <v>2760</v>
      </c>
      <c r="E1326">
        <v>1264060</v>
      </c>
      <c r="F1326">
        <v>2650</v>
      </c>
      <c r="G1326">
        <v>2404.0279999999998</v>
      </c>
      <c r="H1326">
        <v>0.9071804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12278.57</v>
      </c>
      <c r="P1326">
        <v>0</v>
      </c>
      <c r="Q1326">
        <v>0</v>
      </c>
      <c r="R1326">
        <v>0</v>
      </c>
      <c r="S1326">
        <v>0</v>
      </c>
      <c r="T1326">
        <v>12278.57</v>
      </c>
      <c r="U1326">
        <v>102378.43</v>
      </c>
      <c r="V1326">
        <v>0</v>
      </c>
      <c r="W1326">
        <v>705.91</v>
      </c>
      <c r="X1326">
        <v>0</v>
      </c>
      <c r="Y1326">
        <v>0</v>
      </c>
      <c r="Z1326">
        <v>103084.34</v>
      </c>
      <c r="AA1326">
        <v>717921.52</v>
      </c>
      <c r="AB1326">
        <v>76387.97</v>
      </c>
      <c r="AC1326">
        <v>494722.63</v>
      </c>
      <c r="AD1326">
        <v>8436.07</v>
      </c>
      <c r="AE1326">
        <v>0</v>
      </c>
      <c r="AF1326">
        <v>1297468.19</v>
      </c>
      <c r="AG1326">
        <v>123711.88</v>
      </c>
      <c r="AH1326">
        <v>19789.59</v>
      </c>
      <c r="AI1326">
        <v>84778.32</v>
      </c>
      <c r="AJ1326">
        <v>1054.44</v>
      </c>
      <c r="AK1326">
        <v>0</v>
      </c>
      <c r="AL1326">
        <v>229334.23</v>
      </c>
      <c r="AM1326">
        <v>704806.45</v>
      </c>
      <c r="AN1326">
        <v>68424.210000000006</v>
      </c>
      <c r="AO1326">
        <v>96341.89</v>
      </c>
      <c r="AP1326">
        <v>11801.84</v>
      </c>
      <c r="AQ1326">
        <v>0</v>
      </c>
      <c r="AR1326">
        <v>881374.39</v>
      </c>
      <c r="AS1326">
        <v>447728.34</v>
      </c>
      <c r="AT1326">
        <v>0</v>
      </c>
      <c r="AU1326">
        <v>18945.89</v>
      </c>
      <c r="AV1326">
        <v>0</v>
      </c>
      <c r="AW1326">
        <v>0</v>
      </c>
      <c r="AX1326">
        <v>466674.23</v>
      </c>
      <c r="AY1326">
        <v>2990213.95</v>
      </c>
      <c r="AZ1326">
        <v>1</v>
      </c>
      <c r="BA1326">
        <v>1131</v>
      </c>
      <c r="BB1326">
        <v>57290.932999999997</v>
      </c>
      <c r="BC1326">
        <v>64796045.520000003</v>
      </c>
      <c r="BD1326">
        <v>8734.7502559999994</v>
      </c>
      <c r="BE1326">
        <v>1910.0129999999999</v>
      </c>
      <c r="BF1326">
        <v>6359</v>
      </c>
      <c r="BG1326">
        <v>6335.6936580000001</v>
      </c>
      <c r="BH1326">
        <v>1444.9169999999999</v>
      </c>
    </row>
    <row r="1327" spans="1:60" x14ac:dyDescent="0.35">
      <c r="A1327" t="s">
        <v>2695</v>
      </c>
      <c r="B1327" t="s">
        <v>2696</v>
      </c>
      <c r="C1327" t="s">
        <v>2761</v>
      </c>
      <c r="D1327" t="s">
        <v>2762</v>
      </c>
      <c r="E1327">
        <v>429975</v>
      </c>
      <c r="F1327">
        <v>1130</v>
      </c>
      <c r="G1327">
        <v>1012.902</v>
      </c>
      <c r="H1327">
        <v>0.89637370000000005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6647.2</v>
      </c>
      <c r="P1327">
        <v>0</v>
      </c>
      <c r="Q1327">
        <v>0</v>
      </c>
      <c r="R1327">
        <v>0</v>
      </c>
      <c r="S1327">
        <v>0</v>
      </c>
      <c r="T1327">
        <v>6647.2</v>
      </c>
      <c r="U1327">
        <v>71994.94</v>
      </c>
      <c r="V1327">
        <v>37.9</v>
      </c>
      <c r="W1327">
        <v>788.11</v>
      </c>
      <c r="X1327">
        <v>0</v>
      </c>
      <c r="Y1327">
        <v>0</v>
      </c>
      <c r="Z1327">
        <v>72820.95</v>
      </c>
      <c r="AA1327">
        <v>381830.21</v>
      </c>
      <c r="AB1327">
        <v>31622.66</v>
      </c>
      <c r="AC1327">
        <v>227210.99</v>
      </c>
      <c r="AD1327">
        <v>11916.47</v>
      </c>
      <c r="AE1327">
        <v>0</v>
      </c>
      <c r="AF1327">
        <v>652580.32999999996</v>
      </c>
      <c r="AG1327">
        <v>48079.21</v>
      </c>
      <c r="AH1327">
        <v>9671.44</v>
      </c>
      <c r="AI1327">
        <v>31383.88</v>
      </c>
      <c r="AJ1327">
        <v>2020.71</v>
      </c>
      <c r="AK1327">
        <v>0</v>
      </c>
      <c r="AL1327">
        <v>91155.24</v>
      </c>
      <c r="AM1327">
        <v>426407.01</v>
      </c>
      <c r="AN1327">
        <v>48326.41</v>
      </c>
      <c r="AO1327">
        <v>31419.29</v>
      </c>
      <c r="AP1327">
        <v>6120.26</v>
      </c>
      <c r="AQ1327">
        <v>0</v>
      </c>
      <c r="AR1327">
        <v>512272.97</v>
      </c>
      <c r="AS1327">
        <v>323678.74</v>
      </c>
      <c r="AT1327">
        <v>0</v>
      </c>
      <c r="AU1327">
        <v>21657.759999999998</v>
      </c>
      <c r="AV1327">
        <v>0</v>
      </c>
      <c r="AW1327">
        <v>0</v>
      </c>
      <c r="AX1327">
        <v>345336.5</v>
      </c>
      <c r="AY1327">
        <v>1680813.19</v>
      </c>
      <c r="AZ1327">
        <v>1</v>
      </c>
      <c r="BA1327">
        <v>442</v>
      </c>
      <c r="BB1327">
        <v>52392.207999999999</v>
      </c>
      <c r="BC1327">
        <v>23157355.838</v>
      </c>
      <c r="BD1327">
        <v>9757.1590049999995</v>
      </c>
      <c r="BE1327">
        <v>1472.7860000000001</v>
      </c>
      <c r="BF1327">
        <v>2571</v>
      </c>
      <c r="BG1327">
        <v>9896.6472419999991</v>
      </c>
      <c r="BH1327">
        <v>1508.105</v>
      </c>
    </row>
    <row r="1328" spans="1:60" x14ac:dyDescent="0.35">
      <c r="A1328" t="s">
        <v>2695</v>
      </c>
      <c r="B1328" t="s">
        <v>2696</v>
      </c>
      <c r="C1328" t="s">
        <v>2763</v>
      </c>
      <c r="D1328" t="s">
        <v>2764</v>
      </c>
      <c r="E1328">
        <v>56691</v>
      </c>
      <c r="F1328">
        <v>705</v>
      </c>
      <c r="G1328">
        <v>777.19179999999994</v>
      </c>
      <c r="H1328">
        <v>1.1024</v>
      </c>
      <c r="I1328">
        <v>0</v>
      </c>
      <c r="J1328">
        <v>139.56</v>
      </c>
      <c r="K1328">
        <v>0</v>
      </c>
      <c r="L1328">
        <v>0</v>
      </c>
      <c r="M1328">
        <v>0</v>
      </c>
      <c r="N1328">
        <v>139.56</v>
      </c>
      <c r="O1328">
        <v>18.170000000000002</v>
      </c>
      <c r="P1328">
        <v>1166.43</v>
      </c>
      <c r="Q1328">
        <v>0</v>
      </c>
      <c r="R1328">
        <v>0</v>
      </c>
      <c r="S1328">
        <v>0</v>
      </c>
      <c r="T1328">
        <v>1184.5999999999999</v>
      </c>
      <c r="U1328">
        <v>26903.53</v>
      </c>
      <c r="V1328">
        <v>7113.38</v>
      </c>
      <c r="W1328">
        <v>0</v>
      </c>
      <c r="X1328">
        <v>0</v>
      </c>
      <c r="Y1328">
        <v>0</v>
      </c>
      <c r="Z1328">
        <v>34016.910000000003</v>
      </c>
      <c r="AA1328">
        <v>83566.62</v>
      </c>
      <c r="AB1328">
        <v>28591.02</v>
      </c>
      <c r="AC1328">
        <v>24416.7</v>
      </c>
      <c r="AD1328">
        <v>0</v>
      </c>
      <c r="AE1328">
        <v>0</v>
      </c>
      <c r="AF1328">
        <v>136574.34</v>
      </c>
      <c r="AG1328">
        <v>6434.65</v>
      </c>
      <c r="AH1328">
        <v>204.29</v>
      </c>
      <c r="AI1328">
        <v>2795.84</v>
      </c>
      <c r="AJ1328">
        <v>0</v>
      </c>
      <c r="AK1328">
        <v>0</v>
      </c>
      <c r="AL1328">
        <v>9434.7800000000007</v>
      </c>
      <c r="AM1328">
        <v>47341.53</v>
      </c>
      <c r="AN1328">
        <v>38299.29</v>
      </c>
      <c r="AO1328">
        <v>3937.39</v>
      </c>
      <c r="AP1328">
        <v>0</v>
      </c>
      <c r="AQ1328">
        <v>0</v>
      </c>
      <c r="AR1328">
        <v>89578.21</v>
      </c>
      <c r="AS1328">
        <v>63091.23</v>
      </c>
      <c r="AT1328">
        <v>0</v>
      </c>
      <c r="AU1328">
        <v>1021.4</v>
      </c>
      <c r="AV1328">
        <v>0</v>
      </c>
      <c r="AW1328">
        <v>0</v>
      </c>
      <c r="AX1328">
        <v>64112.63</v>
      </c>
      <c r="AY1328">
        <v>335041.03000000003</v>
      </c>
      <c r="AZ1328">
        <v>1</v>
      </c>
      <c r="BA1328">
        <v>220</v>
      </c>
      <c r="BB1328">
        <v>88612.535999999993</v>
      </c>
      <c r="BC1328">
        <v>19494757.835000001</v>
      </c>
      <c r="BD1328">
        <v>9961.8621820000008</v>
      </c>
      <c r="BE1328">
        <v>3270.41</v>
      </c>
      <c r="BF1328">
        <v>1014</v>
      </c>
      <c r="BG1328">
        <v>4822.7060849999998</v>
      </c>
      <c r="BH1328">
        <v>6843.4989999999998</v>
      </c>
    </row>
    <row r="1329" spans="1:60" x14ac:dyDescent="0.35">
      <c r="A1329" t="s">
        <v>2695</v>
      </c>
      <c r="B1329" t="s">
        <v>2696</v>
      </c>
      <c r="C1329" t="s">
        <v>2765</v>
      </c>
      <c r="D1329" t="s">
        <v>2766</v>
      </c>
      <c r="E1329">
        <v>792514</v>
      </c>
      <c r="F1329">
        <v>1722</v>
      </c>
      <c r="G1329">
        <v>1452.4960000000001</v>
      </c>
      <c r="H1329">
        <v>0.84349370000000001</v>
      </c>
      <c r="I1329">
        <v>3476.22</v>
      </c>
      <c r="J1329">
        <v>0</v>
      </c>
      <c r="K1329">
        <v>0</v>
      </c>
      <c r="L1329">
        <v>0</v>
      </c>
      <c r="M1329">
        <v>0</v>
      </c>
      <c r="N1329">
        <v>3476.22</v>
      </c>
      <c r="O1329">
        <v>11477.5</v>
      </c>
      <c r="P1329">
        <v>0</v>
      </c>
      <c r="Q1329">
        <v>0</v>
      </c>
      <c r="R1329">
        <v>0</v>
      </c>
      <c r="S1329">
        <v>0</v>
      </c>
      <c r="T1329">
        <v>11477.5</v>
      </c>
      <c r="U1329">
        <v>90147.19</v>
      </c>
      <c r="V1329">
        <v>0</v>
      </c>
      <c r="W1329">
        <v>813.41</v>
      </c>
      <c r="X1329">
        <v>0</v>
      </c>
      <c r="Y1329">
        <v>0</v>
      </c>
      <c r="Z1329">
        <v>90960.6</v>
      </c>
      <c r="AA1329">
        <v>388785.77</v>
      </c>
      <c r="AB1329">
        <v>22753.119999999999</v>
      </c>
      <c r="AC1329">
        <v>255444.78</v>
      </c>
      <c r="AD1329">
        <v>0</v>
      </c>
      <c r="AE1329">
        <v>0</v>
      </c>
      <c r="AF1329">
        <v>666983.67000000004</v>
      </c>
      <c r="AG1329">
        <v>39533.230000000003</v>
      </c>
      <c r="AH1329">
        <v>2359.13</v>
      </c>
      <c r="AI1329">
        <v>26865.48</v>
      </c>
      <c r="AJ1329">
        <v>0</v>
      </c>
      <c r="AK1329">
        <v>0</v>
      </c>
      <c r="AL1329">
        <v>68757.84</v>
      </c>
      <c r="AM1329">
        <v>348951.71</v>
      </c>
      <c r="AN1329">
        <v>64613.34</v>
      </c>
      <c r="AO1329">
        <v>42296.56</v>
      </c>
      <c r="AP1329">
        <v>223.92</v>
      </c>
      <c r="AQ1329">
        <v>0</v>
      </c>
      <c r="AR1329">
        <v>456085.53</v>
      </c>
      <c r="AS1329">
        <v>498437.09</v>
      </c>
      <c r="AT1329">
        <v>0</v>
      </c>
      <c r="AU1329">
        <v>10791.66</v>
      </c>
      <c r="AV1329">
        <v>0</v>
      </c>
      <c r="AW1329">
        <v>0</v>
      </c>
      <c r="AX1329">
        <v>509228.75</v>
      </c>
      <c r="AY1329">
        <v>1806970.11</v>
      </c>
      <c r="AZ1329">
        <v>1</v>
      </c>
      <c r="BA1329">
        <v>1126</v>
      </c>
      <c r="BB1329">
        <v>63642.487000000001</v>
      </c>
      <c r="BC1329">
        <v>71661440.652999997</v>
      </c>
      <c r="BD1329">
        <v>5504.3110040000001</v>
      </c>
      <c r="BE1329">
        <v>1513.9469999999999</v>
      </c>
      <c r="BF1329">
        <v>5115</v>
      </c>
      <c r="BG1329">
        <v>6990.898639</v>
      </c>
      <c r="BH1329">
        <v>2219.8440000000001</v>
      </c>
    </row>
    <row r="1330" spans="1:60" x14ac:dyDescent="0.35">
      <c r="A1330" t="s">
        <v>2695</v>
      </c>
      <c r="B1330" t="s">
        <v>2696</v>
      </c>
      <c r="C1330" t="s">
        <v>2767</v>
      </c>
      <c r="D1330" t="s">
        <v>2768</v>
      </c>
      <c r="E1330">
        <v>186918</v>
      </c>
      <c r="F1330">
        <v>962</v>
      </c>
      <c r="G1330">
        <v>1245.18</v>
      </c>
      <c r="H1330">
        <v>1.2943659999999999</v>
      </c>
      <c r="I1330">
        <v>76464.73</v>
      </c>
      <c r="J1330">
        <v>145.79</v>
      </c>
      <c r="K1330">
        <v>0</v>
      </c>
      <c r="L1330">
        <v>0</v>
      </c>
      <c r="M1330">
        <v>0</v>
      </c>
      <c r="N1330">
        <v>76610.52</v>
      </c>
      <c r="O1330">
        <v>29120.18</v>
      </c>
      <c r="P1330">
        <v>133.61000000000001</v>
      </c>
      <c r="Q1330">
        <v>0</v>
      </c>
      <c r="R1330">
        <v>0</v>
      </c>
      <c r="S1330">
        <v>0</v>
      </c>
      <c r="T1330">
        <v>29253.79</v>
      </c>
      <c r="U1330">
        <v>83498.94</v>
      </c>
      <c r="V1330">
        <v>2211.06</v>
      </c>
      <c r="W1330">
        <v>0</v>
      </c>
      <c r="X1330">
        <v>0</v>
      </c>
      <c r="Y1330">
        <v>0</v>
      </c>
      <c r="Z1330">
        <v>85709.999999999985</v>
      </c>
      <c r="AA1330">
        <v>141375.54</v>
      </c>
      <c r="AB1330">
        <v>9855.0499999999993</v>
      </c>
      <c r="AC1330">
        <v>0</v>
      </c>
      <c r="AD1330">
        <v>0</v>
      </c>
      <c r="AE1330">
        <v>0</v>
      </c>
      <c r="AF1330">
        <v>151230.59</v>
      </c>
      <c r="AG1330">
        <v>1374.88</v>
      </c>
      <c r="AH1330">
        <v>64.06</v>
      </c>
      <c r="AI1330">
        <v>0</v>
      </c>
      <c r="AJ1330">
        <v>0</v>
      </c>
      <c r="AK1330">
        <v>0</v>
      </c>
      <c r="AL1330">
        <v>1438.94</v>
      </c>
      <c r="AM1330">
        <v>895222.12</v>
      </c>
      <c r="AN1330">
        <v>52554.81</v>
      </c>
      <c r="AO1330">
        <v>8311.93</v>
      </c>
      <c r="AP1330">
        <v>9698.76</v>
      </c>
      <c r="AQ1330">
        <v>0</v>
      </c>
      <c r="AR1330">
        <v>965787.62</v>
      </c>
      <c r="AS1330">
        <v>1027792.68</v>
      </c>
      <c r="AT1330">
        <v>0</v>
      </c>
      <c r="AU1330">
        <v>0</v>
      </c>
      <c r="AV1330">
        <v>0</v>
      </c>
      <c r="AW1330">
        <v>0</v>
      </c>
      <c r="AX1330">
        <v>1027792.68</v>
      </c>
      <c r="AY1330">
        <v>2337824.14</v>
      </c>
      <c r="AZ1330">
        <v>1</v>
      </c>
      <c r="BA1330">
        <v>490</v>
      </c>
      <c r="BB1330">
        <v>71158.444000000003</v>
      </c>
      <c r="BC1330">
        <v>34867637.741999999</v>
      </c>
      <c r="BD1330">
        <v>5262.28298</v>
      </c>
      <c r="BE1330">
        <v>3139.5729999999999</v>
      </c>
      <c r="BF1330">
        <v>1396</v>
      </c>
      <c r="BG1330">
        <v>6016.7673420000001</v>
      </c>
      <c r="BH1330">
        <v>4374.4859999999999</v>
      </c>
    </row>
    <row r="1331" spans="1:60" x14ac:dyDescent="0.35">
      <c r="A1331" t="s">
        <v>2695</v>
      </c>
      <c r="B1331" t="s">
        <v>2696</v>
      </c>
      <c r="C1331" t="s">
        <v>2769</v>
      </c>
      <c r="D1331" t="s">
        <v>2770</v>
      </c>
      <c r="E1331">
        <v>231875</v>
      </c>
      <c r="F1331">
        <v>1372</v>
      </c>
      <c r="G1331">
        <v>1262.6079999999999</v>
      </c>
      <c r="H1331">
        <v>0.92026819999999998</v>
      </c>
      <c r="I1331">
        <v>26891.95</v>
      </c>
      <c r="J1331">
        <v>0</v>
      </c>
      <c r="K1331">
        <v>0</v>
      </c>
      <c r="L1331">
        <v>0</v>
      </c>
      <c r="M1331">
        <v>0</v>
      </c>
      <c r="N1331">
        <v>26891.95</v>
      </c>
      <c r="O1331">
        <v>42337.599999999999</v>
      </c>
      <c r="P1331">
        <v>940.91</v>
      </c>
      <c r="Q1331">
        <v>0</v>
      </c>
      <c r="R1331">
        <v>0</v>
      </c>
      <c r="S1331">
        <v>0</v>
      </c>
      <c r="T1331">
        <v>43278.51</v>
      </c>
      <c r="U1331">
        <v>85689.18</v>
      </c>
      <c r="V1331">
        <v>2387.1799999999998</v>
      </c>
      <c r="W1331">
        <v>4274.6000000000004</v>
      </c>
      <c r="X1331">
        <v>0</v>
      </c>
      <c r="Y1331">
        <v>0</v>
      </c>
      <c r="Z1331">
        <v>92350.96</v>
      </c>
      <c r="AA1331">
        <v>295824.25</v>
      </c>
      <c r="AB1331">
        <v>38248.68</v>
      </c>
      <c r="AC1331">
        <v>172957.55</v>
      </c>
      <c r="AD1331">
        <v>0</v>
      </c>
      <c r="AE1331">
        <v>0</v>
      </c>
      <c r="AF1331">
        <v>507030.48</v>
      </c>
      <c r="AG1331">
        <v>20819.11</v>
      </c>
      <c r="AH1331">
        <v>1333.91</v>
      </c>
      <c r="AI1331">
        <v>17728.27</v>
      </c>
      <c r="AJ1331">
        <v>0</v>
      </c>
      <c r="AK1331">
        <v>0</v>
      </c>
      <c r="AL1331">
        <v>39881.29</v>
      </c>
      <c r="AM1331">
        <v>486069.19</v>
      </c>
      <c r="AN1331">
        <v>10964.49</v>
      </c>
      <c r="AO1331">
        <v>26795.21</v>
      </c>
      <c r="AP1331">
        <v>0</v>
      </c>
      <c r="AQ1331">
        <v>0</v>
      </c>
      <c r="AR1331">
        <v>523828.89</v>
      </c>
      <c r="AS1331">
        <v>239771.64</v>
      </c>
      <c r="AT1331">
        <v>0</v>
      </c>
      <c r="AU1331">
        <v>12329.88</v>
      </c>
      <c r="AV1331">
        <v>0</v>
      </c>
      <c r="AW1331">
        <v>0</v>
      </c>
      <c r="AX1331">
        <v>252101.52</v>
      </c>
      <c r="AY1331">
        <v>1485363.6</v>
      </c>
      <c r="AZ1331">
        <v>1</v>
      </c>
      <c r="BA1331">
        <v>429</v>
      </c>
      <c r="BB1331">
        <v>77847.81</v>
      </c>
      <c r="BC1331">
        <v>33396710.673999999</v>
      </c>
      <c r="BD1331">
        <v>3109.877669</v>
      </c>
      <c r="BE1331">
        <v>2054.4209999999998</v>
      </c>
      <c r="BF1331">
        <v>2712</v>
      </c>
      <c r="BG1331">
        <v>5445.5076550000003</v>
      </c>
      <c r="BH1331">
        <v>1261.02</v>
      </c>
    </row>
    <row r="1332" spans="1:60" x14ac:dyDescent="0.35">
      <c r="A1332" t="s">
        <v>2695</v>
      </c>
      <c r="B1332" t="s">
        <v>2696</v>
      </c>
      <c r="C1332" t="s">
        <v>2771</v>
      </c>
      <c r="D1332" t="s">
        <v>2772</v>
      </c>
      <c r="E1332">
        <v>1284</v>
      </c>
      <c r="F1332">
        <v>1</v>
      </c>
      <c r="G1332">
        <v>1.4</v>
      </c>
      <c r="H1332">
        <v>1.4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1</v>
      </c>
      <c r="BB1332">
        <v>66629.167000000001</v>
      </c>
      <c r="BC1332">
        <v>66629.167000000001</v>
      </c>
      <c r="BD1332">
        <v>0</v>
      </c>
      <c r="BE1332">
        <v>0</v>
      </c>
      <c r="BF1332">
        <v>13</v>
      </c>
      <c r="BG1332">
        <v>18951.634614999999</v>
      </c>
      <c r="BH1332">
        <v>14583.378000000001</v>
      </c>
    </row>
    <row r="1333" spans="1:60" x14ac:dyDescent="0.35">
      <c r="A1333" t="s">
        <v>2695</v>
      </c>
      <c r="B1333" t="s">
        <v>2696</v>
      </c>
      <c r="C1333" t="s">
        <v>2773</v>
      </c>
      <c r="D1333" t="s">
        <v>2774</v>
      </c>
      <c r="E1333">
        <v>46236</v>
      </c>
      <c r="F1333">
        <v>14</v>
      </c>
      <c r="G1333">
        <v>18.234760000000001</v>
      </c>
      <c r="H1333">
        <v>1.3024830000000001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18</v>
      </c>
      <c r="BB1333">
        <v>21824.131000000001</v>
      </c>
      <c r="BC1333">
        <v>392834.35100000002</v>
      </c>
      <c r="BD1333">
        <v>3133.0250000000001</v>
      </c>
      <c r="BE1333">
        <v>1985.4970000000001</v>
      </c>
      <c r="BF1333">
        <v>75</v>
      </c>
      <c r="BG1333">
        <v>6260.2496000000001</v>
      </c>
      <c r="BH1333">
        <v>484.74099999999999</v>
      </c>
    </row>
    <row r="1334" spans="1:60" x14ac:dyDescent="0.35">
      <c r="A1334" t="s">
        <v>2695</v>
      </c>
      <c r="B1334" t="s">
        <v>2696</v>
      </c>
      <c r="C1334" t="s">
        <v>2775</v>
      </c>
      <c r="D1334" t="s">
        <v>2776</v>
      </c>
      <c r="E1334">
        <v>431387</v>
      </c>
      <c r="F1334">
        <v>2956</v>
      </c>
      <c r="G1334">
        <v>4013.0010000000002</v>
      </c>
      <c r="H1334">
        <v>1.357578</v>
      </c>
      <c r="I1334">
        <v>383137.25</v>
      </c>
      <c r="J1334">
        <v>0</v>
      </c>
      <c r="K1334">
        <v>0</v>
      </c>
      <c r="L1334">
        <v>0</v>
      </c>
      <c r="M1334">
        <v>1310.47</v>
      </c>
      <c r="N1334">
        <v>384447.72</v>
      </c>
      <c r="O1334">
        <v>919392.95</v>
      </c>
      <c r="P1334">
        <v>5902.54</v>
      </c>
      <c r="Q1334">
        <v>0</v>
      </c>
      <c r="R1334">
        <v>0</v>
      </c>
      <c r="S1334">
        <v>19278.599999999999</v>
      </c>
      <c r="T1334">
        <v>944574.09</v>
      </c>
      <c r="U1334">
        <v>498366.76</v>
      </c>
      <c r="V1334">
        <v>1039.24</v>
      </c>
      <c r="W1334">
        <v>654.6</v>
      </c>
      <c r="X1334">
        <v>0</v>
      </c>
      <c r="Y1334">
        <v>72739.92</v>
      </c>
      <c r="Z1334">
        <v>572800.52</v>
      </c>
      <c r="AA1334">
        <v>499917.83</v>
      </c>
      <c r="AB1334">
        <v>8733.33</v>
      </c>
      <c r="AC1334">
        <v>36577.19</v>
      </c>
      <c r="AD1334">
        <v>0</v>
      </c>
      <c r="AE1334">
        <v>285972.46999999997</v>
      </c>
      <c r="AF1334">
        <v>831200.82</v>
      </c>
      <c r="AG1334">
        <v>9303.4500000000007</v>
      </c>
      <c r="AH1334">
        <v>335.13</v>
      </c>
      <c r="AI1334">
        <v>4728.79</v>
      </c>
      <c r="AJ1334">
        <v>0</v>
      </c>
      <c r="AK1334">
        <v>1944.03</v>
      </c>
      <c r="AL1334">
        <v>16311.4</v>
      </c>
      <c r="AM1334">
        <v>1985313.99</v>
      </c>
      <c r="AN1334">
        <v>217867.5</v>
      </c>
      <c r="AO1334">
        <v>37982.99</v>
      </c>
      <c r="AP1334">
        <v>7139.4</v>
      </c>
      <c r="AQ1334">
        <v>0</v>
      </c>
      <c r="AR1334">
        <v>2248303.88</v>
      </c>
      <c r="AS1334">
        <v>3047179.38</v>
      </c>
      <c r="AT1334">
        <v>291124.8</v>
      </c>
      <c r="AU1334">
        <v>3354.84</v>
      </c>
      <c r="AV1334">
        <v>0</v>
      </c>
      <c r="AW1334">
        <v>0</v>
      </c>
      <c r="AX1334">
        <v>3341659.02</v>
      </c>
      <c r="AY1334">
        <v>8339297.4500000002</v>
      </c>
      <c r="AZ1334">
        <v>1</v>
      </c>
      <c r="BA1334">
        <v>1202</v>
      </c>
      <c r="BB1334">
        <v>75010.789000000004</v>
      </c>
      <c r="BC1334">
        <v>90162968.392000005</v>
      </c>
      <c r="BD1334">
        <v>4177.5379279999997</v>
      </c>
      <c r="BE1334">
        <v>3994.5749999999998</v>
      </c>
      <c r="BF1334">
        <v>4143</v>
      </c>
      <c r="BG1334">
        <v>4604.6042170000001</v>
      </c>
      <c r="BH1334">
        <v>15118.117</v>
      </c>
    </row>
    <row r="1335" spans="1:60" x14ac:dyDescent="0.35">
      <c r="A1335" t="s">
        <v>2695</v>
      </c>
      <c r="B1335" t="s">
        <v>2696</v>
      </c>
      <c r="C1335" t="s">
        <v>2777</v>
      </c>
      <c r="D1335" t="s">
        <v>2778</v>
      </c>
      <c r="E1335">
        <v>104171</v>
      </c>
      <c r="F1335">
        <v>1409</v>
      </c>
      <c r="G1335">
        <v>1682.4849999999999</v>
      </c>
      <c r="H1335">
        <v>1.194099</v>
      </c>
      <c r="I1335">
        <v>0</v>
      </c>
      <c r="J1335">
        <v>178.13</v>
      </c>
      <c r="K1335">
        <v>0</v>
      </c>
      <c r="L1335">
        <v>0</v>
      </c>
      <c r="M1335">
        <v>0</v>
      </c>
      <c r="N1335">
        <v>178.13</v>
      </c>
      <c r="O1335">
        <v>1262.77</v>
      </c>
      <c r="P1335">
        <v>1210.73</v>
      </c>
      <c r="Q1335">
        <v>0</v>
      </c>
      <c r="R1335">
        <v>0</v>
      </c>
      <c r="S1335">
        <v>0</v>
      </c>
      <c r="T1335">
        <v>2473.5</v>
      </c>
      <c r="U1335">
        <v>14017.55</v>
      </c>
      <c r="V1335">
        <v>1080.0999999999999</v>
      </c>
      <c r="W1335">
        <v>190</v>
      </c>
      <c r="X1335">
        <v>0</v>
      </c>
      <c r="Y1335">
        <v>0</v>
      </c>
      <c r="Z1335">
        <v>15287.65</v>
      </c>
      <c r="AA1335">
        <v>70570.27</v>
      </c>
      <c r="AB1335">
        <v>7300.18</v>
      </c>
      <c r="AC1335">
        <v>38649.120000000003</v>
      </c>
      <c r="AD1335">
        <v>0</v>
      </c>
      <c r="AE1335">
        <v>0</v>
      </c>
      <c r="AF1335">
        <v>116519.57</v>
      </c>
      <c r="AG1335">
        <v>6647.8</v>
      </c>
      <c r="AH1335">
        <v>142.75</v>
      </c>
      <c r="AI1335">
        <v>4129.22</v>
      </c>
      <c r="AJ1335">
        <v>0</v>
      </c>
      <c r="AK1335">
        <v>0</v>
      </c>
      <c r="AL1335">
        <v>10919.77</v>
      </c>
      <c r="AM1335">
        <v>187493.43</v>
      </c>
      <c r="AN1335">
        <v>56065.97</v>
      </c>
      <c r="AO1335">
        <v>8401.9599999999991</v>
      </c>
      <c r="AP1335">
        <v>1845.89</v>
      </c>
      <c r="AQ1335">
        <v>0</v>
      </c>
      <c r="AR1335">
        <v>253807.25</v>
      </c>
      <c r="AS1335">
        <v>222729.4</v>
      </c>
      <c r="AT1335">
        <v>0</v>
      </c>
      <c r="AU1335">
        <v>7051.09</v>
      </c>
      <c r="AV1335">
        <v>0</v>
      </c>
      <c r="AW1335">
        <v>0</v>
      </c>
      <c r="AX1335">
        <v>229780.49</v>
      </c>
      <c r="AY1335">
        <v>628966.36</v>
      </c>
      <c r="AZ1335">
        <v>1</v>
      </c>
      <c r="BA1335">
        <v>398</v>
      </c>
      <c r="BB1335">
        <v>66318.44</v>
      </c>
      <c r="BC1335">
        <v>26394739.021000002</v>
      </c>
      <c r="BD1335">
        <v>3446.6365329999999</v>
      </c>
      <c r="BE1335">
        <v>6609.4129999999996</v>
      </c>
      <c r="BF1335">
        <v>1424</v>
      </c>
      <c r="BG1335">
        <v>4820.6042129999996</v>
      </c>
      <c r="BH1335">
        <v>8802.4040000000005</v>
      </c>
    </row>
    <row r="1336" spans="1:60" x14ac:dyDescent="0.35">
      <c r="A1336" t="s">
        <v>2695</v>
      </c>
      <c r="B1336" t="s">
        <v>2696</v>
      </c>
      <c r="C1336" t="s">
        <v>2779</v>
      </c>
      <c r="D1336" t="s">
        <v>2780</v>
      </c>
      <c r="E1336">
        <v>439013</v>
      </c>
      <c r="F1336">
        <v>1187</v>
      </c>
      <c r="G1336">
        <v>1007.258</v>
      </c>
      <c r="H1336">
        <v>0.84857450000000001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4743.1499999999996</v>
      </c>
      <c r="P1336">
        <v>0</v>
      </c>
      <c r="Q1336">
        <v>0</v>
      </c>
      <c r="R1336">
        <v>0</v>
      </c>
      <c r="S1336">
        <v>0</v>
      </c>
      <c r="T1336">
        <v>4743.1499999999996</v>
      </c>
      <c r="U1336">
        <v>81977.72</v>
      </c>
      <c r="V1336">
        <v>0</v>
      </c>
      <c r="W1336">
        <v>47.18</v>
      </c>
      <c r="X1336">
        <v>0</v>
      </c>
      <c r="Y1336">
        <v>0</v>
      </c>
      <c r="Z1336">
        <v>82024.899999999994</v>
      </c>
      <c r="AA1336">
        <v>432225.91</v>
      </c>
      <c r="AB1336">
        <v>21345.06</v>
      </c>
      <c r="AC1336">
        <v>230888.47</v>
      </c>
      <c r="AD1336">
        <v>12419.47</v>
      </c>
      <c r="AE1336">
        <v>0</v>
      </c>
      <c r="AF1336">
        <v>696878.91</v>
      </c>
      <c r="AG1336">
        <v>68226.039999999994</v>
      </c>
      <c r="AH1336">
        <v>7583.48</v>
      </c>
      <c r="AI1336">
        <v>36245.339999999997</v>
      </c>
      <c r="AJ1336">
        <v>2273.4</v>
      </c>
      <c r="AK1336">
        <v>0</v>
      </c>
      <c r="AL1336">
        <v>114328.26</v>
      </c>
      <c r="AM1336">
        <v>189711.4</v>
      </c>
      <c r="AN1336">
        <v>27453.72</v>
      </c>
      <c r="AO1336">
        <v>36779.74</v>
      </c>
      <c r="AP1336">
        <v>2454.44</v>
      </c>
      <c r="AQ1336">
        <v>0</v>
      </c>
      <c r="AR1336">
        <v>256399.3</v>
      </c>
      <c r="AS1336">
        <v>138051.85999999999</v>
      </c>
      <c r="AT1336">
        <v>0</v>
      </c>
      <c r="AU1336">
        <v>20161.73</v>
      </c>
      <c r="AV1336">
        <v>0</v>
      </c>
      <c r="AW1336">
        <v>0</v>
      </c>
      <c r="AX1336">
        <v>158213.59</v>
      </c>
      <c r="AY1336">
        <v>1312588.1100000001</v>
      </c>
      <c r="AZ1336">
        <v>1</v>
      </c>
      <c r="BA1336">
        <v>565</v>
      </c>
      <c r="BB1336">
        <v>59367.406999999999</v>
      </c>
      <c r="BC1336">
        <v>33542584.921999998</v>
      </c>
      <c r="BD1336">
        <v>9149.9453979999998</v>
      </c>
      <c r="BE1336">
        <v>2082.7539999999999</v>
      </c>
      <c r="BF1336">
        <v>3704</v>
      </c>
      <c r="BG1336">
        <v>9521.7965820000009</v>
      </c>
      <c r="BH1336">
        <v>2277.0369999999998</v>
      </c>
    </row>
    <row r="1337" spans="1:60" x14ac:dyDescent="0.35">
      <c r="A1337" t="s">
        <v>2695</v>
      </c>
      <c r="B1337" t="s">
        <v>2696</v>
      </c>
      <c r="C1337" t="s">
        <v>2781</v>
      </c>
      <c r="D1337" t="s">
        <v>2782</v>
      </c>
      <c r="E1337">
        <v>457802</v>
      </c>
      <c r="F1337">
        <v>592</v>
      </c>
      <c r="G1337">
        <v>480.3175</v>
      </c>
      <c r="H1337">
        <v>0.81134709999999999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3574.04</v>
      </c>
      <c r="P1337">
        <v>0</v>
      </c>
      <c r="Q1337">
        <v>0</v>
      </c>
      <c r="R1337">
        <v>0</v>
      </c>
      <c r="S1337">
        <v>0</v>
      </c>
      <c r="T1337">
        <v>3574.04</v>
      </c>
      <c r="U1337">
        <v>11520.35</v>
      </c>
      <c r="V1337">
        <v>0</v>
      </c>
      <c r="W1337">
        <v>0</v>
      </c>
      <c r="X1337">
        <v>0</v>
      </c>
      <c r="Y1337">
        <v>0</v>
      </c>
      <c r="Z1337">
        <v>11520.35</v>
      </c>
      <c r="AA1337">
        <v>291869.86</v>
      </c>
      <c r="AB1337">
        <v>22400.92</v>
      </c>
      <c r="AC1337">
        <v>82337.67</v>
      </c>
      <c r="AD1337">
        <v>5622.67</v>
      </c>
      <c r="AE1337">
        <v>0</v>
      </c>
      <c r="AF1337">
        <v>402231.12</v>
      </c>
      <c r="AG1337">
        <v>76140.320000000007</v>
      </c>
      <c r="AH1337">
        <v>9183.32</v>
      </c>
      <c r="AI1337">
        <v>16706.560000000001</v>
      </c>
      <c r="AJ1337">
        <v>1650.06</v>
      </c>
      <c r="AK1337">
        <v>0</v>
      </c>
      <c r="AL1337">
        <v>103680.26</v>
      </c>
      <c r="AM1337">
        <v>115850.82</v>
      </c>
      <c r="AN1337">
        <v>29685.16</v>
      </c>
      <c r="AO1337">
        <v>16331.27</v>
      </c>
      <c r="AP1337">
        <v>672.79</v>
      </c>
      <c r="AQ1337">
        <v>0</v>
      </c>
      <c r="AR1337">
        <v>162540.04</v>
      </c>
      <c r="AS1337">
        <v>66687.67</v>
      </c>
      <c r="AT1337">
        <v>0</v>
      </c>
      <c r="AU1337">
        <v>2349.0500000000002</v>
      </c>
      <c r="AV1337">
        <v>0</v>
      </c>
      <c r="AW1337">
        <v>0</v>
      </c>
      <c r="AX1337">
        <v>69036.72</v>
      </c>
      <c r="AY1337">
        <v>752582.53</v>
      </c>
      <c r="AZ1337">
        <v>1</v>
      </c>
      <c r="BA1337">
        <v>359</v>
      </c>
      <c r="BB1337">
        <v>53874.53</v>
      </c>
      <c r="BC1337">
        <v>19340956.311999999</v>
      </c>
      <c r="BD1337">
        <v>6550.8739830000004</v>
      </c>
      <c r="BE1337">
        <v>2203.1509999999998</v>
      </c>
      <c r="BF1337">
        <v>2158</v>
      </c>
      <c r="BG1337">
        <v>6432.9810749999997</v>
      </c>
      <c r="BH1337">
        <v>1503.7190000000001</v>
      </c>
    </row>
    <row r="1338" spans="1:60" x14ac:dyDescent="0.35">
      <c r="A1338" t="s">
        <v>2695</v>
      </c>
      <c r="B1338" t="s">
        <v>2783</v>
      </c>
      <c r="C1338" t="s">
        <v>2783</v>
      </c>
      <c r="D1338" t="s">
        <v>2784</v>
      </c>
      <c r="E1338">
        <v>77186</v>
      </c>
      <c r="F1338">
        <v>263</v>
      </c>
      <c r="G1338">
        <v>241.011</v>
      </c>
      <c r="H1338">
        <v>0.91639170000000003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690.26</v>
      </c>
      <c r="P1338">
        <v>0</v>
      </c>
      <c r="Q1338">
        <v>0</v>
      </c>
      <c r="R1338">
        <v>0</v>
      </c>
      <c r="S1338">
        <v>0</v>
      </c>
      <c r="T1338">
        <v>690.26</v>
      </c>
      <c r="U1338">
        <v>18356.439999999999</v>
      </c>
      <c r="V1338">
        <v>0</v>
      </c>
      <c r="W1338">
        <v>313.75</v>
      </c>
      <c r="X1338">
        <v>0</v>
      </c>
      <c r="Y1338">
        <v>0</v>
      </c>
      <c r="Z1338">
        <v>18670.189999999999</v>
      </c>
      <c r="AA1338">
        <v>161493.24</v>
      </c>
      <c r="AB1338">
        <v>2568.4</v>
      </c>
      <c r="AC1338">
        <v>99424.09</v>
      </c>
      <c r="AD1338">
        <v>10507.2</v>
      </c>
      <c r="AE1338">
        <v>0</v>
      </c>
      <c r="AF1338">
        <v>273992.93</v>
      </c>
      <c r="AG1338">
        <v>13762.2</v>
      </c>
      <c r="AH1338">
        <v>2416.71</v>
      </c>
      <c r="AI1338">
        <v>20697.96</v>
      </c>
      <c r="AJ1338">
        <v>2246.67</v>
      </c>
      <c r="AK1338">
        <v>0</v>
      </c>
      <c r="AL1338">
        <v>39123.54</v>
      </c>
      <c r="AM1338">
        <v>153387.03</v>
      </c>
      <c r="AN1338">
        <v>21288.09</v>
      </c>
      <c r="AO1338">
        <v>32985.22</v>
      </c>
      <c r="AP1338">
        <v>3742.13</v>
      </c>
      <c r="AQ1338">
        <v>0</v>
      </c>
      <c r="AR1338">
        <v>211402.47</v>
      </c>
      <c r="AS1338">
        <v>38733.46</v>
      </c>
      <c r="AT1338">
        <v>0</v>
      </c>
      <c r="AU1338">
        <v>3990.32</v>
      </c>
      <c r="AV1338">
        <v>0</v>
      </c>
      <c r="AW1338">
        <v>0</v>
      </c>
      <c r="AX1338">
        <v>42723.78</v>
      </c>
      <c r="AY1338">
        <v>586603.17000000004</v>
      </c>
      <c r="AZ1338">
        <v>0</v>
      </c>
      <c r="BA1338">
        <v>73</v>
      </c>
      <c r="BB1338">
        <v>50454.497000000003</v>
      </c>
      <c r="BC1338">
        <v>3683178.3080000002</v>
      </c>
      <c r="BD1338">
        <v>15306.727123000001</v>
      </c>
      <c r="BE1338">
        <v>1239.5</v>
      </c>
      <c r="BF1338">
        <v>657</v>
      </c>
      <c r="BG1338">
        <v>8054.5416130000003</v>
      </c>
      <c r="BH1338">
        <v>725.72900000000004</v>
      </c>
    </row>
    <row r="1339" spans="1:60" x14ac:dyDescent="0.35">
      <c r="A1339" t="s">
        <v>2695</v>
      </c>
      <c r="B1339" t="s">
        <v>2783</v>
      </c>
      <c r="C1339" t="s">
        <v>2785</v>
      </c>
      <c r="D1339" t="s">
        <v>2786</v>
      </c>
      <c r="E1339">
        <v>21389</v>
      </c>
      <c r="F1339">
        <v>13</v>
      </c>
      <c r="G1339">
        <v>11.514049999999999</v>
      </c>
      <c r="H1339">
        <v>0.88569609999999999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18390.88</v>
      </c>
      <c r="AD1339">
        <v>0</v>
      </c>
      <c r="AE1339">
        <v>0</v>
      </c>
      <c r="AF1339">
        <v>18390.88</v>
      </c>
      <c r="AG1339">
        <v>0</v>
      </c>
      <c r="AH1339">
        <v>0</v>
      </c>
      <c r="AI1339">
        <v>4002.26</v>
      </c>
      <c r="AJ1339">
        <v>0</v>
      </c>
      <c r="AK1339">
        <v>0</v>
      </c>
      <c r="AL1339">
        <v>4002.26</v>
      </c>
      <c r="AM1339">
        <v>0</v>
      </c>
      <c r="AN1339">
        <v>0</v>
      </c>
      <c r="AO1339">
        <v>6063.98</v>
      </c>
      <c r="AP1339">
        <v>0</v>
      </c>
      <c r="AQ1339">
        <v>0</v>
      </c>
      <c r="AR1339">
        <v>6063.98</v>
      </c>
      <c r="AS1339">
        <v>0</v>
      </c>
      <c r="AT1339">
        <v>0</v>
      </c>
      <c r="AU1339">
        <v>584.02</v>
      </c>
      <c r="AV1339">
        <v>0</v>
      </c>
      <c r="AW1339">
        <v>0</v>
      </c>
      <c r="AX1339">
        <v>584.02</v>
      </c>
      <c r="AY1339">
        <v>29041.14</v>
      </c>
      <c r="AZ1339">
        <v>0</v>
      </c>
      <c r="BA1339">
        <v>11</v>
      </c>
      <c r="BB1339">
        <v>39779.173999999999</v>
      </c>
      <c r="BC1339">
        <v>437570.91800000001</v>
      </c>
      <c r="BD1339">
        <v>6304.3818179999998</v>
      </c>
      <c r="BE1339">
        <v>544.35400000000004</v>
      </c>
      <c r="BF1339">
        <v>71</v>
      </c>
      <c r="BG1339">
        <v>10810.258873000001</v>
      </c>
      <c r="BH1339">
        <v>164.04499999999999</v>
      </c>
    </row>
    <row r="1340" spans="1:60" x14ac:dyDescent="0.35">
      <c r="A1340" t="s">
        <v>2695</v>
      </c>
      <c r="B1340" t="s">
        <v>2783</v>
      </c>
      <c r="C1340" t="s">
        <v>2787</v>
      </c>
      <c r="D1340" t="s">
        <v>2788</v>
      </c>
      <c r="E1340">
        <v>18443</v>
      </c>
      <c r="F1340">
        <v>11</v>
      </c>
      <c r="G1340">
        <v>13.15606</v>
      </c>
      <c r="H1340">
        <v>1.196005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5</v>
      </c>
      <c r="BB1340">
        <v>33473.61</v>
      </c>
      <c r="BC1340">
        <v>167368.04999999999</v>
      </c>
      <c r="BD1340">
        <v>0</v>
      </c>
      <c r="BE1340">
        <v>1367.2</v>
      </c>
      <c r="BF1340">
        <v>50</v>
      </c>
      <c r="BG1340">
        <v>7476.7097999999996</v>
      </c>
      <c r="BH1340">
        <v>137.041</v>
      </c>
    </row>
    <row r="1341" spans="1:60" x14ac:dyDescent="0.35">
      <c r="A1341" t="s">
        <v>2695</v>
      </c>
      <c r="B1341" t="s">
        <v>2783</v>
      </c>
      <c r="C1341" t="s">
        <v>2789</v>
      </c>
      <c r="D1341" t="s">
        <v>2790</v>
      </c>
      <c r="E1341">
        <v>27993</v>
      </c>
      <c r="F1341">
        <v>62</v>
      </c>
      <c r="G1341">
        <v>64.164550000000006</v>
      </c>
      <c r="H1341">
        <v>1.0349120000000001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12601.46</v>
      </c>
      <c r="AD1341">
        <v>0</v>
      </c>
      <c r="AE1341">
        <v>0</v>
      </c>
      <c r="AF1341">
        <v>12601.46</v>
      </c>
      <c r="AG1341">
        <v>0</v>
      </c>
      <c r="AH1341">
        <v>0</v>
      </c>
      <c r="AI1341">
        <v>3065.69</v>
      </c>
      <c r="AJ1341">
        <v>0</v>
      </c>
      <c r="AK1341">
        <v>0</v>
      </c>
      <c r="AL1341">
        <v>3065.69</v>
      </c>
      <c r="AM1341">
        <v>0</v>
      </c>
      <c r="AN1341">
        <v>0</v>
      </c>
      <c r="AO1341">
        <v>2175.62</v>
      </c>
      <c r="AP1341">
        <v>0</v>
      </c>
      <c r="AQ1341">
        <v>0</v>
      </c>
      <c r="AR1341">
        <v>2175.62</v>
      </c>
      <c r="AS1341">
        <v>0</v>
      </c>
      <c r="AT1341">
        <v>0</v>
      </c>
      <c r="AU1341">
        <v>121.77</v>
      </c>
      <c r="AV1341">
        <v>0</v>
      </c>
      <c r="AW1341">
        <v>0</v>
      </c>
      <c r="AX1341">
        <v>121.77</v>
      </c>
      <c r="AY1341">
        <v>17964.54</v>
      </c>
      <c r="AZ1341">
        <v>0</v>
      </c>
      <c r="BA1341">
        <v>12</v>
      </c>
      <c r="BB1341">
        <v>36505.728999999999</v>
      </c>
      <c r="BC1341">
        <v>438068.745</v>
      </c>
      <c r="BD1341">
        <v>400</v>
      </c>
      <c r="BE1341">
        <v>1088.3420000000001</v>
      </c>
      <c r="BF1341">
        <v>127</v>
      </c>
      <c r="BG1341">
        <v>5736.9737800000003</v>
      </c>
      <c r="BH1341">
        <v>587.09299999999996</v>
      </c>
    </row>
    <row r="1342" spans="1:60" x14ac:dyDescent="0.35">
      <c r="A1342" t="s">
        <v>2695</v>
      </c>
      <c r="B1342" t="s">
        <v>2783</v>
      </c>
      <c r="C1342" t="s">
        <v>2791</v>
      </c>
      <c r="D1342" t="s">
        <v>2792</v>
      </c>
      <c r="E1342">
        <v>14268</v>
      </c>
      <c r="F1342">
        <v>9</v>
      </c>
      <c r="G1342">
        <v>7.6913470000000004</v>
      </c>
      <c r="H1342">
        <v>0.85459410000000002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8</v>
      </c>
      <c r="BB1342">
        <v>49847.864999999998</v>
      </c>
      <c r="BC1342">
        <v>398782.91600000003</v>
      </c>
      <c r="BD1342">
        <v>10655.553749999999</v>
      </c>
      <c r="BE1342">
        <v>1667.4839999999999</v>
      </c>
      <c r="BF1342">
        <v>37</v>
      </c>
      <c r="BG1342">
        <v>16162.230810999999</v>
      </c>
      <c r="BH1342">
        <v>127.96</v>
      </c>
    </row>
    <row r="1343" spans="1:60" x14ac:dyDescent="0.35">
      <c r="A1343" t="s">
        <v>2695</v>
      </c>
      <c r="B1343" t="s">
        <v>2793</v>
      </c>
      <c r="C1343" t="s">
        <v>2793</v>
      </c>
      <c r="D1343" t="s">
        <v>2794</v>
      </c>
      <c r="E1343">
        <v>1844</v>
      </c>
      <c r="F1343">
        <v>1</v>
      </c>
      <c r="G1343">
        <v>1.43</v>
      </c>
      <c r="H1343">
        <v>1.43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3</v>
      </c>
      <c r="BG1343">
        <v>0</v>
      </c>
      <c r="BH1343">
        <v>0</v>
      </c>
    </row>
    <row r="1344" spans="1:60" x14ac:dyDescent="0.35">
      <c r="A1344" t="s">
        <v>2695</v>
      </c>
      <c r="B1344" t="s">
        <v>2793</v>
      </c>
      <c r="C1344" t="s">
        <v>2795</v>
      </c>
      <c r="D1344" t="s">
        <v>2796</v>
      </c>
      <c r="E1344">
        <v>810</v>
      </c>
      <c r="F1344" t="s">
        <v>81</v>
      </c>
      <c r="G1344" t="s">
        <v>81</v>
      </c>
      <c r="H1344" t="s">
        <v>81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 t="s">
        <v>81</v>
      </c>
      <c r="BB1344" t="s">
        <v>81</v>
      </c>
      <c r="BC1344" t="s">
        <v>81</v>
      </c>
      <c r="BD1344" t="s">
        <v>81</v>
      </c>
      <c r="BE1344" t="s">
        <v>81</v>
      </c>
      <c r="BF1344" t="s">
        <v>81</v>
      </c>
      <c r="BG1344" t="s">
        <v>81</v>
      </c>
      <c r="BH1344" t="s">
        <v>81</v>
      </c>
    </row>
    <row r="1345" spans="1:60" x14ac:dyDescent="0.35">
      <c r="A1345" t="s">
        <v>2695</v>
      </c>
      <c r="B1345" t="s">
        <v>2793</v>
      </c>
      <c r="C1345" t="s">
        <v>2797</v>
      </c>
      <c r="D1345" t="s">
        <v>2798</v>
      </c>
      <c r="E1345">
        <v>1508</v>
      </c>
      <c r="F1345" t="s">
        <v>81</v>
      </c>
      <c r="G1345" t="s">
        <v>81</v>
      </c>
      <c r="H1345" t="s">
        <v>81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 t="s">
        <v>81</v>
      </c>
      <c r="BB1345" t="s">
        <v>81</v>
      </c>
      <c r="BC1345" t="s">
        <v>81</v>
      </c>
      <c r="BD1345" t="s">
        <v>81</v>
      </c>
      <c r="BE1345" t="s">
        <v>81</v>
      </c>
      <c r="BF1345" t="s">
        <v>81</v>
      </c>
      <c r="BG1345" t="s">
        <v>81</v>
      </c>
      <c r="BH1345" t="s">
        <v>81</v>
      </c>
    </row>
    <row r="1346" spans="1:60" x14ac:dyDescent="0.35">
      <c r="A1346" t="s">
        <v>2695</v>
      </c>
      <c r="B1346" t="s">
        <v>2793</v>
      </c>
      <c r="C1346" t="s">
        <v>2799</v>
      </c>
      <c r="D1346" t="s">
        <v>2800</v>
      </c>
      <c r="E1346">
        <v>884</v>
      </c>
      <c r="F1346" t="s">
        <v>81</v>
      </c>
      <c r="G1346" t="s">
        <v>81</v>
      </c>
      <c r="H1346" t="s">
        <v>81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 t="s">
        <v>81</v>
      </c>
      <c r="BB1346" t="s">
        <v>81</v>
      </c>
      <c r="BC1346" t="s">
        <v>81</v>
      </c>
      <c r="BD1346" t="s">
        <v>81</v>
      </c>
      <c r="BE1346" t="s">
        <v>81</v>
      </c>
      <c r="BF1346" t="s">
        <v>81</v>
      </c>
      <c r="BG1346" t="s">
        <v>81</v>
      </c>
      <c r="BH1346" t="s">
        <v>81</v>
      </c>
    </row>
    <row r="1347" spans="1:60" x14ac:dyDescent="0.35">
      <c r="A1347" t="s">
        <v>2695</v>
      </c>
      <c r="B1347" t="s">
        <v>2793</v>
      </c>
      <c r="C1347" t="s">
        <v>2801</v>
      </c>
      <c r="D1347" t="s">
        <v>2802</v>
      </c>
      <c r="E1347">
        <v>941</v>
      </c>
      <c r="F1347" t="s">
        <v>81</v>
      </c>
      <c r="G1347" t="s">
        <v>81</v>
      </c>
      <c r="H1347" t="s">
        <v>81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</row>
    <row r="1348" spans="1:60" x14ac:dyDescent="0.35">
      <c r="A1348" t="s">
        <v>2695</v>
      </c>
      <c r="B1348" t="s">
        <v>2803</v>
      </c>
      <c r="C1348" t="s">
        <v>2803</v>
      </c>
      <c r="D1348" t="s">
        <v>2804</v>
      </c>
      <c r="E1348">
        <v>2198</v>
      </c>
      <c r="F1348">
        <v>6</v>
      </c>
      <c r="G1348">
        <v>9.8169699999999995</v>
      </c>
      <c r="H1348">
        <v>1.6361619999999999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435.51</v>
      </c>
      <c r="AC1348">
        <v>0</v>
      </c>
      <c r="AD1348">
        <v>0</v>
      </c>
      <c r="AE1348">
        <v>0</v>
      </c>
      <c r="AF1348">
        <v>435.51</v>
      </c>
      <c r="AG1348">
        <v>0</v>
      </c>
      <c r="AH1348">
        <v>440.41</v>
      </c>
      <c r="AI1348">
        <v>0</v>
      </c>
      <c r="AJ1348">
        <v>0</v>
      </c>
      <c r="AK1348">
        <v>0</v>
      </c>
      <c r="AL1348">
        <v>440.41</v>
      </c>
      <c r="AM1348">
        <v>0</v>
      </c>
      <c r="AN1348">
        <v>8.49</v>
      </c>
      <c r="AO1348">
        <v>0</v>
      </c>
      <c r="AP1348">
        <v>0</v>
      </c>
      <c r="AQ1348">
        <v>0</v>
      </c>
      <c r="AR1348">
        <v>8.49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884.41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8</v>
      </c>
      <c r="BG1348">
        <v>15982.82375</v>
      </c>
      <c r="BH1348">
        <v>5548.1490000000003</v>
      </c>
    </row>
    <row r="1349" spans="1:60" x14ac:dyDescent="0.35">
      <c r="A1349" t="s">
        <v>2695</v>
      </c>
      <c r="B1349" t="s">
        <v>2803</v>
      </c>
      <c r="C1349" t="s">
        <v>2805</v>
      </c>
      <c r="D1349" t="s">
        <v>2806</v>
      </c>
      <c r="E1349">
        <v>558</v>
      </c>
      <c r="F1349" t="s">
        <v>81</v>
      </c>
      <c r="G1349" t="s">
        <v>81</v>
      </c>
      <c r="H1349" t="s">
        <v>81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 t="s">
        <v>81</v>
      </c>
      <c r="BB1349" t="s">
        <v>81</v>
      </c>
      <c r="BC1349" t="s">
        <v>81</v>
      </c>
      <c r="BD1349" t="s">
        <v>81</v>
      </c>
      <c r="BE1349" t="s">
        <v>81</v>
      </c>
      <c r="BF1349" t="s">
        <v>81</v>
      </c>
      <c r="BG1349" t="s">
        <v>81</v>
      </c>
      <c r="BH1349" t="s">
        <v>81</v>
      </c>
    </row>
    <row r="1350" spans="1:60" x14ac:dyDescent="0.35">
      <c r="A1350" t="s">
        <v>2695</v>
      </c>
      <c r="B1350" t="s">
        <v>2803</v>
      </c>
      <c r="C1350" t="s">
        <v>2807</v>
      </c>
      <c r="D1350" t="s">
        <v>2808</v>
      </c>
      <c r="E1350">
        <v>604</v>
      </c>
      <c r="F1350" t="s">
        <v>81</v>
      </c>
      <c r="G1350" t="s">
        <v>81</v>
      </c>
      <c r="H1350" t="s">
        <v>81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 t="s">
        <v>81</v>
      </c>
      <c r="BB1350" t="s">
        <v>81</v>
      </c>
      <c r="BC1350" t="s">
        <v>81</v>
      </c>
      <c r="BD1350" t="s">
        <v>81</v>
      </c>
      <c r="BE1350" t="s">
        <v>81</v>
      </c>
      <c r="BF1350" t="s">
        <v>81</v>
      </c>
      <c r="BG1350" t="s">
        <v>81</v>
      </c>
      <c r="BH1350" t="s">
        <v>81</v>
      </c>
    </row>
    <row r="1351" spans="1:60" x14ac:dyDescent="0.35">
      <c r="A1351" t="s">
        <v>2695</v>
      </c>
      <c r="B1351" t="s">
        <v>2803</v>
      </c>
      <c r="C1351" t="s">
        <v>2809</v>
      </c>
      <c r="D1351" t="s">
        <v>2810</v>
      </c>
      <c r="E1351">
        <v>737</v>
      </c>
      <c r="F1351" t="s">
        <v>81</v>
      </c>
      <c r="G1351" t="s">
        <v>81</v>
      </c>
      <c r="H1351" t="s">
        <v>81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 t="s">
        <v>81</v>
      </c>
      <c r="BB1351" t="s">
        <v>81</v>
      </c>
      <c r="BC1351" t="s">
        <v>81</v>
      </c>
      <c r="BD1351" t="s">
        <v>81</v>
      </c>
      <c r="BE1351" t="s">
        <v>81</v>
      </c>
      <c r="BF1351" t="s">
        <v>81</v>
      </c>
      <c r="BG1351" t="s">
        <v>81</v>
      </c>
      <c r="BH1351" t="s">
        <v>81</v>
      </c>
    </row>
    <row r="1352" spans="1:60" x14ac:dyDescent="0.35">
      <c r="A1352" t="s">
        <v>2695</v>
      </c>
      <c r="B1352" t="s">
        <v>2803</v>
      </c>
      <c r="C1352" t="s">
        <v>2811</v>
      </c>
      <c r="D1352" t="s">
        <v>2812</v>
      </c>
      <c r="E1352">
        <v>844</v>
      </c>
      <c r="F1352" t="s">
        <v>81</v>
      </c>
      <c r="G1352" t="s">
        <v>81</v>
      </c>
      <c r="H1352" t="s">
        <v>81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 t="s">
        <v>81</v>
      </c>
      <c r="BB1352" t="s">
        <v>81</v>
      </c>
      <c r="BC1352" t="s">
        <v>81</v>
      </c>
      <c r="BD1352" t="s">
        <v>81</v>
      </c>
      <c r="BE1352" t="s">
        <v>81</v>
      </c>
      <c r="BF1352" t="s">
        <v>81</v>
      </c>
      <c r="BG1352" t="s">
        <v>81</v>
      </c>
      <c r="BH1352" t="s">
        <v>81</v>
      </c>
    </row>
    <row r="1353" spans="1:60" x14ac:dyDescent="0.35">
      <c r="A1353" t="s">
        <v>2695</v>
      </c>
      <c r="B1353" t="s">
        <v>2803</v>
      </c>
      <c r="C1353" t="s">
        <v>2054</v>
      </c>
      <c r="D1353" t="s">
        <v>2813</v>
      </c>
      <c r="E1353">
        <v>614</v>
      </c>
      <c r="F1353" t="s">
        <v>81</v>
      </c>
      <c r="G1353" t="s">
        <v>81</v>
      </c>
      <c r="H1353" t="s">
        <v>81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86748.335999999996</v>
      </c>
    </row>
    <row r="1354" spans="1:60" x14ac:dyDescent="0.35">
      <c r="A1354" t="s">
        <v>2695</v>
      </c>
      <c r="B1354" t="s">
        <v>2803</v>
      </c>
      <c r="C1354" t="s">
        <v>2814</v>
      </c>
      <c r="D1354" t="s">
        <v>2815</v>
      </c>
      <c r="E1354">
        <v>5759</v>
      </c>
      <c r="F1354">
        <v>5</v>
      </c>
      <c r="G1354">
        <v>7.7860560000000003</v>
      </c>
      <c r="H1354">
        <v>1.5572109999999999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1</v>
      </c>
      <c r="BB1354">
        <v>10445.916999999999</v>
      </c>
      <c r="BC1354">
        <v>10445.916999999999</v>
      </c>
      <c r="BD1354">
        <v>29036.82</v>
      </c>
      <c r="BE1354">
        <v>64</v>
      </c>
      <c r="BF1354">
        <v>35</v>
      </c>
      <c r="BG1354">
        <v>2229.2825710000002</v>
      </c>
      <c r="BH1354">
        <v>213.679</v>
      </c>
    </row>
    <row r="1355" spans="1:60" x14ac:dyDescent="0.35">
      <c r="A1355" t="s">
        <v>2695</v>
      </c>
      <c r="B1355" t="s">
        <v>2816</v>
      </c>
      <c r="C1355" t="s">
        <v>2817</v>
      </c>
      <c r="D1355" t="s">
        <v>2818</v>
      </c>
      <c r="E1355">
        <v>65823</v>
      </c>
      <c r="F1355">
        <v>156</v>
      </c>
      <c r="G1355">
        <v>155.5532</v>
      </c>
      <c r="H1355">
        <v>0.99713589999999996</v>
      </c>
      <c r="I1355">
        <v>0.17</v>
      </c>
      <c r="J1355">
        <v>0</v>
      </c>
      <c r="K1355">
        <v>0</v>
      </c>
      <c r="L1355">
        <v>0</v>
      </c>
      <c r="M1355">
        <v>0</v>
      </c>
      <c r="N1355">
        <v>0.17</v>
      </c>
      <c r="O1355">
        <v>3628.84</v>
      </c>
      <c r="P1355">
        <v>0</v>
      </c>
      <c r="Q1355">
        <v>0</v>
      </c>
      <c r="R1355">
        <v>0</v>
      </c>
      <c r="S1355">
        <v>0</v>
      </c>
      <c r="T1355">
        <v>3628.84</v>
      </c>
      <c r="U1355">
        <v>15038.02</v>
      </c>
      <c r="V1355">
        <v>0</v>
      </c>
      <c r="W1355">
        <v>0</v>
      </c>
      <c r="X1355">
        <v>0</v>
      </c>
      <c r="Y1355">
        <v>0</v>
      </c>
      <c r="Z1355">
        <v>15038.02</v>
      </c>
      <c r="AA1355">
        <v>179496.66</v>
      </c>
      <c r="AB1355">
        <v>8841.41</v>
      </c>
      <c r="AC1355">
        <v>64299.71</v>
      </c>
      <c r="AD1355">
        <v>0</v>
      </c>
      <c r="AE1355">
        <v>0</v>
      </c>
      <c r="AF1355">
        <v>252637.78</v>
      </c>
      <c r="AG1355">
        <v>17511.02</v>
      </c>
      <c r="AH1355">
        <v>3482.85</v>
      </c>
      <c r="AI1355">
        <v>15140.81</v>
      </c>
      <c r="AJ1355">
        <v>0</v>
      </c>
      <c r="AK1355">
        <v>0</v>
      </c>
      <c r="AL1355">
        <v>36134.68</v>
      </c>
      <c r="AM1355">
        <v>175503.14</v>
      </c>
      <c r="AN1355">
        <v>6796.98</v>
      </c>
      <c r="AO1355">
        <v>27633.41</v>
      </c>
      <c r="AP1355">
        <v>0</v>
      </c>
      <c r="AQ1355">
        <v>0</v>
      </c>
      <c r="AR1355">
        <v>209933.53</v>
      </c>
      <c r="AS1355">
        <v>35810.28</v>
      </c>
      <c r="AT1355">
        <v>0</v>
      </c>
      <c r="AU1355">
        <v>1602.76</v>
      </c>
      <c r="AV1355">
        <v>0</v>
      </c>
      <c r="AW1355">
        <v>0</v>
      </c>
      <c r="AX1355">
        <v>37413.040000000001</v>
      </c>
      <c r="AY1355">
        <v>554786.06000000006</v>
      </c>
      <c r="AZ1355">
        <v>0</v>
      </c>
      <c r="BA1355">
        <v>43</v>
      </c>
      <c r="BB1355">
        <v>59095.536999999997</v>
      </c>
      <c r="BC1355">
        <v>2541108.1039999998</v>
      </c>
      <c r="BD1355">
        <v>7380.2067440000001</v>
      </c>
      <c r="BE1355">
        <v>2382.87</v>
      </c>
      <c r="BF1355">
        <v>442</v>
      </c>
      <c r="BG1355">
        <v>8003.3056790000001</v>
      </c>
      <c r="BH1355">
        <v>270.91199999999998</v>
      </c>
    </row>
    <row r="1356" spans="1:60" x14ac:dyDescent="0.35">
      <c r="A1356" t="s">
        <v>2695</v>
      </c>
      <c r="B1356" t="s">
        <v>2816</v>
      </c>
      <c r="C1356" t="s">
        <v>2819</v>
      </c>
      <c r="D1356" t="s">
        <v>2820</v>
      </c>
      <c r="E1356">
        <v>11638</v>
      </c>
      <c r="F1356">
        <v>30</v>
      </c>
      <c r="G1356">
        <v>46.576659999999997</v>
      </c>
      <c r="H1356">
        <v>1.5525549999999999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3</v>
      </c>
      <c r="BB1356">
        <v>23449.332999999999</v>
      </c>
      <c r="BC1356">
        <v>70348</v>
      </c>
      <c r="BD1356">
        <v>16345.106667</v>
      </c>
      <c r="BE1356">
        <v>0</v>
      </c>
      <c r="BF1356">
        <v>73</v>
      </c>
      <c r="BG1356">
        <v>1995.9465749999999</v>
      </c>
      <c r="BH1356">
        <v>7.1059999999999999</v>
      </c>
    </row>
    <row r="1357" spans="1:60" x14ac:dyDescent="0.35">
      <c r="A1357" t="s">
        <v>2695</v>
      </c>
      <c r="B1357" t="s">
        <v>2816</v>
      </c>
      <c r="C1357" t="s">
        <v>2821</v>
      </c>
      <c r="D1357" t="s">
        <v>2822</v>
      </c>
      <c r="E1357">
        <v>2457</v>
      </c>
      <c r="F1357">
        <v>1</v>
      </c>
      <c r="G1357">
        <v>0.38900000000000001</v>
      </c>
      <c r="H1357">
        <v>0.38900000000000001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9</v>
      </c>
      <c r="BG1357">
        <v>3117.3</v>
      </c>
      <c r="BH1357">
        <v>0</v>
      </c>
    </row>
    <row r="1358" spans="1:60" x14ac:dyDescent="0.35">
      <c r="A1358" t="s">
        <v>2695</v>
      </c>
      <c r="B1358" t="s">
        <v>2816</v>
      </c>
      <c r="C1358" t="s">
        <v>2823</v>
      </c>
      <c r="D1358" t="s">
        <v>2824</v>
      </c>
      <c r="E1358">
        <v>10230</v>
      </c>
      <c r="F1358">
        <v>7</v>
      </c>
      <c r="G1358">
        <v>3.0229200000000001</v>
      </c>
      <c r="H1358">
        <v>0.4318457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2</v>
      </c>
      <c r="BB1358">
        <v>6150.3329999999996</v>
      </c>
      <c r="BC1358">
        <v>12300.665999999999</v>
      </c>
      <c r="BD1358">
        <v>0</v>
      </c>
      <c r="BE1358">
        <v>4823.9380000000001</v>
      </c>
      <c r="BF1358">
        <v>49</v>
      </c>
      <c r="BG1358">
        <v>5567.9555099999998</v>
      </c>
      <c r="BH1358">
        <v>2525.8440000000001</v>
      </c>
    </row>
    <row r="1359" spans="1:60" x14ac:dyDescent="0.35">
      <c r="A1359" t="s">
        <v>2695</v>
      </c>
      <c r="B1359" t="s">
        <v>2816</v>
      </c>
      <c r="C1359" t="s">
        <v>2825</v>
      </c>
      <c r="D1359" t="s">
        <v>2826</v>
      </c>
      <c r="E1359">
        <v>27272</v>
      </c>
      <c r="F1359">
        <v>25</v>
      </c>
      <c r="G1359">
        <v>30.513680000000001</v>
      </c>
      <c r="H1359">
        <v>1.220547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23766.75</v>
      </c>
      <c r="AB1359">
        <v>0</v>
      </c>
      <c r="AC1359">
        <v>19689.21</v>
      </c>
      <c r="AD1359">
        <v>0</v>
      </c>
      <c r="AE1359">
        <v>0</v>
      </c>
      <c r="AF1359">
        <v>43455.96</v>
      </c>
      <c r="AG1359">
        <v>4360.16</v>
      </c>
      <c r="AH1359">
        <v>0</v>
      </c>
      <c r="AI1359">
        <v>3868.24</v>
      </c>
      <c r="AJ1359">
        <v>0</v>
      </c>
      <c r="AK1359">
        <v>0</v>
      </c>
      <c r="AL1359">
        <v>8228.4</v>
      </c>
      <c r="AM1359">
        <v>1676.83</v>
      </c>
      <c r="AN1359">
        <v>0</v>
      </c>
      <c r="AO1359">
        <v>6145.72</v>
      </c>
      <c r="AP1359">
        <v>0</v>
      </c>
      <c r="AQ1359">
        <v>0</v>
      </c>
      <c r="AR1359">
        <v>7822.55</v>
      </c>
      <c r="AS1359">
        <v>319.47000000000003</v>
      </c>
      <c r="AT1359">
        <v>0</v>
      </c>
      <c r="AU1359">
        <v>0</v>
      </c>
      <c r="AV1359">
        <v>0</v>
      </c>
      <c r="AW1359">
        <v>0</v>
      </c>
      <c r="AX1359">
        <v>319.47000000000003</v>
      </c>
      <c r="AY1359">
        <v>59826.38</v>
      </c>
      <c r="AZ1359">
        <v>0</v>
      </c>
      <c r="BA1359">
        <v>9</v>
      </c>
      <c r="BB1359">
        <v>70490.672999999995</v>
      </c>
      <c r="BC1359">
        <v>634416.05900000001</v>
      </c>
      <c r="BD1359">
        <v>0</v>
      </c>
      <c r="BE1359">
        <v>93.748000000000005</v>
      </c>
      <c r="BF1359">
        <v>209</v>
      </c>
      <c r="BG1359">
        <v>6954.1502389999996</v>
      </c>
      <c r="BH1359">
        <v>403.88600000000002</v>
      </c>
    </row>
    <row r="1360" spans="1:60" x14ac:dyDescent="0.35">
      <c r="A1360" t="s">
        <v>2695</v>
      </c>
      <c r="B1360" t="s">
        <v>2816</v>
      </c>
      <c r="C1360" t="s">
        <v>2827</v>
      </c>
      <c r="D1360" t="s">
        <v>2828</v>
      </c>
      <c r="E1360">
        <v>1128</v>
      </c>
      <c r="F1360" t="s">
        <v>81</v>
      </c>
      <c r="G1360" t="s">
        <v>81</v>
      </c>
      <c r="H1360" t="s">
        <v>81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2</v>
      </c>
      <c r="BG1360">
        <v>0</v>
      </c>
      <c r="BH1360">
        <v>0</v>
      </c>
    </row>
    <row r="1361" spans="1:60" x14ac:dyDescent="0.35">
      <c r="A1361" t="s">
        <v>2695</v>
      </c>
      <c r="B1361" t="s">
        <v>2816</v>
      </c>
      <c r="C1361" t="s">
        <v>2829</v>
      </c>
      <c r="D1361" t="s">
        <v>2830</v>
      </c>
      <c r="E1361">
        <v>40142</v>
      </c>
      <c r="F1361">
        <v>70</v>
      </c>
      <c r="G1361">
        <v>79.660259999999994</v>
      </c>
      <c r="H1361">
        <v>1.138004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14.76</v>
      </c>
      <c r="AB1361">
        <v>17998.16</v>
      </c>
      <c r="AC1361">
        <v>102626.51</v>
      </c>
      <c r="AD1361">
        <v>0</v>
      </c>
      <c r="AE1361">
        <v>0</v>
      </c>
      <c r="AF1361">
        <v>120639.43</v>
      </c>
      <c r="AG1361">
        <v>0.14000000000000001</v>
      </c>
      <c r="AH1361">
        <v>5569.67</v>
      </c>
      <c r="AI1361">
        <v>23238.33</v>
      </c>
      <c r="AJ1361">
        <v>0</v>
      </c>
      <c r="AK1361">
        <v>0</v>
      </c>
      <c r="AL1361">
        <v>28808.14</v>
      </c>
      <c r="AM1361">
        <v>566.64</v>
      </c>
      <c r="AN1361">
        <v>8304</v>
      </c>
      <c r="AO1361">
        <v>45600.25</v>
      </c>
      <c r="AP1361">
        <v>0</v>
      </c>
      <c r="AQ1361">
        <v>0</v>
      </c>
      <c r="AR1361">
        <v>54470.89</v>
      </c>
      <c r="AS1361">
        <v>668.96</v>
      </c>
      <c r="AT1361">
        <v>0</v>
      </c>
      <c r="AU1361">
        <v>1091.3499999999999</v>
      </c>
      <c r="AV1361">
        <v>0</v>
      </c>
      <c r="AW1361">
        <v>0</v>
      </c>
      <c r="AX1361">
        <v>1760.31</v>
      </c>
      <c r="AY1361">
        <v>205678.77</v>
      </c>
      <c r="AZ1361">
        <v>0</v>
      </c>
      <c r="BA1361">
        <v>24</v>
      </c>
      <c r="BB1361">
        <v>58941.406999999999</v>
      </c>
      <c r="BC1361">
        <v>1414593.7679999999</v>
      </c>
      <c r="BD1361">
        <v>2595.166667</v>
      </c>
      <c r="BE1361">
        <v>6574.5879999999997</v>
      </c>
      <c r="BF1361">
        <v>314</v>
      </c>
      <c r="BG1361">
        <v>7415.4392040000002</v>
      </c>
      <c r="BH1361">
        <v>541.601</v>
      </c>
    </row>
    <row r="1362" spans="1:60" x14ac:dyDescent="0.35">
      <c r="A1362" t="s">
        <v>2695</v>
      </c>
      <c r="B1362" t="s">
        <v>2816</v>
      </c>
      <c r="C1362" t="s">
        <v>2831</v>
      </c>
      <c r="D1362" t="s">
        <v>2832</v>
      </c>
      <c r="E1362">
        <v>3946</v>
      </c>
      <c r="F1362">
        <v>17</v>
      </c>
      <c r="G1362">
        <v>18.64021</v>
      </c>
      <c r="H1362">
        <v>1.0964830000000001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1</v>
      </c>
      <c r="BB1362">
        <v>90585</v>
      </c>
      <c r="BC1362">
        <v>90585</v>
      </c>
      <c r="BD1362">
        <v>0</v>
      </c>
      <c r="BE1362">
        <v>0</v>
      </c>
      <c r="BF1362">
        <v>49</v>
      </c>
      <c r="BG1362">
        <v>10749.518571000001</v>
      </c>
      <c r="BH1362">
        <v>118.43</v>
      </c>
    </row>
    <row r="1363" spans="1:60" x14ac:dyDescent="0.35">
      <c r="A1363" t="s">
        <v>2695</v>
      </c>
      <c r="B1363" t="s">
        <v>2816</v>
      </c>
      <c r="C1363" t="s">
        <v>2833</v>
      </c>
      <c r="D1363" t="s">
        <v>2834</v>
      </c>
      <c r="E1363">
        <v>36079</v>
      </c>
      <c r="F1363">
        <v>78</v>
      </c>
      <c r="G1363">
        <v>65.432580000000002</v>
      </c>
      <c r="H1363">
        <v>0.83887929999999999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5079.93</v>
      </c>
      <c r="V1363">
        <v>0</v>
      </c>
      <c r="W1363">
        <v>0</v>
      </c>
      <c r="X1363">
        <v>0</v>
      </c>
      <c r="Y1363">
        <v>0</v>
      </c>
      <c r="Z1363">
        <v>5079.93</v>
      </c>
      <c r="AA1363">
        <v>45763.66</v>
      </c>
      <c r="AB1363">
        <v>3377.95</v>
      </c>
      <c r="AC1363">
        <v>54391.199999999997</v>
      </c>
      <c r="AD1363">
        <v>0</v>
      </c>
      <c r="AE1363">
        <v>0</v>
      </c>
      <c r="AF1363">
        <v>103532.81</v>
      </c>
      <c r="AG1363">
        <v>11285.47</v>
      </c>
      <c r="AH1363">
        <v>1622.73</v>
      </c>
      <c r="AI1363">
        <v>10739.87</v>
      </c>
      <c r="AJ1363">
        <v>0</v>
      </c>
      <c r="AK1363">
        <v>0</v>
      </c>
      <c r="AL1363">
        <v>23648.07</v>
      </c>
      <c r="AM1363">
        <v>17619.310000000001</v>
      </c>
      <c r="AN1363">
        <v>3888.71</v>
      </c>
      <c r="AO1363">
        <v>13274.94</v>
      </c>
      <c r="AP1363">
        <v>0</v>
      </c>
      <c r="AQ1363">
        <v>0</v>
      </c>
      <c r="AR1363">
        <v>34782.959999999999</v>
      </c>
      <c r="AS1363">
        <v>19554.34</v>
      </c>
      <c r="AT1363">
        <v>0</v>
      </c>
      <c r="AU1363">
        <v>142.37</v>
      </c>
      <c r="AV1363">
        <v>0</v>
      </c>
      <c r="AW1363">
        <v>0</v>
      </c>
      <c r="AX1363">
        <v>19696.71</v>
      </c>
      <c r="AY1363">
        <v>186740.48000000001</v>
      </c>
      <c r="AZ1363">
        <v>0</v>
      </c>
      <c r="BA1363">
        <v>5</v>
      </c>
      <c r="BB1363">
        <v>48591.063999999998</v>
      </c>
      <c r="BC1363">
        <v>242955.318</v>
      </c>
      <c r="BD1363">
        <v>0</v>
      </c>
      <c r="BE1363">
        <v>2625.596</v>
      </c>
      <c r="BF1363">
        <v>274</v>
      </c>
      <c r="BG1363">
        <v>6086.2294160000001</v>
      </c>
      <c r="BH1363">
        <v>1706.306</v>
      </c>
    </row>
    <row r="1364" spans="1:60" x14ac:dyDescent="0.35">
      <c r="A1364" t="s">
        <v>2695</v>
      </c>
      <c r="B1364" t="s">
        <v>2816</v>
      </c>
      <c r="C1364" t="s">
        <v>2835</v>
      </c>
      <c r="D1364" t="s">
        <v>2836</v>
      </c>
      <c r="E1364">
        <v>31807</v>
      </c>
      <c r="F1364">
        <v>8</v>
      </c>
      <c r="G1364">
        <v>6.2650350000000001</v>
      </c>
      <c r="H1364">
        <v>0.78312939999999998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3</v>
      </c>
      <c r="BB1364">
        <v>135761.72200000001</v>
      </c>
      <c r="BC1364">
        <v>407285.16700000002</v>
      </c>
      <c r="BD1364">
        <v>0</v>
      </c>
      <c r="BE1364">
        <v>0</v>
      </c>
      <c r="BF1364">
        <v>87</v>
      </c>
      <c r="BG1364">
        <v>15664.37023</v>
      </c>
      <c r="BH1364">
        <v>940.71900000000005</v>
      </c>
    </row>
    <row r="1365" spans="1:60" x14ac:dyDescent="0.35">
      <c r="A1365" t="s">
        <v>2695</v>
      </c>
      <c r="B1365" t="s">
        <v>2816</v>
      </c>
      <c r="C1365" t="s">
        <v>2837</v>
      </c>
      <c r="D1365" t="s">
        <v>2838</v>
      </c>
      <c r="E1365">
        <v>1746</v>
      </c>
      <c r="F1365">
        <v>1</v>
      </c>
      <c r="G1365">
        <v>0.65</v>
      </c>
      <c r="H1365">
        <v>0.65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12</v>
      </c>
      <c r="BG1365">
        <v>0</v>
      </c>
      <c r="BH1365">
        <v>0</v>
      </c>
    </row>
    <row r="1366" spans="1:60" x14ac:dyDescent="0.35">
      <c r="A1366" t="s">
        <v>2695</v>
      </c>
      <c r="B1366" t="s">
        <v>2816</v>
      </c>
      <c r="C1366" t="s">
        <v>2839</v>
      </c>
      <c r="D1366" t="s">
        <v>2840</v>
      </c>
      <c r="E1366">
        <v>17041</v>
      </c>
      <c r="F1366">
        <v>8</v>
      </c>
      <c r="G1366">
        <v>2.528464</v>
      </c>
      <c r="H1366">
        <v>0.31605800000000001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5</v>
      </c>
      <c r="BB1366">
        <v>26115.45</v>
      </c>
      <c r="BC1366">
        <v>130577.249</v>
      </c>
      <c r="BD1366">
        <v>99.971999999999994</v>
      </c>
      <c r="BE1366">
        <v>0</v>
      </c>
      <c r="BF1366">
        <v>104</v>
      </c>
      <c r="BG1366">
        <v>6945.2756730000001</v>
      </c>
      <c r="BH1366">
        <v>851.31299999999999</v>
      </c>
    </row>
    <row r="1367" spans="1:60" x14ac:dyDescent="0.35">
      <c r="A1367" t="s">
        <v>2695</v>
      </c>
      <c r="B1367" t="s">
        <v>2816</v>
      </c>
      <c r="C1367" t="s">
        <v>2841</v>
      </c>
      <c r="D1367" t="s">
        <v>2842</v>
      </c>
      <c r="E1367">
        <v>4952</v>
      </c>
      <c r="F1367">
        <v>2</v>
      </c>
      <c r="G1367">
        <v>0.42790800000000001</v>
      </c>
      <c r="H1367">
        <v>0.21395400000000001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3</v>
      </c>
      <c r="BB1367">
        <v>32909.584000000003</v>
      </c>
      <c r="BC1367">
        <v>98728.751000000004</v>
      </c>
      <c r="BD1367">
        <v>24165.866666999998</v>
      </c>
      <c r="BE1367">
        <v>21973.941999999999</v>
      </c>
      <c r="BF1367">
        <v>26</v>
      </c>
      <c r="BG1367">
        <v>564.94230800000003</v>
      </c>
      <c r="BH1367">
        <v>0</v>
      </c>
    </row>
    <row r="1368" spans="1:60" x14ac:dyDescent="0.35">
      <c r="A1368" t="s">
        <v>2695</v>
      </c>
      <c r="B1368" t="s">
        <v>2816</v>
      </c>
      <c r="C1368" t="s">
        <v>2843</v>
      </c>
      <c r="D1368" t="s">
        <v>2844</v>
      </c>
      <c r="E1368">
        <v>13503</v>
      </c>
      <c r="F1368">
        <v>8</v>
      </c>
      <c r="G1368">
        <v>14.041919999999999</v>
      </c>
      <c r="H1368">
        <v>1.7552399999999999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1</v>
      </c>
      <c r="BB1368">
        <v>36292.25</v>
      </c>
      <c r="BC1368">
        <v>36292.25</v>
      </c>
      <c r="BD1368">
        <v>0</v>
      </c>
      <c r="BE1368">
        <v>0</v>
      </c>
      <c r="BF1368">
        <v>42</v>
      </c>
      <c r="BG1368">
        <v>1451.3716669999999</v>
      </c>
      <c r="BH1368">
        <v>0</v>
      </c>
    </row>
    <row r="1369" spans="1:60" x14ac:dyDescent="0.35">
      <c r="A1369" t="s">
        <v>2695</v>
      </c>
      <c r="B1369" t="s">
        <v>2816</v>
      </c>
      <c r="C1369" t="s">
        <v>2845</v>
      </c>
      <c r="D1369" t="s">
        <v>2846</v>
      </c>
      <c r="E1369">
        <v>3403</v>
      </c>
      <c r="F1369">
        <v>1</v>
      </c>
      <c r="G1369">
        <v>0.28000000000000003</v>
      </c>
      <c r="H1369">
        <v>0.28000000000000003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16</v>
      </c>
      <c r="BG1369">
        <v>12199.168125</v>
      </c>
      <c r="BH1369">
        <v>101.69799999999999</v>
      </c>
    </row>
    <row r="1370" spans="1:60" x14ac:dyDescent="0.35">
      <c r="A1370" t="s">
        <v>2695</v>
      </c>
      <c r="B1370" t="s">
        <v>2816</v>
      </c>
      <c r="C1370" t="s">
        <v>2847</v>
      </c>
      <c r="D1370" t="s">
        <v>2848</v>
      </c>
      <c r="E1370">
        <v>1276</v>
      </c>
      <c r="F1370" t="s">
        <v>81</v>
      </c>
      <c r="G1370" t="s">
        <v>81</v>
      </c>
      <c r="H1370" t="s">
        <v>81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7</v>
      </c>
      <c r="BG1370">
        <v>5695.2314290000004</v>
      </c>
      <c r="BH1370">
        <v>409.30599999999998</v>
      </c>
    </row>
    <row r="1371" spans="1:60" x14ac:dyDescent="0.35">
      <c r="A1371" t="s">
        <v>2695</v>
      </c>
      <c r="B1371" t="s">
        <v>2849</v>
      </c>
      <c r="C1371" t="s">
        <v>2849</v>
      </c>
      <c r="D1371" t="s">
        <v>2850</v>
      </c>
      <c r="E1371">
        <v>112517</v>
      </c>
      <c r="F1371">
        <v>310</v>
      </c>
      <c r="G1371">
        <v>268.79969999999997</v>
      </c>
      <c r="H1371">
        <v>0.86709579999999997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791.76</v>
      </c>
      <c r="P1371">
        <v>0</v>
      </c>
      <c r="Q1371">
        <v>0</v>
      </c>
      <c r="R1371">
        <v>0</v>
      </c>
      <c r="S1371">
        <v>0</v>
      </c>
      <c r="T1371">
        <v>791.76</v>
      </c>
      <c r="U1371">
        <v>15609.43</v>
      </c>
      <c r="V1371">
        <v>0</v>
      </c>
      <c r="W1371">
        <v>0</v>
      </c>
      <c r="X1371">
        <v>0</v>
      </c>
      <c r="Y1371">
        <v>0</v>
      </c>
      <c r="Z1371">
        <v>15609.43</v>
      </c>
      <c r="AA1371">
        <v>127522.29</v>
      </c>
      <c r="AB1371">
        <v>3113.93</v>
      </c>
      <c r="AC1371">
        <v>89292.92</v>
      </c>
      <c r="AD1371">
        <v>8882.31</v>
      </c>
      <c r="AE1371">
        <v>0</v>
      </c>
      <c r="AF1371">
        <v>228811.45</v>
      </c>
      <c r="AG1371">
        <v>21402.14</v>
      </c>
      <c r="AH1371">
        <v>932.43</v>
      </c>
      <c r="AI1371">
        <v>17051.900000000001</v>
      </c>
      <c r="AJ1371">
        <v>2057.94</v>
      </c>
      <c r="AK1371">
        <v>0</v>
      </c>
      <c r="AL1371">
        <v>41444.410000000003</v>
      </c>
      <c r="AM1371">
        <v>156875</v>
      </c>
      <c r="AN1371">
        <v>17529.27</v>
      </c>
      <c r="AO1371">
        <v>19452.88</v>
      </c>
      <c r="AP1371">
        <v>1730.65</v>
      </c>
      <c r="AQ1371">
        <v>0</v>
      </c>
      <c r="AR1371">
        <v>195587.8</v>
      </c>
      <c r="AS1371">
        <v>40166.21</v>
      </c>
      <c r="AT1371">
        <v>0</v>
      </c>
      <c r="AU1371">
        <v>242.28</v>
      </c>
      <c r="AV1371">
        <v>0</v>
      </c>
      <c r="AW1371">
        <v>0</v>
      </c>
      <c r="AX1371">
        <v>40408.49</v>
      </c>
      <c r="AY1371">
        <v>522653.34</v>
      </c>
      <c r="AZ1371">
        <v>0</v>
      </c>
      <c r="BA1371">
        <v>69</v>
      </c>
      <c r="BB1371">
        <v>40599.114000000001</v>
      </c>
      <c r="BC1371">
        <v>2801338.8810000001</v>
      </c>
      <c r="BD1371">
        <v>8759.2481160000007</v>
      </c>
      <c r="BE1371">
        <v>1206.0899999999999</v>
      </c>
      <c r="BF1371">
        <v>659</v>
      </c>
      <c r="BG1371">
        <v>9557.3622909999995</v>
      </c>
      <c r="BH1371">
        <v>2944.4290000000001</v>
      </c>
    </row>
    <row r="1372" spans="1:60" x14ac:dyDescent="0.35">
      <c r="A1372" t="s">
        <v>2695</v>
      </c>
      <c r="B1372" t="s">
        <v>2849</v>
      </c>
      <c r="C1372" t="s">
        <v>2851</v>
      </c>
      <c r="D1372" t="s">
        <v>2852</v>
      </c>
      <c r="E1372">
        <v>627</v>
      </c>
      <c r="F1372">
        <v>1</v>
      </c>
      <c r="G1372">
        <v>1.43</v>
      </c>
      <c r="H1372">
        <v>1.43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94668.12</v>
      </c>
      <c r="BH1372">
        <v>26206.117999999999</v>
      </c>
    </row>
    <row r="1373" spans="1:60" x14ac:dyDescent="0.35">
      <c r="A1373" t="s">
        <v>2695</v>
      </c>
      <c r="B1373" t="s">
        <v>2849</v>
      </c>
      <c r="C1373" t="s">
        <v>2853</v>
      </c>
      <c r="D1373" t="s">
        <v>2854</v>
      </c>
      <c r="E1373">
        <v>770</v>
      </c>
      <c r="F1373">
        <v>1</v>
      </c>
      <c r="G1373">
        <v>0.219</v>
      </c>
      <c r="H1373">
        <v>0.219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 t="s">
        <v>81</v>
      </c>
      <c r="BB1373" t="s">
        <v>81</v>
      </c>
      <c r="BC1373" t="s">
        <v>81</v>
      </c>
      <c r="BD1373" t="s">
        <v>81</v>
      </c>
      <c r="BE1373" t="s">
        <v>81</v>
      </c>
      <c r="BF1373" t="s">
        <v>81</v>
      </c>
      <c r="BG1373" t="s">
        <v>81</v>
      </c>
      <c r="BH1373" t="s">
        <v>81</v>
      </c>
    </row>
    <row r="1374" spans="1:60" x14ac:dyDescent="0.35">
      <c r="A1374" t="s">
        <v>2695</v>
      </c>
      <c r="B1374" t="s">
        <v>2849</v>
      </c>
      <c r="C1374" t="s">
        <v>2855</v>
      </c>
      <c r="D1374" t="s">
        <v>2856</v>
      </c>
      <c r="E1374">
        <v>23320</v>
      </c>
      <c r="F1374">
        <v>13</v>
      </c>
      <c r="G1374">
        <v>7.9889109999999999</v>
      </c>
      <c r="H1374">
        <v>0.61453159999999996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54357</v>
      </c>
      <c r="BC1374">
        <v>54357</v>
      </c>
      <c r="BD1374">
        <v>0</v>
      </c>
      <c r="BE1374">
        <v>0</v>
      </c>
      <c r="BF1374">
        <v>45</v>
      </c>
      <c r="BG1374">
        <v>1792.2777779999999</v>
      </c>
      <c r="BH1374">
        <v>107.02</v>
      </c>
    </row>
    <row r="1375" spans="1:60" x14ac:dyDescent="0.35">
      <c r="A1375" t="s">
        <v>2695</v>
      </c>
      <c r="B1375" t="s">
        <v>2849</v>
      </c>
      <c r="C1375" t="s">
        <v>2857</v>
      </c>
      <c r="D1375" t="s">
        <v>2858</v>
      </c>
      <c r="E1375">
        <v>64722</v>
      </c>
      <c r="F1375">
        <v>166</v>
      </c>
      <c r="G1375">
        <v>114.7032</v>
      </c>
      <c r="H1375">
        <v>0.69098300000000001</v>
      </c>
      <c r="I1375">
        <v>14.88</v>
      </c>
      <c r="J1375">
        <v>0</v>
      </c>
      <c r="K1375">
        <v>0</v>
      </c>
      <c r="L1375">
        <v>0</v>
      </c>
      <c r="M1375">
        <v>0</v>
      </c>
      <c r="N1375">
        <v>14.88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3400.57</v>
      </c>
      <c r="V1375">
        <v>0</v>
      </c>
      <c r="W1375">
        <v>0</v>
      </c>
      <c r="X1375">
        <v>0</v>
      </c>
      <c r="Y1375">
        <v>0</v>
      </c>
      <c r="Z1375">
        <v>3400.57</v>
      </c>
      <c r="AA1375">
        <v>30392.86</v>
      </c>
      <c r="AB1375">
        <v>0</v>
      </c>
      <c r="AC1375">
        <v>54562.97</v>
      </c>
      <c r="AD1375">
        <v>0</v>
      </c>
      <c r="AE1375">
        <v>0</v>
      </c>
      <c r="AF1375">
        <v>84955.83</v>
      </c>
      <c r="AG1375">
        <v>1632.09</v>
      </c>
      <c r="AH1375">
        <v>0</v>
      </c>
      <c r="AI1375">
        <v>14316.44</v>
      </c>
      <c r="AJ1375">
        <v>0</v>
      </c>
      <c r="AK1375">
        <v>0</v>
      </c>
      <c r="AL1375">
        <v>15948.53</v>
      </c>
      <c r="AM1375">
        <v>24071.45</v>
      </c>
      <c r="AN1375">
        <v>697.45</v>
      </c>
      <c r="AO1375">
        <v>14987.29</v>
      </c>
      <c r="AP1375">
        <v>0</v>
      </c>
      <c r="AQ1375">
        <v>0</v>
      </c>
      <c r="AR1375">
        <v>39756.19</v>
      </c>
      <c r="AS1375">
        <v>13620.76</v>
      </c>
      <c r="AT1375">
        <v>0</v>
      </c>
      <c r="AU1375">
        <v>75.84</v>
      </c>
      <c r="AV1375">
        <v>0</v>
      </c>
      <c r="AW1375">
        <v>0</v>
      </c>
      <c r="AX1375">
        <v>13696.6</v>
      </c>
      <c r="AY1375">
        <v>157772.6</v>
      </c>
      <c r="AZ1375">
        <v>0</v>
      </c>
      <c r="BA1375">
        <v>30</v>
      </c>
      <c r="BB1375">
        <v>36451.050000000003</v>
      </c>
      <c r="BC1375">
        <v>1093531.4890000001</v>
      </c>
      <c r="BD1375">
        <v>20506.853999999999</v>
      </c>
      <c r="BE1375">
        <v>76.292000000000002</v>
      </c>
      <c r="BF1375">
        <v>325</v>
      </c>
      <c r="BG1375">
        <v>12196.352154</v>
      </c>
      <c r="BH1375">
        <v>1425.097</v>
      </c>
    </row>
    <row r="1376" spans="1:60" x14ac:dyDescent="0.35">
      <c r="A1376" t="s">
        <v>2695</v>
      </c>
      <c r="B1376" t="s">
        <v>2849</v>
      </c>
      <c r="C1376" t="s">
        <v>2859</v>
      </c>
      <c r="D1376" t="s">
        <v>2860</v>
      </c>
      <c r="E1376">
        <v>1880</v>
      </c>
      <c r="F1376" t="s">
        <v>81</v>
      </c>
      <c r="G1376" t="s">
        <v>81</v>
      </c>
      <c r="H1376" t="s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0</v>
      </c>
      <c r="BH1376">
        <v>0</v>
      </c>
    </row>
    <row r="1377" spans="1:60" x14ac:dyDescent="0.35">
      <c r="A1377" t="s">
        <v>2695</v>
      </c>
      <c r="B1377" t="s">
        <v>2849</v>
      </c>
      <c r="C1377" t="s">
        <v>2861</v>
      </c>
      <c r="D1377" t="s">
        <v>2862</v>
      </c>
      <c r="E1377">
        <v>283</v>
      </c>
      <c r="F1377" t="s">
        <v>81</v>
      </c>
      <c r="G1377" t="s">
        <v>81</v>
      </c>
      <c r="H1377" t="s">
        <v>81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0</v>
      </c>
      <c r="BH1377">
        <v>0</v>
      </c>
    </row>
    <row r="1378" spans="1:60" x14ac:dyDescent="0.35">
      <c r="A1378" t="s">
        <v>2695</v>
      </c>
      <c r="B1378" t="s">
        <v>2849</v>
      </c>
      <c r="C1378" t="s">
        <v>2863</v>
      </c>
      <c r="D1378" t="s">
        <v>2864</v>
      </c>
      <c r="E1378">
        <v>1391</v>
      </c>
      <c r="F1378" t="s">
        <v>81</v>
      </c>
      <c r="G1378" t="s">
        <v>81</v>
      </c>
      <c r="H1378" t="s">
        <v>81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0</v>
      </c>
      <c r="BH1378">
        <v>0</v>
      </c>
    </row>
    <row r="1379" spans="1:60" x14ac:dyDescent="0.35">
      <c r="A1379" t="s">
        <v>2695</v>
      </c>
      <c r="B1379" t="s">
        <v>2849</v>
      </c>
      <c r="C1379" t="s">
        <v>2865</v>
      </c>
      <c r="D1379" t="s">
        <v>2866</v>
      </c>
      <c r="E1379">
        <v>613</v>
      </c>
      <c r="F1379" t="s">
        <v>81</v>
      </c>
      <c r="G1379" t="s">
        <v>81</v>
      </c>
      <c r="H1379" t="s">
        <v>81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3</v>
      </c>
      <c r="BG1379">
        <v>0</v>
      </c>
      <c r="BH1379">
        <v>0</v>
      </c>
    </row>
    <row r="1380" spans="1:60" x14ac:dyDescent="0.35">
      <c r="A1380" t="s">
        <v>2695</v>
      </c>
      <c r="B1380" t="s">
        <v>2849</v>
      </c>
      <c r="C1380" t="s">
        <v>2867</v>
      </c>
      <c r="D1380" t="s">
        <v>2868</v>
      </c>
      <c r="E1380">
        <v>708</v>
      </c>
      <c r="F1380">
        <v>2</v>
      </c>
      <c r="G1380">
        <v>4.8261960000000004</v>
      </c>
      <c r="H1380">
        <v>2.4130980000000002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0</v>
      </c>
      <c r="BH1380">
        <v>0</v>
      </c>
    </row>
    <row r="1381" spans="1:60" x14ac:dyDescent="0.35">
      <c r="A1381" t="s">
        <v>2695</v>
      </c>
      <c r="B1381" t="s">
        <v>2849</v>
      </c>
      <c r="C1381" t="s">
        <v>2869</v>
      </c>
      <c r="D1381" t="s">
        <v>2870</v>
      </c>
      <c r="E1381">
        <v>646</v>
      </c>
      <c r="F1381" t="s">
        <v>81</v>
      </c>
      <c r="G1381" t="s">
        <v>81</v>
      </c>
      <c r="H1381" t="s">
        <v>81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 t="s">
        <v>81</v>
      </c>
      <c r="BB1381" t="s">
        <v>81</v>
      </c>
      <c r="BC1381" t="s">
        <v>81</v>
      </c>
      <c r="BD1381" t="s">
        <v>81</v>
      </c>
      <c r="BE1381" t="s">
        <v>81</v>
      </c>
      <c r="BF1381" t="s">
        <v>81</v>
      </c>
      <c r="BG1381" t="s">
        <v>81</v>
      </c>
      <c r="BH1381" t="s">
        <v>81</v>
      </c>
    </row>
    <row r="1382" spans="1:60" x14ac:dyDescent="0.35">
      <c r="A1382" t="s">
        <v>2695</v>
      </c>
      <c r="B1382" t="s">
        <v>2849</v>
      </c>
      <c r="C1382" t="s">
        <v>2871</v>
      </c>
      <c r="D1382" t="s">
        <v>2872</v>
      </c>
      <c r="E1382">
        <v>355</v>
      </c>
      <c r="F1382" t="s">
        <v>81</v>
      </c>
      <c r="G1382" t="s">
        <v>81</v>
      </c>
      <c r="H1382" t="s">
        <v>81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0</v>
      </c>
      <c r="BH1382">
        <v>0</v>
      </c>
    </row>
    <row r="1383" spans="1:60" x14ac:dyDescent="0.35">
      <c r="A1383" t="s">
        <v>2695</v>
      </c>
      <c r="B1383" t="s">
        <v>2873</v>
      </c>
      <c r="C1383" t="s">
        <v>2874</v>
      </c>
      <c r="D1383" t="s">
        <v>2875</v>
      </c>
      <c r="E1383">
        <v>3887</v>
      </c>
      <c r="F1383">
        <v>11</v>
      </c>
      <c r="G1383">
        <v>5.57</v>
      </c>
      <c r="H1383">
        <v>0.50636360000000002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</v>
      </c>
      <c r="BB1383">
        <v>9300.5</v>
      </c>
      <c r="BC1383">
        <v>9300.5</v>
      </c>
      <c r="BD1383">
        <v>0</v>
      </c>
      <c r="BE1383">
        <v>0</v>
      </c>
      <c r="BF1383">
        <v>27</v>
      </c>
      <c r="BG1383">
        <v>1345.025926</v>
      </c>
      <c r="BH1383">
        <v>0</v>
      </c>
    </row>
    <row r="1384" spans="1:60" x14ac:dyDescent="0.35">
      <c r="A1384" t="s">
        <v>2695</v>
      </c>
      <c r="B1384" t="s">
        <v>2873</v>
      </c>
      <c r="C1384" t="s">
        <v>2876</v>
      </c>
      <c r="D1384" t="s">
        <v>2877</v>
      </c>
      <c r="E1384">
        <v>1144</v>
      </c>
      <c r="F1384" t="s">
        <v>81</v>
      </c>
      <c r="G1384" t="s">
        <v>81</v>
      </c>
      <c r="H1384" t="s">
        <v>81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4</v>
      </c>
      <c r="BG1384">
        <v>622.47500000000002</v>
      </c>
      <c r="BH1384">
        <v>0</v>
      </c>
    </row>
    <row r="1385" spans="1:60" x14ac:dyDescent="0.35">
      <c r="A1385" t="s">
        <v>2695</v>
      </c>
      <c r="B1385" t="s">
        <v>2873</v>
      </c>
      <c r="C1385" t="s">
        <v>2878</v>
      </c>
      <c r="D1385" t="s">
        <v>2879</v>
      </c>
      <c r="E1385">
        <v>599</v>
      </c>
      <c r="F1385" t="s">
        <v>81</v>
      </c>
      <c r="G1385" t="s">
        <v>81</v>
      </c>
      <c r="H1385" t="s">
        <v>81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2</v>
      </c>
      <c r="BG1385">
        <v>0</v>
      </c>
      <c r="BH1385">
        <v>0</v>
      </c>
    </row>
    <row r="1386" spans="1:60" x14ac:dyDescent="0.35">
      <c r="A1386" t="s">
        <v>2695</v>
      </c>
      <c r="B1386" t="s">
        <v>2873</v>
      </c>
      <c r="C1386" t="s">
        <v>2880</v>
      </c>
      <c r="D1386" t="s">
        <v>2881</v>
      </c>
      <c r="E1386">
        <v>295</v>
      </c>
      <c r="F1386" t="s">
        <v>81</v>
      </c>
      <c r="G1386" t="s">
        <v>81</v>
      </c>
      <c r="H1386" t="s">
        <v>81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 t="s">
        <v>81</v>
      </c>
      <c r="BB1386" t="s">
        <v>81</v>
      </c>
      <c r="BC1386" t="s">
        <v>81</v>
      </c>
      <c r="BD1386" t="s">
        <v>81</v>
      </c>
      <c r="BE1386" t="s">
        <v>81</v>
      </c>
      <c r="BF1386" t="s">
        <v>81</v>
      </c>
      <c r="BG1386" t="s">
        <v>81</v>
      </c>
      <c r="BH1386" t="s">
        <v>81</v>
      </c>
    </row>
    <row r="1387" spans="1:60" x14ac:dyDescent="0.35">
      <c r="A1387" t="s">
        <v>2695</v>
      </c>
      <c r="B1387" t="s">
        <v>2873</v>
      </c>
      <c r="C1387" t="s">
        <v>2882</v>
      </c>
      <c r="D1387" t="s">
        <v>2883</v>
      </c>
      <c r="E1387">
        <v>2728</v>
      </c>
      <c r="F1387">
        <v>5</v>
      </c>
      <c r="G1387">
        <v>8.0904819999999997</v>
      </c>
      <c r="H1387">
        <v>1.618096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11</v>
      </c>
      <c r="BG1387">
        <v>2.7272729999999998</v>
      </c>
      <c r="BH1387">
        <v>0</v>
      </c>
    </row>
    <row r="1388" spans="1:60" x14ac:dyDescent="0.35">
      <c r="A1388" t="s">
        <v>2695</v>
      </c>
      <c r="B1388" t="s">
        <v>2873</v>
      </c>
      <c r="C1388" t="s">
        <v>2884</v>
      </c>
      <c r="D1388" t="s">
        <v>2885</v>
      </c>
      <c r="E1388">
        <v>474</v>
      </c>
      <c r="F1388" t="s">
        <v>81</v>
      </c>
      <c r="G1388" t="s">
        <v>81</v>
      </c>
      <c r="H1388" t="s">
        <v>81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0</v>
      </c>
      <c r="BH1388">
        <v>0</v>
      </c>
    </row>
    <row r="1389" spans="1:60" x14ac:dyDescent="0.35">
      <c r="A1389" t="s">
        <v>2695</v>
      </c>
      <c r="B1389" t="s">
        <v>2873</v>
      </c>
      <c r="C1389" t="s">
        <v>2886</v>
      </c>
      <c r="D1389" t="s">
        <v>2887</v>
      </c>
      <c r="E1389">
        <v>478</v>
      </c>
      <c r="F1389" t="s">
        <v>81</v>
      </c>
      <c r="G1389" t="s">
        <v>81</v>
      </c>
      <c r="H1389" t="s">
        <v>81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0</v>
      </c>
      <c r="BH1389">
        <v>0</v>
      </c>
    </row>
    <row r="1390" spans="1:60" x14ac:dyDescent="0.35">
      <c r="A1390" t="s">
        <v>2695</v>
      </c>
      <c r="B1390" t="s">
        <v>2873</v>
      </c>
      <c r="C1390" t="s">
        <v>2888</v>
      </c>
      <c r="D1390" t="s">
        <v>2889</v>
      </c>
      <c r="E1390">
        <v>686</v>
      </c>
      <c r="F1390" t="s">
        <v>81</v>
      </c>
      <c r="G1390" t="s">
        <v>81</v>
      </c>
      <c r="H1390" t="s">
        <v>81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1</v>
      </c>
      <c r="BB1390">
        <v>197895.8</v>
      </c>
      <c r="BC1390">
        <v>197895.8</v>
      </c>
      <c r="BD1390">
        <v>0</v>
      </c>
      <c r="BE1390">
        <v>0</v>
      </c>
      <c r="BF1390">
        <v>3</v>
      </c>
      <c r="BG1390">
        <v>0</v>
      </c>
      <c r="BH1390">
        <v>0</v>
      </c>
    </row>
    <row r="1391" spans="1:60" x14ac:dyDescent="0.35">
      <c r="A1391" t="s">
        <v>2695</v>
      </c>
      <c r="B1391" t="s">
        <v>2873</v>
      </c>
      <c r="C1391" t="s">
        <v>2873</v>
      </c>
      <c r="D1391" t="s">
        <v>2890</v>
      </c>
      <c r="E1391">
        <v>1136</v>
      </c>
      <c r="F1391">
        <v>1</v>
      </c>
      <c r="G1391">
        <v>0.192</v>
      </c>
      <c r="H1391">
        <v>0.192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13</v>
      </c>
      <c r="BG1391">
        <v>44545.173845999998</v>
      </c>
      <c r="BH1391">
        <v>0</v>
      </c>
    </row>
    <row r="1392" spans="1:60" x14ac:dyDescent="0.35">
      <c r="A1392" t="s">
        <v>2695</v>
      </c>
      <c r="B1392" t="s">
        <v>2873</v>
      </c>
      <c r="C1392" t="s">
        <v>2891</v>
      </c>
      <c r="D1392" t="s">
        <v>2892</v>
      </c>
      <c r="E1392">
        <v>526</v>
      </c>
      <c r="F1392" t="s">
        <v>81</v>
      </c>
      <c r="G1392" t="s">
        <v>81</v>
      </c>
      <c r="H1392" t="s">
        <v>81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1</v>
      </c>
      <c r="BG1392">
        <v>0</v>
      </c>
      <c r="BH1392">
        <v>0</v>
      </c>
    </row>
    <row r="1393" spans="1:60" x14ac:dyDescent="0.35">
      <c r="A1393" t="s">
        <v>2695</v>
      </c>
      <c r="B1393" t="s">
        <v>2873</v>
      </c>
      <c r="C1393" t="s">
        <v>2893</v>
      </c>
      <c r="D1393" t="s">
        <v>2894</v>
      </c>
      <c r="E1393">
        <v>770</v>
      </c>
      <c r="F1393" t="s">
        <v>81</v>
      </c>
      <c r="G1393" t="s">
        <v>81</v>
      </c>
      <c r="H1393" t="s">
        <v>81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 t="s">
        <v>81</v>
      </c>
      <c r="BB1393" t="s">
        <v>81</v>
      </c>
      <c r="BC1393" t="s">
        <v>81</v>
      </c>
      <c r="BD1393" t="s">
        <v>81</v>
      </c>
      <c r="BE1393" t="s">
        <v>81</v>
      </c>
      <c r="BF1393" t="s">
        <v>81</v>
      </c>
      <c r="BG1393" t="s">
        <v>81</v>
      </c>
      <c r="BH1393" t="s">
        <v>81</v>
      </c>
    </row>
    <row r="1394" spans="1:60" x14ac:dyDescent="0.35">
      <c r="A1394" t="s">
        <v>2695</v>
      </c>
      <c r="B1394" t="s">
        <v>2873</v>
      </c>
      <c r="C1394" t="s">
        <v>2895</v>
      </c>
      <c r="D1394" t="s">
        <v>2896</v>
      </c>
      <c r="E1394">
        <v>513</v>
      </c>
      <c r="F1394" t="s">
        <v>81</v>
      </c>
      <c r="G1394" t="s">
        <v>81</v>
      </c>
      <c r="H1394" t="s">
        <v>81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 t="s">
        <v>81</v>
      </c>
      <c r="BB1394" t="s">
        <v>81</v>
      </c>
      <c r="BC1394" t="s">
        <v>81</v>
      </c>
      <c r="BD1394" t="s">
        <v>81</v>
      </c>
      <c r="BE1394" t="s">
        <v>81</v>
      </c>
      <c r="BF1394" t="s">
        <v>81</v>
      </c>
      <c r="BG1394" t="s">
        <v>81</v>
      </c>
      <c r="BH1394" t="s">
        <v>81</v>
      </c>
    </row>
    <row r="1395" spans="1:60" x14ac:dyDescent="0.35">
      <c r="A1395" t="s">
        <v>2695</v>
      </c>
      <c r="B1395" t="s">
        <v>2873</v>
      </c>
      <c r="C1395" t="s">
        <v>2897</v>
      </c>
      <c r="D1395" t="s">
        <v>2898</v>
      </c>
      <c r="E1395">
        <v>1364</v>
      </c>
      <c r="F1395" t="s">
        <v>81</v>
      </c>
      <c r="G1395" t="s">
        <v>81</v>
      </c>
      <c r="H1395" t="s">
        <v>81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2</v>
      </c>
      <c r="BG1395">
        <v>0</v>
      </c>
      <c r="BH1395">
        <v>0</v>
      </c>
    </row>
    <row r="1396" spans="1:60" x14ac:dyDescent="0.35">
      <c r="A1396" t="s">
        <v>2695</v>
      </c>
      <c r="B1396" t="s">
        <v>2873</v>
      </c>
      <c r="C1396" t="s">
        <v>2899</v>
      </c>
      <c r="D1396" t="s">
        <v>2900</v>
      </c>
      <c r="E1396">
        <v>6763</v>
      </c>
      <c r="F1396">
        <v>4</v>
      </c>
      <c r="G1396">
        <v>5.006132</v>
      </c>
      <c r="H1396">
        <v>1.251533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5</v>
      </c>
      <c r="BB1396">
        <v>37349.822</v>
      </c>
      <c r="BC1396">
        <v>186749.10800000001</v>
      </c>
      <c r="BD1396">
        <v>11477.732</v>
      </c>
      <c r="BE1396">
        <v>2186.4560000000001</v>
      </c>
      <c r="BF1396">
        <v>37</v>
      </c>
      <c r="BG1396">
        <v>3523.8027029999998</v>
      </c>
      <c r="BH1396">
        <v>0</v>
      </c>
    </row>
    <row r="1397" spans="1:60" x14ac:dyDescent="0.35">
      <c r="A1397" t="s">
        <v>2695</v>
      </c>
      <c r="B1397" t="s">
        <v>2873</v>
      </c>
      <c r="C1397" t="s">
        <v>2901</v>
      </c>
      <c r="D1397" t="s">
        <v>2902</v>
      </c>
      <c r="E1397">
        <v>1203</v>
      </c>
      <c r="F1397" t="s">
        <v>81</v>
      </c>
      <c r="G1397" t="s">
        <v>81</v>
      </c>
      <c r="H1397" t="s">
        <v>81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1</v>
      </c>
      <c r="BG1397">
        <v>0</v>
      </c>
      <c r="BH1397">
        <v>0</v>
      </c>
    </row>
    <row r="1398" spans="1:60" x14ac:dyDescent="0.35">
      <c r="A1398" t="s">
        <v>2695</v>
      </c>
      <c r="B1398" t="s">
        <v>2873</v>
      </c>
      <c r="C1398" t="s">
        <v>2903</v>
      </c>
      <c r="D1398" t="s">
        <v>2904</v>
      </c>
      <c r="E1398">
        <v>6106</v>
      </c>
      <c r="F1398">
        <v>11</v>
      </c>
      <c r="G1398">
        <v>19.76024</v>
      </c>
      <c r="H1398">
        <v>1.7963849999999999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66376.179999999993</v>
      </c>
      <c r="AB1398">
        <v>0</v>
      </c>
      <c r="AC1398">
        <v>66375.009999999995</v>
      </c>
      <c r="AD1398">
        <v>0</v>
      </c>
      <c r="AE1398">
        <v>0</v>
      </c>
      <c r="AF1398">
        <v>132751.19</v>
      </c>
      <c r="AG1398">
        <v>27653.39</v>
      </c>
      <c r="AH1398">
        <v>0</v>
      </c>
      <c r="AI1398">
        <v>12112.81</v>
      </c>
      <c r="AJ1398">
        <v>0</v>
      </c>
      <c r="AK1398">
        <v>0</v>
      </c>
      <c r="AL1398">
        <v>39766.199999999997</v>
      </c>
      <c r="AM1398">
        <v>11482.6</v>
      </c>
      <c r="AN1398">
        <v>0</v>
      </c>
      <c r="AO1398">
        <v>14428.79</v>
      </c>
      <c r="AP1398">
        <v>0</v>
      </c>
      <c r="AQ1398">
        <v>0</v>
      </c>
      <c r="AR1398">
        <v>25911.39</v>
      </c>
      <c r="AS1398">
        <v>368.72</v>
      </c>
      <c r="AT1398">
        <v>0</v>
      </c>
      <c r="AU1398">
        <v>383.02</v>
      </c>
      <c r="AV1398">
        <v>0</v>
      </c>
      <c r="AW1398">
        <v>0</v>
      </c>
      <c r="AX1398">
        <v>751.74</v>
      </c>
      <c r="AY1398">
        <v>199180.52</v>
      </c>
      <c r="AZ1398">
        <v>0</v>
      </c>
      <c r="BA1398">
        <v>26</v>
      </c>
      <c r="BB1398">
        <v>100729.321</v>
      </c>
      <c r="BC1398">
        <v>2618962.352</v>
      </c>
      <c r="BD1398">
        <v>0.38461499999999998</v>
      </c>
      <c r="BE1398">
        <v>64.459000000000003</v>
      </c>
      <c r="BF1398">
        <v>421</v>
      </c>
      <c r="BG1398">
        <v>2401.8087650000002</v>
      </c>
      <c r="BH1398">
        <v>125.965</v>
      </c>
    </row>
    <row r="1399" spans="1:60" x14ac:dyDescent="0.35">
      <c r="A1399" t="s">
        <v>2695</v>
      </c>
      <c r="B1399" t="s">
        <v>2873</v>
      </c>
      <c r="C1399" t="s">
        <v>2905</v>
      </c>
      <c r="D1399" t="s">
        <v>2906</v>
      </c>
      <c r="E1399">
        <v>1004</v>
      </c>
      <c r="F1399" t="s">
        <v>81</v>
      </c>
      <c r="G1399" t="s">
        <v>81</v>
      </c>
      <c r="H1399" t="s">
        <v>81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 t="s">
        <v>81</v>
      </c>
      <c r="BB1399" t="s">
        <v>81</v>
      </c>
      <c r="BC1399" t="s">
        <v>81</v>
      </c>
      <c r="BD1399" t="s">
        <v>81</v>
      </c>
      <c r="BE1399" t="s">
        <v>81</v>
      </c>
      <c r="BF1399" t="s">
        <v>81</v>
      </c>
      <c r="BG1399" t="s">
        <v>81</v>
      </c>
      <c r="BH1399" t="s">
        <v>81</v>
      </c>
    </row>
    <row r="1400" spans="1:60" x14ac:dyDescent="0.35">
      <c r="A1400" t="s">
        <v>2695</v>
      </c>
      <c r="B1400" t="s">
        <v>2873</v>
      </c>
      <c r="C1400" t="s">
        <v>2907</v>
      </c>
      <c r="D1400" t="s">
        <v>2908</v>
      </c>
      <c r="E1400">
        <v>1047</v>
      </c>
      <c r="F1400" t="s">
        <v>81</v>
      </c>
      <c r="G1400" t="s">
        <v>81</v>
      </c>
      <c r="H1400" t="s">
        <v>81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</row>
    <row r="1401" spans="1:60" x14ac:dyDescent="0.35">
      <c r="A1401" t="s">
        <v>2695</v>
      </c>
      <c r="B1401" t="s">
        <v>2873</v>
      </c>
      <c r="C1401" t="s">
        <v>2909</v>
      </c>
      <c r="D1401" t="s">
        <v>2910</v>
      </c>
      <c r="E1401">
        <v>612</v>
      </c>
      <c r="F1401" t="s">
        <v>81</v>
      </c>
      <c r="G1401" t="s">
        <v>81</v>
      </c>
      <c r="H1401" t="s">
        <v>81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 t="s">
        <v>81</v>
      </c>
      <c r="BB1401" t="s">
        <v>81</v>
      </c>
      <c r="BC1401" t="s">
        <v>81</v>
      </c>
      <c r="BD1401" t="s">
        <v>81</v>
      </c>
      <c r="BE1401" t="s">
        <v>81</v>
      </c>
      <c r="BF1401" t="s">
        <v>81</v>
      </c>
      <c r="BG1401" t="s">
        <v>81</v>
      </c>
      <c r="BH1401" t="s">
        <v>81</v>
      </c>
    </row>
    <row r="1402" spans="1:60" x14ac:dyDescent="0.35">
      <c r="A1402" t="s">
        <v>2695</v>
      </c>
      <c r="B1402" t="s">
        <v>2873</v>
      </c>
      <c r="C1402" t="s">
        <v>2911</v>
      </c>
      <c r="D1402" t="s">
        <v>2912</v>
      </c>
      <c r="E1402">
        <v>320</v>
      </c>
      <c r="F1402" t="s">
        <v>81</v>
      </c>
      <c r="G1402" t="s">
        <v>81</v>
      </c>
      <c r="H1402" t="s">
        <v>81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 t="s">
        <v>81</v>
      </c>
      <c r="BB1402" t="s">
        <v>81</v>
      </c>
      <c r="BC1402" t="s">
        <v>81</v>
      </c>
      <c r="BD1402" t="s">
        <v>81</v>
      </c>
      <c r="BE1402" t="s">
        <v>81</v>
      </c>
      <c r="BF1402" t="s">
        <v>81</v>
      </c>
      <c r="BG1402" t="s">
        <v>81</v>
      </c>
      <c r="BH1402" t="s">
        <v>81</v>
      </c>
    </row>
    <row r="1403" spans="1:60" x14ac:dyDescent="0.35">
      <c r="A1403" t="s">
        <v>2695</v>
      </c>
      <c r="B1403" t="s">
        <v>2873</v>
      </c>
      <c r="C1403" t="s">
        <v>2913</v>
      </c>
      <c r="D1403" t="s">
        <v>2914</v>
      </c>
      <c r="E1403">
        <v>1063</v>
      </c>
      <c r="F1403" t="s">
        <v>81</v>
      </c>
      <c r="G1403" t="s">
        <v>81</v>
      </c>
      <c r="H1403" t="s">
        <v>81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</row>
    <row r="1404" spans="1:60" x14ac:dyDescent="0.35">
      <c r="A1404" t="s">
        <v>2695</v>
      </c>
      <c r="B1404" t="s">
        <v>2873</v>
      </c>
      <c r="C1404" t="s">
        <v>2915</v>
      </c>
      <c r="D1404" t="s">
        <v>2916</v>
      </c>
      <c r="E1404">
        <v>3732</v>
      </c>
      <c r="F1404">
        <v>2</v>
      </c>
      <c r="G1404">
        <v>0.68</v>
      </c>
      <c r="H1404">
        <v>0.34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5224.3999999999996</v>
      </c>
      <c r="AD1404">
        <v>0</v>
      </c>
      <c r="AE1404">
        <v>0</v>
      </c>
      <c r="AF1404">
        <v>5224.3999999999996</v>
      </c>
      <c r="AG1404">
        <v>0</v>
      </c>
      <c r="AH1404">
        <v>0</v>
      </c>
      <c r="AI1404">
        <v>811.41</v>
      </c>
      <c r="AJ1404">
        <v>0</v>
      </c>
      <c r="AK1404">
        <v>0</v>
      </c>
      <c r="AL1404">
        <v>811.41</v>
      </c>
      <c r="AM1404">
        <v>0</v>
      </c>
      <c r="AN1404">
        <v>0</v>
      </c>
      <c r="AO1404">
        <v>1553.14</v>
      </c>
      <c r="AP1404">
        <v>0</v>
      </c>
      <c r="AQ1404">
        <v>0</v>
      </c>
      <c r="AR1404">
        <v>1553.14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7588.95</v>
      </c>
      <c r="AZ1404">
        <v>0</v>
      </c>
      <c r="BA1404">
        <v>1</v>
      </c>
      <c r="BB1404">
        <v>94123.417000000001</v>
      </c>
      <c r="BC1404">
        <v>94123.417000000001</v>
      </c>
      <c r="BD1404">
        <v>0</v>
      </c>
      <c r="BE1404">
        <v>0</v>
      </c>
      <c r="BF1404">
        <v>34</v>
      </c>
      <c r="BG1404">
        <v>2025.452941</v>
      </c>
      <c r="BH1404">
        <v>403.125</v>
      </c>
    </row>
    <row r="1405" spans="1:60" x14ac:dyDescent="0.35">
      <c r="A1405" t="s">
        <v>2695</v>
      </c>
      <c r="B1405" t="s">
        <v>2873</v>
      </c>
      <c r="C1405" t="s">
        <v>2917</v>
      </c>
      <c r="D1405" t="s">
        <v>2918</v>
      </c>
      <c r="E1405">
        <v>1228</v>
      </c>
      <c r="F1405" t="s">
        <v>81</v>
      </c>
      <c r="G1405" t="s">
        <v>81</v>
      </c>
      <c r="H1405" t="s">
        <v>81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1</v>
      </c>
      <c r="BB1405">
        <v>3015</v>
      </c>
      <c r="BC1405">
        <v>3015</v>
      </c>
      <c r="BD1405">
        <v>0</v>
      </c>
      <c r="BE1405">
        <v>1117.75</v>
      </c>
      <c r="BF1405">
        <v>2</v>
      </c>
      <c r="BG1405">
        <v>11158.025</v>
      </c>
      <c r="BH1405">
        <v>0</v>
      </c>
    </row>
    <row r="1406" spans="1:60" x14ac:dyDescent="0.35">
      <c r="A1406" t="s">
        <v>2695</v>
      </c>
      <c r="B1406" t="s">
        <v>2873</v>
      </c>
      <c r="C1406" t="s">
        <v>2919</v>
      </c>
      <c r="D1406" t="s">
        <v>2920</v>
      </c>
      <c r="E1406">
        <v>811</v>
      </c>
      <c r="F1406" t="s">
        <v>81</v>
      </c>
      <c r="G1406" t="s">
        <v>81</v>
      </c>
      <c r="H1406" t="s">
        <v>81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 t="s">
        <v>81</v>
      </c>
      <c r="BB1406" t="s">
        <v>81</v>
      </c>
      <c r="BC1406" t="s">
        <v>81</v>
      </c>
      <c r="BD1406" t="s">
        <v>81</v>
      </c>
      <c r="BE1406" t="s">
        <v>81</v>
      </c>
      <c r="BF1406" t="s">
        <v>81</v>
      </c>
      <c r="BG1406" t="s">
        <v>81</v>
      </c>
      <c r="BH1406" t="s">
        <v>81</v>
      </c>
    </row>
    <row r="1407" spans="1:60" x14ac:dyDescent="0.35">
      <c r="A1407" t="s">
        <v>2695</v>
      </c>
      <c r="B1407" t="s">
        <v>2873</v>
      </c>
      <c r="C1407" t="s">
        <v>2921</v>
      </c>
      <c r="D1407" t="s">
        <v>2922</v>
      </c>
      <c r="E1407">
        <v>180</v>
      </c>
      <c r="F1407" t="s">
        <v>81</v>
      </c>
      <c r="G1407" t="s">
        <v>81</v>
      </c>
      <c r="H1407" t="s">
        <v>81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 t="s">
        <v>81</v>
      </c>
      <c r="BB1407" t="s">
        <v>81</v>
      </c>
      <c r="BC1407" t="s">
        <v>81</v>
      </c>
      <c r="BD1407" t="s">
        <v>81</v>
      </c>
      <c r="BE1407" t="s">
        <v>81</v>
      </c>
      <c r="BF1407" t="s">
        <v>81</v>
      </c>
      <c r="BG1407" t="s">
        <v>81</v>
      </c>
      <c r="BH1407" t="s">
        <v>81</v>
      </c>
    </row>
    <row r="1408" spans="1:60" x14ac:dyDescent="0.35">
      <c r="A1408" t="s">
        <v>2695</v>
      </c>
      <c r="B1408" t="s">
        <v>2873</v>
      </c>
      <c r="C1408" t="s">
        <v>2923</v>
      </c>
      <c r="D1408" t="s">
        <v>2924</v>
      </c>
      <c r="E1408">
        <v>606</v>
      </c>
      <c r="F1408">
        <v>1</v>
      </c>
      <c r="G1408">
        <v>0.255</v>
      </c>
      <c r="H1408">
        <v>0.255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 t="s">
        <v>81</v>
      </c>
      <c r="BB1408" t="s">
        <v>81</v>
      </c>
      <c r="BC1408" t="s">
        <v>81</v>
      </c>
      <c r="BD1408" t="s">
        <v>81</v>
      </c>
      <c r="BE1408" t="s">
        <v>81</v>
      </c>
      <c r="BF1408" t="s">
        <v>81</v>
      </c>
      <c r="BG1408" t="s">
        <v>81</v>
      </c>
      <c r="BH1408" t="s">
        <v>81</v>
      </c>
    </row>
    <row r="1409" spans="1:60" x14ac:dyDescent="0.35">
      <c r="A1409" t="s">
        <v>2695</v>
      </c>
      <c r="B1409" t="s">
        <v>2873</v>
      </c>
      <c r="C1409" t="s">
        <v>2925</v>
      </c>
      <c r="D1409" t="s">
        <v>2926</v>
      </c>
      <c r="E1409">
        <v>2649</v>
      </c>
      <c r="F1409">
        <v>3</v>
      </c>
      <c r="G1409">
        <v>5.6174099999999996</v>
      </c>
      <c r="H1409">
        <v>1.8724700000000001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25</v>
      </c>
      <c r="BG1409">
        <v>12722.8068</v>
      </c>
      <c r="BH1409">
        <v>13407.74</v>
      </c>
    </row>
    <row r="1410" spans="1:60" x14ac:dyDescent="0.35">
      <c r="A1410" t="s">
        <v>2695</v>
      </c>
      <c r="B1410" t="s">
        <v>2873</v>
      </c>
      <c r="C1410" t="s">
        <v>2927</v>
      </c>
      <c r="D1410" t="s">
        <v>2928</v>
      </c>
      <c r="E1410">
        <v>13672</v>
      </c>
      <c r="F1410">
        <v>13</v>
      </c>
      <c r="G1410">
        <v>16.34742</v>
      </c>
      <c r="H1410">
        <v>1.2574939999999999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6</v>
      </c>
      <c r="BB1410">
        <v>24456.847000000002</v>
      </c>
      <c r="BC1410">
        <v>146741.08300000001</v>
      </c>
      <c r="BD1410">
        <v>17638.005000000001</v>
      </c>
      <c r="BE1410">
        <v>1263.7819999999999</v>
      </c>
      <c r="BF1410">
        <v>82</v>
      </c>
      <c r="BG1410">
        <v>2385.5587799999998</v>
      </c>
      <c r="BH1410">
        <v>3540.105</v>
      </c>
    </row>
    <row r="1411" spans="1:60" x14ac:dyDescent="0.35">
      <c r="A1411" t="s">
        <v>2695</v>
      </c>
      <c r="B1411" t="s">
        <v>2873</v>
      </c>
      <c r="C1411" t="s">
        <v>2929</v>
      </c>
      <c r="D1411" t="s">
        <v>2930</v>
      </c>
      <c r="E1411">
        <v>251</v>
      </c>
      <c r="F1411" t="s">
        <v>81</v>
      </c>
      <c r="G1411" t="s">
        <v>81</v>
      </c>
      <c r="H1411" t="s">
        <v>81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1</v>
      </c>
      <c r="BG1411">
        <v>0</v>
      </c>
      <c r="BH1411">
        <v>0</v>
      </c>
    </row>
    <row r="1412" spans="1:60" x14ac:dyDescent="0.35">
      <c r="A1412" t="s">
        <v>2695</v>
      </c>
      <c r="B1412" t="s">
        <v>2873</v>
      </c>
      <c r="C1412" t="s">
        <v>2931</v>
      </c>
      <c r="D1412" t="s">
        <v>2932</v>
      </c>
      <c r="E1412">
        <v>329</v>
      </c>
      <c r="F1412" t="s">
        <v>81</v>
      </c>
      <c r="G1412" t="s">
        <v>81</v>
      </c>
      <c r="H1412" t="s">
        <v>81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 t="s">
        <v>81</v>
      </c>
      <c r="BB1412" t="s">
        <v>81</v>
      </c>
      <c r="BC1412" t="s">
        <v>81</v>
      </c>
      <c r="BD1412" t="s">
        <v>81</v>
      </c>
      <c r="BE1412" t="s">
        <v>81</v>
      </c>
      <c r="BF1412" t="s">
        <v>81</v>
      </c>
      <c r="BG1412" t="s">
        <v>81</v>
      </c>
      <c r="BH1412" t="s">
        <v>81</v>
      </c>
    </row>
    <row r="1413" spans="1:60" x14ac:dyDescent="0.35">
      <c r="A1413" t="s">
        <v>2695</v>
      </c>
      <c r="B1413" t="s">
        <v>2873</v>
      </c>
      <c r="C1413" t="s">
        <v>2933</v>
      </c>
      <c r="D1413" t="s">
        <v>2934</v>
      </c>
      <c r="E1413">
        <v>3393</v>
      </c>
      <c r="F1413" t="s">
        <v>81</v>
      </c>
      <c r="G1413" t="s">
        <v>81</v>
      </c>
      <c r="H1413" t="s">
        <v>81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196776.25</v>
      </c>
      <c r="BC1413">
        <v>196776.25</v>
      </c>
      <c r="BD1413">
        <v>0</v>
      </c>
      <c r="BE1413">
        <v>0</v>
      </c>
      <c r="BF1413">
        <v>22</v>
      </c>
      <c r="BG1413">
        <v>7618.8718179999996</v>
      </c>
      <c r="BH1413">
        <v>0</v>
      </c>
    </row>
    <row r="1414" spans="1:60" x14ac:dyDescent="0.35">
      <c r="A1414" t="s">
        <v>2695</v>
      </c>
      <c r="B1414" t="s">
        <v>2873</v>
      </c>
      <c r="C1414" t="s">
        <v>2935</v>
      </c>
      <c r="D1414" t="s">
        <v>2936</v>
      </c>
      <c r="E1414">
        <v>1267</v>
      </c>
      <c r="F1414" t="s">
        <v>81</v>
      </c>
      <c r="G1414" t="s">
        <v>81</v>
      </c>
      <c r="H1414" t="s">
        <v>81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7</v>
      </c>
      <c r="BG1414">
        <v>1637.0285710000001</v>
      </c>
      <c r="BH1414">
        <v>0</v>
      </c>
    </row>
    <row r="1415" spans="1:60" x14ac:dyDescent="0.35">
      <c r="A1415" t="s">
        <v>2695</v>
      </c>
      <c r="B1415" t="s">
        <v>2937</v>
      </c>
      <c r="C1415" t="s">
        <v>2938</v>
      </c>
      <c r="D1415" t="s">
        <v>2939</v>
      </c>
      <c r="E1415">
        <v>75963</v>
      </c>
      <c r="F1415">
        <v>375</v>
      </c>
      <c r="G1415">
        <v>381.53890000000001</v>
      </c>
      <c r="H1415">
        <v>1.0174369999999999</v>
      </c>
      <c r="I1415">
        <v>10632.42</v>
      </c>
      <c r="J1415">
        <v>0</v>
      </c>
      <c r="K1415">
        <v>0</v>
      </c>
      <c r="L1415">
        <v>0</v>
      </c>
      <c r="M1415">
        <v>0</v>
      </c>
      <c r="N1415">
        <v>10632.42</v>
      </c>
      <c r="O1415">
        <v>15366.57</v>
      </c>
      <c r="P1415">
        <v>0</v>
      </c>
      <c r="Q1415">
        <v>101.34</v>
      </c>
      <c r="R1415">
        <v>0</v>
      </c>
      <c r="S1415">
        <v>0</v>
      </c>
      <c r="T1415">
        <v>15467.91</v>
      </c>
      <c r="U1415">
        <v>42297.53</v>
      </c>
      <c r="V1415">
        <v>0</v>
      </c>
      <c r="W1415">
        <v>6.05</v>
      </c>
      <c r="X1415">
        <v>0</v>
      </c>
      <c r="Y1415">
        <v>0</v>
      </c>
      <c r="Z1415">
        <v>42303.58</v>
      </c>
      <c r="AA1415">
        <v>274990.27</v>
      </c>
      <c r="AB1415">
        <v>18982.990000000002</v>
      </c>
      <c r="AC1415">
        <v>117650.71</v>
      </c>
      <c r="AD1415">
        <v>8052.72</v>
      </c>
      <c r="AE1415">
        <v>0</v>
      </c>
      <c r="AF1415">
        <v>419676.69</v>
      </c>
      <c r="AG1415">
        <v>21254.73</v>
      </c>
      <c r="AH1415">
        <v>5811.37</v>
      </c>
      <c r="AI1415">
        <v>21011.47</v>
      </c>
      <c r="AJ1415">
        <v>2441.63</v>
      </c>
      <c r="AK1415">
        <v>0</v>
      </c>
      <c r="AL1415">
        <v>50519.199999999997</v>
      </c>
      <c r="AM1415">
        <v>346044.21</v>
      </c>
      <c r="AN1415">
        <v>29657.09</v>
      </c>
      <c r="AO1415">
        <v>42621.94</v>
      </c>
      <c r="AP1415">
        <v>543.76</v>
      </c>
      <c r="AQ1415">
        <v>0</v>
      </c>
      <c r="AR1415">
        <v>418867.00000000006</v>
      </c>
      <c r="AS1415">
        <v>81657.66</v>
      </c>
      <c r="AT1415">
        <v>0</v>
      </c>
      <c r="AU1415">
        <v>2087.25</v>
      </c>
      <c r="AV1415">
        <v>0</v>
      </c>
      <c r="AW1415">
        <v>0</v>
      </c>
      <c r="AX1415">
        <v>83744.91</v>
      </c>
      <c r="AY1415">
        <v>1041211.71</v>
      </c>
      <c r="AZ1415">
        <v>1</v>
      </c>
      <c r="BA1415">
        <v>51</v>
      </c>
      <c r="BB1415">
        <v>35251.345999999998</v>
      </c>
      <c r="BC1415">
        <v>1797818.6569999999</v>
      </c>
      <c r="BD1415">
        <v>6574.1911760000003</v>
      </c>
      <c r="BE1415">
        <v>2113.8580000000002</v>
      </c>
      <c r="BF1415">
        <v>594</v>
      </c>
      <c r="BG1415">
        <v>9242.0683160000008</v>
      </c>
      <c r="BH1415">
        <v>1189.9559999999999</v>
      </c>
    </row>
    <row r="1416" spans="1:60" x14ac:dyDescent="0.35">
      <c r="A1416" t="s">
        <v>2695</v>
      </c>
      <c r="B1416" t="s">
        <v>2937</v>
      </c>
      <c r="C1416" t="s">
        <v>2940</v>
      </c>
      <c r="D1416" t="s">
        <v>2941</v>
      </c>
      <c r="E1416">
        <v>1928</v>
      </c>
      <c r="F1416" t="s">
        <v>81</v>
      </c>
      <c r="G1416" t="s">
        <v>81</v>
      </c>
      <c r="H1416" t="s">
        <v>81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 t="s">
        <v>81</v>
      </c>
      <c r="BB1416" t="s">
        <v>81</v>
      </c>
      <c r="BC1416" t="s">
        <v>81</v>
      </c>
      <c r="BD1416" t="s">
        <v>81</v>
      </c>
      <c r="BE1416" t="s">
        <v>81</v>
      </c>
      <c r="BF1416" t="s">
        <v>81</v>
      </c>
      <c r="BG1416" t="s">
        <v>81</v>
      </c>
      <c r="BH1416" t="s">
        <v>81</v>
      </c>
    </row>
    <row r="1417" spans="1:60" x14ac:dyDescent="0.35">
      <c r="A1417" t="s">
        <v>2695</v>
      </c>
      <c r="B1417" t="s">
        <v>2937</v>
      </c>
      <c r="C1417" t="s">
        <v>2942</v>
      </c>
      <c r="D1417" t="s">
        <v>2943</v>
      </c>
      <c r="E1417">
        <v>9821</v>
      </c>
      <c r="F1417">
        <v>2</v>
      </c>
      <c r="G1417">
        <v>2.8328000000000002</v>
      </c>
      <c r="H1417">
        <v>1.4164000000000001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2</v>
      </c>
      <c r="BB1417">
        <v>39075.167000000001</v>
      </c>
      <c r="BC1417">
        <v>78150.332999999999</v>
      </c>
      <c r="BD1417">
        <v>0</v>
      </c>
      <c r="BE1417">
        <v>0</v>
      </c>
      <c r="BF1417">
        <v>14</v>
      </c>
      <c r="BG1417">
        <v>7968.2228569999997</v>
      </c>
      <c r="BH1417">
        <v>0</v>
      </c>
    </row>
    <row r="1418" spans="1:60" x14ac:dyDescent="0.35">
      <c r="A1418" t="s">
        <v>2695</v>
      </c>
      <c r="B1418" t="s">
        <v>2937</v>
      </c>
      <c r="C1418" t="s">
        <v>2944</v>
      </c>
      <c r="D1418" t="s">
        <v>2945</v>
      </c>
      <c r="E1418">
        <v>813</v>
      </c>
      <c r="F1418" t="s">
        <v>81</v>
      </c>
      <c r="G1418" t="s">
        <v>81</v>
      </c>
      <c r="H1418" t="s">
        <v>81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1</v>
      </c>
      <c r="BG1418">
        <v>0</v>
      </c>
      <c r="BH1418">
        <v>0</v>
      </c>
    </row>
    <row r="1419" spans="1:60" x14ac:dyDescent="0.35">
      <c r="A1419" t="s">
        <v>2695</v>
      </c>
      <c r="B1419" t="s">
        <v>2937</v>
      </c>
      <c r="C1419" t="s">
        <v>2946</v>
      </c>
      <c r="D1419" t="s">
        <v>2947</v>
      </c>
      <c r="E1419">
        <v>29905</v>
      </c>
      <c r="F1419">
        <v>44</v>
      </c>
      <c r="G1419">
        <v>38.806660000000001</v>
      </c>
      <c r="H1419">
        <v>0.88196949999999996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8</v>
      </c>
      <c r="BB1419">
        <v>84027.622000000003</v>
      </c>
      <c r="BC1419">
        <v>672220.973</v>
      </c>
      <c r="BD1419">
        <v>74960.490000000005</v>
      </c>
      <c r="BE1419">
        <v>214.18899999999999</v>
      </c>
      <c r="BF1419">
        <v>134</v>
      </c>
      <c r="BG1419">
        <v>12771.832687</v>
      </c>
      <c r="BH1419">
        <v>279.61900000000003</v>
      </c>
    </row>
    <row r="1420" spans="1:60" x14ac:dyDescent="0.35">
      <c r="A1420" t="s">
        <v>2695</v>
      </c>
      <c r="B1420" t="s">
        <v>2937</v>
      </c>
      <c r="C1420" t="s">
        <v>2937</v>
      </c>
      <c r="D1420" t="s">
        <v>2948</v>
      </c>
      <c r="E1420">
        <v>39349</v>
      </c>
      <c r="F1420">
        <v>77</v>
      </c>
      <c r="G1420">
        <v>45.235709999999997</v>
      </c>
      <c r="H1420">
        <v>0.58747669999999996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40106.019999999997</v>
      </c>
      <c r="AD1420">
        <v>0</v>
      </c>
      <c r="AE1420">
        <v>0</v>
      </c>
      <c r="AF1420">
        <v>40106.019999999997</v>
      </c>
      <c r="AG1420">
        <v>0</v>
      </c>
      <c r="AH1420">
        <v>0</v>
      </c>
      <c r="AI1420">
        <v>8397.36</v>
      </c>
      <c r="AJ1420">
        <v>0</v>
      </c>
      <c r="AK1420">
        <v>0</v>
      </c>
      <c r="AL1420">
        <v>8397.36</v>
      </c>
      <c r="AM1420">
        <v>0</v>
      </c>
      <c r="AN1420">
        <v>0</v>
      </c>
      <c r="AO1420">
        <v>10349.16</v>
      </c>
      <c r="AP1420">
        <v>0</v>
      </c>
      <c r="AQ1420">
        <v>0</v>
      </c>
      <c r="AR1420">
        <v>10349.16</v>
      </c>
      <c r="AS1420">
        <v>0</v>
      </c>
      <c r="AT1420">
        <v>0</v>
      </c>
      <c r="AU1420">
        <v>77.63</v>
      </c>
      <c r="AV1420">
        <v>0</v>
      </c>
      <c r="AW1420">
        <v>0</v>
      </c>
      <c r="AX1420">
        <v>77.63</v>
      </c>
      <c r="AY1420">
        <v>58930.17</v>
      </c>
      <c r="AZ1420">
        <v>1</v>
      </c>
      <c r="BA1420">
        <v>17</v>
      </c>
      <c r="BB1420">
        <v>84240.797999999995</v>
      </c>
      <c r="BC1420">
        <v>1432093.567</v>
      </c>
      <c r="BD1420">
        <v>98.558824000000001</v>
      </c>
      <c r="BE1420">
        <v>703.90200000000004</v>
      </c>
      <c r="BF1420">
        <v>201</v>
      </c>
      <c r="BG1420">
        <v>8826.9790549999998</v>
      </c>
      <c r="BH1420">
        <v>492.10399999999998</v>
      </c>
    </row>
    <row r="1421" spans="1:60" x14ac:dyDescent="0.35">
      <c r="A1421" t="s">
        <v>2695</v>
      </c>
      <c r="B1421" t="s">
        <v>2937</v>
      </c>
      <c r="C1421" t="s">
        <v>2949</v>
      </c>
      <c r="D1421" t="s">
        <v>2950</v>
      </c>
      <c r="E1421">
        <v>1987</v>
      </c>
      <c r="F1421" t="s">
        <v>81</v>
      </c>
      <c r="G1421" t="s">
        <v>81</v>
      </c>
      <c r="H1421" t="s">
        <v>81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2</v>
      </c>
      <c r="BG1421">
        <v>0</v>
      </c>
      <c r="BH1421">
        <v>0</v>
      </c>
    </row>
    <row r="1422" spans="1:60" x14ac:dyDescent="0.35">
      <c r="A1422" t="s">
        <v>2695</v>
      </c>
      <c r="B1422" t="s">
        <v>2937</v>
      </c>
      <c r="C1422" t="s">
        <v>2951</v>
      </c>
      <c r="D1422" t="s">
        <v>2952</v>
      </c>
      <c r="E1422">
        <v>1415</v>
      </c>
      <c r="F1422" t="s">
        <v>81</v>
      </c>
      <c r="G1422" t="s">
        <v>81</v>
      </c>
      <c r="H1422" t="s">
        <v>81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3</v>
      </c>
      <c r="BG1422">
        <v>0</v>
      </c>
      <c r="BH1422">
        <v>0</v>
      </c>
    </row>
    <row r="1423" spans="1:60" x14ac:dyDescent="0.35">
      <c r="A1423" t="s">
        <v>2695</v>
      </c>
      <c r="B1423" t="s">
        <v>2937</v>
      </c>
      <c r="C1423" t="s">
        <v>2953</v>
      </c>
      <c r="D1423" t="s">
        <v>2954</v>
      </c>
      <c r="E1423">
        <v>813</v>
      </c>
      <c r="F1423">
        <v>3</v>
      </c>
      <c r="G1423">
        <v>4.37826</v>
      </c>
      <c r="H1423">
        <v>1.4594199999999999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3</v>
      </c>
      <c r="BG1423">
        <v>0</v>
      </c>
      <c r="BH1423">
        <v>0</v>
      </c>
    </row>
    <row r="1424" spans="1:60" x14ac:dyDescent="0.35">
      <c r="A1424" t="s">
        <v>2695</v>
      </c>
      <c r="B1424" t="s">
        <v>2937</v>
      </c>
      <c r="C1424" t="s">
        <v>2955</v>
      </c>
      <c r="D1424" t="s">
        <v>2956</v>
      </c>
      <c r="E1424">
        <v>41469</v>
      </c>
      <c r="F1424">
        <v>69</v>
      </c>
      <c r="G1424">
        <v>75.673599999999993</v>
      </c>
      <c r="H1424">
        <v>1.096719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1</v>
      </c>
      <c r="BA1424">
        <v>29</v>
      </c>
      <c r="BB1424">
        <v>47180.464999999997</v>
      </c>
      <c r="BC1424">
        <v>1368233.49</v>
      </c>
      <c r="BD1424">
        <v>23846.942414000001</v>
      </c>
      <c r="BE1424">
        <v>1391.144</v>
      </c>
      <c r="BF1424">
        <v>231</v>
      </c>
      <c r="BG1424">
        <v>8082.3012120000003</v>
      </c>
      <c r="BH1424">
        <v>777.05</v>
      </c>
    </row>
    <row r="1425" spans="1:60" x14ac:dyDescent="0.35">
      <c r="A1425" t="s">
        <v>2695</v>
      </c>
      <c r="B1425" t="s">
        <v>2937</v>
      </c>
      <c r="C1425" t="s">
        <v>2957</v>
      </c>
      <c r="D1425" t="s">
        <v>2958</v>
      </c>
      <c r="E1425">
        <v>26067</v>
      </c>
      <c r="F1425">
        <v>28</v>
      </c>
      <c r="G1425">
        <v>25.30931</v>
      </c>
      <c r="H1425">
        <v>0.90390380000000004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652.85</v>
      </c>
      <c r="AD1425">
        <v>0</v>
      </c>
      <c r="AE1425">
        <v>0</v>
      </c>
      <c r="AF1425">
        <v>652.85</v>
      </c>
      <c r="AG1425">
        <v>0</v>
      </c>
      <c r="AH1425">
        <v>0</v>
      </c>
      <c r="AI1425">
        <v>607.02</v>
      </c>
      <c r="AJ1425">
        <v>0</v>
      </c>
      <c r="AK1425">
        <v>0</v>
      </c>
      <c r="AL1425">
        <v>607.02</v>
      </c>
      <c r="AM1425">
        <v>0</v>
      </c>
      <c r="AN1425">
        <v>0</v>
      </c>
      <c r="AO1425">
        <v>514.45000000000005</v>
      </c>
      <c r="AP1425">
        <v>0</v>
      </c>
      <c r="AQ1425">
        <v>0</v>
      </c>
      <c r="AR1425">
        <v>514.45000000000005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1774.32</v>
      </c>
      <c r="AZ1425">
        <v>0</v>
      </c>
      <c r="BA1425">
        <v>8</v>
      </c>
      <c r="BB1425">
        <v>43849.004000000001</v>
      </c>
      <c r="BC1425">
        <v>350792.033</v>
      </c>
      <c r="BD1425">
        <v>28323.57</v>
      </c>
      <c r="BE1425">
        <v>3331.511</v>
      </c>
      <c r="BF1425">
        <v>165</v>
      </c>
      <c r="BG1425">
        <v>2650.7662420000001</v>
      </c>
      <c r="BH1425">
        <v>1559.576</v>
      </c>
    </row>
    <row r="1426" spans="1:60" x14ac:dyDescent="0.35">
      <c r="A1426" t="s">
        <v>2695</v>
      </c>
      <c r="B1426" t="s">
        <v>2937</v>
      </c>
      <c r="C1426" t="s">
        <v>2959</v>
      </c>
      <c r="D1426" t="s">
        <v>2960</v>
      </c>
      <c r="E1426">
        <v>30479</v>
      </c>
      <c r="F1426">
        <v>39</v>
      </c>
      <c r="G1426">
        <v>31.119689999999999</v>
      </c>
      <c r="H1426">
        <v>0.79794089999999995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8</v>
      </c>
      <c r="BB1426">
        <v>58928.273999999998</v>
      </c>
      <c r="BC1426">
        <v>471426.19199999998</v>
      </c>
      <c r="BD1426">
        <v>192</v>
      </c>
      <c r="BE1426">
        <v>0.125</v>
      </c>
      <c r="BF1426">
        <v>114</v>
      </c>
      <c r="BG1426">
        <v>4346.601842</v>
      </c>
      <c r="BH1426">
        <v>49.17</v>
      </c>
    </row>
    <row r="1427" spans="1:60" x14ac:dyDescent="0.35">
      <c r="A1427" t="s">
        <v>2695</v>
      </c>
      <c r="B1427" t="s">
        <v>2961</v>
      </c>
      <c r="C1427" t="s">
        <v>2961</v>
      </c>
      <c r="D1427" t="s">
        <v>2962</v>
      </c>
      <c r="E1427">
        <v>11824</v>
      </c>
      <c r="F1427">
        <v>15</v>
      </c>
      <c r="G1427">
        <v>17.641210000000001</v>
      </c>
      <c r="H1427">
        <v>1.17608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6219.83</v>
      </c>
      <c r="AD1427">
        <v>0</v>
      </c>
      <c r="AE1427">
        <v>0</v>
      </c>
      <c r="AF1427">
        <v>6219.83</v>
      </c>
      <c r="AG1427">
        <v>0</v>
      </c>
      <c r="AH1427">
        <v>0</v>
      </c>
      <c r="AI1427">
        <v>765.54</v>
      </c>
      <c r="AJ1427">
        <v>0</v>
      </c>
      <c r="AK1427">
        <v>0</v>
      </c>
      <c r="AL1427">
        <v>765.54</v>
      </c>
      <c r="AM1427">
        <v>0</v>
      </c>
      <c r="AN1427">
        <v>0</v>
      </c>
      <c r="AO1427">
        <v>1258.05</v>
      </c>
      <c r="AP1427">
        <v>0</v>
      </c>
      <c r="AQ1427">
        <v>0</v>
      </c>
      <c r="AR1427">
        <v>1258.05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8243.42</v>
      </c>
      <c r="AZ1427">
        <v>0</v>
      </c>
      <c r="BA1427">
        <v>2</v>
      </c>
      <c r="BB1427">
        <v>83874.917000000001</v>
      </c>
      <c r="BC1427">
        <v>167749.83300000001</v>
      </c>
      <c r="BD1427">
        <v>0</v>
      </c>
      <c r="BE1427">
        <v>0</v>
      </c>
      <c r="BF1427">
        <v>57</v>
      </c>
      <c r="BG1427">
        <v>7628.222632</v>
      </c>
      <c r="BH1427">
        <v>2008.3130000000001</v>
      </c>
    </row>
    <row r="1428" spans="1:60" x14ac:dyDescent="0.35">
      <c r="A1428" t="s">
        <v>2695</v>
      </c>
      <c r="B1428" t="s">
        <v>2961</v>
      </c>
      <c r="C1428" t="s">
        <v>2963</v>
      </c>
      <c r="D1428" t="s">
        <v>2964</v>
      </c>
      <c r="E1428">
        <v>413</v>
      </c>
      <c r="F1428" t="s">
        <v>81</v>
      </c>
      <c r="G1428" t="s">
        <v>81</v>
      </c>
      <c r="H1428" t="s">
        <v>81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 t="s">
        <v>81</v>
      </c>
      <c r="BB1428" t="s">
        <v>81</v>
      </c>
      <c r="BC1428" t="s">
        <v>81</v>
      </c>
      <c r="BD1428" t="s">
        <v>81</v>
      </c>
      <c r="BE1428" t="s">
        <v>81</v>
      </c>
      <c r="BF1428" t="s">
        <v>81</v>
      </c>
      <c r="BG1428" t="s">
        <v>81</v>
      </c>
      <c r="BH1428" t="s">
        <v>81</v>
      </c>
    </row>
    <row r="1429" spans="1:60" x14ac:dyDescent="0.35">
      <c r="A1429" t="s">
        <v>2695</v>
      </c>
      <c r="B1429" t="s">
        <v>2961</v>
      </c>
      <c r="C1429" t="s">
        <v>2965</v>
      </c>
      <c r="D1429" t="s">
        <v>2966</v>
      </c>
      <c r="E1429">
        <v>451</v>
      </c>
      <c r="F1429" t="s">
        <v>81</v>
      </c>
      <c r="G1429" t="s">
        <v>81</v>
      </c>
      <c r="H1429" t="s">
        <v>81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0</v>
      </c>
      <c r="BH1429">
        <v>0</v>
      </c>
    </row>
    <row r="1430" spans="1:60" x14ac:dyDescent="0.35">
      <c r="A1430" t="s">
        <v>2695</v>
      </c>
      <c r="B1430" t="s">
        <v>2961</v>
      </c>
      <c r="C1430" t="s">
        <v>2967</v>
      </c>
      <c r="D1430" t="s">
        <v>2968</v>
      </c>
      <c r="E1430">
        <v>938</v>
      </c>
      <c r="F1430" t="s">
        <v>81</v>
      </c>
      <c r="G1430" t="s">
        <v>81</v>
      </c>
      <c r="H1430" t="s">
        <v>81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2</v>
      </c>
      <c r="BG1430">
        <v>0</v>
      </c>
      <c r="BH1430">
        <v>0</v>
      </c>
    </row>
    <row r="1431" spans="1:60" x14ac:dyDescent="0.35">
      <c r="A1431" t="s">
        <v>2695</v>
      </c>
      <c r="B1431" t="s">
        <v>2961</v>
      </c>
      <c r="C1431" t="s">
        <v>2969</v>
      </c>
      <c r="D1431" t="s">
        <v>2970</v>
      </c>
      <c r="E1431">
        <v>778</v>
      </c>
      <c r="F1431" t="s">
        <v>81</v>
      </c>
      <c r="G1431" t="s">
        <v>81</v>
      </c>
      <c r="H1431" t="s">
        <v>81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 t="s">
        <v>81</v>
      </c>
      <c r="BB1431" t="s">
        <v>81</v>
      </c>
      <c r="BC1431" t="s">
        <v>81</v>
      </c>
      <c r="BD1431" t="s">
        <v>81</v>
      </c>
      <c r="BE1431" t="s">
        <v>81</v>
      </c>
      <c r="BF1431" t="s">
        <v>81</v>
      </c>
      <c r="BG1431" t="s">
        <v>81</v>
      </c>
      <c r="BH1431" t="s">
        <v>81</v>
      </c>
    </row>
    <row r="1432" spans="1:60" x14ac:dyDescent="0.35">
      <c r="A1432" t="s">
        <v>2695</v>
      </c>
      <c r="B1432" t="s">
        <v>2961</v>
      </c>
      <c r="C1432" t="s">
        <v>2971</v>
      </c>
      <c r="D1432" t="s">
        <v>2972</v>
      </c>
      <c r="E1432">
        <v>2183</v>
      </c>
      <c r="F1432">
        <v>9</v>
      </c>
      <c r="G1432">
        <v>4.9098459999999999</v>
      </c>
      <c r="H1432">
        <v>0.54553839999999998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1</v>
      </c>
      <c r="BB1432">
        <v>14506.5</v>
      </c>
      <c r="BC1432">
        <v>14506.5</v>
      </c>
      <c r="BD1432">
        <v>0</v>
      </c>
      <c r="BE1432">
        <v>2030.7080000000001</v>
      </c>
      <c r="BF1432">
        <v>34</v>
      </c>
      <c r="BG1432">
        <v>10068.136471</v>
      </c>
      <c r="BH1432">
        <v>4.1319999999999997</v>
      </c>
    </row>
    <row r="1433" spans="1:60" x14ac:dyDescent="0.35">
      <c r="A1433" t="s">
        <v>2695</v>
      </c>
      <c r="B1433" t="s">
        <v>2365</v>
      </c>
      <c r="C1433" t="s">
        <v>2973</v>
      </c>
      <c r="D1433" t="s">
        <v>2974</v>
      </c>
      <c r="E1433">
        <v>1127</v>
      </c>
      <c r="F1433" t="s">
        <v>81</v>
      </c>
      <c r="G1433" t="s">
        <v>81</v>
      </c>
      <c r="H1433" t="s">
        <v>81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7</v>
      </c>
      <c r="BG1433">
        <v>0</v>
      </c>
      <c r="BH1433">
        <v>0</v>
      </c>
    </row>
    <row r="1434" spans="1:60" x14ac:dyDescent="0.35">
      <c r="A1434" t="s">
        <v>2695</v>
      </c>
      <c r="B1434" t="s">
        <v>2365</v>
      </c>
      <c r="C1434" t="s">
        <v>2975</v>
      </c>
      <c r="D1434" t="s">
        <v>2976</v>
      </c>
      <c r="E1434">
        <v>1470</v>
      </c>
      <c r="F1434" t="s">
        <v>81</v>
      </c>
      <c r="G1434" t="s">
        <v>81</v>
      </c>
      <c r="H1434" t="s">
        <v>81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1</v>
      </c>
      <c r="BG1434">
        <v>0</v>
      </c>
      <c r="BH1434">
        <v>0</v>
      </c>
    </row>
    <row r="1435" spans="1:60" x14ac:dyDescent="0.35">
      <c r="A1435" t="s">
        <v>2695</v>
      </c>
      <c r="B1435" t="s">
        <v>2365</v>
      </c>
      <c r="C1435" t="s">
        <v>2977</v>
      </c>
      <c r="D1435" t="s">
        <v>2978</v>
      </c>
      <c r="E1435">
        <v>934</v>
      </c>
      <c r="F1435" t="s">
        <v>81</v>
      </c>
      <c r="G1435" t="s">
        <v>81</v>
      </c>
      <c r="H1435" t="s">
        <v>81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1</v>
      </c>
      <c r="BG1435">
        <v>0</v>
      </c>
      <c r="BH1435">
        <v>0</v>
      </c>
    </row>
    <row r="1436" spans="1:60" x14ac:dyDescent="0.35">
      <c r="A1436" t="s">
        <v>2695</v>
      </c>
      <c r="B1436" t="s">
        <v>2365</v>
      </c>
      <c r="C1436" t="s">
        <v>2979</v>
      </c>
      <c r="D1436" t="s">
        <v>2980</v>
      </c>
      <c r="E1436">
        <v>466</v>
      </c>
      <c r="F1436" t="s">
        <v>81</v>
      </c>
      <c r="G1436" t="s">
        <v>81</v>
      </c>
      <c r="H1436" t="s">
        <v>81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</v>
      </c>
      <c r="BG1436">
        <v>0</v>
      </c>
      <c r="BH1436">
        <v>0</v>
      </c>
    </row>
    <row r="1437" spans="1:60" x14ac:dyDescent="0.35">
      <c r="A1437" t="s">
        <v>2695</v>
      </c>
      <c r="B1437" t="s">
        <v>2365</v>
      </c>
      <c r="C1437" t="s">
        <v>2981</v>
      </c>
      <c r="D1437" t="s">
        <v>2982</v>
      </c>
      <c r="E1437">
        <v>371</v>
      </c>
      <c r="F1437" t="s">
        <v>81</v>
      </c>
      <c r="G1437" t="s">
        <v>81</v>
      </c>
      <c r="H1437" t="s">
        <v>81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 t="s">
        <v>81</v>
      </c>
      <c r="BB1437" t="s">
        <v>81</v>
      </c>
      <c r="BC1437" t="s">
        <v>81</v>
      </c>
      <c r="BD1437" t="s">
        <v>81</v>
      </c>
      <c r="BE1437" t="s">
        <v>81</v>
      </c>
      <c r="BF1437" t="s">
        <v>81</v>
      </c>
      <c r="BG1437" t="s">
        <v>81</v>
      </c>
      <c r="BH1437" t="s">
        <v>81</v>
      </c>
    </row>
    <row r="1438" spans="1:60" x14ac:dyDescent="0.35">
      <c r="A1438" t="s">
        <v>2695</v>
      </c>
      <c r="B1438" t="s">
        <v>2365</v>
      </c>
      <c r="C1438" t="s">
        <v>2983</v>
      </c>
      <c r="D1438" t="s">
        <v>2984</v>
      </c>
      <c r="E1438">
        <v>518</v>
      </c>
      <c r="F1438" t="s">
        <v>81</v>
      </c>
      <c r="G1438" t="s">
        <v>81</v>
      </c>
      <c r="H1438" t="s">
        <v>81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 t="s">
        <v>81</v>
      </c>
      <c r="BB1438" t="s">
        <v>81</v>
      </c>
      <c r="BC1438" t="s">
        <v>81</v>
      </c>
      <c r="BD1438" t="s">
        <v>81</v>
      </c>
      <c r="BE1438" t="s">
        <v>81</v>
      </c>
      <c r="BF1438" t="s">
        <v>81</v>
      </c>
      <c r="BG1438" t="s">
        <v>81</v>
      </c>
      <c r="BH1438" t="s">
        <v>81</v>
      </c>
    </row>
    <row r="1439" spans="1:60" x14ac:dyDescent="0.35">
      <c r="A1439" t="s">
        <v>2695</v>
      </c>
      <c r="B1439" t="s">
        <v>2365</v>
      </c>
      <c r="C1439" t="s">
        <v>2985</v>
      </c>
      <c r="D1439" t="s">
        <v>2986</v>
      </c>
      <c r="E1439">
        <v>133</v>
      </c>
      <c r="F1439" t="s">
        <v>81</v>
      </c>
      <c r="G1439" t="s">
        <v>81</v>
      </c>
      <c r="H1439" t="s">
        <v>81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 t="s">
        <v>81</v>
      </c>
      <c r="BB1439" t="s">
        <v>81</v>
      </c>
      <c r="BC1439" t="s">
        <v>81</v>
      </c>
      <c r="BD1439" t="s">
        <v>81</v>
      </c>
      <c r="BE1439" t="s">
        <v>81</v>
      </c>
      <c r="BF1439" t="s">
        <v>81</v>
      </c>
      <c r="BG1439" t="s">
        <v>81</v>
      </c>
      <c r="BH1439" t="s">
        <v>81</v>
      </c>
    </row>
    <row r="1440" spans="1:60" x14ac:dyDescent="0.35">
      <c r="A1440" t="s">
        <v>2695</v>
      </c>
      <c r="B1440" t="s">
        <v>2365</v>
      </c>
      <c r="C1440" t="s">
        <v>2987</v>
      </c>
      <c r="D1440" t="s">
        <v>2988</v>
      </c>
      <c r="E1440">
        <v>1057</v>
      </c>
      <c r="F1440" t="s">
        <v>81</v>
      </c>
      <c r="G1440" t="s">
        <v>81</v>
      </c>
      <c r="H1440" t="s">
        <v>81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6</v>
      </c>
      <c r="BG1440">
        <v>0</v>
      </c>
      <c r="BH1440">
        <v>0</v>
      </c>
    </row>
    <row r="1441" spans="1:60" x14ac:dyDescent="0.35">
      <c r="A1441" t="s">
        <v>2695</v>
      </c>
      <c r="B1441" t="s">
        <v>2365</v>
      </c>
      <c r="C1441" t="s">
        <v>2989</v>
      </c>
      <c r="D1441" t="s">
        <v>2990</v>
      </c>
      <c r="E1441">
        <v>702</v>
      </c>
      <c r="F1441" t="s">
        <v>81</v>
      </c>
      <c r="G1441" t="s">
        <v>81</v>
      </c>
      <c r="H1441" t="s">
        <v>81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 t="s">
        <v>81</v>
      </c>
      <c r="BB1441" t="s">
        <v>81</v>
      </c>
      <c r="BC1441" t="s">
        <v>81</v>
      </c>
      <c r="BD1441" t="s">
        <v>81</v>
      </c>
      <c r="BE1441" t="s">
        <v>81</v>
      </c>
      <c r="BF1441" t="s">
        <v>81</v>
      </c>
      <c r="BG1441" t="s">
        <v>81</v>
      </c>
      <c r="BH1441" t="s">
        <v>81</v>
      </c>
    </row>
    <row r="1442" spans="1:60" x14ac:dyDescent="0.35">
      <c r="A1442" t="s">
        <v>2695</v>
      </c>
      <c r="B1442" t="s">
        <v>2365</v>
      </c>
      <c r="C1442" t="s">
        <v>2991</v>
      </c>
      <c r="D1442" t="s">
        <v>2992</v>
      </c>
      <c r="E1442">
        <v>196</v>
      </c>
      <c r="F1442" t="s">
        <v>81</v>
      </c>
      <c r="G1442" t="s">
        <v>81</v>
      </c>
      <c r="H1442" t="s">
        <v>81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 t="s">
        <v>81</v>
      </c>
      <c r="BB1442" t="s">
        <v>81</v>
      </c>
      <c r="BC1442" t="s">
        <v>81</v>
      </c>
      <c r="BD1442" t="s">
        <v>81</v>
      </c>
      <c r="BE1442" t="s">
        <v>81</v>
      </c>
      <c r="BF1442" t="s">
        <v>81</v>
      </c>
      <c r="BG1442" t="s">
        <v>81</v>
      </c>
      <c r="BH1442" t="s">
        <v>81</v>
      </c>
    </row>
    <row r="1443" spans="1:60" x14ac:dyDescent="0.35">
      <c r="A1443" t="s">
        <v>2695</v>
      </c>
      <c r="B1443" t="s">
        <v>2365</v>
      </c>
      <c r="C1443" t="s">
        <v>2993</v>
      </c>
      <c r="D1443" t="s">
        <v>2994</v>
      </c>
      <c r="E1443">
        <v>1008</v>
      </c>
      <c r="F1443" t="s">
        <v>81</v>
      </c>
      <c r="G1443" t="s">
        <v>81</v>
      </c>
      <c r="H1443" t="s">
        <v>81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</row>
    <row r="1444" spans="1:60" x14ac:dyDescent="0.35">
      <c r="A1444" t="s">
        <v>2695</v>
      </c>
      <c r="B1444" t="s">
        <v>2365</v>
      </c>
      <c r="C1444" t="s">
        <v>2995</v>
      </c>
      <c r="D1444" t="s">
        <v>2996</v>
      </c>
      <c r="E1444">
        <v>293</v>
      </c>
      <c r="F1444" t="s">
        <v>81</v>
      </c>
      <c r="G1444" t="s">
        <v>81</v>
      </c>
      <c r="H1444" t="s">
        <v>81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 t="s">
        <v>81</v>
      </c>
      <c r="BB1444" t="s">
        <v>81</v>
      </c>
      <c r="BC1444" t="s">
        <v>81</v>
      </c>
      <c r="BD1444" t="s">
        <v>81</v>
      </c>
      <c r="BE1444" t="s">
        <v>81</v>
      </c>
      <c r="BF1444" t="s">
        <v>81</v>
      </c>
      <c r="BG1444" t="s">
        <v>81</v>
      </c>
      <c r="BH1444" t="s">
        <v>81</v>
      </c>
    </row>
    <row r="1445" spans="1:60" x14ac:dyDescent="0.35">
      <c r="A1445" t="s">
        <v>2695</v>
      </c>
      <c r="B1445" t="s">
        <v>2365</v>
      </c>
      <c r="C1445" t="s">
        <v>2997</v>
      </c>
      <c r="D1445" t="s">
        <v>2998</v>
      </c>
      <c r="E1445">
        <v>114</v>
      </c>
      <c r="F1445" t="s">
        <v>81</v>
      </c>
      <c r="G1445" t="s">
        <v>81</v>
      </c>
      <c r="H1445" t="s">
        <v>81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 t="s">
        <v>81</v>
      </c>
      <c r="BB1445" t="s">
        <v>81</v>
      </c>
      <c r="BC1445" t="s">
        <v>81</v>
      </c>
      <c r="BD1445" t="s">
        <v>81</v>
      </c>
      <c r="BE1445" t="s">
        <v>81</v>
      </c>
      <c r="BF1445" t="s">
        <v>81</v>
      </c>
      <c r="BG1445" t="s">
        <v>81</v>
      </c>
      <c r="BH1445" t="s">
        <v>81</v>
      </c>
    </row>
    <row r="1446" spans="1:60" x14ac:dyDescent="0.35">
      <c r="A1446" t="s">
        <v>2695</v>
      </c>
      <c r="B1446" t="s">
        <v>2365</v>
      </c>
      <c r="C1446" t="s">
        <v>2999</v>
      </c>
      <c r="D1446" t="s">
        <v>3000</v>
      </c>
      <c r="E1446">
        <v>431</v>
      </c>
      <c r="F1446" t="s">
        <v>81</v>
      </c>
      <c r="G1446" t="s">
        <v>81</v>
      </c>
      <c r="H1446" t="s">
        <v>81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3</v>
      </c>
      <c r="BG1446">
        <v>0</v>
      </c>
      <c r="BH1446">
        <v>0</v>
      </c>
    </row>
    <row r="1447" spans="1:60" x14ac:dyDescent="0.35">
      <c r="A1447" t="s">
        <v>2695</v>
      </c>
      <c r="B1447" t="s">
        <v>2365</v>
      </c>
      <c r="C1447" t="s">
        <v>3001</v>
      </c>
      <c r="D1447" t="s">
        <v>3002</v>
      </c>
      <c r="E1447">
        <v>637</v>
      </c>
      <c r="F1447" t="s">
        <v>81</v>
      </c>
      <c r="G1447" t="s">
        <v>81</v>
      </c>
      <c r="H1447" t="s">
        <v>81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</v>
      </c>
      <c r="BG1447">
        <v>0</v>
      </c>
      <c r="BH1447">
        <v>0</v>
      </c>
    </row>
    <row r="1448" spans="1:60" x14ac:dyDescent="0.35">
      <c r="A1448" t="s">
        <v>2695</v>
      </c>
      <c r="B1448" t="s">
        <v>2365</v>
      </c>
      <c r="C1448" t="s">
        <v>3003</v>
      </c>
      <c r="D1448" t="s">
        <v>3004</v>
      </c>
      <c r="E1448">
        <v>955</v>
      </c>
      <c r="F1448">
        <v>1</v>
      </c>
      <c r="G1448">
        <v>0.49558600000000003</v>
      </c>
      <c r="H1448">
        <v>0.49558600000000003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3</v>
      </c>
      <c r="BG1448">
        <v>7366.7666669999999</v>
      </c>
      <c r="BH1448">
        <v>0</v>
      </c>
    </row>
    <row r="1449" spans="1:60" x14ac:dyDescent="0.35">
      <c r="A1449" t="s">
        <v>2695</v>
      </c>
      <c r="B1449" t="s">
        <v>2365</v>
      </c>
      <c r="C1449" t="s">
        <v>3005</v>
      </c>
      <c r="D1449" t="s">
        <v>3006</v>
      </c>
      <c r="E1449">
        <v>439</v>
      </c>
      <c r="F1449" t="s">
        <v>81</v>
      </c>
      <c r="G1449" t="s">
        <v>81</v>
      </c>
      <c r="H1449" t="s">
        <v>81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 t="s">
        <v>81</v>
      </c>
      <c r="BB1449" t="s">
        <v>81</v>
      </c>
      <c r="BC1449" t="s">
        <v>81</v>
      </c>
      <c r="BD1449" t="s">
        <v>81</v>
      </c>
      <c r="BE1449" t="s">
        <v>81</v>
      </c>
      <c r="BF1449" t="s">
        <v>81</v>
      </c>
      <c r="BG1449" t="s">
        <v>81</v>
      </c>
      <c r="BH1449" t="s">
        <v>81</v>
      </c>
    </row>
    <row r="1450" spans="1:60" x14ac:dyDescent="0.35">
      <c r="A1450" t="s">
        <v>2695</v>
      </c>
      <c r="B1450" t="s">
        <v>2365</v>
      </c>
      <c r="C1450" t="s">
        <v>3007</v>
      </c>
      <c r="D1450" t="s">
        <v>3008</v>
      </c>
      <c r="E1450">
        <v>444</v>
      </c>
      <c r="F1450" t="s">
        <v>81</v>
      </c>
      <c r="G1450" t="s">
        <v>81</v>
      </c>
      <c r="H1450" t="s">
        <v>81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3</v>
      </c>
      <c r="BG1450">
        <v>0</v>
      </c>
      <c r="BH1450">
        <v>0</v>
      </c>
    </row>
    <row r="1451" spans="1:60" x14ac:dyDescent="0.35">
      <c r="A1451" t="s">
        <v>2695</v>
      </c>
      <c r="B1451" t="s">
        <v>2365</v>
      </c>
      <c r="C1451" t="s">
        <v>3009</v>
      </c>
      <c r="D1451" t="s">
        <v>3010</v>
      </c>
      <c r="E1451">
        <v>346</v>
      </c>
      <c r="F1451" t="s">
        <v>81</v>
      </c>
      <c r="G1451" t="s">
        <v>81</v>
      </c>
      <c r="H1451" t="s">
        <v>81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 t="s">
        <v>81</v>
      </c>
      <c r="BB1451" t="s">
        <v>81</v>
      </c>
      <c r="BC1451" t="s">
        <v>81</v>
      </c>
      <c r="BD1451" t="s">
        <v>81</v>
      </c>
      <c r="BE1451" t="s">
        <v>81</v>
      </c>
      <c r="BF1451" t="s">
        <v>81</v>
      </c>
      <c r="BG1451" t="s">
        <v>81</v>
      </c>
      <c r="BH1451" t="s">
        <v>81</v>
      </c>
    </row>
    <row r="1452" spans="1:60" x14ac:dyDescent="0.35">
      <c r="A1452" t="s">
        <v>2695</v>
      </c>
      <c r="B1452" t="s">
        <v>2365</v>
      </c>
      <c r="C1452" t="s">
        <v>3011</v>
      </c>
      <c r="D1452" t="s">
        <v>3012</v>
      </c>
      <c r="E1452">
        <v>476</v>
      </c>
      <c r="F1452" t="s">
        <v>81</v>
      </c>
      <c r="G1452" t="s">
        <v>81</v>
      </c>
      <c r="H1452" t="s">
        <v>81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475</v>
      </c>
      <c r="BH1452">
        <v>0</v>
      </c>
    </row>
    <row r="1453" spans="1:60" x14ac:dyDescent="0.35">
      <c r="A1453" t="s">
        <v>2695</v>
      </c>
      <c r="B1453" t="s">
        <v>2365</v>
      </c>
      <c r="C1453" t="s">
        <v>3013</v>
      </c>
      <c r="D1453" t="s">
        <v>3014</v>
      </c>
      <c r="E1453">
        <v>171</v>
      </c>
      <c r="F1453" t="s">
        <v>81</v>
      </c>
      <c r="G1453" t="s">
        <v>81</v>
      </c>
      <c r="H1453" t="s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1</v>
      </c>
      <c r="BG1453">
        <v>0</v>
      </c>
      <c r="BH1453">
        <v>0</v>
      </c>
    </row>
    <row r="1454" spans="1:60" x14ac:dyDescent="0.35">
      <c r="A1454" t="s">
        <v>2695</v>
      </c>
      <c r="B1454" t="s">
        <v>2365</v>
      </c>
      <c r="C1454" t="s">
        <v>3015</v>
      </c>
      <c r="D1454" t="s">
        <v>3016</v>
      </c>
      <c r="E1454">
        <v>612</v>
      </c>
      <c r="F1454" t="s">
        <v>81</v>
      </c>
      <c r="G1454" t="s">
        <v>81</v>
      </c>
      <c r="H1454" t="s">
        <v>81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1</v>
      </c>
      <c r="BG1454">
        <v>24241.5</v>
      </c>
      <c r="BH1454">
        <v>0</v>
      </c>
    </row>
    <row r="1455" spans="1:60" x14ac:dyDescent="0.35">
      <c r="A1455" t="s">
        <v>2695</v>
      </c>
      <c r="B1455" t="s">
        <v>2365</v>
      </c>
      <c r="C1455" t="s">
        <v>3017</v>
      </c>
      <c r="D1455" t="s">
        <v>3018</v>
      </c>
      <c r="E1455">
        <v>541</v>
      </c>
      <c r="F1455" t="s">
        <v>81</v>
      </c>
      <c r="G1455" t="s">
        <v>81</v>
      </c>
      <c r="H1455" t="s">
        <v>81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 t="s">
        <v>81</v>
      </c>
      <c r="BB1455" t="s">
        <v>81</v>
      </c>
      <c r="BC1455" t="s">
        <v>81</v>
      </c>
      <c r="BD1455" t="s">
        <v>81</v>
      </c>
      <c r="BE1455" t="s">
        <v>81</v>
      </c>
      <c r="BF1455" t="s">
        <v>81</v>
      </c>
      <c r="BG1455" t="s">
        <v>81</v>
      </c>
      <c r="BH1455" t="s">
        <v>81</v>
      </c>
    </row>
    <row r="1456" spans="1:60" x14ac:dyDescent="0.35">
      <c r="A1456" t="s">
        <v>2695</v>
      </c>
      <c r="B1456" t="s">
        <v>2365</v>
      </c>
      <c r="C1456" t="s">
        <v>3019</v>
      </c>
      <c r="D1456" t="s">
        <v>3020</v>
      </c>
      <c r="E1456">
        <v>464</v>
      </c>
      <c r="F1456" t="s">
        <v>81</v>
      </c>
      <c r="G1456" t="s">
        <v>81</v>
      </c>
      <c r="H1456" t="s">
        <v>81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1</v>
      </c>
      <c r="BG1456">
        <v>0</v>
      </c>
      <c r="BH1456">
        <v>0</v>
      </c>
    </row>
    <row r="1457" spans="1:60" x14ac:dyDescent="0.35">
      <c r="A1457" t="s">
        <v>2695</v>
      </c>
      <c r="B1457" t="s">
        <v>2365</v>
      </c>
      <c r="C1457" t="s">
        <v>3021</v>
      </c>
      <c r="D1457" t="s">
        <v>3022</v>
      </c>
      <c r="E1457">
        <v>372</v>
      </c>
      <c r="F1457" t="s">
        <v>81</v>
      </c>
      <c r="G1457" t="s">
        <v>81</v>
      </c>
      <c r="H1457" t="s">
        <v>81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1</v>
      </c>
      <c r="BG1457">
        <v>0</v>
      </c>
      <c r="BH1457">
        <v>0</v>
      </c>
    </row>
    <row r="1458" spans="1:60" x14ac:dyDescent="0.35">
      <c r="A1458" t="s">
        <v>2695</v>
      </c>
      <c r="B1458" t="s">
        <v>2365</v>
      </c>
      <c r="C1458" t="s">
        <v>3023</v>
      </c>
      <c r="D1458" t="s">
        <v>3024</v>
      </c>
      <c r="E1458">
        <v>136</v>
      </c>
      <c r="F1458" t="s">
        <v>81</v>
      </c>
      <c r="G1458" t="s">
        <v>81</v>
      </c>
      <c r="H1458" t="s">
        <v>81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 t="s">
        <v>81</v>
      </c>
      <c r="BB1458" t="s">
        <v>81</v>
      </c>
      <c r="BC1458" t="s">
        <v>81</v>
      </c>
      <c r="BD1458" t="s">
        <v>81</v>
      </c>
      <c r="BE1458" t="s">
        <v>81</v>
      </c>
      <c r="BF1458" t="s">
        <v>81</v>
      </c>
      <c r="BG1458" t="s">
        <v>81</v>
      </c>
      <c r="BH1458" t="s">
        <v>81</v>
      </c>
    </row>
    <row r="1459" spans="1:60" x14ac:dyDescent="0.35">
      <c r="A1459" t="s">
        <v>2695</v>
      </c>
      <c r="B1459" t="s">
        <v>2365</v>
      </c>
      <c r="C1459" t="s">
        <v>3025</v>
      </c>
      <c r="D1459" t="s">
        <v>3026</v>
      </c>
      <c r="E1459">
        <v>236</v>
      </c>
      <c r="F1459" t="s">
        <v>81</v>
      </c>
      <c r="G1459" t="s">
        <v>81</v>
      </c>
      <c r="H1459" t="s">
        <v>81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 t="s">
        <v>81</v>
      </c>
      <c r="BB1459" t="s">
        <v>81</v>
      </c>
      <c r="BC1459" t="s">
        <v>81</v>
      </c>
      <c r="BD1459" t="s">
        <v>81</v>
      </c>
      <c r="BE1459" t="s">
        <v>81</v>
      </c>
      <c r="BF1459" t="s">
        <v>81</v>
      </c>
      <c r="BG1459" t="s">
        <v>81</v>
      </c>
      <c r="BH1459" t="s">
        <v>81</v>
      </c>
    </row>
    <row r="1460" spans="1:60" x14ac:dyDescent="0.35">
      <c r="A1460" t="s">
        <v>2695</v>
      </c>
      <c r="B1460" t="s">
        <v>2365</v>
      </c>
      <c r="C1460" t="s">
        <v>3027</v>
      </c>
      <c r="D1460" t="s">
        <v>3028</v>
      </c>
      <c r="E1460">
        <v>509</v>
      </c>
      <c r="F1460" t="s">
        <v>81</v>
      </c>
      <c r="G1460" t="s">
        <v>81</v>
      </c>
      <c r="H1460" t="s">
        <v>81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 t="s">
        <v>81</v>
      </c>
      <c r="BB1460" t="s">
        <v>81</v>
      </c>
      <c r="BC1460" t="s">
        <v>81</v>
      </c>
      <c r="BD1460" t="s">
        <v>81</v>
      </c>
      <c r="BE1460" t="s">
        <v>81</v>
      </c>
      <c r="BF1460" t="s">
        <v>81</v>
      </c>
      <c r="BG1460" t="s">
        <v>81</v>
      </c>
      <c r="BH1460" t="s">
        <v>81</v>
      </c>
    </row>
    <row r="1461" spans="1:60" x14ac:dyDescent="0.35">
      <c r="A1461" t="s">
        <v>2695</v>
      </c>
      <c r="B1461" t="s">
        <v>2365</v>
      </c>
      <c r="C1461" t="s">
        <v>3029</v>
      </c>
      <c r="D1461" t="s">
        <v>3030</v>
      </c>
      <c r="E1461">
        <v>473</v>
      </c>
      <c r="F1461" t="s">
        <v>81</v>
      </c>
      <c r="G1461" t="s">
        <v>81</v>
      </c>
      <c r="H1461" t="s">
        <v>81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 t="s">
        <v>81</v>
      </c>
      <c r="BB1461" t="s">
        <v>81</v>
      </c>
      <c r="BC1461" t="s">
        <v>81</v>
      </c>
      <c r="BD1461" t="s">
        <v>81</v>
      </c>
      <c r="BE1461" t="s">
        <v>81</v>
      </c>
      <c r="BF1461" t="s">
        <v>81</v>
      </c>
      <c r="BG1461" t="s">
        <v>81</v>
      </c>
      <c r="BH1461" t="s">
        <v>81</v>
      </c>
    </row>
    <row r="1462" spans="1:60" x14ac:dyDescent="0.35">
      <c r="A1462" t="s">
        <v>2695</v>
      </c>
      <c r="B1462" t="s">
        <v>2365</v>
      </c>
      <c r="C1462" t="s">
        <v>3031</v>
      </c>
      <c r="D1462" t="s">
        <v>3032</v>
      </c>
      <c r="E1462">
        <v>395</v>
      </c>
      <c r="F1462" t="s">
        <v>81</v>
      </c>
      <c r="G1462" t="s">
        <v>81</v>
      </c>
      <c r="H1462" t="s">
        <v>81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 t="s">
        <v>81</v>
      </c>
      <c r="BB1462" t="s">
        <v>81</v>
      </c>
      <c r="BC1462" t="s">
        <v>81</v>
      </c>
      <c r="BD1462" t="s">
        <v>81</v>
      </c>
      <c r="BE1462" t="s">
        <v>81</v>
      </c>
      <c r="BF1462" t="s">
        <v>81</v>
      </c>
      <c r="BG1462" t="s">
        <v>81</v>
      </c>
      <c r="BH1462" t="s">
        <v>81</v>
      </c>
    </row>
    <row r="1463" spans="1:60" x14ac:dyDescent="0.35">
      <c r="A1463" t="s">
        <v>2695</v>
      </c>
      <c r="B1463" t="s">
        <v>2365</v>
      </c>
      <c r="C1463" t="s">
        <v>3033</v>
      </c>
      <c r="D1463" t="s">
        <v>3034</v>
      </c>
      <c r="E1463">
        <v>453</v>
      </c>
      <c r="F1463" t="s">
        <v>81</v>
      </c>
      <c r="G1463" t="s">
        <v>81</v>
      </c>
      <c r="H1463" t="s">
        <v>81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 t="s">
        <v>81</v>
      </c>
      <c r="BB1463" t="s">
        <v>81</v>
      </c>
      <c r="BC1463" t="s">
        <v>81</v>
      </c>
      <c r="BD1463" t="s">
        <v>81</v>
      </c>
      <c r="BE1463" t="s">
        <v>81</v>
      </c>
      <c r="BF1463" t="s">
        <v>81</v>
      </c>
      <c r="BG1463" t="s">
        <v>81</v>
      </c>
      <c r="BH1463" t="s">
        <v>81</v>
      </c>
    </row>
    <row r="1464" spans="1:60" x14ac:dyDescent="0.35">
      <c r="A1464" t="s">
        <v>2695</v>
      </c>
      <c r="B1464" t="s">
        <v>2365</v>
      </c>
      <c r="C1464" t="s">
        <v>3035</v>
      </c>
      <c r="D1464" t="s">
        <v>3036</v>
      </c>
      <c r="E1464">
        <v>1593</v>
      </c>
      <c r="F1464" t="s">
        <v>81</v>
      </c>
      <c r="G1464" t="s">
        <v>81</v>
      </c>
      <c r="H1464" t="s">
        <v>81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7</v>
      </c>
      <c r="BG1464">
        <v>0</v>
      </c>
      <c r="BH1464">
        <v>0</v>
      </c>
    </row>
    <row r="1465" spans="1:60" x14ac:dyDescent="0.35">
      <c r="A1465" t="s">
        <v>2695</v>
      </c>
      <c r="B1465" t="s">
        <v>2365</v>
      </c>
      <c r="C1465" t="s">
        <v>3037</v>
      </c>
      <c r="D1465" t="s">
        <v>3038</v>
      </c>
      <c r="E1465">
        <v>226</v>
      </c>
      <c r="F1465" t="s">
        <v>81</v>
      </c>
      <c r="G1465" t="s">
        <v>81</v>
      </c>
      <c r="H1465" t="s">
        <v>81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 t="s">
        <v>81</v>
      </c>
      <c r="BB1465" t="s">
        <v>81</v>
      </c>
      <c r="BC1465" t="s">
        <v>81</v>
      </c>
      <c r="BD1465" t="s">
        <v>81</v>
      </c>
      <c r="BE1465" t="s">
        <v>81</v>
      </c>
      <c r="BF1465" t="s">
        <v>81</v>
      </c>
      <c r="BG1465" t="s">
        <v>81</v>
      </c>
      <c r="BH1465" t="s">
        <v>81</v>
      </c>
    </row>
    <row r="1466" spans="1:60" x14ac:dyDescent="0.35">
      <c r="A1466" t="s">
        <v>3039</v>
      </c>
      <c r="B1466" t="s">
        <v>3040</v>
      </c>
      <c r="C1466" t="s">
        <v>3041</v>
      </c>
      <c r="D1466" t="s">
        <v>3042</v>
      </c>
      <c r="E1466">
        <v>164894</v>
      </c>
      <c r="F1466">
        <v>1168</v>
      </c>
      <c r="G1466">
        <v>1091.22</v>
      </c>
      <c r="H1466">
        <v>0.93426379999999998</v>
      </c>
      <c r="I1466">
        <v>16236.19</v>
      </c>
      <c r="J1466">
        <v>0</v>
      </c>
      <c r="K1466">
        <v>0</v>
      </c>
      <c r="L1466">
        <v>0</v>
      </c>
      <c r="M1466">
        <v>0</v>
      </c>
      <c r="N1466">
        <v>16236.19</v>
      </c>
      <c r="O1466">
        <v>32892.31</v>
      </c>
      <c r="P1466">
        <v>0</v>
      </c>
      <c r="Q1466">
        <v>6169.23</v>
      </c>
      <c r="R1466">
        <v>0</v>
      </c>
      <c r="S1466">
        <v>0</v>
      </c>
      <c r="T1466">
        <v>39061.54</v>
      </c>
      <c r="U1466">
        <v>161095.14000000001</v>
      </c>
      <c r="V1466">
        <v>0</v>
      </c>
      <c r="W1466">
        <v>6835.97</v>
      </c>
      <c r="X1466">
        <v>0</v>
      </c>
      <c r="Y1466">
        <v>0</v>
      </c>
      <c r="Z1466">
        <v>167931.11</v>
      </c>
      <c r="AA1466">
        <v>512437.51</v>
      </c>
      <c r="AB1466">
        <v>9724.58</v>
      </c>
      <c r="AC1466">
        <v>101068.05</v>
      </c>
      <c r="AD1466">
        <v>0</v>
      </c>
      <c r="AE1466">
        <v>0</v>
      </c>
      <c r="AF1466">
        <v>623230.14</v>
      </c>
      <c r="AG1466">
        <v>26059.72</v>
      </c>
      <c r="AH1466">
        <v>8490.24</v>
      </c>
      <c r="AI1466">
        <v>17909.2</v>
      </c>
      <c r="AJ1466">
        <v>0</v>
      </c>
      <c r="AK1466">
        <v>0</v>
      </c>
      <c r="AL1466">
        <v>52459.16</v>
      </c>
      <c r="AM1466">
        <v>776486.37</v>
      </c>
      <c r="AN1466">
        <v>30101.89</v>
      </c>
      <c r="AO1466">
        <v>50122.73</v>
      </c>
      <c r="AP1466">
        <v>0</v>
      </c>
      <c r="AQ1466">
        <v>0</v>
      </c>
      <c r="AR1466">
        <v>856710.99</v>
      </c>
      <c r="AS1466">
        <v>135578.6</v>
      </c>
      <c r="AT1466">
        <v>0</v>
      </c>
      <c r="AU1466">
        <v>6995.87</v>
      </c>
      <c r="AV1466">
        <v>0</v>
      </c>
      <c r="AW1466">
        <v>0</v>
      </c>
      <c r="AX1466">
        <v>142574.47</v>
      </c>
      <c r="AY1466">
        <v>1898203.6</v>
      </c>
      <c r="AZ1466">
        <v>1</v>
      </c>
      <c r="BA1466">
        <v>296</v>
      </c>
      <c r="BB1466">
        <v>68485.591</v>
      </c>
      <c r="BC1466">
        <v>20271734.809999999</v>
      </c>
      <c r="BD1466">
        <v>17009.689257000002</v>
      </c>
      <c r="BE1466">
        <v>3585.502</v>
      </c>
      <c r="BF1466">
        <v>1227</v>
      </c>
      <c r="BG1466">
        <v>8052.6677419999996</v>
      </c>
      <c r="BH1466">
        <v>6115.9589999999998</v>
      </c>
    </row>
    <row r="1467" spans="1:60" x14ac:dyDescent="0.35">
      <c r="A1467" t="s">
        <v>3039</v>
      </c>
      <c r="B1467" t="s">
        <v>3040</v>
      </c>
      <c r="C1467" t="s">
        <v>3043</v>
      </c>
      <c r="D1467" t="s">
        <v>3044</v>
      </c>
      <c r="E1467">
        <v>3450</v>
      </c>
      <c r="F1467">
        <v>1</v>
      </c>
      <c r="G1467">
        <v>0.18</v>
      </c>
      <c r="H1467">
        <v>0.18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 t="s">
        <v>81</v>
      </c>
      <c r="BB1467" t="s">
        <v>81</v>
      </c>
      <c r="BC1467" t="s">
        <v>81</v>
      </c>
      <c r="BD1467" t="s">
        <v>81</v>
      </c>
      <c r="BE1467" t="s">
        <v>81</v>
      </c>
      <c r="BF1467" t="s">
        <v>81</v>
      </c>
      <c r="BG1467" t="s">
        <v>81</v>
      </c>
      <c r="BH1467" t="s">
        <v>81</v>
      </c>
    </row>
    <row r="1468" spans="1:60" x14ac:dyDescent="0.35">
      <c r="A1468" t="s">
        <v>3039</v>
      </c>
      <c r="B1468" t="s">
        <v>3040</v>
      </c>
      <c r="C1468" t="s">
        <v>3045</v>
      </c>
      <c r="D1468" t="s">
        <v>3046</v>
      </c>
      <c r="E1468">
        <v>12865</v>
      </c>
      <c r="F1468">
        <v>6</v>
      </c>
      <c r="G1468">
        <v>4.1074999999999999</v>
      </c>
      <c r="H1468">
        <v>0.68458330000000001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9</v>
      </c>
      <c r="BG1468">
        <v>0</v>
      </c>
      <c r="BH1468">
        <v>0</v>
      </c>
    </row>
    <row r="1469" spans="1:60" x14ac:dyDescent="0.35">
      <c r="A1469" t="s">
        <v>3039</v>
      </c>
      <c r="B1469" t="s">
        <v>3040</v>
      </c>
      <c r="C1469" t="s">
        <v>3047</v>
      </c>
      <c r="D1469" t="s">
        <v>3048</v>
      </c>
      <c r="E1469">
        <v>11436</v>
      </c>
      <c r="F1469">
        <v>6</v>
      </c>
      <c r="G1469">
        <v>3.8508200000000001</v>
      </c>
      <c r="H1469">
        <v>0.64180329999999997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1</v>
      </c>
      <c r="BB1469">
        <v>26647.200000000001</v>
      </c>
      <c r="BC1469">
        <v>26647.200000000001</v>
      </c>
      <c r="BD1469">
        <v>91072.45</v>
      </c>
      <c r="BE1469">
        <v>10683.35</v>
      </c>
      <c r="BF1469">
        <v>5</v>
      </c>
      <c r="BG1469">
        <v>150454.878</v>
      </c>
      <c r="BH1469">
        <v>0</v>
      </c>
    </row>
    <row r="1470" spans="1:60" x14ac:dyDescent="0.35">
      <c r="A1470" t="s">
        <v>3039</v>
      </c>
      <c r="B1470" t="s">
        <v>3040</v>
      </c>
      <c r="C1470" t="s">
        <v>3049</v>
      </c>
      <c r="D1470" t="s">
        <v>3050</v>
      </c>
      <c r="E1470">
        <v>7917</v>
      </c>
      <c r="F1470" t="s">
        <v>81</v>
      </c>
      <c r="G1470" t="s">
        <v>81</v>
      </c>
      <c r="H1470" t="s">
        <v>81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1</v>
      </c>
      <c r="BB1470">
        <v>60777</v>
      </c>
      <c r="BC1470">
        <v>60777</v>
      </c>
      <c r="BD1470">
        <v>0</v>
      </c>
      <c r="BE1470">
        <v>0</v>
      </c>
      <c r="BF1470">
        <v>2</v>
      </c>
      <c r="BG1470">
        <v>0</v>
      </c>
      <c r="BH1470">
        <v>0</v>
      </c>
    </row>
    <row r="1471" spans="1:60" x14ac:dyDescent="0.35">
      <c r="A1471" t="s">
        <v>3039</v>
      </c>
      <c r="B1471" t="s">
        <v>3040</v>
      </c>
      <c r="C1471" t="s">
        <v>3051</v>
      </c>
      <c r="D1471" t="s">
        <v>3052</v>
      </c>
      <c r="E1471">
        <v>14238</v>
      </c>
      <c r="F1471">
        <v>7</v>
      </c>
      <c r="G1471">
        <v>3.6819920000000002</v>
      </c>
      <c r="H1471">
        <v>0.52599890000000005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10</v>
      </c>
      <c r="BG1471">
        <v>35756.841</v>
      </c>
      <c r="BH1471">
        <v>0</v>
      </c>
    </row>
    <row r="1472" spans="1:60" x14ac:dyDescent="0.35">
      <c r="A1472" t="s">
        <v>3039</v>
      </c>
      <c r="B1472" t="s">
        <v>3040</v>
      </c>
      <c r="C1472" t="s">
        <v>3053</v>
      </c>
      <c r="D1472" t="s">
        <v>3054</v>
      </c>
      <c r="E1472">
        <v>18280</v>
      </c>
      <c r="F1472">
        <v>3</v>
      </c>
      <c r="G1472">
        <v>1.0900000000000001</v>
      </c>
      <c r="H1472">
        <v>0.36333330000000003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4</v>
      </c>
      <c r="BG1472">
        <v>0</v>
      </c>
      <c r="BH1472">
        <v>0</v>
      </c>
    </row>
    <row r="1473" spans="1:60" x14ac:dyDescent="0.35">
      <c r="A1473" t="s">
        <v>3039</v>
      </c>
      <c r="B1473" t="s">
        <v>3040</v>
      </c>
      <c r="C1473" t="s">
        <v>3055</v>
      </c>
      <c r="D1473" t="s">
        <v>3056</v>
      </c>
      <c r="E1473">
        <v>91846</v>
      </c>
      <c r="F1473">
        <v>236</v>
      </c>
      <c r="G1473">
        <v>198.85589999999999</v>
      </c>
      <c r="H1473">
        <v>0.84260970000000002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14309.62</v>
      </c>
      <c r="AD1473">
        <v>0</v>
      </c>
      <c r="AE1473">
        <v>0</v>
      </c>
      <c r="AF1473">
        <v>14309.62</v>
      </c>
      <c r="AG1473">
        <v>0</v>
      </c>
      <c r="AH1473">
        <v>0</v>
      </c>
      <c r="AI1473">
        <v>3327.13</v>
      </c>
      <c r="AJ1473">
        <v>0</v>
      </c>
      <c r="AK1473">
        <v>0</v>
      </c>
      <c r="AL1473">
        <v>3327.13</v>
      </c>
      <c r="AM1473">
        <v>0</v>
      </c>
      <c r="AN1473">
        <v>0</v>
      </c>
      <c r="AO1473">
        <v>6447.78</v>
      </c>
      <c r="AP1473">
        <v>0</v>
      </c>
      <c r="AQ1473">
        <v>0</v>
      </c>
      <c r="AR1473">
        <v>6447.78</v>
      </c>
      <c r="AS1473">
        <v>0</v>
      </c>
      <c r="AT1473">
        <v>0</v>
      </c>
      <c r="AU1473">
        <v>2132.9</v>
      </c>
      <c r="AV1473">
        <v>0</v>
      </c>
      <c r="AW1473">
        <v>0</v>
      </c>
      <c r="AX1473">
        <v>2132.9</v>
      </c>
      <c r="AY1473">
        <v>26217.43</v>
      </c>
      <c r="AZ1473">
        <v>1</v>
      </c>
      <c r="BA1473">
        <v>63</v>
      </c>
      <c r="BB1473">
        <v>73498.660999999993</v>
      </c>
      <c r="BC1473">
        <v>4630415.6310000001</v>
      </c>
      <c r="BD1473">
        <v>4606.4939679999998</v>
      </c>
      <c r="BE1473">
        <v>1297.51</v>
      </c>
      <c r="BF1473">
        <v>316</v>
      </c>
      <c r="BG1473">
        <v>9022.1703799999996</v>
      </c>
      <c r="BH1473">
        <v>2473.518</v>
      </c>
    </row>
    <row r="1474" spans="1:60" x14ac:dyDescent="0.35">
      <c r="A1474" t="s">
        <v>3039</v>
      </c>
      <c r="B1474" t="s">
        <v>3040</v>
      </c>
      <c r="C1474" t="s">
        <v>3057</v>
      </c>
      <c r="D1474" t="s">
        <v>3058</v>
      </c>
      <c r="E1474">
        <v>5074</v>
      </c>
      <c r="F1474" t="s">
        <v>81</v>
      </c>
      <c r="G1474" t="s">
        <v>81</v>
      </c>
      <c r="H1474" t="s">
        <v>81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 t="s">
        <v>81</v>
      </c>
      <c r="BB1474" t="s">
        <v>81</v>
      </c>
      <c r="BC1474" t="s">
        <v>81</v>
      </c>
      <c r="BD1474" t="s">
        <v>81</v>
      </c>
      <c r="BE1474" t="s">
        <v>81</v>
      </c>
      <c r="BF1474" t="s">
        <v>81</v>
      </c>
      <c r="BG1474" t="s">
        <v>81</v>
      </c>
      <c r="BH1474" t="s">
        <v>81</v>
      </c>
    </row>
    <row r="1475" spans="1:60" x14ac:dyDescent="0.35">
      <c r="A1475" t="s">
        <v>3039</v>
      </c>
      <c r="B1475" t="s">
        <v>3040</v>
      </c>
      <c r="C1475" t="s">
        <v>3059</v>
      </c>
      <c r="D1475" t="s">
        <v>3060</v>
      </c>
      <c r="E1475">
        <v>71321</v>
      </c>
      <c r="F1475">
        <v>400</v>
      </c>
      <c r="G1475">
        <v>363.97379999999998</v>
      </c>
      <c r="H1475">
        <v>0.90993449999999998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</v>
      </c>
      <c r="BA1475">
        <v>51</v>
      </c>
      <c r="BB1475">
        <v>89045.842999999993</v>
      </c>
      <c r="BC1475">
        <v>4541337.9869999997</v>
      </c>
      <c r="BD1475">
        <v>36383.407254999998</v>
      </c>
      <c r="BE1475">
        <v>981.54</v>
      </c>
      <c r="BF1475">
        <v>300</v>
      </c>
      <c r="BG1475">
        <v>9521.5395000000008</v>
      </c>
      <c r="BH1475">
        <v>2142.431</v>
      </c>
    </row>
    <row r="1476" spans="1:60" x14ac:dyDescent="0.35">
      <c r="A1476" t="s">
        <v>3039</v>
      </c>
      <c r="B1476" t="s">
        <v>3040</v>
      </c>
      <c r="C1476" t="s">
        <v>3061</v>
      </c>
      <c r="D1476" t="s">
        <v>3062</v>
      </c>
      <c r="E1476">
        <v>165140</v>
      </c>
      <c r="F1476">
        <v>246</v>
      </c>
      <c r="G1476">
        <v>205.1755</v>
      </c>
      <c r="H1476">
        <v>0.83404670000000003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97.27</v>
      </c>
      <c r="X1476">
        <v>0</v>
      </c>
      <c r="Y1476">
        <v>0</v>
      </c>
      <c r="Z1476">
        <v>97.27</v>
      </c>
      <c r="AA1476">
        <v>93.14</v>
      </c>
      <c r="AB1476">
        <v>817.49</v>
      </c>
      <c r="AC1476">
        <v>9363.7199999999993</v>
      </c>
      <c r="AD1476">
        <v>0</v>
      </c>
      <c r="AE1476">
        <v>0</v>
      </c>
      <c r="AF1476">
        <v>10274.35</v>
      </c>
      <c r="AG1476">
        <v>23543.67</v>
      </c>
      <c r="AH1476">
        <v>3210.56</v>
      </c>
      <c r="AI1476">
        <v>3556.11</v>
      </c>
      <c r="AJ1476">
        <v>0</v>
      </c>
      <c r="AK1476">
        <v>0</v>
      </c>
      <c r="AL1476">
        <v>30310.34</v>
      </c>
      <c r="AM1476">
        <v>179.53</v>
      </c>
      <c r="AN1476">
        <v>6177.35</v>
      </c>
      <c r="AO1476">
        <v>2972.48</v>
      </c>
      <c r="AP1476">
        <v>0</v>
      </c>
      <c r="AQ1476">
        <v>0</v>
      </c>
      <c r="AR1476">
        <v>9329.36</v>
      </c>
      <c r="AS1476">
        <v>0</v>
      </c>
      <c r="AT1476">
        <v>0</v>
      </c>
      <c r="AU1476">
        <v>176.1</v>
      </c>
      <c r="AV1476">
        <v>0</v>
      </c>
      <c r="AW1476">
        <v>0</v>
      </c>
      <c r="AX1476">
        <v>176.1</v>
      </c>
      <c r="AY1476">
        <v>50187.42</v>
      </c>
      <c r="AZ1476">
        <v>1</v>
      </c>
      <c r="BA1476">
        <v>72</v>
      </c>
      <c r="BB1476">
        <v>54043.892</v>
      </c>
      <c r="BC1476">
        <v>3891160.2570000002</v>
      </c>
      <c r="BD1476">
        <v>11424.325972000001</v>
      </c>
      <c r="BE1476">
        <v>1628.6959999999999</v>
      </c>
      <c r="BF1476">
        <v>333</v>
      </c>
      <c r="BG1476">
        <v>8563.7119519999997</v>
      </c>
      <c r="BH1476">
        <v>2383.3359999999998</v>
      </c>
    </row>
    <row r="1477" spans="1:60" x14ac:dyDescent="0.35">
      <c r="A1477" t="s">
        <v>3039</v>
      </c>
      <c r="B1477" t="s">
        <v>3063</v>
      </c>
      <c r="C1477" t="s">
        <v>3064</v>
      </c>
      <c r="D1477" t="s">
        <v>3065</v>
      </c>
      <c r="E1477">
        <v>113141</v>
      </c>
      <c r="F1477">
        <v>426</v>
      </c>
      <c r="G1477">
        <v>334.18849999999998</v>
      </c>
      <c r="H1477">
        <v>0.78448010000000001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1599.73</v>
      </c>
      <c r="R1477">
        <v>0</v>
      </c>
      <c r="S1477">
        <v>0</v>
      </c>
      <c r="T1477">
        <v>1599.73</v>
      </c>
      <c r="U1477">
        <v>12537.69</v>
      </c>
      <c r="V1477">
        <v>0</v>
      </c>
      <c r="W1477">
        <v>2783.3</v>
      </c>
      <c r="X1477">
        <v>0</v>
      </c>
      <c r="Y1477">
        <v>0</v>
      </c>
      <c r="Z1477">
        <v>15320.99</v>
      </c>
      <c r="AA1477">
        <v>80426.77</v>
      </c>
      <c r="AB1477">
        <v>12110.75</v>
      </c>
      <c r="AC1477">
        <v>116381.96</v>
      </c>
      <c r="AD1477">
        <v>0</v>
      </c>
      <c r="AE1477">
        <v>0</v>
      </c>
      <c r="AF1477">
        <v>208919.48</v>
      </c>
      <c r="AG1477">
        <v>540.69000000000005</v>
      </c>
      <c r="AH1477">
        <v>4019.53</v>
      </c>
      <c r="AI1477">
        <v>20979.5</v>
      </c>
      <c r="AJ1477">
        <v>0</v>
      </c>
      <c r="AK1477">
        <v>0</v>
      </c>
      <c r="AL1477">
        <v>25539.72</v>
      </c>
      <c r="AM1477">
        <v>76124.960000000006</v>
      </c>
      <c r="AN1477">
        <v>13795.79</v>
      </c>
      <c r="AO1477">
        <v>51632.03</v>
      </c>
      <c r="AP1477">
        <v>0</v>
      </c>
      <c r="AQ1477">
        <v>0</v>
      </c>
      <c r="AR1477">
        <v>141552.78</v>
      </c>
      <c r="AS1477">
        <v>14021.7</v>
      </c>
      <c r="AT1477">
        <v>0</v>
      </c>
      <c r="AU1477">
        <v>7029.26</v>
      </c>
      <c r="AV1477">
        <v>0</v>
      </c>
      <c r="AW1477">
        <v>0</v>
      </c>
      <c r="AX1477">
        <v>21050.959999999999</v>
      </c>
      <c r="AY1477">
        <v>413983.66</v>
      </c>
      <c r="AZ1477">
        <v>0</v>
      </c>
      <c r="BA1477">
        <v>23</v>
      </c>
      <c r="BB1477">
        <v>80605.881999999998</v>
      </c>
      <c r="BC1477">
        <v>1853935.2949999999</v>
      </c>
      <c r="BD1477">
        <v>6744.1886960000002</v>
      </c>
      <c r="BE1477">
        <v>152.773</v>
      </c>
      <c r="BF1477">
        <v>708</v>
      </c>
      <c r="BG1477">
        <v>2673.4510879999998</v>
      </c>
      <c r="BH1477">
        <v>861.09100000000001</v>
      </c>
    </row>
    <row r="1478" spans="1:60" x14ac:dyDescent="0.35">
      <c r="A1478" t="s">
        <v>3039</v>
      </c>
      <c r="B1478" t="s">
        <v>3063</v>
      </c>
      <c r="C1478" t="s">
        <v>3066</v>
      </c>
      <c r="D1478" t="s">
        <v>3067</v>
      </c>
      <c r="E1478">
        <v>17673</v>
      </c>
      <c r="F1478">
        <v>3</v>
      </c>
      <c r="G1478">
        <v>1.5287999999999999</v>
      </c>
      <c r="H1478">
        <v>0.50960000000000005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1</v>
      </c>
      <c r="BG1478">
        <v>0</v>
      </c>
      <c r="BH1478">
        <v>0</v>
      </c>
    </row>
    <row r="1479" spans="1:60" x14ac:dyDescent="0.35">
      <c r="A1479" t="s">
        <v>3039</v>
      </c>
      <c r="B1479" t="s">
        <v>3063</v>
      </c>
      <c r="C1479" t="s">
        <v>3068</v>
      </c>
      <c r="D1479" t="s">
        <v>3069</v>
      </c>
      <c r="E1479">
        <v>4759</v>
      </c>
      <c r="F1479" t="s">
        <v>81</v>
      </c>
      <c r="G1479" t="s">
        <v>81</v>
      </c>
      <c r="H1479" t="s">
        <v>81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2</v>
      </c>
      <c r="BG1479">
        <v>0</v>
      </c>
      <c r="BH1479">
        <v>0</v>
      </c>
    </row>
    <row r="1480" spans="1:60" x14ac:dyDescent="0.35">
      <c r="A1480" t="s">
        <v>3039</v>
      </c>
      <c r="B1480" t="s">
        <v>3063</v>
      </c>
      <c r="C1480" t="s">
        <v>3070</v>
      </c>
      <c r="D1480" t="s">
        <v>3071</v>
      </c>
      <c r="E1480">
        <v>13788</v>
      </c>
      <c r="F1480">
        <v>8</v>
      </c>
      <c r="G1480">
        <v>3.484</v>
      </c>
      <c r="H1480">
        <v>0.4355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15</v>
      </c>
      <c r="BG1480">
        <v>662.46666700000003</v>
      </c>
      <c r="BH1480">
        <v>0</v>
      </c>
    </row>
    <row r="1481" spans="1:60" x14ac:dyDescent="0.35">
      <c r="A1481" t="s">
        <v>3039</v>
      </c>
      <c r="B1481" t="s">
        <v>3063</v>
      </c>
      <c r="C1481" t="s">
        <v>3072</v>
      </c>
      <c r="D1481" t="s">
        <v>3073</v>
      </c>
      <c r="E1481">
        <v>4317</v>
      </c>
      <c r="F1481">
        <v>1</v>
      </c>
      <c r="G1481">
        <v>0.2</v>
      </c>
      <c r="H1481">
        <v>0.2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 t="s">
        <v>81</v>
      </c>
      <c r="BB1481" t="s">
        <v>81</v>
      </c>
      <c r="BC1481" t="s">
        <v>81</v>
      </c>
      <c r="BD1481" t="s">
        <v>81</v>
      </c>
      <c r="BE1481" t="s">
        <v>81</v>
      </c>
      <c r="BF1481" t="s">
        <v>81</v>
      </c>
      <c r="BG1481" t="s">
        <v>81</v>
      </c>
      <c r="BH1481" t="s">
        <v>81</v>
      </c>
    </row>
    <row r="1482" spans="1:60" x14ac:dyDescent="0.35">
      <c r="A1482" t="s">
        <v>3039</v>
      </c>
      <c r="B1482" t="s">
        <v>3063</v>
      </c>
      <c r="C1482" t="s">
        <v>3074</v>
      </c>
      <c r="D1482" t="s">
        <v>3075</v>
      </c>
      <c r="E1482">
        <v>6295</v>
      </c>
      <c r="F1482" t="s">
        <v>81</v>
      </c>
      <c r="G1482" t="s">
        <v>81</v>
      </c>
      <c r="H1482" t="s">
        <v>81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2</v>
      </c>
      <c r="BG1482">
        <v>0</v>
      </c>
      <c r="BH1482">
        <v>0</v>
      </c>
    </row>
    <row r="1483" spans="1:60" x14ac:dyDescent="0.35">
      <c r="A1483" t="s">
        <v>3039</v>
      </c>
      <c r="B1483" t="s">
        <v>3039</v>
      </c>
      <c r="C1483" t="s">
        <v>3076</v>
      </c>
      <c r="D1483" t="s">
        <v>3077</v>
      </c>
      <c r="E1483">
        <v>34639</v>
      </c>
      <c r="F1483">
        <v>67</v>
      </c>
      <c r="G1483">
        <v>47.483759999999997</v>
      </c>
      <c r="H1483">
        <v>0.70871280000000003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7</v>
      </c>
      <c r="BB1483">
        <v>98932.845000000001</v>
      </c>
      <c r="BC1483">
        <v>692529.91500000004</v>
      </c>
      <c r="BD1483">
        <v>12129.667143000001</v>
      </c>
      <c r="BE1483">
        <v>0.71399999999999997</v>
      </c>
      <c r="BF1483">
        <v>68</v>
      </c>
      <c r="BG1483">
        <v>17011.619706000001</v>
      </c>
      <c r="BH1483">
        <v>1353.011</v>
      </c>
    </row>
    <row r="1484" spans="1:60" x14ac:dyDescent="0.35">
      <c r="A1484" t="s">
        <v>3039</v>
      </c>
      <c r="B1484" t="s">
        <v>3039</v>
      </c>
      <c r="C1484" t="s">
        <v>3078</v>
      </c>
      <c r="D1484" t="s">
        <v>3079</v>
      </c>
      <c r="E1484">
        <v>5865</v>
      </c>
      <c r="F1484">
        <v>1</v>
      </c>
      <c r="G1484">
        <v>0.18</v>
      </c>
      <c r="H1484">
        <v>0.18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1</v>
      </c>
      <c r="BG1484">
        <v>0</v>
      </c>
      <c r="BH1484">
        <v>0</v>
      </c>
    </row>
    <row r="1485" spans="1:60" x14ac:dyDescent="0.35">
      <c r="A1485" t="s">
        <v>3039</v>
      </c>
      <c r="B1485" t="s">
        <v>3039</v>
      </c>
      <c r="C1485" t="s">
        <v>3080</v>
      </c>
      <c r="D1485" t="s">
        <v>3081</v>
      </c>
      <c r="E1485">
        <v>7665</v>
      </c>
      <c r="F1485">
        <v>4</v>
      </c>
      <c r="G1485">
        <v>4.38</v>
      </c>
      <c r="H1485">
        <v>1.095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1</v>
      </c>
      <c r="BG1485">
        <v>12987</v>
      </c>
      <c r="BH1485">
        <v>0</v>
      </c>
    </row>
    <row r="1486" spans="1:60" x14ac:dyDescent="0.35">
      <c r="A1486" t="s">
        <v>3039</v>
      </c>
      <c r="B1486" t="s">
        <v>3039</v>
      </c>
      <c r="C1486" t="s">
        <v>3082</v>
      </c>
      <c r="D1486" t="s">
        <v>3083</v>
      </c>
      <c r="E1486">
        <v>11575</v>
      </c>
      <c r="F1486">
        <v>2</v>
      </c>
      <c r="G1486">
        <v>0.78017599999999998</v>
      </c>
      <c r="H1486">
        <v>0.39008799999999999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1</v>
      </c>
      <c r="BG1486">
        <v>0</v>
      </c>
      <c r="BH1486">
        <v>0</v>
      </c>
    </row>
    <row r="1487" spans="1:60" x14ac:dyDescent="0.35">
      <c r="A1487" t="s">
        <v>3039</v>
      </c>
      <c r="B1487" t="s">
        <v>3039</v>
      </c>
      <c r="C1487" t="s">
        <v>3084</v>
      </c>
      <c r="D1487" t="s">
        <v>3085</v>
      </c>
      <c r="E1487">
        <v>14285</v>
      </c>
      <c r="F1487">
        <v>2</v>
      </c>
      <c r="G1487">
        <v>0.9</v>
      </c>
      <c r="H1487">
        <v>0.45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2</v>
      </c>
      <c r="BG1487">
        <v>0</v>
      </c>
      <c r="BH1487">
        <v>0</v>
      </c>
    </row>
    <row r="1488" spans="1:60" x14ac:dyDescent="0.35">
      <c r="A1488" t="s">
        <v>3039</v>
      </c>
      <c r="B1488" t="s">
        <v>3086</v>
      </c>
      <c r="C1488" t="s">
        <v>3087</v>
      </c>
      <c r="D1488" t="s">
        <v>3088</v>
      </c>
      <c r="E1488">
        <v>25319</v>
      </c>
      <c r="F1488">
        <v>28</v>
      </c>
      <c r="G1488">
        <v>22.84</v>
      </c>
      <c r="H1488">
        <v>0.8157143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34.57</v>
      </c>
      <c r="X1488">
        <v>0</v>
      </c>
      <c r="Y1488">
        <v>0</v>
      </c>
      <c r="Z1488">
        <v>34.57</v>
      </c>
      <c r="AA1488">
        <v>0</v>
      </c>
      <c r="AB1488">
        <v>8042.4</v>
      </c>
      <c r="AC1488">
        <v>7226.03</v>
      </c>
      <c r="AD1488">
        <v>0</v>
      </c>
      <c r="AE1488">
        <v>0</v>
      </c>
      <c r="AF1488">
        <v>15268.43</v>
      </c>
      <c r="AG1488">
        <v>0</v>
      </c>
      <c r="AH1488">
        <v>1423.72</v>
      </c>
      <c r="AI1488">
        <v>1257.98</v>
      </c>
      <c r="AJ1488">
        <v>0</v>
      </c>
      <c r="AK1488">
        <v>0</v>
      </c>
      <c r="AL1488">
        <v>2681.7</v>
      </c>
      <c r="AM1488">
        <v>0</v>
      </c>
      <c r="AN1488">
        <v>41.39</v>
      </c>
      <c r="AO1488">
        <v>1766.87</v>
      </c>
      <c r="AP1488">
        <v>0</v>
      </c>
      <c r="AQ1488">
        <v>0</v>
      </c>
      <c r="AR1488">
        <v>1808.26</v>
      </c>
      <c r="AS1488">
        <v>0</v>
      </c>
      <c r="AT1488">
        <v>0</v>
      </c>
      <c r="AU1488">
        <v>232.69</v>
      </c>
      <c r="AV1488">
        <v>0</v>
      </c>
      <c r="AW1488">
        <v>0</v>
      </c>
      <c r="AX1488">
        <v>232.69</v>
      </c>
      <c r="AY1488">
        <v>20025.650000000001</v>
      </c>
      <c r="AZ1488">
        <v>0</v>
      </c>
      <c r="BA1488">
        <v>2</v>
      </c>
      <c r="BB1488">
        <v>15645.166999999999</v>
      </c>
      <c r="BC1488">
        <v>31290.332999999999</v>
      </c>
      <c r="BD1488">
        <v>0</v>
      </c>
      <c r="BE1488">
        <v>0</v>
      </c>
      <c r="BF1488">
        <v>58</v>
      </c>
      <c r="BG1488">
        <v>633.53189699999996</v>
      </c>
      <c r="BH1488">
        <v>9.7899999999999991</v>
      </c>
    </row>
    <row r="1489" spans="1:60" x14ac:dyDescent="0.35">
      <c r="A1489" t="s">
        <v>3039</v>
      </c>
      <c r="B1489" t="s">
        <v>3086</v>
      </c>
      <c r="C1489" t="s">
        <v>3089</v>
      </c>
      <c r="D1489" t="s">
        <v>3090</v>
      </c>
      <c r="E1489">
        <v>12277</v>
      </c>
      <c r="F1489">
        <v>6</v>
      </c>
      <c r="G1489">
        <v>3.0014210000000001</v>
      </c>
      <c r="H1489">
        <v>0.50023689999999998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7</v>
      </c>
      <c r="BG1489">
        <v>9643.9814289999995</v>
      </c>
      <c r="BH1489">
        <v>0</v>
      </c>
    </row>
    <row r="1490" spans="1:60" x14ac:dyDescent="0.35">
      <c r="A1490" t="s">
        <v>3039</v>
      </c>
      <c r="B1490" t="s">
        <v>3086</v>
      </c>
      <c r="C1490" t="s">
        <v>3091</v>
      </c>
      <c r="D1490" t="s">
        <v>3092</v>
      </c>
      <c r="E1490">
        <v>9876</v>
      </c>
      <c r="F1490">
        <v>7</v>
      </c>
      <c r="G1490">
        <v>7.0110279999999996</v>
      </c>
      <c r="H1490">
        <v>1.0015750000000001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13</v>
      </c>
      <c r="BG1490">
        <v>8047.8692309999997</v>
      </c>
      <c r="BH1490">
        <v>0</v>
      </c>
    </row>
    <row r="1491" spans="1:60" x14ac:dyDescent="0.35">
      <c r="A1491" t="s">
        <v>3039</v>
      </c>
      <c r="B1491" t="s">
        <v>3086</v>
      </c>
      <c r="C1491" t="s">
        <v>3093</v>
      </c>
      <c r="D1491" t="s">
        <v>3094</v>
      </c>
      <c r="E1491">
        <v>12808</v>
      </c>
      <c r="F1491">
        <v>4</v>
      </c>
      <c r="G1491">
        <v>4.3546329999999998</v>
      </c>
      <c r="H1491">
        <v>1.0886579999999999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9603.3330000000005</v>
      </c>
      <c r="BC1491">
        <v>9603.3330000000005</v>
      </c>
      <c r="BD1491">
        <v>0</v>
      </c>
      <c r="BE1491">
        <v>0</v>
      </c>
      <c r="BF1491">
        <v>14</v>
      </c>
      <c r="BG1491">
        <v>24586.171429000002</v>
      </c>
      <c r="BH1491">
        <v>0</v>
      </c>
    </row>
    <row r="1492" spans="1:60" x14ac:dyDescent="0.35">
      <c r="A1492" t="s">
        <v>3039</v>
      </c>
      <c r="B1492" t="s">
        <v>3086</v>
      </c>
      <c r="C1492" t="s">
        <v>3095</v>
      </c>
      <c r="D1492">
        <v>160405</v>
      </c>
      <c r="E1492">
        <v>0</v>
      </c>
      <c r="F1492" t="s">
        <v>81</v>
      </c>
      <c r="G1492" t="s">
        <v>81</v>
      </c>
      <c r="H1492" t="s">
        <v>81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 t="s">
        <v>81</v>
      </c>
      <c r="BB1492" t="s">
        <v>81</v>
      </c>
      <c r="BC1492" t="s">
        <v>81</v>
      </c>
      <c r="BD1492" t="s">
        <v>81</v>
      </c>
      <c r="BE1492" t="s">
        <v>81</v>
      </c>
      <c r="BF1492" t="s">
        <v>81</v>
      </c>
      <c r="BG1492" t="s">
        <v>81</v>
      </c>
      <c r="BH1492" t="s">
        <v>81</v>
      </c>
    </row>
    <row r="1493" spans="1:60" x14ac:dyDescent="0.35">
      <c r="A1493" t="s">
        <v>3039</v>
      </c>
      <c r="B1493" t="s">
        <v>3096</v>
      </c>
      <c r="C1493" t="s">
        <v>3096</v>
      </c>
      <c r="D1493" t="s">
        <v>3097</v>
      </c>
      <c r="E1493">
        <v>28280</v>
      </c>
      <c r="F1493">
        <v>55</v>
      </c>
      <c r="G1493">
        <v>31.053129999999999</v>
      </c>
      <c r="H1493">
        <v>0.56460239999999995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294.49</v>
      </c>
      <c r="X1493">
        <v>0</v>
      </c>
      <c r="Y1493">
        <v>0</v>
      </c>
      <c r="Z1493">
        <v>294.49</v>
      </c>
      <c r="AA1493">
        <v>0</v>
      </c>
      <c r="AB1493">
        <v>0</v>
      </c>
      <c r="AC1493">
        <v>8596.39</v>
      </c>
      <c r="AD1493">
        <v>0</v>
      </c>
      <c r="AE1493">
        <v>0</v>
      </c>
      <c r="AF1493">
        <v>8596.39</v>
      </c>
      <c r="AG1493">
        <v>0</v>
      </c>
      <c r="AH1493">
        <v>0</v>
      </c>
      <c r="AI1493">
        <v>2149.84</v>
      </c>
      <c r="AJ1493">
        <v>0</v>
      </c>
      <c r="AK1493">
        <v>0</v>
      </c>
      <c r="AL1493">
        <v>2149.84</v>
      </c>
      <c r="AM1493">
        <v>0</v>
      </c>
      <c r="AN1493">
        <v>0</v>
      </c>
      <c r="AO1493">
        <v>1415.29</v>
      </c>
      <c r="AP1493">
        <v>0</v>
      </c>
      <c r="AQ1493">
        <v>0</v>
      </c>
      <c r="AR1493">
        <v>1415.29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12456.01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64</v>
      </c>
      <c r="BG1493">
        <v>23627.920312999999</v>
      </c>
      <c r="BH1493">
        <v>190.886</v>
      </c>
    </row>
    <row r="1494" spans="1:60" x14ac:dyDescent="0.35">
      <c r="A1494" t="s">
        <v>3039</v>
      </c>
      <c r="B1494" t="s">
        <v>3096</v>
      </c>
      <c r="C1494" t="s">
        <v>3098</v>
      </c>
      <c r="D1494" t="s">
        <v>3099</v>
      </c>
      <c r="E1494">
        <v>1522</v>
      </c>
      <c r="F1494" t="s">
        <v>81</v>
      </c>
      <c r="G1494" t="s">
        <v>81</v>
      </c>
      <c r="H1494" t="s">
        <v>81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1</v>
      </c>
      <c r="BG1494">
        <v>81708</v>
      </c>
      <c r="BH1494">
        <v>0</v>
      </c>
    </row>
    <row r="1495" spans="1:60" x14ac:dyDescent="0.35">
      <c r="A1495" t="s">
        <v>3039</v>
      </c>
      <c r="B1495" t="s">
        <v>3096</v>
      </c>
      <c r="C1495" t="s">
        <v>3100</v>
      </c>
      <c r="D1495" t="s">
        <v>3101</v>
      </c>
      <c r="E1495">
        <v>2039</v>
      </c>
      <c r="F1495" t="s">
        <v>81</v>
      </c>
      <c r="G1495" t="s">
        <v>81</v>
      </c>
      <c r="H1495" t="s">
        <v>81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2</v>
      </c>
      <c r="BG1495">
        <v>80950.354999999996</v>
      </c>
      <c r="BH1495">
        <v>0</v>
      </c>
    </row>
    <row r="1496" spans="1:60" x14ac:dyDescent="0.35">
      <c r="A1496" t="s">
        <v>3039</v>
      </c>
      <c r="B1496" t="s">
        <v>3096</v>
      </c>
      <c r="C1496" t="s">
        <v>3102</v>
      </c>
      <c r="D1496" t="s">
        <v>3103</v>
      </c>
      <c r="E1496">
        <v>6753</v>
      </c>
      <c r="F1496" t="s">
        <v>81</v>
      </c>
      <c r="G1496" t="s">
        <v>81</v>
      </c>
      <c r="H1496" t="s">
        <v>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27524.400000000001</v>
      </c>
      <c r="BH1496">
        <v>0</v>
      </c>
    </row>
    <row r="1497" spans="1:60" x14ac:dyDescent="0.35">
      <c r="A1497" t="s">
        <v>3039</v>
      </c>
      <c r="B1497" t="s">
        <v>3096</v>
      </c>
      <c r="C1497" t="s">
        <v>3104</v>
      </c>
      <c r="D1497" t="s">
        <v>3105</v>
      </c>
      <c r="E1497">
        <v>8807</v>
      </c>
      <c r="F1497" t="s">
        <v>81</v>
      </c>
      <c r="G1497" t="s">
        <v>81</v>
      </c>
      <c r="H1497" t="s">
        <v>81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2</v>
      </c>
      <c r="BG1497">
        <v>4746</v>
      </c>
      <c r="BH1497">
        <v>0</v>
      </c>
    </row>
    <row r="1498" spans="1:60" x14ac:dyDescent="0.35">
      <c r="A1498" t="s">
        <v>3039</v>
      </c>
      <c r="B1498" t="s">
        <v>3096</v>
      </c>
      <c r="C1498" t="s">
        <v>3106</v>
      </c>
      <c r="D1498" t="s">
        <v>3107</v>
      </c>
      <c r="E1498">
        <v>4362</v>
      </c>
      <c r="F1498">
        <v>6</v>
      </c>
      <c r="G1498">
        <v>4.7316710000000004</v>
      </c>
      <c r="H1498">
        <v>0.78861179999999997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0</v>
      </c>
      <c r="BH1498">
        <v>0</v>
      </c>
    </row>
    <row r="1499" spans="1:60" x14ac:dyDescent="0.35">
      <c r="A1499" t="s">
        <v>3039</v>
      </c>
      <c r="B1499" t="s">
        <v>3096</v>
      </c>
      <c r="C1499" t="s">
        <v>3108</v>
      </c>
      <c r="D1499" t="s">
        <v>3109</v>
      </c>
      <c r="E1499">
        <v>2890</v>
      </c>
      <c r="F1499" t="s">
        <v>81</v>
      </c>
      <c r="G1499" t="s">
        <v>81</v>
      </c>
      <c r="H1499" t="s">
        <v>81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 t="s">
        <v>81</v>
      </c>
      <c r="BB1499" t="s">
        <v>81</v>
      </c>
      <c r="BC1499" t="s">
        <v>81</v>
      </c>
      <c r="BD1499" t="s">
        <v>81</v>
      </c>
      <c r="BE1499" t="s">
        <v>81</v>
      </c>
      <c r="BF1499" t="s">
        <v>81</v>
      </c>
      <c r="BG1499" t="s">
        <v>81</v>
      </c>
      <c r="BH1499" t="s">
        <v>81</v>
      </c>
    </row>
    <row r="1500" spans="1:60" x14ac:dyDescent="0.35">
      <c r="A1500" t="s">
        <v>3039</v>
      </c>
      <c r="B1500" t="s">
        <v>3096</v>
      </c>
      <c r="C1500" t="s">
        <v>3110</v>
      </c>
      <c r="D1500" t="s">
        <v>3111</v>
      </c>
      <c r="E1500">
        <v>714</v>
      </c>
      <c r="F1500" t="s">
        <v>81</v>
      </c>
      <c r="G1500" t="s">
        <v>81</v>
      </c>
      <c r="H1500" t="s">
        <v>81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 t="s">
        <v>81</v>
      </c>
      <c r="BB1500" t="s">
        <v>81</v>
      </c>
      <c r="BC1500" t="s">
        <v>81</v>
      </c>
      <c r="BD1500" t="s">
        <v>81</v>
      </c>
      <c r="BE1500" t="s">
        <v>81</v>
      </c>
      <c r="BF1500" t="s">
        <v>81</v>
      </c>
      <c r="BG1500" t="s">
        <v>81</v>
      </c>
      <c r="BH1500" t="s">
        <v>81</v>
      </c>
    </row>
    <row r="1501" spans="1:60" x14ac:dyDescent="0.35">
      <c r="A1501" t="s">
        <v>3039</v>
      </c>
      <c r="B1501" t="s">
        <v>3096</v>
      </c>
      <c r="C1501" t="s">
        <v>3112</v>
      </c>
      <c r="D1501" t="s">
        <v>3113</v>
      </c>
      <c r="E1501">
        <v>912</v>
      </c>
      <c r="F1501" t="s">
        <v>81</v>
      </c>
      <c r="G1501" t="s">
        <v>81</v>
      </c>
      <c r="H1501" t="s">
        <v>81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 t="s">
        <v>81</v>
      </c>
      <c r="BB1501" t="s">
        <v>81</v>
      </c>
      <c r="BC1501" t="s">
        <v>81</v>
      </c>
      <c r="BD1501" t="s">
        <v>81</v>
      </c>
      <c r="BE1501" t="s">
        <v>81</v>
      </c>
      <c r="BF1501" t="s">
        <v>81</v>
      </c>
      <c r="BG1501" t="s">
        <v>81</v>
      </c>
      <c r="BH1501" t="s">
        <v>81</v>
      </c>
    </row>
    <row r="1502" spans="1:60" x14ac:dyDescent="0.35">
      <c r="A1502" t="s">
        <v>3039</v>
      </c>
      <c r="B1502" t="s">
        <v>3096</v>
      </c>
      <c r="C1502" t="s">
        <v>3114</v>
      </c>
      <c r="D1502" t="s">
        <v>3115</v>
      </c>
      <c r="E1502">
        <v>5018</v>
      </c>
      <c r="F1502">
        <v>3</v>
      </c>
      <c r="G1502">
        <v>0.76</v>
      </c>
      <c r="H1502">
        <v>0.25333329999999998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 t="s">
        <v>81</v>
      </c>
      <c r="BB1502" t="s">
        <v>81</v>
      </c>
      <c r="BC1502" t="s">
        <v>81</v>
      </c>
      <c r="BD1502" t="s">
        <v>81</v>
      </c>
      <c r="BE1502" t="s">
        <v>81</v>
      </c>
      <c r="BF1502" t="s">
        <v>81</v>
      </c>
      <c r="BG1502" t="s">
        <v>81</v>
      </c>
      <c r="BH1502" t="s">
        <v>81</v>
      </c>
    </row>
    <row r="1503" spans="1:60" x14ac:dyDescent="0.35">
      <c r="A1503" t="s">
        <v>3039</v>
      </c>
      <c r="B1503" t="s">
        <v>3096</v>
      </c>
      <c r="C1503" t="s">
        <v>3116</v>
      </c>
      <c r="D1503" t="s">
        <v>3117</v>
      </c>
      <c r="E1503">
        <v>2193</v>
      </c>
      <c r="F1503">
        <v>1</v>
      </c>
      <c r="G1503">
        <v>0.42199999999999999</v>
      </c>
      <c r="H1503">
        <v>0.42199999999999999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 t="s">
        <v>81</v>
      </c>
      <c r="BB1503" t="s">
        <v>81</v>
      </c>
      <c r="BC1503" t="s">
        <v>81</v>
      </c>
      <c r="BD1503" t="s">
        <v>81</v>
      </c>
      <c r="BE1503" t="s">
        <v>81</v>
      </c>
      <c r="BF1503" t="s">
        <v>81</v>
      </c>
      <c r="BG1503" t="s">
        <v>81</v>
      </c>
      <c r="BH1503" t="s">
        <v>81</v>
      </c>
    </row>
    <row r="1504" spans="1:60" x14ac:dyDescent="0.35">
      <c r="A1504" t="s">
        <v>3039</v>
      </c>
      <c r="B1504" t="s">
        <v>3118</v>
      </c>
      <c r="C1504" t="s">
        <v>3119</v>
      </c>
      <c r="D1504" t="s">
        <v>3120</v>
      </c>
      <c r="E1504">
        <v>29587</v>
      </c>
      <c r="F1504">
        <v>50</v>
      </c>
      <c r="G1504">
        <v>34.404640000000001</v>
      </c>
      <c r="H1504">
        <v>0.68809279999999995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4819.6899999999996</v>
      </c>
      <c r="AD1504">
        <v>0</v>
      </c>
      <c r="AE1504">
        <v>0</v>
      </c>
      <c r="AF1504">
        <v>4819.6899999999996</v>
      </c>
      <c r="AG1504">
        <v>0</v>
      </c>
      <c r="AH1504">
        <v>0</v>
      </c>
      <c r="AI1504">
        <v>664.42</v>
      </c>
      <c r="AJ1504">
        <v>0</v>
      </c>
      <c r="AK1504">
        <v>0</v>
      </c>
      <c r="AL1504">
        <v>664.42</v>
      </c>
      <c r="AM1504">
        <v>0</v>
      </c>
      <c r="AN1504">
        <v>0</v>
      </c>
      <c r="AO1504">
        <v>1207.07</v>
      </c>
      <c r="AP1504">
        <v>0</v>
      </c>
      <c r="AQ1504">
        <v>0</v>
      </c>
      <c r="AR1504">
        <v>1207.07</v>
      </c>
      <c r="AS1504">
        <v>0</v>
      </c>
      <c r="AT1504">
        <v>0</v>
      </c>
      <c r="AU1504">
        <v>221.61</v>
      </c>
      <c r="AV1504">
        <v>0</v>
      </c>
      <c r="AW1504">
        <v>0</v>
      </c>
      <c r="AX1504">
        <v>221.61</v>
      </c>
      <c r="AY1504">
        <v>6912.79</v>
      </c>
      <c r="AZ1504">
        <v>0</v>
      </c>
      <c r="BA1504">
        <v>7</v>
      </c>
      <c r="BB1504">
        <v>22585.439999999999</v>
      </c>
      <c r="BC1504">
        <v>158098.08300000001</v>
      </c>
      <c r="BD1504">
        <v>2778.2857140000001</v>
      </c>
      <c r="BE1504">
        <v>2600.194</v>
      </c>
      <c r="BF1504">
        <v>60</v>
      </c>
      <c r="BG1504">
        <v>7993.0223329999999</v>
      </c>
      <c r="BH1504">
        <v>390.64800000000002</v>
      </c>
    </row>
    <row r="1505" spans="1:60" x14ac:dyDescent="0.35">
      <c r="A1505" t="s">
        <v>3039</v>
      </c>
      <c r="B1505" t="s">
        <v>3118</v>
      </c>
      <c r="C1505" t="s">
        <v>3121</v>
      </c>
      <c r="D1505" t="s">
        <v>3122</v>
      </c>
      <c r="E1505">
        <v>1649</v>
      </c>
      <c r="F1505" t="s">
        <v>81</v>
      </c>
      <c r="G1505" t="s">
        <v>81</v>
      </c>
      <c r="H1505" t="s">
        <v>81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1</v>
      </c>
      <c r="BG1505">
        <v>0</v>
      </c>
      <c r="BH1505">
        <v>0</v>
      </c>
    </row>
    <row r="1506" spans="1:60" x14ac:dyDescent="0.35">
      <c r="A1506" t="s">
        <v>3039</v>
      </c>
      <c r="B1506" t="s">
        <v>3118</v>
      </c>
      <c r="C1506" t="s">
        <v>3123</v>
      </c>
      <c r="D1506" t="s">
        <v>3124</v>
      </c>
      <c r="E1506">
        <v>2981</v>
      </c>
      <c r="F1506">
        <v>3</v>
      </c>
      <c r="G1506">
        <v>0.89600000000000002</v>
      </c>
      <c r="H1506">
        <v>0.29866670000000001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3</v>
      </c>
      <c r="BG1506">
        <v>12.66</v>
      </c>
      <c r="BH1506">
        <v>0</v>
      </c>
    </row>
    <row r="1507" spans="1:60" x14ac:dyDescent="0.35">
      <c r="A1507" t="s">
        <v>3039</v>
      </c>
      <c r="B1507" t="s">
        <v>3118</v>
      </c>
      <c r="C1507" t="s">
        <v>2383</v>
      </c>
      <c r="D1507" t="s">
        <v>3125</v>
      </c>
      <c r="E1507">
        <v>5933</v>
      </c>
      <c r="F1507" t="s">
        <v>81</v>
      </c>
      <c r="G1507" t="s">
        <v>81</v>
      </c>
      <c r="H1507" t="s">
        <v>81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4</v>
      </c>
      <c r="BG1507">
        <v>5287.875</v>
      </c>
      <c r="BH1507">
        <v>0</v>
      </c>
    </row>
    <row r="1508" spans="1:60" x14ac:dyDescent="0.35">
      <c r="A1508" t="s">
        <v>3039</v>
      </c>
      <c r="B1508" t="s">
        <v>3118</v>
      </c>
      <c r="C1508" t="s">
        <v>3126</v>
      </c>
      <c r="D1508" t="s">
        <v>3127</v>
      </c>
      <c r="E1508">
        <v>15351</v>
      </c>
      <c r="F1508">
        <v>1</v>
      </c>
      <c r="G1508">
        <v>0.25</v>
      </c>
      <c r="H1508">
        <v>0.25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3</v>
      </c>
      <c r="BG1508">
        <v>0</v>
      </c>
      <c r="BH1508">
        <v>0</v>
      </c>
    </row>
    <row r="1509" spans="1:60" x14ac:dyDescent="0.35">
      <c r="A1509" t="s">
        <v>3039</v>
      </c>
      <c r="B1509" t="s">
        <v>3118</v>
      </c>
      <c r="C1509" t="s">
        <v>3128</v>
      </c>
      <c r="D1509" t="s">
        <v>3129</v>
      </c>
      <c r="E1509">
        <v>7419</v>
      </c>
      <c r="F1509">
        <v>4</v>
      </c>
      <c r="G1509">
        <v>1.51</v>
      </c>
      <c r="H1509">
        <v>0.3775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9</v>
      </c>
      <c r="BG1509">
        <v>1654.7888889999999</v>
      </c>
      <c r="BH1509">
        <v>0</v>
      </c>
    </row>
    <row r="1510" spans="1:60" x14ac:dyDescent="0.35">
      <c r="A1510" t="s">
        <v>3039</v>
      </c>
      <c r="B1510" t="s">
        <v>3130</v>
      </c>
      <c r="C1510" t="s">
        <v>3131</v>
      </c>
      <c r="D1510" t="s">
        <v>3132</v>
      </c>
      <c r="E1510">
        <v>16745</v>
      </c>
      <c r="F1510">
        <v>78</v>
      </c>
      <c r="G1510">
        <v>47.8491</v>
      </c>
      <c r="H1510">
        <v>0.61345000000000005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2933.13</v>
      </c>
      <c r="AD1510">
        <v>0</v>
      </c>
      <c r="AE1510">
        <v>0</v>
      </c>
      <c r="AF1510">
        <v>2933.13</v>
      </c>
      <c r="AG1510">
        <v>0</v>
      </c>
      <c r="AH1510">
        <v>0</v>
      </c>
      <c r="AI1510">
        <v>1140.69</v>
      </c>
      <c r="AJ1510">
        <v>0</v>
      </c>
      <c r="AK1510">
        <v>0</v>
      </c>
      <c r="AL1510">
        <v>1140.69</v>
      </c>
      <c r="AM1510">
        <v>0</v>
      </c>
      <c r="AN1510">
        <v>0</v>
      </c>
      <c r="AO1510">
        <v>1539.82</v>
      </c>
      <c r="AP1510">
        <v>0</v>
      </c>
      <c r="AQ1510">
        <v>0</v>
      </c>
      <c r="AR1510">
        <v>1539.82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5613.64</v>
      </c>
      <c r="AZ1510">
        <v>0</v>
      </c>
      <c r="BA1510">
        <v>4</v>
      </c>
      <c r="BB1510">
        <v>140078.97899999999</v>
      </c>
      <c r="BC1510">
        <v>560315.91599999997</v>
      </c>
      <c r="BD1510">
        <v>0</v>
      </c>
      <c r="BE1510">
        <v>0</v>
      </c>
      <c r="BF1510">
        <v>89</v>
      </c>
      <c r="BG1510">
        <v>3059.9894380000001</v>
      </c>
      <c r="BH1510">
        <v>18.123999999999999</v>
      </c>
    </row>
    <row r="1511" spans="1:60" x14ac:dyDescent="0.35">
      <c r="A1511" t="s">
        <v>3039</v>
      </c>
      <c r="B1511" t="s">
        <v>3130</v>
      </c>
      <c r="C1511" t="s">
        <v>3133</v>
      </c>
      <c r="D1511" t="s">
        <v>3134</v>
      </c>
      <c r="E1511">
        <v>8131</v>
      </c>
      <c r="F1511" t="s">
        <v>81</v>
      </c>
      <c r="G1511" t="s">
        <v>81</v>
      </c>
      <c r="H1511" t="s">
        <v>81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 t="s">
        <v>81</v>
      </c>
      <c r="BB1511" t="s">
        <v>81</v>
      </c>
      <c r="BC1511" t="s">
        <v>81</v>
      </c>
      <c r="BD1511" t="s">
        <v>81</v>
      </c>
      <c r="BE1511" t="s">
        <v>81</v>
      </c>
      <c r="BF1511" t="s">
        <v>81</v>
      </c>
      <c r="BG1511" t="s">
        <v>81</v>
      </c>
      <c r="BH1511" t="s">
        <v>81</v>
      </c>
    </row>
    <row r="1512" spans="1:60" x14ac:dyDescent="0.35">
      <c r="A1512" t="s">
        <v>3039</v>
      </c>
      <c r="B1512" t="s">
        <v>3130</v>
      </c>
      <c r="C1512" t="s">
        <v>3135</v>
      </c>
      <c r="D1512" t="s">
        <v>3136</v>
      </c>
      <c r="E1512">
        <v>9543</v>
      </c>
      <c r="F1512">
        <v>16</v>
      </c>
      <c r="G1512">
        <v>14.00745</v>
      </c>
      <c r="H1512">
        <v>0.87546579999999996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33696.832999999999</v>
      </c>
      <c r="BC1512">
        <v>33696.832999999999</v>
      </c>
      <c r="BD1512">
        <v>0</v>
      </c>
      <c r="BE1512">
        <v>0</v>
      </c>
      <c r="BF1512">
        <v>31</v>
      </c>
      <c r="BG1512">
        <v>23.709676999999999</v>
      </c>
      <c r="BH1512">
        <v>0</v>
      </c>
    </row>
    <row r="1513" spans="1:60" x14ac:dyDescent="0.35">
      <c r="A1513" t="s">
        <v>3039</v>
      </c>
      <c r="B1513" t="s">
        <v>3130</v>
      </c>
      <c r="C1513" t="s">
        <v>3137</v>
      </c>
      <c r="D1513" t="s">
        <v>3138</v>
      </c>
      <c r="E1513">
        <v>4147</v>
      </c>
      <c r="F1513" t="s">
        <v>81</v>
      </c>
      <c r="G1513" t="s">
        <v>81</v>
      </c>
      <c r="H1513" t="s">
        <v>81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0</v>
      </c>
      <c r="BH1513">
        <v>0</v>
      </c>
    </row>
    <row r="1514" spans="1:60" x14ac:dyDescent="0.35">
      <c r="A1514" t="s">
        <v>3039</v>
      </c>
      <c r="B1514" t="s">
        <v>3130</v>
      </c>
      <c r="C1514" t="s">
        <v>3139</v>
      </c>
      <c r="D1514" t="s">
        <v>3140</v>
      </c>
      <c r="E1514">
        <v>6082</v>
      </c>
      <c r="F1514">
        <v>4</v>
      </c>
      <c r="G1514">
        <v>1.54</v>
      </c>
      <c r="H1514">
        <v>0.38500000000000001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3</v>
      </c>
      <c r="BG1514">
        <v>0</v>
      </c>
      <c r="BH1514">
        <v>0</v>
      </c>
    </row>
    <row r="1515" spans="1:60" x14ac:dyDescent="0.35">
      <c r="A1515" t="s">
        <v>3039</v>
      </c>
      <c r="B1515" t="s">
        <v>3130</v>
      </c>
      <c r="C1515" t="s">
        <v>3141</v>
      </c>
      <c r="D1515" t="s">
        <v>3142</v>
      </c>
      <c r="E1515">
        <v>16888</v>
      </c>
      <c r="F1515">
        <v>6</v>
      </c>
      <c r="G1515">
        <v>1.63</v>
      </c>
      <c r="H1515">
        <v>0.27166669999999998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5</v>
      </c>
      <c r="BG1515">
        <v>3797.4</v>
      </c>
      <c r="BH1515">
        <v>0</v>
      </c>
    </row>
    <row r="1516" spans="1:60" x14ac:dyDescent="0.35">
      <c r="A1516" t="s">
        <v>3039</v>
      </c>
      <c r="B1516" t="s">
        <v>3143</v>
      </c>
      <c r="C1516" t="s">
        <v>3144</v>
      </c>
      <c r="D1516" t="s">
        <v>3145</v>
      </c>
      <c r="E1516">
        <v>4495</v>
      </c>
      <c r="F1516">
        <v>18</v>
      </c>
      <c r="G1516">
        <v>5.1828000000000003</v>
      </c>
      <c r="H1516">
        <v>0.2879333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7</v>
      </c>
      <c r="BG1516">
        <v>1687.84</v>
      </c>
      <c r="BH1516">
        <v>0</v>
      </c>
    </row>
    <row r="1517" spans="1:60" x14ac:dyDescent="0.35">
      <c r="A1517" t="s">
        <v>3039</v>
      </c>
      <c r="B1517" t="s">
        <v>3143</v>
      </c>
      <c r="C1517" t="s">
        <v>3146</v>
      </c>
      <c r="D1517" t="s">
        <v>3147</v>
      </c>
      <c r="E1517">
        <v>595</v>
      </c>
      <c r="F1517" t="s">
        <v>81</v>
      </c>
      <c r="G1517" t="s">
        <v>81</v>
      </c>
      <c r="H1517" t="s">
        <v>81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 t="s">
        <v>81</v>
      </c>
      <c r="BB1517" t="s">
        <v>81</v>
      </c>
      <c r="BC1517" t="s">
        <v>81</v>
      </c>
      <c r="BD1517" t="s">
        <v>81</v>
      </c>
      <c r="BE1517" t="s">
        <v>81</v>
      </c>
      <c r="BF1517" t="s">
        <v>81</v>
      </c>
      <c r="BG1517" t="s">
        <v>81</v>
      </c>
      <c r="BH1517" t="s">
        <v>81</v>
      </c>
    </row>
    <row r="1518" spans="1:60" x14ac:dyDescent="0.35">
      <c r="A1518" t="s">
        <v>3039</v>
      </c>
      <c r="B1518" t="s">
        <v>3143</v>
      </c>
      <c r="C1518" t="s">
        <v>3148</v>
      </c>
      <c r="D1518" t="s">
        <v>3149</v>
      </c>
      <c r="E1518">
        <v>2173</v>
      </c>
      <c r="F1518" t="s">
        <v>81</v>
      </c>
      <c r="G1518" t="s">
        <v>81</v>
      </c>
      <c r="H1518" t="s">
        <v>81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 t="s">
        <v>81</v>
      </c>
      <c r="BB1518" t="s">
        <v>81</v>
      </c>
      <c r="BC1518" t="s">
        <v>81</v>
      </c>
      <c r="BD1518" t="s">
        <v>81</v>
      </c>
      <c r="BE1518" t="s">
        <v>81</v>
      </c>
      <c r="BF1518" t="s">
        <v>81</v>
      </c>
      <c r="BG1518" t="s">
        <v>81</v>
      </c>
      <c r="BH1518" t="s">
        <v>81</v>
      </c>
    </row>
    <row r="1519" spans="1:60" x14ac:dyDescent="0.35">
      <c r="A1519" t="s">
        <v>3039</v>
      </c>
      <c r="B1519" t="s">
        <v>3143</v>
      </c>
      <c r="C1519" t="s">
        <v>3150</v>
      </c>
      <c r="D1519" t="s">
        <v>3151</v>
      </c>
      <c r="E1519">
        <v>1640</v>
      </c>
      <c r="F1519">
        <v>1</v>
      </c>
      <c r="G1519">
        <v>0.25</v>
      </c>
      <c r="H1519">
        <v>0.25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1</v>
      </c>
      <c r="BG1519">
        <v>0</v>
      </c>
      <c r="BH1519">
        <v>0</v>
      </c>
    </row>
    <row r="1520" spans="1:60" x14ac:dyDescent="0.35">
      <c r="A1520" t="s">
        <v>3152</v>
      </c>
      <c r="B1520" t="s">
        <v>3153</v>
      </c>
      <c r="C1520" t="s">
        <v>3153</v>
      </c>
      <c r="D1520" t="s">
        <v>3154</v>
      </c>
      <c r="E1520">
        <v>113397</v>
      </c>
      <c r="F1520">
        <v>565</v>
      </c>
      <c r="G1520">
        <v>537.69569999999999</v>
      </c>
      <c r="H1520">
        <v>0.95167389999999996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1237.3399999999999</v>
      </c>
      <c r="P1520">
        <v>0</v>
      </c>
      <c r="Q1520">
        <v>0</v>
      </c>
      <c r="R1520">
        <v>0</v>
      </c>
      <c r="S1520">
        <v>0</v>
      </c>
      <c r="T1520">
        <v>1237.3399999999999</v>
      </c>
      <c r="U1520">
        <v>19391.22</v>
      </c>
      <c r="V1520">
        <v>0</v>
      </c>
      <c r="W1520">
        <v>437.61</v>
      </c>
      <c r="X1520">
        <v>0</v>
      </c>
      <c r="Y1520">
        <v>0</v>
      </c>
      <c r="Z1520">
        <v>19828.830000000002</v>
      </c>
      <c r="AA1520">
        <v>210381.07</v>
      </c>
      <c r="AB1520">
        <v>31349.27</v>
      </c>
      <c r="AC1520">
        <v>373858.01</v>
      </c>
      <c r="AD1520">
        <v>0</v>
      </c>
      <c r="AE1520">
        <v>0</v>
      </c>
      <c r="AF1520">
        <v>615588.35</v>
      </c>
      <c r="AG1520">
        <v>18394.82</v>
      </c>
      <c r="AH1520">
        <v>11306.06</v>
      </c>
      <c r="AI1520">
        <v>42411.69</v>
      </c>
      <c r="AJ1520">
        <v>0</v>
      </c>
      <c r="AK1520">
        <v>0</v>
      </c>
      <c r="AL1520">
        <v>72112.570000000007</v>
      </c>
      <c r="AM1520">
        <v>143647.65</v>
      </c>
      <c r="AN1520">
        <v>19400.13</v>
      </c>
      <c r="AO1520">
        <v>132267.57999999999</v>
      </c>
      <c r="AP1520">
        <v>0</v>
      </c>
      <c r="AQ1520">
        <v>0</v>
      </c>
      <c r="AR1520">
        <v>295315.36</v>
      </c>
      <c r="AS1520">
        <v>21080.83</v>
      </c>
      <c r="AT1520">
        <v>0</v>
      </c>
      <c r="AU1520">
        <v>3623.52</v>
      </c>
      <c r="AV1520">
        <v>0</v>
      </c>
      <c r="AW1520">
        <v>0</v>
      </c>
      <c r="AX1520">
        <v>24704.35</v>
      </c>
      <c r="AY1520">
        <v>1028786.8</v>
      </c>
      <c r="AZ1520">
        <v>1</v>
      </c>
      <c r="BA1520">
        <v>164</v>
      </c>
      <c r="BB1520">
        <v>61496.169000000002</v>
      </c>
      <c r="BC1520">
        <v>10085371.751</v>
      </c>
      <c r="BD1520">
        <v>7857.482317</v>
      </c>
      <c r="BE1520">
        <v>878.90499999999997</v>
      </c>
      <c r="BF1520">
        <v>1975</v>
      </c>
      <c r="BG1520">
        <v>6285.5686329999999</v>
      </c>
      <c r="BH1520">
        <v>1609.539</v>
      </c>
    </row>
    <row r="1521" spans="1:60" x14ac:dyDescent="0.35">
      <c r="A1521" t="s">
        <v>3152</v>
      </c>
      <c r="B1521" t="s">
        <v>3153</v>
      </c>
      <c r="C1521" t="s">
        <v>3155</v>
      </c>
      <c r="D1521" t="s">
        <v>3156</v>
      </c>
      <c r="E1521">
        <v>17903</v>
      </c>
      <c r="F1521">
        <v>55</v>
      </c>
      <c r="G1521">
        <v>49.419849999999997</v>
      </c>
      <c r="H1521">
        <v>0.89854259999999997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136171.42000000001</v>
      </c>
      <c r="AD1521">
        <v>0</v>
      </c>
      <c r="AE1521">
        <v>0</v>
      </c>
      <c r="AF1521">
        <v>136171.42000000001</v>
      </c>
      <c r="AG1521">
        <v>0</v>
      </c>
      <c r="AH1521">
        <v>0</v>
      </c>
      <c r="AI1521">
        <v>17438.740000000002</v>
      </c>
      <c r="AJ1521">
        <v>0</v>
      </c>
      <c r="AK1521">
        <v>0</v>
      </c>
      <c r="AL1521">
        <v>17438.740000000002</v>
      </c>
      <c r="AM1521">
        <v>0</v>
      </c>
      <c r="AN1521">
        <v>0</v>
      </c>
      <c r="AO1521">
        <v>2581.81</v>
      </c>
      <c r="AP1521">
        <v>0</v>
      </c>
      <c r="AQ1521">
        <v>0</v>
      </c>
      <c r="AR1521">
        <v>2581.81</v>
      </c>
      <c r="AS1521">
        <v>0</v>
      </c>
      <c r="AT1521">
        <v>0</v>
      </c>
      <c r="AU1521">
        <v>278.20999999999998</v>
      </c>
      <c r="AV1521">
        <v>0</v>
      </c>
      <c r="AW1521">
        <v>0</v>
      </c>
      <c r="AX1521">
        <v>278.20999999999998</v>
      </c>
      <c r="AY1521">
        <v>156470.18</v>
      </c>
      <c r="AZ1521">
        <v>1</v>
      </c>
      <c r="BA1521">
        <v>2</v>
      </c>
      <c r="BB1521">
        <v>87568.054000000004</v>
      </c>
      <c r="BC1521">
        <v>175136.10699999999</v>
      </c>
      <c r="BD1521">
        <v>0</v>
      </c>
      <c r="BE1521">
        <v>0</v>
      </c>
      <c r="BF1521">
        <v>324</v>
      </c>
      <c r="BG1521">
        <v>1915.5443829999999</v>
      </c>
      <c r="BH1521">
        <v>19.579000000000001</v>
      </c>
    </row>
    <row r="1522" spans="1:60" x14ac:dyDescent="0.35">
      <c r="A1522" t="s">
        <v>3152</v>
      </c>
      <c r="B1522" t="s">
        <v>3153</v>
      </c>
      <c r="C1522" t="s">
        <v>3157</v>
      </c>
      <c r="D1522" t="s">
        <v>3158</v>
      </c>
      <c r="E1522">
        <v>24671</v>
      </c>
      <c r="F1522">
        <v>41</v>
      </c>
      <c r="G1522">
        <v>32.044049999999999</v>
      </c>
      <c r="H1522">
        <v>0.78156210000000004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1</v>
      </c>
      <c r="BA1522">
        <v>4</v>
      </c>
      <c r="BB1522">
        <v>196694.546</v>
      </c>
      <c r="BC1522">
        <v>786778.18200000003</v>
      </c>
      <c r="BD1522">
        <v>0</v>
      </c>
      <c r="BE1522">
        <v>881.51300000000003</v>
      </c>
      <c r="BF1522">
        <v>119</v>
      </c>
      <c r="BG1522">
        <v>4001.6239500000001</v>
      </c>
      <c r="BH1522">
        <v>1103.135</v>
      </c>
    </row>
    <row r="1523" spans="1:60" x14ac:dyDescent="0.35">
      <c r="A1523" t="s">
        <v>3152</v>
      </c>
      <c r="B1523" t="s">
        <v>3153</v>
      </c>
      <c r="C1523" t="s">
        <v>3159</v>
      </c>
      <c r="D1523" t="s">
        <v>3160</v>
      </c>
      <c r="E1523">
        <v>6932</v>
      </c>
      <c r="F1523">
        <v>39</v>
      </c>
      <c r="G1523">
        <v>32.71754</v>
      </c>
      <c r="H1523">
        <v>0.83891139999999997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>
        <v>3</v>
      </c>
      <c r="BB1523">
        <v>32074.167000000001</v>
      </c>
      <c r="BC1523">
        <v>96222.5</v>
      </c>
      <c r="BD1523">
        <v>0</v>
      </c>
      <c r="BE1523">
        <v>0</v>
      </c>
      <c r="BF1523">
        <v>99</v>
      </c>
      <c r="BG1523">
        <v>2526.372828</v>
      </c>
      <c r="BH1523">
        <v>0</v>
      </c>
    </row>
    <row r="1524" spans="1:60" x14ac:dyDescent="0.35">
      <c r="A1524" t="s">
        <v>3152</v>
      </c>
      <c r="B1524" t="s">
        <v>3161</v>
      </c>
      <c r="C1524" t="s">
        <v>3161</v>
      </c>
      <c r="D1524" t="s">
        <v>3162</v>
      </c>
      <c r="E1524">
        <v>2258</v>
      </c>
      <c r="F1524">
        <v>1</v>
      </c>
      <c r="G1524">
        <v>0.2</v>
      </c>
      <c r="H1524">
        <v>0.2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22</v>
      </c>
      <c r="BG1524">
        <v>618.72681799999998</v>
      </c>
      <c r="BH1524">
        <v>0</v>
      </c>
    </row>
    <row r="1525" spans="1:60" x14ac:dyDescent="0.35">
      <c r="A1525" t="s">
        <v>3152</v>
      </c>
      <c r="B1525" t="s">
        <v>3161</v>
      </c>
      <c r="C1525" t="s">
        <v>3163</v>
      </c>
      <c r="D1525" t="s">
        <v>3164</v>
      </c>
      <c r="E1525">
        <v>1598</v>
      </c>
      <c r="F1525">
        <v>1</v>
      </c>
      <c r="G1525">
        <v>0.2</v>
      </c>
      <c r="H1525">
        <v>0.2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5</v>
      </c>
      <c r="BG1525">
        <v>0</v>
      </c>
      <c r="BH1525">
        <v>3771.0059999999999</v>
      </c>
    </row>
    <row r="1526" spans="1:60" x14ac:dyDescent="0.35">
      <c r="A1526" t="s">
        <v>3152</v>
      </c>
      <c r="B1526" t="s">
        <v>3161</v>
      </c>
      <c r="C1526" t="s">
        <v>3152</v>
      </c>
      <c r="D1526" t="s">
        <v>3165</v>
      </c>
      <c r="E1526">
        <v>6210</v>
      </c>
      <c r="F1526">
        <v>53</v>
      </c>
      <c r="G1526">
        <v>30.413730000000001</v>
      </c>
      <c r="H1526">
        <v>0.57384400000000002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138</v>
      </c>
      <c r="BG1526">
        <v>758.41202899999996</v>
      </c>
      <c r="BH1526">
        <v>0</v>
      </c>
    </row>
    <row r="1527" spans="1:60" x14ac:dyDescent="0.35">
      <c r="A1527" t="s">
        <v>3152</v>
      </c>
      <c r="B1527" t="s">
        <v>3161</v>
      </c>
      <c r="C1527" t="s">
        <v>3166</v>
      </c>
      <c r="D1527" t="s">
        <v>3167</v>
      </c>
      <c r="E1527">
        <v>11189</v>
      </c>
      <c r="F1527">
        <v>89</v>
      </c>
      <c r="G1527">
        <v>86.004670000000004</v>
      </c>
      <c r="H1527">
        <v>0.9663446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43297.66</v>
      </c>
      <c r="AD1527">
        <v>0</v>
      </c>
      <c r="AE1527">
        <v>0</v>
      </c>
      <c r="AF1527">
        <v>43297.66</v>
      </c>
      <c r="AG1527">
        <v>0</v>
      </c>
      <c r="AH1527">
        <v>0</v>
      </c>
      <c r="AI1527">
        <v>4153.03</v>
      </c>
      <c r="AJ1527">
        <v>0</v>
      </c>
      <c r="AK1527">
        <v>0</v>
      </c>
      <c r="AL1527">
        <v>4153.03</v>
      </c>
      <c r="AM1527">
        <v>0</v>
      </c>
      <c r="AN1527">
        <v>0</v>
      </c>
      <c r="AO1527">
        <v>1695.9</v>
      </c>
      <c r="AP1527">
        <v>0</v>
      </c>
      <c r="AQ1527">
        <v>0</v>
      </c>
      <c r="AR1527">
        <v>1695.9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49146.59</v>
      </c>
      <c r="AZ1527">
        <v>0</v>
      </c>
      <c r="BA1527">
        <v>3</v>
      </c>
      <c r="BB1527">
        <v>63767.75</v>
      </c>
      <c r="BC1527">
        <v>191303.25</v>
      </c>
      <c r="BD1527">
        <v>0</v>
      </c>
      <c r="BE1527">
        <v>248.483</v>
      </c>
      <c r="BF1527">
        <v>252</v>
      </c>
      <c r="BG1527">
        <v>1159.0788889999999</v>
      </c>
      <c r="BH1527">
        <v>447.32900000000001</v>
      </c>
    </row>
    <row r="1528" spans="1:60" x14ac:dyDescent="0.35">
      <c r="A1528" t="s">
        <v>3152</v>
      </c>
      <c r="B1528" t="s">
        <v>3168</v>
      </c>
      <c r="C1528" t="s">
        <v>3169</v>
      </c>
      <c r="D1528" t="s">
        <v>3170</v>
      </c>
      <c r="E1528">
        <v>3553</v>
      </c>
      <c r="F1528">
        <v>17</v>
      </c>
      <c r="G1528">
        <v>17.418690000000002</v>
      </c>
      <c r="H1528">
        <v>1.024629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1</v>
      </c>
      <c r="BB1528">
        <v>3706.0830000000001</v>
      </c>
      <c r="BC1528">
        <v>3706.0830000000001</v>
      </c>
      <c r="BD1528">
        <v>0</v>
      </c>
      <c r="BE1528">
        <v>0</v>
      </c>
      <c r="BF1528">
        <v>35</v>
      </c>
      <c r="BG1528">
        <v>8971.3968569999997</v>
      </c>
      <c r="BH1528">
        <v>0</v>
      </c>
    </row>
    <row r="1529" spans="1:60" x14ac:dyDescent="0.35">
      <c r="A1529" t="s">
        <v>3152</v>
      </c>
      <c r="B1529" t="s">
        <v>3168</v>
      </c>
      <c r="C1529" t="s">
        <v>3171</v>
      </c>
      <c r="D1529" t="s">
        <v>3172</v>
      </c>
      <c r="E1529">
        <v>5602</v>
      </c>
      <c r="F1529">
        <v>16</v>
      </c>
      <c r="G1529">
        <v>13.036429999999999</v>
      </c>
      <c r="H1529">
        <v>0.81477710000000003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10287.31</v>
      </c>
      <c r="AD1529">
        <v>0</v>
      </c>
      <c r="AE1529">
        <v>0</v>
      </c>
      <c r="AF1529">
        <v>10287.31</v>
      </c>
      <c r="AG1529">
        <v>0</v>
      </c>
      <c r="AH1529">
        <v>0</v>
      </c>
      <c r="AI1529">
        <v>3486.82</v>
      </c>
      <c r="AJ1529">
        <v>0</v>
      </c>
      <c r="AK1529">
        <v>0</v>
      </c>
      <c r="AL1529">
        <v>3486.82</v>
      </c>
      <c r="AM1529">
        <v>0</v>
      </c>
      <c r="AN1529">
        <v>0</v>
      </c>
      <c r="AO1529">
        <v>899.75</v>
      </c>
      <c r="AP1529">
        <v>0</v>
      </c>
      <c r="AQ1529">
        <v>0</v>
      </c>
      <c r="AR1529">
        <v>899.75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14673.88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39</v>
      </c>
      <c r="BG1529">
        <v>5527.9069229999996</v>
      </c>
      <c r="BH1529">
        <v>0</v>
      </c>
    </row>
    <row r="1530" spans="1:60" x14ac:dyDescent="0.35">
      <c r="A1530" t="s">
        <v>3152</v>
      </c>
      <c r="B1530" t="s">
        <v>3168</v>
      </c>
      <c r="C1530" t="s">
        <v>3168</v>
      </c>
      <c r="D1530" t="s">
        <v>3173</v>
      </c>
      <c r="E1530">
        <v>3783</v>
      </c>
      <c r="F1530">
        <v>5</v>
      </c>
      <c r="G1530">
        <v>2.6725279999999998</v>
      </c>
      <c r="H1530">
        <v>0.53450560000000003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16</v>
      </c>
      <c r="BG1530">
        <v>97924.531875000001</v>
      </c>
      <c r="BH1530">
        <v>18121.52</v>
      </c>
    </row>
    <row r="1531" spans="1:60" x14ac:dyDescent="0.35">
      <c r="A1531" t="s">
        <v>3174</v>
      </c>
      <c r="B1531" t="s">
        <v>3175</v>
      </c>
      <c r="C1531" t="s">
        <v>3174</v>
      </c>
      <c r="D1531" t="s">
        <v>3176</v>
      </c>
      <c r="E1531">
        <v>49022</v>
      </c>
      <c r="F1531">
        <v>244</v>
      </c>
      <c r="G1531">
        <v>253.74119999999999</v>
      </c>
      <c r="H1531">
        <v>1.0399229999999999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8095.4</v>
      </c>
      <c r="P1531">
        <v>0</v>
      </c>
      <c r="Q1531">
        <v>0</v>
      </c>
      <c r="R1531">
        <v>0</v>
      </c>
      <c r="S1531">
        <v>0</v>
      </c>
      <c r="T1531">
        <v>8095.4</v>
      </c>
      <c r="U1531">
        <v>7988.45</v>
      </c>
      <c r="V1531">
        <v>0</v>
      </c>
      <c r="W1531">
        <v>0</v>
      </c>
      <c r="X1531">
        <v>0</v>
      </c>
      <c r="Y1531">
        <v>0</v>
      </c>
      <c r="Z1531">
        <v>7988.45</v>
      </c>
      <c r="AA1531">
        <v>183794.74</v>
      </c>
      <c r="AB1531">
        <v>17242.47</v>
      </c>
      <c r="AC1531">
        <v>156835.04999999999</v>
      </c>
      <c r="AD1531">
        <v>0</v>
      </c>
      <c r="AE1531">
        <v>0</v>
      </c>
      <c r="AF1531">
        <v>357872.26</v>
      </c>
      <c r="AG1531">
        <v>10491.41</v>
      </c>
      <c r="AH1531">
        <v>1973.22</v>
      </c>
      <c r="AI1531">
        <v>17526.39</v>
      </c>
      <c r="AJ1531">
        <v>0</v>
      </c>
      <c r="AK1531">
        <v>0</v>
      </c>
      <c r="AL1531">
        <v>29991.02</v>
      </c>
      <c r="AM1531">
        <v>127324.48</v>
      </c>
      <c r="AN1531">
        <v>13760.52</v>
      </c>
      <c r="AO1531">
        <v>92931.32</v>
      </c>
      <c r="AP1531">
        <v>0</v>
      </c>
      <c r="AQ1531">
        <v>0</v>
      </c>
      <c r="AR1531">
        <v>234016.32</v>
      </c>
      <c r="AS1531">
        <v>39113.21</v>
      </c>
      <c r="AT1531">
        <v>0</v>
      </c>
      <c r="AU1531">
        <v>7859.15</v>
      </c>
      <c r="AV1531">
        <v>0</v>
      </c>
      <c r="AW1531">
        <v>0</v>
      </c>
      <c r="AX1531">
        <v>46972.36</v>
      </c>
      <c r="AY1531">
        <v>684935.81</v>
      </c>
      <c r="AZ1531">
        <v>0</v>
      </c>
      <c r="BA1531">
        <v>105</v>
      </c>
      <c r="BB1531">
        <v>68219.778999999995</v>
      </c>
      <c r="BC1531">
        <v>7163076.8459999999</v>
      </c>
      <c r="BD1531">
        <v>2655.8628570000001</v>
      </c>
      <c r="BE1531">
        <v>404.34899999999999</v>
      </c>
      <c r="BF1531">
        <v>1116</v>
      </c>
      <c r="BG1531">
        <v>4873.2824369999998</v>
      </c>
      <c r="BH1531">
        <v>879.95600000000002</v>
      </c>
    </row>
    <row r="1532" spans="1:60" x14ac:dyDescent="0.35">
      <c r="A1532" t="s">
        <v>3174</v>
      </c>
      <c r="B1532" t="s">
        <v>3175</v>
      </c>
      <c r="C1532" t="s">
        <v>3177</v>
      </c>
      <c r="D1532" t="s">
        <v>3178</v>
      </c>
      <c r="E1532">
        <v>2096</v>
      </c>
      <c r="F1532">
        <v>1</v>
      </c>
      <c r="G1532">
        <v>1.6338010000000001</v>
      </c>
      <c r="H1532">
        <v>1.6338010000000001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11</v>
      </c>
      <c r="BG1532">
        <v>1697.6181819999999</v>
      </c>
      <c r="BH1532">
        <v>0</v>
      </c>
    </row>
    <row r="1533" spans="1:60" x14ac:dyDescent="0.35">
      <c r="A1533" t="s">
        <v>3174</v>
      </c>
      <c r="B1533" t="s">
        <v>3175</v>
      </c>
      <c r="C1533" t="s">
        <v>3179</v>
      </c>
      <c r="D1533" t="s">
        <v>3180</v>
      </c>
      <c r="E1533">
        <v>658</v>
      </c>
      <c r="F1533" t="s">
        <v>81</v>
      </c>
      <c r="G1533" t="s">
        <v>81</v>
      </c>
      <c r="H1533" t="s">
        <v>81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2</v>
      </c>
      <c r="BG1533">
        <v>0</v>
      </c>
      <c r="BH1533">
        <v>0</v>
      </c>
    </row>
    <row r="1534" spans="1:60" x14ac:dyDescent="0.35">
      <c r="A1534" t="s">
        <v>3174</v>
      </c>
      <c r="B1534" t="s">
        <v>3175</v>
      </c>
      <c r="C1534" t="s">
        <v>3181</v>
      </c>
      <c r="D1534" t="s">
        <v>3182</v>
      </c>
      <c r="E1534">
        <v>10372</v>
      </c>
      <c r="F1534">
        <v>8</v>
      </c>
      <c r="G1534">
        <v>7.0208719999999998</v>
      </c>
      <c r="H1534">
        <v>0.87760899999999997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2</v>
      </c>
      <c r="BB1534">
        <v>16867.417000000001</v>
      </c>
      <c r="BC1534">
        <v>33734.832999999999</v>
      </c>
      <c r="BD1534">
        <v>1876.8</v>
      </c>
      <c r="BE1534">
        <v>9.1850000000000005</v>
      </c>
      <c r="BF1534">
        <v>97</v>
      </c>
      <c r="BG1534">
        <v>3792.501753</v>
      </c>
      <c r="BH1534">
        <v>1193.6199999999999</v>
      </c>
    </row>
    <row r="1535" spans="1:60" x14ac:dyDescent="0.35">
      <c r="A1535" t="s">
        <v>3174</v>
      </c>
      <c r="B1535" t="s">
        <v>3175</v>
      </c>
      <c r="C1535" t="s">
        <v>3183</v>
      </c>
      <c r="D1535" t="s">
        <v>3184</v>
      </c>
      <c r="E1535">
        <v>1387</v>
      </c>
      <c r="F1535" t="s">
        <v>81</v>
      </c>
      <c r="G1535" t="s">
        <v>81</v>
      </c>
      <c r="H1535" t="s">
        <v>81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8</v>
      </c>
      <c r="BG1535">
        <v>15.625</v>
      </c>
      <c r="BH1535">
        <v>0</v>
      </c>
    </row>
    <row r="1536" spans="1:60" x14ac:dyDescent="0.35">
      <c r="A1536" t="s">
        <v>3174</v>
      </c>
      <c r="B1536" t="s">
        <v>3175</v>
      </c>
      <c r="C1536" t="s">
        <v>3185</v>
      </c>
      <c r="D1536" t="s">
        <v>3186</v>
      </c>
      <c r="E1536">
        <v>6688</v>
      </c>
      <c r="F1536">
        <v>22</v>
      </c>
      <c r="G1536">
        <v>20.374780000000001</v>
      </c>
      <c r="H1536">
        <v>0.92612620000000001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76.58</v>
      </c>
      <c r="AB1536">
        <v>0</v>
      </c>
      <c r="AC1536">
        <v>0</v>
      </c>
      <c r="AD1536">
        <v>0</v>
      </c>
      <c r="AE1536">
        <v>0</v>
      </c>
      <c r="AF1536">
        <v>76.58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1048.44</v>
      </c>
      <c r="AN1536">
        <v>0</v>
      </c>
      <c r="AO1536">
        <v>0</v>
      </c>
      <c r="AP1536">
        <v>0</v>
      </c>
      <c r="AQ1536">
        <v>0</v>
      </c>
      <c r="AR1536">
        <v>1048.44</v>
      </c>
      <c r="AS1536">
        <v>567.01</v>
      </c>
      <c r="AT1536">
        <v>0</v>
      </c>
      <c r="AU1536">
        <v>0</v>
      </c>
      <c r="AV1536">
        <v>0</v>
      </c>
      <c r="AW1536">
        <v>0</v>
      </c>
      <c r="AX1536">
        <v>567.01</v>
      </c>
      <c r="AY1536">
        <v>1692.03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39</v>
      </c>
      <c r="BG1536">
        <v>2196.2043589999998</v>
      </c>
      <c r="BH1536">
        <v>0</v>
      </c>
    </row>
    <row r="1537" spans="1:60" x14ac:dyDescent="0.35">
      <c r="A1537" t="s">
        <v>3174</v>
      </c>
      <c r="B1537" t="s">
        <v>3175</v>
      </c>
      <c r="C1537" t="s">
        <v>3187</v>
      </c>
      <c r="D1537" t="s">
        <v>3188</v>
      </c>
      <c r="E1537">
        <v>29775</v>
      </c>
      <c r="F1537">
        <v>26</v>
      </c>
      <c r="G1537">
        <v>20.128589999999999</v>
      </c>
      <c r="H1537">
        <v>0.77417639999999999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27748.12</v>
      </c>
      <c r="AD1537">
        <v>0</v>
      </c>
      <c r="AE1537">
        <v>0</v>
      </c>
      <c r="AF1537">
        <v>27748.12</v>
      </c>
      <c r="AG1537">
        <v>0</v>
      </c>
      <c r="AH1537">
        <v>0</v>
      </c>
      <c r="AI1537">
        <v>3349.2</v>
      </c>
      <c r="AJ1537">
        <v>0</v>
      </c>
      <c r="AK1537">
        <v>0</v>
      </c>
      <c r="AL1537">
        <v>3349.2</v>
      </c>
      <c r="AM1537">
        <v>0</v>
      </c>
      <c r="AN1537">
        <v>0</v>
      </c>
      <c r="AO1537">
        <v>6841.22</v>
      </c>
      <c r="AP1537">
        <v>0</v>
      </c>
      <c r="AQ1537">
        <v>0</v>
      </c>
      <c r="AR1537">
        <v>6841.22</v>
      </c>
      <c r="AS1537">
        <v>0</v>
      </c>
      <c r="AT1537">
        <v>0</v>
      </c>
      <c r="AU1537">
        <v>1852.56</v>
      </c>
      <c r="AV1537">
        <v>0</v>
      </c>
      <c r="AW1537">
        <v>0</v>
      </c>
      <c r="AX1537">
        <v>1852.56</v>
      </c>
      <c r="AY1537">
        <v>39791.1</v>
      </c>
      <c r="AZ1537">
        <v>0</v>
      </c>
      <c r="BA1537">
        <v>10</v>
      </c>
      <c r="BB1537">
        <v>44951.383000000002</v>
      </c>
      <c r="BC1537">
        <v>449513.83399999997</v>
      </c>
      <c r="BD1537">
        <v>0</v>
      </c>
      <c r="BE1537">
        <v>2391.3150000000001</v>
      </c>
      <c r="BF1537">
        <v>40</v>
      </c>
      <c r="BG1537">
        <v>0</v>
      </c>
      <c r="BH1537">
        <v>209.49299999999999</v>
      </c>
    </row>
    <row r="1538" spans="1:60" x14ac:dyDescent="0.35">
      <c r="A1538" t="s">
        <v>3174</v>
      </c>
      <c r="B1538" t="s">
        <v>3189</v>
      </c>
      <c r="C1538" t="s">
        <v>3190</v>
      </c>
      <c r="D1538" t="s">
        <v>3191</v>
      </c>
      <c r="E1538">
        <v>2908</v>
      </c>
      <c r="F1538">
        <v>4</v>
      </c>
      <c r="G1538">
        <v>4.6063640000000001</v>
      </c>
      <c r="H1538">
        <v>1.151591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15273.67</v>
      </c>
      <c r="AD1538">
        <v>0</v>
      </c>
      <c r="AE1538">
        <v>0</v>
      </c>
      <c r="AF1538">
        <v>15273.67</v>
      </c>
      <c r="AG1538">
        <v>0</v>
      </c>
      <c r="AH1538">
        <v>0</v>
      </c>
      <c r="AI1538">
        <v>2098.96</v>
      </c>
      <c r="AJ1538">
        <v>0</v>
      </c>
      <c r="AK1538">
        <v>0</v>
      </c>
      <c r="AL1538">
        <v>2098.96</v>
      </c>
      <c r="AM1538">
        <v>0</v>
      </c>
      <c r="AN1538">
        <v>0</v>
      </c>
      <c r="AO1538">
        <v>9260.5400000000009</v>
      </c>
      <c r="AP1538">
        <v>0</v>
      </c>
      <c r="AQ1538">
        <v>0</v>
      </c>
      <c r="AR1538">
        <v>9260.5400000000009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26633.17</v>
      </c>
      <c r="AZ1538">
        <v>0</v>
      </c>
      <c r="BA1538">
        <v>1</v>
      </c>
      <c r="BB1538">
        <v>24747</v>
      </c>
      <c r="BC1538">
        <v>24747</v>
      </c>
      <c r="BD1538">
        <v>0</v>
      </c>
      <c r="BE1538">
        <v>0</v>
      </c>
      <c r="BF1538">
        <v>25</v>
      </c>
      <c r="BG1538">
        <v>189.14</v>
      </c>
      <c r="BH1538">
        <v>0</v>
      </c>
    </row>
    <row r="1539" spans="1:60" x14ac:dyDescent="0.35">
      <c r="A1539" t="s">
        <v>3174</v>
      </c>
      <c r="B1539" t="s">
        <v>3189</v>
      </c>
      <c r="C1539" t="s">
        <v>3192</v>
      </c>
      <c r="D1539" t="s">
        <v>3193</v>
      </c>
      <c r="E1539">
        <v>466</v>
      </c>
      <c r="F1539" t="s">
        <v>81</v>
      </c>
      <c r="G1539" t="s">
        <v>81</v>
      </c>
      <c r="H1539" t="s">
        <v>81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 t="s">
        <v>81</v>
      </c>
      <c r="BB1539" t="s">
        <v>81</v>
      </c>
      <c r="BC1539" t="s">
        <v>81</v>
      </c>
      <c r="BD1539" t="s">
        <v>81</v>
      </c>
      <c r="BE1539" t="s">
        <v>81</v>
      </c>
      <c r="BF1539" t="s">
        <v>81</v>
      </c>
      <c r="BG1539" t="s">
        <v>81</v>
      </c>
      <c r="BH1539" t="s">
        <v>81</v>
      </c>
    </row>
    <row r="1540" spans="1:60" x14ac:dyDescent="0.35">
      <c r="A1540" t="s">
        <v>3174</v>
      </c>
      <c r="B1540" t="s">
        <v>3189</v>
      </c>
      <c r="C1540" t="s">
        <v>3194</v>
      </c>
      <c r="D1540" t="s">
        <v>3195</v>
      </c>
      <c r="E1540">
        <v>891</v>
      </c>
      <c r="F1540" t="s">
        <v>81</v>
      </c>
      <c r="G1540" t="s">
        <v>81</v>
      </c>
      <c r="H1540" t="s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4</v>
      </c>
      <c r="BG1540">
        <v>5717.2349999999997</v>
      </c>
      <c r="BH1540">
        <v>0</v>
      </c>
    </row>
    <row r="1541" spans="1:60" x14ac:dyDescent="0.35">
      <c r="A1541" t="s">
        <v>3174</v>
      </c>
      <c r="B1541" t="s">
        <v>3189</v>
      </c>
      <c r="C1541" t="s">
        <v>3196</v>
      </c>
      <c r="D1541" t="s">
        <v>3197</v>
      </c>
      <c r="E1541">
        <v>2787</v>
      </c>
      <c r="F1541">
        <v>1</v>
      </c>
      <c r="G1541">
        <v>0.75499899999999998</v>
      </c>
      <c r="H1541">
        <v>0.75499899999999998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1</v>
      </c>
      <c r="BB1541">
        <v>21254</v>
      </c>
      <c r="BC1541">
        <v>21254</v>
      </c>
      <c r="BD1541">
        <v>0</v>
      </c>
      <c r="BE1541">
        <v>0</v>
      </c>
      <c r="BF1541">
        <v>26</v>
      </c>
      <c r="BG1541">
        <v>1593.781923</v>
      </c>
      <c r="BH1541">
        <v>0</v>
      </c>
    </row>
    <row r="1542" spans="1:60" x14ac:dyDescent="0.35">
      <c r="A1542" t="s">
        <v>3174</v>
      </c>
      <c r="B1542" t="s">
        <v>3189</v>
      </c>
      <c r="C1542" t="s">
        <v>3198</v>
      </c>
      <c r="D1542" t="s">
        <v>3199</v>
      </c>
      <c r="E1542">
        <v>401</v>
      </c>
      <c r="F1542" t="s">
        <v>81</v>
      </c>
      <c r="G1542" t="s">
        <v>81</v>
      </c>
      <c r="H1542" t="s">
        <v>81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 t="s">
        <v>81</v>
      </c>
      <c r="BB1542" t="s">
        <v>81</v>
      </c>
      <c r="BC1542" t="s">
        <v>81</v>
      </c>
      <c r="BD1542" t="s">
        <v>81</v>
      </c>
      <c r="BE1542" t="s">
        <v>81</v>
      </c>
      <c r="BF1542" t="s">
        <v>81</v>
      </c>
      <c r="BG1542" t="s">
        <v>81</v>
      </c>
      <c r="BH1542" t="s">
        <v>81</v>
      </c>
    </row>
    <row r="1543" spans="1:60" x14ac:dyDescent="0.35">
      <c r="A1543" t="s">
        <v>3174</v>
      </c>
      <c r="B1543" t="s">
        <v>3189</v>
      </c>
      <c r="C1543" t="s">
        <v>3200</v>
      </c>
      <c r="D1543" t="s">
        <v>3201</v>
      </c>
      <c r="E1543">
        <v>377</v>
      </c>
      <c r="F1543" t="s">
        <v>81</v>
      </c>
      <c r="G1543" t="s">
        <v>81</v>
      </c>
      <c r="H1543" t="s">
        <v>81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2</v>
      </c>
      <c r="BG1543">
        <v>0</v>
      </c>
      <c r="BH1543">
        <v>0</v>
      </c>
    </row>
    <row r="1544" spans="1:60" x14ac:dyDescent="0.35">
      <c r="A1544" t="s">
        <v>3174</v>
      </c>
      <c r="B1544" t="s">
        <v>3189</v>
      </c>
      <c r="C1544" t="s">
        <v>3202</v>
      </c>
      <c r="D1544" t="s">
        <v>3203</v>
      </c>
      <c r="E1544">
        <v>315</v>
      </c>
      <c r="F1544" t="s">
        <v>81</v>
      </c>
      <c r="G1544" t="s">
        <v>81</v>
      </c>
      <c r="H1544" t="s">
        <v>81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 t="s">
        <v>81</v>
      </c>
      <c r="BB1544" t="s">
        <v>81</v>
      </c>
      <c r="BC1544" t="s">
        <v>81</v>
      </c>
      <c r="BD1544" t="s">
        <v>81</v>
      </c>
      <c r="BE1544" t="s">
        <v>81</v>
      </c>
      <c r="BF1544" t="s">
        <v>81</v>
      </c>
      <c r="BG1544" t="s">
        <v>81</v>
      </c>
      <c r="BH1544" t="s">
        <v>81</v>
      </c>
    </row>
    <row r="1545" spans="1:60" x14ac:dyDescent="0.35">
      <c r="A1545" t="s">
        <v>3174</v>
      </c>
      <c r="B1545" t="s">
        <v>3189</v>
      </c>
      <c r="C1545" t="s">
        <v>3204</v>
      </c>
      <c r="D1545" t="s">
        <v>3205</v>
      </c>
      <c r="E1545">
        <v>2371</v>
      </c>
      <c r="F1545">
        <v>3</v>
      </c>
      <c r="G1545">
        <v>3.9163640000000002</v>
      </c>
      <c r="H1545">
        <v>1.305455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1</v>
      </c>
      <c r="BB1545">
        <v>12737</v>
      </c>
      <c r="BC1545">
        <v>12737</v>
      </c>
      <c r="BD1545">
        <v>0</v>
      </c>
      <c r="BE1545">
        <v>0</v>
      </c>
      <c r="BF1545">
        <v>9</v>
      </c>
      <c r="BG1545">
        <v>895.86666700000001</v>
      </c>
      <c r="BH1545">
        <v>0</v>
      </c>
    </row>
    <row r="1546" spans="1:60" x14ac:dyDescent="0.35">
      <c r="A1546" t="s">
        <v>3174</v>
      </c>
      <c r="B1546" t="s">
        <v>3189</v>
      </c>
      <c r="C1546" t="s">
        <v>3206</v>
      </c>
      <c r="D1546" t="s">
        <v>3207</v>
      </c>
      <c r="E1546">
        <v>386</v>
      </c>
      <c r="F1546" t="s">
        <v>81</v>
      </c>
      <c r="G1546" t="s">
        <v>81</v>
      </c>
      <c r="H1546" t="s">
        <v>81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0</v>
      </c>
      <c r="BH1546">
        <v>0</v>
      </c>
    </row>
    <row r="1547" spans="1:60" x14ac:dyDescent="0.35">
      <c r="A1547" t="s">
        <v>3174</v>
      </c>
      <c r="B1547" t="s">
        <v>3189</v>
      </c>
      <c r="C1547" t="s">
        <v>3208</v>
      </c>
      <c r="D1547" t="s">
        <v>3209</v>
      </c>
      <c r="E1547">
        <v>1256</v>
      </c>
      <c r="F1547" t="s">
        <v>81</v>
      </c>
      <c r="G1547" t="s">
        <v>81</v>
      </c>
      <c r="H1547" t="s">
        <v>81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3</v>
      </c>
      <c r="BG1547">
        <v>0</v>
      </c>
      <c r="BH1547">
        <v>0</v>
      </c>
    </row>
    <row r="1548" spans="1:60" x14ac:dyDescent="0.35">
      <c r="A1548" t="s">
        <v>3174</v>
      </c>
      <c r="B1548" t="s">
        <v>3189</v>
      </c>
      <c r="C1548" t="s">
        <v>3210</v>
      </c>
      <c r="D1548" t="s">
        <v>3211</v>
      </c>
      <c r="E1548">
        <v>686</v>
      </c>
      <c r="F1548" t="s">
        <v>81</v>
      </c>
      <c r="G1548" t="s">
        <v>81</v>
      </c>
      <c r="H1548" t="s">
        <v>81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1</v>
      </c>
      <c r="BG1548">
        <v>0</v>
      </c>
      <c r="BH1548">
        <v>0</v>
      </c>
    </row>
    <row r="1549" spans="1:60" x14ac:dyDescent="0.35">
      <c r="A1549" t="s">
        <v>3174</v>
      </c>
      <c r="B1549" t="s">
        <v>3212</v>
      </c>
      <c r="C1549" t="s">
        <v>3212</v>
      </c>
      <c r="D1549" t="s">
        <v>3213</v>
      </c>
      <c r="E1549">
        <v>72506</v>
      </c>
      <c r="F1549">
        <v>291</v>
      </c>
      <c r="G1549">
        <v>270.94729999999998</v>
      </c>
      <c r="H1549">
        <v>0.93109039999999998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2897.01</v>
      </c>
      <c r="P1549">
        <v>0</v>
      </c>
      <c r="Q1549">
        <v>0</v>
      </c>
      <c r="R1549">
        <v>0</v>
      </c>
      <c r="S1549">
        <v>0</v>
      </c>
      <c r="T1549">
        <v>2897.01</v>
      </c>
      <c r="U1549">
        <v>12961.08</v>
      </c>
      <c r="V1549">
        <v>0</v>
      </c>
      <c r="W1549">
        <v>0</v>
      </c>
      <c r="X1549">
        <v>0</v>
      </c>
      <c r="Y1549">
        <v>0</v>
      </c>
      <c r="Z1549">
        <v>12961.08</v>
      </c>
      <c r="AA1549">
        <v>166258.39000000001</v>
      </c>
      <c r="AB1549">
        <v>9143.7199999999993</v>
      </c>
      <c r="AC1549">
        <v>133491.72</v>
      </c>
      <c r="AD1549">
        <v>0</v>
      </c>
      <c r="AE1549">
        <v>0</v>
      </c>
      <c r="AF1549">
        <v>308893.83</v>
      </c>
      <c r="AG1549">
        <v>22630.09</v>
      </c>
      <c r="AH1549">
        <v>733.83</v>
      </c>
      <c r="AI1549">
        <v>17948.990000000002</v>
      </c>
      <c r="AJ1549">
        <v>0</v>
      </c>
      <c r="AK1549">
        <v>0</v>
      </c>
      <c r="AL1549">
        <v>41312.910000000003</v>
      </c>
      <c r="AM1549">
        <v>89395.48</v>
      </c>
      <c r="AN1549">
        <v>7840.21</v>
      </c>
      <c r="AO1549">
        <v>38336.660000000003</v>
      </c>
      <c r="AP1549">
        <v>0</v>
      </c>
      <c r="AQ1549">
        <v>0</v>
      </c>
      <c r="AR1549">
        <v>135572.35</v>
      </c>
      <c r="AS1549">
        <v>50721.01</v>
      </c>
      <c r="AT1549">
        <v>0</v>
      </c>
      <c r="AU1549">
        <v>25022.67</v>
      </c>
      <c r="AV1549">
        <v>0</v>
      </c>
      <c r="AW1549">
        <v>0</v>
      </c>
      <c r="AX1549">
        <v>75743.679999999993</v>
      </c>
      <c r="AY1549">
        <v>577380.86</v>
      </c>
      <c r="AZ1549">
        <v>0</v>
      </c>
      <c r="BA1549">
        <v>102</v>
      </c>
      <c r="BB1549">
        <v>68824.225999999995</v>
      </c>
      <c r="BC1549">
        <v>7020071.1009999998</v>
      </c>
      <c r="BD1549">
        <v>4463.9000980000001</v>
      </c>
      <c r="BE1549">
        <v>3236.4679999999998</v>
      </c>
      <c r="BF1549">
        <v>832</v>
      </c>
      <c r="BG1549">
        <v>6208.1857330000003</v>
      </c>
      <c r="BH1549">
        <v>759.77</v>
      </c>
    </row>
    <row r="1550" spans="1:60" x14ac:dyDescent="0.35">
      <c r="A1550" t="s">
        <v>3174</v>
      </c>
      <c r="B1550" t="s">
        <v>3212</v>
      </c>
      <c r="C1550" t="s">
        <v>3214</v>
      </c>
      <c r="D1550" t="s">
        <v>3215</v>
      </c>
      <c r="E1550">
        <v>11262</v>
      </c>
      <c r="F1550">
        <v>3</v>
      </c>
      <c r="G1550">
        <v>0.68400000000000005</v>
      </c>
      <c r="H1550">
        <v>0.22800000000000001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2</v>
      </c>
      <c r="BB1550">
        <v>30596.917000000001</v>
      </c>
      <c r="BC1550">
        <v>61193.832999999999</v>
      </c>
      <c r="BD1550">
        <v>0</v>
      </c>
      <c r="BE1550">
        <v>0</v>
      </c>
      <c r="BF1550">
        <v>15</v>
      </c>
      <c r="BG1550">
        <v>780.35333300000002</v>
      </c>
      <c r="BH1550">
        <v>0</v>
      </c>
    </row>
    <row r="1551" spans="1:60" x14ac:dyDescent="0.35">
      <c r="A1551" t="s">
        <v>3174</v>
      </c>
      <c r="B1551" t="s">
        <v>3212</v>
      </c>
      <c r="C1551" t="s">
        <v>3216</v>
      </c>
      <c r="D1551" t="s">
        <v>3217</v>
      </c>
      <c r="E1551">
        <v>4519</v>
      </c>
      <c r="F1551">
        <v>8</v>
      </c>
      <c r="G1551">
        <v>6.7887700000000004</v>
      </c>
      <c r="H1551">
        <v>0.84859629999999997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2.46</v>
      </c>
      <c r="AB1551">
        <v>0</v>
      </c>
      <c r="AC1551">
        <v>0</v>
      </c>
      <c r="AD1551">
        <v>0</v>
      </c>
      <c r="AE1551">
        <v>0</v>
      </c>
      <c r="AF1551">
        <v>2.46</v>
      </c>
      <c r="AG1551">
        <v>0.56000000000000005</v>
      </c>
      <c r="AH1551">
        <v>0</v>
      </c>
      <c r="AI1551">
        <v>0</v>
      </c>
      <c r="AJ1551">
        <v>0</v>
      </c>
      <c r="AK1551">
        <v>0</v>
      </c>
      <c r="AL1551">
        <v>0.56000000000000005</v>
      </c>
      <c r="AM1551">
        <v>1089.45</v>
      </c>
      <c r="AN1551">
        <v>0</v>
      </c>
      <c r="AO1551">
        <v>0</v>
      </c>
      <c r="AP1551">
        <v>0</v>
      </c>
      <c r="AQ1551">
        <v>0</v>
      </c>
      <c r="AR1551">
        <v>1089.45</v>
      </c>
      <c r="AS1551">
        <v>858.81</v>
      </c>
      <c r="AT1551">
        <v>0</v>
      </c>
      <c r="AU1551">
        <v>0</v>
      </c>
      <c r="AV1551">
        <v>0</v>
      </c>
      <c r="AW1551">
        <v>0</v>
      </c>
      <c r="AX1551">
        <v>858.81</v>
      </c>
      <c r="AY1551">
        <v>1951.28</v>
      </c>
      <c r="AZ1551">
        <v>0</v>
      </c>
      <c r="BA1551">
        <v>2</v>
      </c>
      <c r="BB1551">
        <v>137406.04199999999</v>
      </c>
      <c r="BC1551">
        <v>274812.08299999998</v>
      </c>
      <c r="BD1551">
        <v>0</v>
      </c>
      <c r="BE1551">
        <v>0</v>
      </c>
      <c r="BF1551">
        <v>12</v>
      </c>
      <c r="BG1551">
        <v>1712.133333</v>
      </c>
      <c r="BH1551">
        <v>0</v>
      </c>
    </row>
    <row r="1552" spans="1:60" x14ac:dyDescent="0.35">
      <c r="A1552" t="s">
        <v>3218</v>
      </c>
      <c r="B1552" t="s">
        <v>3218</v>
      </c>
      <c r="C1552" t="s">
        <v>3219</v>
      </c>
      <c r="D1552" t="s">
        <v>3220</v>
      </c>
      <c r="E1552">
        <v>25831</v>
      </c>
      <c r="F1552">
        <v>180</v>
      </c>
      <c r="G1552">
        <v>154.923</v>
      </c>
      <c r="H1552">
        <v>0.86068330000000004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0.17</v>
      </c>
      <c r="P1552">
        <v>0</v>
      </c>
      <c r="Q1552">
        <v>0</v>
      </c>
      <c r="R1552">
        <v>0</v>
      </c>
      <c r="S1552">
        <v>0</v>
      </c>
      <c r="T1552">
        <v>0.17</v>
      </c>
      <c r="U1552">
        <v>1048.54</v>
      </c>
      <c r="V1552">
        <v>0</v>
      </c>
      <c r="W1552">
        <v>0</v>
      </c>
      <c r="X1552">
        <v>0</v>
      </c>
      <c r="Y1552">
        <v>0</v>
      </c>
      <c r="Z1552">
        <v>1048.54</v>
      </c>
      <c r="AA1552">
        <v>70932.92</v>
      </c>
      <c r="AB1552">
        <v>19305.75</v>
      </c>
      <c r="AC1552">
        <v>86542.93</v>
      </c>
      <c r="AD1552">
        <v>0</v>
      </c>
      <c r="AE1552">
        <v>0</v>
      </c>
      <c r="AF1552">
        <v>176781.6</v>
      </c>
      <c r="AG1552">
        <v>41.97</v>
      </c>
      <c r="AH1552">
        <v>3364.85</v>
      </c>
      <c r="AI1552">
        <v>11446.87</v>
      </c>
      <c r="AJ1552">
        <v>0</v>
      </c>
      <c r="AK1552">
        <v>0</v>
      </c>
      <c r="AL1552">
        <v>14853.69</v>
      </c>
      <c r="AM1552">
        <v>19603.400000000001</v>
      </c>
      <c r="AN1552">
        <v>6495.45</v>
      </c>
      <c r="AO1552">
        <v>53019.27</v>
      </c>
      <c r="AP1552">
        <v>0</v>
      </c>
      <c r="AQ1552">
        <v>0</v>
      </c>
      <c r="AR1552">
        <v>79118.12</v>
      </c>
      <c r="AS1552">
        <v>12955.08</v>
      </c>
      <c r="AT1552">
        <v>0</v>
      </c>
      <c r="AU1552">
        <v>875.82</v>
      </c>
      <c r="AV1552">
        <v>0</v>
      </c>
      <c r="AW1552">
        <v>0</v>
      </c>
      <c r="AX1552">
        <v>13830.9</v>
      </c>
      <c r="AY1552">
        <v>285633.02</v>
      </c>
      <c r="AZ1552">
        <v>0</v>
      </c>
      <c r="BA1552">
        <v>27</v>
      </c>
      <c r="BB1552">
        <v>46044.75</v>
      </c>
      <c r="BC1552">
        <v>1243208.257</v>
      </c>
      <c r="BD1552">
        <v>764.40740700000003</v>
      </c>
      <c r="BE1552">
        <v>759.85900000000004</v>
      </c>
      <c r="BF1552">
        <v>402</v>
      </c>
      <c r="BG1552">
        <v>3157.551269</v>
      </c>
      <c r="BH1552">
        <v>174.70099999999999</v>
      </c>
    </row>
    <row r="1553" spans="1:60" x14ac:dyDescent="0.35">
      <c r="A1553" t="s">
        <v>3218</v>
      </c>
      <c r="B1553" t="s">
        <v>3218</v>
      </c>
      <c r="C1553" t="s">
        <v>3221</v>
      </c>
      <c r="D1553" t="s">
        <v>3222</v>
      </c>
      <c r="E1553">
        <v>4500</v>
      </c>
      <c r="F1553" t="s">
        <v>81</v>
      </c>
      <c r="G1553" t="s">
        <v>81</v>
      </c>
      <c r="H1553" t="s">
        <v>81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26</v>
      </c>
      <c r="BG1553">
        <v>1077.0653850000001</v>
      </c>
      <c r="BH1553">
        <v>0</v>
      </c>
    </row>
    <row r="1554" spans="1:60" x14ac:dyDescent="0.35">
      <c r="A1554" t="s">
        <v>3218</v>
      </c>
      <c r="B1554" t="s">
        <v>3218</v>
      </c>
      <c r="C1554" t="s">
        <v>3223</v>
      </c>
      <c r="D1554" t="s">
        <v>3224</v>
      </c>
      <c r="E1554">
        <v>6474</v>
      </c>
      <c r="F1554">
        <v>13</v>
      </c>
      <c r="G1554">
        <v>3.9140000000000001</v>
      </c>
      <c r="H1554">
        <v>0.30107689999999998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23</v>
      </c>
      <c r="BG1554">
        <v>2815.0304350000001</v>
      </c>
      <c r="BH1554">
        <v>0</v>
      </c>
    </row>
    <row r="1555" spans="1:60" x14ac:dyDescent="0.35">
      <c r="A1555" t="s">
        <v>3218</v>
      </c>
      <c r="B1555" t="s">
        <v>3218</v>
      </c>
      <c r="C1555" t="s">
        <v>3225</v>
      </c>
      <c r="D1555" t="s">
        <v>3226</v>
      </c>
      <c r="E1555">
        <v>8900</v>
      </c>
      <c r="F1555">
        <v>12</v>
      </c>
      <c r="G1555">
        <v>14.1721</v>
      </c>
      <c r="H1555">
        <v>1.181009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56</v>
      </c>
      <c r="BG1555">
        <v>2174.4632139999999</v>
      </c>
      <c r="BH1555">
        <v>0</v>
      </c>
    </row>
    <row r="1556" spans="1:60" x14ac:dyDescent="0.35">
      <c r="A1556" t="s">
        <v>3218</v>
      </c>
      <c r="B1556" t="s">
        <v>3218</v>
      </c>
      <c r="C1556" t="s">
        <v>3227</v>
      </c>
      <c r="D1556" t="s">
        <v>3228</v>
      </c>
      <c r="E1556">
        <v>4152</v>
      </c>
      <c r="F1556">
        <v>2</v>
      </c>
      <c r="G1556">
        <v>2.68</v>
      </c>
      <c r="H1556">
        <v>1.34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37</v>
      </c>
      <c r="BG1556">
        <v>453.40486499999997</v>
      </c>
      <c r="BH1556">
        <v>0</v>
      </c>
    </row>
    <row r="1557" spans="1:60" x14ac:dyDescent="0.35">
      <c r="A1557" t="s">
        <v>3218</v>
      </c>
      <c r="B1557" t="s">
        <v>3218</v>
      </c>
      <c r="C1557" t="s">
        <v>3229</v>
      </c>
      <c r="D1557" t="s">
        <v>3230</v>
      </c>
      <c r="E1557">
        <v>1147</v>
      </c>
      <c r="F1557">
        <v>1</v>
      </c>
      <c r="G1557">
        <v>0.185</v>
      </c>
      <c r="H1557">
        <v>0.185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8</v>
      </c>
      <c r="BG1557">
        <v>0</v>
      </c>
      <c r="BH1557">
        <v>0</v>
      </c>
    </row>
    <row r="1558" spans="1:60" x14ac:dyDescent="0.35">
      <c r="A1558" t="s">
        <v>3218</v>
      </c>
      <c r="B1558" t="s">
        <v>3218</v>
      </c>
      <c r="C1558" t="s">
        <v>3231</v>
      </c>
      <c r="D1558" t="s">
        <v>3232</v>
      </c>
      <c r="E1558">
        <v>7199</v>
      </c>
      <c r="F1558">
        <v>21</v>
      </c>
      <c r="G1558">
        <v>15.16883</v>
      </c>
      <c r="H1558">
        <v>0.7223252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12176.67</v>
      </c>
      <c r="AD1558">
        <v>0</v>
      </c>
      <c r="AE1558">
        <v>0</v>
      </c>
      <c r="AF1558">
        <v>12176.67</v>
      </c>
      <c r="AG1558">
        <v>0</v>
      </c>
      <c r="AH1558">
        <v>0</v>
      </c>
      <c r="AI1558">
        <v>1967.94</v>
      </c>
      <c r="AJ1558">
        <v>0</v>
      </c>
      <c r="AK1558">
        <v>0</v>
      </c>
      <c r="AL1558">
        <v>1967.94</v>
      </c>
      <c r="AM1558">
        <v>0</v>
      </c>
      <c r="AN1558">
        <v>0</v>
      </c>
      <c r="AO1558">
        <v>2216.87</v>
      </c>
      <c r="AP1558">
        <v>0</v>
      </c>
      <c r="AQ1558">
        <v>0</v>
      </c>
      <c r="AR1558">
        <v>2216.87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16361.48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72</v>
      </c>
      <c r="BG1558">
        <v>554.80111099999999</v>
      </c>
      <c r="BH1558">
        <v>0</v>
      </c>
    </row>
    <row r="1559" spans="1:60" x14ac:dyDescent="0.35">
      <c r="A1559" t="s">
        <v>3218</v>
      </c>
      <c r="B1559" t="s">
        <v>3218</v>
      </c>
      <c r="C1559" t="s">
        <v>3233</v>
      </c>
      <c r="D1559" t="s">
        <v>3234</v>
      </c>
      <c r="E1559">
        <v>2650</v>
      </c>
      <c r="F1559">
        <v>4</v>
      </c>
      <c r="G1559">
        <v>8.7792189999999994</v>
      </c>
      <c r="H1559">
        <v>2.1948050000000001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14</v>
      </c>
      <c r="BG1559">
        <v>0</v>
      </c>
      <c r="BH1559">
        <v>0</v>
      </c>
    </row>
    <row r="1560" spans="1:60" x14ac:dyDescent="0.35">
      <c r="A1560" t="s">
        <v>3218</v>
      </c>
      <c r="B1560" t="s">
        <v>3218</v>
      </c>
      <c r="C1560" t="s">
        <v>3235</v>
      </c>
      <c r="D1560" t="s">
        <v>3236</v>
      </c>
      <c r="E1560">
        <v>12126</v>
      </c>
      <c r="F1560">
        <v>21</v>
      </c>
      <c r="G1560">
        <v>25.88082</v>
      </c>
      <c r="H1560">
        <v>1.2324200000000001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65</v>
      </c>
      <c r="BG1560">
        <v>669.34769200000005</v>
      </c>
      <c r="BH1560">
        <v>0</v>
      </c>
    </row>
    <row r="1561" spans="1:60" x14ac:dyDescent="0.35">
      <c r="A1561" t="s">
        <v>3218</v>
      </c>
      <c r="B1561" t="s">
        <v>3218</v>
      </c>
      <c r="C1561" t="s">
        <v>3237</v>
      </c>
      <c r="D1561" t="s">
        <v>3238</v>
      </c>
      <c r="E1561">
        <v>1980</v>
      </c>
      <c r="F1561">
        <v>1</v>
      </c>
      <c r="G1561">
        <v>2.536953</v>
      </c>
      <c r="H1561">
        <v>2.536953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9</v>
      </c>
      <c r="BG1561">
        <v>0</v>
      </c>
      <c r="BH1561">
        <v>0</v>
      </c>
    </row>
    <row r="1562" spans="1:60" x14ac:dyDescent="0.35">
      <c r="A1562" t="s">
        <v>3218</v>
      </c>
      <c r="B1562" t="s">
        <v>3218</v>
      </c>
      <c r="C1562" t="s">
        <v>3239</v>
      </c>
      <c r="D1562" t="s">
        <v>3240</v>
      </c>
      <c r="E1562">
        <v>7532</v>
      </c>
      <c r="F1562">
        <v>24</v>
      </c>
      <c r="G1562">
        <v>31.49879</v>
      </c>
      <c r="H1562">
        <v>1.3124499999999999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1</v>
      </c>
      <c r="BB1562">
        <v>23504.417000000001</v>
      </c>
      <c r="BC1562">
        <v>23504.417000000001</v>
      </c>
      <c r="BD1562">
        <v>0</v>
      </c>
      <c r="BE1562">
        <v>0</v>
      </c>
      <c r="BF1562">
        <v>66</v>
      </c>
      <c r="BG1562">
        <v>2064.177424</v>
      </c>
      <c r="BH1562">
        <v>15.095000000000001</v>
      </c>
    </row>
    <row r="1563" spans="1:60" x14ac:dyDescent="0.35">
      <c r="A1563" t="s">
        <v>3218</v>
      </c>
      <c r="B1563" t="s">
        <v>3218</v>
      </c>
      <c r="C1563" t="s">
        <v>3241</v>
      </c>
      <c r="D1563" t="s">
        <v>3242</v>
      </c>
      <c r="E1563">
        <v>4094</v>
      </c>
      <c r="F1563" t="s">
        <v>81</v>
      </c>
      <c r="G1563" t="s">
        <v>81</v>
      </c>
      <c r="H1563" t="s">
        <v>81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1</v>
      </c>
      <c r="BB1563">
        <v>137019.125</v>
      </c>
      <c r="BC1563">
        <v>137019.125</v>
      </c>
      <c r="BD1563">
        <v>0</v>
      </c>
      <c r="BE1563">
        <v>0</v>
      </c>
      <c r="BF1563">
        <v>31</v>
      </c>
      <c r="BG1563">
        <v>93.12</v>
      </c>
      <c r="BH1563">
        <v>0</v>
      </c>
    </row>
    <row r="1564" spans="1:60" x14ac:dyDescent="0.35">
      <c r="A1564" t="s">
        <v>3218</v>
      </c>
      <c r="B1564" t="s">
        <v>3218</v>
      </c>
      <c r="C1564" t="s">
        <v>3243</v>
      </c>
      <c r="D1564" t="s">
        <v>3244</v>
      </c>
      <c r="E1564">
        <v>30945</v>
      </c>
      <c r="F1564">
        <v>76</v>
      </c>
      <c r="G1564">
        <v>90.944019999999995</v>
      </c>
      <c r="H1564">
        <v>1.1966319999999999</v>
      </c>
      <c r="I1564">
        <v>2737.66</v>
      </c>
      <c r="J1564">
        <v>0</v>
      </c>
      <c r="K1564">
        <v>0</v>
      </c>
      <c r="L1564">
        <v>0</v>
      </c>
      <c r="M1564">
        <v>0</v>
      </c>
      <c r="N1564">
        <v>2737.66</v>
      </c>
      <c r="O1564">
        <v>4309.07</v>
      </c>
      <c r="P1564">
        <v>0</v>
      </c>
      <c r="Q1564">
        <v>0</v>
      </c>
      <c r="R1564">
        <v>0</v>
      </c>
      <c r="S1564">
        <v>0</v>
      </c>
      <c r="T1564">
        <v>4309.07</v>
      </c>
      <c r="U1564">
        <v>16177.15</v>
      </c>
      <c r="V1564">
        <v>0</v>
      </c>
      <c r="W1564">
        <v>0</v>
      </c>
      <c r="X1564">
        <v>0</v>
      </c>
      <c r="Y1564">
        <v>0</v>
      </c>
      <c r="Z1564">
        <v>16177.15</v>
      </c>
      <c r="AA1564">
        <v>72128.42</v>
      </c>
      <c r="AB1564">
        <v>0</v>
      </c>
      <c r="AC1564">
        <v>51324.4</v>
      </c>
      <c r="AD1564">
        <v>5194.1899999999996</v>
      </c>
      <c r="AE1564">
        <v>0</v>
      </c>
      <c r="AF1564">
        <v>128647.01</v>
      </c>
      <c r="AG1564">
        <v>2171.9699999999998</v>
      </c>
      <c r="AH1564">
        <v>0</v>
      </c>
      <c r="AI1564">
        <v>5644.62</v>
      </c>
      <c r="AJ1564">
        <v>1344.42</v>
      </c>
      <c r="AK1564">
        <v>0</v>
      </c>
      <c r="AL1564">
        <v>9161.01</v>
      </c>
      <c r="AM1564">
        <v>76297.08</v>
      </c>
      <c r="AN1564">
        <v>0</v>
      </c>
      <c r="AO1564">
        <v>53798.52</v>
      </c>
      <c r="AP1564">
        <v>490.72</v>
      </c>
      <c r="AQ1564">
        <v>0</v>
      </c>
      <c r="AR1564">
        <v>130586.32</v>
      </c>
      <c r="AS1564">
        <v>23644.48</v>
      </c>
      <c r="AT1564">
        <v>0</v>
      </c>
      <c r="AU1564">
        <v>677.12</v>
      </c>
      <c r="AV1564">
        <v>0</v>
      </c>
      <c r="AW1564">
        <v>0</v>
      </c>
      <c r="AX1564">
        <v>24321.599999999999</v>
      </c>
      <c r="AY1564">
        <v>315939.82</v>
      </c>
      <c r="AZ1564">
        <v>0</v>
      </c>
      <c r="BA1564">
        <v>7</v>
      </c>
      <c r="BB1564">
        <v>49830.773999999998</v>
      </c>
      <c r="BC1564">
        <v>348815.41600000003</v>
      </c>
      <c r="BD1564">
        <v>0</v>
      </c>
      <c r="BE1564">
        <v>1</v>
      </c>
      <c r="BF1564">
        <v>209</v>
      </c>
      <c r="BG1564">
        <v>5331.5192820000002</v>
      </c>
      <c r="BH1564">
        <v>303.24700000000001</v>
      </c>
    </row>
    <row r="1565" spans="1:60" x14ac:dyDescent="0.35">
      <c r="A1565" t="s">
        <v>3218</v>
      </c>
      <c r="B1565" t="s">
        <v>3245</v>
      </c>
      <c r="C1565" t="s">
        <v>3246</v>
      </c>
      <c r="D1565" t="s">
        <v>3247</v>
      </c>
      <c r="E1565">
        <v>10243</v>
      </c>
      <c r="F1565">
        <v>34</v>
      </c>
      <c r="G1565">
        <v>14.342499999999999</v>
      </c>
      <c r="H1565">
        <v>0.4218383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1</v>
      </c>
      <c r="BB1565">
        <v>17250.111000000001</v>
      </c>
      <c r="BC1565">
        <v>17250.111000000001</v>
      </c>
      <c r="BD1565">
        <v>28454.5</v>
      </c>
      <c r="BE1565">
        <v>0</v>
      </c>
      <c r="BF1565">
        <v>59</v>
      </c>
      <c r="BG1565">
        <v>2154.0211859999999</v>
      </c>
      <c r="BH1565">
        <v>0</v>
      </c>
    </row>
    <row r="1566" spans="1:60" x14ac:dyDescent="0.35">
      <c r="A1566" t="s">
        <v>3218</v>
      </c>
      <c r="B1566" t="s">
        <v>3245</v>
      </c>
      <c r="C1566" t="s">
        <v>3248</v>
      </c>
      <c r="D1566" t="s">
        <v>3249</v>
      </c>
      <c r="E1566">
        <v>1378</v>
      </c>
      <c r="F1566" t="s">
        <v>81</v>
      </c>
      <c r="G1566" t="s">
        <v>81</v>
      </c>
      <c r="H1566" t="s">
        <v>81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1</v>
      </c>
      <c r="BG1566">
        <v>0</v>
      </c>
      <c r="BH1566">
        <v>0</v>
      </c>
    </row>
    <row r="1567" spans="1:60" x14ac:dyDescent="0.35">
      <c r="A1567" t="s">
        <v>3218</v>
      </c>
      <c r="B1567" t="s">
        <v>3245</v>
      </c>
      <c r="C1567" t="s">
        <v>3250</v>
      </c>
      <c r="D1567" t="s">
        <v>3251</v>
      </c>
      <c r="E1567">
        <v>1172</v>
      </c>
      <c r="F1567" t="s">
        <v>81</v>
      </c>
      <c r="G1567" t="s">
        <v>81</v>
      </c>
      <c r="H1567" t="s">
        <v>81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1</v>
      </c>
      <c r="BG1567">
        <v>0</v>
      </c>
      <c r="BH1567">
        <v>0</v>
      </c>
    </row>
    <row r="1568" spans="1:60" x14ac:dyDescent="0.35">
      <c r="A1568" t="s">
        <v>3218</v>
      </c>
      <c r="B1568" t="s">
        <v>3245</v>
      </c>
      <c r="C1568" t="s">
        <v>3252</v>
      </c>
      <c r="D1568" t="s">
        <v>3253</v>
      </c>
      <c r="E1568">
        <v>1583</v>
      </c>
      <c r="F1568" t="s">
        <v>81</v>
      </c>
      <c r="G1568" t="s">
        <v>81</v>
      </c>
      <c r="H1568" t="s">
        <v>81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1</v>
      </c>
      <c r="BG1568">
        <v>0</v>
      </c>
      <c r="BH1568">
        <v>0</v>
      </c>
    </row>
    <row r="1569" spans="1:60" x14ac:dyDescent="0.35">
      <c r="A1569" t="s">
        <v>3218</v>
      </c>
      <c r="B1569" t="s">
        <v>3245</v>
      </c>
      <c r="C1569" t="s">
        <v>3254</v>
      </c>
      <c r="D1569" t="s">
        <v>3255</v>
      </c>
      <c r="E1569">
        <v>1233</v>
      </c>
      <c r="F1569">
        <v>1</v>
      </c>
      <c r="G1569">
        <v>1.0362979999999999</v>
      </c>
      <c r="H1569">
        <v>1.0362979999999999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1</v>
      </c>
      <c r="BG1569">
        <v>0</v>
      </c>
      <c r="BH1569">
        <v>0</v>
      </c>
    </row>
    <row r="1570" spans="1:60" x14ac:dyDescent="0.35">
      <c r="A1570" t="s">
        <v>3218</v>
      </c>
      <c r="B1570" t="s">
        <v>3245</v>
      </c>
      <c r="C1570" t="s">
        <v>3256</v>
      </c>
      <c r="D1570" t="s">
        <v>3257</v>
      </c>
      <c r="E1570">
        <v>24901</v>
      </c>
      <c r="F1570">
        <v>2</v>
      </c>
      <c r="G1570">
        <v>4.9990139999999998</v>
      </c>
      <c r="H1570">
        <v>2.4995069999999999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15</v>
      </c>
      <c r="BG1570">
        <v>0</v>
      </c>
      <c r="BH1570">
        <v>0</v>
      </c>
    </row>
    <row r="1571" spans="1:60" x14ac:dyDescent="0.35">
      <c r="A1571" t="s">
        <v>3218</v>
      </c>
      <c r="B1571" t="s">
        <v>3245</v>
      </c>
      <c r="C1571" t="s">
        <v>3258</v>
      </c>
      <c r="D1571" t="s">
        <v>3259</v>
      </c>
      <c r="E1571">
        <v>1733</v>
      </c>
      <c r="F1571" t="s">
        <v>81</v>
      </c>
      <c r="G1571" t="s">
        <v>81</v>
      </c>
      <c r="H1571" t="s">
        <v>81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6</v>
      </c>
      <c r="BG1571">
        <v>368.77166699999998</v>
      </c>
      <c r="BH1571">
        <v>0</v>
      </c>
    </row>
    <row r="1572" spans="1:60" x14ac:dyDescent="0.35">
      <c r="A1572" t="s">
        <v>3218</v>
      </c>
      <c r="B1572" t="s">
        <v>3245</v>
      </c>
      <c r="C1572" t="s">
        <v>3260</v>
      </c>
      <c r="D1572" t="s">
        <v>3261</v>
      </c>
      <c r="E1572">
        <v>2111</v>
      </c>
      <c r="F1572" t="s">
        <v>81</v>
      </c>
      <c r="G1572" t="s">
        <v>81</v>
      </c>
      <c r="H1572" t="s">
        <v>81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3</v>
      </c>
      <c r="BG1572">
        <v>0</v>
      </c>
      <c r="BH1572">
        <v>0</v>
      </c>
    </row>
    <row r="1573" spans="1:60" x14ac:dyDescent="0.35">
      <c r="A1573" t="s">
        <v>3218</v>
      </c>
      <c r="B1573" t="s">
        <v>3262</v>
      </c>
      <c r="C1573" t="s">
        <v>3262</v>
      </c>
      <c r="D1573" t="s">
        <v>3263</v>
      </c>
      <c r="E1573">
        <v>17930</v>
      </c>
      <c r="F1573">
        <v>97</v>
      </c>
      <c r="G1573">
        <v>81.188950000000006</v>
      </c>
      <c r="H1573">
        <v>0.83699950000000001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1521.66</v>
      </c>
      <c r="V1573">
        <v>0</v>
      </c>
      <c r="W1573">
        <v>0</v>
      </c>
      <c r="X1573">
        <v>0</v>
      </c>
      <c r="Y1573">
        <v>0</v>
      </c>
      <c r="Z1573">
        <v>1521.66</v>
      </c>
      <c r="AA1573">
        <v>74860.44</v>
      </c>
      <c r="AB1573">
        <v>7633.39</v>
      </c>
      <c r="AC1573">
        <v>76832.179999999993</v>
      </c>
      <c r="AD1573">
        <v>4721.5200000000004</v>
      </c>
      <c r="AE1573">
        <v>0</v>
      </c>
      <c r="AF1573">
        <v>164047.53</v>
      </c>
      <c r="AG1573">
        <v>2774.22</v>
      </c>
      <c r="AH1573">
        <v>1412.98</v>
      </c>
      <c r="AI1573">
        <v>10340.870000000001</v>
      </c>
      <c r="AJ1573">
        <v>1215.6199999999999</v>
      </c>
      <c r="AK1573">
        <v>0</v>
      </c>
      <c r="AL1573">
        <v>15743.69</v>
      </c>
      <c r="AM1573">
        <v>4741.71</v>
      </c>
      <c r="AN1573">
        <v>518.66999999999996</v>
      </c>
      <c r="AO1573">
        <v>20477.439999999999</v>
      </c>
      <c r="AP1573">
        <v>1736.77</v>
      </c>
      <c r="AQ1573">
        <v>0</v>
      </c>
      <c r="AR1573">
        <v>27474.59</v>
      </c>
      <c r="AS1573">
        <v>2739.31</v>
      </c>
      <c r="AT1573">
        <v>0</v>
      </c>
      <c r="AU1573">
        <v>7649.16</v>
      </c>
      <c r="AV1573">
        <v>0</v>
      </c>
      <c r="AW1573">
        <v>0</v>
      </c>
      <c r="AX1573">
        <v>10388.469999999999</v>
      </c>
      <c r="AY1573">
        <v>219175.94</v>
      </c>
      <c r="AZ1573">
        <v>0</v>
      </c>
      <c r="BA1573">
        <v>16</v>
      </c>
      <c r="BB1573">
        <v>35559.915000000001</v>
      </c>
      <c r="BC1573">
        <v>568958.64300000004</v>
      </c>
      <c r="BD1573">
        <v>1201.99</v>
      </c>
      <c r="BE1573">
        <v>2736.8209999999999</v>
      </c>
      <c r="BF1573">
        <v>422</v>
      </c>
      <c r="BG1573">
        <v>1422.9639340000001</v>
      </c>
      <c r="BH1573">
        <v>2055.663</v>
      </c>
    </row>
    <row r="1574" spans="1:60" x14ac:dyDescent="0.35">
      <c r="A1574" t="s">
        <v>3218</v>
      </c>
      <c r="B1574" t="s">
        <v>3262</v>
      </c>
      <c r="C1574" t="s">
        <v>3264</v>
      </c>
      <c r="D1574" t="s">
        <v>3265</v>
      </c>
      <c r="E1574">
        <v>7007</v>
      </c>
      <c r="F1574">
        <v>7</v>
      </c>
      <c r="G1574">
        <v>3.932566</v>
      </c>
      <c r="H1574">
        <v>0.56179509999999999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2</v>
      </c>
      <c r="BB1574">
        <v>10574.875</v>
      </c>
      <c r="BC1574">
        <v>21149.75</v>
      </c>
      <c r="BD1574">
        <v>28738.575000000001</v>
      </c>
      <c r="BE1574">
        <v>60.014000000000003</v>
      </c>
      <c r="BF1574">
        <v>52</v>
      </c>
      <c r="BG1574">
        <v>1394.975962</v>
      </c>
      <c r="BH1574">
        <v>451.83699999999999</v>
      </c>
    </row>
    <row r="1575" spans="1:60" x14ac:dyDescent="0.35">
      <c r="A1575" t="s">
        <v>3218</v>
      </c>
      <c r="B1575" t="s">
        <v>3262</v>
      </c>
      <c r="C1575" t="s">
        <v>3266</v>
      </c>
      <c r="D1575" t="s">
        <v>3267</v>
      </c>
      <c r="E1575">
        <v>7202</v>
      </c>
      <c r="F1575">
        <v>10</v>
      </c>
      <c r="G1575">
        <v>3.4319999999999999</v>
      </c>
      <c r="H1575">
        <v>0.34320000000000001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34</v>
      </c>
      <c r="BG1575">
        <v>0.29411799999999999</v>
      </c>
      <c r="BH1575">
        <v>0</v>
      </c>
    </row>
    <row r="1576" spans="1:60" x14ac:dyDescent="0.35">
      <c r="A1576" t="s">
        <v>3218</v>
      </c>
      <c r="B1576" t="s">
        <v>3262</v>
      </c>
      <c r="C1576" t="s">
        <v>3268</v>
      </c>
      <c r="D1576" t="s">
        <v>3269</v>
      </c>
      <c r="E1576">
        <v>7735</v>
      </c>
      <c r="F1576">
        <v>9</v>
      </c>
      <c r="G1576">
        <v>5.4983000000000004</v>
      </c>
      <c r="H1576">
        <v>0.61092219999999997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2</v>
      </c>
      <c r="BB1576">
        <v>35011.959000000003</v>
      </c>
      <c r="BC1576">
        <v>70023.917000000001</v>
      </c>
      <c r="BD1576">
        <v>11108.86</v>
      </c>
      <c r="BE1576">
        <v>240.65</v>
      </c>
      <c r="BF1576">
        <v>36</v>
      </c>
      <c r="BG1576">
        <v>692.25694399999998</v>
      </c>
      <c r="BH1576">
        <v>0</v>
      </c>
    </row>
    <row r="1577" spans="1:60" x14ac:dyDescent="0.35">
      <c r="A1577" t="s">
        <v>3218</v>
      </c>
      <c r="B1577" t="s">
        <v>3262</v>
      </c>
      <c r="C1577" t="s">
        <v>3270</v>
      </c>
      <c r="D1577" t="s">
        <v>3271</v>
      </c>
      <c r="E1577">
        <v>3784</v>
      </c>
      <c r="F1577">
        <v>15</v>
      </c>
      <c r="G1577">
        <v>12.199439999999999</v>
      </c>
      <c r="H1577">
        <v>0.81329600000000002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1548.96</v>
      </c>
      <c r="AD1577">
        <v>0</v>
      </c>
      <c r="AE1577">
        <v>0</v>
      </c>
      <c r="AF1577">
        <v>1548.96</v>
      </c>
      <c r="AG1577">
        <v>0</v>
      </c>
      <c r="AH1577">
        <v>0</v>
      </c>
      <c r="AI1577">
        <v>237.36</v>
      </c>
      <c r="AJ1577">
        <v>0</v>
      </c>
      <c r="AK1577">
        <v>0</v>
      </c>
      <c r="AL1577">
        <v>237.36</v>
      </c>
      <c r="AM1577">
        <v>0</v>
      </c>
      <c r="AN1577">
        <v>0</v>
      </c>
      <c r="AO1577">
        <v>329.59</v>
      </c>
      <c r="AP1577">
        <v>0</v>
      </c>
      <c r="AQ1577">
        <v>0</v>
      </c>
      <c r="AR1577">
        <v>329.59</v>
      </c>
      <c r="AS1577">
        <v>0</v>
      </c>
      <c r="AT1577">
        <v>0</v>
      </c>
      <c r="AU1577">
        <v>14.75</v>
      </c>
      <c r="AV1577">
        <v>0</v>
      </c>
      <c r="AW1577">
        <v>0</v>
      </c>
      <c r="AX1577">
        <v>14.75</v>
      </c>
      <c r="AY1577">
        <v>2130.66</v>
      </c>
      <c r="AZ1577">
        <v>0</v>
      </c>
      <c r="BA1577">
        <v>2</v>
      </c>
      <c r="BB1577">
        <v>31161.125</v>
      </c>
      <c r="BC1577">
        <v>62322.25</v>
      </c>
      <c r="BD1577">
        <v>0</v>
      </c>
      <c r="BE1577">
        <v>0</v>
      </c>
      <c r="BF1577">
        <v>62</v>
      </c>
      <c r="BG1577">
        <v>74.080645000000004</v>
      </c>
      <c r="BH1577">
        <v>2125.2959999999998</v>
      </c>
    </row>
    <row r="1578" spans="1:60" x14ac:dyDescent="0.35">
      <c r="A1578" t="s">
        <v>3218</v>
      </c>
      <c r="B1578" t="s">
        <v>3262</v>
      </c>
      <c r="C1578" t="s">
        <v>3272</v>
      </c>
      <c r="D1578" t="s">
        <v>3273</v>
      </c>
      <c r="E1578">
        <v>22977</v>
      </c>
      <c r="F1578">
        <v>19</v>
      </c>
      <c r="G1578">
        <v>7.3803999999999998</v>
      </c>
      <c r="H1578">
        <v>0.38844210000000001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230</v>
      </c>
      <c r="X1578">
        <v>0</v>
      </c>
      <c r="Y1578">
        <v>0</v>
      </c>
      <c r="Z1578">
        <v>230</v>
      </c>
      <c r="AA1578">
        <v>0</v>
      </c>
      <c r="AB1578">
        <v>21880.7</v>
      </c>
      <c r="AC1578">
        <v>11252.57</v>
      </c>
      <c r="AD1578">
        <v>0</v>
      </c>
      <c r="AE1578">
        <v>0</v>
      </c>
      <c r="AF1578">
        <v>33133.269999999997</v>
      </c>
      <c r="AG1578">
        <v>0</v>
      </c>
      <c r="AH1578">
        <v>8176.09</v>
      </c>
      <c r="AI1578">
        <v>2254.63</v>
      </c>
      <c r="AJ1578">
        <v>0</v>
      </c>
      <c r="AK1578">
        <v>0</v>
      </c>
      <c r="AL1578">
        <v>10430.719999999999</v>
      </c>
      <c r="AM1578">
        <v>0</v>
      </c>
      <c r="AN1578">
        <v>3786.43</v>
      </c>
      <c r="AO1578">
        <v>2676.51</v>
      </c>
      <c r="AP1578">
        <v>0</v>
      </c>
      <c r="AQ1578">
        <v>0</v>
      </c>
      <c r="AR1578">
        <v>6462.94</v>
      </c>
      <c r="AS1578">
        <v>0</v>
      </c>
      <c r="AT1578">
        <v>0</v>
      </c>
      <c r="AU1578">
        <v>222.22</v>
      </c>
      <c r="AV1578">
        <v>0</v>
      </c>
      <c r="AW1578">
        <v>0</v>
      </c>
      <c r="AX1578">
        <v>222.22</v>
      </c>
      <c r="AY1578">
        <v>50479.15</v>
      </c>
      <c r="AZ1578">
        <v>0</v>
      </c>
      <c r="BA1578">
        <v>2</v>
      </c>
      <c r="BB1578">
        <v>221845.95800000001</v>
      </c>
      <c r="BC1578">
        <v>443691.91600000003</v>
      </c>
      <c r="BD1578">
        <v>0</v>
      </c>
      <c r="BE1578">
        <v>2853.2310000000002</v>
      </c>
      <c r="BF1578">
        <v>90</v>
      </c>
      <c r="BG1578">
        <v>1199.9366669999999</v>
      </c>
      <c r="BH1578">
        <v>89.432000000000002</v>
      </c>
    </row>
    <row r="1579" spans="1:60" x14ac:dyDescent="0.35">
      <c r="A1579" t="s">
        <v>3218</v>
      </c>
      <c r="B1579" t="s">
        <v>3262</v>
      </c>
      <c r="C1579" t="s">
        <v>3274</v>
      </c>
      <c r="D1579" t="s">
        <v>3275</v>
      </c>
      <c r="E1579">
        <v>18341</v>
      </c>
      <c r="F1579">
        <v>81</v>
      </c>
      <c r="G1579">
        <v>69.222430000000003</v>
      </c>
      <c r="H1579">
        <v>0.85459790000000002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50.1</v>
      </c>
      <c r="Y1579">
        <v>0</v>
      </c>
      <c r="Z1579">
        <v>50.1</v>
      </c>
      <c r="AA1579">
        <v>27196.51</v>
      </c>
      <c r="AB1579">
        <v>11514.6</v>
      </c>
      <c r="AC1579">
        <v>18077.48</v>
      </c>
      <c r="AD1579">
        <v>6060.35</v>
      </c>
      <c r="AE1579">
        <v>0</v>
      </c>
      <c r="AF1579">
        <v>62848.94</v>
      </c>
      <c r="AG1579">
        <v>3412.55</v>
      </c>
      <c r="AH1579">
        <v>3349.35</v>
      </c>
      <c r="AI1579">
        <v>3862.31</v>
      </c>
      <c r="AJ1579">
        <v>1711.62</v>
      </c>
      <c r="AK1579">
        <v>0</v>
      </c>
      <c r="AL1579">
        <v>12335.83</v>
      </c>
      <c r="AM1579">
        <v>1083.17</v>
      </c>
      <c r="AN1579">
        <v>1379.95</v>
      </c>
      <c r="AO1579">
        <v>6030</v>
      </c>
      <c r="AP1579">
        <v>299.13</v>
      </c>
      <c r="AQ1579">
        <v>0</v>
      </c>
      <c r="AR1579">
        <v>8792.25</v>
      </c>
      <c r="AS1579">
        <v>440.52</v>
      </c>
      <c r="AT1579">
        <v>0</v>
      </c>
      <c r="AU1579">
        <v>234.59</v>
      </c>
      <c r="AV1579">
        <v>0</v>
      </c>
      <c r="AW1579">
        <v>0</v>
      </c>
      <c r="AX1579">
        <v>675.11</v>
      </c>
      <c r="AY1579">
        <v>84702.23</v>
      </c>
      <c r="AZ1579">
        <v>0</v>
      </c>
      <c r="BA1579">
        <v>6</v>
      </c>
      <c r="BB1579">
        <v>110324.07</v>
      </c>
      <c r="BC1579">
        <v>661944.41700000002</v>
      </c>
      <c r="BD1579">
        <v>0</v>
      </c>
      <c r="BE1579">
        <v>125.276</v>
      </c>
      <c r="BF1579">
        <v>186</v>
      </c>
      <c r="BG1579">
        <v>2722.5522040000001</v>
      </c>
      <c r="BH1579">
        <v>132.97999999999999</v>
      </c>
    </row>
    <row r="1580" spans="1:60" x14ac:dyDescent="0.35">
      <c r="A1580" t="s">
        <v>3218</v>
      </c>
      <c r="B1580" t="s">
        <v>3262</v>
      </c>
      <c r="C1580" t="s">
        <v>3276</v>
      </c>
      <c r="D1580" t="s">
        <v>3277</v>
      </c>
      <c r="E1580">
        <v>18532</v>
      </c>
      <c r="F1580">
        <v>50</v>
      </c>
      <c r="G1580">
        <v>32.99915</v>
      </c>
      <c r="H1580">
        <v>0.65998299999999999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397.73</v>
      </c>
      <c r="X1580">
        <v>0</v>
      </c>
      <c r="Y1580">
        <v>0</v>
      </c>
      <c r="Z1580">
        <v>397.73</v>
      </c>
      <c r="AA1580">
        <v>0</v>
      </c>
      <c r="AB1580">
        <v>0</v>
      </c>
      <c r="AC1580">
        <v>27223.87</v>
      </c>
      <c r="AD1580">
        <v>0</v>
      </c>
      <c r="AE1580">
        <v>0</v>
      </c>
      <c r="AF1580">
        <v>27223.87</v>
      </c>
      <c r="AG1580">
        <v>0</v>
      </c>
      <c r="AH1580">
        <v>0</v>
      </c>
      <c r="AI1580">
        <v>6563.25</v>
      </c>
      <c r="AJ1580">
        <v>0</v>
      </c>
      <c r="AK1580">
        <v>0</v>
      </c>
      <c r="AL1580">
        <v>6563.25</v>
      </c>
      <c r="AM1580">
        <v>0</v>
      </c>
      <c r="AN1580">
        <v>0</v>
      </c>
      <c r="AO1580">
        <v>2467.37</v>
      </c>
      <c r="AP1580">
        <v>0</v>
      </c>
      <c r="AQ1580">
        <v>0</v>
      </c>
      <c r="AR1580">
        <v>2467.37</v>
      </c>
      <c r="AS1580">
        <v>0</v>
      </c>
      <c r="AT1580">
        <v>0</v>
      </c>
      <c r="AU1580">
        <v>95.57</v>
      </c>
      <c r="AV1580">
        <v>0</v>
      </c>
      <c r="AW1580">
        <v>0</v>
      </c>
      <c r="AX1580">
        <v>95.57</v>
      </c>
      <c r="AY1580">
        <v>36747.79</v>
      </c>
      <c r="AZ1580">
        <v>0</v>
      </c>
      <c r="BA1580">
        <v>1</v>
      </c>
      <c r="BB1580">
        <v>15803.5</v>
      </c>
      <c r="BC1580">
        <v>15803.5</v>
      </c>
      <c r="BD1580">
        <v>0</v>
      </c>
      <c r="BE1580">
        <v>0</v>
      </c>
      <c r="BF1580">
        <v>90</v>
      </c>
      <c r="BG1580">
        <v>9275.780111</v>
      </c>
      <c r="BH1580">
        <v>2.4780000000000002</v>
      </c>
    </row>
    <row r="1581" spans="1:60" x14ac:dyDescent="0.35">
      <c r="A1581" t="s">
        <v>3278</v>
      </c>
      <c r="B1581" t="s">
        <v>3278</v>
      </c>
      <c r="C1581" t="s">
        <v>3278</v>
      </c>
      <c r="D1581" t="s">
        <v>3279</v>
      </c>
      <c r="E1581">
        <v>191048</v>
      </c>
      <c r="F1581">
        <v>1386</v>
      </c>
      <c r="G1581">
        <v>1356.7249999999999</v>
      </c>
      <c r="H1581">
        <v>0.97887820000000003</v>
      </c>
      <c r="I1581">
        <v>473982.35</v>
      </c>
      <c r="J1581">
        <v>100.04</v>
      </c>
      <c r="K1581">
        <v>0</v>
      </c>
      <c r="L1581">
        <v>0</v>
      </c>
      <c r="M1581">
        <v>0</v>
      </c>
      <c r="N1581">
        <v>474082.39</v>
      </c>
      <c r="O1581">
        <v>753353.11</v>
      </c>
      <c r="P1581">
        <v>95.87</v>
      </c>
      <c r="Q1581">
        <v>661.48</v>
      </c>
      <c r="R1581">
        <v>0</v>
      </c>
      <c r="S1581">
        <v>0</v>
      </c>
      <c r="T1581">
        <v>754110.46</v>
      </c>
      <c r="U1581">
        <v>218614.59</v>
      </c>
      <c r="V1581">
        <v>446.55</v>
      </c>
      <c r="W1581">
        <v>6369.31</v>
      </c>
      <c r="X1581">
        <v>0</v>
      </c>
      <c r="Y1581">
        <v>0</v>
      </c>
      <c r="Z1581">
        <v>225430.45</v>
      </c>
      <c r="AA1581">
        <v>778558.14</v>
      </c>
      <c r="AB1581">
        <v>25183.55</v>
      </c>
      <c r="AC1581">
        <v>286282.42</v>
      </c>
      <c r="AD1581">
        <v>0</v>
      </c>
      <c r="AE1581">
        <v>0</v>
      </c>
      <c r="AF1581">
        <v>1090024.1100000001</v>
      </c>
      <c r="AG1581">
        <v>56283.29</v>
      </c>
      <c r="AH1581">
        <v>12788.21</v>
      </c>
      <c r="AI1581">
        <v>54682.16</v>
      </c>
      <c r="AJ1581">
        <v>0</v>
      </c>
      <c r="AK1581">
        <v>0</v>
      </c>
      <c r="AL1581">
        <v>123753.66</v>
      </c>
      <c r="AM1581">
        <v>1468443.97</v>
      </c>
      <c r="AN1581">
        <v>134235.26999999999</v>
      </c>
      <c r="AO1581">
        <v>158920.68</v>
      </c>
      <c r="AP1581">
        <v>1912.38</v>
      </c>
      <c r="AQ1581">
        <v>0</v>
      </c>
      <c r="AR1581">
        <v>1763512.3</v>
      </c>
      <c r="AS1581">
        <v>691988.58</v>
      </c>
      <c r="AT1581">
        <v>0</v>
      </c>
      <c r="AU1581">
        <v>40707.33</v>
      </c>
      <c r="AV1581">
        <v>0</v>
      </c>
      <c r="AW1581">
        <v>0</v>
      </c>
      <c r="AX1581">
        <v>732695.91</v>
      </c>
      <c r="AY1581">
        <v>5163609.28</v>
      </c>
      <c r="AZ1581">
        <v>1</v>
      </c>
      <c r="BA1581">
        <v>345</v>
      </c>
      <c r="BB1581">
        <v>50625.307000000001</v>
      </c>
      <c r="BC1581">
        <v>17465731.061999999</v>
      </c>
      <c r="BD1581">
        <v>13071.809507</v>
      </c>
      <c r="BE1581">
        <v>3424.7820000000002</v>
      </c>
      <c r="BF1581">
        <v>2325</v>
      </c>
      <c r="BG1581">
        <v>11084.646248999999</v>
      </c>
      <c r="BH1581">
        <v>2979.5970000000002</v>
      </c>
    </row>
    <row r="1582" spans="1:60" x14ac:dyDescent="0.35">
      <c r="A1582" t="s">
        <v>3278</v>
      </c>
      <c r="B1582" t="s">
        <v>3278</v>
      </c>
      <c r="C1582" t="s">
        <v>857</v>
      </c>
      <c r="D1582" t="s">
        <v>3280</v>
      </c>
      <c r="E1582">
        <v>201735</v>
      </c>
      <c r="F1582">
        <v>304</v>
      </c>
      <c r="G1582">
        <v>380.47359999999998</v>
      </c>
      <c r="H1582">
        <v>1.2515579999999999</v>
      </c>
      <c r="I1582">
        <v>346.69</v>
      </c>
      <c r="J1582">
        <v>0</v>
      </c>
      <c r="K1582">
        <v>0</v>
      </c>
      <c r="L1582">
        <v>0</v>
      </c>
      <c r="M1582">
        <v>0</v>
      </c>
      <c r="N1582">
        <v>346.69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4851.92</v>
      </c>
      <c r="V1582">
        <v>0</v>
      </c>
      <c r="W1582">
        <v>2527.1</v>
      </c>
      <c r="X1582">
        <v>0</v>
      </c>
      <c r="Y1582">
        <v>0</v>
      </c>
      <c r="Z1582">
        <v>7379.02</v>
      </c>
      <c r="AA1582">
        <v>108201.02</v>
      </c>
      <c r="AB1582">
        <v>51.36</v>
      </c>
      <c r="AC1582">
        <v>95446.56</v>
      </c>
      <c r="AD1582">
        <v>0</v>
      </c>
      <c r="AE1582">
        <v>0</v>
      </c>
      <c r="AF1582">
        <v>203698.94</v>
      </c>
      <c r="AG1582">
        <v>37495.22</v>
      </c>
      <c r="AH1582">
        <v>189.23</v>
      </c>
      <c r="AI1582">
        <v>17587.89</v>
      </c>
      <c r="AJ1582">
        <v>0</v>
      </c>
      <c r="AK1582">
        <v>0</v>
      </c>
      <c r="AL1582">
        <v>55272.34</v>
      </c>
      <c r="AM1582">
        <v>155634.97</v>
      </c>
      <c r="AN1582">
        <v>8656.27</v>
      </c>
      <c r="AO1582">
        <v>68553.09</v>
      </c>
      <c r="AP1582">
        <v>0</v>
      </c>
      <c r="AQ1582">
        <v>0</v>
      </c>
      <c r="AR1582">
        <v>232844.33</v>
      </c>
      <c r="AS1582">
        <v>48304.31</v>
      </c>
      <c r="AT1582">
        <v>0</v>
      </c>
      <c r="AU1582">
        <v>15699.04</v>
      </c>
      <c r="AV1582">
        <v>0</v>
      </c>
      <c r="AW1582">
        <v>0</v>
      </c>
      <c r="AX1582">
        <v>64003.35</v>
      </c>
      <c r="AY1582">
        <v>563544.67000000004</v>
      </c>
      <c r="AZ1582">
        <v>1</v>
      </c>
      <c r="BA1582">
        <v>148</v>
      </c>
      <c r="BB1582">
        <v>47402.873</v>
      </c>
      <c r="BC1582">
        <v>7015625.1639999999</v>
      </c>
      <c r="BD1582">
        <v>5882.1166219999996</v>
      </c>
      <c r="BE1582">
        <v>2746.5210000000002</v>
      </c>
      <c r="BF1582">
        <v>982</v>
      </c>
      <c r="BG1582">
        <v>9023.1078620000008</v>
      </c>
      <c r="BH1582">
        <v>4831.9759999999997</v>
      </c>
    </row>
    <row r="1583" spans="1:60" x14ac:dyDescent="0.35">
      <c r="A1583" t="s">
        <v>3278</v>
      </c>
      <c r="B1583" t="s">
        <v>3278</v>
      </c>
      <c r="C1583" t="s">
        <v>3281</v>
      </c>
      <c r="D1583" t="s">
        <v>3282</v>
      </c>
      <c r="E1583">
        <v>84277</v>
      </c>
      <c r="F1583">
        <v>75</v>
      </c>
      <c r="G1583">
        <v>71.465220000000002</v>
      </c>
      <c r="H1583">
        <v>0.95286950000000004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381.79</v>
      </c>
      <c r="X1583">
        <v>0</v>
      </c>
      <c r="Y1583">
        <v>0</v>
      </c>
      <c r="Z1583">
        <v>381.79</v>
      </c>
      <c r="AA1583">
        <v>24865.31</v>
      </c>
      <c r="AB1583">
        <v>0</v>
      </c>
      <c r="AC1583">
        <v>25617.79</v>
      </c>
      <c r="AD1583">
        <v>0</v>
      </c>
      <c r="AE1583">
        <v>0</v>
      </c>
      <c r="AF1583">
        <v>50483.1</v>
      </c>
      <c r="AG1583">
        <v>11743.07</v>
      </c>
      <c r="AH1583">
        <v>0</v>
      </c>
      <c r="AI1583">
        <v>4428.62</v>
      </c>
      <c r="AJ1583">
        <v>0</v>
      </c>
      <c r="AK1583">
        <v>0</v>
      </c>
      <c r="AL1583">
        <v>16171.69</v>
      </c>
      <c r="AM1583">
        <v>1327.69</v>
      </c>
      <c r="AN1583">
        <v>0</v>
      </c>
      <c r="AO1583">
        <v>8065.01</v>
      </c>
      <c r="AP1583">
        <v>0</v>
      </c>
      <c r="AQ1583">
        <v>0</v>
      </c>
      <c r="AR1583">
        <v>9392.7000000000007</v>
      </c>
      <c r="AS1583">
        <v>505.61</v>
      </c>
      <c r="AT1583">
        <v>0</v>
      </c>
      <c r="AU1583">
        <v>2234.73</v>
      </c>
      <c r="AV1583">
        <v>0</v>
      </c>
      <c r="AW1583">
        <v>0</v>
      </c>
      <c r="AX1583">
        <v>2740.34</v>
      </c>
      <c r="AY1583">
        <v>79169.62</v>
      </c>
      <c r="AZ1583">
        <v>1</v>
      </c>
      <c r="BA1583">
        <v>24</v>
      </c>
      <c r="BB1583">
        <v>72419.350000000006</v>
      </c>
      <c r="BC1583">
        <v>1738064.3959999999</v>
      </c>
      <c r="BD1583">
        <v>6489.896667</v>
      </c>
      <c r="BE1583">
        <v>1081.8920000000001</v>
      </c>
      <c r="BF1583">
        <v>277</v>
      </c>
      <c r="BG1583">
        <v>21471.086823000001</v>
      </c>
      <c r="BH1583">
        <v>573.91399999999999</v>
      </c>
    </row>
    <row r="1584" spans="1:60" x14ac:dyDescent="0.35">
      <c r="A1584" t="s">
        <v>3278</v>
      </c>
      <c r="B1584" t="s">
        <v>3278</v>
      </c>
      <c r="C1584" t="s">
        <v>3283</v>
      </c>
      <c r="D1584" t="s">
        <v>3284</v>
      </c>
      <c r="E1584">
        <v>20698</v>
      </c>
      <c r="F1584">
        <v>4</v>
      </c>
      <c r="G1584">
        <v>2.472</v>
      </c>
      <c r="H1584">
        <v>0.61799999999999999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47</v>
      </c>
      <c r="BG1584">
        <v>5403.9693619999998</v>
      </c>
      <c r="BH1584">
        <v>5.2030000000000003</v>
      </c>
    </row>
    <row r="1585" spans="1:60" x14ac:dyDescent="0.35">
      <c r="A1585" t="s">
        <v>3278</v>
      </c>
      <c r="B1585" t="s">
        <v>3278</v>
      </c>
      <c r="C1585" t="s">
        <v>3285</v>
      </c>
      <c r="D1585" t="s">
        <v>3286</v>
      </c>
      <c r="E1585">
        <v>5660</v>
      </c>
      <c r="F1585">
        <v>1</v>
      </c>
      <c r="G1585">
        <v>0.43</v>
      </c>
      <c r="H1585">
        <v>0.43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10</v>
      </c>
      <c r="BG1585">
        <v>474.67700000000002</v>
      </c>
      <c r="BH1585">
        <v>0</v>
      </c>
    </row>
    <row r="1586" spans="1:60" x14ac:dyDescent="0.35">
      <c r="A1586" t="s">
        <v>3278</v>
      </c>
      <c r="B1586" t="s">
        <v>3278</v>
      </c>
      <c r="C1586" t="s">
        <v>3287</v>
      </c>
      <c r="D1586" t="s">
        <v>3288</v>
      </c>
      <c r="E1586">
        <v>42668</v>
      </c>
      <c r="F1586">
        <v>16</v>
      </c>
      <c r="G1586">
        <v>15.38058</v>
      </c>
      <c r="H1586">
        <v>0.96128639999999999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4</v>
      </c>
      <c r="BB1586">
        <v>53311.688000000002</v>
      </c>
      <c r="BC1586">
        <v>213246.75</v>
      </c>
      <c r="BD1586">
        <v>0</v>
      </c>
      <c r="BE1586">
        <v>0</v>
      </c>
      <c r="BF1586">
        <v>87</v>
      </c>
      <c r="BG1586">
        <v>8710.2598849999995</v>
      </c>
      <c r="BH1586">
        <v>466.10500000000002</v>
      </c>
    </row>
    <row r="1587" spans="1:60" x14ac:dyDescent="0.35">
      <c r="A1587" t="s">
        <v>3278</v>
      </c>
      <c r="B1587" t="s">
        <v>3278</v>
      </c>
      <c r="C1587" t="s">
        <v>3289</v>
      </c>
      <c r="D1587" t="s">
        <v>3290</v>
      </c>
      <c r="E1587">
        <v>46354</v>
      </c>
      <c r="F1587">
        <v>96</v>
      </c>
      <c r="G1587">
        <v>71.559089999999998</v>
      </c>
      <c r="H1587">
        <v>0.74540720000000005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226.11</v>
      </c>
      <c r="R1587">
        <v>0</v>
      </c>
      <c r="S1587">
        <v>0</v>
      </c>
      <c r="T1587">
        <v>226.11</v>
      </c>
      <c r="U1587">
        <v>0</v>
      </c>
      <c r="V1587">
        <v>0</v>
      </c>
      <c r="W1587">
        <v>377.49</v>
      </c>
      <c r="X1587">
        <v>0</v>
      </c>
      <c r="Y1587">
        <v>0</v>
      </c>
      <c r="Z1587">
        <v>377.49</v>
      </c>
      <c r="AA1587">
        <v>26663.75</v>
      </c>
      <c r="AB1587">
        <v>6931.45</v>
      </c>
      <c r="AC1587">
        <v>84343.25</v>
      </c>
      <c r="AD1587">
        <v>0</v>
      </c>
      <c r="AE1587">
        <v>975.43</v>
      </c>
      <c r="AF1587">
        <v>118913.88</v>
      </c>
      <c r="AG1587">
        <v>24017.75</v>
      </c>
      <c r="AH1587">
        <v>8140.03</v>
      </c>
      <c r="AI1587">
        <v>20606.240000000002</v>
      </c>
      <c r="AJ1587">
        <v>0</v>
      </c>
      <c r="AK1587">
        <v>4517.97</v>
      </c>
      <c r="AL1587">
        <v>57281.99</v>
      </c>
      <c r="AM1587">
        <v>1435.05</v>
      </c>
      <c r="AN1587">
        <v>8341.24</v>
      </c>
      <c r="AO1587">
        <v>15222.94</v>
      </c>
      <c r="AP1587">
        <v>0</v>
      </c>
      <c r="AQ1587">
        <v>910.93</v>
      </c>
      <c r="AR1587">
        <v>25910.16</v>
      </c>
      <c r="AS1587">
        <v>622.78</v>
      </c>
      <c r="AT1587">
        <v>0</v>
      </c>
      <c r="AU1587">
        <v>2111.09</v>
      </c>
      <c r="AV1587">
        <v>0</v>
      </c>
      <c r="AW1587">
        <v>0</v>
      </c>
      <c r="AX1587">
        <v>2733.87</v>
      </c>
      <c r="AY1587">
        <v>205443.5</v>
      </c>
      <c r="AZ1587">
        <v>0</v>
      </c>
      <c r="BA1587">
        <v>6</v>
      </c>
      <c r="BB1587">
        <v>20898.513999999999</v>
      </c>
      <c r="BC1587">
        <v>125391.083</v>
      </c>
      <c r="BD1587">
        <v>631.33333300000004</v>
      </c>
      <c r="BE1587">
        <v>573.05600000000004</v>
      </c>
      <c r="BF1587">
        <v>177</v>
      </c>
      <c r="BG1587">
        <v>4944.2556500000001</v>
      </c>
      <c r="BH1587">
        <v>2813.7579999999998</v>
      </c>
    </row>
    <row r="1588" spans="1:60" x14ac:dyDescent="0.35">
      <c r="A1588" t="s">
        <v>3278</v>
      </c>
      <c r="B1588" t="s">
        <v>3278</v>
      </c>
      <c r="C1588" t="s">
        <v>3291</v>
      </c>
      <c r="D1588" t="s">
        <v>3292</v>
      </c>
      <c r="E1588">
        <v>29470</v>
      </c>
      <c r="F1588">
        <v>23</v>
      </c>
      <c r="G1588">
        <v>18.673719999999999</v>
      </c>
      <c r="H1588">
        <v>0.81190070000000003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15591.56</v>
      </c>
      <c r="AB1588">
        <v>0</v>
      </c>
      <c r="AC1588">
        <v>45652.67</v>
      </c>
      <c r="AD1588">
        <v>0</v>
      </c>
      <c r="AE1588">
        <v>0</v>
      </c>
      <c r="AF1588">
        <v>61244.23</v>
      </c>
      <c r="AG1588">
        <v>8102.64</v>
      </c>
      <c r="AH1588">
        <v>0</v>
      </c>
      <c r="AI1588">
        <v>10962.16</v>
      </c>
      <c r="AJ1588">
        <v>0</v>
      </c>
      <c r="AK1588">
        <v>0</v>
      </c>
      <c r="AL1588">
        <v>19064.8</v>
      </c>
      <c r="AM1588">
        <v>872.73</v>
      </c>
      <c r="AN1588">
        <v>0</v>
      </c>
      <c r="AO1588">
        <v>8445.9699999999993</v>
      </c>
      <c r="AP1588">
        <v>0</v>
      </c>
      <c r="AQ1588">
        <v>0</v>
      </c>
      <c r="AR1588">
        <v>9318.7000000000007</v>
      </c>
      <c r="AS1588">
        <v>108.01</v>
      </c>
      <c r="AT1588">
        <v>0</v>
      </c>
      <c r="AU1588">
        <v>1952.54</v>
      </c>
      <c r="AV1588">
        <v>0</v>
      </c>
      <c r="AW1588">
        <v>0</v>
      </c>
      <c r="AX1588">
        <v>2060.5500000000002</v>
      </c>
      <c r="AY1588">
        <v>91688.28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127</v>
      </c>
      <c r="BG1588">
        <v>6561.7008660000001</v>
      </c>
      <c r="BH1588">
        <v>281.11700000000002</v>
      </c>
    </row>
    <row r="1589" spans="1:60" x14ac:dyDescent="0.35">
      <c r="A1589" t="s">
        <v>3278</v>
      </c>
      <c r="B1589" t="s">
        <v>3278</v>
      </c>
      <c r="C1589" t="s">
        <v>3293</v>
      </c>
      <c r="D1589" t="s">
        <v>3294</v>
      </c>
      <c r="E1589">
        <v>131366</v>
      </c>
      <c r="F1589">
        <v>160</v>
      </c>
      <c r="G1589">
        <v>112.4418</v>
      </c>
      <c r="H1589">
        <v>0.70276130000000003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565.20000000000005</v>
      </c>
      <c r="X1589">
        <v>0</v>
      </c>
      <c r="Y1589">
        <v>0</v>
      </c>
      <c r="Z1589">
        <v>565.20000000000005</v>
      </c>
      <c r="AA1589">
        <v>29421.52</v>
      </c>
      <c r="AB1589">
        <v>19863.93</v>
      </c>
      <c r="AC1589">
        <v>29764.66</v>
      </c>
      <c r="AD1589">
        <v>0</v>
      </c>
      <c r="AE1589">
        <v>1390.58</v>
      </c>
      <c r="AF1589">
        <v>80440.69</v>
      </c>
      <c r="AG1589">
        <v>30450.1</v>
      </c>
      <c r="AH1589">
        <v>13031.43</v>
      </c>
      <c r="AI1589">
        <v>9825.4699999999993</v>
      </c>
      <c r="AJ1589">
        <v>0</v>
      </c>
      <c r="AK1589">
        <v>4092.91</v>
      </c>
      <c r="AL1589">
        <v>57399.91</v>
      </c>
      <c r="AM1589">
        <v>15026.46</v>
      </c>
      <c r="AN1589">
        <v>10122.120000000001</v>
      </c>
      <c r="AO1589">
        <v>9052</v>
      </c>
      <c r="AP1589">
        <v>0</v>
      </c>
      <c r="AQ1589">
        <v>1388.72</v>
      </c>
      <c r="AR1589">
        <v>35589.300000000003</v>
      </c>
      <c r="AS1589">
        <v>323.94</v>
      </c>
      <c r="AT1589">
        <v>0</v>
      </c>
      <c r="AU1589">
        <v>1890.92</v>
      </c>
      <c r="AV1589">
        <v>0</v>
      </c>
      <c r="AW1589">
        <v>0</v>
      </c>
      <c r="AX1589">
        <v>2214.86</v>
      </c>
      <c r="AY1589">
        <v>176209.96</v>
      </c>
      <c r="AZ1589">
        <v>0</v>
      </c>
      <c r="BA1589">
        <v>12</v>
      </c>
      <c r="BB1589">
        <v>21925.603999999999</v>
      </c>
      <c r="BC1589">
        <v>263107.25</v>
      </c>
      <c r="BD1589">
        <v>36934.678333000003</v>
      </c>
      <c r="BE1589">
        <v>8.75</v>
      </c>
      <c r="BF1589">
        <v>325</v>
      </c>
      <c r="BG1589">
        <v>5506.4697539999997</v>
      </c>
      <c r="BH1589">
        <v>784.96400000000006</v>
      </c>
    </row>
    <row r="1590" spans="1:60" x14ac:dyDescent="0.35">
      <c r="A1590" t="s">
        <v>3278</v>
      </c>
      <c r="B1590" t="s">
        <v>3278</v>
      </c>
      <c r="C1590" t="s">
        <v>3295</v>
      </c>
      <c r="D1590" t="s">
        <v>3296</v>
      </c>
      <c r="E1590">
        <v>205779</v>
      </c>
      <c r="F1590">
        <v>343</v>
      </c>
      <c r="G1590">
        <v>228.99100000000001</v>
      </c>
      <c r="H1590">
        <v>0.66761210000000004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480.82</v>
      </c>
      <c r="R1590">
        <v>0</v>
      </c>
      <c r="S1590">
        <v>0</v>
      </c>
      <c r="T1590">
        <v>480.82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41.9</v>
      </c>
      <c r="AB1590">
        <v>0</v>
      </c>
      <c r="AC1590">
        <v>19743.169999999998</v>
      </c>
      <c r="AD1590">
        <v>0</v>
      </c>
      <c r="AE1590">
        <v>0</v>
      </c>
      <c r="AF1590">
        <v>19785.07</v>
      </c>
      <c r="AG1590">
        <v>11202.97</v>
      </c>
      <c r="AH1590">
        <v>0</v>
      </c>
      <c r="AI1590">
        <v>2911.99</v>
      </c>
      <c r="AJ1590">
        <v>0</v>
      </c>
      <c r="AK1590">
        <v>0</v>
      </c>
      <c r="AL1590">
        <v>14114.96</v>
      </c>
      <c r="AM1590">
        <v>5835.68</v>
      </c>
      <c r="AN1590">
        <v>4002.36</v>
      </c>
      <c r="AO1590">
        <v>4795.8500000000004</v>
      </c>
      <c r="AP1590">
        <v>0</v>
      </c>
      <c r="AQ1590">
        <v>0</v>
      </c>
      <c r="AR1590">
        <v>14633.89</v>
      </c>
      <c r="AS1590">
        <v>0</v>
      </c>
      <c r="AT1590">
        <v>0</v>
      </c>
      <c r="AU1590">
        <v>1876.38</v>
      </c>
      <c r="AV1590">
        <v>0</v>
      </c>
      <c r="AW1590">
        <v>0</v>
      </c>
      <c r="AX1590">
        <v>1876.38</v>
      </c>
      <c r="AY1590">
        <v>50891.12</v>
      </c>
      <c r="AZ1590">
        <v>1</v>
      </c>
      <c r="BA1590">
        <v>94</v>
      </c>
      <c r="BB1590">
        <v>40865.659</v>
      </c>
      <c r="BC1590">
        <v>3841371.963</v>
      </c>
      <c r="BD1590">
        <v>12588.155638</v>
      </c>
      <c r="BE1590">
        <v>1539.394</v>
      </c>
      <c r="BF1590">
        <v>726</v>
      </c>
      <c r="BG1590">
        <v>13162.477466</v>
      </c>
      <c r="BH1590">
        <v>2898.4470000000001</v>
      </c>
    </row>
    <row r="1591" spans="1:60" x14ac:dyDescent="0.35">
      <c r="A1591" t="s">
        <v>3278</v>
      </c>
      <c r="B1591" t="s">
        <v>3297</v>
      </c>
      <c r="C1591" t="s">
        <v>3297</v>
      </c>
      <c r="D1591" t="s">
        <v>3298</v>
      </c>
      <c r="E1591">
        <v>31416</v>
      </c>
      <c r="F1591">
        <v>12</v>
      </c>
      <c r="G1591">
        <v>12.47795</v>
      </c>
      <c r="H1591">
        <v>1.0398289999999999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12907.7</v>
      </c>
      <c r="AB1591">
        <v>0</v>
      </c>
      <c r="AC1591">
        <v>18905.990000000002</v>
      </c>
      <c r="AD1591">
        <v>0</v>
      </c>
      <c r="AE1591">
        <v>0</v>
      </c>
      <c r="AF1591">
        <v>31813.69</v>
      </c>
      <c r="AG1591">
        <v>4766.83</v>
      </c>
      <c r="AH1591">
        <v>0</v>
      </c>
      <c r="AI1591">
        <v>3526.21</v>
      </c>
      <c r="AJ1591">
        <v>0</v>
      </c>
      <c r="AK1591">
        <v>0</v>
      </c>
      <c r="AL1591">
        <v>8293.0400000000009</v>
      </c>
      <c r="AM1591">
        <v>725.71</v>
      </c>
      <c r="AN1591">
        <v>0</v>
      </c>
      <c r="AO1591">
        <v>4435.46</v>
      </c>
      <c r="AP1591">
        <v>0</v>
      </c>
      <c r="AQ1591">
        <v>0</v>
      </c>
      <c r="AR1591">
        <v>5161.17</v>
      </c>
      <c r="AS1591">
        <v>538.27</v>
      </c>
      <c r="AT1591">
        <v>0</v>
      </c>
      <c r="AU1591">
        <v>1566.21</v>
      </c>
      <c r="AV1591">
        <v>0</v>
      </c>
      <c r="AW1591">
        <v>0</v>
      </c>
      <c r="AX1591">
        <v>2104.48</v>
      </c>
      <c r="AY1591">
        <v>47372.38</v>
      </c>
      <c r="AZ1591">
        <v>0</v>
      </c>
      <c r="BA1591">
        <v>3</v>
      </c>
      <c r="BB1591">
        <v>51015.582999999999</v>
      </c>
      <c r="BC1591">
        <v>153046.75</v>
      </c>
      <c r="BD1591">
        <v>0</v>
      </c>
      <c r="BE1591">
        <v>0</v>
      </c>
      <c r="BF1591">
        <v>148</v>
      </c>
      <c r="BG1591">
        <v>4737.6889190000002</v>
      </c>
      <c r="BH1591">
        <v>0</v>
      </c>
    </row>
    <row r="1592" spans="1:60" x14ac:dyDescent="0.35">
      <c r="A1592" t="s">
        <v>3278</v>
      </c>
      <c r="B1592" t="s">
        <v>3297</v>
      </c>
      <c r="C1592" t="s">
        <v>3299</v>
      </c>
      <c r="D1592" t="s">
        <v>3300</v>
      </c>
      <c r="E1592">
        <v>21013</v>
      </c>
      <c r="F1592">
        <v>1</v>
      </c>
      <c r="G1592">
        <v>0.5</v>
      </c>
      <c r="H1592">
        <v>0.5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3467.39</v>
      </c>
      <c r="AD1592">
        <v>0</v>
      </c>
      <c r="AE1592">
        <v>0</v>
      </c>
      <c r="AF1592">
        <v>3467.39</v>
      </c>
      <c r="AG1592">
        <v>0</v>
      </c>
      <c r="AH1592">
        <v>0</v>
      </c>
      <c r="AI1592">
        <v>1904.61</v>
      </c>
      <c r="AJ1592">
        <v>0</v>
      </c>
      <c r="AK1592">
        <v>0</v>
      </c>
      <c r="AL1592">
        <v>1904.61</v>
      </c>
      <c r="AM1592">
        <v>0</v>
      </c>
      <c r="AN1592">
        <v>0</v>
      </c>
      <c r="AO1592">
        <v>540.13</v>
      </c>
      <c r="AP1592">
        <v>0</v>
      </c>
      <c r="AQ1592">
        <v>0</v>
      </c>
      <c r="AR1592">
        <v>540.13</v>
      </c>
      <c r="AS1592">
        <v>0</v>
      </c>
      <c r="AT1592">
        <v>0</v>
      </c>
      <c r="AU1592">
        <v>417.65</v>
      </c>
      <c r="AV1592">
        <v>0</v>
      </c>
      <c r="AW1592">
        <v>0</v>
      </c>
      <c r="AX1592">
        <v>417.65</v>
      </c>
      <c r="AY1592">
        <v>6329.78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42</v>
      </c>
      <c r="BG1592">
        <v>45894.284524000002</v>
      </c>
      <c r="BH1592">
        <v>0</v>
      </c>
    </row>
    <row r="1593" spans="1:60" x14ac:dyDescent="0.35">
      <c r="A1593" t="s">
        <v>3278</v>
      </c>
      <c r="B1593" t="s">
        <v>3297</v>
      </c>
      <c r="C1593" t="s">
        <v>3301</v>
      </c>
      <c r="D1593" t="s">
        <v>3302</v>
      </c>
      <c r="E1593">
        <v>2608</v>
      </c>
      <c r="F1593">
        <v>3</v>
      </c>
      <c r="G1593">
        <v>2.8896000000000002</v>
      </c>
      <c r="H1593">
        <v>0.96319999999999995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5</v>
      </c>
      <c r="BG1593">
        <v>14358.585999999999</v>
      </c>
      <c r="BH1593">
        <v>0</v>
      </c>
    </row>
    <row r="1594" spans="1:60" x14ac:dyDescent="0.35">
      <c r="A1594" t="s">
        <v>3278</v>
      </c>
      <c r="B1594" t="s">
        <v>3297</v>
      </c>
      <c r="C1594" t="s">
        <v>3303</v>
      </c>
      <c r="D1594" t="s">
        <v>3304</v>
      </c>
      <c r="E1594">
        <v>5619</v>
      </c>
      <c r="F1594">
        <v>1</v>
      </c>
      <c r="G1594">
        <v>1.008</v>
      </c>
      <c r="H1594">
        <v>1.008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7</v>
      </c>
      <c r="BG1594">
        <v>3218.7785709999998</v>
      </c>
      <c r="BH1594">
        <v>0</v>
      </c>
    </row>
    <row r="1595" spans="1:60" x14ac:dyDescent="0.35">
      <c r="A1595" t="s">
        <v>3278</v>
      </c>
      <c r="B1595" t="s">
        <v>3297</v>
      </c>
      <c r="C1595" t="s">
        <v>3305</v>
      </c>
      <c r="D1595" t="s">
        <v>3306</v>
      </c>
      <c r="E1595">
        <v>6459</v>
      </c>
      <c r="F1595">
        <v>8</v>
      </c>
      <c r="G1595">
        <v>4.4870409999999996</v>
      </c>
      <c r="H1595">
        <v>0.56088009999999999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227.1</v>
      </c>
      <c r="AC1595">
        <v>0</v>
      </c>
      <c r="AD1595">
        <v>0</v>
      </c>
      <c r="AE1595">
        <v>0</v>
      </c>
      <c r="AF1595">
        <v>227.1</v>
      </c>
      <c r="AG1595">
        <v>0</v>
      </c>
      <c r="AH1595">
        <v>44.24</v>
      </c>
      <c r="AI1595">
        <v>0</v>
      </c>
      <c r="AJ1595">
        <v>0</v>
      </c>
      <c r="AK1595">
        <v>0</v>
      </c>
      <c r="AL1595">
        <v>44.24</v>
      </c>
      <c r="AM1595">
        <v>0</v>
      </c>
      <c r="AN1595">
        <v>53.77</v>
      </c>
      <c r="AO1595">
        <v>0</v>
      </c>
      <c r="AP1595">
        <v>0</v>
      </c>
      <c r="AQ1595">
        <v>0</v>
      </c>
      <c r="AR1595">
        <v>53.77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325.11</v>
      </c>
      <c r="AZ1595">
        <v>0</v>
      </c>
      <c r="BA1595">
        <v>1</v>
      </c>
      <c r="BB1595">
        <v>4055.0830000000001</v>
      </c>
      <c r="BC1595">
        <v>4055.0830000000001</v>
      </c>
      <c r="BD1595">
        <v>0</v>
      </c>
      <c r="BE1595">
        <v>0</v>
      </c>
      <c r="BF1595">
        <v>29</v>
      </c>
      <c r="BG1595">
        <v>3842.5793100000001</v>
      </c>
      <c r="BH1595">
        <v>0</v>
      </c>
    </row>
    <row r="1596" spans="1:60" x14ac:dyDescent="0.35">
      <c r="A1596" t="s">
        <v>3278</v>
      </c>
      <c r="B1596" t="s">
        <v>3297</v>
      </c>
      <c r="C1596" t="s">
        <v>3307</v>
      </c>
      <c r="D1596" t="s">
        <v>3308</v>
      </c>
      <c r="E1596">
        <v>22957</v>
      </c>
      <c r="F1596">
        <v>4</v>
      </c>
      <c r="G1596">
        <v>2.2595000000000001</v>
      </c>
      <c r="H1596">
        <v>0.56487500000000002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6924.56</v>
      </c>
      <c r="AD1596">
        <v>0</v>
      </c>
      <c r="AE1596">
        <v>0</v>
      </c>
      <c r="AF1596">
        <v>6924.56</v>
      </c>
      <c r="AG1596">
        <v>0</v>
      </c>
      <c r="AH1596">
        <v>0</v>
      </c>
      <c r="AI1596">
        <v>1820.82</v>
      </c>
      <c r="AJ1596">
        <v>0</v>
      </c>
      <c r="AK1596">
        <v>0</v>
      </c>
      <c r="AL1596">
        <v>1820.82</v>
      </c>
      <c r="AM1596">
        <v>0</v>
      </c>
      <c r="AN1596">
        <v>0</v>
      </c>
      <c r="AO1596">
        <v>1618.87</v>
      </c>
      <c r="AP1596">
        <v>0</v>
      </c>
      <c r="AQ1596">
        <v>0</v>
      </c>
      <c r="AR1596">
        <v>1618.87</v>
      </c>
      <c r="AS1596">
        <v>0</v>
      </c>
      <c r="AT1596">
        <v>0</v>
      </c>
      <c r="AU1596">
        <v>619.65</v>
      </c>
      <c r="AV1596">
        <v>0</v>
      </c>
      <c r="AW1596">
        <v>0</v>
      </c>
      <c r="AX1596">
        <v>619.65</v>
      </c>
      <c r="AY1596">
        <v>10983.9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45</v>
      </c>
      <c r="BG1596">
        <v>267.98888899999997</v>
      </c>
      <c r="BH1596">
        <v>0</v>
      </c>
    </row>
    <row r="1597" spans="1:60" x14ac:dyDescent="0.35">
      <c r="A1597" t="s">
        <v>3278</v>
      </c>
      <c r="B1597" t="s">
        <v>3297</v>
      </c>
      <c r="C1597" t="s">
        <v>3309</v>
      </c>
      <c r="D1597" t="s">
        <v>3310</v>
      </c>
      <c r="E1597">
        <v>10695</v>
      </c>
      <c r="F1597">
        <v>9</v>
      </c>
      <c r="G1597">
        <v>7.7779860000000003</v>
      </c>
      <c r="H1597">
        <v>0.86422069999999995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9988.4</v>
      </c>
      <c r="AB1597">
        <v>0</v>
      </c>
      <c r="AC1597">
        <v>7436.27</v>
      </c>
      <c r="AD1597">
        <v>0</v>
      </c>
      <c r="AE1597">
        <v>0</v>
      </c>
      <c r="AF1597">
        <v>17424.669999999998</v>
      </c>
      <c r="AG1597">
        <v>3912.71</v>
      </c>
      <c r="AH1597">
        <v>0</v>
      </c>
      <c r="AI1597">
        <v>2687.18</v>
      </c>
      <c r="AJ1597">
        <v>0</v>
      </c>
      <c r="AK1597">
        <v>0</v>
      </c>
      <c r="AL1597">
        <v>6599.89</v>
      </c>
      <c r="AM1597">
        <v>262.52</v>
      </c>
      <c r="AN1597">
        <v>0</v>
      </c>
      <c r="AO1597">
        <v>1503.32</v>
      </c>
      <c r="AP1597">
        <v>0</v>
      </c>
      <c r="AQ1597">
        <v>0</v>
      </c>
      <c r="AR1597">
        <v>1765.84</v>
      </c>
      <c r="AS1597">
        <v>174.94</v>
      </c>
      <c r="AT1597">
        <v>0</v>
      </c>
      <c r="AU1597">
        <v>177.13</v>
      </c>
      <c r="AV1597">
        <v>0</v>
      </c>
      <c r="AW1597">
        <v>0</v>
      </c>
      <c r="AX1597">
        <v>352.07</v>
      </c>
      <c r="AY1597">
        <v>26142.47</v>
      </c>
      <c r="AZ1597">
        <v>0</v>
      </c>
      <c r="BA1597">
        <v>1</v>
      </c>
      <c r="BB1597">
        <v>3150.25</v>
      </c>
      <c r="BC1597">
        <v>3150.25</v>
      </c>
      <c r="BD1597">
        <v>0</v>
      </c>
      <c r="BE1597">
        <v>0</v>
      </c>
      <c r="BF1597">
        <v>58</v>
      </c>
      <c r="BG1597">
        <v>6243.7546549999997</v>
      </c>
      <c r="BH1597">
        <v>32.918999999999997</v>
      </c>
    </row>
    <row r="1598" spans="1:60" x14ac:dyDescent="0.35">
      <c r="A1598" t="s">
        <v>3278</v>
      </c>
      <c r="B1598" t="s">
        <v>3297</v>
      </c>
      <c r="C1598" t="s">
        <v>3311</v>
      </c>
      <c r="D1598" t="s">
        <v>3312</v>
      </c>
      <c r="E1598">
        <v>10967</v>
      </c>
      <c r="F1598">
        <v>1</v>
      </c>
      <c r="G1598">
        <v>0.24</v>
      </c>
      <c r="H1598">
        <v>0.24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1</v>
      </c>
      <c r="BB1598">
        <v>38315.667000000001</v>
      </c>
      <c r="BC1598">
        <v>38315.667000000001</v>
      </c>
      <c r="BD1598">
        <v>0</v>
      </c>
      <c r="BE1598">
        <v>0</v>
      </c>
      <c r="BF1598">
        <v>28</v>
      </c>
      <c r="BG1598">
        <v>4970.5642859999998</v>
      </c>
      <c r="BH1598">
        <v>0</v>
      </c>
    </row>
    <row r="1599" spans="1:60" x14ac:dyDescent="0.35">
      <c r="A1599" t="s">
        <v>3278</v>
      </c>
      <c r="B1599" t="s">
        <v>3297</v>
      </c>
      <c r="C1599" t="s">
        <v>3313</v>
      </c>
      <c r="D1599" t="s">
        <v>3314</v>
      </c>
      <c r="E1599">
        <v>1491</v>
      </c>
      <c r="F1599" t="s">
        <v>81</v>
      </c>
      <c r="G1599" t="s">
        <v>81</v>
      </c>
      <c r="H1599" t="s">
        <v>81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3</v>
      </c>
      <c r="BG1599">
        <v>7854.8333329999996</v>
      </c>
      <c r="BH1599">
        <v>0</v>
      </c>
    </row>
    <row r="1600" spans="1:60" x14ac:dyDescent="0.35">
      <c r="A1600" t="s">
        <v>3278</v>
      </c>
      <c r="B1600" t="s">
        <v>3297</v>
      </c>
      <c r="C1600" t="s">
        <v>3315</v>
      </c>
      <c r="D1600" t="s">
        <v>3316</v>
      </c>
      <c r="E1600">
        <v>12108</v>
      </c>
      <c r="F1600">
        <v>11</v>
      </c>
      <c r="G1600">
        <v>4.91</v>
      </c>
      <c r="H1600">
        <v>0.44636360000000003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40</v>
      </c>
      <c r="BG1600">
        <v>16072.20325</v>
      </c>
      <c r="BH1600">
        <v>0</v>
      </c>
    </row>
    <row r="1601" spans="1:60" x14ac:dyDescent="0.35">
      <c r="A1601" t="s">
        <v>3278</v>
      </c>
      <c r="B1601" t="s">
        <v>3266</v>
      </c>
      <c r="C1601" t="s">
        <v>3317</v>
      </c>
      <c r="D1601" t="s">
        <v>3318</v>
      </c>
      <c r="E1601">
        <v>29316</v>
      </c>
      <c r="F1601">
        <v>18</v>
      </c>
      <c r="G1601">
        <v>21.968979999999998</v>
      </c>
      <c r="H1601">
        <v>1.220499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17944.84</v>
      </c>
      <c r="AB1601">
        <v>12323.92</v>
      </c>
      <c r="AC1601">
        <v>45280.1</v>
      </c>
      <c r="AD1601">
        <v>0</v>
      </c>
      <c r="AE1601">
        <v>862.02</v>
      </c>
      <c r="AF1601">
        <v>76410.880000000005</v>
      </c>
      <c r="AG1601">
        <v>4864.54</v>
      </c>
      <c r="AH1601">
        <v>3946.35</v>
      </c>
      <c r="AI1601">
        <v>7351.1</v>
      </c>
      <c r="AJ1601">
        <v>0</v>
      </c>
      <c r="AK1601">
        <v>1480.39</v>
      </c>
      <c r="AL1601">
        <v>17642.38</v>
      </c>
      <c r="AM1601">
        <v>401.45</v>
      </c>
      <c r="AN1601">
        <v>331.01</v>
      </c>
      <c r="AO1601">
        <v>13010.42</v>
      </c>
      <c r="AP1601">
        <v>0</v>
      </c>
      <c r="AQ1601">
        <v>402.97</v>
      </c>
      <c r="AR1601">
        <v>14145.85</v>
      </c>
      <c r="AS1601">
        <v>0</v>
      </c>
      <c r="AT1601">
        <v>0</v>
      </c>
      <c r="AU1601">
        <v>2252.2600000000002</v>
      </c>
      <c r="AV1601">
        <v>0</v>
      </c>
      <c r="AW1601">
        <v>0</v>
      </c>
      <c r="AX1601">
        <v>2252.2600000000002</v>
      </c>
      <c r="AY1601">
        <v>110451.37</v>
      </c>
      <c r="AZ1601">
        <v>0</v>
      </c>
      <c r="BA1601">
        <v>6</v>
      </c>
      <c r="BB1601">
        <v>41701.389000000003</v>
      </c>
      <c r="BC1601">
        <v>250208.33300000001</v>
      </c>
      <c r="BD1601">
        <v>0.83333299999999999</v>
      </c>
      <c r="BE1601">
        <v>1921.7729999999999</v>
      </c>
      <c r="BF1601">
        <v>212</v>
      </c>
      <c r="BG1601">
        <v>3264.9953770000002</v>
      </c>
      <c r="BH1601">
        <v>157.46600000000001</v>
      </c>
    </row>
    <row r="1602" spans="1:60" x14ac:dyDescent="0.35">
      <c r="A1602" t="s">
        <v>3278</v>
      </c>
      <c r="B1602" t="s">
        <v>3266</v>
      </c>
      <c r="C1602" t="s">
        <v>3319</v>
      </c>
      <c r="D1602" t="s">
        <v>3320</v>
      </c>
      <c r="E1602">
        <v>7266</v>
      </c>
      <c r="F1602">
        <v>11</v>
      </c>
      <c r="G1602">
        <v>11.998670000000001</v>
      </c>
      <c r="H1602">
        <v>1.0907880000000001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9486.4</v>
      </c>
      <c r="AD1602">
        <v>0</v>
      </c>
      <c r="AE1602">
        <v>0</v>
      </c>
      <c r="AF1602">
        <v>9486.4</v>
      </c>
      <c r="AG1602">
        <v>0</v>
      </c>
      <c r="AH1602">
        <v>0</v>
      </c>
      <c r="AI1602">
        <v>2676.39</v>
      </c>
      <c r="AJ1602">
        <v>0</v>
      </c>
      <c r="AK1602">
        <v>0</v>
      </c>
      <c r="AL1602">
        <v>2676.39</v>
      </c>
      <c r="AM1602">
        <v>0</v>
      </c>
      <c r="AN1602">
        <v>0</v>
      </c>
      <c r="AO1602">
        <v>2375.09</v>
      </c>
      <c r="AP1602">
        <v>0</v>
      </c>
      <c r="AQ1602">
        <v>0</v>
      </c>
      <c r="AR1602">
        <v>2375.09</v>
      </c>
      <c r="AS1602">
        <v>0</v>
      </c>
      <c r="AT1602">
        <v>0</v>
      </c>
      <c r="AU1602">
        <v>287.14999999999998</v>
      </c>
      <c r="AV1602">
        <v>0</v>
      </c>
      <c r="AW1602">
        <v>0</v>
      </c>
      <c r="AX1602">
        <v>287.14999999999998</v>
      </c>
      <c r="AY1602">
        <v>14825.03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32</v>
      </c>
      <c r="BG1602">
        <v>6.25E-2</v>
      </c>
      <c r="BH1602">
        <v>0</v>
      </c>
    </row>
    <row r="1603" spans="1:60" x14ac:dyDescent="0.35">
      <c r="A1603" t="s">
        <v>3278</v>
      </c>
      <c r="B1603" t="s">
        <v>3266</v>
      </c>
      <c r="C1603" t="s">
        <v>3321</v>
      </c>
      <c r="D1603" t="s">
        <v>3322</v>
      </c>
      <c r="E1603">
        <v>11563</v>
      </c>
      <c r="F1603" t="s">
        <v>81</v>
      </c>
      <c r="G1603" t="s">
        <v>81</v>
      </c>
      <c r="H1603" t="s">
        <v>81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16</v>
      </c>
      <c r="BG1603">
        <v>304.96875</v>
      </c>
      <c r="BH1603">
        <v>0</v>
      </c>
    </row>
    <row r="1604" spans="1:60" x14ac:dyDescent="0.35">
      <c r="A1604" t="s">
        <v>3278</v>
      </c>
      <c r="B1604" t="s">
        <v>3266</v>
      </c>
      <c r="C1604" t="s">
        <v>3323</v>
      </c>
      <c r="D1604" t="s">
        <v>3324</v>
      </c>
      <c r="E1604">
        <v>36992</v>
      </c>
      <c r="F1604">
        <v>5</v>
      </c>
      <c r="G1604">
        <v>1.571933</v>
      </c>
      <c r="H1604">
        <v>0.31438660000000002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3815.81</v>
      </c>
      <c r="AC1604">
        <v>10093.17</v>
      </c>
      <c r="AD1604">
        <v>0</v>
      </c>
      <c r="AE1604">
        <v>0</v>
      </c>
      <c r="AF1604">
        <v>13908.98</v>
      </c>
      <c r="AG1604">
        <v>0</v>
      </c>
      <c r="AH1604">
        <v>3722.28</v>
      </c>
      <c r="AI1604">
        <v>3502.7</v>
      </c>
      <c r="AJ1604">
        <v>0</v>
      </c>
      <c r="AK1604">
        <v>0</v>
      </c>
      <c r="AL1604">
        <v>7224.98</v>
      </c>
      <c r="AM1604">
        <v>0</v>
      </c>
      <c r="AN1604">
        <v>1600.73</v>
      </c>
      <c r="AO1604">
        <v>2554.3200000000002</v>
      </c>
      <c r="AP1604">
        <v>0</v>
      </c>
      <c r="AQ1604">
        <v>0</v>
      </c>
      <c r="AR1604">
        <v>4155.05</v>
      </c>
      <c r="AS1604">
        <v>0</v>
      </c>
      <c r="AT1604">
        <v>0</v>
      </c>
      <c r="AU1604">
        <v>160.77000000000001</v>
      </c>
      <c r="AV1604">
        <v>0</v>
      </c>
      <c r="AW1604">
        <v>0</v>
      </c>
      <c r="AX1604">
        <v>160.77000000000001</v>
      </c>
      <c r="AY1604">
        <v>25449.78</v>
      </c>
      <c r="AZ1604">
        <v>0</v>
      </c>
      <c r="BA1604">
        <v>3</v>
      </c>
      <c r="BB1604">
        <v>84762.055999999997</v>
      </c>
      <c r="BC1604">
        <v>254286.16699999999</v>
      </c>
      <c r="BD1604">
        <v>127256.303333</v>
      </c>
      <c r="BE1604">
        <v>0</v>
      </c>
      <c r="BF1604">
        <v>60</v>
      </c>
      <c r="BG1604">
        <v>10314.1515</v>
      </c>
      <c r="BH1604">
        <v>0</v>
      </c>
    </row>
    <row r="1605" spans="1:60" x14ac:dyDescent="0.35">
      <c r="A1605" t="s">
        <v>3278</v>
      </c>
      <c r="B1605" t="s">
        <v>3266</v>
      </c>
      <c r="C1605" t="s">
        <v>3325</v>
      </c>
      <c r="D1605" t="s">
        <v>3326</v>
      </c>
      <c r="E1605">
        <v>3936</v>
      </c>
      <c r="F1605" t="s">
        <v>81</v>
      </c>
      <c r="G1605" t="s">
        <v>81</v>
      </c>
      <c r="H1605" t="s">
        <v>81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 t="s">
        <v>81</v>
      </c>
      <c r="BB1605" t="s">
        <v>81</v>
      </c>
      <c r="BC1605" t="s">
        <v>81</v>
      </c>
      <c r="BD1605" t="s">
        <v>81</v>
      </c>
      <c r="BE1605" t="s">
        <v>81</v>
      </c>
      <c r="BF1605" t="s">
        <v>81</v>
      </c>
      <c r="BG1605" t="s">
        <v>81</v>
      </c>
      <c r="BH1605" t="s">
        <v>81</v>
      </c>
    </row>
    <row r="1606" spans="1:60" x14ac:dyDescent="0.35">
      <c r="A1606" t="s">
        <v>3278</v>
      </c>
      <c r="B1606" t="s">
        <v>3266</v>
      </c>
      <c r="C1606" t="s">
        <v>3327</v>
      </c>
      <c r="D1606" t="s">
        <v>3328</v>
      </c>
      <c r="E1606">
        <v>9517</v>
      </c>
      <c r="F1606">
        <v>1</v>
      </c>
      <c r="G1606">
        <v>1.75</v>
      </c>
      <c r="H1606">
        <v>1.75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22</v>
      </c>
      <c r="BG1606">
        <v>469.081818</v>
      </c>
      <c r="BH1606">
        <v>0</v>
      </c>
    </row>
    <row r="1607" spans="1:60" x14ac:dyDescent="0.35">
      <c r="A1607" t="s">
        <v>3278</v>
      </c>
      <c r="B1607" t="s">
        <v>3266</v>
      </c>
      <c r="C1607" t="s">
        <v>3329</v>
      </c>
      <c r="D1607" t="s">
        <v>3330</v>
      </c>
      <c r="E1607">
        <v>7160</v>
      </c>
      <c r="F1607">
        <v>1</v>
      </c>
      <c r="G1607">
        <v>0.55000000000000004</v>
      </c>
      <c r="H1607">
        <v>0.55000000000000004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24</v>
      </c>
      <c r="BG1607">
        <v>1853.690417</v>
      </c>
      <c r="BH1607">
        <v>0</v>
      </c>
    </row>
    <row r="1608" spans="1:60" x14ac:dyDescent="0.35">
      <c r="A1608" t="s">
        <v>3278</v>
      </c>
      <c r="B1608" t="s">
        <v>3266</v>
      </c>
      <c r="C1608" t="s">
        <v>3331</v>
      </c>
      <c r="D1608" t="s">
        <v>3332</v>
      </c>
      <c r="E1608">
        <v>11415</v>
      </c>
      <c r="F1608">
        <v>1</v>
      </c>
      <c r="G1608">
        <v>0.54700000000000004</v>
      </c>
      <c r="H1608">
        <v>0.54700000000000004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24</v>
      </c>
      <c r="BG1608">
        <v>607.09583299999997</v>
      </c>
      <c r="BH1608">
        <v>0</v>
      </c>
    </row>
    <row r="1609" spans="1:60" x14ac:dyDescent="0.35">
      <c r="A1609" t="s">
        <v>3278</v>
      </c>
      <c r="B1609" t="s">
        <v>3333</v>
      </c>
      <c r="C1609" t="s">
        <v>3334</v>
      </c>
      <c r="D1609" t="s">
        <v>3335</v>
      </c>
      <c r="E1609">
        <v>92419</v>
      </c>
      <c r="F1609">
        <v>93</v>
      </c>
      <c r="G1609">
        <v>108.1254</v>
      </c>
      <c r="H1609">
        <v>1.162639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48917.81</v>
      </c>
      <c r="AB1609">
        <v>12590.83</v>
      </c>
      <c r="AC1609">
        <v>54810.18</v>
      </c>
      <c r="AD1609">
        <v>0</v>
      </c>
      <c r="AE1609">
        <v>2357.41</v>
      </c>
      <c r="AF1609">
        <v>118676.23</v>
      </c>
      <c r="AG1609">
        <v>28822.6</v>
      </c>
      <c r="AH1609">
        <v>5666.77</v>
      </c>
      <c r="AI1609">
        <v>19816.38</v>
      </c>
      <c r="AJ1609">
        <v>0</v>
      </c>
      <c r="AK1609">
        <v>4251.04</v>
      </c>
      <c r="AL1609">
        <v>58556.79</v>
      </c>
      <c r="AM1609">
        <v>8614.35</v>
      </c>
      <c r="AN1609">
        <v>8919.19</v>
      </c>
      <c r="AO1609">
        <v>11904.3</v>
      </c>
      <c r="AP1609">
        <v>0</v>
      </c>
      <c r="AQ1609">
        <v>884</v>
      </c>
      <c r="AR1609">
        <v>30321.84</v>
      </c>
      <c r="AS1609">
        <v>1145.4100000000001</v>
      </c>
      <c r="AT1609">
        <v>0</v>
      </c>
      <c r="AU1609">
        <v>3413.94</v>
      </c>
      <c r="AV1609">
        <v>0</v>
      </c>
      <c r="AW1609">
        <v>0</v>
      </c>
      <c r="AX1609">
        <v>4559.3500000000004</v>
      </c>
      <c r="AY1609">
        <v>212114.21</v>
      </c>
      <c r="AZ1609">
        <v>0</v>
      </c>
      <c r="BA1609">
        <v>19</v>
      </c>
      <c r="BB1609">
        <v>44774.684999999998</v>
      </c>
      <c r="BC1609">
        <v>850719.01300000004</v>
      </c>
      <c r="BD1609">
        <v>5.2631999999999998E-2</v>
      </c>
      <c r="BE1609">
        <v>331.82299999999998</v>
      </c>
      <c r="BF1609">
        <v>455</v>
      </c>
      <c r="BG1609">
        <v>4329.8958460000003</v>
      </c>
      <c r="BH1609">
        <v>825.279</v>
      </c>
    </row>
    <row r="1610" spans="1:60" x14ac:dyDescent="0.35">
      <c r="A1610" t="s">
        <v>3278</v>
      </c>
      <c r="B1610" t="s">
        <v>3333</v>
      </c>
      <c r="C1610" t="s">
        <v>3336</v>
      </c>
      <c r="D1610" t="s">
        <v>3337</v>
      </c>
      <c r="E1610">
        <v>10661</v>
      </c>
      <c r="F1610">
        <v>8</v>
      </c>
      <c r="G1610">
        <v>11.758559999999999</v>
      </c>
      <c r="H1610">
        <v>1.4698199999999999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2</v>
      </c>
      <c r="BB1610">
        <v>82223.667000000001</v>
      </c>
      <c r="BC1610">
        <v>164447.33300000001</v>
      </c>
      <c r="BD1610">
        <v>0</v>
      </c>
      <c r="BE1610">
        <v>0</v>
      </c>
      <c r="BF1610">
        <v>30</v>
      </c>
      <c r="BG1610">
        <v>10780.222333</v>
      </c>
      <c r="BH1610">
        <v>0</v>
      </c>
    </row>
    <row r="1611" spans="1:60" x14ac:dyDescent="0.35">
      <c r="A1611" t="s">
        <v>3278</v>
      </c>
      <c r="B1611" t="s">
        <v>3333</v>
      </c>
      <c r="C1611" t="s">
        <v>3338</v>
      </c>
      <c r="D1611" t="s">
        <v>3339</v>
      </c>
      <c r="E1611">
        <v>7193</v>
      </c>
      <c r="F1611">
        <v>3</v>
      </c>
      <c r="G1611">
        <v>0.76180000000000003</v>
      </c>
      <c r="H1611">
        <v>0.25393329999999997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6327.15</v>
      </c>
      <c r="AD1611">
        <v>0</v>
      </c>
      <c r="AE1611">
        <v>0</v>
      </c>
      <c r="AF1611">
        <v>6327.15</v>
      </c>
      <c r="AG1611">
        <v>0</v>
      </c>
      <c r="AH1611">
        <v>0</v>
      </c>
      <c r="AI1611">
        <v>1515.84</v>
      </c>
      <c r="AJ1611">
        <v>0</v>
      </c>
      <c r="AK1611">
        <v>0</v>
      </c>
      <c r="AL1611">
        <v>1515.84</v>
      </c>
      <c r="AM1611">
        <v>0</v>
      </c>
      <c r="AN1611">
        <v>0</v>
      </c>
      <c r="AO1611">
        <v>734.07</v>
      </c>
      <c r="AP1611">
        <v>0</v>
      </c>
      <c r="AQ1611">
        <v>0</v>
      </c>
      <c r="AR1611">
        <v>734.07</v>
      </c>
      <c r="AS1611">
        <v>0</v>
      </c>
      <c r="AT1611">
        <v>0</v>
      </c>
      <c r="AU1611">
        <v>710.77</v>
      </c>
      <c r="AV1611">
        <v>0</v>
      </c>
      <c r="AW1611">
        <v>0</v>
      </c>
      <c r="AX1611">
        <v>710.77</v>
      </c>
      <c r="AY1611">
        <v>9287.83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19</v>
      </c>
      <c r="BG1611">
        <v>810.94736799999998</v>
      </c>
      <c r="BH1611">
        <v>0</v>
      </c>
    </row>
    <row r="1612" spans="1:60" x14ac:dyDescent="0.35">
      <c r="A1612" t="s">
        <v>3278</v>
      </c>
      <c r="B1612" t="s">
        <v>3333</v>
      </c>
      <c r="C1612" t="s">
        <v>3340</v>
      </c>
      <c r="D1612" t="s">
        <v>3341</v>
      </c>
      <c r="E1612">
        <v>15713</v>
      </c>
      <c r="F1612">
        <v>11</v>
      </c>
      <c r="G1612">
        <v>14.445959999999999</v>
      </c>
      <c r="H1612">
        <v>1.313269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3285.45</v>
      </c>
      <c r="AB1612">
        <v>0</v>
      </c>
      <c r="AC1612">
        <v>5114.6400000000003</v>
      </c>
      <c r="AD1612">
        <v>0</v>
      </c>
      <c r="AE1612">
        <v>0</v>
      </c>
      <c r="AF1612">
        <v>8400.09</v>
      </c>
      <c r="AG1612">
        <v>2940.8</v>
      </c>
      <c r="AH1612">
        <v>0</v>
      </c>
      <c r="AI1612">
        <v>2330.69</v>
      </c>
      <c r="AJ1612">
        <v>0</v>
      </c>
      <c r="AK1612">
        <v>0</v>
      </c>
      <c r="AL1612">
        <v>5271.49</v>
      </c>
      <c r="AM1612">
        <v>1142.55</v>
      </c>
      <c r="AN1612">
        <v>0</v>
      </c>
      <c r="AO1612">
        <v>1516.31</v>
      </c>
      <c r="AP1612">
        <v>0</v>
      </c>
      <c r="AQ1612">
        <v>0</v>
      </c>
      <c r="AR1612">
        <v>2658.86</v>
      </c>
      <c r="AS1612">
        <v>0</v>
      </c>
      <c r="AT1612">
        <v>0</v>
      </c>
      <c r="AU1612">
        <v>123.43</v>
      </c>
      <c r="AV1612">
        <v>0</v>
      </c>
      <c r="AW1612">
        <v>0</v>
      </c>
      <c r="AX1612">
        <v>123.43</v>
      </c>
      <c r="AY1612">
        <v>16453.87</v>
      </c>
      <c r="AZ1612">
        <v>0</v>
      </c>
      <c r="BA1612">
        <v>2</v>
      </c>
      <c r="BB1612">
        <v>6564.1670000000004</v>
      </c>
      <c r="BC1612">
        <v>13128.333000000001</v>
      </c>
      <c r="BD1612">
        <v>3140.53</v>
      </c>
      <c r="BE1612">
        <v>0</v>
      </c>
      <c r="BF1612">
        <v>33</v>
      </c>
      <c r="BG1612">
        <v>2394.9378790000001</v>
      </c>
      <c r="BH1612">
        <v>0</v>
      </c>
    </row>
    <row r="1613" spans="1:60" x14ac:dyDescent="0.35">
      <c r="A1613" t="s">
        <v>3278</v>
      </c>
      <c r="B1613" t="s">
        <v>3333</v>
      </c>
      <c r="C1613" t="s">
        <v>3333</v>
      </c>
      <c r="D1613" t="s">
        <v>3342</v>
      </c>
      <c r="E1613">
        <v>16616</v>
      </c>
      <c r="F1613">
        <v>13</v>
      </c>
      <c r="G1613">
        <v>13.885899999999999</v>
      </c>
      <c r="H1613">
        <v>1.068146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22057.67</v>
      </c>
      <c r="AB1613">
        <v>0</v>
      </c>
      <c r="AC1613">
        <v>11473.36</v>
      </c>
      <c r="AD1613">
        <v>0</v>
      </c>
      <c r="AE1613">
        <v>2429.58</v>
      </c>
      <c r="AF1613">
        <v>35960.61</v>
      </c>
      <c r="AG1613">
        <v>8169.47</v>
      </c>
      <c r="AH1613">
        <v>0</v>
      </c>
      <c r="AI1613">
        <v>2214.63</v>
      </c>
      <c r="AJ1613">
        <v>0</v>
      </c>
      <c r="AK1613">
        <v>3231.69</v>
      </c>
      <c r="AL1613">
        <v>13615.79</v>
      </c>
      <c r="AM1613">
        <v>1881.53</v>
      </c>
      <c r="AN1613">
        <v>0</v>
      </c>
      <c r="AO1613">
        <v>2708.26</v>
      </c>
      <c r="AP1613">
        <v>0</v>
      </c>
      <c r="AQ1613">
        <v>477.69</v>
      </c>
      <c r="AR1613">
        <v>5067.4799999999996</v>
      </c>
      <c r="AS1613">
        <v>160.41</v>
      </c>
      <c r="AT1613">
        <v>0</v>
      </c>
      <c r="AU1613">
        <v>969.41</v>
      </c>
      <c r="AV1613">
        <v>0</v>
      </c>
      <c r="AW1613">
        <v>0</v>
      </c>
      <c r="AX1613">
        <v>1129.82</v>
      </c>
      <c r="AY1613">
        <v>55773.7</v>
      </c>
      <c r="AZ1613">
        <v>0</v>
      </c>
      <c r="BA1613">
        <v>3</v>
      </c>
      <c r="BB1613">
        <v>100087.417</v>
      </c>
      <c r="BC1613">
        <v>300262.25</v>
      </c>
      <c r="BD1613">
        <v>0</v>
      </c>
      <c r="BE1613">
        <v>138.93299999999999</v>
      </c>
      <c r="BF1613">
        <v>69</v>
      </c>
      <c r="BG1613">
        <v>7623.6533330000002</v>
      </c>
      <c r="BH1613">
        <v>242.565</v>
      </c>
    </row>
    <row r="1614" spans="1:60" x14ac:dyDescent="0.35">
      <c r="A1614" t="s">
        <v>3278</v>
      </c>
      <c r="B1614" t="s">
        <v>3333</v>
      </c>
      <c r="C1614" t="s">
        <v>3343</v>
      </c>
      <c r="D1614" t="s">
        <v>3344</v>
      </c>
      <c r="E1614">
        <v>9292</v>
      </c>
      <c r="F1614">
        <v>4</v>
      </c>
      <c r="G1614">
        <v>2.1963200000000001</v>
      </c>
      <c r="H1614">
        <v>0.54908000000000001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6153.83</v>
      </c>
      <c r="AD1614">
        <v>0</v>
      </c>
      <c r="AE1614">
        <v>0</v>
      </c>
      <c r="AF1614">
        <v>6153.83</v>
      </c>
      <c r="AG1614">
        <v>0</v>
      </c>
      <c r="AH1614">
        <v>0</v>
      </c>
      <c r="AI1614">
        <v>2644.65</v>
      </c>
      <c r="AJ1614">
        <v>0</v>
      </c>
      <c r="AK1614">
        <v>0</v>
      </c>
      <c r="AL1614">
        <v>2644.65</v>
      </c>
      <c r="AM1614">
        <v>0</v>
      </c>
      <c r="AN1614">
        <v>0</v>
      </c>
      <c r="AO1614">
        <v>1600.19</v>
      </c>
      <c r="AP1614">
        <v>0</v>
      </c>
      <c r="AQ1614">
        <v>0</v>
      </c>
      <c r="AR1614">
        <v>1600.19</v>
      </c>
      <c r="AS1614">
        <v>0</v>
      </c>
      <c r="AT1614">
        <v>0</v>
      </c>
      <c r="AU1614">
        <v>715.75</v>
      </c>
      <c r="AV1614">
        <v>0</v>
      </c>
      <c r="AW1614">
        <v>0</v>
      </c>
      <c r="AX1614">
        <v>715.75</v>
      </c>
      <c r="AY1614">
        <v>11114.42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23</v>
      </c>
      <c r="BG1614">
        <v>280.60956499999998</v>
      </c>
      <c r="BH1614">
        <v>315.42899999999997</v>
      </c>
    </row>
    <row r="1615" spans="1:60" x14ac:dyDescent="0.35">
      <c r="A1615" t="s">
        <v>3278</v>
      </c>
      <c r="B1615" t="s">
        <v>3333</v>
      </c>
      <c r="C1615" t="s">
        <v>3345</v>
      </c>
      <c r="D1615" t="s">
        <v>3346</v>
      </c>
      <c r="E1615">
        <v>6649</v>
      </c>
      <c r="F1615">
        <v>5</v>
      </c>
      <c r="G1615">
        <v>6.0495999999999999</v>
      </c>
      <c r="H1615">
        <v>1.2099200000000001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1</v>
      </c>
      <c r="BB1615">
        <v>49134.832999999999</v>
      </c>
      <c r="BC1615">
        <v>49134.832999999999</v>
      </c>
      <c r="BD1615">
        <v>0</v>
      </c>
      <c r="BE1615">
        <v>0</v>
      </c>
      <c r="BF1615">
        <v>12</v>
      </c>
      <c r="BG1615">
        <v>17705.695833000002</v>
      </c>
      <c r="BH1615">
        <v>0</v>
      </c>
    </row>
    <row r="1616" spans="1:60" x14ac:dyDescent="0.35">
      <c r="A1616" t="s">
        <v>3278</v>
      </c>
      <c r="B1616" t="s">
        <v>3333</v>
      </c>
      <c r="C1616" t="s">
        <v>3347</v>
      </c>
      <c r="D1616" t="s">
        <v>3348</v>
      </c>
      <c r="E1616">
        <v>3675</v>
      </c>
      <c r="F1616" t="s">
        <v>81</v>
      </c>
      <c r="G1616" t="s">
        <v>81</v>
      </c>
      <c r="H1616" t="s">
        <v>81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6</v>
      </c>
      <c r="BG1616">
        <v>51.5</v>
      </c>
      <c r="BH1616">
        <v>0</v>
      </c>
    </row>
    <row r="1617" spans="1:60" x14ac:dyDescent="0.35">
      <c r="A1617" t="s">
        <v>3278</v>
      </c>
      <c r="B1617" t="s">
        <v>3333</v>
      </c>
      <c r="C1617" t="s">
        <v>3349</v>
      </c>
      <c r="D1617" t="s">
        <v>3350</v>
      </c>
      <c r="E1617">
        <v>5458</v>
      </c>
      <c r="F1617">
        <v>1</v>
      </c>
      <c r="G1617">
        <v>1.6875</v>
      </c>
      <c r="H1617">
        <v>1.6875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20</v>
      </c>
      <c r="BG1617">
        <v>31748.052</v>
      </c>
      <c r="BH1617">
        <v>0</v>
      </c>
    </row>
    <row r="1618" spans="1:60" x14ac:dyDescent="0.35">
      <c r="A1618" t="s">
        <v>3278</v>
      </c>
      <c r="B1618" t="s">
        <v>3333</v>
      </c>
      <c r="C1618" t="s">
        <v>3351</v>
      </c>
      <c r="D1618" t="s">
        <v>3352</v>
      </c>
      <c r="E1618">
        <v>8409</v>
      </c>
      <c r="F1618">
        <v>1</v>
      </c>
      <c r="G1618">
        <v>0.18</v>
      </c>
      <c r="H1618">
        <v>0.18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18</v>
      </c>
      <c r="BG1618">
        <v>3715.9444440000002</v>
      </c>
      <c r="BH1618">
        <v>0</v>
      </c>
    </row>
    <row r="1619" spans="1:60" x14ac:dyDescent="0.35">
      <c r="A1619" t="s">
        <v>3278</v>
      </c>
      <c r="B1619" t="s">
        <v>3353</v>
      </c>
      <c r="C1619" t="s">
        <v>3353</v>
      </c>
      <c r="D1619" t="s">
        <v>3354</v>
      </c>
      <c r="E1619">
        <v>111455</v>
      </c>
      <c r="F1619">
        <v>180</v>
      </c>
      <c r="G1619">
        <v>236.0333</v>
      </c>
      <c r="H1619">
        <v>1.311296</v>
      </c>
      <c r="I1619">
        <v>35145.040000000001</v>
      </c>
      <c r="J1619">
        <v>0</v>
      </c>
      <c r="K1619">
        <v>0</v>
      </c>
      <c r="L1619">
        <v>0</v>
      </c>
      <c r="M1619">
        <v>0</v>
      </c>
      <c r="N1619">
        <v>35145.040000000001</v>
      </c>
      <c r="O1619">
        <v>500.06</v>
      </c>
      <c r="P1619">
        <v>0</v>
      </c>
      <c r="Q1619">
        <v>247.58</v>
      </c>
      <c r="R1619">
        <v>0</v>
      </c>
      <c r="S1619">
        <v>0</v>
      </c>
      <c r="T1619">
        <v>747.64</v>
      </c>
      <c r="U1619">
        <v>8007.66</v>
      </c>
      <c r="V1619">
        <v>0</v>
      </c>
      <c r="W1619">
        <v>414.2</v>
      </c>
      <c r="X1619">
        <v>0</v>
      </c>
      <c r="Y1619">
        <v>0</v>
      </c>
      <c r="Z1619">
        <v>8421.86</v>
      </c>
      <c r="AA1619">
        <v>66666.33</v>
      </c>
      <c r="AB1619">
        <v>8620.58</v>
      </c>
      <c r="AC1619">
        <v>60524.81</v>
      </c>
      <c r="AD1619">
        <v>0</v>
      </c>
      <c r="AE1619">
        <v>0</v>
      </c>
      <c r="AF1619">
        <v>135811.72</v>
      </c>
      <c r="AG1619">
        <v>14383.49</v>
      </c>
      <c r="AH1619">
        <v>2933.99</v>
      </c>
      <c r="AI1619">
        <v>14050.52</v>
      </c>
      <c r="AJ1619">
        <v>0</v>
      </c>
      <c r="AK1619">
        <v>0</v>
      </c>
      <c r="AL1619">
        <v>31368</v>
      </c>
      <c r="AM1619">
        <v>62696.17</v>
      </c>
      <c r="AN1619">
        <v>17073.650000000001</v>
      </c>
      <c r="AO1619">
        <v>19365.39</v>
      </c>
      <c r="AP1619">
        <v>0</v>
      </c>
      <c r="AQ1619">
        <v>0</v>
      </c>
      <c r="AR1619">
        <v>99135.21</v>
      </c>
      <c r="AS1619">
        <v>23942.84</v>
      </c>
      <c r="AT1619">
        <v>0</v>
      </c>
      <c r="AU1619">
        <v>3881.8</v>
      </c>
      <c r="AV1619">
        <v>0</v>
      </c>
      <c r="AW1619">
        <v>0</v>
      </c>
      <c r="AX1619">
        <v>27824.639999999999</v>
      </c>
      <c r="AY1619">
        <v>338454.11</v>
      </c>
      <c r="AZ1619">
        <v>0</v>
      </c>
      <c r="BA1619">
        <v>66</v>
      </c>
      <c r="BB1619">
        <v>50914.12</v>
      </c>
      <c r="BC1619">
        <v>3360331.9049999998</v>
      </c>
      <c r="BD1619">
        <v>13785.539697</v>
      </c>
      <c r="BE1619">
        <v>493.96499999999997</v>
      </c>
      <c r="BF1619">
        <v>475</v>
      </c>
      <c r="BG1619">
        <v>7045.4103999999998</v>
      </c>
      <c r="BH1619">
        <v>564.84199999999998</v>
      </c>
    </row>
    <row r="1620" spans="1:60" x14ac:dyDescent="0.35">
      <c r="A1620" t="s">
        <v>3278</v>
      </c>
      <c r="B1620" t="s">
        <v>3353</v>
      </c>
      <c r="C1620" t="s">
        <v>3355</v>
      </c>
      <c r="D1620" t="s">
        <v>3356</v>
      </c>
      <c r="E1620">
        <v>2596</v>
      </c>
      <c r="F1620">
        <v>3</v>
      </c>
      <c r="G1620">
        <v>0.80900000000000005</v>
      </c>
      <c r="H1620">
        <v>0.26966669999999998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5</v>
      </c>
      <c r="BG1620">
        <v>0</v>
      </c>
      <c r="BH1620">
        <v>0</v>
      </c>
    </row>
    <row r="1621" spans="1:60" x14ac:dyDescent="0.35">
      <c r="A1621" t="s">
        <v>3278</v>
      </c>
      <c r="B1621" t="s">
        <v>3353</v>
      </c>
      <c r="C1621" t="s">
        <v>3357</v>
      </c>
      <c r="D1621" t="s">
        <v>3358</v>
      </c>
      <c r="E1621">
        <v>1281</v>
      </c>
      <c r="F1621" t="s">
        <v>81</v>
      </c>
      <c r="G1621" t="s">
        <v>81</v>
      </c>
      <c r="H1621" t="s">
        <v>81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1</v>
      </c>
      <c r="BG1621">
        <v>0</v>
      </c>
      <c r="BH1621">
        <v>0</v>
      </c>
    </row>
    <row r="1622" spans="1:60" x14ac:dyDescent="0.35">
      <c r="A1622" t="s">
        <v>3278</v>
      </c>
      <c r="B1622" t="s">
        <v>3353</v>
      </c>
      <c r="C1622" t="s">
        <v>3359</v>
      </c>
      <c r="D1622" t="s">
        <v>3360</v>
      </c>
      <c r="E1622">
        <v>17775</v>
      </c>
      <c r="F1622">
        <v>15</v>
      </c>
      <c r="G1622">
        <v>13.17198</v>
      </c>
      <c r="H1622">
        <v>0.87813220000000003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3047.1</v>
      </c>
      <c r="AB1622">
        <v>0</v>
      </c>
      <c r="AC1622">
        <v>0</v>
      </c>
      <c r="AD1622">
        <v>0</v>
      </c>
      <c r="AE1622">
        <v>0</v>
      </c>
      <c r="AF1622">
        <v>3047.1</v>
      </c>
      <c r="AG1622">
        <v>2236.38</v>
      </c>
      <c r="AH1622">
        <v>0</v>
      </c>
      <c r="AI1622">
        <v>0</v>
      </c>
      <c r="AJ1622">
        <v>0</v>
      </c>
      <c r="AK1622">
        <v>0</v>
      </c>
      <c r="AL1622">
        <v>2236.38</v>
      </c>
      <c r="AM1622">
        <v>373.89</v>
      </c>
      <c r="AN1622">
        <v>0</v>
      </c>
      <c r="AO1622">
        <v>0</v>
      </c>
      <c r="AP1622">
        <v>0</v>
      </c>
      <c r="AQ1622">
        <v>0</v>
      </c>
      <c r="AR1622">
        <v>373.89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5657.37</v>
      </c>
      <c r="AZ1622">
        <v>0</v>
      </c>
      <c r="BA1622">
        <v>3</v>
      </c>
      <c r="BB1622">
        <v>158879.02799999999</v>
      </c>
      <c r="BC1622">
        <v>476637.08299999998</v>
      </c>
      <c r="BD1622">
        <v>0</v>
      </c>
      <c r="BE1622">
        <v>4511.6059999999998</v>
      </c>
      <c r="BF1622">
        <v>39</v>
      </c>
      <c r="BG1622">
        <v>19281.043333000001</v>
      </c>
      <c r="BH1622">
        <v>3877.9520000000002</v>
      </c>
    </row>
    <row r="1623" spans="1:60" x14ac:dyDescent="0.35">
      <c r="A1623" t="s">
        <v>3278</v>
      </c>
      <c r="B1623" t="s">
        <v>3353</v>
      </c>
      <c r="C1623" t="s">
        <v>3361</v>
      </c>
      <c r="D1623" t="s">
        <v>3362</v>
      </c>
      <c r="E1623">
        <v>14824</v>
      </c>
      <c r="F1623">
        <v>5</v>
      </c>
      <c r="G1623">
        <v>1.462</v>
      </c>
      <c r="H1623">
        <v>0.29239999999999999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2</v>
      </c>
      <c r="BB1623">
        <v>20214.957999999999</v>
      </c>
      <c r="BC1623">
        <v>40429.915999999997</v>
      </c>
      <c r="BD1623">
        <v>0</v>
      </c>
      <c r="BE1623">
        <v>0</v>
      </c>
      <c r="BF1623">
        <v>24</v>
      </c>
      <c r="BG1623">
        <v>2091.375</v>
      </c>
      <c r="BH1623">
        <v>0</v>
      </c>
    </row>
    <row r="1624" spans="1:60" x14ac:dyDescent="0.35">
      <c r="A1624" t="s">
        <v>3278</v>
      </c>
      <c r="B1624" t="s">
        <v>3353</v>
      </c>
      <c r="C1624" t="s">
        <v>3363</v>
      </c>
      <c r="D1624" t="s">
        <v>3364</v>
      </c>
      <c r="E1624">
        <v>5605</v>
      </c>
      <c r="F1624">
        <v>1</v>
      </c>
      <c r="G1624">
        <v>0.35</v>
      </c>
      <c r="H1624">
        <v>0.35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7</v>
      </c>
      <c r="BG1624">
        <v>0</v>
      </c>
      <c r="BH1624">
        <v>0</v>
      </c>
    </row>
    <row r="1625" spans="1:60" x14ac:dyDescent="0.35">
      <c r="A1625" t="s">
        <v>3278</v>
      </c>
      <c r="B1625" t="s">
        <v>3353</v>
      </c>
      <c r="C1625" t="s">
        <v>3365</v>
      </c>
      <c r="D1625" t="s">
        <v>3366</v>
      </c>
      <c r="E1625">
        <v>6490</v>
      </c>
      <c r="F1625">
        <v>1</v>
      </c>
      <c r="G1625">
        <v>0.43</v>
      </c>
      <c r="H1625">
        <v>0.43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</v>
      </c>
      <c r="BB1625">
        <v>14543.166999999999</v>
      </c>
      <c r="BC1625">
        <v>14543.166999999999</v>
      </c>
      <c r="BD1625">
        <v>0</v>
      </c>
      <c r="BE1625">
        <v>0</v>
      </c>
      <c r="BF1625">
        <v>9</v>
      </c>
      <c r="BG1625">
        <v>58460.7</v>
      </c>
      <c r="BH1625">
        <v>0</v>
      </c>
    </row>
    <row r="1626" spans="1:60" x14ac:dyDescent="0.35">
      <c r="A1626" t="s">
        <v>3278</v>
      </c>
      <c r="B1626" t="s">
        <v>3367</v>
      </c>
      <c r="C1626" t="s">
        <v>3367</v>
      </c>
      <c r="D1626" t="s">
        <v>3368</v>
      </c>
      <c r="E1626">
        <v>196599</v>
      </c>
      <c r="F1626">
        <v>519</v>
      </c>
      <c r="G1626">
        <v>461.87169999999998</v>
      </c>
      <c r="H1626">
        <v>0.88992629999999995</v>
      </c>
      <c r="I1626">
        <v>0.03</v>
      </c>
      <c r="J1626">
        <v>0</v>
      </c>
      <c r="K1626">
        <v>0</v>
      </c>
      <c r="L1626">
        <v>0</v>
      </c>
      <c r="M1626">
        <v>0</v>
      </c>
      <c r="N1626">
        <v>0.03</v>
      </c>
      <c r="O1626">
        <v>1003.73</v>
      </c>
      <c r="P1626">
        <v>0</v>
      </c>
      <c r="Q1626">
        <v>0</v>
      </c>
      <c r="R1626">
        <v>0</v>
      </c>
      <c r="S1626">
        <v>0</v>
      </c>
      <c r="T1626">
        <v>1003.73</v>
      </c>
      <c r="U1626">
        <v>18377.55</v>
      </c>
      <c r="V1626">
        <v>0</v>
      </c>
      <c r="W1626">
        <v>1481.68</v>
      </c>
      <c r="X1626">
        <v>0</v>
      </c>
      <c r="Y1626">
        <v>0</v>
      </c>
      <c r="Z1626">
        <v>19859.23</v>
      </c>
      <c r="AA1626">
        <v>281737.63</v>
      </c>
      <c r="AB1626">
        <v>32518.38</v>
      </c>
      <c r="AC1626">
        <v>156696.07</v>
      </c>
      <c r="AD1626">
        <v>0</v>
      </c>
      <c r="AE1626">
        <v>0</v>
      </c>
      <c r="AF1626">
        <v>470952.08</v>
      </c>
      <c r="AG1626">
        <v>87695.9</v>
      </c>
      <c r="AH1626">
        <v>12152.39</v>
      </c>
      <c r="AI1626">
        <v>46136.12</v>
      </c>
      <c r="AJ1626">
        <v>0</v>
      </c>
      <c r="AK1626">
        <v>0</v>
      </c>
      <c r="AL1626">
        <v>145984.41</v>
      </c>
      <c r="AM1626">
        <v>456002.46</v>
      </c>
      <c r="AN1626">
        <v>19991.54</v>
      </c>
      <c r="AO1626">
        <v>50983.23</v>
      </c>
      <c r="AP1626">
        <v>0</v>
      </c>
      <c r="AQ1626">
        <v>0</v>
      </c>
      <c r="AR1626">
        <v>526977.23</v>
      </c>
      <c r="AS1626">
        <v>61468.62</v>
      </c>
      <c r="AT1626">
        <v>0</v>
      </c>
      <c r="AU1626">
        <v>22392.92</v>
      </c>
      <c r="AV1626">
        <v>0</v>
      </c>
      <c r="AW1626">
        <v>0</v>
      </c>
      <c r="AX1626">
        <v>83861.539999999994</v>
      </c>
      <c r="AY1626">
        <v>1248638.25</v>
      </c>
      <c r="AZ1626">
        <v>1</v>
      </c>
      <c r="BA1626">
        <v>134</v>
      </c>
      <c r="BB1626">
        <v>52779.877999999997</v>
      </c>
      <c r="BC1626">
        <v>7072503.659</v>
      </c>
      <c r="BD1626">
        <v>12548.711866</v>
      </c>
      <c r="BE1626">
        <v>2999.634</v>
      </c>
      <c r="BF1626">
        <v>1132</v>
      </c>
      <c r="BG1626">
        <v>17026.843038999999</v>
      </c>
      <c r="BH1626">
        <v>1641.846</v>
      </c>
    </row>
    <row r="1627" spans="1:60" x14ac:dyDescent="0.35">
      <c r="A1627" t="s">
        <v>3278</v>
      </c>
      <c r="B1627" t="s">
        <v>3367</v>
      </c>
      <c r="C1627" t="s">
        <v>3369</v>
      </c>
      <c r="D1627" t="s">
        <v>3370</v>
      </c>
      <c r="E1627">
        <v>39653</v>
      </c>
      <c r="F1627">
        <v>21</v>
      </c>
      <c r="G1627">
        <v>21.87773</v>
      </c>
      <c r="H1627">
        <v>1.0417970000000001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</v>
      </c>
      <c r="BA1627">
        <v>13</v>
      </c>
      <c r="BB1627">
        <v>50028.082999999999</v>
      </c>
      <c r="BC1627">
        <v>650365.08400000003</v>
      </c>
      <c r="BD1627">
        <v>147735.11923099999</v>
      </c>
      <c r="BE1627">
        <v>1258.335</v>
      </c>
      <c r="BF1627">
        <v>172</v>
      </c>
      <c r="BG1627">
        <v>22506.467906999998</v>
      </c>
      <c r="BH1627">
        <v>271.60599999999999</v>
      </c>
    </row>
    <row r="1628" spans="1:60" x14ac:dyDescent="0.35">
      <c r="A1628" t="s">
        <v>3278</v>
      </c>
      <c r="B1628" t="s">
        <v>3367</v>
      </c>
      <c r="C1628" t="s">
        <v>3371</v>
      </c>
      <c r="D1628" t="s">
        <v>3372</v>
      </c>
      <c r="E1628">
        <v>22562</v>
      </c>
      <c r="F1628">
        <v>10</v>
      </c>
      <c r="G1628">
        <v>13.581659999999999</v>
      </c>
      <c r="H1628">
        <v>1.358166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8461.35</v>
      </c>
      <c r="AB1628">
        <v>0</v>
      </c>
      <c r="AC1628">
        <v>6936.16</v>
      </c>
      <c r="AD1628">
        <v>0</v>
      </c>
      <c r="AE1628">
        <v>0</v>
      </c>
      <c r="AF1628">
        <v>15397.51</v>
      </c>
      <c r="AG1628">
        <v>5547.43</v>
      </c>
      <c r="AH1628">
        <v>0</v>
      </c>
      <c r="AI1628">
        <v>2558.4499999999998</v>
      </c>
      <c r="AJ1628">
        <v>0</v>
      </c>
      <c r="AK1628">
        <v>0</v>
      </c>
      <c r="AL1628">
        <v>8105.88</v>
      </c>
      <c r="AM1628">
        <v>1565.75</v>
      </c>
      <c r="AN1628">
        <v>0</v>
      </c>
      <c r="AO1628">
        <v>1823.35</v>
      </c>
      <c r="AP1628">
        <v>0</v>
      </c>
      <c r="AQ1628">
        <v>0</v>
      </c>
      <c r="AR1628">
        <v>3389.1</v>
      </c>
      <c r="AS1628">
        <v>0</v>
      </c>
      <c r="AT1628">
        <v>0</v>
      </c>
      <c r="AU1628">
        <v>207.84</v>
      </c>
      <c r="AV1628">
        <v>0</v>
      </c>
      <c r="AW1628">
        <v>0</v>
      </c>
      <c r="AX1628">
        <v>207.84</v>
      </c>
      <c r="AY1628">
        <v>27100.33</v>
      </c>
      <c r="AZ1628">
        <v>0</v>
      </c>
      <c r="BA1628">
        <v>1</v>
      </c>
      <c r="BB1628">
        <v>54664.5</v>
      </c>
      <c r="BC1628">
        <v>54664.5</v>
      </c>
      <c r="BD1628">
        <v>0</v>
      </c>
      <c r="BE1628">
        <v>0</v>
      </c>
      <c r="BF1628">
        <v>39</v>
      </c>
      <c r="BG1628">
        <v>9466.0733330000003</v>
      </c>
      <c r="BH1628">
        <v>0</v>
      </c>
    </row>
    <row r="1629" spans="1:60" x14ac:dyDescent="0.35">
      <c r="A1629" t="s">
        <v>3278</v>
      </c>
      <c r="B1629" t="s">
        <v>3367</v>
      </c>
      <c r="C1629" t="s">
        <v>3373</v>
      </c>
      <c r="D1629" t="s">
        <v>3374</v>
      </c>
      <c r="E1629">
        <v>13388</v>
      </c>
      <c r="F1629">
        <v>1</v>
      </c>
      <c r="G1629">
        <v>1.1323129999999999</v>
      </c>
      <c r="H1629">
        <v>1.1323129999999999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12</v>
      </c>
      <c r="BG1629">
        <v>0</v>
      </c>
      <c r="BH1629">
        <v>0</v>
      </c>
    </row>
    <row r="1630" spans="1:60" x14ac:dyDescent="0.35">
      <c r="A1630" t="s">
        <v>3278</v>
      </c>
      <c r="B1630" t="s">
        <v>3367</v>
      </c>
      <c r="C1630" t="s">
        <v>3375</v>
      </c>
      <c r="D1630" t="s">
        <v>3376</v>
      </c>
      <c r="E1630">
        <v>33705</v>
      </c>
      <c r="F1630">
        <v>24</v>
      </c>
      <c r="G1630">
        <v>21.446059999999999</v>
      </c>
      <c r="H1630">
        <v>0.89358599999999999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12.72</v>
      </c>
      <c r="AB1630">
        <v>0</v>
      </c>
      <c r="AC1630">
        <v>0</v>
      </c>
      <c r="AD1630">
        <v>0</v>
      </c>
      <c r="AE1630">
        <v>0</v>
      </c>
      <c r="AF1630">
        <v>12.72</v>
      </c>
      <c r="AG1630">
        <v>7095.07</v>
      </c>
      <c r="AH1630">
        <v>0</v>
      </c>
      <c r="AI1630">
        <v>0</v>
      </c>
      <c r="AJ1630">
        <v>0</v>
      </c>
      <c r="AK1630">
        <v>0</v>
      </c>
      <c r="AL1630">
        <v>7095.07</v>
      </c>
      <c r="AM1630">
        <v>29.93</v>
      </c>
      <c r="AN1630">
        <v>0</v>
      </c>
      <c r="AO1630">
        <v>0</v>
      </c>
      <c r="AP1630">
        <v>0</v>
      </c>
      <c r="AQ1630">
        <v>0</v>
      </c>
      <c r="AR1630">
        <v>29.93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7137.72</v>
      </c>
      <c r="AZ1630">
        <v>0</v>
      </c>
      <c r="BA1630">
        <v>8</v>
      </c>
      <c r="BB1630">
        <v>45846.542000000001</v>
      </c>
      <c r="BC1630">
        <v>366772.33199999999</v>
      </c>
      <c r="BD1630">
        <v>14653.158750000001</v>
      </c>
      <c r="BE1630">
        <v>2447.4810000000002</v>
      </c>
      <c r="BF1630">
        <v>80</v>
      </c>
      <c r="BG1630">
        <v>8016.6957499999999</v>
      </c>
      <c r="BH1630">
        <v>185.43299999999999</v>
      </c>
    </row>
    <row r="1631" spans="1:60" x14ac:dyDescent="0.35">
      <c r="A1631" t="s">
        <v>3278</v>
      </c>
      <c r="B1631" t="s">
        <v>3367</v>
      </c>
      <c r="C1631" t="s">
        <v>3377</v>
      </c>
      <c r="D1631" t="s">
        <v>3378</v>
      </c>
      <c r="E1631">
        <v>10849</v>
      </c>
      <c r="F1631">
        <v>5</v>
      </c>
      <c r="G1631">
        <v>7.0347790000000003</v>
      </c>
      <c r="H1631">
        <v>1.4069560000000001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3</v>
      </c>
      <c r="BB1631">
        <v>52423.086000000003</v>
      </c>
      <c r="BC1631">
        <v>157269.258</v>
      </c>
      <c r="BD1631">
        <v>0</v>
      </c>
      <c r="BE1631">
        <v>534.51499999999999</v>
      </c>
      <c r="BF1631">
        <v>28</v>
      </c>
      <c r="BG1631">
        <v>350.26428600000003</v>
      </c>
      <c r="BH1631">
        <v>5885.27</v>
      </c>
    </row>
    <row r="1632" spans="1:60" x14ac:dyDescent="0.35">
      <c r="A1632" t="s">
        <v>3278</v>
      </c>
      <c r="B1632" t="s">
        <v>3367</v>
      </c>
      <c r="C1632" t="s">
        <v>3379</v>
      </c>
      <c r="D1632" t="s">
        <v>3380</v>
      </c>
      <c r="E1632">
        <v>29007</v>
      </c>
      <c r="F1632">
        <v>11</v>
      </c>
      <c r="G1632">
        <v>13.383369999999999</v>
      </c>
      <c r="H1632">
        <v>1.2166699999999999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9503.02</v>
      </c>
      <c r="AD1632">
        <v>0</v>
      </c>
      <c r="AE1632">
        <v>0</v>
      </c>
      <c r="AF1632">
        <v>9503.02</v>
      </c>
      <c r="AG1632">
        <v>0</v>
      </c>
      <c r="AH1632">
        <v>0</v>
      </c>
      <c r="AI1632">
        <v>1439.61</v>
      </c>
      <c r="AJ1632">
        <v>0</v>
      </c>
      <c r="AK1632">
        <v>0</v>
      </c>
      <c r="AL1632">
        <v>1439.61</v>
      </c>
      <c r="AM1632">
        <v>0</v>
      </c>
      <c r="AN1632">
        <v>0</v>
      </c>
      <c r="AO1632">
        <v>1421.84</v>
      </c>
      <c r="AP1632">
        <v>0</v>
      </c>
      <c r="AQ1632">
        <v>0</v>
      </c>
      <c r="AR1632">
        <v>1421.84</v>
      </c>
      <c r="AS1632">
        <v>0</v>
      </c>
      <c r="AT1632">
        <v>0</v>
      </c>
      <c r="AU1632">
        <v>33.07</v>
      </c>
      <c r="AV1632">
        <v>0</v>
      </c>
      <c r="AW1632">
        <v>0</v>
      </c>
      <c r="AX1632">
        <v>33.07</v>
      </c>
      <c r="AY1632">
        <v>12397.54</v>
      </c>
      <c r="AZ1632">
        <v>0</v>
      </c>
      <c r="BA1632">
        <v>2</v>
      </c>
      <c r="BB1632">
        <v>9796.5419999999995</v>
      </c>
      <c r="BC1632">
        <v>19593.082999999999</v>
      </c>
      <c r="BD1632">
        <v>0</v>
      </c>
      <c r="BE1632">
        <v>137.34</v>
      </c>
      <c r="BF1632">
        <v>50</v>
      </c>
      <c r="BG1632">
        <v>20907.348600000001</v>
      </c>
      <c r="BH1632">
        <v>5.4939999999999998</v>
      </c>
    </row>
    <row r="1633" spans="1:60" x14ac:dyDescent="0.35">
      <c r="A1633" t="s">
        <v>3278</v>
      </c>
      <c r="B1633" t="s">
        <v>3367</v>
      </c>
      <c r="C1633" t="s">
        <v>3343</v>
      </c>
      <c r="D1633" t="s">
        <v>3381</v>
      </c>
      <c r="E1633">
        <v>8030</v>
      </c>
      <c r="F1633">
        <v>5</v>
      </c>
      <c r="G1633">
        <v>4.43</v>
      </c>
      <c r="H1633">
        <v>0.88600000000000001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16</v>
      </c>
      <c r="BG1633">
        <v>70751.358749999999</v>
      </c>
      <c r="BH1633">
        <v>182.309</v>
      </c>
    </row>
    <row r="1634" spans="1:60" x14ac:dyDescent="0.35">
      <c r="A1634" t="s">
        <v>3278</v>
      </c>
      <c r="B1634" t="s">
        <v>3382</v>
      </c>
      <c r="C1634" t="s">
        <v>3383</v>
      </c>
      <c r="D1634" t="s">
        <v>3384</v>
      </c>
      <c r="E1634">
        <v>108828</v>
      </c>
      <c r="F1634">
        <v>305</v>
      </c>
      <c r="G1634">
        <v>329.3263</v>
      </c>
      <c r="H1634">
        <v>1.079758</v>
      </c>
      <c r="I1634">
        <v>7.19</v>
      </c>
      <c r="J1634">
        <v>0</v>
      </c>
      <c r="K1634">
        <v>0</v>
      </c>
      <c r="L1634">
        <v>0</v>
      </c>
      <c r="M1634">
        <v>0</v>
      </c>
      <c r="N1634">
        <v>7.19</v>
      </c>
      <c r="O1634">
        <v>2883.09</v>
      </c>
      <c r="P1634">
        <v>0</v>
      </c>
      <c r="Q1634">
        <v>0</v>
      </c>
      <c r="R1634">
        <v>0</v>
      </c>
      <c r="S1634">
        <v>0</v>
      </c>
      <c r="T1634">
        <v>2883.09</v>
      </c>
      <c r="U1634">
        <v>6179.95</v>
      </c>
      <c r="V1634">
        <v>0</v>
      </c>
      <c r="W1634">
        <v>0</v>
      </c>
      <c r="X1634">
        <v>0</v>
      </c>
      <c r="Y1634">
        <v>0</v>
      </c>
      <c r="Z1634">
        <v>6179.95</v>
      </c>
      <c r="AA1634">
        <v>77979.47</v>
      </c>
      <c r="AB1634">
        <v>211.7</v>
      </c>
      <c r="AC1634">
        <v>55219.44</v>
      </c>
      <c r="AD1634">
        <v>0</v>
      </c>
      <c r="AE1634">
        <v>0</v>
      </c>
      <c r="AF1634">
        <v>133410.60999999999</v>
      </c>
      <c r="AG1634">
        <v>20559.32</v>
      </c>
      <c r="AH1634">
        <v>770.26</v>
      </c>
      <c r="AI1634">
        <v>12782.47</v>
      </c>
      <c r="AJ1634">
        <v>0</v>
      </c>
      <c r="AK1634">
        <v>0</v>
      </c>
      <c r="AL1634">
        <v>34112.050000000003</v>
      </c>
      <c r="AM1634">
        <v>89457.2</v>
      </c>
      <c r="AN1634">
        <v>22336.23</v>
      </c>
      <c r="AO1634">
        <v>20501.669999999998</v>
      </c>
      <c r="AP1634">
        <v>0</v>
      </c>
      <c r="AQ1634">
        <v>0</v>
      </c>
      <c r="AR1634">
        <v>132295.1</v>
      </c>
      <c r="AS1634">
        <v>47134.11</v>
      </c>
      <c r="AT1634">
        <v>0</v>
      </c>
      <c r="AU1634">
        <v>5356.68</v>
      </c>
      <c r="AV1634">
        <v>0</v>
      </c>
      <c r="AW1634">
        <v>0</v>
      </c>
      <c r="AX1634">
        <v>52490.79</v>
      </c>
      <c r="AY1634">
        <v>361378.78</v>
      </c>
      <c r="AZ1634">
        <v>1</v>
      </c>
      <c r="BA1634">
        <v>57</v>
      </c>
      <c r="BB1634">
        <v>43702.65</v>
      </c>
      <c r="BC1634">
        <v>2491051.0529999998</v>
      </c>
      <c r="BD1634">
        <v>18981.768947</v>
      </c>
      <c r="BE1634">
        <v>1955.6859999999999</v>
      </c>
      <c r="BF1634">
        <v>445</v>
      </c>
      <c r="BG1634">
        <v>21053.274472000001</v>
      </c>
      <c r="BH1634">
        <v>1545.123</v>
      </c>
    </row>
    <row r="1635" spans="1:60" x14ac:dyDescent="0.35">
      <c r="A1635" t="s">
        <v>3278</v>
      </c>
      <c r="B1635" t="s">
        <v>3382</v>
      </c>
      <c r="C1635" t="s">
        <v>3385</v>
      </c>
      <c r="D1635" t="s">
        <v>3386</v>
      </c>
      <c r="E1635">
        <v>9384</v>
      </c>
      <c r="F1635">
        <v>30</v>
      </c>
      <c r="G1635">
        <v>18.72118</v>
      </c>
      <c r="H1635">
        <v>0.62403940000000002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1</v>
      </c>
      <c r="BA1635">
        <v>5</v>
      </c>
      <c r="BB1635">
        <v>65768.061000000002</v>
      </c>
      <c r="BC1635">
        <v>328840.30599999998</v>
      </c>
      <c r="BD1635">
        <v>13128.388000000001</v>
      </c>
      <c r="BE1635">
        <v>0</v>
      </c>
      <c r="BF1635">
        <v>41</v>
      </c>
      <c r="BG1635">
        <v>22837.740487999999</v>
      </c>
      <c r="BH1635">
        <v>2357.453</v>
      </c>
    </row>
    <row r="1636" spans="1:60" x14ac:dyDescent="0.35">
      <c r="A1636" t="s">
        <v>3278</v>
      </c>
      <c r="B1636" t="s">
        <v>3382</v>
      </c>
      <c r="C1636" t="s">
        <v>3387</v>
      </c>
      <c r="D1636" t="s">
        <v>3388</v>
      </c>
      <c r="E1636">
        <v>13382</v>
      </c>
      <c r="F1636">
        <v>11</v>
      </c>
      <c r="G1636">
        <v>5.928814</v>
      </c>
      <c r="H1636">
        <v>0.53898310000000005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2</v>
      </c>
      <c r="BB1636">
        <v>80242.459000000003</v>
      </c>
      <c r="BC1636">
        <v>160484.91699999999</v>
      </c>
      <c r="BD1636">
        <v>0</v>
      </c>
      <c r="BE1636">
        <v>0</v>
      </c>
      <c r="BF1636">
        <v>29</v>
      </c>
      <c r="BG1636">
        <v>27177.831378999999</v>
      </c>
      <c r="BH1636">
        <v>1343.82</v>
      </c>
    </row>
    <row r="1637" spans="1:60" x14ac:dyDescent="0.35">
      <c r="A1637" t="s">
        <v>3278</v>
      </c>
      <c r="B1637" t="s">
        <v>3382</v>
      </c>
      <c r="C1637" t="s">
        <v>3389</v>
      </c>
      <c r="D1637" t="s">
        <v>3390</v>
      </c>
      <c r="E1637">
        <v>1370</v>
      </c>
      <c r="F1637">
        <v>3</v>
      </c>
      <c r="G1637">
        <v>4.4824149999999996</v>
      </c>
      <c r="H1637">
        <v>1.494138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1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2</v>
      </c>
      <c r="BG1637">
        <v>74993.755000000005</v>
      </c>
      <c r="BH1637">
        <v>0</v>
      </c>
    </row>
    <row r="1638" spans="1:60" x14ac:dyDescent="0.35">
      <c r="A1638" t="s">
        <v>3278</v>
      </c>
      <c r="B1638" t="s">
        <v>3382</v>
      </c>
      <c r="C1638" t="s">
        <v>3391</v>
      </c>
      <c r="D1638" t="s">
        <v>3392</v>
      </c>
      <c r="E1638">
        <v>12094</v>
      </c>
      <c r="F1638">
        <v>32</v>
      </c>
      <c r="G1638">
        <v>28.37538</v>
      </c>
      <c r="H1638">
        <v>0.88673060000000004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12922.22</v>
      </c>
      <c r="AB1638">
        <v>0</v>
      </c>
      <c r="AC1638">
        <v>2937.83</v>
      </c>
      <c r="AD1638">
        <v>0</v>
      </c>
      <c r="AE1638">
        <v>0</v>
      </c>
      <c r="AF1638">
        <v>15860.05</v>
      </c>
      <c r="AG1638">
        <v>5814.66</v>
      </c>
      <c r="AH1638">
        <v>0</v>
      </c>
      <c r="AI1638">
        <v>796.18</v>
      </c>
      <c r="AJ1638">
        <v>0</v>
      </c>
      <c r="AK1638">
        <v>0</v>
      </c>
      <c r="AL1638">
        <v>6610.84</v>
      </c>
      <c r="AM1638">
        <v>1358.37</v>
      </c>
      <c r="AN1638">
        <v>0</v>
      </c>
      <c r="AO1638">
        <v>1292.18</v>
      </c>
      <c r="AP1638">
        <v>0</v>
      </c>
      <c r="AQ1638">
        <v>0</v>
      </c>
      <c r="AR1638">
        <v>2650.55</v>
      </c>
      <c r="AS1638">
        <v>52.19</v>
      </c>
      <c r="AT1638">
        <v>0</v>
      </c>
      <c r="AU1638">
        <v>50</v>
      </c>
      <c r="AV1638">
        <v>0</v>
      </c>
      <c r="AW1638">
        <v>0</v>
      </c>
      <c r="AX1638">
        <v>102.19</v>
      </c>
      <c r="AY1638">
        <v>25223.63</v>
      </c>
      <c r="AZ1638">
        <v>1</v>
      </c>
      <c r="BA1638">
        <v>1</v>
      </c>
      <c r="BB1638">
        <v>12608.916999999999</v>
      </c>
      <c r="BC1638">
        <v>12608.916999999999</v>
      </c>
      <c r="BD1638">
        <v>0</v>
      </c>
      <c r="BE1638">
        <v>0</v>
      </c>
      <c r="BF1638">
        <v>57</v>
      </c>
      <c r="BG1638">
        <v>17844.778246000002</v>
      </c>
      <c r="BH1638">
        <v>3512.5250000000001</v>
      </c>
    </row>
    <row r="1639" spans="1:60" x14ac:dyDescent="0.35">
      <c r="A1639" t="s">
        <v>3278</v>
      </c>
      <c r="B1639" t="s">
        <v>3382</v>
      </c>
      <c r="C1639" t="s">
        <v>3393</v>
      </c>
      <c r="D1639" t="s">
        <v>3394</v>
      </c>
      <c r="E1639">
        <v>14927</v>
      </c>
      <c r="F1639">
        <v>96</v>
      </c>
      <c r="G1639">
        <v>49.924639999999997</v>
      </c>
      <c r="H1639">
        <v>0.52004830000000002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201.77</v>
      </c>
      <c r="AB1639">
        <v>53.46</v>
      </c>
      <c r="AC1639">
        <v>15061.25</v>
      </c>
      <c r="AD1639">
        <v>0</v>
      </c>
      <c r="AE1639">
        <v>0</v>
      </c>
      <c r="AF1639">
        <v>15316.48</v>
      </c>
      <c r="AG1639">
        <v>9216.85</v>
      </c>
      <c r="AH1639">
        <v>171.99</v>
      </c>
      <c r="AI1639">
        <v>4654.01</v>
      </c>
      <c r="AJ1639">
        <v>0</v>
      </c>
      <c r="AK1639">
        <v>0</v>
      </c>
      <c r="AL1639">
        <v>14042.85</v>
      </c>
      <c r="AM1639">
        <v>66.150000000000006</v>
      </c>
      <c r="AN1639">
        <v>1379.47</v>
      </c>
      <c r="AO1639">
        <v>5999.58</v>
      </c>
      <c r="AP1639">
        <v>0</v>
      </c>
      <c r="AQ1639">
        <v>0</v>
      </c>
      <c r="AR1639">
        <v>7445.2</v>
      </c>
      <c r="AS1639">
        <v>0</v>
      </c>
      <c r="AT1639">
        <v>0</v>
      </c>
      <c r="AU1639">
        <v>203.72</v>
      </c>
      <c r="AV1639">
        <v>0</v>
      </c>
      <c r="AW1639">
        <v>0</v>
      </c>
      <c r="AX1639">
        <v>203.72</v>
      </c>
      <c r="AY1639">
        <v>37008.25</v>
      </c>
      <c r="AZ1639">
        <v>1</v>
      </c>
      <c r="BA1639">
        <v>5</v>
      </c>
      <c r="BB1639">
        <v>24720.183000000001</v>
      </c>
      <c r="BC1639">
        <v>123600.917</v>
      </c>
      <c r="BD1639">
        <v>2666.9</v>
      </c>
      <c r="BE1639">
        <v>3694.7840000000001</v>
      </c>
      <c r="BF1639">
        <v>116</v>
      </c>
      <c r="BG1639">
        <v>5722.9981900000002</v>
      </c>
      <c r="BH1639">
        <v>2502.6170000000002</v>
      </c>
    </row>
    <row r="1640" spans="1:60" x14ac:dyDescent="0.35">
      <c r="A1640" t="s">
        <v>3278</v>
      </c>
      <c r="B1640" t="s">
        <v>3395</v>
      </c>
      <c r="C1640" t="s">
        <v>3395</v>
      </c>
      <c r="D1640" t="s">
        <v>3396</v>
      </c>
      <c r="E1640">
        <v>56721</v>
      </c>
      <c r="F1640">
        <v>123</v>
      </c>
      <c r="G1640">
        <v>134.7286</v>
      </c>
      <c r="H1640">
        <v>1.0953539999999999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37373.050000000003</v>
      </c>
      <c r="AB1640">
        <v>8501.7000000000007</v>
      </c>
      <c r="AC1640">
        <v>37262.269999999997</v>
      </c>
      <c r="AD1640">
        <v>0</v>
      </c>
      <c r="AE1640">
        <v>977.75</v>
      </c>
      <c r="AF1640">
        <v>84114.77</v>
      </c>
      <c r="AG1640">
        <v>28242.34</v>
      </c>
      <c r="AH1640">
        <v>5819.48</v>
      </c>
      <c r="AI1640">
        <v>10002.030000000001</v>
      </c>
      <c r="AJ1640">
        <v>0</v>
      </c>
      <c r="AK1640">
        <v>1685.03</v>
      </c>
      <c r="AL1640">
        <v>45748.88</v>
      </c>
      <c r="AM1640">
        <v>5266.22</v>
      </c>
      <c r="AN1640">
        <v>4535.8100000000004</v>
      </c>
      <c r="AO1640">
        <v>16513.02</v>
      </c>
      <c r="AP1640">
        <v>0</v>
      </c>
      <c r="AQ1640">
        <v>283.73</v>
      </c>
      <c r="AR1640">
        <v>26598.78</v>
      </c>
      <c r="AS1640">
        <v>1031.28</v>
      </c>
      <c r="AT1640">
        <v>0</v>
      </c>
      <c r="AU1640">
        <v>1129.77</v>
      </c>
      <c r="AV1640">
        <v>0</v>
      </c>
      <c r="AW1640">
        <v>0</v>
      </c>
      <c r="AX1640">
        <v>2161.0500000000002</v>
      </c>
      <c r="AY1640">
        <v>158623.48000000001</v>
      </c>
      <c r="AZ1640">
        <v>0</v>
      </c>
      <c r="BA1640">
        <v>40</v>
      </c>
      <c r="BB1640">
        <v>45662.843999999997</v>
      </c>
      <c r="BC1640">
        <v>1826513.7509999999</v>
      </c>
      <c r="BD1640">
        <v>865.50075000000004</v>
      </c>
      <c r="BE1640">
        <v>2078.9369999999999</v>
      </c>
      <c r="BF1640">
        <v>422</v>
      </c>
      <c r="BG1640">
        <v>4805.786161</v>
      </c>
      <c r="BH1640">
        <v>772.01400000000001</v>
      </c>
    </row>
    <row r="1641" spans="1:60" x14ac:dyDescent="0.35">
      <c r="A1641" t="s">
        <v>3278</v>
      </c>
      <c r="B1641" t="s">
        <v>3395</v>
      </c>
      <c r="C1641" t="s">
        <v>3397</v>
      </c>
      <c r="D1641" t="s">
        <v>3398</v>
      </c>
      <c r="E1641">
        <v>5605</v>
      </c>
      <c r="F1641" t="s">
        <v>81</v>
      </c>
      <c r="G1641" t="s">
        <v>81</v>
      </c>
      <c r="H1641" t="s">
        <v>81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16</v>
      </c>
      <c r="BG1641">
        <v>19.0625</v>
      </c>
      <c r="BH1641">
        <v>8897.1270000000004</v>
      </c>
    </row>
    <row r="1642" spans="1:60" x14ac:dyDescent="0.35">
      <c r="A1642" t="s">
        <v>3278</v>
      </c>
      <c r="B1642" t="s">
        <v>3395</v>
      </c>
      <c r="C1642" t="s">
        <v>3399</v>
      </c>
      <c r="D1642" t="s">
        <v>3400</v>
      </c>
      <c r="E1642">
        <v>8197</v>
      </c>
      <c r="F1642">
        <v>1</v>
      </c>
      <c r="G1642">
        <v>0.65</v>
      </c>
      <c r="H1642">
        <v>0.65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1</v>
      </c>
      <c r="BB1642">
        <v>8720.5830000000005</v>
      </c>
      <c r="BC1642">
        <v>8720.5830000000005</v>
      </c>
      <c r="BD1642">
        <v>65149.51</v>
      </c>
      <c r="BE1642">
        <v>26972.898000000001</v>
      </c>
      <c r="BF1642">
        <v>28</v>
      </c>
      <c r="BG1642">
        <v>13461.177143000001</v>
      </c>
      <c r="BH1642">
        <v>21.43</v>
      </c>
    </row>
    <row r="1643" spans="1:60" x14ac:dyDescent="0.35">
      <c r="A1643" t="s">
        <v>3278</v>
      </c>
      <c r="B1643" t="s">
        <v>3395</v>
      </c>
      <c r="C1643" t="s">
        <v>3401</v>
      </c>
      <c r="D1643" t="s">
        <v>3402</v>
      </c>
      <c r="E1643">
        <v>5453</v>
      </c>
      <c r="F1643">
        <v>1</v>
      </c>
      <c r="G1643">
        <v>3.163516</v>
      </c>
      <c r="H1643">
        <v>3.163516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</v>
      </c>
      <c r="BB1643">
        <v>4246.4170000000004</v>
      </c>
      <c r="BC1643">
        <v>4246.4170000000004</v>
      </c>
      <c r="BD1643">
        <v>0</v>
      </c>
      <c r="BE1643">
        <v>13673.75</v>
      </c>
      <c r="BF1643">
        <v>6</v>
      </c>
      <c r="BG1643">
        <v>0</v>
      </c>
      <c r="BH1643">
        <v>0</v>
      </c>
    </row>
    <row r="1644" spans="1:60" x14ac:dyDescent="0.35">
      <c r="A1644" t="s">
        <v>3278</v>
      </c>
      <c r="B1644" t="s">
        <v>3395</v>
      </c>
      <c r="C1644" t="s">
        <v>3403</v>
      </c>
      <c r="D1644" t="s">
        <v>3404</v>
      </c>
      <c r="E1644">
        <v>19325</v>
      </c>
      <c r="F1644">
        <v>24</v>
      </c>
      <c r="G1644">
        <v>33.642389999999999</v>
      </c>
      <c r="H1644">
        <v>1.4017660000000001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8722.83</v>
      </c>
      <c r="AD1644">
        <v>0</v>
      </c>
      <c r="AE1644">
        <v>0</v>
      </c>
      <c r="AF1644">
        <v>8722.83</v>
      </c>
      <c r="AG1644">
        <v>0</v>
      </c>
      <c r="AH1644">
        <v>0</v>
      </c>
      <c r="AI1644">
        <v>2237.04</v>
      </c>
      <c r="AJ1644">
        <v>0</v>
      </c>
      <c r="AK1644">
        <v>0</v>
      </c>
      <c r="AL1644">
        <v>2237.04</v>
      </c>
      <c r="AM1644">
        <v>0</v>
      </c>
      <c r="AN1644">
        <v>0</v>
      </c>
      <c r="AO1644">
        <v>3729.22</v>
      </c>
      <c r="AP1644">
        <v>0</v>
      </c>
      <c r="AQ1644">
        <v>0</v>
      </c>
      <c r="AR1644">
        <v>3729.22</v>
      </c>
      <c r="AS1644">
        <v>0</v>
      </c>
      <c r="AT1644">
        <v>0</v>
      </c>
      <c r="AU1644">
        <v>169.17</v>
      </c>
      <c r="AV1644">
        <v>0</v>
      </c>
      <c r="AW1644">
        <v>0</v>
      </c>
      <c r="AX1644">
        <v>169.17</v>
      </c>
      <c r="AY1644">
        <v>14858.26</v>
      </c>
      <c r="AZ1644">
        <v>0</v>
      </c>
      <c r="BA1644">
        <v>2</v>
      </c>
      <c r="BB1644">
        <v>15805.584000000001</v>
      </c>
      <c r="BC1644">
        <v>31611.167000000001</v>
      </c>
      <c r="BD1644">
        <v>0</v>
      </c>
      <c r="BE1644">
        <v>0</v>
      </c>
      <c r="BF1644">
        <v>104</v>
      </c>
      <c r="BG1644">
        <v>9855.7548079999997</v>
      </c>
      <c r="BH1644">
        <v>412.17399999999998</v>
      </c>
    </row>
    <row r="1645" spans="1:60" x14ac:dyDescent="0.35">
      <c r="A1645" t="s">
        <v>3278</v>
      </c>
      <c r="B1645" t="s">
        <v>3395</v>
      </c>
      <c r="C1645" t="s">
        <v>3405</v>
      </c>
      <c r="D1645" t="s">
        <v>3406</v>
      </c>
      <c r="E1645">
        <v>3235</v>
      </c>
      <c r="F1645" t="s">
        <v>81</v>
      </c>
      <c r="G1645" t="s">
        <v>81</v>
      </c>
      <c r="H1645" t="s">
        <v>81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3</v>
      </c>
      <c r="BG1645">
        <v>0</v>
      </c>
      <c r="BH1645">
        <v>0</v>
      </c>
    </row>
    <row r="1646" spans="1:60" x14ac:dyDescent="0.35">
      <c r="A1646" t="s">
        <v>3407</v>
      </c>
      <c r="B1646" t="s">
        <v>3407</v>
      </c>
      <c r="C1646" t="s">
        <v>3407</v>
      </c>
      <c r="D1646" t="s">
        <v>3408</v>
      </c>
      <c r="E1646">
        <v>141629</v>
      </c>
      <c r="F1646">
        <v>324</v>
      </c>
      <c r="G1646">
        <v>305.58620000000002</v>
      </c>
      <c r="H1646">
        <v>0.94316739999999999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2023.27</v>
      </c>
      <c r="P1646">
        <v>0</v>
      </c>
      <c r="Q1646">
        <v>0</v>
      </c>
      <c r="R1646">
        <v>0</v>
      </c>
      <c r="S1646">
        <v>0</v>
      </c>
      <c r="T1646">
        <v>2023.27</v>
      </c>
      <c r="U1646">
        <v>29799.21</v>
      </c>
      <c r="V1646">
        <v>0</v>
      </c>
      <c r="W1646">
        <v>19.350000000000001</v>
      </c>
      <c r="X1646">
        <v>0</v>
      </c>
      <c r="Y1646">
        <v>0</v>
      </c>
      <c r="Z1646">
        <v>29818.560000000001</v>
      </c>
      <c r="AA1646">
        <v>274948.58</v>
      </c>
      <c r="AB1646">
        <v>14534.32</v>
      </c>
      <c r="AC1646">
        <v>302462.56</v>
      </c>
      <c r="AD1646">
        <v>7857.54</v>
      </c>
      <c r="AE1646">
        <v>0</v>
      </c>
      <c r="AF1646">
        <v>599803</v>
      </c>
      <c r="AG1646">
        <v>37607.089999999997</v>
      </c>
      <c r="AH1646">
        <v>4811.5200000000004</v>
      </c>
      <c r="AI1646">
        <v>52037.74</v>
      </c>
      <c r="AJ1646">
        <v>4501.5600000000004</v>
      </c>
      <c r="AK1646">
        <v>0</v>
      </c>
      <c r="AL1646">
        <v>98957.91</v>
      </c>
      <c r="AM1646">
        <v>254659.11</v>
      </c>
      <c r="AN1646">
        <v>11466.89</v>
      </c>
      <c r="AO1646">
        <v>190214.45</v>
      </c>
      <c r="AP1646">
        <v>3594.21</v>
      </c>
      <c r="AQ1646">
        <v>0</v>
      </c>
      <c r="AR1646">
        <v>459934.66</v>
      </c>
      <c r="AS1646">
        <v>59362.49</v>
      </c>
      <c r="AT1646">
        <v>0</v>
      </c>
      <c r="AU1646">
        <v>7454.06</v>
      </c>
      <c r="AV1646">
        <v>0</v>
      </c>
      <c r="AW1646">
        <v>0</v>
      </c>
      <c r="AX1646">
        <v>66816.55</v>
      </c>
      <c r="AY1646">
        <v>1257353.95</v>
      </c>
      <c r="AZ1646">
        <v>1</v>
      </c>
      <c r="BA1646">
        <v>102</v>
      </c>
      <c r="BB1646">
        <v>44920.894999999997</v>
      </c>
      <c r="BC1646">
        <v>4581931.3339999998</v>
      </c>
      <c r="BD1646">
        <v>5403.7096080000001</v>
      </c>
      <c r="BE1646">
        <v>1061.6510000000001</v>
      </c>
      <c r="BF1646">
        <v>1287</v>
      </c>
      <c r="BG1646">
        <v>3608.170016</v>
      </c>
      <c r="BH1646">
        <v>798.07500000000005</v>
      </c>
    </row>
    <row r="1647" spans="1:60" x14ac:dyDescent="0.35">
      <c r="A1647" t="s">
        <v>3407</v>
      </c>
      <c r="B1647" t="s">
        <v>3407</v>
      </c>
      <c r="C1647" t="s">
        <v>3409</v>
      </c>
      <c r="D1647" t="s">
        <v>3410</v>
      </c>
      <c r="E1647">
        <v>20348</v>
      </c>
      <c r="F1647">
        <v>3</v>
      </c>
      <c r="G1647">
        <v>4.28</v>
      </c>
      <c r="H1647">
        <v>1.4266669999999999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6042.43</v>
      </c>
      <c r="AE1647">
        <v>0</v>
      </c>
      <c r="AF1647">
        <v>6042.43</v>
      </c>
      <c r="AG1647">
        <v>0</v>
      </c>
      <c r="AH1647">
        <v>0</v>
      </c>
      <c r="AI1647">
        <v>0</v>
      </c>
      <c r="AJ1647">
        <v>2391.2399999999998</v>
      </c>
      <c r="AK1647">
        <v>0</v>
      </c>
      <c r="AL1647">
        <v>2391.2399999999998</v>
      </c>
      <c r="AM1647">
        <v>0</v>
      </c>
      <c r="AN1647">
        <v>0</v>
      </c>
      <c r="AO1647">
        <v>0</v>
      </c>
      <c r="AP1647">
        <v>227.82</v>
      </c>
      <c r="AQ1647">
        <v>0</v>
      </c>
      <c r="AR1647">
        <v>227.82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8661.49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35</v>
      </c>
      <c r="BG1647">
        <v>596.27885700000002</v>
      </c>
      <c r="BH1647">
        <v>0</v>
      </c>
    </row>
    <row r="1648" spans="1:60" x14ac:dyDescent="0.35">
      <c r="A1648" t="s">
        <v>3407</v>
      </c>
      <c r="B1648" t="s">
        <v>3407</v>
      </c>
      <c r="C1648" t="s">
        <v>3411</v>
      </c>
      <c r="D1648" t="s">
        <v>3412</v>
      </c>
      <c r="E1648">
        <v>2966</v>
      </c>
      <c r="F1648" t="s">
        <v>81</v>
      </c>
      <c r="G1648" t="s">
        <v>81</v>
      </c>
      <c r="H1648" t="s">
        <v>81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4</v>
      </c>
      <c r="BG1648">
        <v>1123</v>
      </c>
      <c r="BH1648">
        <v>0</v>
      </c>
    </row>
    <row r="1649" spans="1:60" x14ac:dyDescent="0.35">
      <c r="A1649" t="s">
        <v>3407</v>
      </c>
      <c r="B1649" t="s">
        <v>3407</v>
      </c>
      <c r="C1649" t="s">
        <v>3413</v>
      </c>
      <c r="D1649" t="s">
        <v>3414</v>
      </c>
      <c r="E1649">
        <v>4231</v>
      </c>
      <c r="F1649">
        <v>1</v>
      </c>
      <c r="G1649">
        <v>0.72727299999999995</v>
      </c>
      <c r="H1649">
        <v>0.72727299999999995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4</v>
      </c>
      <c r="BG1649">
        <v>0</v>
      </c>
      <c r="BH1649">
        <v>0</v>
      </c>
    </row>
    <row r="1650" spans="1:60" x14ac:dyDescent="0.35">
      <c r="A1650" t="s">
        <v>3407</v>
      </c>
      <c r="B1650" t="s">
        <v>3407</v>
      </c>
      <c r="C1650" t="s">
        <v>3415</v>
      </c>
      <c r="D1650" t="s">
        <v>3416</v>
      </c>
      <c r="E1650">
        <v>5727</v>
      </c>
      <c r="F1650" t="s">
        <v>81</v>
      </c>
      <c r="G1650" t="s">
        <v>81</v>
      </c>
      <c r="H1650" t="s">
        <v>81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4</v>
      </c>
      <c r="BG1650">
        <v>0</v>
      </c>
      <c r="BH1650">
        <v>0</v>
      </c>
    </row>
    <row r="1651" spans="1:60" x14ac:dyDescent="0.35">
      <c r="A1651" t="s">
        <v>3407</v>
      </c>
      <c r="B1651" t="s">
        <v>3407</v>
      </c>
      <c r="C1651" t="s">
        <v>3417</v>
      </c>
      <c r="D1651" t="s">
        <v>3418</v>
      </c>
      <c r="E1651">
        <v>6689</v>
      </c>
      <c r="F1651" t="s">
        <v>81</v>
      </c>
      <c r="G1651" t="s">
        <v>81</v>
      </c>
      <c r="H1651" t="s">
        <v>81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15</v>
      </c>
      <c r="BG1651">
        <v>6514.009333</v>
      </c>
      <c r="BH1651">
        <v>0</v>
      </c>
    </row>
    <row r="1652" spans="1:60" x14ac:dyDescent="0.35">
      <c r="A1652" t="s">
        <v>3407</v>
      </c>
      <c r="B1652" t="s">
        <v>3407</v>
      </c>
      <c r="C1652" t="s">
        <v>3419</v>
      </c>
      <c r="D1652" t="s">
        <v>3420</v>
      </c>
      <c r="E1652">
        <v>6253</v>
      </c>
      <c r="F1652">
        <v>2</v>
      </c>
      <c r="G1652">
        <v>4.0088189999999999</v>
      </c>
      <c r="H1652">
        <v>2.00441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8005.83</v>
      </c>
      <c r="AE1652">
        <v>0</v>
      </c>
      <c r="AF1652">
        <v>8005.83</v>
      </c>
      <c r="AG1652">
        <v>0</v>
      </c>
      <c r="AH1652">
        <v>0</v>
      </c>
      <c r="AI1652">
        <v>0</v>
      </c>
      <c r="AJ1652">
        <v>3004.33</v>
      </c>
      <c r="AK1652">
        <v>0</v>
      </c>
      <c r="AL1652">
        <v>3004.33</v>
      </c>
      <c r="AM1652">
        <v>0</v>
      </c>
      <c r="AN1652">
        <v>0</v>
      </c>
      <c r="AO1652">
        <v>0</v>
      </c>
      <c r="AP1652">
        <v>595.82000000000005</v>
      </c>
      <c r="AQ1652">
        <v>0</v>
      </c>
      <c r="AR1652">
        <v>595.82000000000005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11605.98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8</v>
      </c>
      <c r="BG1652">
        <v>0</v>
      </c>
      <c r="BH1652">
        <v>0</v>
      </c>
    </row>
    <row r="1653" spans="1:60" x14ac:dyDescent="0.35">
      <c r="A1653" t="s">
        <v>3407</v>
      </c>
      <c r="B1653" t="s">
        <v>3407</v>
      </c>
      <c r="C1653" t="s">
        <v>3421</v>
      </c>
      <c r="D1653" t="s">
        <v>3422</v>
      </c>
      <c r="E1653">
        <v>2181</v>
      </c>
      <c r="F1653">
        <v>1</v>
      </c>
      <c r="G1653">
        <v>0.72727299999999995</v>
      </c>
      <c r="H1653">
        <v>0.72727299999999995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3</v>
      </c>
      <c r="BG1653">
        <v>856.66666699999996</v>
      </c>
      <c r="BH1653">
        <v>0</v>
      </c>
    </row>
    <row r="1654" spans="1:60" x14ac:dyDescent="0.35">
      <c r="A1654" t="s">
        <v>3407</v>
      </c>
      <c r="B1654" t="s">
        <v>3407</v>
      </c>
      <c r="C1654" t="s">
        <v>3423</v>
      </c>
      <c r="D1654" t="s">
        <v>3424</v>
      </c>
      <c r="E1654">
        <v>4921</v>
      </c>
      <c r="F1654">
        <v>4</v>
      </c>
      <c r="G1654">
        <v>3.6433239999999998</v>
      </c>
      <c r="H1654">
        <v>0.91083099999999995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16406.88</v>
      </c>
      <c r="AB1654">
        <v>0</v>
      </c>
      <c r="AC1654">
        <v>0</v>
      </c>
      <c r="AD1654">
        <v>0</v>
      </c>
      <c r="AE1654">
        <v>0</v>
      </c>
      <c r="AF1654">
        <v>16406.88</v>
      </c>
      <c r="AG1654">
        <v>3348.21</v>
      </c>
      <c r="AH1654">
        <v>0</v>
      </c>
      <c r="AI1654">
        <v>0</v>
      </c>
      <c r="AJ1654">
        <v>0</v>
      </c>
      <c r="AK1654">
        <v>0</v>
      </c>
      <c r="AL1654">
        <v>3348.21</v>
      </c>
      <c r="AM1654">
        <v>1028.44</v>
      </c>
      <c r="AN1654">
        <v>0</v>
      </c>
      <c r="AO1654">
        <v>0</v>
      </c>
      <c r="AP1654">
        <v>0</v>
      </c>
      <c r="AQ1654">
        <v>0</v>
      </c>
      <c r="AR1654">
        <v>1028.44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20783.53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10</v>
      </c>
      <c r="BG1654">
        <v>2847.0970000000002</v>
      </c>
      <c r="BH1654">
        <v>176.31700000000001</v>
      </c>
    </row>
    <row r="1655" spans="1:60" x14ac:dyDescent="0.35">
      <c r="A1655" t="s">
        <v>3407</v>
      </c>
      <c r="B1655" t="s">
        <v>3407</v>
      </c>
      <c r="C1655" t="s">
        <v>3425</v>
      </c>
      <c r="D1655" t="s">
        <v>3426</v>
      </c>
      <c r="E1655">
        <v>3910</v>
      </c>
      <c r="F1655">
        <v>2</v>
      </c>
      <c r="G1655">
        <v>2.95</v>
      </c>
      <c r="H1655">
        <v>1.4750000000000001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6</v>
      </c>
      <c r="BG1655">
        <v>0</v>
      </c>
      <c r="BH1655">
        <v>0</v>
      </c>
    </row>
    <row r="1656" spans="1:60" x14ac:dyDescent="0.35">
      <c r="A1656" t="s">
        <v>3407</v>
      </c>
      <c r="B1656" t="s">
        <v>3407</v>
      </c>
      <c r="C1656" t="s">
        <v>3427</v>
      </c>
      <c r="D1656" t="s">
        <v>3428</v>
      </c>
      <c r="E1656">
        <v>5972</v>
      </c>
      <c r="F1656">
        <v>2</v>
      </c>
      <c r="G1656">
        <v>3.25</v>
      </c>
      <c r="H1656">
        <v>1.625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14</v>
      </c>
      <c r="BG1656">
        <v>314.74285700000001</v>
      </c>
      <c r="BH1656">
        <v>233.11799999999999</v>
      </c>
    </row>
    <row r="1657" spans="1:60" x14ac:dyDescent="0.35">
      <c r="A1657" t="s">
        <v>3407</v>
      </c>
      <c r="B1657" t="s">
        <v>3407</v>
      </c>
      <c r="C1657" t="s">
        <v>3429</v>
      </c>
      <c r="D1657" t="s">
        <v>3430</v>
      </c>
      <c r="E1657">
        <v>6553</v>
      </c>
      <c r="F1657" t="s">
        <v>81</v>
      </c>
      <c r="G1657" t="s">
        <v>81</v>
      </c>
      <c r="H1657" t="s">
        <v>81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9</v>
      </c>
      <c r="BG1657">
        <v>0</v>
      </c>
      <c r="BH1657">
        <v>0</v>
      </c>
    </row>
    <row r="1658" spans="1:60" x14ac:dyDescent="0.35">
      <c r="A1658" t="s">
        <v>3407</v>
      </c>
      <c r="B1658" t="s">
        <v>3407</v>
      </c>
      <c r="C1658" t="s">
        <v>3431</v>
      </c>
      <c r="D1658" t="s">
        <v>3432</v>
      </c>
      <c r="E1658">
        <v>2538</v>
      </c>
      <c r="F1658" t="s">
        <v>81</v>
      </c>
      <c r="G1658" t="s">
        <v>81</v>
      </c>
      <c r="H1658" t="s">
        <v>81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1</v>
      </c>
      <c r="BG1658">
        <v>0</v>
      </c>
      <c r="BH1658">
        <v>0</v>
      </c>
    </row>
    <row r="1659" spans="1:60" x14ac:dyDescent="0.35">
      <c r="A1659" t="s">
        <v>3407</v>
      </c>
      <c r="B1659" t="s">
        <v>3407</v>
      </c>
      <c r="C1659" t="s">
        <v>3433</v>
      </c>
      <c r="D1659" t="s">
        <v>3434</v>
      </c>
      <c r="E1659">
        <v>1392</v>
      </c>
      <c r="F1659" t="s">
        <v>81</v>
      </c>
      <c r="G1659" t="s">
        <v>81</v>
      </c>
      <c r="H1659" t="s">
        <v>81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1</v>
      </c>
      <c r="BG1659">
        <v>0</v>
      </c>
      <c r="BH1659">
        <v>0</v>
      </c>
    </row>
    <row r="1660" spans="1:60" x14ac:dyDescent="0.35">
      <c r="A1660" t="s">
        <v>3407</v>
      </c>
      <c r="B1660" t="s">
        <v>3407</v>
      </c>
      <c r="C1660" t="s">
        <v>3435</v>
      </c>
      <c r="D1660" t="s">
        <v>3436</v>
      </c>
      <c r="E1660">
        <v>2736</v>
      </c>
      <c r="F1660">
        <v>1</v>
      </c>
      <c r="G1660">
        <v>1.43</v>
      </c>
      <c r="H1660">
        <v>1.43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7</v>
      </c>
      <c r="BG1660">
        <v>0</v>
      </c>
      <c r="BH1660">
        <v>0</v>
      </c>
    </row>
    <row r="1661" spans="1:60" x14ac:dyDescent="0.35">
      <c r="A1661" t="s">
        <v>3407</v>
      </c>
      <c r="B1661" t="s">
        <v>2981</v>
      </c>
      <c r="C1661" t="s">
        <v>3437</v>
      </c>
      <c r="D1661" t="s">
        <v>3438</v>
      </c>
      <c r="E1661">
        <v>32616</v>
      </c>
      <c r="F1661">
        <v>22</v>
      </c>
      <c r="G1661">
        <v>28.658429999999999</v>
      </c>
      <c r="H1661">
        <v>1.302656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14492.44</v>
      </c>
      <c r="AB1661">
        <v>0</v>
      </c>
      <c r="AC1661">
        <v>65930.2</v>
      </c>
      <c r="AD1661">
        <v>13484.81</v>
      </c>
      <c r="AE1661">
        <v>0</v>
      </c>
      <c r="AF1661">
        <v>93907.45</v>
      </c>
      <c r="AG1661">
        <v>3346.01</v>
      </c>
      <c r="AH1661">
        <v>0</v>
      </c>
      <c r="AI1661">
        <v>19517.810000000001</v>
      </c>
      <c r="AJ1661">
        <v>4815.88</v>
      </c>
      <c r="AK1661">
        <v>0</v>
      </c>
      <c r="AL1661">
        <v>27679.7</v>
      </c>
      <c r="AM1661">
        <v>53.4</v>
      </c>
      <c r="AN1661">
        <v>0</v>
      </c>
      <c r="AO1661">
        <v>18816.150000000001</v>
      </c>
      <c r="AP1661">
        <v>947.93</v>
      </c>
      <c r="AQ1661">
        <v>0</v>
      </c>
      <c r="AR1661">
        <v>19817.48</v>
      </c>
      <c r="AS1661">
        <v>0</v>
      </c>
      <c r="AT1661">
        <v>0</v>
      </c>
      <c r="AU1661">
        <v>96.41</v>
      </c>
      <c r="AV1661">
        <v>0</v>
      </c>
      <c r="AW1661">
        <v>0</v>
      </c>
      <c r="AX1661">
        <v>96.41</v>
      </c>
      <c r="AY1661">
        <v>141501.04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142</v>
      </c>
      <c r="BG1661">
        <v>1454.606761</v>
      </c>
      <c r="BH1661">
        <v>17.036000000000001</v>
      </c>
    </row>
    <row r="1662" spans="1:60" x14ac:dyDescent="0.35">
      <c r="A1662" t="s">
        <v>3407</v>
      </c>
      <c r="B1662" t="s">
        <v>2981</v>
      </c>
      <c r="C1662" t="s">
        <v>3439</v>
      </c>
      <c r="D1662" t="s">
        <v>3440</v>
      </c>
      <c r="E1662">
        <v>2504</v>
      </c>
      <c r="F1662" t="s">
        <v>81</v>
      </c>
      <c r="G1662" t="s">
        <v>81</v>
      </c>
      <c r="H1662" t="s">
        <v>81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6</v>
      </c>
      <c r="BG1662">
        <v>193</v>
      </c>
      <c r="BH1662">
        <v>0</v>
      </c>
    </row>
    <row r="1663" spans="1:60" x14ac:dyDescent="0.35">
      <c r="A1663" t="s">
        <v>3407</v>
      </c>
      <c r="B1663" t="s">
        <v>2981</v>
      </c>
      <c r="C1663" t="s">
        <v>3441</v>
      </c>
      <c r="D1663" t="s">
        <v>3442</v>
      </c>
      <c r="E1663">
        <v>6795</v>
      </c>
      <c r="F1663">
        <v>1</v>
      </c>
      <c r="G1663">
        <v>1.7949600000000001</v>
      </c>
      <c r="H1663">
        <v>1.7949600000000001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11</v>
      </c>
      <c r="BG1663">
        <v>0</v>
      </c>
      <c r="BH1663">
        <v>0</v>
      </c>
    </row>
    <row r="1664" spans="1:60" x14ac:dyDescent="0.35">
      <c r="A1664" t="s">
        <v>3407</v>
      </c>
      <c r="B1664" t="s">
        <v>2981</v>
      </c>
      <c r="C1664" t="s">
        <v>3443</v>
      </c>
      <c r="D1664" t="s">
        <v>3444</v>
      </c>
      <c r="E1664">
        <v>13743</v>
      </c>
      <c r="F1664" t="s">
        <v>81</v>
      </c>
      <c r="G1664" t="s">
        <v>81</v>
      </c>
      <c r="H1664" t="s">
        <v>81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8033.93</v>
      </c>
      <c r="AE1664">
        <v>0</v>
      </c>
      <c r="AF1664">
        <v>8033.93</v>
      </c>
      <c r="AG1664">
        <v>0</v>
      </c>
      <c r="AH1664">
        <v>0</v>
      </c>
      <c r="AI1664">
        <v>0</v>
      </c>
      <c r="AJ1664">
        <v>2563.46</v>
      </c>
      <c r="AK1664">
        <v>0</v>
      </c>
      <c r="AL1664">
        <v>2563.46</v>
      </c>
      <c r="AM1664">
        <v>0</v>
      </c>
      <c r="AN1664">
        <v>0</v>
      </c>
      <c r="AO1664">
        <v>0</v>
      </c>
      <c r="AP1664">
        <v>431.79</v>
      </c>
      <c r="AQ1664">
        <v>0</v>
      </c>
      <c r="AR1664">
        <v>431.79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11029.18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41</v>
      </c>
      <c r="BG1664">
        <v>602.74390200000005</v>
      </c>
      <c r="BH1664">
        <v>0</v>
      </c>
    </row>
    <row r="1665" spans="1:60" x14ac:dyDescent="0.35">
      <c r="A1665" t="s">
        <v>3407</v>
      </c>
      <c r="B1665" t="s">
        <v>2981</v>
      </c>
      <c r="C1665" t="s">
        <v>3445</v>
      </c>
      <c r="D1665" t="s">
        <v>3446</v>
      </c>
      <c r="E1665">
        <v>2782</v>
      </c>
      <c r="F1665" t="s">
        <v>81</v>
      </c>
      <c r="G1665" t="s">
        <v>81</v>
      </c>
      <c r="H1665" t="s">
        <v>81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5</v>
      </c>
      <c r="BG1665">
        <v>0</v>
      </c>
      <c r="BH1665">
        <v>0</v>
      </c>
    </row>
    <row r="1666" spans="1:60" x14ac:dyDescent="0.35">
      <c r="A1666" t="s">
        <v>3407</v>
      </c>
      <c r="B1666" t="s">
        <v>2981</v>
      </c>
      <c r="C1666" t="s">
        <v>3447</v>
      </c>
      <c r="D1666" t="s">
        <v>3448</v>
      </c>
      <c r="E1666">
        <v>4324</v>
      </c>
      <c r="F1666" t="s">
        <v>81</v>
      </c>
      <c r="G1666" t="s">
        <v>81</v>
      </c>
      <c r="H1666" t="s">
        <v>81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1</v>
      </c>
      <c r="BB1666">
        <v>49770</v>
      </c>
      <c r="BC1666">
        <v>49770</v>
      </c>
      <c r="BD1666">
        <v>0</v>
      </c>
      <c r="BE1666">
        <v>0</v>
      </c>
      <c r="BF1666">
        <v>7</v>
      </c>
      <c r="BG1666">
        <v>88.142857000000006</v>
      </c>
      <c r="BH1666">
        <v>0</v>
      </c>
    </row>
    <row r="1667" spans="1:60" x14ac:dyDescent="0.35">
      <c r="A1667" t="s">
        <v>3407</v>
      </c>
      <c r="B1667" t="s">
        <v>2981</v>
      </c>
      <c r="C1667" t="s">
        <v>3449</v>
      </c>
      <c r="D1667" t="s">
        <v>3450</v>
      </c>
      <c r="E1667">
        <v>4672</v>
      </c>
      <c r="F1667">
        <v>2</v>
      </c>
      <c r="G1667">
        <v>1.914752</v>
      </c>
      <c r="H1667">
        <v>0.957376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33</v>
      </c>
      <c r="BG1667">
        <v>529.81212100000005</v>
      </c>
      <c r="BH1667">
        <v>0</v>
      </c>
    </row>
    <row r="1668" spans="1:60" x14ac:dyDescent="0.35">
      <c r="A1668" t="s">
        <v>3407</v>
      </c>
      <c r="B1668" t="s">
        <v>2981</v>
      </c>
      <c r="C1668" t="s">
        <v>3451</v>
      </c>
      <c r="D1668" t="s">
        <v>3452</v>
      </c>
      <c r="E1668">
        <v>6700</v>
      </c>
      <c r="F1668">
        <v>1</v>
      </c>
      <c r="G1668">
        <v>2.5076800000000001</v>
      </c>
      <c r="H1668">
        <v>2.5076800000000001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7</v>
      </c>
      <c r="BG1668">
        <v>1299.9142859999999</v>
      </c>
      <c r="BH1668">
        <v>0</v>
      </c>
    </row>
    <row r="1669" spans="1:60" x14ac:dyDescent="0.35">
      <c r="A1669" t="s">
        <v>3407</v>
      </c>
      <c r="B1669" t="s">
        <v>2981</v>
      </c>
      <c r="C1669" t="s">
        <v>3453</v>
      </c>
      <c r="D1669" t="s">
        <v>3454</v>
      </c>
      <c r="E1669">
        <v>2952</v>
      </c>
      <c r="F1669">
        <v>1</v>
      </c>
      <c r="G1669">
        <v>0.21</v>
      </c>
      <c r="H1669">
        <v>0.21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5</v>
      </c>
      <c r="BG1669">
        <v>0</v>
      </c>
      <c r="BH1669">
        <v>0</v>
      </c>
    </row>
    <row r="1670" spans="1:60" x14ac:dyDescent="0.35">
      <c r="A1670" t="s">
        <v>3407</v>
      </c>
      <c r="B1670" t="s">
        <v>2981</v>
      </c>
      <c r="C1670" t="s">
        <v>3455</v>
      </c>
      <c r="D1670" t="s">
        <v>3456</v>
      </c>
      <c r="E1670">
        <v>7763</v>
      </c>
      <c r="F1670">
        <v>1</v>
      </c>
      <c r="G1670">
        <v>0.65</v>
      </c>
      <c r="H1670">
        <v>0.65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13</v>
      </c>
      <c r="BG1670">
        <v>0</v>
      </c>
      <c r="BH1670">
        <v>0</v>
      </c>
    </row>
    <row r="1671" spans="1:60" x14ac:dyDescent="0.35">
      <c r="A1671" t="s">
        <v>3407</v>
      </c>
      <c r="B1671" t="s">
        <v>2981</v>
      </c>
      <c r="C1671" t="s">
        <v>3457</v>
      </c>
      <c r="D1671" t="s">
        <v>3458</v>
      </c>
      <c r="E1671">
        <v>6909</v>
      </c>
      <c r="F1671">
        <v>3</v>
      </c>
      <c r="G1671">
        <v>5.0869010000000001</v>
      </c>
      <c r="H1671">
        <v>1.6956340000000001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31</v>
      </c>
      <c r="BG1671">
        <v>543.95161299999995</v>
      </c>
      <c r="BH1671">
        <v>0</v>
      </c>
    </row>
    <row r="1672" spans="1:60" x14ac:dyDescent="0.35">
      <c r="A1672" t="s">
        <v>3407</v>
      </c>
      <c r="B1672" t="s">
        <v>2981</v>
      </c>
      <c r="C1672" t="s">
        <v>3459</v>
      </c>
      <c r="D1672" t="s">
        <v>3460</v>
      </c>
      <c r="E1672">
        <v>4662</v>
      </c>
      <c r="F1672" t="s">
        <v>81</v>
      </c>
      <c r="G1672" t="s">
        <v>81</v>
      </c>
      <c r="H1672" t="s">
        <v>81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4</v>
      </c>
      <c r="BG1672">
        <v>0</v>
      </c>
      <c r="BH1672">
        <v>0</v>
      </c>
    </row>
    <row r="1673" spans="1:60" x14ac:dyDescent="0.35">
      <c r="A1673" t="s">
        <v>3407</v>
      </c>
      <c r="B1673" t="s">
        <v>2981</v>
      </c>
      <c r="C1673" t="s">
        <v>3461</v>
      </c>
      <c r="D1673" t="s">
        <v>3462</v>
      </c>
      <c r="E1673">
        <v>2600</v>
      </c>
      <c r="F1673" t="s">
        <v>81</v>
      </c>
      <c r="G1673" t="s">
        <v>81</v>
      </c>
      <c r="H1673" t="s">
        <v>81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3</v>
      </c>
      <c r="BG1673">
        <v>431.63333299999999</v>
      </c>
      <c r="BH1673">
        <v>0</v>
      </c>
    </row>
    <row r="1674" spans="1:60" x14ac:dyDescent="0.35">
      <c r="A1674" t="s">
        <v>3407</v>
      </c>
      <c r="B1674" t="s">
        <v>2981</v>
      </c>
      <c r="C1674" t="s">
        <v>3463</v>
      </c>
      <c r="D1674" t="s">
        <v>3464</v>
      </c>
      <c r="E1674">
        <v>4194</v>
      </c>
      <c r="F1674" t="s">
        <v>81</v>
      </c>
      <c r="G1674" t="s">
        <v>81</v>
      </c>
      <c r="H1674" t="s">
        <v>81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8</v>
      </c>
      <c r="BG1674">
        <v>1937.375</v>
      </c>
      <c r="BH1674">
        <v>0</v>
      </c>
    </row>
    <row r="1675" spans="1:60" x14ac:dyDescent="0.35">
      <c r="A1675" t="s">
        <v>3407</v>
      </c>
      <c r="B1675" t="s">
        <v>2981</v>
      </c>
      <c r="C1675" t="s">
        <v>3465</v>
      </c>
      <c r="D1675" t="s">
        <v>3466</v>
      </c>
      <c r="E1675">
        <v>2937</v>
      </c>
      <c r="F1675" t="s">
        <v>81</v>
      </c>
      <c r="G1675" t="s">
        <v>81</v>
      </c>
      <c r="H1675" t="s">
        <v>81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2</v>
      </c>
      <c r="BG1675">
        <v>0</v>
      </c>
      <c r="BH1675">
        <v>0</v>
      </c>
    </row>
    <row r="1676" spans="1:60" x14ac:dyDescent="0.35">
      <c r="A1676" t="s">
        <v>3407</v>
      </c>
      <c r="B1676" t="s">
        <v>3467</v>
      </c>
      <c r="C1676" t="s">
        <v>3468</v>
      </c>
      <c r="D1676" t="s">
        <v>3469</v>
      </c>
      <c r="E1676">
        <v>14863</v>
      </c>
      <c r="F1676">
        <v>22</v>
      </c>
      <c r="G1676">
        <v>32.743360000000003</v>
      </c>
      <c r="H1676">
        <v>1.488334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23113.1</v>
      </c>
      <c r="AB1676">
        <v>0</v>
      </c>
      <c r="AC1676">
        <v>67193.86</v>
      </c>
      <c r="AD1676">
        <v>11031.14</v>
      </c>
      <c r="AE1676">
        <v>0</v>
      </c>
      <c r="AF1676">
        <v>101338.1</v>
      </c>
      <c r="AG1676">
        <v>3992.23</v>
      </c>
      <c r="AH1676">
        <v>0</v>
      </c>
      <c r="AI1676">
        <v>10921.14</v>
      </c>
      <c r="AJ1676">
        <v>4445</v>
      </c>
      <c r="AK1676">
        <v>0</v>
      </c>
      <c r="AL1676">
        <v>19358.37</v>
      </c>
      <c r="AM1676">
        <v>177.81</v>
      </c>
      <c r="AN1676">
        <v>0</v>
      </c>
      <c r="AO1676">
        <v>12961.47</v>
      </c>
      <c r="AP1676">
        <v>1473.7</v>
      </c>
      <c r="AQ1676">
        <v>0</v>
      </c>
      <c r="AR1676">
        <v>14612.98</v>
      </c>
      <c r="AS1676">
        <v>0</v>
      </c>
      <c r="AT1676">
        <v>0</v>
      </c>
      <c r="AU1676">
        <v>108.29</v>
      </c>
      <c r="AV1676">
        <v>0</v>
      </c>
      <c r="AW1676">
        <v>0</v>
      </c>
      <c r="AX1676">
        <v>108.29</v>
      </c>
      <c r="AY1676">
        <v>135417.74</v>
      </c>
      <c r="AZ1676">
        <v>0</v>
      </c>
      <c r="BA1676">
        <v>3</v>
      </c>
      <c r="BB1676">
        <v>142206.139</v>
      </c>
      <c r="BC1676">
        <v>426618.41700000002</v>
      </c>
      <c r="BD1676">
        <v>0</v>
      </c>
      <c r="BE1676">
        <v>0</v>
      </c>
      <c r="BF1676">
        <v>88</v>
      </c>
      <c r="BG1676">
        <v>190.736591</v>
      </c>
      <c r="BH1676">
        <v>0</v>
      </c>
    </row>
    <row r="1677" spans="1:60" x14ac:dyDescent="0.35">
      <c r="A1677" t="s">
        <v>3407</v>
      </c>
      <c r="B1677" t="s">
        <v>3467</v>
      </c>
      <c r="C1677" t="s">
        <v>3470</v>
      </c>
      <c r="D1677" t="s">
        <v>3471</v>
      </c>
      <c r="E1677">
        <v>2635</v>
      </c>
      <c r="F1677">
        <v>2</v>
      </c>
      <c r="G1677">
        <v>2.8624320000000001</v>
      </c>
      <c r="H1677">
        <v>1.431216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35</v>
      </c>
      <c r="BG1677">
        <v>1569.72</v>
      </c>
      <c r="BH1677">
        <v>0</v>
      </c>
    </row>
    <row r="1678" spans="1:60" x14ac:dyDescent="0.35">
      <c r="A1678" t="s">
        <v>3407</v>
      </c>
      <c r="B1678" t="s">
        <v>3467</v>
      </c>
      <c r="C1678" t="s">
        <v>3472</v>
      </c>
      <c r="D1678" t="s">
        <v>3473</v>
      </c>
      <c r="E1678">
        <v>9564</v>
      </c>
      <c r="F1678">
        <v>2</v>
      </c>
      <c r="G1678">
        <v>2.9634999999999998</v>
      </c>
      <c r="H1678">
        <v>1.4817499999999999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8</v>
      </c>
      <c r="BG1678">
        <v>202.3125</v>
      </c>
      <c r="BH1678">
        <v>0</v>
      </c>
    </row>
    <row r="1679" spans="1:60" x14ac:dyDescent="0.35">
      <c r="A1679" t="s">
        <v>3407</v>
      </c>
      <c r="B1679" t="s">
        <v>3467</v>
      </c>
      <c r="C1679" t="s">
        <v>3474</v>
      </c>
      <c r="D1679" t="s">
        <v>3475</v>
      </c>
      <c r="E1679">
        <v>4635</v>
      </c>
      <c r="F1679">
        <v>6</v>
      </c>
      <c r="G1679">
        <v>16.121510000000001</v>
      </c>
      <c r="H1679">
        <v>2.6869190000000001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21</v>
      </c>
      <c r="BG1679">
        <v>695.18190500000003</v>
      </c>
      <c r="BH1679">
        <v>0</v>
      </c>
    </row>
    <row r="1680" spans="1:60" x14ac:dyDescent="0.35">
      <c r="A1680" t="s">
        <v>3407</v>
      </c>
      <c r="B1680" t="s">
        <v>3467</v>
      </c>
      <c r="C1680" t="s">
        <v>3476</v>
      </c>
      <c r="D1680" t="s">
        <v>3477</v>
      </c>
      <c r="E1680">
        <v>5054</v>
      </c>
      <c r="F1680" t="s">
        <v>81</v>
      </c>
      <c r="G1680" t="s">
        <v>81</v>
      </c>
      <c r="H1680" t="s">
        <v>81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9</v>
      </c>
      <c r="BG1680">
        <v>0</v>
      </c>
      <c r="BH1680">
        <v>0</v>
      </c>
    </row>
    <row r="1681" spans="1:60" x14ac:dyDescent="0.35">
      <c r="A1681" t="s">
        <v>3407</v>
      </c>
      <c r="B1681" t="s">
        <v>3467</v>
      </c>
      <c r="C1681" t="s">
        <v>3478</v>
      </c>
      <c r="D1681" t="s">
        <v>3479</v>
      </c>
      <c r="E1681">
        <v>10546</v>
      </c>
      <c r="F1681">
        <v>5</v>
      </c>
      <c r="G1681">
        <v>6.8741300000000001</v>
      </c>
      <c r="H1681">
        <v>1.3748260000000001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1</v>
      </c>
      <c r="BB1681">
        <v>3167.9169999999999</v>
      </c>
      <c r="BC1681">
        <v>3167.9169999999999</v>
      </c>
      <c r="BD1681">
        <v>0</v>
      </c>
      <c r="BE1681">
        <v>0</v>
      </c>
      <c r="BF1681">
        <v>32</v>
      </c>
      <c r="BG1681">
        <v>0.109375</v>
      </c>
      <c r="BH1681">
        <v>0</v>
      </c>
    </row>
    <row r="1682" spans="1:60" x14ac:dyDescent="0.35">
      <c r="A1682" t="s">
        <v>3407</v>
      </c>
      <c r="B1682" t="s">
        <v>3467</v>
      </c>
      <c r="C1682" t="s">
        <v>3480</v>
      </c>
      <c r="D1682" t="s">
        <v>3481</v>
      </c>
      <c r="E1682">
        <v>9296</v>
      </c>
      <c r="F1682">
        <v>5</v>
      </c>
      <c r="G1682">
        <v>20.61468</v>
      </c>
      <c r="H1682">
        <v>4.1229360000000002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17</v>
      </c>
      <c r="BG1682">
        <v>950.58823500000005</v>
      </c>
      <c r="BH1682">
        <v>0</v>
      </c>
    </row>
    <row r="1683" spans="1:60" x14ac:dyDescent="0.35">
      <c r="A1683" t="s">
        <v>3407</v>
      </c>
      <c r="B1683" t="s">
        <v>3467</v>
      </c>
      <c r="C1683" t="s">
        <v>3482</v>
      </c>
      <c r="D1683" t="s">
        <v>3483</v>
      </c>
      <c r="E1683">
        <v>7009</v>
      </c>
      <c r="F1683">
        <v>2</v>
      </c>
      <c r="G1683">
        <v>0.6</v>
      </c>
      <c r="H1683">
        <v>0.3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33</v>
      </c>
      <c r="BG1683">
        <v>0</v>
      </c>
      <c r="BH1683">
        <v>0</v>
      </c>
    </row>
    <row r="1684" spans="1:60" x14ac:dyDescent="0.35">
      <c r="A1684" t="s">
        <v>3407</v>
      </c>
      <c r="B1684" t="s">
        <v>3467</v>
      </c>
      <c r="C1684" t="s">
        <v>3484</v>
      </c>
      <c r="D1684" t="s">
        <v>3485</v>
      </c>
      <c r="E1684">
        <v>9385</v>
      </c>
      <c r="F1684">
        <v>8</v>
      </c>
      <c r="G1684">
        <v>5.2672460000000001</v>
      </c>
      <c r="H1684">
        <v>0.65840580000000004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56</v>
      </c>
      <c r="BG1684">
        <v>866.42946400000005</v>
      </c>
      <c r="BH1684">
        <v>0</v>
      </c>
    </row>
    <row r="1685" spans="1:60" x14ac:dyDescent="0.35">
      <c r="A1685" t="s">
        <v>3407</v>
      </c>
      <c r="B1685" t="s">
        <v>3467</v>
      </c>
      <c r="C1685" t="s">
        <v>3486</v>
      </c>
      <c r="D1685" t="s">
        <v>3487</v>
      </c>
      <c r="E1685">
        <v>7359</v>
      </c>
      <c r="F1685" t="s">
        <v>81</v>
      </c>
      <c r="G1685" t="s">
        <v>81</v>
      </c>
      <c r="H1685" t="s">
        <v>81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4</v>
      </c>
      <c r="BG1685">
        <v>180</v>
      </c>
      <c r="BH1685">
        <v>0</v>
      </c>
    </row>
    <row r="1686" spans="1:60" x14ac:dyDescent="0.35">
      <c r="A1686" t="s">
        <v>3407</v>
      </c>
      <c r="B1686" t="s">
        <v>3417</v>
      </c>
      <c r="C1686" t="s">
        <v>3488</v>
      </c>
      <c r="D1686" t="s">
        <v>3489</v>
      </c>
      <c r="E1686">
        <v>20060</v>
      </c>
      <c r="F1686">
        <v>8</v>
      </c>
      <c r="G1686">
        <v>14.666840000000001</v>
      </c>
      <c r="H1686">
        <v>1.8333550000000001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16524.810000000001</v>
      </c>
      <c r="AB1686">
        <v>0</v>
      </c>
      <c r="AC1686">
        <v>4630.46</v>
      </c>
      <c r="AD1686">
        <v>0</v>
      </c>
      <c r="AE1686">
        <v>0</v>
      </c>
      <c r="AF1686">
        <v>21155.27</v>
      </c>
      <c r="AG1686">
        <v>5186.6400000000003</v>
      </c>
      <c r="AH1686">
        <v>0</v>
      </c>
      <c r="AI1686">
        <v>1790.93</v>
      </c>
      <c r="AJ1686">
        <v>0</v>
      </c>
      <c r="AK1686">
        <v>0</v>
      </c>
      <c r="AL1686">
        <v>6977.57</v>
      </c>
      <c r="AM1686">
        <v>441.43</v>
      </c>
      <c r="AN1686">
        <v>0</v>
      </c>
      <c r="AO1686">
        <v>1948.19</v>
      </c>
      <c r="AP1686">
        <v>0</v>
      </c>
      <c r="AQ1686">
        <v>0</v>
      </c>
      <c r="AR1686">
        <v>2389.62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30522.46</v>
      </c>
      <c r="AZ1686">
        <v>0</v>
      </c>
      <c r="BA1686">
        <v>2</v>
      </c>
      <c r="BB1686">
        <v>260699.25</v>
      </c>
      <c r="BC1686">
        <v>521398.5</v>
      </c>
      <c r="BD1686">
        <v>0</v>
      </c>
      <c r="BE1686">
        <v>0</v>
      </c>
      <c r="BF1686">
        <v>61</v>
      </c>
      <c r="BG1686">
        <v>1253.97082</v>
      </c>
      <c r="BH1686">
        <v>0</v>
      </c>
    </row>
    <row r="1687" spans="1:60" x14ac:dyDescent="0.35">
      <c r="A1687" t="s">
        <v>3407</v>
      </c>
      <c r="B1687" t="s">
        <v>3417</v>
      </c>
      <c r="C1687" t="s">
        <v>3490</v>
      </c>
      <c r="D1687" t="s">
        <v>3491</v>
      </c>
      <c r="E1687">
        <v>11872</v>
      </c>
      <c r="F1687">
        <v>48</v>
      </c>
      <c r="G1687">
        <v>52.180529999999997</v>
      </c>
      <c r="H1687">
        <v>1.087094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21805.11</v>
      </c>
      <c r="AB1687">
        <v>0</v>
      </c>
      <c r="AC1687">
        <v>81937.460000000006</v>
      </c>
      <c r="AD1687">
        <v>2928.85</v>
      </c>
      <c r="AE1687">
        <v>0</v>
      </c>
      <c r="AF1687">
        <v>106671.42</v>
      </c>
      <c r="AG1687">
        <v>5882.57</v>
      </c>
      <c r="AH1687">
        <v>0</v>
      </c>
      <c r="AI1687">
        <v>15402.56</v>
      </c>
      <c r="AJ1687">
        <v>491.79</v>
      </c>
      <c r="AK1687">
        <v>0</v>
      </c>
      <c r="AL1687">
        <v>21776.92</v>
      </c>
      <c r="AM1687">
        <v>177.37</v>
      </c>
      <c r="AN1687">
        <v>0</v>
      </c>
      <c r="AO1687">
        <v>7057.05</v>
      </c>
      <c r="AP1687">
        <v>138.97999999999999</v>
      </c>
      <c r="AQ1687">
        <v>0</v>
      </c>
      <c r="AR1687">
        <v>7373.4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135821.74</v>
      </c>
      <c r="AZ1687">
        <v>0</v>
      </c>
      <c r="BA1687">
        <v>2</v>
      </c>
      <c r="BB1687">
        <v>218466.04199999999</v>
      </c>
      <c r="BC1687">
        <v>436932.08299999998</v>
      </c>
      <c r="BD1687">
        <v>0</v>
      </c>
      <c r="BE1687">
        <v>1876.3630000000001</v>
      </c>
      <c r="BF1687">
        <v>152</v>
      </c>
      <c r="BG1687">
        <v>826.07368399999996</v>
      </c>
      <c r="BH1687">
        <v>24.689</v>
      </c>
    </row>
    <row r="1688" spans="1:60" x14ac:dyDescent="0.35">
      <c r="A1688" t="s">
        <v>3407</v>
      </c>
      <c r="B1688" t="s">
        <v>3417</v>
      </c>
      <c r="C1688" t="s">
        <v>3492</v>
      </c>
      <c r="D1688" t="s">
        <v>3493</v>
      </c>
      <c r="E1688">
        <v>7497</v>
      </c>
      <c r="F1688" t="s">
        <v>81</v>
      </c>
      <c r="G1688" t="s">
        <v>81</v>
      </c>
      <c r="H1688" t="s">
        <v>81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7</v>
      </c>
      <c r="BG1688">
        <v>0</v>
      </c>
      <c r="BH1688">
        <v>0</v>
      </c>
    </row>
    <row r="1689" spans="1:60" x14ac:dyDescent="0.35">
      <c r="A1689" t="s">
        <v>3407</v>
      </c>
      <c r="B1689" t="s">
        <v>3417</v>
      </c>
      <c r="C1689" t="s">
        <v>3494</v>
      </c>
      <c r="D1689" t="s">
        <v>3495</v>
      </c>
      <c r="E1689">
        <v>4798</v>
      </c>
      <c r="F1689" t="s">
        <v>81</v>
      </c>
      <c r="G1689" t="s">
        <v>81</v>
      </c>
      <c r="H1689" t="s">
        <v>81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11</v>
      </c>
      <c r="BG1689">
        <v>1861.363636</v>
      </c>
      <c r="BH1689">
        <v>0</v>
      </c>
    </row>
    <row r="1690" spans="1:60" x14ac:dyDescent="0.35">
      <c r="A1690" t="s">
        <v>3407</v>
      </c>
      <c r="B1690" t="s">
        <v>3417</v>
      </c>
      <c r="C1690" t="s">
        <v>3496</v>
      </c>
      <c r="D1690" t="s">
        <v>3497</v>
      </c>
      <c r="E1690">
        <v>7377</v>
      </c>
      <c r="F1690" t="s">
        <v>81</v>
      </c>
      <c r="G1690" t="s">
        <v>81</v>
      </c>
      <c r="H1690" t="s">
        <v>81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7</v>
      </c>
      <c r="BG1690">
        <v>0</v>
      </c>
      <c r="BH1690">
        <v>0</v>
      </c>
    </row>
    <row r="1691" spans="1:60" x14ac:dyDescent="0.35">
      <c r="A1691" t="s">
        <v>3407</v>
      </c>
      <c r="B1691" t="s">
        <v>3417</v>
      </c>
      <c r="C1691" t="s">
        <v>3498</v>
      </c>
      <c r="D1691" t="s">
        <v>3499</v>
      </c>
      <c r="E1691">
        <v>13400</v>
      </c>
      <c r="F1691">
        <v>3</v>
      </c>
      <c r="G1691">
        <v>4.6954820000000002</v>
      </c>
      <c r="H1691">
        <v>1.565161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24</v>
      </c>
      <c r="BG1691">
        <v>0</v>
      </c>
      <c r="BH1691">
        <v>486.976</v>
      </c>
    </row>
    <row r="1692" spans="1:60" x14ac:dyDescent="0.35">
      <c r="A1692" t="s">
        <v>3407</v>
      </c>
      <c r="B1692" t="s">
        <v>3417</v>
      </c>
      <c r="C1692" t="s">
        <v>3500</v>
      </c>
      <c r="D1692" t="s">
        <v>3501</v>
      </c>
      <c r="E1692">
        <v>17215</v>
      </c>
      <c r="F1692">
        <v>1</v>
      </c>
      <c r="G1692">
        <v>4.84</v>
      </c>
      <c r="H1692">
        <v>4.84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14</v>
      </c>
      <c r="BG1692">
        <v>0</v>
      </c>
      <c r="BH1692">
        <v>0</v>
      </c>
    </row>
    <row r="1693" spans="1:60" x14ac:dyDescent="0.35">
      <c r="A1693" t="s">
        <v>3407</v>
      </c>
      <c r="B1693" t="s">
        <v>3502</v>
      </c>
      <c r="C1693" t="s">
        <v>3503</v>
      </c>
      <c r="D1693" t="s">
        <v>3504</v>
      </c>
      <c r="E1693">
        <v>46825</v>
      </c>
      <c r="F1693">
        <v>52</v>
      </c>
      <c r="G1693">
        <v>44.386760000000002</v>
      </c>
      <c r="H1693">
        <v>0.85359160000000001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37504.1</v>
      </c>
      <c r="AB1693">
        <v>0</v>
      </c>
      <c r="AC1693">
        <v>81610.77</v>
      </c>
      <c r="AD1693">
        <v>11603.67</v>
      </c>
      <c r="AE1693">
        <v>0</v>
      </c>
      <c r="AF1693">
        <v>130718.54</v>
      </c>
      <c r="AG1693">
        <v>9577.36</v>
      </c>
      <c r="AH1693">
        <v>0</v>
      </c>
      <c r="AI1693">
        <v>20116.560000000001</v>
      </c>
      <c r="AJ1693">
        <v>4950.66</v>
      </c>
      <c r="AK1693">
        <v>0</v>
      </c>
      <c r="AL1693">
        <v>34644.58</v>
      </c>
      <c r="AM1693">
        <v>174.24</v>
      </c>
      <c r="AN1693">
        <v>0</v>
      </c>
      <c r="AO1693">
        <v>22084.28</v>
      </c>
      <c r="AP1693">
        <v>347.45</v>
      </c>
      <c r="AQ1693">
        <v>0</v>
      </c>
      <c r="AR1693">
        <v>22605.97</v>
      </c>
      <c r="AS1693">
        <v>0</v>
      </c>
      <c r="AT1693">
        <v>0</v>
      </c>
      <c r="AU1693">
        <v>180.15</v>
      </c>
      <c r="AV1693">
        <v>0</v>
      </c>
      <c r="AW1693">
        <v>0</v>
      </c>
      <c r="AX1693">
        <v>180.15</v>
      </c>
      <c r="AY1693">
        <v>188149.24</v>
      </c>
      <c r="AZ1693">
        <v>0</v>
      </c>
      <c r="BA1693">
        <v>2</v>
      </c>
      <c r="BB1693">
        <v>16321</v>
      </c>
      <c r="BC1693">
        <v>32642</v>
      </c>
      <c r="BD1693">
        <v>119.75</v>
      </c>
      <c r="BE1693">
        <v>0</v>
      </c>
      <c r="BF1693">
        <v>271</v>
      </c>
      <c r="BG1693">
        <v>2110.242804</v>
      </c>
      <c r="BH1693">
        <v>0.48899999999999999</v>
      </c>
    </row>
    <row r="1694" spans="1:60" x14ac:dyDescent="0.35">
      <c r="A1694" t="s">
        <v>3407</v>
      </c>
      <c r="B1694" t="s">
        <v>3502</v>
      </c>
      <c r="C1694" t="s">
        <v>3505</v>
      </c>
      <c r="D1694" t="s">
        <v>3506</v>
      </c>
      <c r="E1694">
        <v>946</v>
      </c>
      <c r="F1694" t="s">
        <v>81</v>
      </c>
      <c r="G1694" t="s">
        <v>81</v>
      </c>
      <c r="H1694" t="s">
        <v>81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 t="s">
        <v>81</v>
      </c>
      <c r="BB1694" t="s">
        <v>81</v>
      </c>
      <c r="BC1694" t="s">
        <v>81</v>
      </c>
      <c r="BD1694" t="s">
        <v>81</v>
      </c>
      <c r="BE1694" t="s">
        <v>81</v>
      </c>
      <c r="BF1694" t="s">
        <v>81</v>
      </c>
      <c r="BG1694" t="s">
        <v>81</v>
      </c>
      <c r="BH1694" t="s">
        <v>81</v>
      </c>
    </row>
    <row r="1695" spans="1:60" x14ac:dyDescent="0.35">
      <c r="A1695" t="s">
        <v>3407</v>
      </c>
      <c r="B1695" t="s">
        <v>3502</v>
      </c>
      <c r="C1695" t="s">
        <v>3507</v>
      </c>
      <c r="D1695" t="s">
        <v>3508</v>
      </c>
      <c r="E1695">
        <v>9905</v>
      </c>
      <c r="F1695" t="s">
        <v>81</v>
      </c>
      <c r="G1695" t="s">
        <v>81</v>
      </c>
      <c r="H1695" t="s">
        <v>81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17</v>
      </c>
      <c r="BG1695">
        <v>724.51294099999996</v>
      </c>
      <c r="BH1695">
        <v>0</v>
      </c>
    </row>
    <row r="1696" spans="1:60" x14ac:dyDescent="0.35">
      <c r="A1696" t="s">
        <v>3407</v>
      </c>
      <c r="B1696" t="s">
        <v>3502</v>
      </c>
      <c r="C1696" t="s">
        <v>3509</v>
      </c>
      <c r="D1696" t="s">
        <v>3510</v>
      </c>
      <c r="E1696">
        <v>2573</v>
      </c>
      <c r="F1696">
        <v>2</v>
      </c>
      <c r="G1696">
        <v>0.96</v>
      </c>
      <c r="H1696">
        <v>0.48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15</v>
      </c>
      <c r="BG1696">
        <v>0</v>
      </c>
      <c r="BH1696">
        <v>0</v>
      </c>
    </row>
    <row r="1697" spans="1:60" x14ac:dyDescent="0.35">
      <c r="A1697" t="s">
        <v>3407</v>
      </c>
      <c r="B1697" t="s">
        <v>3502</v>
      </c>
      <c r="C1697" t="s">
        <v>3511</v>
      </c>
      <c r="D1697" t="s">
        <v>3512</v>
      </c>
      <c r="E1697">
        <v>2013</v>
      </c>
      <c r="F1697" t="s">
        <v>81</v>
      </c>
      <c r="G1697" t="s">
        <v>81</v>
      </c>
      <c r="H1697" t="s">
        <v>81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2</v>
      </c>
      <c r="BG1697">
        <v>0</v>
      </c>
      <c r="BH1697">
        <v>0</v>
      </c>
    </row>
    <row r="1698" spans="1:60" x14ac:dyDescent="0.35">
      <c r="A1698" t="s">
        <v>3407</v>
      </c>
      <c r="B1698" t="s">
        <v>3513</v>
      </c>
      <c r="C1698" t="s">
        <v>3513</v>
      </c>
      <c r="D1698" t="s">
        <v>3514</v>
      </c>
      <c r="E1698">
        <v>18328</v>
      </c>
      <c r="F1698">
        <v>8</v>
      </c>
      <c r="G1698">
        <v>7.0358539999999996</v>
      </c>
      <c r="H1698">
        <v>0.87948179999999998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15217.78</v>
      </c>
      <c r="AB1698">
        <v>0</v>
      </c>
      <c r="AC1698">
        <v>41791.56</v>
      </c>
      <c r="AD1698">
        <v>13032.47</v>
      </c>
      <c r="AE1698">
        <v>0</v>
      </c>
      <c r="AF1698">
        <v>70041.81</v>
      </c>
      <c r="AG1698">
        <v>5014.22</v>
      </c>
      <c r="AH1698">
        <v>0</v>
      </c>
      <c r="AI1698">
        <v>11937.49</v>
      </c>
      <c r="AJ1698">
        <v>4582.66</v>
      </c>
      <c r="AK1698">
        <v>0</v>
      </c>
      <c r="AL1698">
        <v>21534.37</v>
      </c>
      <c r="AM1698">
        <v>169.18</v>
      </c>
      <c r="AN1698">
        <v>0</v>
      </c>
      <c r="AO1698">
        <v>12169.3</v>
      </c>
      <c r="AP1698">
        <v>1221.6400000000001</v>
      </c>
      <c r="AQ1698">
        <v>0</v>
      </c>
      <c r="AR1698">
        <v>13560.12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105136.3</v>
      </c>
      <c r="AZ1698">
        <v>0</v>
      </c>
      <c r="BA1698">
        <v>1</v>
      </c>
      <c r="BB1698">
        <v>172596.8</v>
      </c>
      <c r="BC1698">
        <v>172596.8</v>
      </c>
      <c r="BD1698">
        <v>0</v>
      </c>
      <c r="BE1698">
        <v>0</v>
      </c>
      <c r="BF1698">
        <v>65</v>
      </c>
      <c r="BG1698">
        <v>3987.9580000000001</v>
      </c>
      <c r="BH1698">
        <v>15.279</v>
      </c>
    </row>
    <row r="1699" spans="1:60" x14ac:dyDescent="0.35">
      <c r="A1699" t="s">
        <v>3407</v>
      </c>
      <c r="B1699" t="s">
        <v>3513</v>
      </c>
      <c r="C1699" t="s">
        <v>3515</v>
      </c>
      <c r="D1699" t="s">
        <v>3516</v>
      </c>
      <c r="E1699">
        <v>3881</v>
      </c>
      <c r="F1699">
        <v>1</v>
      </c>
      <c r="G1699">
        <v>0.43</v>
      </c>
      <c r="H1699">
        <v>0.43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3</v>
      </c>
      <c r="BG1699">
        <v>0</v>
      </c>
      <c r="BH1699">
        <v>0</v>
      </c>
    </row>
    <row r="1700" spans="1:60" x14ac:dyDescent="0.35">
      <c r="A1700" t="s">
        <v>3407</v>
      </c>
      <c r="B1700" t="s">
        <v>3513</v>
      </c>
      <c r="C1700" t="s">
        <v>3517</v>
      </c>
      <c r="D1700" t="s">
        <v>3518</v>
      </c>
      <c r="E1700">
        <v>2855</v>
      </c>
      <c r="F1700" t="s">
        <v>81</v>
      </c>
      <c r="G1700" t="s">
        <v>81</v>
      </c>
      <c r="H1700" t="s">
        <v>81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5</v>
      </c>
      <c r="BG1700">
        <v>2609.3000000000002</v>
      </c>
      <c r="BH1700">
        <v>0</v>
      </c>
    </row>
    <row r="1701" spans="1:60" x14ac:dyDescent="0.35">
      <c r="A1701" t="s">
        <v>3407</v>
      </c>
      <c r="B1701" t="s">
        <v>3513</v>
      </c>
      <c r="C1701" t="s">
        <v>3519</v>
      </c>
      <c r="D1701" t="s">
        <v>3520</v>
      </c>
      <c r="E1701">
        <v>2331</v>
      </c>
      <c r="F1701" t="s">
        <v>81</v>
      </c>
      <c r="G1701" t="s">
        <v>81</v>
      </c>
      <c r="H1701" t="s">
        <v>81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3</v>
      </c>
      <c r="BG1701">
        <v>0</v>
      </c>
      <c r="BH1701">
        <v>0</v>
      </c>
    </row>
    <row r="1702" spans="1:60" x14ac:dyDescent="0.35">
      <c r="A1702" t="s">
        <v>3407</v>
      </c>
      <c r="B1702" t="s">
        <v>3513</v>
      </c>
      <c r="C1702" t="s">
        <v>3521</v>
      </c>
      <c r="D1702" t="s">
        <v>3522</v>
      </c>
      <c r="E1702">
        <v>4686</v>
      </c>
      <c r="F1702" t="s">
        <v>81</v>
      </c>
      <c r="G1702" t="s">
        <v>81</v>
      </c>
      <c r="H1702" t="s">
        <v>81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13</v>
      </c>
      <c r="BG1702">
        <v>0</v>
      </c>
      <c r="BH1702">
        <v>0</v>
      </c>
    </row>
    <row r="1703" spans="1:60" x14ac:dyDescent="0.35">
      <c r="A1703" t="s">
        <v>3407</v>
      </c>
      <c r="B1703" t="s">
        <v>3513</v>
      </c>
      <c r="C1703" t="s">
        <v>3523</v>
      </c>
      <c r="D1703" t="s">
        <v>3524</v>
      </c>
      <c r="E1703">
        <v>3610</v>
      </c>
      <c r="F1703" t="s">
        <v>81</v>
      </c>
      <c r="G1703" t="s">
        <v>81</v>
      </c>
      <c r="H1703" t="s">
        <v>81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 t="s">
        <v>81</v>
      </c>
      <c r="BB1703" t="s">
        <v>81</v>
      </c>
      <c r="BC1703" t="s">
        <v>81</v>
      </c>
      <c r="BD1703" t="s">
        <v>81</v>
      </c>
      <c r="BE1703" t="s">
        <v>81</v>
      </c>
      <c r="BF1703" t="s">
        <v>81</v>
      </c>
      <c r="BG1703" t="s">
        <v>81</v>
      </c>
      <c r="BH1703" t="s">
        <v>81</v>
      </c>
    </row>
    <row r="1704" spans="1:60" x14ac:dyDescent="0.35">
      <c r="A1704" t="s">
        <v>3407</v>
      </c>
      <c r="B1704" t="s">
        <v>3513</v>
      </c>
      <c r="C1704" t="s">
        <v>3525</v>
      </c>
      <c r="D1704" t="s">
        <v>3526</v>
      </c>
      <c r="E1704">
        <v>13115</v>
      </c>
      <c r="F1704">
        <v>3</v>
      </c>
      <c r="G1704">
        <v>2.472737</v>
      </c>
      <c r="H1704">
        <v>0.82424569999999997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8216.3799999999992</v>
      </c>
      <c r="AE1704">
        <v>0</v>
      </c>
      <c r="AF1704">
        <v>8216.3799999999992</v>
      </c>
      <c r="AG1704">
        <v>0</v>
      </c>
      <c r="AH1704">
        <v>0</v>
      </c>
      <c r="AI1704">
        <v>0</v>
      </c>
      <c r="AJ1704">
        <v>2673.88</v>
      </c>
      <c r="AK1704">
        <v>0</v>
      </c>
      <c r="AL1704">
        <v>2673.88</v>
      </c>
      <c r="AM1704">
        <v>0</v>
      </c>
      <c r="AN1704">
        <v>0</v>
      </c>
      <c r="AO1704">
        <v>0</v>
      </c>
      <c r="AP1704">
        <v>220.74</v>
      </c>
      <c r="AQ1704">
        <v>0</v>
      </c>
      <c r="AR1704">
        <v>220.74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11110.999999999998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29</v>
      </c>
      <c r="BG1704">
        <v>53.258620999999998</v>
      </c>
      <c r="BH1704">
        <v>268.983</v>
      </c>
    </row>
    <row r="1705" spans="1:60" x14ac:dyDescent="0.35">
      <c r="A1705" t="s">
        <v>3407</v>
      </c>
      <c r="B1705" t="s">
        <v>3513</v>
      </c>
      <c r="C1705" t="s">
        <v>3527</v>
      </c>
      <c r="D1705" t="s">
        <v>3528</v>
      </c>
      <c r="E1705">
        <v>6901</v>
      </c>
      <c r="F1705">
        <v>2</v>
      </c>
      <c r="G1705">
        <v>3.0329069999999998</v>
      </c>
      <c r="H1705">
        <v>1.516454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3</v>
      </c>
      <c r="BG1705">
        <v>1</v>
      </c>
      <c r="BH1705">
        <v>0</v>
      </c>
    </row>
    <row r="1706" spans="1:60" x14ac:dyDescent="0.35">
      <c r="A1706" t="s">
        <v>3407</v>
      </c>
      <c r="B1706" t="s">
        <v>1153</v>
      </c>
      <c r="C1706" t="s">
        <v>3529</v>
      </c>
      <c r="D1706" t="s">
        <v>3530</v>
      </c>
      <c r="E1706">
        <v>11610</v>
      </c>
      <c r="F1706">
        <v>2</v>
      </c>
      <c r="G1706">
        <v>0.48099999999999998</v>
      </c>
      <c r="H1706">
        <v>0.24049999999999999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1</v>
      </c>
      <c r="BB1706">
        <v>3455.1669999999999</v>
      </c>
      <c r="BC1706">
        <v>3455.1669999999999</v>
      </c>
      <c r="BD1706">
        <v>0</v>
      </c>
      <c r="BE1706">
        <v>18.5</v>
      </c>
      <c r="BF1706">
        <v>18</v>
      </c>
      <c r="BG1706">
        <v>107.555556</v>
      </c>
      <c r="BH1706">
        <v>0</v>
      </c>
    </row>
    <row r="1707" spans="1:60" x14ac:dyDescent="0.35">
      <c r="A1707" t="s">
        <v>3407</v>
      </c>
      <c r="B1707" t="s">
        <v>1153</v>
      </c>
      <c r="C1707" t="s">
        <v>3531</v>
      </c>
      <c r="D1707" t="s">
        <v>3532</v>
      </c>
      <c r="E1707">
        <v>6014</v>
      </c>
      <c r="F1707" t="s">
        <v>81</v>
      </c>
      <c r="G1707" t="s">
        <v>81</v>
      </c>
      <c r="H1707" t="s">
        <v>81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4</v>
      </c>
      <c r="BG1707">
        <v>0</v>
      </c>
      <c r="BH1707">
        <v>0</v>
      </c>
    </row>
    <row r="1708" spans="1:60" x14ac:dyDescent="0.35">
      <c r="A1708" t="s">
        <v>3407</v>
      </c>
      <c r="B1708" t="s">
        <v>1153</v>
      </c>
      <c r="C1708" t="s">
        <v>3533</v>
      </c>
      <c r="D1708" t="s">
        <v>3534</v>
      </c>
      <c r="E1708">
        <v>1838</v>
      </c>
      <c r="F1708">
        <v>2</v>
      </c>
      <c r="G1708">
        <v>8.9731699999999996</v>
      </c>
      <c r="H1708">
        <v>4.4865849999999998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1</v>
      </c>
      <c r="BB1708">
        <v>124966</v>
      </c>
      <c r="BC1708">
        <v>124966</v>
      </c>
      <c r="BD1708">
        <v>0</v>
      </c>
      <c r="BE1708">
        <v>0</v>
      </c>
      <c r="BF1708">
        <v>8</v>
      </c>
      <c r="BG1708">
        <v>0</v>
      </c>
      <c r="BH1708">
        <v>11950.734</v>
      </c>
    </row>
    <row r="1709" spans="1:60" x14ac:dyDescent="0.35">
      <c r="A1709" t="s">
        <v>3407</v>
      </c>
      <c r="B1709" t="s">
        <v>1153</v>
      </c>
      <c r="C1709" t="s">
        <v>3535</v>
      </c>
      <c r="D1709" t="s">
        <v>3536</v>
      </c>
      <c r="E1709">
        <v>2183</v>
      </c>
      <c r="F1709" t="s">
        <v>81</v>
      </c>
      <c r="G1709" t="s">
        <v>81</v>
      </c>
      <c r="H1709" t="s">
        <v>81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1</v>
      </c>
      <c r="BG1709">
        <v>0</v>
      </c>
      <c r="BH1709">
        <v>0</v>
      </c>
    </row>
    <row r="1710" spans="1:60" x14ac:dyDescent="0.35">
      <c r="A1710" t="s">
        <v>3407</v>
      </c>
      <c r="B1710" t="s">
        <v>1153</v>
      </c>
      <c r="C1710" t="s">
        <v>3537</v>
      </c>
      <c r="D1710" t="s">
        <v>3538</v>
      </c>
      <c r="E1710">
        <v>2166</v>
      </c>
      <c r="F1710">
        <v>1</v>
      </c>
      <c r="G1710">
        <v>1.098546</v>
      </c>
      <c r="H1710">
        <v>1.098546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6</v>
      </c>
      <c r="BG1710">
        <v>0</v>
      </c>
      <c r="BH1710">
        <v>0</v>
      </c>
    </row>
    <row r="1711" spans="1:60" x14ac:dyDescent="0.35">
      <c r="A1711" t="s">
        <v>3407</v>
      </c>
      <c r="B1711" t="s">
        <v>1153</v>
      </c>
      <c r="C1711" t="s">
        <v>3539</v>
      </c>
      <c r="D1711" t="s">
        <v>3540</v>
      </c>
      <c r="E1711">
        <v>1365</v>
      </c>
      <c r="F1711">
        <v>1</v>
      </c>
      <c r="G1711">
        <v>0.65</v>
      </c>
      <c r="H1711">
        <v>0.65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5</v>
      </c>
      <c r="BG1711">
        <v>0</v>
      </c>
      <c r="BH1711">
        <v>0</v>
      </c>
    </row>
    <row r="1712" spans="1:60" x14ac:dyDescent="0.35">
      <c r="A1712" t="s">
        <v>3407</v>
      </c>
      <c r="B1712" t="s">
        <v>1153</v>
      </c>
      <c r="C1712" t="s">
        <v>3541</v>
      </c>
      <c r="D1712" t="s">
        <v>3542</v>
      </c>
      <c r="E1712">
        <v>1901</v>
      </c>
      <c r="F1712" t="s">
        <v>81</v>
      </c>
      <c r="G1712" t="s">
        <v>81</v>
      </c>
      <c r="H1712" t="s">
        <v>81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5</v>
      </c>
      <c r="BG1712">
        <v>0</v>
      </c>
      <c r="BH1712">
        <v>0</v>
      </c>
    </row>
    <row r="1713" spans="1:60" x14ac:dyDescent="0.35">
      <c r="A1713" t="s">
        <v>3407</v>
      </c>
      <c r="B1713" t="s">
        <v>1153</v>
      </c>
      <c r="C1713" t="s">
        <v>3543</v>
      </c>
      <c r="D1713" t="s">
        <v>3544</v>
      </c>
      <c r="E1713">
        <v>4975</v>
      </c>
      <c r="F1713">
        <v>4</v>
      </c>
      <c r="G1713">
        <v>4.7633020000000004</v>
      </c>
      <c r="H1713">
        <v>1.190825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19</v>
      </c>
      <c r="BG1713">
        <v>2091.4478949999998</v>
      </c>
      <c r="BH1713">
        <v>0</v>
      </c>
    </row>
    <row r="1714" spans="1:60" x14ac:dyDescent="0.35">
      <c r="A1714" t="s">
        <v>3407</v>
      </c>
      <c r="B1714" t="s">
        <v>1153</v>
      </c>
      <c r="C1714" t="s">
        <v>3545</v>
      </c>
      <c r="D1714" t="s">
        <v>3546</v>
      </c>
      <c r="E1714">
        <v>7090</v>
      </c>
      <c r="F1714">
        <v>3</v>
      </c>
      <c r="G1714">
        <v>1.3</v>
      </c>
      <c r="H1714">
        <v>0.43333329999999998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36</v>
      </c>
      <c r="BG1714">
        <v>0.13888900000000001</v>
      </c>
      <c r="BH1714">
        <v>0</v>
      </c>
    </row>
    <row r="1715" spans="1:60" x14ac:dyDescent="0.35">
      <c r="A1715" t="s">
        <v>3407</v>
      </c>
      <c r="B1715" t="s">
        <v>1153</v>
      </c>
      <c r="C1715" t="s">
        <v>3547</v>
      </c>
      <c r="D1715" t="s">
        <v>3548</v>
      </c>
      <c r="E1715">
        <v>902</v>
      </c>
      <c r="F1715">
        <v>1</v>
      </c>
      <c r="G1715">
        <v>1.3254239999999999</v>
      </c>
      <c r="H1715">
        <v>1.3254239999999999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1</v>
      </c>
      <c r="BG1715">
        <v>0</v>
      </c>
      <c r="BH1715">
        <v>0</v>
      </c>
    </row>
    <row r="1716" spans="1:60" x14ac:dyDescent="0.35">
      <c r="A1716" t="s">
        <v>3407</v>
      </c>
      <c r="B1716" t="s">
        <v>3549</v>
      </c>
      <c r="C1716" t="s">
        <v>3550</v>
      </c>
      <c r="D1716" t="s">
        <v>3551</v>
      </c>
      <c r="E1716">
        <v>26440</v>
      </c>
      <c r="F1716">
        <v>39</v>
      </c>
      <c r="G1716">
        <v>32.801969999999997</v>
      </c>
      <c r="H1716">
        <v>0.84107609999999999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20692.18</v>
      </c>
      <c r="AB1716">
        <v>0</v>
      </c>
      <c r="AC1716">
        <v>84525.38</v>
      </c>
      <c r="AD1716">
        <v>9683.94</v>
      </c>
      <c r="AE1716">
        <v>0</v>
      </c>
      <c r="AF1716">
        <v>114901.5</v>
      </c>
      <c r="AG1716">
        <v>3353.44</v>
      </c>
      <c r="AH1716">
        <v>0</v>
      </c>
      <c r="AI1716">
        <v>19025.64</v>
      </c>
      <c r="AJ1716">
        <v>3016.72</v>
      </c>
      <c r="AK1716">
        <v>0</v>
      </c>
      <c r="AL1716">
        <v>25395.8</v>
      </c>
      <c r="AM1716">
        <v>89.68</v>
      </c>
      <c r="AN1716">
        <v>0</v>
      </c>
      <c r="AO1716">
        <v>24719.86</v>
      </c>
      <c r="AP1716">
        <v>620.70000000000005</v>
      </c>
      <c r="AQ1716">
        <v>0</v>
      </c>
      <c r="AR1716">
        <v>25430.240000000002</v>
      </c>
      <c r="AS1716">
        <v>0</v>
      </c>
      <c r="AT1716">
        <v>0</v>
      </c>
      <c r="AU1716">
        <v>483.14</v>
      </c>
      <c r="AV1716">
        <v>0</v>
      </c>
      <c r="AW1716">
        <v>0</v>
      </c>
      <c r="AX1716">
        <v>483.14</v>
      </c>
      <c r="AY1716">
        <v>166210.68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175</v>
      </c>
      <c r="BG1716">
        <v>1887.5935999999999</v>
      </c>
      <c r="BH1716">
        <v>92.087999999999994</v>
      </c>
    </row>
    <row r="1717" spans="1:60" x14ac:dyDescent="0.35">
      <c r="A1717" t="s">
        <v>3407</v>
      </c>
      <c r="B1717" t="s">
        <v>3549</v>
      </c>
      <c r="C1717" t="s">
        <v>3552</v>
      </c>
      <c r="D1717" t="s">
        <v>3553</v>
      </c>
      <c r="E1717">
        <v>5934</v>
      </c>
      <c r="F1717">
        <v>22</v>
      </c>
      <c r="G1717">
        <v>16.66489</v>
      </c>
      <c r="H1717">
        <v>0.75749500000000003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2</v>
      </c>
      <c r="BB1717">
        <v>139318.22500000001</v>
      </c>
      <c r="BC1717">
        <v>278636.45</v>
      </c>
      <c r="BD1717">
        <v>0</v>
      </c>
      <c r="BE1717">
        <v>0</v>
      </c>
      <c r="BF1717">
        <v>109</v>
      </c>
      <c r="BG1717">
        <v>62.012202000000002</v>
      </c>
      <c r="BH1717">
        <v>17.103000000000002</v>
      </c>
    </row>
    <row r="1718" spans="1:60" x14ac:dyDescent="0.35">
      <c r="A1718" t="s">
        <v>3407</v>
      </c>
      <c r="B1718" t="s">
        <v>3549</v>
      </c>
      <c r="C1718" t="s">
        <v>3554</v>
      </c>
      <c r="D1718" t="s">
        <v>3555</v>
      </c>
      <c r="E1718">
        <v>1833</v>
      </c>
      <c r="F1718">
        <v>1</v>
      </c>
      <c r="G1718">
        <v>2.25</v>
      </c>
      <c r="H1718">
        <v>2.25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3</v>
      </c>
      <c r="BG1718">
        <v>0</v>
      </c>
      <c r="BH1718">
        <v>0</v>
      </c>
    </row>
    <row r="1719" spans="1:60" x14ac:dyDescent="0.35">
      <c r="A1719" t="s">
        <v>3407</v>
      </c>
      <c r="B1719" t="s">
        <v>3549</v>
      </c>
      <c r="C1719" t="s">
        <v>3556</v>
      </c>
      <c r="D1719" t="s">
        <v>3557</v>
      </c>
      <c r="E1719">
        <v>2118</v>
      </c>
      <c r="F1719">
        <v>4</v>
      </c>
      <c r="G1719">
        <v>11.019310000000001</v>
      </c>
      <c r="H1719">
        <v>2.7548270000000001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1</v>
      </c>
      <c r="BB1719">
        <v>99595.3</v>
      </c>
      <c r="BC1719">
        <v>99595.3</v>
      </c>
      <c r="BD1719">
        <v>0</v>
      </c>
      <c r="BE1719">
        <v>0</v>
      </c>
      <c r="BF1719">
        <v>10</v>
      </c>
      <c r="BG1719">
        <v>288.24200000000002</v>
      </c>
      <c r="BH1719">
        <v>0</v>
      </c>
    </row>
    <row r="1720" spans="1:60" x14ac:dyDescent="0.35">
      <c r="A1720" t="s">
        <v>3407</v>
      </c>
      <c r="B1720" t="s">
        <v>3549</v>
      </c>
      <c r="C1720" t="s">
        <v>3558</v>
      </c>
      <c r="D1720" t="s">
        <v>3559</v>
      </c>
      <c r="E1720">
        <v>6888</v>
      </c>
      <c r="F1720" t="s">
        <v>81</v>
      </c>
      <c r="G1720" t="s">
        <v>81</v>
      </c>
      <c r="H1720" t="s">
        <v>81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13</v>
      </c>
      <c r="BG1720">
        <v>0</v>
      </c>
      <c r="BH1720">
        <v>0</v>
      </c>
    </row>
    <row r="1721" spans="1:60" x14ac:dyDescent="0.35">
      <c r="A1721" t="s">
        <v>3407</v>
      </c>
      <c r="B1721" t="s">
        <v>3549</v>
      </c>
      <c r="C1721" t="s">
        <v>3560</v>
      </c>
      <c r="D1721" t="s">
        <v>3561</v>
      </c>
      <c r="E1721">
        <v>7439</v>
      </c>
      <c r="F1721">
        <v>1</v>
      </c>
      <c r="G1721">
        <v>0.43</v>
      </c>
      <c r="H1721">
        <v>0.43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19</v>
      </c>
      <c r="BG1721">
        <v>0</v>
      </c>
      <c r="BH1721">
        <v>249.435</v>
      </c>
    </row>
    <row r="1722" spans="1:60" x14ac:dyDescent="0.35">
      <c r="A1722" t="s">
        <v>3407</v>
      </c>
      <c r="B1722" t="s">
        <v>3549</v>
      </c>
      <c r="C1722" t="s">
        <v>3562</v>
      </c>
      <c r="D1722" t="s">
        <v>3563</v>
      </c>
      <c r="E1722">
        <v>6665</v>
      </c>
      <c r="F1722">
        <v>1</v>
      </c>
      <c r="G1722">
        <v>0.2145</v>
      </c>
      <c r="H1722">
        <v>0.2145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6</v>
      </c>
      <c r="BG1722">
        <v>0</v>
      </c>
      <c r="BH1722">
        <v>0</v>
      </c>
    </row>
    <row r="1723" spans="1:60" x14ac:dyDescent="0.35">
      <c r="A1723" t="s">
        <v>3407</v>
      </c>
      <c r="B1723" t="s">
        <v>3549</v>
      </c>
      <c r="C1723" t="s">
        <v>3564</v>
      </c>
      <c r="D1723" t="s">
        <v>3565</v>
      </c>
      <c r="E1723">
        <v>6053</v>
      </c>
      <c r="F1723">
        <v>4</v>
      </c>
      <c r="G1723">
        <v>4.1272909999999996</v>
      </c>
      <c r="H1723">
        <v>1.0318229999999999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12</v>
      </c>
      <c r="BG1723">
        <v>705.14166699999998</v>
      </c>
      <c r="BH1723">
        <v>0</v>
      </c>
    </row>
    <row r="1724" spans="1:60" x14ac:dyDescent="0.35">
      <c r="A1724" t="s">
        <v>3407</v>
      </c>
      <c r="B1724" t="s">
        <v>3549</v>
      </c>
      <c r="C1724" t="s">
        <v>3566</v>
      </c>
      <c r="D1724" t="s">
        <v>3567</v>
      </c>
      <c r="E1724">
        <v>3758</v>
      </c>
      <c r="F1724">
        <v>1</v>
      </c>
      <c r="G1724">
        <v>0.43</v>
      </c>
      <c r="H1724">
        <v>0.43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5</v>
      </c>
      <c r="BG1724">
        <v>0</v>
      </c>
      <c r="BH1724">
        <v>0</v>
      </c>
    </row>
    <row r="1725" spans="1:60" x14ac:dyDescent="0.35">
      <c r="A1725" t="s">
        <v>3407</v>
      </c>
      <c r="B1725" t="s">
        <v>3568</v>
      </c>
      <c r="C1725" t="s">
        <v>3568</v>
      </c>
      <c r="D1725" t="s">
        <v>3569</v>
      </c>
      <c r="E1725">
        <v>9818</v>
      </c>
      <c r="F1725">
        <v>1</v>
      </c>
      <c r="G1725">
        <v>0.35</v>
      </c>
      <c r="H1725">
        <v>0.35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7</v>
      </c>
      <c r="BG1725">
        <v>3449.4157140000002</v>
      </c>
      <c r="BH1725">
        <v>0</v>
      </c>
    </row>
    <row r="1726" spans="1:60" x14ac:dyDescent="0.35">
      <c r="A1726" t="s">
        <v>3407</v>
      </c>
      <c r="B1726" t="s">
        <v>3568</v>
      </c>
      <c r="C1726" t="s">
        <v>3570</v>
      </c>
      <c r="D1726" t="s">
        <v>3571</v>
      </c>
      <c r="E1726">
        <v>3220</v>
      </c>
      <c r="F1726" t="s">
        <v>81</v>
      </c>
      <c r="G1726" t="s">
        <v>81</v>
      </c>
      <c r="H1726" t="s">
        <v>81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3</v>
      </c>
      <c r="BG1726">
        <v>275.66666700000002</v>
      </c>
      <c r="BH1726">
        <v>0</v>
      </c>
    </row>
    <row r="1727" spans="1:60" x14ac:dyDescent="0.35">
      <c r="A1727" t="s">
        <v>3407</v>
      </c>
      <c r="B1727" t="s">
        <v>3568</v>
      </c>
      <c r="C1727" t="s">
        <v>3572</v>
      </c>
      <c r="D1727" t="s">
        <v>3573</v>
      </c>
      <c r="E1727">
        <v>2191</v>
      </c>
      <c r="F1727" t="s">
        <v>81</v>
      </c>
      <c r="G1727" t="s">
        <v>81</v>
      </c>
      <c r="H1727" t="s">
        <v>81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2</v>
      </c>
      <c r="BG1727">
        <v>0</v>
      </c>
      <c r="BH1727">
        <v>0</v>
      </c>
    </row>
    <row r="1728" spans="1:60" x14ac:dyDescent="0.35">
      <c r="A1728" t="s">
        <v>3407</v>
      </c>
      <c r="B1728" t="s">
        <v>3568</v>
      </c>
      <c r="C1728" t="s">
        <v>3574</v>
      </c>
      <c r="D1728" t="s">
        <v>3575</v>
      </c>
      <c r="E1728">
        <v>2432</v>
      </c>
      <c r="F1728" t="s">
        <v>81</v>
      </c>
      <c r="G1728" t="s">
        <v>81</v>
      </c>
      <c r="H1728" t="s">
        <v>81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1</v>
      </c>
      <c r="BG1728">
        <v>0</v>
      </c>
      <c r="BH1728">
        <v>0</v>
      </c>
    </row>
    <row r="1729" spans="1:60" x14ac:dyDescent="0.35">
      <c r="A1729" t="s">
        <v>3407</v>
      </c>
      <c r="B1729" t="s">
        <v>3576</v>
      </c>
      <c r="C1729" t="s">
        <v>3577</v>
      </c>
      <c r="D1729" t="s">
        <v>3578</v>
      </c>
      <c r="E1729">
        <v>12483</v>
      </c>
      <c r="F1729">
        <v>2</v>
      </c>
      <c r="G1729">
        <v>2.2290139999999998</v>
      </c>
      <c r="H1729">
        <v>1.1145069999999999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41</v>
      </c>
      <c r="BG1729">
        <v>1387.455854</v>
      </c>
      <c r="BH1729">
        <v>0</v>
      </c>
    </row>
    <row r="1730" spans="1:60" x14ac:dyDescent="0.35">
      <c r="A1730" t="s">
        <v>3407</v>
      </c>
      <c r="B1730" t="s">
        <v>3576</v>
      </c>
      <c r="C1730" t="s">
        <v>3579</v>
      </c>
      <c r="D1730" t="s">
        <v>3580</v>
      </c>
      <c r="E1730">
        <v>9857</v>
      </c>
      <c r="F1730">
        <v>19</v>
      </c>
      <c r="G1730">
        <v>24.304020000000001</v>
      </c>
      <c r="H1730">
        <v>1.2791589999999999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1</v>
      </c>
      <c r="BB1730">
        <v>58625.5</v>
      </c>
      <c r="BC1730">
        <v>58625.5</v>
      </c>
      <c r="BD1730">
        <v>0</v>
      </c>
      <c r="BE1730">
        <v>0</v>
      </c>
      <c r="BF1730">
        <v>117</v>
      </c>
      <c r="BG1730">
        <v>1226.1779489999999</v>
      </c>
      <c r="BH1730">
        <v>0</v>
      </c>
    </row>
    <row r="1731" spans="1:60" x14ac:dyDescent="0.35">
      <c r="A1731" t="s">
        <v>3407</v>
      </c>
      <c r="B1731" t="s">
        <v>3576</v>
      </c>
      <c r="C1731" t="s">
        <v>3581</v>
      </c>
      <c r="D1731" t="s">
        <v>3582</v>
      </c>
      <c r="E1731">
        <v>1784</v>
      </c>
      <c r="F1731" t="s">
        <v>81</v>
      </c>
      <c r="G1731" t="s">
        <v>81</v>
      </c>
      <c r="H1731" t="s">
        <v>81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3</v>
      </c>
      <c r="BG1731">
        <v>0</v>
      </c>
      <c r="BH1731">
        <v>0</v>
      </c>
    </row>
    <row r="1732" spans="1:60" x14ac:dyDescent="0.35">
      <c r="A1732" t="s">
        <v>3407</v>
      </c>
      <c r="B1732" t="s">
        <v>3576</v>
      </c>
      <c r="C1732" t="s">
        <v>3583</v>
      </c>
      <c r="D1732" t="s">
        <v>3584</v>
      </c>
      <c r="E1732">
        <v>5609</v>
      </c>
      <c r="F1732">
        <v>2</v>
      </c>
      <c r="G1732">
        <v>5.1261140000000003</v>
      </c>
      <c r="H1732">
        <v>2.5630570000000001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3</v>
      </c>
      <c r="BG1732">
        <v>0</v>
      </c>
      <c r="BH1732">
        <v>0</v>
      </c>
    </row>
    <row r="1733" spans="1:60" x14ac:dyDescent="0.35">
      <c r="A1733" t="s">
        <v>3407</v>
      </c>
      <c r="B1733" t="s">
        <v>3576</v>
      </c>
      <c r="C1733" t="s">
        <v>3585</v>
      </c>
      <c r="D1733" t="s">
        <v>3586</v>
      </c>
      <c r="E1733">
        <v>1935</v>
      </c>
      <c r="F1733" t="s">
        <v>81</v>
      </c>
      <c r="G1733" t="s">
        <v>81</v>
      </c>
      <c r="H1733" t="s">
        <v>81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4</v>
      </c>
      <c r="BG1733">
        <v>0</v>
      </c>
      <c r="BH1733">
        <v>0</v>
      </c>
    </row>
    <row r="1734" spans="1:60" x14ac:dyDescent="0.35">
      <c r="A1734" t="s">
        <v>3407</v>
      </c>
      <c r="B1734" t="s">
        <v>3587</v>
      </c>
      <c r="C1734" t="s">
        <v>3588</v>
      </c>
      <c r="D1734" t="s">
        <v>3589</v>
      </c>
      <c r="E1734">
        <v>262477</v>
      </c>
      <c r="F1734">
        <v>1161</v>
      </c>
      <c r="G1734">
        <v>1183.374</v>
      </c>
      <c r="H1734">
        <v>1.019271</v>
      </c>
      <c r="I1734">
        <v>27318.13</v>
      </c>
      <c r="J1734">
        <v>0</v>
      </c>
      <c r="K1734">
        <v>0</v>
      </c>
      <c r="L1734">
        <v>0</v>
      </c>
      <c r="M1734">
        <v>0</v>
      </c>
      <c r="N1734">
        <v>27318.13</v>
      </c>
      <c r="O1734">
        <v>30788.61</v>
      </c>
      <c r="P1734">
        <v>0</v>
      </c>
      <c r="Q1734">
        <v>0</v>
      </c>
      <c r="R1734">
        <v>0</v>
      </c>
      <c r="S1734">
        <v>0</v>
      </c>
      <c r="T1734">
        <v>30788.61</v>
      </c>
      <c r="U1734">
        <v>92076.24</v>
      </c>
      <c r="V1734">
        <v>288.14999999999998</v>
      </c>
      <c r="W1734">
        <v>432.34</v>
      </c>
      <c r="X1734">
        <v>0</v>
      </c>
      <c r="Y1734">
        <v>0</v>
      </c>
      <c r="Z1734">
        <v>92796.73</v>
      </c>
      <c r="AA1734">
        <v>807557.11</v>
      </c>
      <c r="AB1734">
        <v>56406.57</v>
      </c>
      <c r="AC1734">
        <v>874801.57</v>
      </c>
      <c r="AD1734">
        <v>12514.47</v>
      </c>
      <c r="AE1734">
        <v>0</v>
      </c>
      <c r="AF1734">
        <v>1751279.72</v>
      </c>
      <c r="AG1734">
        <v>83817.509999999995</v>
      </c>
      <c r="AH1734">
        <v>13381.09</v>
      </c>
      <c r="AI1734">
        <v>167132.42000000001</v>
      </c>
      <c r="AJ1734">
        <v>5612.27</v>
      </c>
      <c r="AK1734">
        <v>0</v>
      </c>
      <c r="AL1734">
        <v>269943.28999999998</v>
      </c>
      <c r="AM1734">
        <v>418391.68</v>
      </c>
      <c r="AN1734">
        <v>38439.39</v>
      </c>
      <c r="AO1734">
        <v>163707.74</v>
      </c>
      <c r="AP1734">
        <v>805.28</v>
      </c>
      <c r="AQ1734">
        <v>0</v>
      </c>
      <c r="AR1734">
        <v>621344.09</v>
      </c>
      <c r="AS1734">
        <v>71870.91</v>
      </c>
      <c r="AT1734">
        <v>0</v>
      </c>
      <c r="AU1734">
        <v>14734.44</v>
      </c>
      <c r="AV1734">
        <v>0</v>
      </c>
      <c r="AW1734">
        <v>0</v>
      </c>
      <c r="AX1734">
        <v>86605.35</v>
      </c>
      <c r="AY1734">
        <v>2880075.92</v>
      </c>
      <c r="AZ1734">
        <v>1</v>
      </c>
      <c r="BA1734">
        <v>429</v>
      </c>
      <c r="BB1734">
        <v>62872.773999999998</v>
      </c>
      <c r="BC1734">
        <v>26972420.010000002</v>
      </c>
      <c r="BD1734">
        <v>3283.506993</v>
      </c>
      <c r="BE1734">
        <v>708.20299999999997</v>
      </c>
      <c r="BF1734">
        <v>4338</v>
      </c>
      <c r="BG1734">
        <v>1797.6008549999999</v>
      </c>
      <c r="BH1734">
        <v>483.95699999999999</v>
      </c>
    </row>
    <row r="1735" spans="1:60" x14ac:dyDescent="0.35">
      <c r="A1735" t="s">
        <v>3407</v>
      </c>
      <c r="B1735" t="s">
        <v>3587</v>
      </c>
      <c r="C1735" t="s">
        <v>3590</v>
      </c>
      <c r="D1735" t="s">
        <v>3591</v>
      </c>
      <c r="E1735">
        <v>5644</v>
      </c>
      <c r="F1735">
        <v>1</v>
      </c>
      <c r="G1735">
        <v>4.84</v>
      </c>
      <c r="H1735">
        <v>4.84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4</v>
      </c>
      <c r="BG1735">
        <v>0</v>
      </c>
      <c r="BH1735">
        <v>0</v>
      </c>
    </row>
    <row r="1736" spans="1:60" x14ac:dyDescent="0.35">
      <c r="A1736" t="s">
        <v>3407</v>
      </c>
      <c r="B1736" t="s">
        <v>3587</v>
      </c>
      <c r="C1736" t="s">
        <v>3592</v>
      </c>
      <c r="D1736" t="s">
        <v>3593</v>
      </c>
      <c r="E1736">
        <v>4011</v>
      </c>
      <c r="F1736">
        <v>5</v>
      </c>
      <c r="G1736">
        <v>3.5636369999999999</v>
      </c>
      <c r="H1736">
        <v>0.71272740000000001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14</v>
      </c>
      <c r="BG1736">
        <v>139.721429</v>
      </c>
      <c r="BH1736">
        <v>0</v>
      </c>
    </row>
    <row r="1737" spans="1:60" x14ac:dyDescent="0.35">
      <c r="A1737" t="s">
        <v>3407</v>
      </c>
      <c r="B1737" t="s">
        <v>3587</v>
      </c>
      <c r="C1737" t="s">
        <v>3594</v>
      </c>
      <c r="D1737" t="s">
        <v>3595</v>
      </c>
      <c r="E1737">
        <v>7671</v>
      </c>
      <c r="F1737">
        <v>3</v>
      </c>
      <c r="G1737">
        <v>6.332973</v>
      </c>
      <c r="H1737">
        <v>2.1109909999999998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33</v>
      </c>
      <c r="BG1737">
        <v>67.272727000000003</v>
      </c>
      <c r="BH1737">
        <v>8872.2639999999992</v>
      </c>
    </row>
    <row r="1738" spans="1:60" x14ac:dyDescent="0.35">
      <c r="A1738" t="s">
        <v>3407</v>
      </c>
      <c r="B1738" t="s">
        <v>3587</v>
      </c>
      <c r="C1738" t="s">
        <v>3596</v>
      </c>
      <c r="D1738" t="s">
        <v>3597</v>
      </c>
      <c r="E1738">
        <v>78746</v>
      </c>
      <c r="F1738">
        <v>34</v>
      </c>
      <c r="G1738">
        <v>23.298850000000002</v>
      </c>
      <c r="H1738">
        <v>0.68526019999999999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7</v>
      </c>
      <c r="BB1738">
        <v>28765.620999999999</v>
      </c>
      <c r="BC1738">
        <v>201359.34899999999</v>
      </c>
      <c r="BD1738">
        <v>918.42857100000003</v>
      </c>
      <c r="BE1738">
        <v>129.988</v>
      </c>
      <c r="BF1738">
        <v>114</v>
      </c>
      <c r="BG1738">
        <v>276.74903499999999</v>
      </c>
      <c r="BH1738">
        <v>497.58499999999998</v>
      </c>
    </row>
    <row r="1739" spans="1:60" x14ac:dyDescent="0.35">
      <c r="A1739" t="s">
        <v>3407</v>
      </c>
      <c r="B1739" t="s">
        <v>3598</v>
      </c>
      <c r="C1739" t="s">
        <v>3598</v>
      </c>
      <c r="D1739" t="s">
        <v>3599</v>
      </c>
      <c r="E1739">
        <v>11105</v>
      </c>
      <c r="F1739">
        <v>7</v>
      </c>
      <c r="G1739">
        <v>9.8160749999999997</v>
      </c>
      <c r="H1739">
        <v>1.402296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39463.58</v>
      </c>
      <c r="AD1739">
        <v>11037.52</v>
      </c>
      <c r="AE1739">
        <v>0</v>
      </c>
      <c r="AF1739">
        <v>50501.1</v>
      </c>
      <c r="AG1739">
        <v>0</v>
      </c>
      <c r="AH1739">
        <v>0</v>
      </c>
      <c r="AI1739">
        <v>8015.45</v>
      </c>
      <c r="AJ1739">
        <v>4151.6099999999997</v>
      </c>
      <c r="AK1739">
        <v>0</v>
      </c>
      <c r="AL1739">
        <v>12167.06</v>
      </c>
      <c r="AM1739">
        <v>0</v>
      </c>
      <c r="AN1739">
        <v>0</v>
      </c>
      <c r="AO1739">
        <v>875.84</v>
      </c>
      <c r="AP1739">
        <v>1008.4</v>
      </c>
      <c r="AQ1739">
        <v>0</v>
      </c>
      <c r="AR1739">
        <v>1884.24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64552.4</v>
      </c>
      <c r="AZ1739">
        <v>0</v>
      </c>
      <c r="BA1739">
        <v>1</v>
      </c>
      <c r="BB1739">
        <v>18241.75</v>
      </c>
      <c r="BC1739">
        <v>18241.75</v>
      </c>
      <c r="BD1739">
        <v>0</v>
      </c>
      <c r="BE1739">
        <v>220</v>
      </c>
      <c r="BF1739">
        <v>52</v>
      </c>
      <c r="BG1739">
        <v>258.61346200000003</v>
      </c>
      <c r="BH1739">
        <v>4.2309999999999999</v>
      </c>
    </row>
    <row r="1740" spans="1:60" x14ac:dyDescent="0.35">
      <c r="A1740" t="s">
        <v>3407</v>
      </c>
      <c r="B1740" t="s">
        <v>3598</v>
      </c>
      <c r="C1740" t="s">
        <v>3600</v>
      </c>
      <c r="D1740" t="s">
        <v>3601</v>
      </c>
      <c r="E1740">
        <v>5581</v>
      </c>
      <c r="F1740" t="s">
        <v>81</v>
      </c>
      <c r="G1740" t="s">
        <v>81</v>
      </c>
      <c r="H1740" t="s">
        <v>81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24</v>
      </c>
      <c r="BG1740">
        <v>0</v>
      </c>
      <c r="BH1740">
        <v>0</v>
      </c>
    </row>
    <row r="1741" spans="1:60" x14ac:dyDescent="0.35">
      <c r="A1741" t="s">
        <v>3407</v>
      </c>
      <c r="B1741" t="s">
        <v>3598</v>
      </c>
      <c r="C1741" t="s">
        <v>3602</v>
      </c>
      <c r="D1741" t="s">
        <v>3603</v>
      </c>
      <c r="E1741">
        <v>2955</v>
      </c>
      <c r="F1741">
        <v>8</v>
      </c>
      <c r="G1741">
        <v>12.716150000000001</v>
      </c>
      <c r="H1741">
        <v>1.5895189999999999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15</v>
      </c>
      <c r="BG1741">
        <v>0</v>
      </c>
      <c r="BH1741">
        <v>0</v>
      </c>
    </row>
    <row r="1742" spans="1:60" x14ac:dyDescent="0.35">
      <c r="A1742" t="s">
        <v>3407</v>
      </c>
      <c r="B1742" t="s">
        <v>3598</v>
      </c>
      <c r="C1742" t="s">
        <v>3604</v>
      </c>
      <c r="D1742" t="s">
        <v>3605</v>
      </c>
      <c r="E1742">
        <v>4049</v>
      </c>
      <c r="F1742">
        <v>3</v>
      </c>
      <c r="G1742">
        <v>5.5780940000000001</v>
      </c>
      <c r="H1742">
        <v>1.8593649999999999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3</v>
      </c>
      <c r="BG1742">
        <v>0</v>
      </c>
      <c r="BH1742">
        <v>0</v>
      </c>
    </row>
    <row r="1743" spans="1:60" x14ac:dyDescent="0.35">
      <c r="A1743" t="s">
        <v>3407</v>
      </c>
      <c r="B1743" t="s">
        <v>3598</v>
      </c>
      <c r="C1743" t="s">
        <v>3606</v>
      </c>
      <c r="D1743" t="s">
        <v>3607</v>
      </c>
      <c r="E1743">
        <v>6421</v>
      </c>
      <c r="F1743">
        <v>16</v>
      </c>
      <c r="G1743">
        <v>39.665689999999998</v>
      </c>
      <c r="H1743">
        <v>2.4791050000000001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20</v>
      </c>
      <c r="BG1743">
        <v>2253.3449999999998</v>
      </c>
      <c r="BH1743">
        <v>0</v>
      </c>
    </row>
    <row r="1744" spans="1:60" x14ac:dyDescent="0.35">
      <c r="A1744" t="s">
        <v>3407</v>
      </c>
      <c r="B1744" t="s">
        <v>3598</v>
      </c>
      <c r="C1744" t="s">
        <v>3608</v>
      </c>
      <c r="D1744" t="s">
        <v>3609</v>
      </c>
      <c r="E1744">
        <v>2270</v>
      </c>
      <c r="F1744" t="s">
        <v>81</v>
      </c>
      <c r="G1744" t="s">
        <v>81</v>
      </c>
      <c r="H1744" t="s">
        <v>81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9</v>
      </c>
      <c r="BG1744">
        <v>0</v>
      </c>
      <c r="BH1744">
        <v>0</v>
      </c>
    </row>
    <row r="1745" spans="1:60" x14ac:dyDescent="0.35">
      <c r="A1745" t="s">
        <v>3407</v>
      </c>
      <c r="B1745" t="s">
        <v>3598</v>
      </c>
      <c r="C1745" t="s">
        <v>3610</v>
      </c>
      <c r="D1745" t="s">
        <v>3611</v>
      </c>
      <c r="E1745">
        <v>2383</v>
      </c>
      <c r="F1745">
        <v>1</v>
      </c>
      <c r="G1745">
        <v>2.5</v>
      </c>
      <c r="H1745">
        <v>2.5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15</v>
      </c>
      <c r="BG1745">
        <v>792.1</v>
      </c>
      <c r="BH1745">
        <v>0</v>
      </c>
    </row>
    <row r="1746" spans="1:60" x14ac:dyDescent="0.35">
      <c r="A1746" t="s">
        <v>3407</v>
      </c>
      <c r="B1746" t="s">
        <v>3598</v>
      </c>
      <c r="C1746" t="s">
        <v>3612</v>
      </c>
      <c r="D1746" t="s">
        <v>3613</v>
      </c>
      <c r="E1746">
        <v>1949</v>
      </c>
      <c r="F1746">
        <v>2</v>
      </c>
      <c r="G1746">
        <v>0.38</v>
      </c>
      <c r="H1746">
        <v>0.19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6</v>
      </c>
      <c r="BG1746">
        <v>0</v>
      </c>
      <c r="BH1746">
        <v>0</v>
      </c>
    </row>
    <row r="1747" spans="1:60" x14ac:dyDescent="0.35">
      <c r="A1747" t="s">
        <v>3407</v>
      </c>
      <c r="B1747" t="s">
        <v>3598</v>
      </c>
      <c r="C1747" t="s">
        <v>3614</v>
      </c>
      <c r="D1747" t="s">
        <v>3615</v>
      </c>
      <c r="E1747">
        <v>7210</v>
      </c>
      <c r="F1747">
        <v>11</v>
      </c>
      <c r="G1747">
        <v>12.15832</v>
      </c>
      <c r="H1747">
        <v>1.105302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23</v>
      </c>
      <c r="BG1747">
        <v>0</v>
      </c>
      <c r="BH1747">
        <v>0</v>
      </c>
    </row>
    <row r="1748" spans="1:60" x14ac:dyDescent="0.35">
      <c r="A1748" t="s">
        <v>3407</v>
      </c>
      <c r="B1748" t="s">
        <v>3598</v>
      </c>
      <c r="C1748" t="s">
        <v>3616</v>
      </c>
      <c r="D1748" t="s">
        <v>3617</v>
      </c>
      <c r="E1748">
        <v>9739</v>
      </c>
      <c r="F1748">
        <v>3</v>
      </c>
      <c r="G1748">
        <v>6.5450660000000003</v>
      </c>
      <c r="H1748">
        <v>2.181689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22</v>
      </c>
      <c r="BG1748">
        <v>0.63636400000000004</v>
      </c>
      <c r="BH1748">
        <v>0</v>
      </c>
    </row>
    <row r="1749" spans="1:60" x14ac:dyDescent="0.35">
      <c r="A1749" t="s">
        <v>3407</v>
      </c>
      <c r="B1749" t="s">
        <v>3618</v>
      </c>
      <c r="C1749" t="s">
        <v>3618</v>
      </c>
      <c r="D1749" t="s">
        <v>3619</v>
      </c>
      <c r="E1749">
        <v>24046</v>
      </c>
      <c r="F1749">
        <v>11</v>
      </c>
      <c r="G1749">
        <v>11.47547</v>
      </c>
      <c r="H1749">
        <v>1.0432250000000001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26775.08</v>
      </c>
      <c r="AB1749">
        <v>0</v>
      </c>
      <c r="AC1749">
        <v>21266.99</v>
      </c>
      <c r="AD1749">
        <v>5318.33</v>
      </c>
      <c r="AE1749">
        <v>0</v>
      </c>
      <c r="AF1749">
        <v>53360.4</v>
      </c>
      <c r="AG1749">
        <v>7100.7</v>
      </c>
      <c r="AH1749">
        <v>0</v>
      </c>
      <c r="AI1749">
        <v>3957.51</v>
      </c>
      <c r="AJ1749">
        <v>2939.96</v>
      </c>
      <c r="AK1749">
        <v>0</v>
      </c>
      <c r="AL1749">
        <v>13998.17</v>
      </c>
      <c r="AM1749">
        <v>288.8</v>
      </c>
      <c r="AN1749">
        <v>0</v>
      </c>
      <c r="AO1749">
        <v>14959.1</v>
      </c>
      <c r="AP1749">
        <v>178.58</v>
      </c>
      <c r="AQ1749">
        <v>0</v>
      </c>
      <c r="AR1749">
        <v>15426.48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82785.05</v>
      </c>
      <c r="AZ1749">
        <v>0</v>
      </c>
      <c r="BA1749">
        <v>1</v>
      </c>
      <c r="BB1749">
        <v>91462.582999999999</v>
      </c>
      <c r="BC1749">
        <v>91462.582999999999</v>
      </c>
      <c r="BD1749">
        <v>0</v>
      </c>
      <c r="BE1749">
        <v>0</v>
      </c>
      <c r="BF1749">
        <v>116</v>
      </c>
      <c r="BG1749">
        <v>5619.102414</v>
      </c>
      <c r="BH1749">
        <v>12.548</v>
      </c>
    </row>
    <row r="1750" spans="1:60" x14ac:dyDescent="0.35">
      <c r="A1750" t="s">
        <v>3407</v>
      </c>
      <c r="B1750" t="s">
        <v>3618</v>
      </c>
      <c r="C1750" t="s">
        <v>3620</v>
      </c>
      <c r="D1750" t="s">
        <v>3621</v>
      </c>
      <c r="E1750">
        <v>1627</v>
      </c>
      <c r="F1750" t="s">
        <v>81</v>
      </c>
      <c r="G1750" t="s">
        <v>81</v>
      </c>
      <c r="H1750" t="s">
        <v>81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 t="s">
        <v>81</v>
      </c>
      <c r="BB1750" t="s">
        <v>81</v>
      </c>
      <c r="BC1750" t="s">
        <v>81</v>
      </c>
      <c r="BD1750" t="s">
        <v>81</v>
      </c>
      <c r="BE1750" t="s">
        <v>81</v>
      </c>
      <c r="BF1750" t="s">
        <v>81</v>
      </c>
      <c r="BG1750" t="s">
        <v>81</v>
      </c>
      <c r="BH1750" t="s">
        <v>81</v>
      </c>
    </row>
    <row r="1751" spans="1:60" x14ac:dyDescent="0.35">
      <c r="A1751" t="s">
        <v>3407</v>
      </c>
      <c r="B1751" t="s">
        <v>3618</v>
      </c>
      <c r="C1751" t="s">
        <v>3622</v>
      </c>
      <c r="D1751" t="s">
        <v>3623</v>
      </c>
      <c r="E1751">
        <v>4859</v>
      </c>
      <c r="F1751" t="s">
        <v>81</v>
      </c>
      <c r="G1751" t="s">
        <v>81</v>
      </c>
      <c r="H1751" t="s">
        <v>81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5</v>
      </c>
      <c r="BG1751">
        <v>86</v>
      </c>
      <c r="BH1751">
        <v>0</v>
      </c>
    </row>
    <row r="1752" spans="1:60" x14ac:dyDescent="0.35">
      <c r="A1752" t="s">
        <v>3407</v>
      </c>
      <c r="B1752" t="s">
        <v>3618</v>
      </c>
      <c r="C1752" t="s">
        <v>3624</v>
      </c>
      <c r="D1752" t="s">
        <v>3625</v>
      </c>
      <c r="E1752">
        <v>1297</v>
      </c>
      <c r="F1752" t="s">
        <v>81</v>
      </c>
      <c r="G1752" t="s">
        <v>81</v>
      </c>
      <c r="H1752" t="s">
        <v>81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2</v>
      </c>
      <c r="BG1752">
        <v>0</v>
      </c>
      <c r="BH1752">
        <v>0</v>
      </c>
    </row>
    <row r="1753" spans="1:60" x14ac:dyDescent="0.35">
      <c r="A1753" t="s">
        <v>3407</v>
      </c>
      <c r="B1753" t="s">
        <v>3618</v>
      </c>
      <c r="C1753" t="s">
        <v>3626</v>
      </c>
      <c r="D1753" t="s">
        <v>3627</v>
      </c>
      <c r="E1753">
        <v>2176</v>
      </c>
      <c r="F1753" t="s">
        <v>81</v>
      </c>
      <c r="G1753" t="s">
        <v>81</v>
      </c>
      <c r="H1753" t="s">
        <v>81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2</v>
      </c>
      <c r="BG1753">
        <v>0</v>
      </c>
      <c r="BH1753">
        <v>0</v>
      </c>
    </row>
    <row r="1754" spans="1:60" x14ac:dyDescent="0.35">
      <c r="A1754" t="s">
        <v>3407</v>
      </c>
      <c r="B1754" t="s">
        <v>3618</v>
      </c>
      <c r="C1754" t="s">
        <v>3628</v>
      </c>
      <c r="D1754" t="s">
        <v>3629</v>
      </c>
      <c r="E1754">
        <v>754</v>
      </c>
      <c r="F1754" t="s">
        <v>81</v>
      </c>
      <c r="G1754" t="s">
        <v>81</v>
      </c>
      <c r="H1754" t="s">
        <v>81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</v>
      </c>
      <c r="BG1754">
        <v>0</v>
      </c>
      <c r="BH1754">
        <v>0</v>
      </c>
    </row>
    <row r="1755" spans="1:60" x14ac:dyDescent="0.35">
      <c r="A1755" t="s">
        <v>3407</v>
      </c>
      <c r="B1755" t="s">
        <v>3618</v>
      </c>
      <c r="C1755" t="s">
        <v>3630</v>
      </c>
      <c r="D1755" t="s">
        <v>3631</v>
      </c>
      <c r="E1755">
        <v>598</v>
      </c>
      <c r="F1755" t="s">
        <v>81</v>
      </c>
      <c r="G1755" t="s">
        <v>81</v>
      </c>
      <c r="H1755" t="s">
        <v>81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2</v>
      </c>
      <c r="BG1755">
        <v>0</v>
      </c>
      <c r="BH1755">
        <v>0</v>
      </c>
    </row>
    <row r="1756" spans="1:60" x14ac:dyDescent="0.35">
      <c r="A1756" t="s">
        <v>3632</v>
      </c>
      <c r="B1756" t="s">
        <v>3633</v>
      </c>
      <c r="C1756" t="s">
        <v>3633</v>
      </c>
      <c r="D1756" t="s">
        <v>3634</v>
      </c>
      <c r="E1756">
        <v>90399</v>
      </c>
      <c r="F1756">
        <v>464</v>
      </c>
      <c r="G1756">
        <v>361.78019999999998</v>
      </c>
      <c r="H1756">
        <v>0.77969869999999997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922.79</v>
      </c>
      <c r="P1756">
        <v>0</v>
      </c>
      <c r="Q1756">
        <v>0</v>
      </c>
      <c r="R1756">
        <v>0</v>
      </c>
      <c r="S1756">
        <v>0</v>
      </c>
      <c r="T1756">
        <v>922.79</v>
      </c>
      <c r="U1756">
        <v>23704</v>
      </c>
      <c r="V1756">
        <v>0</v>
      </c>
      <c r="W1756">
        <v>910.25</v>
      </c>
      <c r="X1756">
        <v>0</v>
      </c>
      <c r="Y1756">
        <v>0</v>
      </c>
      <c r="Z1756">
        <v>24614.25</v>
      </c>
      <c r="AA1756">
        <v>279648.44</v>
      </c>
      <c r="AB1756">
        <v>16636.89</v>
      </c>
      <c r="AC1756">
        <v>108465.27</v>
      </c>
      <c r="AD1756">
        <v>0</v>
      </c>
      <c r="AE1756">
        <v>1272.8800000000001</v>
      </c>
      <c r="AF1756">
        <v>406023.48</v>
      </c>
      <c r="AG1756">
        <v>20832.080000000002</v>
      </c>
      <c r="AH1756">
        <v>4248.58</v>
      </c>
      <c r="AI1756">
        <v>18305.169999999998</v>
      </c>
      <c r="AJ1756">
        <v>0</v>
      </c>
      <c r="AK1756">
        <v>1740.1</v>
      </c>
      <c r="AL1756">
        <v>45125.93</v>
      </c>
      <c r="AM1756">
        <v>204237.91</v>
      </c>
      <c r="AN1756">
        <v>18204.97</v>
      </c>
      <c r="AO1756">
        <v>21058.959999999999</v>
      </c>
      <c r="AP1756">
        <v>0</v>
      </c>
      <c r="AQ1756">
        <v>346.97</v>
      </c>
      <c r="AR1756">
        <v>243848.81</v>
      </c>
      <c r="AS1756">
        <v>33908.239999999998</v>
      </c>
      <c r="AT1756">
        <v>0</v>
      </c>
      <c r="AU1756">
        <v>9336.14</v>
      </c>
      <c r="AV1756">
        <v>0</v>
      </c>
      <c r="AW1756">
        <v>0</v>
      </c>
      <c r="AX1756">
        <v>43244.38</v>
      </c>
      <c r="AY1756">
        <v>763779.64</v>
      </c>
      <c r="AZ1756">
        <v>0</v>
      </c>
      <c r="BA1756">
        <v>109</v>
      </c>
      <c r="BB1756">
        <v>39192.601000000002</v>
      </c>
      <c r="BC1756">
        <v>4271993.5259999996</v>
      </c>
      <c r="BD1756">
        <v>7218.0797249999996</v>
      </c>
      <c r="BE1756">
        <v>2597.9160000000002</v>
      </c>
      <c r="BF1756">
        <v>876</v>
      </c>
      <c r="BG1756">
        <v>3921.7659359999998</v>
      </c>
      <c r="BH1756">
        <v>1401.66</v>
      </c>
    </row>
    <row r="1757" spans="1:60" x14ac:dyDescent="0.35">
      <c r="A1757" t="s">
        <v>3632</v>
      </c>
      <c r="B1757" t="s">
        <v>3633</v>
      </c>
      <c r="C1757" t="s">
        <v>3635</v>
      </c>
      <c r="D1757" t="s">
        <v>3636</v>
      </c>
      <c r="E1757">
        <v>4943</v>
      </c>
      <c r="F1757">
        <v>5</v>
      </c>
      <c r="G1757">
        <v>7.5540000000000003</v>
      </c>
      <c r="H1757">
        <v>1.5107999999999999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1</v>
      </c>
      <c r="BB1757">
        <v>3666.6669999999999</v>
      </c>
      <c r="BC1757">
        <v>3666.6669999999999</v>
      </c>
      <c r="BD1757">
        <v>43175.199999999997</v>
      </c>
      <c r="BE1757">
        <v>0</v>
      </c>
      <c r="BF1757">
        <v>15</v>
      </c>
      <c r="BG1757">
        <v>928.455333</v>
      </c>
      <c r="BH1757">
        <v>47.52</v>
      </c>
    </row>
    <row r="1758" spans="1:60" x14ac:dyDescent="0.35">
      <c r="A1758" t="s">
        <v>3632</v>
      </c>
      <c r="B1758" t="s">
        <v>3633</v>
      </c>
      <c r="C1758" t="s">
        <v>3637</v>
      </c>
      <c r="D1758" t="s">
        <v>3638</v>
      </c>
      <c r="E1758">
        <v>1645</v>
      </c>
      <c r="F1758">
        <v>2</v>
      </c>
      <c r="G1758">
        <v>0.50695999999999997</v>
      </c>
      <c r="H1758">
        <v>0.25347999999999998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4</v>
      </c>
      <c r="BG1758">
        <v>0</v>
      </c>
      <c r="BH1758">
        <v>0</v>
      </c>
    </row>
    <row r="1759" spans="1:60" x14ac:dyDescent="0.35">
      <c r="A1759" t="s">
        <v>3632</v>
      </c>
      <c r="B1759" t="s">
        <v>3633</v>
      </c>
      <c r="C1759" t="s">
        <v>3639</v>
      </c>
      <c r="D1759" t="s">
        <v>3640</v>
      </c>
      <c r="E1759">
        <v>15060</v>
      </c>
      <c r="F1759" t="s">
        <v>81</v>
      </c>
      <c r="G1759" t="s">
        <v>81</v>
      </c>
      <c r="H1759" t="s">
        <v>81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11</v>
      </c>
      <c r="BG1759">
        <v>77.227272999999997</v>
      </c>
      <c r="BH1759">
        <v>0</v>
      </c>
    </row>
    <row r="1760" spans="1:60" x14ac:dyDescent="0.35">
      <c r="A1760" t="s">
        <v>3632</v>
      </c>
      <c r="B1760" t="s">
        <v>3633</v>
      </c>
      <c r="C1760" t="s">
        <v>3641</v>
      </c>
      <c r="D1760" t="s">
        <v>3642</v>
      </c>
      <c r="E1760">
        <v>22619</v>
      </c>
      <c r="F1760">
        <v>77</v>
      </c>
      <c r="G1760">
        <v>48.268920000000001</v>
      </c>
      <c r="H1760">
        <v>0.62686909999999996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19134.830000000002</v>
      </c>
      <c r="AD1760">
        <v>0</v>
      </c>
      <c r="AE1760">
        <v>0</v>
      </c>
      <c r="AF1760">
        <v>19134.830000000002</v>
      </c>
      <c r="AG1760">
        <v>0</v>
      </c>
      <c r="AH1760">
        <v>0</v>
      </c>
      <c r="AI1760">
        <v>3180.93</v>
      </c>
      <c r="AJ1760">
        <v>0</v>
      </c>
      <c r="AK1760">
        <v>0</v>
      </c>
      <c r="AL1760">
        <v>3180.93</v>
      </c>
      <c r="AM1760">
        <v>0</v>
      </c>
      <c r="AN1760">
        <v>0</v>
      </c>
      <c r="AO1760">
        <v>4468.49</v>
      </c>
      <c r="AP1760">
        <v>0</v>
      </c>
      <c r="AQ1760">
        <v>0</v>
      </c>
      <c r="AR1760">
        <v>4468.49</v>
      </c>
      <c r="AS1760">
        <v>0</v>
      </c>
      <c r="AT1760">
        <v>0</v>
      </c>
      <c r="AU1760">
        <v>1364.91</v>
      </c>
      <c r="AV1760">
        <v>0</v>
      </c>
      <c r="AW1760">
        <v>0</v>
      </c>
      <c r="AX1760">
        <v>1364.91</v>
      </c>
      <c r="AY1760">
        <v>28149.16</v>
      </c>
      <c r="AZ1760">
        <v>0</v>
      </c>
      <c r="BA1760">
        <v>7</v>
      </c>
      <c r="BB1760">
        <v>48483.476000000002</v>
      </c>
      <c r="BC1760">
        <v>339384.33399999997</v>
      </c>
      <c r="BD1760">
        <v>0</v>
      </c>
      <c r="BE1760">
        <v>3479</v>
      </c>
      <c r="BF1760">
        <v>132</v>
      </c>
      <c r="BG1760">
        <v>4155.1274240000002</v>
      </c>
      <c r="BH1760">
        <v>385.11700000000002</v>
      </c>
    </row>
    <row r="1761" spans="1:60" x14ac:dyDescent="0.35">
      <c r="A1761" t="s">
        <v>3632</v>
      </c>
      <c r="B1761" t="s">
        <v>3633</v>
      </c>
      <c r="C1761" t="s">
        <v>3643</v>
      </c>
      <c r="D1761" t="s">
        <v>3644</v>
      </c>
      <c r="E1761">
        <v>2955</v>
      </c>
      <c r="F1761">
        <v>3</v>
      </c>
      <c r="G1761">
        <v>0.56000000000000005</v>
      </c>
      <c r="H1761">
        <v>0.18666669999999999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5</v>
      </c>
      <c r="BG1761">
        <v>110</v>
      </c>
      <c r="BH1761">
        <v>0</v>
      </c>
    </row>
    <row r="1762" spans="1:60" x14ac:dyDescent="0.35">
      <c r="A1762" t="s">
        <v>3632</v>
      </c>
      <c r="B1762" t="s">
        <v>1484</v>
      </c>
      <c r="C1762" t="s">
        <v>3645</v>
      </c>
      <c r="D1762" t="s">
        <v>3646</v>
      </c>
      <c r="E1762">
        <v>19763</v>
      </c>
      <c r="F1762">
        <v>124</v>
      </c>
      <c r="G1762">
        <v>111.6443</v>
      </c>
      <c r="H1762">
        <v>0.90035739999999997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10842.44</v>
      </c>
      <c r="V1762">
        <v>0</v>
      </c>
      <c r="W1762">
        <v>954.97</v>
      </c>
      <c r="X1762">
        <v>0</v>
      </c>
      <c r="Y1762">
        <v>0</v>
      </c>
      <c r="Z1762">
        <v>11797.41</v>
      </c>
      <c r="AA1762">
        <v>18062.72</v>
      </c>
      <c r="AB1762">
        <v>0</v>
      </c>
      <c r="AC1762">
        <v>42506.559999999998</v>
      </c>
      <c r="AD1762">
        <v>0</v>
      </c>
      <c r="AE1762">
        <v>1308.45</v>
      </c>
      <c r="AF1762">
        <v>61877.73</v>
      </c>
      <c r="AG1762">
        <v>185.53</v>
      </c>
      <c r="AH1762">
        <v>0</v>
      </c>
      <c r="AI1762">
        <v>5591.78</v>
      </c>
      <c r="AJ1762">
        <v>0</v>
      </c>
      <c r="AK1762">
        <v>843.55</v>
      </c>
      <c r="AL1762">
        <v>6620.86</v>
      </c>
      <c r="AM1762">
        <v>27726.03</v>
      </c>
      <c r="AN1762">
        <v>0</v>
      </c>
      <c r="AO1762">
        <v>5392.12</v>
      </c>
      <c r="AP1762">
        <v>0</v>
      </c>
      <c r="AQ1762">
        <v>383.45</v>
      </c>
      <c r="AR1762">
        <v>33501.599999999999</v>
      </c>
      <c r="AS1762">
        <v>3926.27</v>
      </c>
      <c r="AT1762">
        <v>0</v>
      </c>
      <c r="AU1762">
        <v>1719.21</v>
      </c>
      <c r="AV1762">
        <v>0</v>
      </c>
      <c r="AW1762">
        <v>0</v>
      </c>
      <c r="AX1762">
        <v>5645.48</v>
      </c>
      <c r="AY1762">
        <v>119443.08</v>
      </c>
      <c r="AZ1762">
        <v>0</v>
      </c>
      <c r="BA1762">
        <v>6</v>
      </c>
      <c r="BB1762">
        <v>69467.388999999996</v>
      </c>
      <c r="BC1762">
        <v>416804.33399999997</v>
      </c>
      <c r="BD1762">
        <v>1394.5</v>
      </c>
      <c r="BE1762">
        <v>0</v>
      </c>
      <c r="BF1762">
        <v>176</v>
      </c>
      <c r="BG1762">
        <v>918.48749999999995</v>
      </c>
      <c r="BH1762">
        <v>85.143000000000001</v>
      </c>
    </row>
    <row r="1763" spans="1:60" x14ac:dyDescent="0.35">
      <c r="A1763" t="s">
        <v>3632</v>
      </c>
      <c r="B1763" t="s">
        <v>1484</v>
      </c>
      <c r="C1763" t="s">
        <v>3647</v>
      </c>
      <c r="D1763" t="s">
        <v>3648</v>
      </c>
      <c r="E1763">
        <v>10596</v>
      </c>
      <c r="F1763">
        <v>10</v>
      </c>
      <c r="G1763">
        <v>3.3658999999999999</v>
      </c>
      <c r="H1763">
        <v>0.33659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9</v>
      </c>
      <c r="BG1763">
        <v>0</v>
      </c>
      <c r="BH1763">
        <v>0</v>
      </c>
    </row>
    <row r="1764" spans="1:60" x14ac:dyDescent="0.35">
      <c r="A1764" t="s">
        <v>3632</v>
      </c>
      <c r="B1764" t="s">
        <v>1484</v>
      </c>
      <c r="C1764" t="s">
        <v>3649</v>
      </c>
      <c r="D1764" t="s">
        <v>3650</v>
      </c>
      <c r="E1764">
        <v>15881</v>
      </c>
      <c r="F1764">
        <v>2</v>
      </c>
      <c r="G1764">
        <v>2.15</v>
      </c>
      <c r="H1764">
        <v>1.075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13</v>
      </c>
      <c r="BG1764">
        <v>0</v>
      </c>
      <c r="BH1764">
        <v>0</v>
      </c>
    </row>
    <row r="1765" spans="1:60" x14ac:dyDescent="0.35">
      <c r="A1765" t="s">
        <v>3632</v>
      </c>
      <c r="B1765" t="s">
        <v>1484</v>
      </c>
      <c r="C1765" t="s">
        <v>3651</v>
      </c>
      <c r="D1765" t="s">
        <v>3652</v>
      </c>
      <c r="E1765">
        <v>2730</v>
      </c>
      <c r="F1765">
        <v>2</v>
      </c>
      <c r="G1765">
        <v>0.49919999999999998</v>
      </c>
      <c r="H1765">
        <v>0.24959999999999999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1</v>
      </c>
      <c r="BG1765">
        <v>0</v>
      </c>
      <c r="BH1765">
        <v>0</v>
      </c>
    </row>
    <row r="1766" spans="1:60" x14ac:dyDescent="0.35">
      <c r="A1766" t="s">
        <v>3632</v>
      </c>
      <c r="B1766" t="s">
        <v>1484</v>
      </c>
      <c r="C1766" t="s">
        <v>3653</v>
      </c>
      <c r="D1766" t="s">
        <v>3654</v>
      </c>
      <c r="E1766">
        <v>8602</v>
      </c>
      <c r="F1766">
        <v>11</v>
      </c>
      <c r="G1766">
        <v>6.936744</v>
      </c>
      <c r="H1766">
        <v>0.63061310000000004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32</v>
      </c>
      <c r="BG1766">
        <v>1066.735938</v>
      </c>
      <c r="BH1766">
        <v>0</v>
      </c>
    </row>
    <row r="1767" spans="1:60" x14ac:dyDescent="0.35">
      <c r="A1767" t="s">
        <v>3632</v>
      </c>
      <c r="B1767" t="s">
        <v>1484</v>
      </c>
      <c r="C1767" t="s">
        <v>3655</v>
      </c>
      <c r="D1767" t="s">
        <v>3656</v>
      </c>
      <c r="E1767">
        <v>6420</v>
      </c>
      <c r="F1767">
        <v>4</v>
      </c>
      <c r="G1767">
        <v>3.8084449999999999</v>
      </c>
      <c r="H1767">
        <v>0.95211120000000005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34</v>
      </c>
      <c r="BG1767">
        <v>923.44117600000004</v>
      </c>
      <c r="BH1767">
        <v>0</v>
      </c>
    </row>
    <row r="1768" spans="1:60" x14ac:dyDescent="0.35">
      <c r="A1768" t="s">
        <v>3632</v>
      </c>
      <c r="B1768" t="s">
        <v>3657</v>
      </c>
      <c r="C1768" t="s">
        <v>3658</v>
      </c>
      <c r="D1768" t="s">
        <v>3659</v>
      </c>
      <c r="E1768">
        <v>18011</v>
      </c>
      <c r="F1768">
        <v>56</v>
      </c>
      <c r="G1768">
        <v>38.309179999999998</v>
      </c>
      <c r="H1768">
        <v>0.68409240000000004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4518.82</v>
      </c>
      <c r="AB1768">
        <v>0</v>
      </c>
      <c r="AC1768">
        <v>0</v>
      </c>
      <c r="AD1768">
        <v>0</v>
      </c>
      <c r="AE1768">
        <v>0</v>
      </c>
      <c r="AF1768">
        <v>4518.82</v>
      </c>
      <c r="AG1768">
        <v>740.39</v>
      </c>
      <c r="AH1768">
        <v>0</v>
      </c>
      <c r="AI1768">
        <v>0</v>
      </c>
      <c r="AJ1768">
        <v>0</v>
      </c>
      <c r="AK1768">
        <v>0</v>
      </c>
      <c r="AL1768">
        <v>740.39</v>
      </c>
      <c r="AM1768">
        <v>88.26</v>
      </c>
      <c r="AN1768">
        <v>0</v>
      </c>
      <c r="AO1768">
        <v>0</v>
      </c>
      <c r="AP1768">
        <v>0</v>
      </c>
      <c r="AQ1768">
        <v>0</v>
      </c>
      <c r="AR1768">
        <v>88.26</v>
      </c>
      <c r="AS1768">
        <v>747.24</v>
      </c>
      <c r="AT1768">
        <v>0</v>
      </c>
      <c r="AU1768">
        <v>0</v>
      </c>
      <c r="AV1768">
        <v>0</v>
      </c>
      <c r="AW1768">
        <v>0</v>
      </c>
      <c r="AX1768">
        <v>747.24</v>
      </c>
      <c r="AY1768">
        <v>6094.71</v>
      </c>
      <c r="AZ1768">
        <v>0</v>
      </c>
      <c r="BA1768">
        <v>1</v>
      </c>
      <c r="BB1768">
        <v>101611.25</v>
      </c>
      <c r="BC1768">
        <v>101611.25</v>
      </c>
      <c r="BD1768">
        <v>0</v>
      </c>
      <c r="BE1768">
        <v>272.5</v>
      </c>
      <c r="BF1768">
        <v>89</v>
      </c>
      <c r="BG1768">
        <v>3022.0998880000002</v>
      </c>
      <c r="BH1768">
        <v>36.466000000000001</v>
      </c>
    </row>
    <row r="1769" spans="1:60" x14ac:dyDescent="0.35">
      <c r="A1769" t="s">
        <v>3632</v>
      </c>
      <c r="B1769" t="s">
        <v>3657</v>
      </c>
      <c r="C1769" t="s">
        <v>3660</v>
      </c>
      <c r="D1769" t="s">
        <v>3661</v>
      </c>
      <c r="E1769">
        <v>2328</v>
      </c>
      <c r="F1769">
        <v>1</v>
      </c>
      <c r="G1769">
        <v>0.9</v>
      </c>
      <c r="H1769">
        <v>0.9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4</v>
      </c>
      <c r="BG1769">
        <v>27859.45</v>
      </c>
      <c r="BH1769">
        <v>0</v>
      </c>
    </row>
    <row r="1770" spans="1:60" x14ac:dyDescent="0.35">
      <c r="A1770" t="s">
        <v>3632</v>
      </c>
      <c r="B1770" t="s">
        <v>3657</v>
      </c>
      <c r="C1770" t="s">
        <v>3662</v>
      </c>
      <c r="D1770" t="s">
        <v>3663</v>
      </c>
      <c r="E1770">
        <v>14118</v>
      </c>
      <c r="F1770">
        <v>15</v>
      </c>
      <c r="G1770">
        <v>14.32856</v>
      </c>
      <c r="H1770">
        <v>0.955237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3164.1819999999998</v>
      </c>
      <c r="BC1770">
        <v>3164.1819999999998</v>
      </c>
      <c r="BD1770">
        <v>0</v>
      </c>
      <c r="BE1770">
        <v>0</v>
      </c>
      <c r="BF1770">
        <v>24</v>
      </c>
      <c r="BG1770">
        <v>913.29166699999996</v>
      </c>
      <c r="BH1770">
        <v>0</v>
      </c>
    </row>
    <row r="1771" spans="1:60" x14ac:dyDescent="0.35">
      <c r="A1771" t="s">
        <v>3632</v>
      </c>
      <c r="B1771" t="s">
        <v>3657</v>
      </c>
      <c r="C1771" t="s">
        <v>3664</v>
      </c>
      <c r="D1771" t="s">
        <v>3665</v>
      </c>
      <c r="E1771">
        <v>7673</v>
      </c>
      <c r="F1771" t="s">
        <v>81</v>
      </c>
      <c r="G1771" t="s">
        <v>81</v>
      </c>
      <c r="H1771" t="s">
        <v>81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3</v>
      </c>
      <c r="BG1771">
        <v>0</v>
      </c>
      <c r="BH1771">
        <v>0</v>
      </c>
    </row>
    <row r="1772" spans="1:60" x14ac:dyDescent="0.35">
      <c r="A1772" t="s">
        <v>3632</v>
      </c>
      <c r="B1772" t="s">
        <v>3657</v>
      </c>
      <c r="C1772" t="s">
        <v>3666</v>
      </c>
      <c r="D1772" t="s">
        <v>3667</v>
      </c>
      <c r="E1772">
        <v>3388</v>
      </c>
      <c r="F1772" t="s">
        <v>81</v>
      </c>
      <c r="G1772" t="s">
        <v>81</v>
      </c>
      <c r="H1772" t="s">
        <v>81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7</v>
      </c>
      <c r="BG1772">
        <v>6643.2342859999999</v>
      </c>
      <c r="BH1772">
        <v>0</v>
      </c>
    </row>
    <row r="1773" spans="1:60" x14ac:dyDescent="0.35">
      <c r="A1773" t="s">
        <v>3632</v>
      </c>
      <c r="B1773" t="s">
        <v>3651</v>
      </c>
      <c r="C1773" t="s">
        <v>3668</v>
      </c>
      <c r="D1773" t="s">
        <v>3669</v>
      </c>
      <c r="E1773">
        <v>15567</v>
      </c>
      <c r="F1773">
        <v>18</v>
      </c>
      <c r="G1773">
        <v>14.68402</v>
      </c>
      <c r="H1773">
        <v>0.81577889999999997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4578.12</v>
      </c>
      <c r="AB1773">
        <v>0</v>
      </c>
      <c r="AC1773">
        <v>9422.9500000000007</v>
      </c>
      <c r="AD1773">
        <v>0</v>
      </c>
      <c r="AE1773">
        <v>0</v>
      </c>
      <c r="AF1773">
        <v>14001.07</v>
      </c>
      <c r="AG1773">
        <v>509.89</v>
      </c>
      <c r="AH1773">
        <v>0</v>
      </c>
      <c r="AI1773">
        <v>3072.66</v>
      </c>
      <c r="AJ1773">
        <v>0</v>
      </c>
      <c r="AK1773">
        <v>0</v>
      </c>
      <c r="AL1773">
        <v>3582.55</v>
      </c>
      <c r="AM1773">
        <v>89.87</v>
      </c>
      <c r="AN1773">
        <v>0</v>
      </c>
      <c r="AO1773">
        <v>4074</v>
      </c>
      <c r="AP1773">
        <v>0</v>
      </c>
      <c r="AQ1773">
        <v>0</v>
      </c>
      <c r="AR1773">
        <v>4163.87</v>
      </c>
      <c r="AS1773">
        <v>0</v>
      </c>
      <c r="AT1773">
        <v>0</v>
      </c>
      <c r="AU1773">
        <v>1657.7</v>
      </c>
      <c r="AV1773">
        <v>0</v>
      </c>
      <c r="AW1773">
        <v>0</v>
      </c>
      <c r="AX1773">
        <v>1657.7</v>
      </c>
      <c r="AY1773">
        <v>23405.19</v>
      </c>
      <c r="AZ1773">
        <v>0</v>
      </c>
      <c r="BA1773">
        <v>2</v>
      </c>
      <c r="BB1773">
        <v>12714</v>
      </c>
      <c r="BC1773">
        <v>25428</v>
      </c>
      <c r="BD1773">
        <v>0</v>
      </c>
      <c r="BE1773">
        <v>0</v>
      </c>
      <c r="BF1773">
        <v>61</v>
      </c>
      <c r="BG1773">
        <v>2886.3732789999999</v>
      </c>
      <c r="BH1773">
        <v>615.34799999999996</v>
      </c>
    </row>
    <row r="1774" spans="1:60" x14ac:dyDescent="0.35">
      <c r="A1774" t="s">
        <v>3632</v>
      </c>
      <c r="B1774" t="s">
        <v>3651</v>
      </c>
      <c r="C1774" t="s">
        <v>3670</v>
      </c>
      <c r="D1774" t="s">
        <v>3671</v>
      </c>
      <c r="E1774">
        <v>6178</v>
      </c>
      <c r="F1774" t="s">
        <v>81</v>
      </c>
      <c r="G1774" t="s">
        <v>81</v>
      </c>
      <c r="H1774" t="s">
        <v>81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2</v>
      </c>
      <c r="BG1774">
        <v>0</v>
      </c>
      <c r="BH1774">
        <v>0</v>
      </c>
    </row>
    <row r="1775" spans="1:60" x14ac:dyDescent="0.35">
      <c r="A1775" t="s">
        <v>3632</v>
      </c>
      <c r="B1775" t="s">
        <v>3651</v>
      </c>
      <c r="C1775" t="s">
        <v>3672</v>
      </c>
      <c r="D1775" t="s">
        <v>3673</v>
      </c>
      <c r="E1775">
        <v>1751</v>
      </c>
      <c r="F1775" t="s">
        <v>81</v>
      </c>
      <c r="G1775" t="s">
        <v>81</v>
      </c>
      <c r="H1775" t="s">
        <v>81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1</v>
      </c>
      <c r="BG1775">
        <v>0</v>
      </c>
      <c r="BH1775">
        <v>0</v>
      </c>
    </row>
    <row r="1776" spans="1:60" x14ac:dyDescent="0.35">
      <c r="A1776" t="s">
        <v>3632</v>
      </c>
      <c r="B1776" t="s">
        <v>3651</v>
      </c>
      <c r="C1776" t="s">
        <v>3674</v>
      </c>
      <c r="D1776" t="s">
        <v>3675</v>
      </c>
      <c r="E1776">
        <v>5039</v>
      </c>
      <c r="F1776">
        <v>4</v>
      </c>
      <c r="G1776">
        <v>2.476</v>
      </c>
      <c r="H1776">
        <v>0.61899999999999999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14</v>
      </c>
      <c r="BG1776">
        <v>0</v>
      </c>
      <c r="BH1776">
        <v>0</v>
      </c>
    </row>
    <row r="1777" spans="1:60" x14ac:dyDescent="0.35">
      <c r="A1777" t="s">
        <v>3632</v>
      </c>
      <c r="B1777" t="s">
        <v>3651</v>
      </c>
      <c r="C1777" t="s">
        <v>3676</v>
      </c>
      <c r="D1777" t="s">
        <v>3677</v>
      </c>
      <c r="E1777">
        <v>2218</v>
      </c>
      <c r="F1777" t="s">
        <v>81</v>
      </c>
      <c r="G1777" t="s">
        <v>81</v>
      </c>
      <c r="H1777" t="s">
        <v>81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6</v>
      </c>
      <c r="BG1777">
        <v>0</v>
      </c>
      <c r="BH1777">
        <v>0</v>
      </c>
    </row>
    <row r="1778" spans="1:60" x14ac:dyDescent="0.35">
      <c r="A1778" t="s">
        <v>3632</v>
      </c>
      <c r="B1778" t="s">
        <v>3651</v>
      </c>
      <c r="C1778" t="s">
        <v>3678</v>
      </c>
      <c r="D1778" t="s">
        <v>3679</v>
      </c>
      <c r="E1778">
        <v>841</v>
      </c>
      <c r="F1778" t="s">
        <v>81</v>
      </c>
      <c r="G1778" t="s">
        <v>81</v>
      </c>
      <c r="H1778" t="s">
        <v>81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 t="s">
        <v>81</v>
      </c>
      <c r="BB1778" t="s">
        <v>81</v>
      </c>
      <c r="BC1778" t="s">
        <v>81</v>
      </c>
      <c r="BD1778" t="s">
        <v>81</v>
      </c>
      <c r="BE1778" t="s">
        <v>81</v>
      </c>
      <c r="BF1778" t="s">
        <v>81</v>
      </c>
      <c r="BG1778" t="s">
        <v>81</v>
      </c>
      <c r="BH1778" t="s">
        <v>81</v>
      </c>
    </row>
    <row r="1779" spans="1:60" x14ac:dyDescent="0.35">
      <c r="A1779" t="s">
        <v>3632</v>
      </c>
      <c r="B1779" t="s">
        <v>3680</v>
      </c>
      <c r="C1779" t="s">
        <v>3680</v>
      </c>
      <c r="D1779" t="s">
        <v>3681</v>
      </c>
      <c r="E1779">
        <v>15985</v>
      </c>
      <c r="F1779">
        <v>57</v>
      </c>
      <c r="G1779">
        <v>45.993879999999997</v>
      </c>
      <c r="H1779">
        <v>0.80691009999999996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2</v>
      </c>
      <c r="BB1779">
        <v>8684.8340000000007</v>
      </c>
      <c r="BC1779">
        <v>17369.667000000001</v>
      </c>
      <c r="BD1779">
        <v>9839.4</v>
      </c>
      <c r="BE1779">
        <v>0</v>
      </c>
      <c r="BF1779">
        <v>64</v>
      </c>
      <c r="BG1779">
        <v>15321.708124999999</v>
      </c>
      <c r="BH1779">
        <v>6650.7780000000002</v>
      </c>
    </row>
    <row r="1780" spans="1:60" x14ac:dyDescent="0.35">
      <c r="A1780" t="s">
        <v>3632</v>
      </c>
      <c r="B1780" t="s">
        <v>3680</v>
      </c>
      <c r="C1780" t="s">
        <v>3682</v>
      </c>
      <c r="D1780" t="s">
        <v>3683</v>
      </c>
      <c r="E1780">
        <v>14242</v>
      </c>
      <c r="F1780">
        <v>5</v>
      </c>
      <c r="G1780">
        <v>1.31</v>
      </c>
      <c r="H1780">
        <v>0.26200000000000001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37</v>
      </c>
      <c r="BG1780">
        <v>6815.7364859999998</v>
      </c>
      <c r="BH1780">
        <v>0</v>
      </c>
    </row>
    <row r="1781" spans="1:60" x14ac:dyDescent="0.35">
      <c r="A1781" t="s">
        <v>3632</v>
      </c>
      <c r="B1781" t="s">
        <v>3680</v>
      </c>
      <c r="C1781" t="s">
        <v>3684</v>
      </c>
      <c r="D1781" t="s">
        <v>3685</v>
      </c>
      <c r="E1781">
        <v>8109</v>
      </c>
      <c r="F1781">
        <v>5</v>
      </c>
      <c r="G1781">
        <v>2.71</v>
      </c>
      <c r="H1781">
        <v>0.54200000000000004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5232.6670000000004</v>
      </c>
      <c r="BC1781">
        <v>5232.6670000000004</v>
      </c>
      <c r="BD1781">
        <v>0</v>
      </c>
      <c r="BE1781">
        <v>0</v>
      </c>
      <c r="BF1781">
        <v>26</v>
      </c>
      <c r="BG1781">
        <v>4.0961540000000003</v>
      </c>
      <c r="BH1781">
        <v>0</v>
      </c>
    </row>
    <row r="1782" spans="1:60" x14ac:dyDescent="0.35">
      <c r="A1782" t="s">
        <v>3632</v>
      </c>
      <c r="B1782" t="s">
        <v>3680</v>
      </c>
      <c r="C1782" t="s">
        <v>3686</v>
      </c>
      <c r="D1782" t="s">
        <v>3687</v>
      </c>
      <c r="E1782">
        <v>11718</v>
      </c>
      <c r="F1782">
        <v>26</v>
      </c>
      <c r="G1782">
        <v>8.7292000000000005</v>
      </c>
      <c r="H1782">
        <v>0.3357385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64</v>
      </c>
      <c r="BG1782">
        <v>1840.7750000000001</v>
      </c>
      <c r="BH1782">
        <v>0</v>
      </c>
    </row>
    <row r="1783" spans="1:60" x14ac:dyDescent="0.35">
      <c r="A1783" t="s">
        <v>3632</v>
      </c>
      <c r="B1783" t="s">
        <v>3680</v>
      </c>
      <c r="C1783" t="s">
        <v>3688</v>
      </c>
      <c r="D1783" t="s">
        <v>3689</v>
      </c>
      <c r="E1783">
        <v>2689</v>
      </c>
      <c r="F1783">
        <v>2</v>
      </c>
      <c r="G1783">
        <v>1.74074</v>
      </c>
      <c r="H1783">
        <v>0.87036999999999998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3333.3330000000001</v>
      </c>
      <c r="BC1783">
        <v>3333.3330000000001</v>
      </c>
      <c r="BD1783">
        <v>0</v>
      </c>
      <c r="BE1783">
        <v>0</v>
      </c>
      <c r="BF1783">
        <v>11</v>
      </c>
      <c r="BG1783">
        <v>3516.409091</v>
      </c>
      <c r="BH1783">
        <v>0</v>
      </c>
    </row>
    <row r="1784" spans="1:60" x14ac:dyDescent="0.35">
      <c r="A1784" t="s">
        <v>3632</v>
      </c>
      <c r="B1784" t="s">
        <v>3680</v>
      </c>
      <c r="C1784" t="s">
        <v>3690</v>
      </c>
      <c r="D1784" t="s">
        <v>3691</v>
      </c>
      <c r="E1784">
        <v>8937</v>
      </c>
      <c r="F1784" t="s">
        <v>81</v>
      </c>
      <c r="G1784" t="s">
        <v>81</v>
      </c>
      <c r="H1784" t="s">
        <v>81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3</v>
      </c>
      <c r="BG1784">
        <v>0</v>
      </c>
      <c r="BH1784">
        <v>0</v>
      </c>
    </row>
    <row r="1785" spans="1:60" x14ac:dyDescent="0.35">
      <c r="A1785" t="s">
        <v>3632</v>
      </c>
      <c r="B1785" t="s">
        <v>3680</v>
      </c>
      <c r="C1785" t="s">
        <v>3692</v>
      </c>
      <c r="D1785" t="s">
        <v>3693</v>
      </c>
      <c r="E1785">
        <v>4090</v>
      </c>
      <c r="F1785">
        <v>7</v>
      </c>
      <c r="G1785">
        <v>7.5350479999999997</v>
      </c>
      <c r="H1785">
        <v>1.076435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4</v>
      </c>
      <c r="BG1785">
        <v>0</v>
      </c>
      <c r="BH1785">
        <v>0</v>
      </c>
    </row>
    <row r="1786" spans="1:60" x14ac:dyDescent="0.35">
      <c r="A1786" t="s">
        <v>3632</v>
      </c>
      <c r="B1786" t="s">
        <v>3680</v>
      </c>
      <c r="C1786" t="s">
        <v>3694</v>
      </c>
      <c r="D1786" t="s">
        <v>3695</v>
      </c>
      <c r="E1786">
        <v>1765</v>
      </c>
      <c r="F1786" t="s">
        <v>81</v>
      </c>
      <c r="G1786" t="s">
        <v>81</v>
      </c>
      <c r="H1786" t="s">
        <v>81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3</v>
      </c>
      <c r="BG1786">
        <v>7835.1</v>
      </c>
      <c r="BH1786">
        <v>0</v>
      </c>
    </row>
    <row r="1787" spans="1:60" x14ac:dyDescent="0.35">
      <c r="A1787" t="s">
        <v>3632</v>
      </c>
      <c r="B1787" t="s">
        <v>3680</v>
      </c>
      <c r="C1787" t="s">
        <v>3696</v>
      </c>
      <c r="D1787" t="s">
        <v>3697</v>
      </c>
      <c r="E1787">
        <v>1690</v>
      </c>
      <c r="F1787">
        <v>1</v>
      </c>
      <c r="G1787">
        <v>1.43</v>
      </c>
      <c r="H1787">
        <v>1.43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9</v>
      </c>
      <c r="BG1787">
        <v>10385.105556</v>
      </c>
      <c r="BH1787">
        <v>0</v>
      </c>
    </row>
    <row r="1788" spans="1:60" x14ac:dyDescent="0.35">
      <c r="A1788" t="s">
        <v>3632</v>
      </c>
      <c r="B1788" t="s">
        <v>3680</v>
      </c>
      <c r="C1788" t="s">
        <v>3698</v>
      </c>
      <c r="D1788" t="s">
        <v>3699</v>
      </c>
      <c r="E1788">
        <v>15042</v>
      </c>
      <c r="F1788">
        <v>6</v>
      </c>
      <c r="G1788">
        <v>1.889</v>
      </c>
      <c r="H1788">
        <v>0.31483329999999998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18</v>
      </c>
      <c r="BG1788">
        <v>29.444444000000001</v>
      </c>
      <c r="BH1788">
        <v>0</v>
      </c>
    </row>
    <row r="1789" spans="1:60" x14ac:dyDescent="0.35">
      <c r="A1789" t="s">
        <v>3632</v>
      </c>
      <c r="B1789" t="s">
        <v>3680</v>
      </c>
      <c r="C1789" t="s">
        <v>3700</v>
      </c>
      <c r="D1789" t="s">
        <v>3701</v>
      </c>
      <c r="E1789">
        <v>6049</v>
      </c>
      <c r="F1789" t="s">
        <v>81</v>
      </c>
      <c r="G1789" t="s">
        <v>81</v>
      </c>
      <c r="H1789" t="s">
        <v>81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59990.082999999999</v>
      </c>
      <c r="BC1789">
        <v>59990.082999999999</v>
      </c>
      <c r="BD1789">
        <v>0</v>
      </c>
      <c r="BE1789">
        <v>0</v>
      </c>
      <c r="BF1789">
        <v>7</v>
      </c>
      <c r="BG1789">
        <v>105.14285700000001</v>
      </c>
      <c r="BH1789">
        <v>0</v>
      </c>
    </row>
    <row r="1790" spans="1:60" x14ac:dyDescent="0.35">
      <c r="A1790" t="s">
        <v>3632</v>
      </c>
      <c r="B1790" t="s">
        <v>821</v>
      </c>
      <c r="C1790" t="s">
        <v>3702</v>
      </c>
      <c r="D1790" t="s">
        <v>3703</v>
      </c>
      <c r="E1790">
        <v>36119</v>
      </c>
      <c r="F1790">
        <v>224</v>
      </c>
      <c r="G1790">
        <v>178.5745</v>
      </c>
      <c r="H1790">
        <v>0.79720749999999996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492.6</v>
      </c>
      <c r="P1790">
        <v>0</v>
      </c>
      <c r="Q1790">
        <v>573.28</v>
      </c>
      <c r="R1790">
        <v>0</v>
      </c>
      <c r="S1790">
        <v>0</v>
      </c>
      <c r="T1790">
        <v>1065.8800000000001</v>
      </c>
      <c r="U1790">
        <v>2055.5</v>
      </c>
      <c r="V1790">
        <v>0</v>
      </c>
      <c r="W1790">
        <v>550</v>
      </c>
      <c r="X1790">
        <v>0</v>
      </c>
      <c r="Y1790">
        <v>0</v>
      </c>
      <c r="Z1790">
        <v>2605.5</v>
      </c>
      <c r="AA1790">
        <v>60897.06</v>
      </c>
      <c r="AB1790">
        <v>261.7</v>
      </c>
      <c r="AC1790">
        <v>64613.31</v>
      </c>
      <c r="AD1790">
        <v>0</v>
      </c>
      <c r="AE1790">
        <v>0</v>
      </c>
      <c r="AF1790">
        <v>125772.07</v>
      </c>
      <c r="AG1790">
        <v>7441.78</v>
      </c>
      <c r="AH1790">
        <v>688.81</v>
      </c>
      <c r="AI1790">
        <v>12532.36</v>
      </c>
      <c r="AJ1790">
        <v>0</v>
      </c>
      <c r="AK1790">
        <v>0</v>
      </c>
      <c r="AL1790">
        <v>20662.95</v>
      </c>
      <c r="AM1790">
        <v>42104.57</v>
      </c>
      <c r="AN1790">
        <v>5241.18</v>
      </c>
      <c r="AO1790">
        <v>13560.25</v>
      </c>
      <c r="AP1790">
        <v>0</v>
      </c>
      <c r="AQ1790">
        <v>0</v>
      </c>
      <c r="AR1790">
        <v>60906</v>
      </c>
      <c r="AS1790">
        <v>8000.02</v>
      </c>
      <c r="AT1790">
        <v>0</v>
      </c>
      <c r="AU1790">
        <v>3700.47</v>
      </c>
      <c r="AV1790">
        <v>0</v>
      </c>
      <c r="AW1790">
        <v>0</v>
      </c>
      <c r="AX1790">
        <v>11700.49</v>
      </c>
      <c r="AY1790">
        <v>222712.89</v>
      </c>
      <c r="AZ1790">
        <v>0</v>
      </c>
      <c r="BA1790">
        <v>9</v>
      </c>
      <c r="BB1790">
        <v>28948.482</v>
      </c>
      <c r="BC1790">
        <v>260536.334</v>
      </c>
      <c r="BD1790">
        <v>2500.2722220000001</v>
      </c>
      <c r="BE1790">
        <v>349.86</v>
      </c>
      <c r="BF1790">
        <v>313</v>
      </c>
      <c r="BG1790">
        <v>472.36156499999998</v>
      </c>
      <c r="BH1790">
        <v>560.28899999999999</v>
      </c>
    </row>
    <row r="1791" spans="1:60" x14ac:dyDescent="0.35">
      <c r="A1791" t="s">
        <v>3632</v>
      </c>
      <c r="B1791" t="s">
        <v>821</v>
      </c>
      <c r="C1791" t="s">
        <v>3704</v>
      </c>
      <c r="D1791" t="s">
        <v>3705</v>
      </c>
      <c r="E1791">
        <v>20526</v>
      </c>
      <c r="F1791">
        <v>1</v>
      </c>
      <c r="G1791">
        <v>0.43</v>
      </c>
      <c r="H1791">
        <v>0.43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5015</v>
      </c>
      <c r="BC1791">
        <v>5015</v>
      </c>
      <c r="BD1791">
        <v>81021.41</v>
      </c>
      <c r="BE1791">
        <v>0</v>
      </c>
      <c r="BF1791">
        <v>33</v>
      </c>
      <c r="BG1791">
        <v>2455.194242</v>
      </c>
      <c r="BH1791">
        <v>0</v>
      </c>
    </row>
    <row r="1792" spans="1:60" x14ac:dyDescent="0.35">
      <c r="A1792" t="s">
        <v>3632</v>
      </c>
      <c r="B1792" t="s">
        <v>821</v>
      </c>
      <c r="C1792" t="s">
        <v>3706</v>
      </c>
      <c r="D1792" t="s">
        <v>3707</v>
      </c>
      <c r="E1792">
        <v>10464</v>
      </c>
      <c r="F1792" t="s">
        <v>81</v>
      </c>
      <c r="G1792" t="s">
        <v>81</v>
      </c>
      <c r="H1792" t="s">
        <v>81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15</v>
      </c>
      <c r="BG1792">
        <v>0</v>
      </c>
      <c r="BH1792">
        <v>0</v>
      </c>
    </row>
    <row r="1793" spans="1:60" x14ac:dyDescent="0.35">
      <c r="A1793" t="s">
        <v>3632</v>
      </c>
      <c r="B1793" t="s">
        <v>821</v>
      </c>
      <c r="C1793" t="s">
        <v>3708</v>
      </c>
      <c r="D1793" t="s">
        <v>3709</v>
      </c>
      <c r="E1793">
        <v>7545</v>
      </c>
      <c r="F1793">
        <v>1</v>
      </c>
      <c r="G1793">
        <v>0.43</v>
      </c>
      <c r="H1793">
        <v>0.43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4</v>
      </c>
      <c r="BG1793">
        <v>0</v>
      </c>
      <c r="BH1793">
        <v>0</v>
      </c>
    </row>
    <row r="1794" spans="1:60" x14ac:dyDescent="0.35">
      <c r="A1794" t="s">
        <v>3632</v>
      </c>
      <c r="B1794" t="s">
        <v>821</v>
      </c>
      <c r="C1794" t="s">
        <v>3710</v>
      </c>
      <c r="D1794" t="s">
        <v>3711</v>
      </c>
      <c r="E1794">
        <v>6033</v>
      </c>
      <c r="F1794" t="s">
        <v>81</v>
      </c>
      <c r="G1794" t="s">
        <v>81</v>
      </c>
      <c r="H1794" t="s">
        <v>81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6</v>
      </c>
      <c r="BG1794">
        <v>0</v>
      </c>
      <c r="BH1794">
        <v>0</v>
      </c>
    </row>
    <row r="1795" spans="1:60" x14ac:dyDescent="0.35">
      <c r="A1795" t="s">
        <v>3632</v>
      </c>
      <c r="B1795" t="s">
        <v>3712</v>
      </c>
      <c r="C1795" t="s">
        <v>3712</v>
      </c>
      <c r="D1795" t="s">
        <v>3713</v>
      </c>
      <c r="E1795">
        <v>12294</v>
      </c>
      <c r="F1795">
        <v>41</v>
      </c>
      <c r="G1795">
        <v>28.032219999999999</v>
      </c>
      <c r="H1795">
        <v>0.68371269999999995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7766.68</v>
      </c>
      <c r="AD1795">
        <v>0</v>
      </c>
      <c r="AE1795">
        <v>0</v>
      </c>
      <c r="AF1795">
        <v>7766.68</v>
      </c>
      <c r="AG1795">
        <v>0</v>
      </c>
      <c r="AH1795">
        <v>0</v>
      </c>
      <c r="AI1795">
        <v>2013.09</v>
      </c>
      <c r="AJ1795">
        <v>0</v>
      </c>
      <c r="AK1795">
        <v>0</v>
      </c>
      <c r="AL1795">
        <v>2013.09</v>
      </c>
      <c r="AM1795">
        <v>0</v>
      </c>
      <c r="AN1795">
        <v>0</v>
      </c>
      <c r="AO1795">
        <v>1817.26</v>
      </c>
      <c r="AP1795">
        <v>0</v>
      </c>
      <c r="AQ1795">
        <v>0</v>
      </c>
      <c r="AR1795">
        <v>1817.26</v>
      </c>
      <c r="AS1795">
        <v>0</v>
      </c>
      <c r="AT1795">
        <v>0</v>
      </c>
      <c r="AU1795">
        <v>887.77</v>
      </c>
      <c r="AV1795">
        <v>0</v>
      </c>
      <c r="AW1795">
        <v>0</v>
      </c>
      <c r="AX1795">
        <v>887.77</v>
      </c>
      <c r="AY1795">
        <v>12484.8</v>
      </c>
      <c r="AZ1795">
        <v>0</v>
      </c>
      <c r="BA1795">
        <v>2</v>
      </c>
      <c r="BB1795">
        <v>9993.75</v>
      </c>
      <c r="BC1795">
        <v>19987.5</v>
      </c>
      <c r="BD1795">
        <v>0</v>
      </c>
      <c r="BE1795">
        <v>0</v>
      </c>
      <c r="BF1795">
        <v>75</v>
      </c>
      <c r="BG1795">
        <v>771.42226700000003</v>
      </c>
      <c r="BH1795">
        <v>1115.6410000000001</v>
      </c>
    </row>
    <row r="1796" spans="1:60" x14ac:dyDescent="0.35">
      <c r="A1796" t="s">
        <v>3632</v>
      </c>
      <c r="B1796" t="s">
        <v>3712</v>
      </c>
      <c r="C1796" t="s">
        <v>3336</v>
      </c>
      <c r="D1796" t="s">
        <v>3714</v>
      </c>
      <c r="E1796">
        <v>3001</v>
      </c>
      <c r="F1796">
        <v>2</v>
      </c>
      <c r="G1796">
        <v>0.36</v>
      </c>
      <c r="H1796">
        <v>0.18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5</v>
      </c>
      <c r="BG1796">
        <v>0</v>
      </c>
      <c r="BH1796">
        <v>0</v>
      </c>
    </row>
    <row r="1797" spans="1:60" x14ac:dyDescent="0.35">
      <c r="A1797" t="s">
        <v>3632</v>
      </c>
      <c r="B1797" t="s">
        <v>3712</v>
      </c>
      <c r="C1797" t="s">
        <v>3715</v>
      </c>
      <c r="D1797" t="s">
        <v>3716</v>
      </c>
      <c r="E1797">
        <v>2245</v>
      </c>
      <c r="F1797">
        <v>3</v>
      </c>
      <c r="G1797">
        <v>2.75</v>
      </c>
      <c r="H1797">
        <v>0.91666669999999995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7</v>
      </c>
      <c r="BG1797">
        <v>1.428571</v>
      </c>
      <c r="BH1797">
        <v>0</v>
      </c>
    </row>
    <row r="1798" spans="1:60" x14ac:dyDescent="0.35">
      <c r="A1798" t="s">
        <v>3632</v>
      </c>
      <c r="B1798" t="s">
        <v>3712</v>
      </c>
      <c r="C1798" t="s">
        <v>3717</v>
      </c>
      <c r="D1798" t="s">
        <v>3718</v>
      </c>
      <c r="E1798">
        <v>871</v>
      </c>
      <c r="F1798" t="s">
        <v>81</v>
      </c>
      <c r="G1798" t="s">
        <v>81</v>
      </c>
      <c r="H1798" t="s">
        <v>81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 t="s">
        <v>81</v>
      </c>
      <c r="BB1798" t="s">
        <v>81</v>
      </c>
      <c r="BC1798" t="s">
        <v>81</v>
      </c>
      <c r="BD1798" t="s">
        <v>81</v>
      </c>
      <c r="BE1798" t="s">
        <v>81</v>
      </c>
      <c r="BF1798" t="s">
        <v>81</v>
      </c>
      <c r="BG1798" t="s">
        <v>81</v>
      </c>
      <c r="BH1798" t="s">
        <v>81</v>
      </c>
    </row>
    <row r="1799" spans="1:60" x14ac:dyDescent="0.35">
      <c r="A1799" t="s">
        <v>3632</v>
      </c>
      <c r="B1799" t="s">
        <v>3712</v>
      </c>
      <c r="C1799" t="s">
        <v>3719</v>
      </c>
      <c r="D1799" t="s">
        <v>3720</v>
      </c>
      <c r="E1799">
        <v>3057</v>
      </c>
      <c r="F1799">
        <v>4</v>
      </c>
      <c r="G1799">
        <v>1.99</v>
      </c>
      <c r="H1799">
        <v>0.4975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2</v>
      </c>
      <c r="BG1799">
        <v>0</v>
      </c>
      <c r="BH1799">
        <v>0</v>
      </c>
    </row>
    <row r="1800" spans="1:60" x14ac:dyDescent="0.35">
      <c r="A1800" t="s">
        <v>3632</v>
      </c>
      <c r="B1800" t="s">
        <v>3712</v>
      </c>
      <c r="C1800" t="s">
        <v>3721</v>
      </c>
      <c r="D1800" t="s">
        <v>3722</v>
      </c>
      <c r="E1800">
        <v>1187</v>
      </c>
      <c r="F1800" t="s">
        <v>81</v>
      </c>
      <c r="G1800" t="s">
        <v>81</v>
      </c>
      <c r="H1800" t="s">
        <v>81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1</v>
      </c>
      <c r="BG1800">
        <v>159905.84</v>
      </c>
      <c r="BH1800">
        <v>0</v>
      </c>
    </row>
    <row r="1801" spans="1:60" x14ac:dyDescent="0.35">
      <c r="A1801" t="s">
        <v>3632</v>
      </c>
      <c r="B1801" t="s">
        <v>3712</v>
      </c>
      <c r="C1801" t="s">
        <v>3723</v>
      </c>
      <c r="D1801" t="s">
        <v>3724</v>
      </c>
      <c r="E1801">
        <v>3602</v>
      </c>
      <c r="F1801">
        <v>28</v>
      </c>
      <c r="G1801">
        <v>24.035119999999999</v>
      </c>
      <c r="H1801">
        <v>0.85839699999999997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1</v>
      </c>
      <c r="BB1801">
        <v>16642.75</v>
      </c>
      <c r="BC1801">
        <v>16642.75</v>
      </c>
      <c r="BD1801">
        <v>0</v>
      </c>
      <c r="BE1801">
        <v>0</v>
      </c>
      <c r="BF1801">
        <v>46</v>
      </c>
      <c r="BG1801">
        <v>820.38152200000002</v>
      </c>
      <c r="BH1801">
        <v>5.3869999999999996</v>
      </c>
    </row>
    <row r="1802" spans="1:60" x14ac:dyDescent="0.35">
      <c r="A1802" t="s">
        <v>3632</v>
      </c>
      <c r="B1802" t="s">
        <v>3712</v>
      </c>
      <c r="C1802" t="s">
        <v>3725</v>
      </c>
      <c r="D1802" t="s">
        <v>3726</v>
      </c>
      <c r="E1802">
        <v>11286</v>
      </c>
      <c r="F1802">
        <v>9</v>
      </c>
      <c r="G1802">
        <v>5.8311440000000001</v>
      </c>
      <c r="H1802">
        <v>0.64790490000000001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16</v>
      </c>
      <c r="BG1802">
        <v>376.5625</v>
      </c>
      <c r="BH1802">
        <v>37.280999999999999</v>
      </c>
    </row>
    <row r="1803" spans="1:60" x14ac:dyDescent="0.35">
      <c r="A1803" t="s">
        <v>3632</v>
      </c>
      <c r="B1803" t="s">
        <v>3712</v>
      </c>
      <c r="C1803" t="s">
        <v>3727</v>
      </c>
      <c r="D1803" t="s">
        <v>3728</v>
      </c>
      <c r="E1803">
        <v>3819</v>
      </c>
      <c r="F1803">
        <v>1</v>
      </c>
      <c r="G1803">
        <v>0.42</v>
      </c>
      <c r="H1803">
        <v>0.42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7</v>
      </c>
      <c r="BG1803">
        <v>20545.457143</v>
      </c>
      <c r="BH1803">
        <v>0</v>
      </c>
    </row>
    <row r="1804" spans="1:60" x14ac:dyDescent="0.35">
      <c r="A1804" t="s">
        <v>3632</v>
      </c>
      <c r="B1804" t="s">
        <v>3712</v>
      </c>
      <c r="C1804" t="s">
        <v>3729</v>
      </c>
      <c r="D1804" t="s">
        <v>3730</v>
      </c>
      <c r="E1804">
        <v>4110</v>
      </c>
      <c r="F1804">
        <v>2</v>
      </c>
      <c r="G1804">
        <v>0.46</v>
      </c>
      <c r="H1804">
        <v>0.23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10517.416999999999</v>
      </c>
      <c r="BC1804">
        <v>10517.416999999999</v>
      </c>
      <c r="BD1804">
        <v>0</v>
      </c>
      <c r="BE1804">
        <v>1098.75</v>
      </c>
      <c r="BF1804">
        <v>11</v>
      </c>
      <c r="BG1804">
        <v>0</v>
      </c>
      <c r="BH1804">
        <v>99.885999999999996</v>
      </c>
    </row>
    <row r="1805" spans="1:60" x14ac:dyDescent="0.35">
      <c r="A1805" t="s">
        <v>3632</v>
      </c>
      <c r="B1805" t="s">
        <v>3731</v>
      </c>
      <c r="C1805" t="s">
        <v>3731</v>
      </c>
      <c r="D1805" t="s">
        <v>3732</v>
      </c>
      <c r="E1805">
        <v>27577</v>
      </c>
      <c r="F1805">
        <v>119</v>
      </c>
      <c r="G1805">
        <v>104.16330000000001</v>
      </c>
      <c r="H1805">
        <v>0.87532189999999999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673.45</v>
      </c>
      <c r="R1805">
        <v>0</v>
      </c>
      <c r="S1805">
        <v>0</v>
      </c>
      <c r="T1805">
        <v>673.45</v>
      </c>
      <c r="U1805">
        <v>12941.8</v>
      </c>
      <c r="V1805">
        <v>0</v>
      </c>
      <c r="W1805">
        <v>3861.93</v>
      </c>
      <c r="X1805">
        <v>0</v>
      </c>
      <c r="Y1805">
        <v>0</v>
      </c>
      <c r="Z1805">
        <v>16803.73</v>
      </c>
      <c r="AA1805">
        <v>46367.32</v>
      </c>
      <c r="AB1805">
        <v>0</v>
      </c>
      <c r="AC1805">
        <v>26111.84</v>
      </c>
      <c r="AD1805">
        <v>0</v>
      </c>
      <c r="AE1805">
        <v>0</v>
      </c>
      <c r="AF1805">
        <v>72479.16</v>
      </c>
      <c r="AG1805">
        <v>221.76</v>
      </c>
      <c r="AH1805">
        <v>0</v>
      </c>
      <c r="AI1805">
        <v>3473.67</v>
      </c>
      <c r="AJ1805">
        <v>0</v>
      </c>
      <c r="AK1805">
        <v>0</v>
      </c>
      <c r="AL1805">
        <v>3695.43</v>
      </c>
      <c r="AM1805">
        <v>27691.119999999999</v>
      </c>
      <c r="AN1805">
        <v>0</v>
      </c>
      <c r="AO1805">
        <v>3209.9</v>
      </c>
      <c r="AP1805">
        <v>0</v>
      </c>
      <c r="AQ1805">
        <v>0</v>
      </c>
      <c r="AR1805">
        <v>30901.02</v>
      </c>
      <c r="AS1805">
        <v>6305.67</v>
      </c>
      <c r="AT1805">
        <v>0</v>
      </c>
      <c r="AU1805">
        <v>1932.84</v>
      </c>
      <c r="AV1805">
        <v>0</v>
      </c>
      <c r="AW1805">
        <v>0</v>
      </c>
      <c r="AX1805">
        <v>8238.51</v>
      </c>
      <c r="AY1805">
        <v>132791.29999999999</v>
      </c>
      <c r="AZ1805">
        <v>0</v>
      </c>
      <c r="BA1805">
        <v>18</v>
      </c>
      <c r="BB1805">
        <v>69836.956999999995</v>
      </c>
      <c r="BC1805">
        <v>1257065.2239999999</v>
      </c>
      <c r="BD1805">
        <v>2515.7394439999998</v>
      </c>
      <c r="BE1805">
        <v>1817.4369999999999</v>
      </c>
      <c r="BF1805">
        <v>279</v>
      </c>
      <c r="BG1805">
        <v>552.47867399999996</v>
      </c>
      <c r="BH1805">
        <v>1447.5440000000001</v>
      </c>
    </row>
    <row r="1806" spans="1:60" x14ac:dyDescent="0.35">
      <c r="A1806" t="s">
        <v>3632</v>
      </c>
      <c r="B1806" t="s">
        <v>3731</v>
      </c>
      <c r="C1806" t="s">
        <v>3733</v>
      </c>
      <c r="D1806" t="s">
        <v>3734</v>
      </c>
      <c r="E1806">
        <v>8036</v>
      </c>
      <c r="F1806">
        <v>3</v>
      </c>
      <c r="G1806">
        <v>1.4970619999999999</v>
      </c>
      <c r="H1806">
        <v>0.49902069999999998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120292</v>
      </c>
      <c r="BC1806">
        <v>120292</v>
      </c>
      <c r="BD1806">
        <v>0</v>
      </c>
      <c r="BE1806">
        <v>0</v>
      </c>
      <c r="BF1806">
        <v>24</v>
      </c>
      <c r="BG1806">
        <v>0.75</v>
      </c>
      <c r="BH1806">
        <v>0</v>
      </c>
    </row>
    <row r="1807" spans="1:60" x14ac:dyDescent="0.35">
      <c r="A1807" t="s">
        <v>3632</v>
      </c>
      <c r="B1807" t="s">
        <v>3731</v>
      </c>
      <c r="C1807" t="s">
        <v>3735</v>
      </c>
      <c r="D1807" t="s">
        <v>3736</v>
      </c>
      <c r="E1807">
        <v>24800</v>
      </c>
      <c r="F1807">
        <v>8</v>
      </c>
      <c r="G1807">
        <v>4.2793669999999997</v>
      </c>
      <c r="H1807">
        <v>0.53492090000000003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3</v>
      </c>
      <c r="BB1807">
        <v>60015.75</v>
      </c>
      <c r="BC1807">
        <v>180047.25</v>
      </c>
      <c r="BD1807">
        <v>0</v>
      </c>
      <c r="BE1807">
        <v>0</v>
      </c>
      <c r="BF1807">
        <v>101</v>
      </c>
      <c r="BG1807">
        <v>235.481188</v>
      </c>
      <c r="BH1807">
        <v>0</v>
      </c>
    </row>
    <row r="1808" spans="1:60" x14ac:dyDescent="0.35">
      <c r="A1808" t="s">
        <v>3632</v>
      </c>
      <c r="B1808" t="s">
        <v>3731</v>
      </c>
      <c r="C1808" t="s">
        <v>3737</v>
      </c>
      <c r="D1808" t="s">
        <v>3738</v>
      </c>
      <c r="E1808">
        <v>49483</v>
      </c>
      <c r="F1808">
        <v>208</v>
      </c>
      <c r="G1808">
        <v>169.12909999999999</v>
      </c>
      <c r="H1808">
        <v>0.81312059999999997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2182.2800000000002</v>
      </c>
      <c r="X1808">
        <v>0</v>
      </c>
      <c r="Y1808">
        <v>0</v>
      </c>
      <c r="Z1808">
        <v>2182.2800000000002</v>
      </c>
      <c r="AA1808">
        <v>42344.37</v>
      </c>
      <c r="AB1808">
        <v>7844.87</v>
      </c>
      <c r="AC1808">
        <v>89526.21</v>
      </c>
      <c r="AD1808">
        <v>0</v>
      </c>
      <c r="AE1808">
        <v>2118.59</v>
      </c>
      <c r="AF1808">
        <v>141834.04</v>
      </c>
      <c r="AG1808">
        <v>7275.84</v>
      </c>
      <c r="AH1808">
        <v>1536.61</v>
      </c>
      <c r="AI1808">
        <v>15390.07</v>
      </c>
      <c r="AJ1808">
        <v>0</v>
      </c>
      <c r="AK1808">
        <v>4406.47</v>
      </c>
      <c r="AL1808">
        <v>28608.99</v>
      </c>
      <c r="AM1808">
        <v>905.37</v>
      </c>
      <c r="AN1808">
        <v>598.47</v>
      </c>
      <c r="AO1808">
        <v>9933.34</v>
      </c>
      <c r="AP1808">
        <v>0</v>
      </c>
      <c r="AQ1808">
        <v>417.74</v>
      </c>
      <c r="AR1808">
        <v>11854.92</v>
      </c>
      <c r="AS1808">
        <v>654.98</v>
      </c>
      <c r="AT1808">
        <v>0</v>
      </c>
      <c r="AU1808">
        <v>2616.73</v>
      </c>
      <c r="AV1808">
        <v>0</v>
      </c>
      <c r="AW1808">
        <v>0</v>
      </c>
      <c r="AX1808">
        <v>3271.71</v>
      </c>
      <c r="AY1808">
        <v>187751.94</v>
      </c>
      <c r="AZ1808">
        <v>0</v>
      </c>
      <c r="BA1808">
        <v>35</v>
      </c>
      <c r="BB1808">
        <v>82580.044999999998</v>
      </c>
      <c r="BC1808">
        <v>2890301.5839999998</v>
      </c>
      <c r="BD1808">
        <v>163.40857099999999</v>
      </c>
      <c r="BE1808">
        <v>3339.299</v>
      </c>
      <c r="BF1808">
        <v>655</v>
      </c>
      <c r="BG1808">
        <v>1590.6985950000001</v>
      </c>
      <c r="BH1808">
        <v>868.48500000000001</v>
      </c>
    </row>
    <row r="1809" spans="1:60" x14ac:dyDescent="0.35">
      <c r="A1809" t="s">
        <v>3632</v>
      </c>
      <c r="B1809" t="s">
        <v>3731</v>
      </c>
      <c r="C1809" t="s">
        <v>3739</v>
      </c>
      <c r="D1809" t="s">
        <v>3740</v>
      </c>
      <c r="E1809">
        <v>17030</v>
      </c>
      <c r="F1809">
        <v>19</v>
      </c>
      <c r="G1809">
        <v>20.840710000000001</v>
      </c>
      <c r="H1809">
        <v>1.0968789999999999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4</v>
      </c>
      <c r="BB1809">
        <v>20459.542000000001</v>
      </c>
      <c r="BC1809">
        <v>81838.167000000001</v>
      </c>
      <c r="BD1809">
        <v>3626.1</v>
      </c>
      <c r="BE1809">
        <v>0</v>
      </c>
      <c r="BF1809">
        <v>72</v>
      </c>
      <c r="BG1809">
        <v>599.29708300000004</v>
      </c>
      <c r="BH1809">
        <v>0</v>
      </c>
    </row>
    <row r="1810" spans="1:60" x14ac:dyDescent="0.35">
      <c r="A1810" t="s">
        <v>3632</v>
      </c>
      <c r="B1810" t="s">
        <v>3731</v>
      </c>
      <c r="C1810" t="s">
        <v>3741</v>
      </c>
      <c r="D1810" t="s">
        <v>3742</v>
      </c>
      <c r="E1810">
        <v>2265</v>
      </c>
      <c r="F1810">
        <v>2</v>
      </c>
      <c r="G1810">
        <v>2.0499999999999998</v>
      </c>
      <c r="H1810">
        <v>1.0249999999999999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11</v>
      </c>
      <c r="BG1810">
        <v>0</v>
      </c>
      <c r="BH1810">
        <v>0</v>
      </c>
    </row>
    <row r="1811" spans="1:60" x14ac:dyDescent="0.35">
      <c r="A1811" t="s">
        <v>3632</v>
      </c>
      <c r="B1811" t="s">
        <v>3731</v>
      </c>
      <c r="C1811" t="s">
        <v>3743</v>
      </c>
      <c r="D1811" t="s">
        <v>3744</v>
      </c>
      <c r="E1811">
        <v>3633</v>
      </c>
      <c r="F1811">
        <v>1</v>
      </c>
      <c r="G1811">
        <v>0.28799999999999998</v>
      </c>
      <c r="H1811">
        <v>0.28799999999999998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3</v>
      </c>
      <c r="BB1811">
        <v>66322</v>
      </c>
      <c r="BC1811">
        <v>198966</v>
      </c>
      <c r="BD1811">
        <v>0</v>
      </c>
      <c r="BE1811">
        <v>268.423</v>
      </c>
      <c r="BF1811">
        <v>14</v>
      </c>
      <c r="BG1811">
        <v>0</v>
      </c>
      <c r="BH1811">
        <v>57.518999999999998</v>
      </c>
    </row>
    <row r="1812" spans="1:60" x14ac:dyDescent="0.35">
      <c r="A1812" t="s">
        <v>3632</v>
      </c>
      <c r="B1812" t="s">
        <v>3731</v>
      </c>
      <c r="C1812" t="s">
        <v>3745</v>
      </c>
      <c r="D1812" t="s">
        <v>3746</v>
      </c>
      <c r="E1812">
        <v>2448</v>
      </c>
      <c r="F1812" t="s">
        <v>81</v>
      </c>
      <c r="G1812" t="s">
        <v>81</v>
      </c>
      <c r="H1812" t="s">
        <v>81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283577.91700000002</v>
      </c>
      <c r="BC1812">
        <v>283577.91700000002</v>
      </c>
      <c r="BD1812">
        <v>0</v>
      </c>
      <c r="BE1812">
        <v>0</v>
      </c>
      <c r="BF1812">
        <v>10</v>
      </c>
      <c r="BG1812">
        <v>0</v>
      </c>
      <c r="BH1812">
        <v>0</v>
      </c>
    </row>
    <row r="1813" spans="1:60" x14ac:dyDescent="0.35">
      <c r="A1813" t="s">
        <v>3632</v>
      </c>
      <c r="B1813" t="s">
        <v>3731</v>
      </c>
      <c r="C1813" t="s">
        <v>3747</v>
      </c>
      <c r="D1813" t="s">
        <v>3748</v>
      </c>
      <c r="E1813">
        <v>3662</v>
      </c>
      <c r="F1813">
        <v>2</v>
      </c>
      <c r="G1813">
        <v>3.78</v>
      </c>
      <c r="H1813">
        <v>1.89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1</v>
      </c>
      <c r="BB1813">
        <v>28941.832999999999</v>
      </c>
      <c r="BC1813">
        <v>28941.832999999999</v>
      </c>
      <c r="BD1813">
        <v>0</v>
      </c>
      <c r="BE1813">
        <v>0</v>
      </c>
      <c r="BF1813">
        <v>24</v>
      </c>
      <c r="BG1813">
        <v>2.0833330000000001</v>
      </c>
      <c r="BH1813">
        <v>0</v>
      </c>
    </row>
    <row r="1814" spans="1:60" x14ac:dyDescent="0.35">
      <c r="A1814" t="s">
        <v>3632</v>
      </c>
      <c r="B1814" t="s">
        <v>3662</v>
      </c>
      <c r="C1814" t="s">
        <v>3749</v>
      </c>
      <c r="D1814" t="s">
        <v>3750</v>
      </c>
      <c r="E1814">
        <v>86442</v>
      </c>
      <c r="F1814">
        <v>1339</v>
      </c>
      <c r="G1814">
        <v>1060.2929999999999</v>
      </c>
      <c r="H1814">
        <v>0.79185430000000001</v>
      </c>
      <c r="I1814">
        <v>13189.4</v>
      </c>
      <c r="J1814">
        <v>0</v>
      </c>
      <c r="K1814">
        <v>0</v>
      </c>
      <c r="L1814">
        <v>0</v>
      </c>
      <c r="M1814">
        <v>0</v>
      </c>
      <c r="N1814">
        <v>13189.4</v>
      </c>
      <c r="O1814">
        <v>21616.35</v>
      </c>
      <c r="P1814">
        <v>20.77</v>
      </c>
      <c r="Q1814">
        <v>415.19</v>
      </c>
      <c r="R1814">
        <v>0</v>
      </c>
      <c r="S1814">
        <v>0</v>
      </c>
      <c r="T1814">
        <v>22052.31</v>
      </c>
      <c r="U1814">
        <v>86279.67</v>
      </c>
      <c r="V1814">
        <v>191.08</v>
      </c>
      <c r="W1814">
        <v>8607.73</v>
      </c>
      <c r="X1814">
        <v>0</v>
      </c>
      <c r="Y1814">
        <v>0</v>
      </c>
      <c r="Z1814">
        <v>95078.48</v>
      </c>
      <c r="AA1814">
        <v>625273.1</v>
      </c>
      <c r="AB1814">
        <v>28523.7</v>
      </c>
      <c r="AC1814">
        <v>298448.5</v>
      </c>
      <c r="AD1814">
        <v>0</v>
      </c>
      <c r="AE1814">
        <v>0</v>
      </c>
      <c r="AF1814">
        <v>952245.3</v>
      </c>
      <c r="AG1814">
        <v>54204.86</v>
      </c>
      <c r="AH1814">
        <v>10320.39</v>
      </c>
      <c r="AI1814">
        <v>39137.99</v>
      </c>
      <c r="AJ1814">
        <v>0</v>
      </c>
      <c r="AK1814">
        <v>0</v>
      </c>
      <c r="AL1814">
        <v>103663.24</v>
      </c>
      <c r="AM1814">
        <v>586890.81999999995</v>
      </c>
      <c r="AN1814">
        <v>72155.11</v>
      </c>
      <c r="AO1814">
        <v>73863.87</v>
      </c>
      <c r="AP1814">
        <v>0</v>
      </c>
      <c r="AQ1814">
        <v>0</v>
      </c>
      <c r="AR1814">
        <v>732909.8</v>
      </c>
      <c r="AS1814">
        <v>112868.81</v>
      </c>
      <c r="AT1814">
        <v>0</v>
      </c>
      <c r="AU1814">
        <v>31579.93</v>
      </c>
      <c r="AV1814">
        <v>0</v>
      </c>
      <c r="AW1814">
        <v>0</v>
      </c>
      <c r="AX1814">
        <v>144448.74</v>
      </c>
      <c r="AY1814">
        <v>2063587.27</v>
      </c>
      <c r="AZ1814">
        <v>1</v>
      </c>
      <c r="BA1814">
        <v>336</v>
      </c>
      <c r="BB1814">
        <v>55850.54</v>
      </c>
      <c r="BC1814">
        <v>18765781.594999999</v>
      </c>
      <c r="BD1814">
        <v>12427.416606999999</v>
      </c>
      <c r="BE1814">
        <v>2494.4389999999999</v>
      </c>
      <c r="BF1814">
        <v>1970</v>
      </c>
      <c r="BG1814">
        <v>8783.3760610000008</v>
      </c>
      <c r="BH1814">
        <v>3469.875</v>
      </c>
    </row>
    <row r="1815" spans="1:60" x14ac:dyDescent="0.35">
      <c r="A1815" t="s">
        <v>3632</v>
      </c>
      <c r="B1815" t="s">
        <v>3662</v>
      </c>
      <c r="C1815" t="s">
        <v>3751</v>
      </c>
      <c r="D1815" t="s">
        <v>3752</v>
      </c>
      <c r="E1815">
        <v>936</v>
      </c>
      <c r="F1815" t="s">
        <v>81</v>
      </c>
      <c r="G1815" t="s">
        <v>81</v>
      </c>
      <c r="H1815" t="s">
        <v>81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1</v>
      </c>
      <c r="BG1815">
        <v>0</v>
      </c>
      <c r="BH1815">
        <v>0</v>
      </c>
    </row>
    <row r="1816" spans="1:60" x14ac:dyDescent="0.35">
      <c r="A1816" t="s">
        <v>3632</v>
      </c>
      <c r="B1816" t="s">
        <v>3662</v>
      </c>
      <c r="C1816" t="s">
        <v>3753</v>
      </c>
      <c r="D1816" t="s">
        <v>3754</v>
      </c>
      <c r="E1816">
        <v>3977</v>
      </c>
      <c r="F1816">
        <v>5</v>
      </c>
      <c r="G1816">
        <v>6.5160720000000003</v>
      </c>
      <c r="H1816">
        <v>1.3032140000000001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1</v>
      </c>
      <c r="BA1816">
        <v>2</v>
      </c>
      <c r="BB1816">
        <v>30267.082999999999</v>
      </c>
      <c r="BC1816">
        <v>60534.165999999997</v>
      </c>
      <c r="BD1816">
        <v>0</v>
      </c>
      <c r="BE1816">
        <v>0</v>
      </c>
      <c r="BF1816">
        <v>17</v>
      </c>
      <c r="BG1816">
        <v>2115.2647059999999</v>
      </c>
      <c r="BH1816">
        <v>0</v>
      </c>
    </row>
    <row r="1817" spans="1:60" x14ac:dyDescent="0.35">
      <c r="A1817" t="s">
        <v>3632</v>
      </c>
      <c r="B1817" t="s">
        <v>3662</v>
      </c>
      <c r="C1817" t="s">
        <v>3755</v>
      </c>
      <c r="D1817" t="s">
        <v>3756</v>
      </c>
      <c r="E1817">
        <v>11077</v>
      </c>
      <c r="F1817">
        <v>15</v>
      </c>
      <c r="G1817">
        <v>8.4748000000000001</v>
      </c>
      <c r="H1817">
        <v>0.56498660000000001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1</v>
      </c>
      <c r="BB1817">
        <v>3336.6669999999999</v>
      </c>
      <c r="BC1817">
        <v>3336.6669999999999</v>
      </c>
      <c r="BD1817">
        <v>0</v>
      </c>
      <c r="BE1817">
        <v>0</v>
      </c>
      <c r="BF1817">
        <v>9</v>
      </c>
      <c r="BG1817">
        <v>4099.2333330000001</v>
      </c>
      <c r="BH1817">
        <v>0</v>
      </c>
    </row>
    <row r="1818" spans="1:60" x14ac:dyDescent="0.35">
      <c r="A1818" t="s">
        <v>3632</v>
      </c>
      <c r="B1818" t="s">
        <v>3662</v>
      </c>
      <c r="C1818" t="s">
        <v>3757</v>
      </c>
      <c r="D1818" t="s">
        <v>3758</v>
      </c>
      <c r="E1818">
        <v>2540</v>
      </c>
      <c r="F1818">
        <v>4</v>
      </c>
      <c r="G1818">
        <v>2.0430000000000001</v>
      </c>
      <c r="H1818">
        <v>0.51075000000000004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3</v>
      </c>
      <c r="BG1818">
        <v>0</v>
      </c>
      <c r="BH1818">
        <v>0</v>
      </c>
    </row>
    <row r="1819" spans="1:60" x14ac:dyDescent="0.35">
      <c r="A1819" t="s">
        <v>3632</v>
      </c>
      <c r="B1819" t="s">
        <v>3662</v>
      </c>
      <c r="C1819" t="s">
        <v>3759</v>
      </c>
      <c r="D1819" t="s">
        <v>3760</v>
      </c>
      <c r="E1819">
        <v>2670</v>
      </c>
      <c r="F1819">
        <v>1</v>
      </c>
      <c r="G1819">
        <v>2.8045979999999999</v>
      </c>
      <c r="H1819">
        <v>2.8045979999999999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11</v>
      </c>
      <c r="BG1819">
        <v>272.72727300000003</v>
      </c>
      <c r="BH1819">
        <v>363.42399999999998</v>
      </c>
    </row>
    <row r="1820" spans="1:60" x14ac:dyDescent="0.35">
      <c r="A1820" t="s">
        <v>3632</v>
      </c>
      <c r="B1820" t="s">
        <v>3662</v>
      </c>
      <c r="C1820" t="s">
        <v>3761</v>
      </c>
      <c r="D1820" t="s">
        <v>3762</v>
      </c>
      <c r="E1820">
        <v>5836</v>
      </c>
      <c r="F1820" t="s">
        <v>81</v>
      </c>
      <c r="G1820" t="s">
        <v>81</v>
      </c>
      <c r="H1820" t="s">
        <v>81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2</v>
      </c>
      <c r="BG1820">
        <v>0</v>
      </c>
      <c r="BH1820">
        <v>0</v>
      </c>
    </row>
    <row r="1821" spans="1:60" x14ac:dyDescent="0.35">
      <c r="A1821" t="s">
        <v>3632</v>
      </c>
      <c r="B1821" t="s">
        <v>3662</v>
      </c>
      <c r="C1821" t="s">
        <v>3763</v>
      </c>
      <c r="D1821" t="s">
        <v>3764</v>
      </c>
      <c r="E1821">
        <v>4376</v>
      </c>
      <c r="F1821">
        <v>12</v>
      </c>
      <c r="G1821">
        <v>6.6020000000000003</v>
      </c>
      <c r="H1821">
        <v>0.55016670000000001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1</v>
      </c>
      <c r="BA1821">
        <v>1</v>
      </c>
      <c r="BB1821">
        <v>15924.833000000001</v>
      </c>
      <c r="BC1821">
        <v>15924.833000000001</v>
      </c>
      <c r="BD1821">
        <v>11592.07</v>
      </c>
      <c r="BE1821">
        <v>0</v>
      </c>
      <c r="BF1821">
        <v>27</v>
      </c>
      <c r="BG1821">
        <v>1337.061481</v>
      </c>
      <c r="BH1821">
        <v>0</v>
      </c>
    </row>
    <row r="1822" spans="1:60" x14ac:dyDescent="0.35">
      <c r="A1822" t="s">
        <v>3632</v>
      </c>
      <c r="B1822" t="s">
        <v>3662</v>
      </c>
      <c r="C1822" t="s">
        <v>3765</v>
      </c>
      <c r="D1822" t="s">
        <v>3766</v>
      </c>
      <c r="E1822">
        <v>54896</v>
      </c>
      <c r="F1822">
        <v>153</v>
      </c>
      <c r="G1822">
        <v>118.1897</v>
      </c>
      <c r="H1822">
        <v>0.77248190000000005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4682.13</v>
      </c>
      <c r="AD1822">
        <v>0</v>
      </c>
      <c r="AE1822">
        <v>0</v>
      </c>
      <c r="AF1822">
        <v>4682.13</v>
      </c>
      <c r="AG1822">
        <v>0</v>
      </c>
      <c r="AH1822">
        <v>0</v>
      </c>
      <c r="AI1822">
        <v>1670.56</v>
      </c>
      <c r="AJ1822">
        <v>0</v>
      </c>
      <c r="AK1822">
        <v>0</v>
      </c>
      <c r="AL1822">
        <v>1670.56</v>
      </c>
      <c r="AM1822">
        <v>0</v>
      </c>
      <c r="AN1822">
        <v>0</v>
      </c>
      <c r="AO1822">
        <v>320.98</v>
      </c>
      <c r="AP1822">
        <v>0</v>
      </c>
      <c r="AQ1822">
        <v>0</v>
      </c>
      <c r="AR1822">
        <v>320.98</v>
      </c>
      <c r="AS1822">
        <v>0</v>
      </c>
      <c r="AT1822">
        <v>0</v>
      </c>
      <c r="AU1822">
        <v>683.36</v>
      </c>
      <c r="AV1822">
        <v>0</v>
      </c>
      <c r="AW1822">
        <v>0</v>
      </c>
      <c r="AX1822">
        <v>683.36</v>
      </c>
      <c r="AY1822">
        <v>7357.03</v>
      </c>
      <c r="AZ1822">
        <v>1</v>
      </c>
      <c r="BA1822">
        <v>58</v>
      </c>
      <c r="BB1822">
        <v>69406.483999999997</v>
      </c>
      <c r="BC1822">
        <v>4025576.0759999999</v>
      </c>
      <c r="BD1822">
        <v>9708.3908620000002</v>
      </c>
      <c r="BE1822">
        <v>927.85599999999999</v>
      </c>
      <c r="BF1822">
        <v>373</v>
      </c>
      <c r="BG1822">
        <v>10754.056756</v>
      </c>
      <c r="BH1822">
        <v>1678.2809999999999</v>
      </c>
    </row>
    <row r="1823" spans="1:60" x14ac:dyDescent="0.35">
      <c r="A1823" t="s">
        <v>3632</v>
      </c>
      <c r="B1823" t="s">
        <v>3662</v>
      </c>
      <c r="C1823" t="s">
        <v>3767</v>
      </c>
      <c r="D1823" t="s">
        <v>3768</v>
      </c>
      <c r="E1823">
        <v>48825</v>
      </c>
      <c r="F1823">
        <v>143</v>
      </c>
      <c r="G1823">
        <v>121.12520000000001</v>
      </c>
      <c r="H1823">
        <v>0.84702949999999999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9542.49</v>
      </c>
      <c r="AO1823">
        <v>0</v>
      </c>
      <c r="AP1823">
        <v>0</v>
      </c>
      <c r="AQ1823">
        <v>0</v>
      </c>
      <c r="AR1823">
        <v>9542.49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9542.49</v>
      </c>
      <c r="AZ1823">
        <v>1</v>
      </c>
      <c r="BA1823">
        <v>83</v>
      </c>
      <c r="BB1823">
        <v>74874.414999999994</v>
      </c>
      <c r="BC1823">
        <v>6214576.4790000003</v>
      </c>
      <c r="BD1823">
        <v>8397.4777109999995</v>
      </c>
      <c r="BE1823">
        <v>3262.346</v>
      </c>
      <c r="BF1823">
        <v>413</v>
      </c>
      <c r="BG1823">
        <v>5835.6849389999998</v>
      </c>
      <c r="BH1823">
        <v>1267.5619999999999</v>
      </c>
    </row>
    <row r="1824" spans="1:60" x14ac:dyDescent="0.35">
      <c r="A1824" t="s">
        <v>3632</v>
      </c>
      <c r="B1824" t="s">
        <v>3662</v>
      </c>
      <c r="C1824" t="s">
        <v>3769</v>
      </c>
      <c r="D1824" t="s">
        <v>3770</v>
      </c>
      <c r="E1824">
        <v>1924</v>
      </c>
      <c r="F1824" t="s">
        <v>81</v>
      </c>
      <c r="G1824" t="s">
        <v>81</v>
      </c>
      <c r="H1824" t="s">
        <v>81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1</v>
      </c>
      <c r="BG1824">
        <v>0</v>
      </c>
      <c r="BH1824">
        <v>0</v>
      </c>
    </row>
    <row r="1825" spans="1:60" x14ac:dyDescent="0.35">
      <c r="A1825" t="s">
        <v>3632</v>
      </c>
      <c r="B1825" t="s">
        <v>3662</v>
      </c>
      <c r="C1825" t="s">
        <v>3771</v>
      </c>
      <c r="D1825" t="s">
        <v>3772</v>
      </c>
      <c r="E1825">
        <v>1800</v>
      </c>
      <c r="F1825">
        <v>1</v>
      </c>
      <c r="G1825">
        <v>0.25</v>
      </c>
      <c r="H1825">
        <v>0.25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5</v>
      </c>
      <c r="BG1825">
        <v>0</v>
      </c>
      <c r="BH1825">
        <v>0</v>
      </c>
    </row>
    <row r="1826" spans="1:60" x14ac:dyDescent="0.35">
      <c r="A1826" t="s">
        <v>3632</v>
      </c>
      <c r="B1826" t="s">
        <v>3662</v>
      </c>
      <c r="C1826" t="s">
        <v>3773</v>
      </c>
      <c r="D1826" t="s">
        <v>3774</v>
      </c>
      <c r="E1826">
        <v>6162</v>
      </c>
      <c r="F1826">
        <v>21</v>
      </c>
      <c r="G1826">
        <v>12.134399999999999</v>
      </c>
      <c r="H1826">
        <v>0.57782860000000003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1</v>
      </c>
      <c r="BB1826">
        <v>123692.583</v>
      </c>
      <c r="BC1826">
        <v>123692.583</v>
      </c>
      <c r="BD1826">
        <v>0</v>
      </c>
      <c r="BE1826">
        <v>108184.281</v>
      </c>
      <c r="BF1826">
        <v>50</v>
      </c>
      <c r="BG1826">
        <v>18270.778600000001</v>
      </c>
      <c r="BH1826">
        <v>6583.6930000000002</v>
      </c>
    </row>
    <row r="1827" spans="1:60" x14ac:dyDescent="0.35">
      <c r="A1827" t="s">
        <v>3632</v>
      </c>
      <c r="B1827" t="s">
        <v>3662</v>
      </c>
      <c r="C1827" t="s">
        <v>3775</v>
      </c>
      <c r="D1827" t="s">
        <v>3776</v>
      </c>
      <c r="E1827">
        <v>2120</v>
      </c>
      <c r="F1827" t="s">
        <v>81</v>
      </c>
      <c r="G1827" t="s">
        <v>81</v>
      </c>
      <c r="H1827" t="s">
        <v>81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4</v>
      </c>
      <c r="BG1827">
        <v>3065.61</v>
      </c>
      <c r="BH1827">
        <v>239.7</v>
      </c>
    </row>
    <row r="1828" spans="1:60" x14ac:dyDescent="0.35">
      <c r="A1828" t="s">
        <v>3632</v>
      </c>
      <c r="B1828" t="s">
        <v>3777</v>
      </c>
      <c r="C1828" t="s">
        <v>3777</v>
      </c>
      <c r="D1828" t="s">
        <v>3778</v>
      </c>
      <c r="E1828">
        <v>31412</v>
      </c>
      <c r="F1828">
        <v>196</v>
      </c>
      <c r="G1828">
        <v>126.5566</v>
      </c>
      <c r="H1828">
        <v>0.64569679999999996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4036.17</v>
      </c>
      <c r="R1828">
        <v>0</v>
      </c>
      <c r="S1828">
        <v>0</v>
      </c>
      <c r="T1828">
        <v>4036.17</v>
      </c>
      <c r="U1828">
        <v>0</v>
      </c>
      <c r="V1828">
        <v>0</v>
      </c>
      <c r="W1828">
        <v>1276.5</v>
      </c>
      <c r="X1828">
        <v>0</v>
      </c>
      <c r="Y1828">
        <v>0</v>
      </c>
      <c r="Z1828">
        <v>1276.5</v>
      </c>
      <c r="AA1828">
        <v>28816.95</v>
      </c>
      <c r="AB1828">
        <v>9.69</v>
      </c>
      <c r="AC1828">
        <v>101148.86</v>
      </c>
      <c r="AD1828">
        <v>8227.7900000000009</v>
      </c>
      <c r="AE1828">
        <v>0</v>
      </c>
      <c r="AF1828">
        <v>138203.29</v>
      </c>
      <c r="AG1828">
        <v>2939.94</v>
      </c>
      <c r="AH1828">
        <v>75.98</v>
      </c>
      <c r="AI1828">
        <v>14129.99</v>
      </c>
      <c r="AJ1828">
        <v>2672.76</v>
      </c>
      <c r="AK1828">
        <v>0</v>
      </c>
      <c r="AL1828">
        <v>19818.669999999998</v>
      </c>
      <c r="AM1828">
        <v>1192.32</v>
      </c>
      <c r="AN1828">
        <v>3401.93</v>
      </c>
      <c r="AO1828">
        <v>33774.980000000003</v>
      </c>
      <c r="AP1828">
        <v>1045.01</v>
      </c>
      <c r="AQ1828">
        <v>0</v>
      </c>
      <c r="AR1828">
        <v>39414.239999999998</v>
      </c>
      <c r="AS1828">
        <v>72.53</v>
      </c>
      <c r="AT1828">
        <v>0</v>
      </c>
      <c r="AU1828">
        <v>1351.3</v>
      </c>
      <c r="AV1828">
        <v>0</v>
      </c>
      <c r="AW1828">
        <v>0</v>
      </c>
      <c r="AX1828">
        <v>1423.83</v>
      </c>
      <c r="AY1828">
        <v>204172.7</v>
      </c>
      <c r="AZ1828">
        <v>0</v>
      </c>
      <c r="BA1828">
        <v>14</v>
      </c>
      <c r="BB1828">
        <v>90325.600999999995</v>
      </c>
      <c r="BC1828">
        <v>1264558.4169999999</v>
      </c>
      <c r="BD1828">
        <v>0</v>
      </c>
      <c r="BE1828">
        <v>3927.08</v>
      </c>
      <c r="BF1828">
        <v>398</v>
      </c>
      <c r="BG1828">
        <v>3168.5309050000001</v>
      </c>
      <c r="BH1828">
        <v>643.67100000000005</v>
      </c>
    </row>
    <row r="1829" spans="1:60" x14ac:dyDescent="0.35">
      <c r="A1829" t="s">
        <v>3632</v>
      </c>
      <c r="B1829" t="s">
        <v>3777</v>
      </c>
      <c r="C1829" t="s">
        <v>3779</v>
      </c>
      <c r="D1829" t="s">
        <v>3780</v>
      </c>
      <c r="E1829">
        <v>12965</v>
      </c>
      <c r="F1829">
        <v>11</v>
      </c>
      <c r="G1829">
        <v>8.5471789999999999</v>
      </c>
      <c r="H1829">
        <v>0.77701620000000005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9786.4</v>
      </c>
      <c r="AD1829">
        <v>0</v>
      </c>
      <c r="AE1829">
        <v>0</v>
      </c>
      <c r="AF1829">
        <v>9786.4</v>
      </c>
      <c r="AG1829">
        <v>0</v>
      </c>
      <c r="AH1829">
        <v>0</v>
      </c>
      <c r="AI1829">
        <v>2156.4299999999998</v>
      </c>
      <c r="AJ1829">
        <v>0</v>
      </c>
      <c r="AK1829">
        <v>0</v>
      </c>
      <c r="AL1829">
        <v>2156.4299999999998</v>
      </c>
      <c r="AM1829">
        <v>0</v>
      </c>
      <c r="AN1829">
        <v>0</v>
      </c>
      <c r="AO1829">
        <v>1713.16</v>
      </c>
      <c r="AP1829">
        <v>0</v>
      </c>
      <c r="AQ1829">
        <v>0</v>
      </c>
      <c r="AR1829">
        <v>1713.16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13655.99</v>
      </c>
      <c r="AZ1829">
        <v>0</v>
      </c>
      <c r="BA1829">
        <v>1</v>
      </c>
      <c r="BB1829">
        <v>45053.167000000001</v>
      </c>
      <c r="BC1829">
        <v>45053.167000000001</v>
      </c>
      <c r="BD1829">
        <v>0</v>
      </c>
      <c r="BE1829">
        <v>711.8</v>
      </c>
      <c r="BF1829">
        <v>50</v>
      </c>
      <c r="BG1829">
        <v>2429.8159999999998</v>
      </c>
      <c r="BH1829">
        <v>599.61199999999997</v>
      </c>
    </row>
    <row r="1830" spans="1:60" x14ac:dyDescent="0.35">
      <c r="A1830" t="s">
        <v>3632</v>
      </c>
      <c r="B1830" t="s">
        <v>3777</v>
      </c>
      <c r="C1830" t="s">
        <v>3781</v>
      </c>
      <c r="D1830" t="s">
        <v>3782</v>
      </c>
      <c r="E1830">
        <v>11241</v>
      </c>
      <c r="F1830">
        <v>15</v>
      </c>
      <c r="G1830">
        <v>8.5982710000000004</v>
      </c>
      <c r="H1830">
        <v>0.57321800000000001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43</v>
      </c>
      <c r="BG1830">
        <v>1227.9865119999999</v>
      </c>
      <c r="BH1830">
        <v>0</v>
      </c>
    </row>
    <row r="1831" spans="1:60" x14ac:dyDescent="0.35">
      <c r="A1831" t="s">
        <v>3632</v>
      </c>
      <c r="B1831" t="s">
        <v>3777</v>
      </c>
      <c r="C1831" t="s">
        <v>3783</v>
      </c>
      <c r="D1831" t="s">
        <v>3784</v>
      </c>
      <c r="E1831">
        <v>1447</v>
      </c>
      <c r="F1831" t="s">
        <v>81</v>
      </c>
      <c r="G1831" t="s">
        <v>81</v>
      </c>
      <c r="H1831" t="s">
        <v>81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2</v>
      </c>
      <c r="BG1831">
        <v>0</v>
      </c>
      <c r="BH1831">
        <v>0</v>
      </c>
    </row>
    <row r="1832" spans="1:60" x14ac:dyDescent="0.35">
      <c r="A1832" t="s">
        <v>3632</v>
      </c>
      <c r="B1832" t="s">
        <v>3777</v>
      </c>
      <c r="C1832" t="s">
        <v>3785</v>
      </c>
      <c r="D1832" t="s">
        <v>3786</v>
      </c>
      <c r="E1832">
        <v>14589</v>
      </c>
      <c r="F1832">
        <v>43</v>
      </c>
      <c r="G1832">
        <v>24.975349999999999</v>
      </c>
      <c r="H1832">
        <v>0.58082219999999996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12.42</v>
      </c>
      <c r="X1832">
        <v>0</v>
      </c>
      <c r="Y1832">
        <v>0</v>
      </c>
      <c r="Z1832">
        <v>12.42</v>
      </c>
      <c r="AA1832">
        <v>0</v>
      </c>
      <c r="AB1832">
        <v>0</v>
      </c>
      <c r="AC1832">
        <v>15586.49</v>
      </c>
      <c r="AD1832">
        <v>0</v>
      </c>
      <c r="AE1832">
        <v>0</v>
      </c>
      <c r="AF1832">
        <v>15586.49</v>
      </c>
      <c r="AG1832">
        <v>0</v>
      </c>
      <c r="AH1832">
        <v>0</v>
      </c>
      <c r="AI1832">
        <v>2622.89</v>
      </c>
      <c r="AJ1832">
        <v>0</v>
      </c>
      <c r="AK1832">
        <v>0</v>
      </c>
      <c r="AL1832">
        <v>2622.89</v>
      </c>
      <c r="AM1832">
        <v>0</v>
      </c>
      <c r="AN1832">
        <v>0</v>
      </c>
      <c r="AO1832">
        <v>5527.05</v>
      </c>
      <c r="AP1832">
        <v>0</v>
      </c>
      <c r="AQ1832">
        <v>0</v>
      </c>
      <c r="AR1832">
        <v>5527.05</v>
      </c>
      <c r="AS1832">
        <v>0</v>
      </c>
      <c r="AT1832">
        <v>0</v>
      </c>
      <c r="AU1832">
        <v>1358.32</v>
      </c>
      <c r="AV1832">
        <v>0</v>
      </c>
      <c r="AW1832">
        <v>0</v>
      </c>
      <c r="AX1832">
        <v>1358.32</v>
      </c>
      <c r="AY1832">
        <v>25107.17</v>
      </c>
      <c r="AZ1832">
        <v>0</v>
      </c>
      <c r="BA1832">
        <v>4</v>
      </c>
      <c r="BB1832">
        <v>94421.645999999993</v>
      </c>
      <c r="BC1832">
        <v>377686.58299999998</v>
      </c>
      <c r="BD1832">
        <v>175</v>
      </c>
      <c r="BE1832">
        <v>517.70699999999999</v>
      </c>
      <c r="BF1832">
        <v>114</v>
      </c>
      <c r="BG1832">
        <v>2153.9761400000002</v>
      </c>
      <c r="BH1832">
        <v>738.005</v>
      </c>
    </row>
    <row r="1833" spans="1:60" x14ac:dyDescent="0.35">
      <c r="A1833" t="s">
        <v>3632</v>
      </c>
      <c r="B1833" t="s">
        <v>3777</v>
      </c>
      <c r="C1833" t="s">
        <v>3787</v>
      </c>
      <c r="D1833" t="s">
        <v>3788</v>
      </c>
      <c r="E1833">
        <v>6154</v>
      </c>
      <c r="F1833">
        <v>19</v>
      </c>
      <c r="G1833">
        <v>7.8731999999999998</v>
      </c>
      <c r="H1833">
        <v>0.41437889999999999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1</v>
      </c>
      <c r="BB1833">
        <v>33999</v>
      </c>
      <c r="BC1833">
        <v>33999</v>
      </c>
      <c r="BD1833">
        <v>0</v>
      </c>
      <c r="BE1833">
        <v>409.4</v>
      </c>
      <c r="BF1833">
        <v>3</v>
      </c>
      <c r="BG1833">
        <v>0</v>
      </c>
      <c r="BH1833">
        <v>73.180000000000007</v>
      </c>
    </row>
    <row r="1834" spans="1:60" x14ac:dyDescent="0.35">
      <c r="A1834" t="s">
        <v>3789</v>
      </c>
      <c r="B1834" t="s">
        <v>3789</v>
      </c>
      <c r="C1834" t="s">
        <v>3789</v>
      </c>
      <c r="D1834" t="s">
        <v>3790</v>
      </c>
      <c r="E1834">
        <v>107519</v>
      </c>
      <c r="F1834">
        <v>1166</v>
      </c>
      <c r="G1834">
        <v>959.78030000000001</v>
      </c>
      <c r="H1834">
        <v>0.82313919999999996</v>
      </c>
      <c r="I1834">
        <v>292217.18</v>
      </c>
      <c r="J1834">
        <v>0</v>
      </c>
      <c r="K1834">
        <v>0</v>
      </c>
      <c r="L1834">
        <v>0</v>
      </c>
      <c r="M1834">
        <v>0</v>
      </c>
      <c r="N1834">
        <v>292217.18</v>
      </c>
      <c r="O1834">
        <v>99481.01</v>
      </c>
      <c r="P1834">
        <v>0</v>
      </c>
      <c r="Q1834">
        <v>0</v>
      </c>
      <c r="R1834">
        <v>0</v>
      </c>
      <c r="S1834">
        <v>0</v>
      </c>
      <c r="T1834">
        <v>99481.01</v>
      </c>
      <c r="U1834">
        <v>52180.53</v>
      </c>
      <c r="V1834">
        <v>357.68</v>
      </c>
      <c r="W1834">
        <v>2367.21</v>
      </c>
      <c r="X1834">
        <v>0</v>
      </c>
      <c r="Y1834">
        <v>0</v>
      </c>
      <c r="Z1834">
        <v>54905.42</v>
      </c>
      <c r="AA1834">
        <v>602279.16</v>
      </c>
      <c r="AB1834">
        <v>22247.26</v>
      </c>
      <c r="AC1834">
        <v>302997.44</v>
      </c>
      <c r="AD1834">
        <v>0</v>
      </c>
      <c r="AE1834">
        <v>0</v>
      </c>
      <c r="AF1834">
        <v>927523.86</v>
      </c>
      <c r="AG1834">
        <v>31345.94</v>
      </c>
      <c r="AH1834">
        <v>1585.31</v>
      </c>
      <c r="AI1834">
        <v>47015.37</v>
      </c>
      <c r="AJ1834">
        <v>0</v>
      </c>
      <c r="AK1834">
        <v>0</v>
      </c>
      <c r="AL1834">
        <v>79946.62</v>
      </c>
      <c r="AM1834">
        <v>517509.21</v>
      </c>
      <c r="AN1834">
        <v>44786.27</v>
      </c>
      <c r="AO1834">
        <v>121013.78</v>
      </c>
      <c r="AP1834">
        <v>0</v>
      </c>
      <c r="AQ1834">
        <v>0</v>
      </c>
      <c r="AR1834">
        <v>683309.26</v>
      </c>
      <c r="AS1834">
        <v>191443.47</v>
      </c>
      <c r="AT1834">
        <v>0</v>
      </c>
      <c r="AU1834">
        <v>30765.56</v>
      </c>
      <c r="AV1834">
        <v>0</v>
      </c>
      <c r="AW1834">
        <v>0</v>
      </c>
      <c r="AX1834">
        <v>222209.03</v>
      </c>
      <c r="AY1834">
        <v>2359592.38</v>
      </c>
      <c r="AZ1834">
        <v>1</v>
      </c>
      <c r="BA1834">
        <v>225</v>
      </c>
      <c r="BB1834">
        <v>40780.383999999998</v>
      </c>
      <c r="BC1834">
        <v>9175586.4450000003</v>
      </c>
      <c r="BD1834">
        <v>8629.9013780000005</v>
      </c>
      <c r="BE1834">
        <v>3379.252</v>
      </c>
      <c r="BF1834">
        <v>2385</v>
      </c>
      <c r="BG1834">
        <v>5498.2649060000003</v>
      </c>
      <c r="BH1834">
        <v>1588.49</v>
      </c>
    </row>
    <row r="1835" spans="1:60" x14ac:dyDescent="0.35">
      <c r="A1835" t="s">
        <v>3789</v>
      </c>
      <c r="B1835" t="s">
        <v>3789</v>
      </c>
      <c r="C1835" t="s">
        <v>3791</v>
      </c>
      <c r="D1835" t="s">
        <v>3792</v>
      </c>
      <c r="E1835">
        <v>33984</v>
      </c>
      <c r="F1835">
        <v>108</v>
      </c>
      <c r="G1835">
        <v>74.434439999999995</v>
      </c>
      <c r="H1835">
        <v>0.68920769999999998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50235.05</v>
      </c>
      <c r="AD1835">
        <v>0</v>
      </c>
      <c r="AE1835">
        <v>0</v>
      </c>
      <c r="AF1835">
        <v>50235.05</v>
      </c>
      <c r="AG1835">
        <v>0</v>
      </c>
      <c r="AH1835">
        <v>0</v>
      </c>
      <c r="AI1835">
        <v>7373.4</v>
      </c>
      <c r="AJ1835">
        <v>0</v>
      </c>
      <c r="AK1835">
        <v>0</v>
      </c>
      <c r="AL1835">
        <v>7373.4</v>
      </c>
      <c r="AM1835">
        <v>0</v>
      </c>
      <c r="AN1835">
        <v>0</v>
      </c>
      <c r="AO1835">
        <v>6788.6</v>
      </c>
      <c r="AP1835">
        <v>0</v>
      </c>
      <c r="AQ1835">
        <v>0</v>
      </c>
      <c r="AR1835">
        <v>6788.6</v>
      </c>
      <c r="AS1835">
        <v>0</v>
      </c>
      <c r="AT1835">
        <v>0</v>
      </c>
      <c r="AU1835">
        <v>2541.19</v>
      </c>
      <c r="AV1835">
        <v>0</v>
      </c>
      <c r="AW1835">
        <v>0</v>
      </c>
      <c r="AX1835">
        <v>2541.19</v>
      </c>
      <c r="AY1835">
        <v>66938.240000000005</v>
      </c>
      <c r="AZ1835">
        <v>1</v>
      </c>
      <c r="BA1835">
        <v>36</v>
      </c>
      <c r="BB1835">
        <v>46057.940999999999</v>
      </c>
      <c r="BC1835">
        <v>1658085.8870000001</v>
      </c>
      <c r="BD1835">
        <v>6328.6333329999998</v>
      </c>
      <c r="BE1835">
        <v>147.84</v>
      </c>
      <c r="BF1835">
        <v>452</v>
      </c>
      <c r="BG1835">
        <v>3857.7406190000002</v>
      </c>
      <c r="BH1835">
        <v>28.856000000000002</v>
      </c>
    </row>
    <row r="1836" spans="1:60" x14ac:dyDescent="0.35">
      <c r="A1836" t="s">
        <v>3789</v>
      </c>
      <c r="B1836" t="s">
        <v>3789</v>
      </c>
      <c r="C1836" t="s">
        <v>3793</v>
      </c>
      <c r="D1836" t="s">
        <v>3794</v>
      </c>
      <c r="E1836">
        <v>3607</v>
      </c>
      <c r="F1836">
        <v>8</v>
      </c>
      <c r="G1836">
        <v>6.0004629999999999</v>
      </c>
      <c r="H1836">
        <v>0.75005790000000006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32</v>
      </c>
      <c r="BG1836">
        <v>214.6875</v>
      </c>
      <c r="BH1836">
        <v>1790.27</v>
      </c>
    </row>
    <row r="1837" spans="1:60" x14ac:dyDescent="0.35">
      <c r="A1837" t="s">
        <v>3789</v>
      </c>
      <c r="B1837" t="s">
        <v>3789</v>
      </c>
      <c r="C1837" t="s">
        <v>3795</v>
      </c>
      <c r="D1837" t="s">
        <v>3796</v>
      </c>
      <c r="E1837">
        <v>31269</v>
      </c>
      <c r="F1837">
        <v>71</v>
      </c>
      <c r="G1837">
        <v>57.212200000000003</v>
      </c>
      <c r="H1837">
        <v>0.80580560000000001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47.41</v>
      </c>
      <c r="X1837">
        <v>0</v>
      </c>
      <c r="Y1837">
        <v>0</v>
      </c>
      <c r="Z1837">
        <v>47.41</v>
      </c>
      <c r="AA1837">
        <v>37700.379999999997</v>
      </c>
      <c r="AB1837">
        <v>0</v>
      </c>
      <c r="AC1837">
        <v>76194.83</v>
      </c>
      <c r="AD1837">
        <v>0</v>
      </c>
      <c r="AE1837">
        <v>0</v>
      </c>
      <c r="AF1837">
        <v>113895.21</v>
      </c>
      <c r="AG1837">
        <v>5165.1099999999997</v>
      </c>
      <c r="AH1837">
        <v>0</v>
      </c>
      <c r="AI1837">
        <v>15607.88</v>
      </c>
      <c r="AJ1837">
        <v>0</v>
      </c>
      <c r="AK1837">
        <v>0</v>
      </c>
      <c r="AL1837">
        <v>20772.990000000002</v>
      </c>
      <c r="AM1837">
        <v>148.97999999999999</v>
      </c>
      <c r="AN1837">
        <v>0</v>
      </c>
      <c r="AO1837">
        <v>11169.81</v>
      </c>
      <c r="AP1837">
        <v>0</v>
      </c>
      <c r="AQ1837">
        <v>0</v>
      </c>
      <c r="AR1837">
        <v>11318.79</v>
      </c>
      <c r="AS1837">
        <v>532.1</v>
      </c>
      <c r="AT1837">
        <v>0</v>
      </c>
      <c r="AU1837">
        <v>6261.62</v>
      </c>
      <c r="AV1837">
        <v>0</v>
      </c>
      <c r="AW1837">
        <v>0</v>
      </c>
      <c r="AX1837">
        <v>6793.72</v>
      </c>
      <c r="AY1837">
        <v>152828.12</v>
      </c>
      <c r="AZ1837">
        <v>1</v>
      </c>
      <c r="BA1837">
        <v>21</v>
      </c>
      <c r="BB1837">
        <v>27878.61</v>
      </c>
      <c r="BC1837">
        <v>585450.81799999997</v>
      </c>
      <c r="BD1837">
        <v>5093.0771430000004</v>
      </c>
      <c r="BE1837">
        <v>326.53899999999999</v>
      </c>
      <c r="BF1837">
        <v>355</v>
      </c>
      <c r="BG1837">
        <v>1596.2300279999999</v>
      </c>
      <c r="BH1837">
        <v>106.316</v>
      </c>
    </row>
    <row r="1838" spans="1:60" x14ac:dyDescent="0.35">
      <c r="A1838" t="s">
        <v>3789</v>
      </c>
      <c r="B1838" t="s">
        <v>3789</v>
      </c>
      <c r="C1838" t="s">
        <v>3797</v>
      </c>
      <c r="D1838" t="s">
        <v>3798</v>
      </c>
      <c r="E1838">
        <v>2282</v>
      </c>
      <c r="F1838">
        <v>12</v>
      </c>
      <c r="G1838">
        <v>7.412998</v>
      </c>
      <c r="H1838">
        <v>0.61774980000000002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11</v>
      </c>
      <c r="BG1838">
        <v>45.454545000000003</v>
      </c>
      <c r="BH1838">
        <v>472.779</v>
      </c>
    </row>
    <row r="1839" spans="1:60" x14ac:dyDescent="0.35">
      <c r="A1839" t="s">
        <v>3789</v>
      </c>
      <c r="B1839" t="s">
        <v>3789</v>
      </c>
      <c r="C1839" t="s">
        <v>3799</v>
      </c>
      <c r="D1839" t="s">
        <v>3800</v>
      </c>
      <c r="E1839">
        <v>2328</v>
      </c>
      <c r="F1839">
        <v>3</v>
      </c>
      <c r="G1839">
        <v>0.79383429999999999</v>
      </c>
      <c r="H1839">
        <v>0.2646114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7</v>
      </c>
      <c r="BG1839">
        <v>7789.7528570000004</v>
      </c>
      <c r="BH1839">
        <v>0</v>
      </c>
    </row>
    <row r="1840" spans="1:60" x14ac:dyDescent="0.35">
      <c r="A1840" t="s">
        <v>3789</v>
      </c>
      <c r="B1840" t="s">
        <v>3789</v>
      </c>
      <c r="C1840" t="s">
        <v>3801</v>
      </c>
      <c r="D1840" t="s">
        <v>3802</v>
      </c>
      <c r="E1840">
        <v>2540</v>
      </c>
      <c r="F1840">
        <v>3</v>
      </c>
      <c r="G1840">
        <v>3.0181309999999999</v>
      </c>
      <c r="H1840">
        <v>1.0060439999999999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3</v>
      </c>
      <c r="BG1840">
        <v>5649.13</v>
      </c>
      <c r="BH1840">
        <v>0</v>
      </c>
    </row>
    <row r="1841" spans="1:60" x14ac:dyDescent="0.35">
      <c r="A1841" t="s">
        <v>3789</v>
      </c>
      <c r="B1841" t="s">
        <v>3789</v>
      </c>
      <c r="C1841" t="s">
        <v>3803</v>
      </c>
      <c r="D1841" t="s">
        <v>3804</v>
      </c>
      <c r="E1841">
        <v>19507</v>
      </c>
      <c r="F1841">
        <v>48</v>
      </c>
      <c r="G1841">
        <v>26.383579999999998</v>
      </c>
      <c r="H1841">
        <v>0.54965790000000003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</v>
      </c>
      <c r="BA1841">
        <v>16</v>
      </c>
      <c r="BB1841">
        <v>85258.934999999998</v>
      </c>
      <c r="BC1841">
        <v>1364142.952</v>
      </c>
      <c r="BD1841">
        <v>34668.800000000003</v>
      </c>
      <c r="BE1841">
        <v>106.114</v>
      </c>
      <c r="BF1841">
        <v>132</v>
      </c>
      <c r="BG1841">
        <v>5539.4743179999996</v>
      </c>
      <c r="BH1841">
        <v>319.64600000000002</v>
      </c>
    </row>
    <row r="1842" spans="1:60" x14ac:dyDescent="0.35">
      <c r="A1842" t="s">
        <v>3789</v>
      </c>
      <c r="B1842" t="s">
        <v>3789</v>
      </c>
      <c r="C1842" t="s">
        <v>3805</v>
      </c>
      <c r="D1842" t="s">
        <v>3806</v>
      </c>
      <c r="E1842">
        <v>4093</v>
      </c>
      <c r="F1842">
        <v>6</v>
      </c>
      <c r="G1842">
        <v>6.2550460000000001</v>
      </c>
      <c r="H1842">
        <v>1.042508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25</v>
      </c>
      <c r="BG1842">
        <v>790.46</v>
      </c>
      <c r="BH1842">
        <v>0</v>
      </c>
    </row>
    <row r="1843" spans="1:60" x14ac:dyDescent="0.35">
      <c r="A1843" t="s">
        <v>3789</v>
      </c>
      <c r="B1843" t="s">
        <v>3789</v>
      </c>
      <c r="C1843" t="s">
        <v>3807</v>
      </c>
      <c r="D1843" t="s">
        <v>3808</v>
      </c>
      <c r="E1843">
        <v>156475</v>
      </c>
      <c r="F1843">
        <v>143</v>
      </c>
      <c r="G1843">
        <v>104.3086</v>
      </c>
      <c r="H1843">
        <v>0.72943060000000004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750.21</v>
      </c>
      <c r="X1843">
        <v>0</v>
      </c>
      <c r="Y1843">
        <v>0</v>
      </c>
      <c r="Z1843">
        <v>750.21</v>
      </c>
      <c r="AA1843">
        <v>68894.210000000006</v>
      </c>
      <c r="AB1843">
        <v>14810.26</v>
      </c>
      <c r="AC1843">
        <v>169878.56</v>
      </c>
      <c r="AD1843">
        <v>12812.09</v>
      </c>
      <c r="AE1843">
        <v>0</v>
      </c>
      <c r="AF1843">
        <v>266395.12</v>
      </c>
      <c r="AG1843">
        <v>22555.53</v>
      </c>
      <c r="AH1843">
        <v>1452.15</v>
      </c>
      <c r="AI1843">
        <v>32189.17</v>
      </c>
      <c r="AJ1843">
        <v>2849.91</v>
      </c>
      <c r="AK1843">
        <v>0</v>
      </c>
      <c r="AL1843">
        <v>59046.76</v>
      </c>
      <c r="AM1843">
        <v>6304.4</v>
      </c>
      <c r="AN1843">
        <v>769</v>
      </c>
      <c r="AO1843">
        <v>23208.52</v>
      </c>
      <c r="AP1843">
        <v>1186.5999999999999</v>
      </c>
      <c r="AQ1843">
        <v>0</v>
      </c>
      <c r="AR1843">
        <v>31468.52</v>
      </c>
      <c r="AS1843">
        <v>649.1</v>
      </c>
      <c r="AT1843">
        <v>0</v>
      </c>
      <c r="AU1843">
        <v>19736.8</v>
      </c>
      <c r="AV1843">
        <v>0</v>
      </c>
      <c r="AW1843">
        <v>0</v>
      </c>
      <c r="AX1843">
        <v>20385.900000000001</v>
      </c>
      <c r="AY1843">
        <v>378046.51</v>
      </c>
      <c r="AZ1843">
        <v>1</v>
      </c>
      <c r="BA1843">
        <v>59</v>
      </c>
      <c r="BB1843">
        <v>49720.213000000003</v>
      </c>
      <c r="BC1843">
        <v>2933492.58</v>
      </c>
      <c r="BD1843">
        <v>6231.8542369999996</v>
      </c>
      <c r="BE1843">
        <v>272.25900000000001</v>
      </c>
      <c r="BF1843">
        <v>858</v>
      </c>
      <c r="BG1843">
        <v>4320.233193</v>
      </c>
      <c r="BH1843">
        <v>94.326999999999998</v>
      </c>
    </row>
    <row r="1844" spans="1:60" x14ac:dyDescent="0.35">
      <c r="A1844" t="s">
        <v>3789</v>
      </c>
      <c r="B1844" t="s">
        <v>3789</v>
      </c>
      <c r="C1844" t="s">
        <v>3809</v>
      </c>
      <c r="D1844" t="s">
        <v>3810</v>
      </c>
      <c r="E1844">
        <v>6922</v>
      </c>
      <c r="F1844">
        <v>9</v>
      </c>
      <c r="G1844">
        <v>4.3159999999999998</v>
      </c>
      <c r="H1844">
        <v>0.47955550000000002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6</v>
      </c>
      <c r="BB1844">
        <v>57977</v>
      </c>
      <c r="BC1844">
        <v>347862</v>
      </c>
      <c r="BD1844">
        <v>0</v>
      </c>
      <c r="BE1844">
        <v>0</v>
      </c>
      <c r="BF1844">
        <v>42</v>
      </c>
      <c r="BG1844">
        <v>1.997619</v>
      </c>
      <c r="BH1844">
        <v>46.957999999999998</v>
      </c>
    </row>
    <row r="1845" spans="1:60" x14ac:dyDescent="0.35">
      <c r="A1845" t="s">
        <v>3789</v>
      </c>
      <c r="B1845" t="s">
        <v>3811</v>
      </c>
      <c r="C1845" t="s">
        <v>3811</v>
      </c>
      <c r="D1845" t="s">
        <v>3812</v>
      </c>
      <c r="E1845">
        <v>2318</v>
      </c>
      <c r="F1845">
        <v>1</v>
      </c>
      <c r="G1845">
        <v>0.45</v>
      </c>
      <c r="H1845">
        <v>0.45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2725.74</v>
      </c>
      <c r="AC1845">
        <v>0</v>
      </c>
      <c r="AD1845">
        <v>0</v>
      </c>
      <c r="AE1845">
        <v>0</v>
      </c>
      <c r="AF1845">
        <v>2725.74</v>
      </c>
      <c r="AG1845">
        <v>0</v>
      </c>
      <c r="AH1845">
        <v>1066.81</v>
      </c>
      <c r="AI1845">
        <v>0</v>
      </c>
      <c r="AJ1845">
        <v>0</v>
      </c>
      <c r="AK1845">
        <v>0</v>
      </c>
      <c r="AL1845">
        <v>1066.81</v>
      </c>
      <c r="AM1845">
        <v>0</v>
      </c>
      <c r="AN1845">
        <v>53.86</v>
      </c>
      <c r="AO1845">
        <v>0</v>
      </c>
      <c r="AP1845">
        <v>0</v>
      </c>
      <c r="AQ1845">
        <v>0</v>
      </c>
      <c r="AR1845">
        <v>53.86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3846.41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15</v>
      </c>
      <c r="BG1845">
        <v>1652.7666670000001</v>
      </c>
      <c r="BH1845">
        <v>370.75799999999998</v>
      </c>
    </row>
    <row r="1846" spans="1:60" x14ac:dyDescent="0.35">
      <c r="A1846" t="s">
        <v>3789</v>
      </c>
      <c r="B1846" t="s">
        <v>3811</v>
      </c>
      <c r="C1846" t="s">
        <v>3813</v>
      </c>
      <c r="D1846" t="s">
        <v>3814</v>
      </c>
      <c r="E1846">
        <v>944</v>
      </c>
      <c r="F1846">
        <v>1</v>
      </c>
      <c r="G1846">
        <v>3.1925210000000002</v>
      </c>
      <c r="H1846">
        <v>3.1925210000000002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1</v>
      </c>
      <c r="BG1846">
        <v>0</v>
      </c>
      <c r="BH1846">
        <v>0</v>
      </c>
    </row>
    <row r="1847" spans="1:60" x14ac:dyDescent="0.35">
      <c r="A1847" t="s">
        <v>3789</v>
      </c>
      <c r="B1847" t="s">
        <v>3811</v>
      </c>
      <c r="C1847" t="s">
        <v>3815</v>
      </c>
      <c r="D1847" t="s">
        <v>3816</v>
      </c>
      <c r="E1847">
        <v>1052</v>
      </c>
      <c r="F1847" t="s">
        <v>81</v>
      </c>
      <c r="G1847" t="s">
        <v>81</v>
      </c>
      <c r="H1847" t="s">
        <v>81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3</v>
      </c>
      <c r="BG1847">
        <v>2761</v>
      </c>
      <c r="BH1847">
        <v>0</v>
      </c>
    </row>
    <row r="1848" spans="1:60" x14ac:dyDescent="0.35">
      <c r="A1848" t="s">
        <v>3789</v>
      </c>
      <c r="B1848" t="s">
        <v>3811</v>
      </c>
      <c r="C1848" t="s">
        <v>3817</v>
      </c>
      <c r="D1848" t="s">
        <v>3818</v>
      </c>
      <c r="E1848">
        <v>626</v>
      </c>
      <c r="F1848" t="s">
        <v>81</v>
      </c>
      <c r="G1848" t="s">
        <v>81</v>
      </c>
      <c r="H1848" t="s">
        <v>81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1</v>
      </c>
      <c r="BG1848">
        <v>0</v>
      </c>
      <c r="BH1848">
        <v>0</v>
      </c>
    </row>
    <row r="1849" spans="1:60" x14ac:dyDescent="0.35">
      <c r="A1849" t="s">
        <v>3789</v>
      </c>
      <c r="B1849" t="s">
        <v>3811</v>
      </c>
      <c r="C1849" t="s">
        <v>3819</v>
      </c>
      <c r="D1849" t="s">
        <v>3820</v>
      </c>
      <c r="E1849">
        <v>433</v>
      </c>
      <c r="F1849" t="s">
        <v>81</v>
      </c>
      <c r="G1849" t="s">
        <v>81</v>
      </c>
      <c r="H1849" t="s">
        <v>81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 t="s">
        <v>81</v>
      </c>
      <c r="BB1849" t="s">
        <v>81</v>
      </c>
      <c r="BC1849" t="s">
        <v>81</v>
      </c>
      <c r="BD1849" t="s">
        <v>81</v>
      </c>
      <c r="BE1849" t="s">
        <v>81</v>
      </c>
      <c r="BF1849" t="s">
        <v>81</v>
      </c>
      <c r="BG1849" t="s">
        <v>81</v>
      </c>
      <c r="BH1849" t="s">
        <v>81</v>
      </c>
    </row>
    <row r="1850" spans="1:60" x14ac:dyDescent="0.35">
      <c r="A1850" t="s">
        <v>3789</v>
      </c>
      <c r="B1850" t="s">
        <v>3811</v>
      </c>
      <c r="C1850" t="s">
        <v>3821</v>
      </c>
      <c r="D1850" t="s">
        <v>3822</v>
      </c>
      <c r="E1850">
        <v>634</v>
      </c>
      <c r="F1850" t="s">
        <v>81</v>
      </c>
      <c r="G1850" t="s">
        <v>81</v>
      </c>
      <c r="H1850" t="s">
        <v>81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4</v>
      </c>
      <c r="BG1850">
        <v>0</v>
      </c>
      <c r="BH1850">
        <v>0</v>
      </c>
    </row>
    <row r="1851" spans="1:60" x14ac:dyDescent="0.35">
      <c r="A1851" t="s">
        <v>3789</v>
      </c>
      <c r="B1851" t="s">
        <v>3823</v>
      </c>
      <c r="C1851" t="s">
        <v>3824</v>
      </c>
      <c r="D1851" t="s">
        <v>3825</v>
      </c>
      <c r="E1851">
        <v>2875</v>
      </c>
      <c r="F1851">
        <v>2</v>
      </c>
      <c r="G1851">
        <v>1.6604000000000001</v>
      </c>
      <c r="H1851">
        <v>0.83020000000000005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665.41</v>
      </c>
      <c r="AC1851">
        <v>0</v>
      </c>
      <c r="AD1851">
        <v>0</v>
      </c>
      <c r="AE1851">
        <v>0</v>
      </c>
      <c r="AF1851">
        <v>665.41</v>
      </c>
      <c r="AG1851">
        <v>0</v>
      </c>
      <c r="AH1851">
        <v>208.99</v>
      </c>
      <c r="AI1851">
        <v>0</v>
      </c>
      <c r="AJ1851">
        <v>0</v>
      </c>
      <c r="AK1851">
        <v>0</v>
      </c>
      <c r="AL1851">
        <v>208.99</v>
      </c>
      <c r="AM1851">
        <v>0</v>
      </c>
      <c r="AN1851">
        <v>6.02</v>
      </c>
      <c r="AO1851">
        <v>0</v>
      </c>
      <c r="AP1851">
        <v>0</v>
      </c>
      <c r="AQ1851">
        <v>0</v>
      </c>
      <c r="AR1851">
        <v>6.02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880.42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18</v>
      </c>
      <c r="BG1851">
        <v>74.555555999999996</v>
      </c>
      <c r="BH1851">
        <v>0</v>
      </c>
    </row>
    <row r="1852" spans="1:60" x14ac:dyDescent="0.35">
      <c r="A1852" t="s">
        <v>3789</v>
      </c>
      <c r="B1852" t="s">
        <v>3823</v>
      </c>
      <c r="C1852" t="s">
        <v>3826</v>
      </c>
      <c r="D1852" t="s">
        <v>3827</v>
      </c>
      <c r="E1852">
        <v>7544</v>
      </c>
      <c r="F1852">
        <v>3</v>
      </c>
      <c r="G1852">
        <v>2.7624949999999999</v>
      </c>
      <c r="H1852">
        <v>0.92083159999999997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0.28000000000000003</v>
      </c>
      <c r="AH1852">
        <v>0</v>
      </c>
      <c r="AI1852">
        <v>0</v>
      </c>
      <c r="AJ1852">
        <v>0</v>
      </c>
      <c r="AK1852">
        <v>0</v>
      </c>
      <c r="AL1852">
        <v>0.28000000000000003</v>
      </c>
      <c r="AM1852">
        <v>927.51</v>
      </c>
      <c r="AN1852">
        <v>0</v>
      </c>
      <c r="AO1852">
        <v>0</v>
      </c>
      <c r="AP1852">
        <v>0</v>
      </c>
      <c r="AQ1852">
        <v>0</v>
      </c>
      <c r="AR1852">
        <v>927.51</v>
      </c>
      <c r="AS1852">
        <v>633.70000000000005</v>
      </c>
      <c r="AT1852">
        <v>0</v>
      </c>
      <c r="AU1852">
        <v>0</v>
      </c>
      <c r="AV1852">
        <v>0</v>
      </c>
      <c r="AW1852">
        <v>0</v>
      </c>
      <c r="AX1852">
        <v>633.70000000000005</v>
      </c>
      <c r="AY1852">
        <v>1561.49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17</v>
      </c>
      <c r="BG1852">
        <v>11268.711176000001</v>
      </c>
      <c r="BH1852">
        <v>0</v>
      </c>
    </row>
    <row r="1853" spans="1:60" x14ac:dyDescent="0.35">
      <c r="A1853" t="s">
        <v>3789</v>
      </c>
      <c r="B1853" t="s">
        <v>3823</v>
      </c>
      <c r="C1853" t="s">
        <v>3828</v>
      </c>
      <c r="D1853" t="s">
        <v>3829</v>
      </c>
      <c r="E1853">
        <v>3173</v>
      </c>
      <c r="F1853">
        <v>3</v>
      </c>
      <c r="G1853">
        <v>3.6898499999999999</v>
      </c>
      <c r="H1853">
        <v>1.2299500000000001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21</v>
      </c>
      <c r="BG1853">
        <v>23220.606189999999</v>
      </c>
      <c r="BH1853">
        <v>0</v>
      </c>
    </row>
    <row r="1854" spans="1:60" x14ac:dyDescent="0.35">
      <c r="A1854" t="s">
        <v>3789</v>
      </c>
      <c r="B1854" t="s">
        <v>3830</v>
      </c>
      <c r="C1854" t="s">
        <v>3830</v>
      </c>
      <c r="D1854" t="s">
        <v>3831</v>
      </c>
      <c r="E1854">
        <v>3563</v>
      </c>
      <c r="F1854">
        <v>3</v>
      </c>
      <c r="G1854">
        <v>5.4623309999999998</v>
      </c>
      <c r="H1854">
        <v>1.8207770000000001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527.17999999999995</v>
      </c>
      <c r="AC1854">
        <v>0</v>
      </c>
      <c r="AD1854">
        <v>0</v>
      </c>
      <c r="AE1854">
        <v>0</v>
      </c>
      <c r="AF1854">
        <v>527.17999999999995</v>
      </c>
      <c r="AG1854">
        <v>0</v>
      </c>
      <c r="AH1854">
        <v>214.87</v>
      </c>
      <c r="AI1854">
        <v>0</v>
      </c>
      <c r="AJ1854">
        <v>0</v>
      </c>
      <c r="AK1854">
        <v>0</v>
      </c>
      <c r="AL1854">
        <v>214.87</v>
      </c>
      <c r="AM1854">
        <v>0</v>
      </c>
      <c r="AN1854">
        <v>11.9</v>
      </c>
      <c r="AO1854">
        <v>0</v>
      </c>
      <c r="AP1854">
        <v>0</v>
      </c>
      <c r="AQ1854">
        <v>0</v>
      </c>
      <c r="AR1854">
        <v>11.9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753.95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13</v>
      </c>
      <c r="BG1854">
        <v>2531.5923079999998</v>
      </c>
      <c r="BH1854">
        <v>1010.141</v>
      </c>
    </row>
    <row r="1855" spans="1:60" x14ac:dyDescent="0.35">
      <c r="A1855" t="s">
        <v>3789</v>
      </c>
      <c r="B1855" t="s">
        <v>3830</v>
      </c>
      <c r="C1855" t="s">
        <v>3832</v>
      </c>
      <c r="D1855" t="s">
        <v>3833</v>
      </c>
      <c r="E1855">
        <v>287</v>
      </c>
      <c r="F1855" t="s">
        <v>81</v>
      </c>
      <c r="G1855" t="s">
        <v>81</v>
      </c>
      <c r="H1855" t="s">
        <v>81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1</v>
      </c>
      <c r="BG1855">
        <v>0</v>
      </c>
      <c r="BH1855">
        <v>0</v>
      </c>
    </row>
    <row r="1856" spans="1:60" x14ac:dyDescent="0.35">
      <c r="A1856" t="s">
        <v>3789</v>
      </c>
      <c r="B1856" t="s">
        <v>3830</v>
      </c>
      <c r="C1856" t="s">
        <v>3834</v>
      </c>
      <c r="D1856" t="s">
        <v>3835</v>
      </c>
      <c r="E1856">
        <v>209</v>
      </c>
      <c r="F1856" t="s">
        <v>81</v>
      </c>
      <c r="G1856" t="s">
        <v>81</v>
      </c>
      <c r="H1856" t="s">
        <v>81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1</v>
      </c>
      <c r="BG1856">
        <v>0</v>
      </c>
      <c r="BH1856">
        <v>0</v>
      </c>
    </row>
    <row r="1857" spans="1:60" x14ac:dyDescent="0.35">
      <c r="A1857" t="s">
        <v>3789</v>
      </c>
      <c r="B1857" t="s">
        <v>3830</v>
      </c>
      <c r="C1857" t="s">
        <v>3836</v>
      </c>
      <c r="D1857" t="s">
        <v>3837</v>
      </c>
      <c r="E1857">
        <v>314</v>
      </c>
      <c r="F1857" t="s">
        <v>81</v>
      </c>
      <c r="G1857" t="s">
        <v>81</v>
      </c>
      <c r="H1857" t="s">
        <v>81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1</v>
      </c>
      <c r="BG1857">
        <v>0</v>
      </c>
      <c r="BH1857">
        <v>0</v>
      </c>
    </row>
    <row r="1858" spans="1:60" x14ac:dyDescent="0.35">
      <c r="A1858" t="s">
        <v>3789</v>
      </c>
      <c r="B1858" t="s">
        <v>3830</v>
      </c>
      <c r="C1858" t="s">
        <v>3838</v>
      </c>
      <c r="D1858" t="s">
        <v>3839</v>
      </c>
      <c r="E1858">
        <v>327</v>
      </c>
      <c r="F1858" t="s">
        <v>81</v>
      </c>
      <c r="G1858" t="s">
        <v>81</v>
      </c>
      <c r="H1858" t="s">
        <v>81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 t="s">
        <v>81</v>
      </c>
      <c r="BB1858" t="s">
        <v>81</v>
      </c>
      <c r="BC1858" t="s">
        <v>81</v>
      </c>
      <c r="BD1858" t="s">
        <v>81</v>
      </c>
      <c r="BE1858" t="s">
        <v>81</v>
      </c>
      <c r="BF1858" t="s">
        <v>81</v>
      </c>
      <c r="BG1858" t="s">
        <v>81</v>
      </c>
      <c r="BH1858" t="s">
        <v>81</v>
      </c>
    </row>
    <row r="1859" spans="1:60" x14ac:dyDescent="0.35">
      <c r="A1859" t="s">
        <v>3789</v>
      </c>
      <c r="B1859" t="s">
        <v>3830</v>
      </c>
      <c r="C1859" t="s">
        <v>3840</v>
      </c>
      <c r="D1859" t="s">
        <v>3841</v>
      </c>
      <c r="E1859">
        <v>477</v>
      </c>
      <c r="F1859" t="s">
        <v>81</v>
      </c>
      <c r="G1859" t="s">
        <v>81</v>
      </c>
      <c r="H1859" t="s">
        <v>81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1</v>
      </c>
      <c r="BG1859">
        <v>0</v>
      </c>
      <c r="BH1859">
        <v>0</v>
      </c>
    </row>
    <row r="1860" spans="1:60" x14ac:dyDescent="0.35">
      <c r="A1860" t="s">
        <v>3789</v>
      </c>
      <c r="B1860" t="s">
        <v>3830</v>
      </c>
      <c r="C1860" t="s">
        <v>3842</v>
      </c>
      <c r="D1860" t="s">
        <v>3843</v>
      </c>
      <c r="E1860">
        <v>300</v>
      </c>
      <c r="F1860" t="s">
        <v>81</v>
      </c>
      <c r="G1860" t="s">
        <v>81</v>
      </c>
      <c r="H1860" t="s">
        <v>81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 t="s">
        <v>81</v>
      </c>
      <c r="BB1860" t="s">
        <v>81</v>
      </c>
      <c r="BC1860" t="s">
        <v>81</v>
      </c>
      <c r="BD1860" t="s">
        <v>81</v>
      </c>
      <c r="BE1860" t="s">
        <v>81</v>
      </c>
      <c r="BF1860" t="s">
        <v>81</v>
      </c>
      <c r="BG1860" t="s">
        <v>81</v>
      </c>
      <c r="BH1860" t="s">
        <v>81</v>
      </c>
    </row>
    <row r="1861" spans="1:60" x14ac:dyDescent="0.35">
      <c r="A1861" t="s">
        <v>3789</v>
      </c>
      <c r="B1861" t="s">
        <v>3830</v>
      </c>
      <c r="C1861" t="s">
        <v>3844</v>
      </c>
      <c r="D1861" t="s">
        <v>3845</v>
      </c>
      <c r="E1861">
        <v>578</v>
      </c>
      <c r="F1861">
        <v>1</v>
      </c>
      <c r="G1861">
        <v>1.348635</v>
      </c>
      <c r="H1861">
        <v>1.348635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1</v>
      </c>
      <c r="BG1861">
        <v>0</v>
      </c>
      <c r="BH1861">
        <v>0</v>
      </c>
    </row>
    <row r="1862" spans="1:60" x14ac:dyDescent="0.35">
      <c r="A1862" t="s">
        <v>3846</v>
      </c>
      <c r="B1862" t="s">
        <v>3846</v>
      </c>
      <c r="C1862" t="s">
        <v>3846</v>
      </c>
      <c r="D1862" t="s">
        <v>3847</v>
      </c>
      <c r="E1862">
        <v>119620</v>
      </c>
      <c r="F1862">
        <v>419</v>
      </c>
      <c r="G1862">
        <v>416.34269999999998</v>
      </c>
      <c r="H1862">
        <v>0.99365800000000004</v>
      </c>
      <c r="I1862">
        <v>7468.45</v>
      </c>
      <c r="J1862">
        <v>0</v>
      </c>
      <c r="K1862">
        <v>0</v>
      </c>
      <c r="L1862">
        <v>0</v>
      </c>
      <c r="M1862">
        <v>0</v>
      </c>
      <c r="N1862">
        <v>7468.45</v>
      </c>
      <c r="O1862">
        <v>1654.66</v>
      </c>
      <c r="P1862">
        <v>0</v>
      </c>
      <c r="Q1862">
        <v>0</v>
      </c>
      <c r="R1862">
        <v>0</v>
      </c>
      <c r="S1862">
        <v>0</v>
      </c>
      <c r="T1862">
        <v>1654.66</v>
      </c>
      <c r="U1862">
        <v>13195.48</v>
      </c>
      <c r="V1862">
        <v>0</v>
      </c>
      <c r="W1862">
        <v>0</v>
      </c>
      <c r="X1862">
        <v>0</v>
      </c>
      <c r="Y1862">
        <v>0</v>
      </c>
      <c r="Z1862">
        <v>13195.48</v>
      </c>
      <c r="AA1862">
        <v>197866.23999999999</v>
      </c>
      <c r="AB1862">
        <v>6406.1</v>
      </c>
      <c r="AC1862">
        <v>92170.77</v>
      </c>
      <c r="AD1862">
        <v>0</v>
      </c>
      <c r="AE1862">
        <v>0</v>
      </c>
      <c r="AF1862">
        <v>296443.11</v>
      </c>
      <c r="AG1862">
        <v>43935.87</v>
      </c>
      <c r="AH1862">
        <v>2238.46</v>
      </c>
      <c r="AI1862">
        <v>26886.7</v>
      </c>
      <c r="AJ1862">
        <v>0</v>
      </c>
      <c r="AK1862">
        <v>0</v>
      </c>
      <c r="AL1862">
        <v>73061.03</v>
      </c>
      <c r="AM1862">
        <v>253603.86</v>
      </c>
      <c r="AN1862">
        <v>23219.1</v>
      </c>
      <c r="AO1862">
        <v>43993.82</v>
      </c>
      <c r="AP1862">
        <v>1482.7</v>
      </c>
      <c r="AQ1862">
        <v>0</v>
      </c>
      <c r="AR1862">
        <v>322299.48</v>
      </c>
      <c r="AS1862">
        <v>32807.25</v>
      </c>
      <c r="AT1862">
        <v>0</v>
      </c>
      <c r="AU1862">
        <v>5287.87</v>
      </c>
      <c r="AV1862">
        <v>0</v>
      </c>
      <c r="AW1862">
        <v>0</v>
      </c>
      <c r="AX1862">
        <v>38095.120000000003</v>
      </c>
      <c r="AY1862">
        <v>752217.33</v>
      </c>
      <c r="AZ1862">
        <v>1</v>
      </c>
      <c r="BA1862">
        <v>76</v>
      </c>
      <c r="BB1862">
        <v>43890.934000000001</v>
      </c>
      <c r="BC1862">
        <v>3335710.9879999999</v>
      </c>
      <c r="BD1862">
        <v>22935.596053000001</v>
      </c>
      <c r="BE1862">
        <v>2808.8139999999999</v>
      </c>
      <c r="BF1862">
        <v>686</v>
      </c>
      <c r="BG1862">
        <v>13568.564708</v>
      </c>
      <c r="BH1862">
        <v>727.68799999999999</v>
      </c>
    </row>
    <row r="1863" spans="1:60" x14ac:dyDescent="0.35">
      <c r="A1863" t="s">
        <v>3846</v>
      </c>
      <c r="B1863" t="s">
        <v>3846</v>
      </c>
      <c r="C1863" t="s">
        <v>3848</v>
      </c>
      <c r="D1863" t="s">
        <v>3849</v>
      </c>
      <c r="E1863">
        <v>26396</v>
      </c>
      <c r="F1863">
        <v>43</v>
      </c>
      <c r="G1863">
        <v>35.884749999999997</v>
      </c>
      <c r="H1863">
        <v>0.83452910000000002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9047.81</v>
      </c>
      <c r="AD1863">
        <v>0</v>
      </c>
      <c r="AE1863">
        <v>0</v>
      </c>
      <c r="AF1863">
        <v>9047.81</v>
      </c>
      <c r="AG1863">
        <v>0</v>
      </c>
      <c r="AH1863">
        <v>0</v>
      </c>
      <c r="AI1863">
        <v>2069.9699999999998</v>
      </c>
      <c r="AJ1863">
        <v>0</v>
      </c>
      <c r="AK1863">
        <v>0</v>
      </c>
      <c r="AL1863">
        <v>2069.9699999999998</v>
      </c>
      <c r="AM1863">
        <v>0</v>
      </c>
      <c r="AN1863">
        <v>0</v>
      </c>
      <c r="AO1863">
        <v>1703.52</v>
      </c>
      <c r="AP1863">
        <v>0</v>
      </c>
      <c r="AQ1863">
        <v>0</v>
      </c>
      <c r="AR1863">
        <v>1703.52</v>
      </c>
      <c r="AS1863">
        <v>0</v>
      </c>
      <c r="AT1863">
        <v>0</v>
      </c>
      <c r="AU1863">
        <v>667.32</v>
      </c>
      <c r="AV1863">
        <v>0</v>
      </c>
      <c r="AW1863">
        <v>0</v>
      </c>
      <c r="AX1863">
        <v>667.32</v>
      </c>
      <c r="AY1863">
        <v>13488.62</v>
      </c>
      <c r="AZ1863">
        <v>1</v>
      </c>
      <c r="BA1863">
        <v>11</v>
      </c>
      <c r="BB1863">
        <v>87556.523000000001</v>
      </c>
      <c r="BC1863">
        <v>963121.75</v>
      </c>
      <c r="BD1863">
        <v>3003.52</v>
      </c>
      <c r="BE1863">
        <v>417.27300000000002</v>
      </c>
      <c r="BF1863">
        <v>93</v>
      </c>
      <c r="BG1863">
        <v>2633.8270969999999</v>
      </c>
      <c r="BH1863">
        <v>104.60599999999999</v>
      </c>
    </row>
    <row r="1864" spans="1:60" x14ac:dyDescent="0.35">
      <c r="A1864" t="s">
        <v>3846</v>
      </c>
      <c r="B1864" t="s">
        <v>3846</v>
      </c>
      <c r="C1864" t="s">
        <v>3850</v>
      </c>
      <c r="D1864" t="s">
        <v>3851</v>
      </c>
      <c r="E1864">
        <v>11251</v>
      </c>
      <c r="F1864">
        <v>25</v>
      </c>
      <c r="G1864">
        <v>14.21551</v>
      </c>
      <c r="H1864">
        <v>0.56862029999999997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1</v>
      </c>
      <c r="BB1864">
        <v>10385.083000000001</v>
      </c>
      <c r="BC1864">
        <v>10385.083000000001</v>
      </c>
      <c r="BD1864">
        <v>18870.349999999999</v>
      </c>
      <c r="BE1864">
        <v>0</v>
      </c>
      <c r="BF1864">
        <v>54</v>
      </c>
      <c r="BG1864">
        <v>14906.086295999999</v>
      </c>
      <c r="BH1864">
        <v>1579.3510000000001</v>
      </c>
    </row>
    <row r="1865" spans="1:60" x14ac:dyDescent="0.35">
      <c r="A1865" t="s">
        <v>3846</v>
      </c>
      <c r="B1865" t="s">
        <v>3846</v>
      </c>
      <c r="C1865" t="s">
        <v>3852</v>
      </c>
      <c r="D1865" t="s">
        <v>3853</v>
      </c>
      <c r="E1865">
        <v>7760</v>
      </c>
      <c r="F1865">
        <v>1</v>
      </c>
      <c r="G1865">
        <v>0.31</v>
      </c>
      <c r="H1865">
        <v>0.31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1</v>
      </c>
      <c r="BB1865">
        <v>16033.25</v>
      </c>
      <c r="BC1865">
        <v>16033.25</v>
      </c>
      <c r="BD1865">
        <v>0</v>
      </c>
      <c r="BE1865">
        <v>0</v>
      </c>
      <c r="BF1865">
        <v>27</v>
      </c>
      <c r="BG1865">
        <v>2771.0648150000002</v>
      </c>
      <c r="BH1865">
        <v>0</v>
      </c>
    </row>
    <row r="1866" spans="1:60" x14ac:dyDescent="0.35">
      <c r="A1866" t="s">
        <v>3846</v>
      </c>
      <c r="B1866" t="s">
        <v>3846</v>
      </c>
      <c r="C1866" t="s">
        <v>3854</v>
      </c>
      <c r="D1866" t="s">
        <v>3855</v>
      </c>
      <c r="E1866">
        <v>9164</v>
      </c>
      <c r="F1866">
        <v>6</v>
      </c>
      <c r="G1866">
        <v>2.1242930000000002</v>
      </c>
      <c r="H1866">
        <v>0.3540488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2495.4299999999998</v>
      </c>
      <c r="AD1866">
        <v>0</v>
      </c>
      <c r="AE1866">
        <v>0</v>
      </c>
      <c r="AF1866">
        <v>2495.4299999999998</v>
      </c>
      <c r="AG1866">
        <v>0</v>
      </c>
      <c r="AH1866">
        <v>0</v>
      </c>
      <c r="AI1866">
        <v>1126.6099999999999</v>
      </c>
      <c r="AJ1866">
        <v>0</v>
      </c>
      <c r="AK1866">
        <v>0</v>
      </c>
      <c r="AL1866">
        <v>1126.6099999999999</v>
      </c>
      <c r="AM1866">
        <v>0</v>
      </c>
      <c r="AN1866">
        <v>0</v>
      </c>
      <c r="AO1866">
        <v>1693.37</v>
      </c>
      <c r="AP1866">
        <v>0</v>
      </c>
      <c r="AQ1866">
        <v>0</v>
      </c>
      <c r="AR1866">
        <v>1693.37</v>
      </c>
      <c r="AS1866">
        <v>0</v>
      </c>
      <c r="AT1866">
        <v>0</v>
      </c>
      <c r="AU1866">
        <v>908.38</v>
      </c>
      <c r="AV1866">
        <v>0</v>
      </c>
      <c r="AW1866">
        <v>0</v>
      </c>
      <c r="AX1866">
        <v>908.38</v>
      </c>
      <c r="AY1866">
        <v>6223.79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26</v>
      </c>
      <c r="BG1866">
        <v>424.59423099999998</v>
      </c>
      <c r="BH1866">
        <v>0</v>
      </c>
    </row>
    <row r="1867" spans="1:60" x14ac:dyDescent="0.35">
      <c r="A1867" t="s">
        <v>3846</v>
      </c>
      <c r="B1867" t="s">
        <v>3846</v>
      </c>
      <c r="C1867" t="s">
        <v>3856</v>
      </c>
      <c r="D1867" t="s">
        <v>3857</v>
      </c>
      <c r="E1867">
        <v>5135</v>
      </c>
      <c r="F1867">
        <v>4</v>
      </c>
      <c r="G1867">
        <v>1.4545650000000001</v>
      </c>
      <c r="H1867">
        <v>0.3636412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4</v>
      </c>
      <c r="BG1867">
        <v>203390.715</v>
      </c>
      <c r="BH1867">
        <v>0</v>
      </c>
    </row>
    <row r="1868" spans="1:60" x14ac:dyDescent="0.35">
      <c r="A1868" t="s">
        <v>3846</v>
      </c>
      <c r="B1868" t="s">
        <v>3858</v>
      </c>
      <c r="C1868" t="s">
        <v>3859</v>
      </c>
      <c r="D1868" t="s">
        <v>3860</v>
      </c>
      <c r="E1868">
        <v>14875</v>
      </c>
      <c r="F1868">
        <v>43</v>
      </c>
      <c r="G1868">
        <v>32.061999999999998</v>
      </c>
      <c r="H1868">
        <v>0.74562779999999995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4805.29</v>
      </c>
      <c r="AB1868">
        <v>0</v>
      </c>
      <c r="AC1868">
        <v>18186.97</v>
      </c>
      <c r="AD1868">
        <v>0</v>
      </c>
      <c r="AE1868">
        <v>0</v>
      </c>
      <c r="AF1868">
        <v>22992.26</v>
      </c>
      <c r="AG1868">
        <v>2595.0500000000002</v>
      </c>
      <c r="AH1868">
        <v>0</v>
      </c>
      <c r="AI1868">
        <v>5226.38</v>
      </c>
      <c r="AJ1868">
        <v>0</v>
      </c>
      <c r="AK1868">
        <v>0</v>
      </c>
      <c r="AL1868">
        <v>7821.43</v>
      </c>
      <c r="AM1868">
        <v>311.02</v>
      </c>
      <c r="AN1868">
        <v>0</v>
      </c>
      <c r="AO1868">
        <v>6500.85</v>
      </c>
      <c r="AP1868">
        <v>0</v>
      </c>
      <c r="AQ1868">
        <v>0</v>
      </c>
      <c r="AR1868">
        <v>6811.87</v>
      </c>
      <c r="AS1868">
        <v>63.26</v>
      </c>
      <c r="AT1868">
        <v>0</v>
      </c>
      <c r="AU1868">
        <v>914.63</v>
      </c>
      <c r="AV1868">
        <v>0</v>
      </c>
      <c r="AW1868">
        <v>0</v>
      </c>
      <c r="AX1868">
        <v>977.89</v>
      </c>
      <c r="AY1868">
        <v>38603.449999999997</v>
      </c>
      <c r="AZ1868">
        <v>0</v>
      </c>
      <c r="BA1868">
        <v>3</v>
      </c>
      <c r="BB1868">
        <v>30344.888999999999</v>
      </c>
      <c r="BC1868">
        <v>91034.667000000001</v>
      </c>
      <c r="BD1868">
        <v>0</v>
      </c>
      <c r="BE1868">
        <v>3074.623</v>
      </c>
      <c r="BF1868">
        <v>84</v>
      </c>
      <c r="BG1868">
        <v>6009.132619</v>
      </c>
      <c r="BH1868">
        <v>3181.62</v>
      </c>
    </row>
    <row r="1869" spans="1:60" x14ac:dyDescent="0.35">
      <c r="A1869" t="s">
        <v>3846</v>
      </c>
      <c r="B1869" t="s">
        <v>3858</v>
      </c>
      <c r="C1869" t="s">
        <v>3861</v>
      </c>
      <c r="D1869" t="s">
        <v>3862</v>
      </c>
      <c r="E1869">
        <v>2837</v>
      </c>
      <c r="F1869">
        <v>2</v>
      </c>
      <c r="G1869">
        <v>0.92018</v>
      </c>
      <c r="H1869">
        <v>0.46009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</v>
      </c>
      <c r="BB1869">
        <v>318700.41700000002</v>
      </c>
      <c r="BC1869">
        <v>318700.41700000002</v>
      </c>
      <c r="BD1869">
        <v>0</v>
      </c>
      <c r="BE1869">
        <v>0</v>
      </c>
      <c r="BF1869">
        <v>12</v>
      </c>
      <c r="BG1869">
        <v>0</v>
      </c>
      <c r="BH1869">
        <v>0</v>
      </c>
    </row>
    <row r="1870" spans="1:60" x14ac:dyDescent="0.35">
      <c r="A1870" t="s">
        <v>3846</v>
      </c>
      <c r="B1870" t="s">
        <v>3858</v>
      </c>
      <c r="C1870" t="s">
        <v>3863</v>
      </c>
      <c r="D1870" t="s">
        <v>3864</v>
      </c>
      <c r="E1870">
        <v>8815</v>
      </c>
      <c r="F1870">
        <v>10</v>
      </c>
      <c r="G1870">
        <v>12.01146</v>
      </c>
      <c r="H1870">
        <v>1.201146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32</v>
      </c>
      <c r="BG1870">
        <v>17290.857812999999</v>
      </c>
      <c r="BH1870">
        <v>19.797999999999998</v>
      </c>
    </row>
    <row r="1871" spans="1:60" x14ac:dyDescent="0.35">
      <c r="A1871" t="s">
        <v>3846</v>
      </c>
      <c r="B1871" t="s">
        <v>3865</v>
      </c>
      <c r="C1871" t="s">
        <v>3865</v>
      </c>
      <c r="D1871" t="s">
        <v>3866</v>
      </c>
      <c r="E1871">
        <v>27829</v>
      </c>
      <c r="F1871">
        <v>63</v>
      </c>
      <c r="G1871">
        <v>47.710090000000001</v>
      </c>
      <c r="H1871">
        <v>0.75730299999999995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96.43</v>
      </c>
      <c r="AB1871">
        <v>0</v>
      </c>
      <c r="AC1871">
        <v>0</v>
      </c>
      <c r="AD1871">
        <v>0</v>
      </c>
      <c r="AE1871">
        <v>0</v>
      </c>
      <c r="AF1871">
        <v>96.43</v>
      </c>
      <c r="AG1871">
        <v>11437.18</v>
      </c>
      <c r="AH1871">
        <v>0</v>
      </c>
      <c r="AI1871">
        <v>0</v>
      </c>
      <c r="AJ1871">
        <v>0</v>
      </c>
      <c r="AK1871">
        <v>0</v>
      </c>
      <c r="AL1871">
        <v>11437.18</v>
      </c>
      <c r="AM1871">
        <v>64.680000000000007</v>
      </c>
      <c r="AN1871">
        <v>0</v>
      </c>
      <c r="AO1871">
        <v>0</v>
      </c>
      <c r="AP1871">
        <v>0</v>
      </c>
      <c r="AQ1871">
        <v>0</v>
      </c>
      <c r="AR1871">
        <v>64.680000000000007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11598.29</v>
      </c>
      <c r="AZ1871">
        <v>0</v>
      </c>
      <c r="BA1871">
        <v>3</v>
      </c>
      <c r="BB1871">
        <v>295271.72200000001</v>
      </c>
      <c r="BC1871">
        <v>885815.16700000002</v>
      </c>
      <c r="BD1871">
        <v>0</v>
      </c>
      <c r="BE1871">
        <v>4897.5630000000001</v>
      </c>
      <c r="BF1871">
        <v>135</v>
      </c>
      <c r="BG1871">
        <v>7195.8362219999999</v>
      </c>
      <c r="BH1871">
        <v>401.55399999999997</v>
      </c>
    </row>
    <row r="1872" spans="1:60" x14ac:dyDescent="0.35">
      <c r="A1872" t="s">
        <v>3846</v>
      </c>
      <c r="B1872" t="s">
        <v>3865</v>
      </c>
      <c r="C1872" t="s">
        <v>3867</v>
      </c>
      <c r="D1872" t="s">
        <v>3868</v>
      </c>
      <c r="E1872">
        <v>20356</v>
      </c>
      <c r="F1872">
        <v>199</v>
      </c>
      <c r="G1872">
        <v>125.3382</v>
      </c>
      <c r="H1872">
        <v>0.62984030000000002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383.77</v>
      </c>
      <c r="X1872">
        <v>0</v>
      </c>
      <c r="Y1872">
        <v>0</v>
      </c>
      <c r="Z1872">
        <v>383.77</v>
      </c>
      <c r="AA1872">
        <v>0</v>
      </c>
      <c r="AB1872">
        <v>93.68</v>
      </c>
      <c r="AC1872">
        <v>36732.400000000001</v>
      </c>
      <c r="AD1872">
        <v>0</v>
      </c>
      <c r="AE1872">
        <v>0</v>
      </c>
      <c r="AF1872">
        <v>36826.080000000002</v>
      </c>
      <c r="AG1872">
        <v>0</v>
      </c>
      <c r="AH1872">
        <v>239.95</v>
      </c>
      <c r="AI1872">
        <v>10041.719999999999</v>
      </c>
      <c r="AJ1872">
        <v>0</v>
      </c>
      <c r="AK1872">
        <v>0</v>
      </c>
      <c r="AL1872">
        <v>10281.67</v>
      </c>
      <c r="AM1872">
        <v>25.85</v>
      </c>
      <c r="AN1872">
        <v>3328.36</v>
      </c>
      <c r="AO1872">
        <v>7975.67</v>
      </c>
      <c r="AP1872">
        <v>0</v>
      </c>
      <c r="AQ1872">
        <v>0</v>
      </c>
      <c r="AR1872">
        <v>11329.88</v>
      </c>
      <c r="AS1872">
        <v>0</v>
      </c>
      <c r="AT1872">
        <v>0</v>
      </c>
      <c r="AU1872">
        <v>1988.47</v>
      </c>
      <c r="AV1872">
        <v>0</v>
      </c>
      <c r="AW1872">
        <v>0</v>
      </c>
      <c r="AX1872">
        <v>1988.47</v>
      </c>
      <c r="AY1872">
        <v>60809.87</v>
      </c>
      <c r="AZ1872">
        <v>0</v>
      </c>
      <c r="BA1872">
        <v>5</v>
      </c>
      <c r="BB1872">
        <v>36436.44</v>
      </c>
      <c r="BC1872">
        <v>182182.20199999999</v>
      </c>
      <c r="BD1872">
        <v>0</v>
      </c>
      <c r="BE1872">
        <v>499.65899999999999</v>
      </c>
      <c r="BF1872">
        <v>261</v>
      </c>
      <c r="BG1872">
        <v>4640.5969729999997</v>
      </c>
      <c r="BH1872">
        <v>65.313999999999993</v>
      </c>
    </row>
    <row r="1873" spans="1:60" x14ac:dyDescent="0.35">
      <c r="A1873" t="s">
        <v>3846</v>
      </c>
      <c r="B1873" t="s">
        <v>3865</v>
      </c>
      <c r="C1873" t="s">
        <v>3869</v>
      </c>
      <c r="D1873" t="s">
        <v>3870</v>
      </c>
      <c r="E1873">
        <v>5049</v>
      </c>
      <c r="F1873">
        <v>4</v>
      </c>
      <c r="G1873">
        <v>1.1583680000000001</v>
      </c>
      <c r="H1873">
        <v>0.28959200000000002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1486</v>
      </c>
      <c r="AD1873">
        <v>0</v>
      </c>
      <c r="AE1873">
        <v>0</v>
      </c>
      <c r="AF1873">
        <v>1486</v>
      </c>
      <c r="AG1873">
        <v>0</v>
      </c>
      <c r="AH1873">
        <v>0</v>
      </c>
      <c r="AI1873">
        <v>1363.59</v>
      </c>
      <c r="AJ1873">
        <v>0</v>
      </c>
      <c r="AK1873">
        <v>0</v>
      </c>
      <c r="AL1873">
        <v>1363.59</v>
      </c>
      <c r="AM1873">
        <v>0</v>
      </c>
      <c r="AN1873">
        <v>0</v>
      </c>
      <c r="AO1873">
        <v>829.06</v>
      </c>
      <c r="AP1873">
        <v>0</v>
      </c>
      <c r="AQ1873">
        <v>0</v>
      </c>
      <c r="AR1873">
        <v>829.06</v>
      </c>
      <c r="AS1873">
        <v>0</v>
      </c>
      <c r="AT1873">
        <v>0</v>
      </c>
      <c r="AU1873">
        <v>245.29</v>
      </c>
      <c r="AV1873">
        <v>0</v>
      </c>
      <c r="AW1873">
        <v>0</v>
      </c>
      <c r="AX1873">
        <v>245.29</v>
      </c>
      <c r="AY1873">
        <v>3923.94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9</v>
      </c>
      <c r="BG1873">
        <v>611.76666699999998</v>
      </c>
      <c r="BH1873">
        <v>0</v>
      </c>
    </row>
    <row r="1874" spans="1:60" x14ac:dyDescent="0.35">
      <c r="A1874" t="s">
        <v>3846</v>
      </c>
      <c r="B1874" t="s">
        <v>3865</v>
      </c>
      <c r="C1874" t="s">
        <v>3871</v>
      </c>
      <c r="D1874" t="s">
        <v>3872</v>
      </c>
      <c r="E1874">
        <v>7566</v>
      </c>
      <c r="F1874">
        <v>1</v>
      </c>
      <c r="G1874">
        <v>0.185</v>
      </c>
      <c r="H1874">
        <v>0.185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10</v>
      </c>
      <c r="BG1874">
        <v>2770.89</v>
      </c>
      <c r="BH1874">
        <v>0</v>
      </c>
    </row>
    <row r="1875" spans="1:60" x14ac:dyDescent="0.35">
      <c r="A1875" t="s">
        <v>3118</v>
      </c>
      <c r="B1875" t="s">
        <v>3873</v>
      </c>
      <c r="C1875" t="s">
        <v>3874</v>
      </c>
      <c r="D1875" t="s">
        <v>3875</v>
      </c>
      <c r="E1875">
        <v>183046</v>
      </c>
      <c r="F1875">
        <v>1411</v>
      </c>
      <c r="G1875">
        <v>1130.768</v>
      </c>
      <c r="H1875">
        <v>0.80139450000000001</v>
      </c>
      <c r="I1875">
        <v>698.31</v>
      </c>
      <c r="J1875">
        <v>0</v>
      </c>
      <c r="K1875">
        <v>0</v>
      </c>
      <c r="L1875">
        <v>0</v>
      </c>
      <c r="M1875">
        <v>0</v>
      </c>
      <c r="N1875">
        <v>698.31</v>
      </c>
      <c r="O1875">
        <v>13126.07</v>
      </c>
      <c r="P1875">
        <v>0</v>
      </c>
      <c r="Q1875">
        <v>18468.25</v>
      </c>
      <c r="R1875">
        <v>0</v>
      </c>
      <c r="S1875">
        <v>0</v>
      </c>
      <c r="T1875">
        <v>31594.32</v>
      </c>
      <c r="U1875">
        <v>84297.47</v>
      </c>
      <c r="V1875">
        <v>69.459999999999994</v>
      </c>
      <c r="W1875">
        <v>9781.65</v>
      </c>
      <c r="X1875">
        <v>0</v>
      </c>
      <c r="Y1875">
        <v>0</v>
      </c>
      <c r="Z1875">
        <v>94148.58</v>
      </c>
      <c r="AA1875">
        <v>610893.44999999995</v>
      </c>
      <c r="AB1875">
        <v>25227.78</v>
      </c>
      <c r="AC1875">
        <v>102911.6</v>
      </c>
      <c r="AD1875">
        <v>0</v>
      </c>
      <c r="AE1875">
        <v>0</v>
      </c>
      <c r="AF1875">
        <v>739032.83</v>
      </c>
      <c r="AG1875">
        <v>59889.85</v>
      </c>
      <c r="AH1875">
        <v>20832.63</v>
      </c>
      <c r="AI1875">
        <v>20328.080000000002</v>
      </c>
      <c r="AJ1875">
        <v>0</v>
      </c>
      <c r="AK1875">
        <v>0</v>
      </c>
      <c r="AL1875">
        <v>101050.56</v>
      </c>
      <c r="AM1875">
        <v>471749.55</v>
      </c>
      <c r="AN1875">
        <v>36362.65</v>
      </c>
      <c r="AO1875">
        <v>66613.2</v>
      </c>
      <c r="AP1875">
        <v>0</v>
      </c>
      <c r="AQ1875">
        <v>0</v>
      </c>
      <c r="AR1875">
        <v>574725.4</v>
      </c>
      <c r="AS1875">
        <v>115853.46</v>
      </c>
      <c r="AT1875">
        <v>0</v>
      </c>
      <c r="AU1875">
        <v>4093.93</v>
      </c>
      <c r="AV1875">
        <v>0</v>
      </c>
      <c r="AW1875">
        <v>0</v>
      </c>
      <c r="AX1875">
        <v>119947.39</v>
      </c>
      <c r="AY1875">
        <v>1661197.39</v>
      </c>
      <c r="AZ1875">
        <v>1</v>
      </c>
      <c r="BA1875">
        <v>316</v>
      </c>
      <c r="BB1875">
        <v>50792.902999999998</v>
      </c>
      <c r="BC1875">
        <v>16050557.318</v>
      </c>
      <c r="BD1875">
        <v>9696.5963609999999</v>
      </c>
      <c r="BE1875">
        <v>2379.625</v>
      </c>
      <c r="BF1875">
        <v>1646</v>
      </c>
      <c r="BG1875">
        <v>6445.7611239999997</v>
      </c>
      <c r="BH1875">
        <v>1608.798</v>
      </c>
    </row>
    <row r="1876" spans="1:60" x14ac:dyDescent="0.35">
      <c r="A1876" t="s">
        <v>3118</v>
      </c>
      <c r="B1876" t="s">
        <v>3873</v>
      </c>
      <c r="C1876" t="s">
        <v>3876</v>
      </c>
      <c r="D1876" t="s">
        <v>3877</v>
      </c>
      <c r="E1876">
        <v>21533</v>
      </c>
      <c r="F1876">
        <v>23</v>
      </c>
      <c r="G1876">
        <v>25.223230000000001</v>
      </c>
      <c r="H1876">
        <v>1.096662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13450.88</v>
      </c>
      <c r="AC1876">
        <v>13578.81</v>
      </c>
      <c r="AD1876">
        <v>0</v>
      </c>
      <c r="AE1876">
        <v>0</v>
      </c>
      <c r="AF1876">
        <v>27029.69</v>
      </c>
      <c r="AG1876">
        <v>0</v>
      </c>
      <c r="AH1876">
        <v>6646.98</v>
      </c>
      <c r="AI1876">
        <v>2202.5300000000002</v>
      </c>
      <c r="AJ1876">
        <v>0</v>
      </c>
      <c r="AK1876">
        <v>0</v>
      </c>
      <c r="AL1876">
        <v>8849.51</v>
      </c>
      <c r="AM1876">
        <v>0</v>
      </c>
      <c r="AN1876">
        <v>927.19</v>
      </c>
      <c r="AO1876">
        <v>1020.62</v>
      </c>
      <c r="AP1876">
        <v>0</v>
      </c>
      <c r="AQ1876">
        <v>0</v>
      </c>
      <c r="AR1876">
        <v>1947.81</v>
      </c>
      <c r="AS1876">
        <v>0</v>
      </c>
      <c r="AT1876">
        <v>0</v>
      </c>
      <c r="AU1876">
        <v>313</v>
      </c>
      <c r="AV1876">
        <v>0</v>
      </c>
      <c r="AW1876">
        <v>0</v>
      </c>
      <c r="AX1876">
        <v>313</v>
      </c>
      <c r="AY1876">
        <v>38140.01</v>
      </c>
      <c r="AZ1876">
        <v>0</v>
      </c>
      <c r="BA1876">
        <v>1</v>
      </c>
      <c r="BB1876">
        <v>18678</v>
      </c>
      <c r="BC1876">
        <v>18678</v>
      </c>
      <c r="BD1876">
        <v>18794</v>
      </c>
      <c r="BE1876">
        <v>0</v>
      </c>
      <c r="BF1876">
        <v>120</v>
      </c>
      <c r="BG1876">
        <v>1395.07025</v>
      </c>
      <c r="BH1876">
        <v>1755.0219999999999</v>
      </c>
    </row>
    <row r="1877" spans="1:60" x14ac:dyDescent="0.35">
      <c r="A1877" t="s">
        <v>3118</v>
      </c>
      <c r="B1877" t="s">
        <v>3873</v>
      </c>
      <c r="C1877" t="s">
        <v>3878</v>
      </c>
      <c r="D1877" t="s">
        <v>3879</v>
      </c>
      <c r="E1877">
        <v>12842</v>
      </c>
      <c r="F1877">
        <v>3</v>
      </c>
      <c r="G1877">
        <v>2.9585330000000001</v>
      </c>
      <c r="H1877">
        <v>0.98617770000000005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2</v>
      </c>
      <c r="BG1877">
        <v>0</v>
      </c>
      <c r="BH1877">
        <v>0</v>
      </c>
    </row>
    <row r="1878" spans="1:60" x14ac:dyDescent="0.35">
      <c r="A1878" t="s">
        <v>3118</v>
      </c>
      <c r="B1878" t="s">
        <v>3873</v>
      </c>
      <c r="C1878" t="s">
        <v>3880</v>
      </c>
      <c r="D1878" t="s">
        <v>3881</v>
      </c>
      <c r="E1878">
        <v>12095</v>
      </c>
      <c r="F1878">
        <v>2</v>
      </c>
      <c r="G1878">
        <v>1.636887</v>
      </c>
      <c r="H1878">
        <v>0.81844349999999999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6</v>
      </c>
      <c r="BG1878">
        <v>7789.0833329999996</v>
      </c>
      <c r="BH1878">
        <v>0</v>
      </c>
    </row>
    <row r="1879" spans="1:60" x14ac:dyDescent="0.35">
      <c r="A1879" t="s">
        <v>3118</v>
      </c>
      <c r="B1879" t="s">
        <v>3873</v>
      </c>
      <c r="C1879" t="s">
        <v>3882</v>
      </c>
      <c r="D1879" t="s">
        <v>3883</v>
      </c>
      <c r="E1879">
        <v>129092</v>
      </c>
      <c r="F1879">
        <v>251</v>
      </c>
      <c r="G1879">
        <v>261.17410000000001</v>
      </c>
      <c r="H1879">
        <v>1.0405340000000001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300</v>
      </c>
      <c r="P1879">
        <v>0</v>
      </c>
      <c r="Q1879">
        <v>0</v>
      </c>
      <c r="R1879">
        <v>0</v>
      </c>
      <c r="S1879">
        <v>0</v>
      </c>
      <c r="T1879">
        <v>300</v>
      </c>
      <c r="U1879">
        <v>15723.58</v>
      </c>
      <c r="V1879">
        <v>0</v>
      </c>
      <c r="W1879">
        <v>0</v>
      </c>
      <c r="X1879">
        <v>0</v>
      </c>
      <c r="Y1879">
        <v>0</v>
      </c>
      <c r="Z1879">
        <v>15723.58</v>
      </c>
      <c r="AA1879">
        <v>40285.9</v>
      </c>
      <c r="AB1879">
        <v>0</v>
      </c>
      <c r="AC1879">
        <v>7186.48</v>
      </c>
      <c r="AD1879">
        <v>0</v>
      </c>
      <c r="AE1879">
        <v>0</v>
      </c>
      <c r="AF1879">
        <v>47472.38</v>
      </c>
      <c r="AG1879">
        <v>40.03</v>
      </c>
      <c r="AH1879">
        <v>0</v>
      </c>
      <c r="AI1879">
        <v>2532.38</v>
      </c>
      <c r="AJ1879">
        <v>0</v>
      </c>
      <c r="AK1879">
        <v>0</v>
      </c>
      <c r="AL1879">
        <v>2572.41</v>
      </c>
      <c r="AM1879">
        <v>35263.74</v>
      </c>
      <c r="AN1879">
        <v>17495.11</v>
      </c>
      <c r="AO1879">
        <v>1162.33</v>
      </c>
      <c r="AP1879">
        <v>0</v>
      </c>
      <c r="AQ1879">
        <v>0</v>
      </c>
      <c r="AR1879">
        <v>53921.18</v>
      </c>
      <c r="AS1879">
        <v>5640.3</v>
      </c>
      <c r="AT1879">
        <v>0</v>
      </c>
      <c r="AU1879">
        <v>49.8</v>
      </c>
      <c r="AV1879">
        <v>0</v>
      </c>
      <c r="AW1879">
        <v>0</v>
      </c>
      <c r="AX1879">
        <v>5690.1</v>
      </c>
      <c r="AY1879">
        <v>125679.65</v>
      </c>
      <c r="AZ1879">
        <v>1</v>
      </c>
      <c r="BA1879">
        <v>106</v>
      </c>
      <c r="BB1879">
        <v>45075.915000000001</v>
      </c>
      <c r="BC1879">
        <v>4778047.0130000003</v>
      </c>
      <c r="BD1879">
        <v>6713.5730190000004</v>
      </c>
      <c r="BE1879">
        <v>1731.347</v>
      </c>
      <c r="BF1879">
        <v>574</v>
      </c>
      <c r="BG1879">
        <v>7381.901777</v>
      </c>
      <c r="BH1879">
        <v>40803.17</v>
      </c>
    </row>
    <row r="1880" spans="1:60" x14ac:dyDescent="0.35">
      <c r="A1880" t="s">
        <v>3118</v>
      </c>
      <c r="B1880" t="s">
        <v>3873</v>
      </c>
      <c r="C1880" t="s">
        <v>3884</v>
      </c>
      <c r="D1880" t="s">
        <v>3885</v>
      </c>
      <c r="E1880">
        <v>5937</v>
      </c>
      <c r="F1880" t="s">
        <v>81</v>
      </c>
      <c r="G1880" t="s">
        <v>81</v>
      </c>
      <c r="H1880" t="s">
        <v>81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14</v>
      </c>
      <c r="BG1880">
        <v>3391.172857</v>
      </c>
      <c r="BH1880">
        <v>0</v>
      </c>
    </row>
    <row r="1881" spans="1:60" x14ac:dyDescent="0.35">
      <c r="A1881" t="s">
        <v>3118</v>
      </c>
      <c r="B1881" t="s">
        <v>3873</v>
      </c>
      <c r="C1881" t="s">
        <v>3886</v>
      </c>
      <c r="D1881" t="s">
        <v>3887</v>
      </c>
      <c r="E1881">
        <v>119146</v>
      </c>
      <c r="F1881">
        <v>211</v>
      </c>
      <c r="G1881">
        <v>174.74340000000001</v>
      </c>
      <c r="H1881">
        <v>0.82816769999999995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7202.78</v>
      </c>
      <c r="AD1881">
        <v>0</v>
      </c>
      <c r="AE1881">
        <v>0</v>
      </c>
      <c r="AF1881">
        <v>7202.78</v>
      </c>
      <c r="AG1881">
        <v>0</v>
      </c>
      <c r="AH1881">
        <v>0</v>
      </c>
      <c r="AI1881">
        <v>1760.91</v>
      </c>
      <c r="AJ1881">
        <v>0</v>
      </c>
      <c r="AK1881">
        <v>0</v>
      </c>
      <c r="AL1881">
        <v>1760.91</v>
      </c>
      <c r="AM1881">
        <v>0</v>
      </c>
      <c r="AN1881">
        <v>0</v>
      </c>
      <c r="AO1881">
        <v>1304.77</v>
      </c>
      <c r="AP1881">
        <v>0</v>
      </c>
      <c r="AQ1881">
        <v>0</v>
      </c>
      <c r="AR1881">
        <v>1304.77</v>
      </c>
      <c r="AS1881">
        <v>0</v>
      </c>
      <c r="AT1881">
        <v>0</v>
      </c>
      <c r="AU1881">
        <v>571.12</v>
      </c>
      <c r="AV1881">
        <v>0</v>
      </c>
      <c r="AW1881">
        <v>0</v>
      </c>
      <c r="AX1881">
        <v>571.12</v>
      </c>
      <c r="AY1881">
        <v>10839.58</v>
      </c>
      <c r="AZ1881">
        <v>1</v>
      </c>
      <c r="BA1881">
        <v>64</v>
      </c>
      <c r="BB1881">
        <v>40536.553999999996</v>
      </c>
      <c r="BC1881">
        <v>2594339.4369999999</v>
      </c>
      <c r="BD1881">
        <v>7242.0503129999997</v>
      </c>
      <c r="BE1881">
        <v>689.47199999999998</v>
      </c>
      <c r="BF1881">
        <v>370</v>
      </c>
      <c r="BG1881">
        <v>6969.3304319999997</v>
      </c>
      <c r="BH1881">
        <v>502.589</v>
      </c>
    </row>
    <row r="1882" spans="1:60" x14ac:dyDescent="0.35">
      <c r="A1882" t="s">
        <v>3118</v>
      </c>
      <c r="B1882" t="s">
        <v>3888</v>
      </c>
      <c r="C1882" t="s">
        <v>3889</v>
      </c>
      <c r="D1882" t="s">
        <v>3890</v>
      </c>
      <c r="E1882">
        <v>43398</v>
      </c>
      <c r="F1882">
        <v>78</v>
      </c>
      <c r="G1882">
        <v>48.952379999999998</v>
      </c>
      <c r="H1882">
        <v>0.6275946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42.57</v>
      </c>
      <c r="X1882">
        <v>85.37</v>
      </c>
      <c r="Y1882">
        <v>0</v>
      </c>
      <c r="Z1882">
        <v>127.94</v>
      </c>
      <c r="AA1882">
        <v>0</v>
      </c>
      <c r="AB1882">
        <v>8120.93</v>
      </c>
      <c r="AC1882">
        <v>38894.78</v>
      </c>
      <c r="AD1882">
        <v>7534.82</v>
      </c>
      <c r="AE1882">
        <v>0</v>
      </c>
      <c r="AF1882">
        <v>54550.53</v>
      </c>
      <c r="AG1882">
        <v>0</v>
      </c>
      <c r="AH1882">
        <v>1432.3</v>
      </c>
      <c r="AI1882">
        <v>4569.3900000000003</v>
      </c>
      <c r="AJ1882">
        <v>1231.96</v>
      </c>
      <c r="AK1882">
        <v>0</v>
      </c>
      <c r="AL1882">
        <v>7233.65</v>
      </c>
      <c r="AM1882">
        <v>0</v>
      </c>
      <c r="AN1882">
        <v>2634.57</v>
      </c>
      <c r="AO1882">
        <v>8184.58</v>
      </c>
      <c r="AP1882">
        <v>1437.72</v>
      </c>
      <c r="AQ1882">
        <v>0</v>
      </c>
      <c r="AR1882">
        <v>12256.87</v>
      </c>
      <c r="AS1882">
        <v>0</v>
      </c>
      <c r="AT1882">
        <v>0</v>
      </c>
      <c r="AU1882">
        <v>772.5</v>
      </c>
      <c r="AV1882">
        <v>0</v>
      </c>
      <c r="AW1882">
        <v>0</v>
      </c>
      <c r="AX1882">
        <v>772.5</v>
      </c>
      <c r="AY1882">
        <v>74941.490000000005</v>
      </c>
      <c r="AZ1882">
        <v>0</v>
      </c>
      <c r="BA1882">
        <v>3</v>
      </c>
      <c r="BB1882">
        <v>144007.77799999999</v>
      </c>
      <c r="BC1882">
        <v>432023.33399999997</v>
      </c>
      <c r="BD1882">
        <v>0</v>
      </c>
      <c r="BE1882">
        <v>0</v>
      </c>
      <c r="BF1882">
        <v>268</v>
      </c>
      <c r="BG1882">
        <v>4910.8043660000003</v>
      </c>
      <c r="BH1882">
        <v>108.42400000000001</v>
      </c>
    </row>
    <row r="1883" spans="1:60" x14ac:dyDescent="0.35">
      <c r="A1883" t="s">
        <v>3118</v>
      </c>
      <c r="B1883" t="s">
        <v>3888</v>
      </c>
      <c r="C1883" t="s">
        <v>3891</v>
      </c>
      <c r="D1883" t="s">
        <v>3892</v>
      </c>
      <c r="E1883">
        <v>8742</v>
      </c>
      <c r="F1883">
        <v>1</v>
      </c>
      <c r="G1883">
        <v>0.33750000000000002</v>
      </c>
      <c r="H1883">
        <v>0.33750000000000002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31</v>
      </c>
      <c r="BG1883">
        <v>1952.619355</v>
      </c>
      <c r="BH1883">
        <v>0</v>
      </c>
    </row>
    <row r="1884" spans="1:60" x14ac:dyDescent="0.35">
      <c r="A1884" t="s">
        <v>3118</v>
      </c>
      <c r="B1884" t="s">
        <v>3888</v>
      </c>
      <c r="C1884" t="s">
        <v>3893</v>
      </c>
      <c r="D1884" t="s">
        <v>3894</v>
      </c>
      <c r="E1884">
        <v>11648</v>
      </c>
      <c r="F1884">
        <v>1</v>
      </c>
      <c r="G1884">
        <v>2.3677489999999999</v>
      </c>
      <c r="H1884">
        <v>2.3677489999999999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9</v>
      </c>
      <c r="BG1884">
        <v>1.611111</v>
      </c>
      <c r="BH1884">
        <v>0</v>
      </c>
    </row>
    <row r="1885" spans="1:60" x14ac:dyDescent="0.35">
      <c r="A1885" t="s">
        <v>3118</v>
      </c>
      <c r="B1885" t="s">
        <v>3888</v>
      </c>
      <c r="C1885" t="s">
        <v>3895</v>
      </c>
      <c r="D1885" t="s">
        <v>3896</v>
      </c>
      <c r="E1885">
        <v>2684</v>
      </c>
      <c r="F1885">
        <v>3</v>
      </c>
      <c r="G1885">
        <v>1.93</v>
      </c>
      <c r="H1885">
        <v>0.6433333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1</v>
      </c>
      <c r="BG1885">
        <v>0</v>
      </c>
      <c r="BH1885">
        <v>0</v>
      </c>
    </row>
    <row r="1886" spans="1:60" x14ac:dyDescent="0.35">
      <c r="A1886" t="s">
        <v>3118</v>
      </c>
      <c r="B1886" t="s">
        <v>3897</v>
      </c>
      <c r="C1886" t="s">
        <v>3897</v>
      </c>
      <c r="D1886" t="s">
        <v>3898</v>
      </c>
      <c r="E1886">
        <v>31818</v>
      </c>
      <c r="F1886">
        <v>68</v>
      </c>
      <c r="G1886">
        <v>59.366549999999997</v>
      </c>
      <c r="H1886">
        <v>0.87303750000000002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90</v>
      </c>
      <c r="X1886">
        <v>0</v>
      </c>
      <c r="Y1886">
        <v>0</v>
      </c>
      <c r="Z1886">
        <v>90</v>
      </c>
      <c r="AA1886">
        <v>12596.98</v>
      </c>
      <c r="AB1886">
        <v>13005.6</v>
      </c>
      <c r="AC1886">
        <v>80034.14</v>
      </c>
      <c r="AD1886">
        <v>0</v>
      </c>
      <c r="AE1886">
        <v>0</v>
      </c>
      <c r="AF1886">
        <v>105636.72</v>
      </c>
      <c r="AG1886">
        <v>1401.12</v>
      </c>
      <c r="AH1886">
        <v>5348.28</v>
      </c>
      <c r="AI1886">
        <v>16271.93</v>
      </c>
      <c r="AJ1886">
        <v>0</v>
      </c>
      <c r="AK1886">
        <v>0</v>
      </c>
      <c r="AL1886">
        <v>23021.33</v>
      </c>
      <c r="AM1886">
        <v>329.97</v>
      </c>
      <c r="AN1886">
        <v>2417.5100000000002</v>
      </c>
      <c r="AO1886">
        <v>17318.28</v>
      </c>
      <c r="AP1886">
        <v>0</v>
      </c>
      <c r="AQ1886">
        <v>0</v>
      </c>
      <c r="AR1886">
        <v>20065.759999999998</v>
      </c>
      <c r="AS1886">
        <v>351.56</v>
      </c>
      <c r="AT1886">
        <v>0</v>
      </c>
      <c r="AU1886">
        <v>1462.41</v>
      </c>
      <c r="AV1886">
        <v>0</v>
      </c>
      <c r="AW1886">
        <v>0</v>
      </c>
      <c r="AX1886">
        <v>1813.97</v>
      </c>
      <c r="AY1886">
        <v>150627.78</v>
      </c>
      <c r="AZ1886">
        <v>0</v>
      </c>
      <c r="BA1886">
        <v>4</v>
      </c>
      <c r="BB1886">
        <v>77756.187999999995</v>
      </c>
      <c r="BC1886">
        <v>311024.75099999999</v>
      </c>
      <c r="BD1886">
        <v>0</v>
      </c>
      <c r="BE1886">
        <v>705.83900000000006</v>
      </c>
      <c r="BF1886">
        <v>316</v>
      </c>
      <c r="BG1886">
        <v>1805.366487</v>
      </c>
      <c r="BH1886">
        <v>230.45400000000001</v>
      </c>
    </row>
    <row r="1887" spans="1:60" x14ac:dyDescent="0.35">
      <c r="A1887" t="s">
        <v>3118</v>
      </c>
      <c r="B1887" t="s">
        <v>3897</v>
      </c>
      <c r="C1887" t="s">
        <v>3899</v>
      </c>
      <c r="D1887" t="s">
        <v>3900</v>
      </c>
      <c r="E1887">
        <v>13480</v>
      </c>
      <c r="F1887">
        <v>7</v>
      </c>
      <c r="G1887">
        <v>14.582929999999999</v>
      </c>
      <c r="H1887">
        <v>2.0832760000000001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3042.78</v>
      </c>
      <c r="AD1887">
        <v>0</v>
      </c>
      <c r="AE1887">
        <v>0</v>
      </c>
      <c r="AF1887">
        <v>3042.78</v>
      </c>
      <c r="AG1887">
        <v>0</v>
      </c>
      <c r="AH1887">
        <v>0</v>
      </c>
      <c r="AI1887">
        <v>845.98</v>
      </c>
      <c r="AJ1887">
        <v>0</v>
      </c>
      <c r="AK1887">
        <v>0</v>
      </c>
      <c r="AL1887">
        <v>845.98</v>
      </c>
      <c r="AM1887">
        <v>0</v>
      </c>
      <c r="AN1887">
        <v>0</v>
      </c>
      <c r="AO1887">
        <v>246.42</v>
      </c>
      <c r="AP1887">
        <v>0</v>
      </c>
      <c r="AQ1887">
        <v>0</v>
      </c>
      <c r="AR1887">
        <v>246.42</v>
      </c>
      <c r="AS1887">
        <v>0</v>
      </c>
      <c r="AT1887">
        <v>0</v>
      </c>
      <c r="AU1887">
        <v>178.84</v>
      </c>
      <c r="AV1887">
        <v>0</v>
      </c>
      <c r="AW1887">
        <v>0</v>
      </c>
      <c r="AX1887">
        <v>178.84</v>
      </c>
      <c r="AY1887">
        <v>4314.0200000000004</v>
      </c>
      <c r="AZ1887">
        <v>0</v>
      </c>
      <c r="BA1887">
        <v>2</v>
      </c>
      <c r="BB1887">
        <v>6427.5</v>
      </c>
      <c r="BC1887">
        <v>12855</v>
      </c>
      <c r="BD1887">
        <v>723.8</v>
      </c>
      <c r="BE1887">
        <v>222.58799999999999</v>
      </c>
      <c r="BF1887">
        <v>105</v>
      </c>
      <c r="BG1887">
        <v>1368.272381</v>
      </c>
      <c r="BH1887">
        <v>0</v>
      </c>
    </row>
    <row r="1888" spans="1:60" x14ac:dyDescent="0.35">
      <c r="A1888" t="s">
        <v>3118</v>
      </c>
      <c r="B1888" t="s">
        <v>3897</v>
      </c>
      <c r="C1888" t="s">
        <v>3901</v>
      </c>
      <c r="D1888" t="s">
        <v>3902</v>
      </c>
      <c r="E1888">
        <v>11647</v>
      </c>
      <c r="F1888">
        <v>8</v>
      </c>
      <c r="G1888">
        <v>5.8879999999999999</v>
      </c>
      <c r="H1888">
        <v>0.73599999999999999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2</v>
      </c>
      <c r="BB1888">
        <v>58098.792000000001</v>
      </c>
      <c r="BC1888">
        <v>116197.583</v>
      </c>
      <c r="BD1888">
        <v>0</v>
      </c>
      <c r="BE1888">
        <v>0</v>
      </c>
      <c r="BF1888">
        <v>59</v>
      </c>
      <c r="BG1888">
        <v>1393.2128809999999</v>
      </c>
      <c r="BH1888">
        <v>14.157</v>
      </c>
    </row>
    <row r="1889" spans="1:60" x14ac:dyDescent="0.35">
      <c r="A1889" t="s">
        <v>3118</v>
      </c>
      <c r="B1889" t="s">
        <v>3897</v>
      </c>
      <c r="C1889" t="s">
        <v>3903</v>
      </c>
      <c r="D1889" t="s">
        <v>3904</v>
      </c>
      <c r="E1889">
        <v>11944</v>
      </c>
      <c r="F1889">
        <v>4</v>
      </c>
      <c r="G1889">
        <v>1.395</v>
      </c>
      <c r="H1889">
        <v>0.34875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4</v>
      </c>
      <c r="BB1889">
        <v>60514</v>
      </c>
      <c r="BC1889">
        <v>242056</v>
      </c>
      <c r="BD1889">
        <v>0</v>
      </c>
      <c r="BE1889">
        <v>0</v>
      </c>
      <c r="BF1889">
        <v>83</v>
      </c>
      <c r="BG1889">
        <v>3568.9602410000002</v>
      </c>
      <c r="BH1889">
        <v>0</v>
      </c>
    </row>
    <row r="1890" spans="1:60" x14ac:dyDescent="0.35">
      <c r="A1890" t="s">
        <v>3118</v>
      </c>
      <c r="B1890" t="s">
        <v>3897</v>
      </c>
      <c r="C1890" t="s">
        <v>3905</v>
      </c>
      <c r="D1890" t="s">
        <v>3906</v>
      </c>
      <c r="E1890">
        <v>6593</v>
      </c>
      <c r="F1890">
        <v>7</v>
      </c>
      <c r="G1890">
        <v>7.22</v>
      </c>
      <c r="H1890">
        <v>1.0314289999999999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26</v>
      </c>
      <c r="BG1890">
        <v>2.6923080000000001</v>
      </c>
      <c r="BH1890">
        <v>377.70800000000003</v>
      </c>
    </row>
    <row r="1891" spans="1:60" x14ac:dyDescent="0.35">
      <c r="A1891" t="s">
        <v>3118</v>
      </c>
      <c r="B1891" t="s">
        <v>3897</v>
      </c>
      <c r="C1891" t="s">
        <v>3907</v>
      </c>
      <c r="D1891" t="s">
        <v>3908</v>
      </c>
      <c r="E1891">
        <v>4779</v>
      </c>
      <c r="F1891">
        <v>2</v>
      </c>
      <c r="G1891">
        <v>0.61</v>
      </c>
      <c r="H1891">
        <v>0.30499999999999999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1</v>
      </c>
      <c r="BG1891">
        <v>0</v>
      </c>
      <c r="BH1891">
        <v>0</v>
      </c>
    </row>
    <row r="1892" spans="1:60" x14ac:dyDescent="0.35">
      <c r="A1892" t="s">
        <v>3118</v>
      </c>
      <c r="B1892" t="s">
        <v>3897</v>
      </c>
      <c r="C1892" t="s">
        <v>3909</v>
      </c>
      <c r="D1892" t="s">
        <v>3910</v>
      </c>
      <c r="E1892">
        <v>5615</v>
      </c>
      <c r="F1892">
        <v>4</v>
      </c>
      <c r="G1892">
        <v>1.7</v>
      </c>
      <c r="H1892">
        <v>0.42499999999999999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 t="s">
        <v>81</v>
      </c>
      <c r="BB1892" t="s">
        <v>81</v>
      </c>
      <c r="BC1892" t="s">
        <v>81</v>
      </c>
      <c r="BD1892" t="s">
        <v>81</v>
      </c>
      <c r="BE1892" t="s">
        <v>81</v>
      </c>
      <c r="BF1892" t="s">
        <v>81</v>
      </c>
      <c r="BG1892" t="s">
        <v>81</v>
      </c>
      <c r="BH1892" t="s">
        <v>81</v>
      </c>
    </row>
    <row r="1893" spans="1:60" x14ac:dyDescent="0.35">
      <c r="A1893" t="s">
        <v>3118</v>
      </c>
      <c r="B1893" t="s">
        <v>3911</v>
      </c>
      <c r="C1893" t="s">
        <v>3912</v>
      </c>
      <c r="D1893" t="s">
        <v>3913</v>
      </c>
      <c r="E1893">
        <v>3240</v>
      </c>
      <c r="F1893">
        <v>3</v>
      </c>
      <c r="G1893">
        <v>0.95</v>
      </c>
      <c r="H1893">
        <v>0.31666670000000002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 t="s">
        <v>81</v>
      </c>
      <c r="BB1893" t="s">
        <v>81</v>
      </c>
      <c r="BC1893" t="s">
        <v>81</v>
      </c>
      <c r="BD1893" t="s">
        <v>81</v>
      </c>
      <c r="BE1893" t="s">
        <v>81</v>
      </c>
      <c r="BF1893" t="s">
        <v>81</v>
      </c>
      <c r="BG1893" t="s">
        <v>81</v>
      </c>
      <c r="BH1893" t="s">
        <v>81</v>
      </c>
    </row>
  </sheetData>
  <autoFilter ref="A1:BH1893" xr:uid="{43851E0E-0E58-468C-842F-67E955FCAFE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04C0-A50B-43B1-8A44-46938D382B23}">
  <sheetPr>
    <tabColor theme="0" tint="-0.14999847407452621"/>
  </sheetPr>
  <dimension ref="B1:AV31"/>
  <sheetViews>
    <sheetView showGridLines="0" topLeftCell="B3" zoomScale="66" zoomScaleNormal="100" workbookViewId="0">
      <selection activeCell="E11" sqref="E11"/>
    </sheetView>
  </sheetViews>
  <sheetFormatPr baseColWidth="10" defaultColWidth="11.453125" defaultRowHeight="14.5" x14ac:dyDescent="0.35"/>
  <cols>
    <col min="1" max="1" width="6.08984375" customWidth="1"/>
    <col min="2" max="2" width="31.453125" style="37" customWidth="1"/>
    <col min="3" max="3" width="24.81640625" style="38" customWidth="1"/>
    <col min="4" max="4" width="15.453125" style="38" customWidth="1"/>
    <col min="5" max="5" width="53" customWidth="1"/>
    <col min="6" max="6" width="48.453125" style="38" customWidth="1"/>
    <col min="7" max="7" width="77.81640625" style="38" customWidth="1"/>
  </cols>
  <sheetData>
    <row r="1" spans="2:7" ht="24.5" customHeight="1" x14ac:dyDescent="0.35"/>
    <row r="2" spans="2:7" x14ac:dyDescent="0.35">
      <c r="B2" s="14" t="s">
        <v>3914</v>
      </c>
      <c r="C2" s="14" t="s">
        <v>3915</v>
      </c>
      <c r="D2" s="14" t="s">
        <v>3916</v>
      </c>
      <c r="E2" s="14" t="s">
        <v>4290</v>
      </c>
      <c r="F2" s="14" t="s">
        <v>3917</v>
      </c>
      <c r="G2" s="14" t="s">
        <v>3918</v>
      </c>
    </row>
    <row r="3" spans="2:7" ht="23" x14ac:dyDescent="0.35">
      <c r="B3" s="51" t="s">
        <v>3919</v>
      </c>
      <c r="C3" s="57" t="s">
        <v>3920</v>
      </c>
      <c r="D3" s="57" t="s">
        <v>3921</v>
      </c>
      <c r="E3" s="57" t="s">
        <v>3924</v>
      </c>
      <c r="F3" s="57" t="s">
        <v>3922</v>
      </c>
      <c r="G3" s="57" t="s">
        <v>3923</v>
      </c>
    </row>
    <row r="4" spans="2:7" ht="23" x14ac:dyDescent="0.35">
      <c r="B4" s="51" t="s">
        <v>3919</v>
      </c>
      <c r="C4" s="57" t="s">
        <v>3920</v>
      </c>
      <c r="D4" s="57" t="s">
        <v>3921</v>
      </c>
      <c r="E4" s="57" t="s">
        <v>3924</v>
      </c>
      <c r="F4" s="57" t="s">
        <v>4270</v>
      </c>
      <c r="G4" s="57" t="s">
        <v>3925</v>
      </c>
    </row>
    <row r="5" spans="2:7" ht="23" x14ac:dyDescent="0.35">
      <c r="B5" s="51" t="s">
        <v>3919</v>
      </c>
      <c r="C5" s="57" t="s">
        <v>3920</v>
      </c>
      <c r="D5" s="57" t="s">
        <v>3921</v>
      </c>
      <c r="E5" s="57" t="s">
        <v>3924</v>
      </c>
      <c r="F5" s="57" t="s">
        <v>4271</v>
      </c>
      <c r="G5" s="57" t="s">
        <v>3926</v>
      </c>
    </row>
    <row r="6" spans="2:7" ht="29.5" customHeight="1" x14ac:dyDescent="0.35">
      <c r="B6" s="51" t="s">
        <v>3919</v>
      </c>
      <c r="C6" s="57" t="s">
        <v>3927</v>
      </c>
      <c r="D6" s="57" t="s">
        <v>3921</v>
      </c>
      <c r="E6" s="57" t="s">
        <v>4255</v>
      </c>
      <c r="F6" s="57" t="s">
        <v>3928</v>
      </c>
      <c r="G6" s="57" t="s">
        <v>3929</v>
      </c>
    </row>
    <row r="7" spans="2:7" ht="23" x14ac:dyDescent="0.35">
      <c r="B7" s="51" t="s">
        <v>3919</v>
      </c>
      <c r="C7" s="57" t="s">
        <v>3927</v>
      </c>
      <c r="D7" s="57" t="s">
        <v>3921</v>
      </c>
      <c r="E7" s="57" t="s">
        <v>4255</v>
      </c>
      <c r="F7" s="57" t="s">
        <v>3930</v>
      </c>
      <c r="G7" s="57" t="s">
        <v>3931</v>
      </c>
    </row>
    <row r="8" spans="2:7" ht="23" x14ac:dyDescent="0.35">
      <c r="B8" s="51" t="s">
        <v>3919</v>
      </c>
      <c r="C8" s="57" t="s">
        <v>3927</v>
      </c>
      <c r="D8" s="57" t="s">
        <v>3921</v>
      </c>
      <c r="E8" s="57" t="s">
        <v>4255</v>
      </c>
      <c r="F8" s="57" t="s">
        <v>3932</v>
      </c>
      <c r="G8" s="57" t="s">
        <v>3933</v>
      </c>
    </row>
    <row r="9" spans="2:7" ht="34.5" x14ac:dyDescent="0.35">
      <c r="B9" s="51" t="s">
        <v>3919</v>
      </c>
      <c r="C9" s="57" t="s">
        <v>3927</v>
      </c>
      <c r="D9" s="57" t="s">
        <v>3921</v>
      </c>
      <c r="E9" s="57" t="s">
        <v>4256</v>
      </c>
      <c r="F9" s="57" t="s">
        <v>3934</v>
      </c>
      <c r="G9" s="57" t="s">
        <v>3935</v>
      </c>
    </row>
    <row r="10" spans="2:7" ht="34.5" x14ac:dyDescent="0.35">
      <c r="B10" s="51" t="s">
        <v>3919</v>
      </c>
      <c r="C10" s="57" t="s">
        <v>3927</v>
      </c>
      <c r="D10" s="57" t="s">
        <v>3921</v>
      </c>
      <c r="E10" s="57" t="s">
        <v>4256</v>
      </c>
      <c r="F10" s="57" t="s">
        <v>3936</v>
      </c>
      <c r="G10" s="57" t="s">
        <v>3937</v>
      </c>
    </row>
    <row r="11" spans="2:7" ht="34.5" x14ac:dyDescent="0.35">
      <c r="B11" s="51" t="s">
        <v>3919</v>
      </c>
      <c r="C11" s="57" t="s">
        <v>3927</v>
      </c>
      <c r="D11" s="57" t="s">
        <v>3921</v>
      </c>
      <c r="E11" s="57" t="s">
        <v>4256</v>
      </c>
      <c r="F11" s="57" t="s">
        <v>3938</v>
      </c>
      <c r="G11" s="57" t="s">
        <v>3939</v>
      </c>
    </row>
    <row r="12" spans="2:7" ht="34.5" x14ac:dyDescent="0.35">
      <c r="B12" s="52" t="s">
        <v>3940</v>
      </c>
      <c r="C12" s="57" t="s">
        <v>3941</v>
      </c>
      <c r="D12" s="57" t="s">
        <v>3942</v>
      </c>
      <c r="E12" s="57" t="s">
        <v>4265</v>
      </c>
      <c r="F12" s="57" t="s">
        <v>3943</v>
      </c>
      <c r="G12" s="57" t="s">
        <v>3944</v>
      </c>
    </row>
    <row r="13" spans="2:7" ht="34.5" x14ac:dyDescent="0.35">
      <c r="B13" s="52" t="s">
        <v>3940</v>
      </c>
      <c r="C13" s="57" t="s">
        <v>3941</v>
      </c>
      <c r="D13" s="57" t="s">
        <v>3942</v>
      </c>
      <c r="E13" s="57" t="s">
        <v>4265</v>
      </c>
      <c r="F13" s="57" t="s">
        <v>3945</v>
      </c>
      <c r="G13" s="57" t="s">
        <v>3946</v>
      </c>
    </row>
    <row r="14" spans="2:7" ht="34.5" x14ac:dyDescent="0.35">
      <c r="B14" s="52" t="s">
        <v>3940</v>
      </c>
      <c r="C14" s="57" t="s">
        <v>4289</v>
      </c>
      <c r="D14" s="57" t="s">
        <v>3921</v>
      </c>
      <c r="E14" s="57" t="s">
        <v>4256</v>
      </c>
      <c r="F14" s="57" t="s">
        <v>3947</v>
      </c>
      <c r="G14" s="57" t="s">
        <v>3948</v>
      </c>
    </row>
    <row r="15" spans="2:7" ht="23" x14ac:dyDescent="0.35">
      <c r="B15" s="53" t="s">
        <v>3949</v>
      </c>
      <c r="C15" s="57" t="s">
        <v>4289</v>
      </c>
      <c r="D15" s="57" t="s">
        <v>3921</v>
      </c>
      <c r="E15" s="57" t="s">
        <v>4257</v>
      </c>
      <c r="F15" s="57" t="s">
        <v>3950</v>
      </c>
      <c r="G15" s="57" t="s">
        <v>3951</v>
      </c>
    </row>
    <row r="16" spans="2:7" ht="23" x14ac:dyDescent="0.35">
      <c r="B16" s="53" t="s">
        <v>3949</v>
      </c>
      <c r="C16" s="57" t="s">
        <v>4289</v>
      </c>
      <c r="D16" s="57" t="s">
        <v>3921</v>
      </c>
      <c r="E16" s="57" t="s">
        <v>4257</v>
      </c>
      <c r="F16" s="57" t="s">
        <v>4267</v>
      </c>
      <c r="G16" s="57" t="s">
        <v>4266</v>
      </c>
    </row>
    <row r="17" spans="2:48" ht="23.5" customHeight="1" x14ac:dyDescent="0.35">
      <c r="B17" s="54" t="s">
        <v>3953</v>
      </c>
      <c r="C17" s="57" t="s">
        <v>4288</v>
      </c>
      <c r="D17" s="57" t="s">
        <v>3921</v>
      </c>
      <c r="E17" s="57" t="s">
        <v>4258</v>
      </c>
      <c r="F17" s="57" t="s">
        <v>3954</v>
      </c>
      <c r="G17" s="57" t="s">
        <v>3955</v>
      </c>
    </row>
    <row r="18" spans="2:48" ht="23" x14ac:dyDescent="0.35">
      <c r="B18" s="54" t="s">
        <v>3953</v>
      </c>
      <c r="C18" s="57" t="s">
        <v>4288</v>
      </c>
      <c r="D18" s="57" t="s">
        <v>3921</v>
      </c>
      <c r="E18" s="57" t="s">
        <v>4259</v>
      </c>
      <c r="F18" s="57" t="s">
        <v>3956</v>
      </c>
      <c r="G18" s="57" t="s">
        <v>3957</v>
      </c>
    </row>
    <row r="19" spans="2:48" ht="23" x14ac:dyDescent="0.35">
      <c r="B19" s="54" t="s">
        <v>3953</v>
      </c>
      <c r="C19" s="57" t="s">
        <v>4288</v>
      </c>
      <c r="D19" s="57" t="s">
        <v>3921</v>
      </c>
      <c r="E19" s="57" t="s">
        <v>4260</v>
      </c>
      <c r="F19" s="57" t="s">
        <v>3958</v>
      </c>
      <c r="G19" s="57" t="s">
        <v>4286</v>
      </c>
    </row>
    <row r="20" spans="2:48" ht="23" x14ac:dyDescent="0.35">
      <c r="B20" s="54" t="s">
        <v>3953</v>
      </c>
      <c r="C20" s="57" t="s">
        <v>4289</v>
      </c>
      <c r="D20" s="57" t="s">
        <v>3921</v>
      </c>
      <c r="E20" s="57" t="s">
        <v>4261</v>
      </c>
      <c r="F20" s="57" t="s">
        <v>3959</v>
      </c>
      <c r="G20" s="57" t="s">
        <v>3960</v>
      </c>
    </row>
    <row r="21" spans="2:48" ht="34.5" x14ac:dyDescent="0.35">
      <c r="B21" s="54" t="s">
        <v>3953</v>
      </c>
      <c r="C21" s="57" t="s">
        <v>4289</v>
      </c>
      <c r="D21" s="57" t="s">
        <v>3921</v>
      </c>
      <c r="E21" s="57" t="s">
        <v>4262</v>
      </c>
      <c r="F21" s="57" t="s">
        <v>3961</v>
      </c>
      <c r="G21" s="57" t="s">
        <v>3962</v>
      </c>
    </row>
    <row r="22" spans="2:48" ht="34.5" x14ac:dyDescent="0.35">
      <c r="B22" s="54" t="s">
        <v>3953</v>
      </c>
      <c r="C22" s="57" t="s">
        <v>4289</v>
      </c>
      <c r="D22" s="57" t="s">
        <v>3921</v>
      </c>
      <c r="E22" s="57" t="s">
        <v>4263</v>
      </c>
      <c r="F22" s="57" t="s">
        <v>3963</v>
      </c>
      <c r="G22" s="57" t="s">
        <v>3964</v>
      </c>
    </row>
    <row r="23" spans="2:48" x14ac:dyDescent="0.35">
      <c r="B23" s="54" t="s">
        <v>3953</v>
      </c>
      <c r="C23" s="57" t="s">
        <v>4288</v>
      </c>
      <c r="D23" s="57" t="s">
        <v>3921</v>
      </c>
      <c r="E23" s="58" t="s">
        <v>4285</v>
      </c>
      <c r="F23" s="57" t="s">
        <v>3965</v>
      </c>
      <c r="G23" s="57" t="s">
        <v>3966</v>
      </c>
    </row>
    <row r="24" spans="2:48" x14ac:dyDescent="0.35">
      <c r="B24" s="54" t="s">
        <v>3953</v>
      </c>
      <c r="C24" s="57" t="s">
        <v>4288</v>
      </c>
      <c r="D24" s="57" t="s">
        <v>3921</v>
      </c>
      <c r="E24" s="58" t="s">
        <v>4285</v>
      </c>
      <c r="F24" s="57" t="s">
        <v>3967</v>
      </c>
      <c r="G24" s="57" t="s">
        <v>3968</v>
      </c>
    </row>
    <row r="25" spans="2:48" x14ac:dyDescent="0.35">
      <c r="B25" s="54" t="s">
        <v>3953</v>
      </c>
      <c r="C25" s="57" t="s">
        <v>4288</v>
      </c>
      <c r="D25" s="57" t="s">
        <v>3921</v>
      </c>
      <c r="E25" s="58" t="s">
        <v>4285</v>
      </c>
      <c r="F25" s="57" t="s">
        <v>3969</v>
      </c>
      <c r="G25" s="57" t="s">
        <v>3970</v>
      </c>
    </row>
    <row r="27" spans="2:48" x14ac:dyDescent="0.35">
      <c r="G27" s="48"/>
    </row>
    <row r="28" spans="2:48" x14ac:dyDescent="0.35">
      <c r="G28" s="48"/>
    </row>
    <row r="29" spans="2:48" x14ac:dyDescent="0.35">
      <c r="G29" s="48"/>
    </row>
    <row r="30" spans="2:48" x14ac:dyDescent="0.35">
      <c r="E30" s="50"/>
      <c r="G30" s="48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</row>
    <row r="31" spans="2:48" x14ac:dyDescent="0.35">
      <c r="E31" s="50"/>
      <c r="G31" s="48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BF3F-6259-F241-9BEF-49F3252D54CB}">
  <dimension ref="B2:D10"/>
  <sheetViews>
    <sheetView showGridLines="0" zoomScale="110" workbookViewId="0">
      <selection activeCell="B4" sqref="B4"/>
    </sheetView>
  </sheetViews>
  <sheetFormatPr baseColWidth="10" defaultRowHeight="14.5" x14ac:dyDescent="0.35"/>
  <cols>
    <col min="1" max="1" width="8.36328125" customWidth="1"/>
    <col min="2" max="2" width="45.81640625" customWidth="1"/>
    <col min="3" max="3" width="35.08984375" customWidth="1"/>
    <col min="4" max="4" width="46.6328125" bestFit="1" customWidth="1"/>
  </cols>
  <sheetData>
    <row r="2" spans="2:4" x14ac:dyDescent="0.35">
      <c r="B2" s="14" t="s">
        <v>4278</v>
      </c>
      <c r="C2" s="15" t="s">
        <v>4279</v>
      </c>
      <c r="D2" s="15" t="s">
        <v>4280</v>
      </c>
    </row>
    <row r="3" spans="2:4" x14ac:dyDescent="0.35">
      <c r="B3" s="56" t="s">
        <v>3924</v>
      </c>
      <c r="C3" s="55" t="s">
        <v>4281</v>
      </c>
      <c r="D3" s="55" t="s">
        <v>4282</v>
      </c>
    </row>
    <row r="4" spans="2:4" x14ac:dyDescent="0.35">
      <c r="B4" s="18" t="s">
        <v>4268</v>
      </c>
      <c r="C4" s="13" t="s">
        <v>4281</v>
      </c>
      <c r="D4" s="13" t="s">
        <v>4287</v>
      </c>
    </row>
    <row r="5" spans="2:4" x14ac:dyDescent="0.35">
      <c r="B5" s="18" t="s">
        <v>4284</v>
      </c>
      <c r="C5" s="13" t="s">
        <v>4281</v>
      </c>
      <c r="D5" s="13" t="s">
        <v>4283</v>
      </c>
    </row>
    <row r="6" spans="2:4" x14ac:dyDescent="0.35">
      <c r="B6" s="18" t="s">
        <v>4269</v>
      </c>
      <c r="C6" s="13" t="s">
        <v>4281</v>
      </c>
      <c r="D6" s="13" t="s">
        <v>4283</v>
      </c>
    </row>
    <row r="7" spans="2:4" x14ac:dyDescent="0.35">
      <c r="B7" s="18" t="s">
        <v>4274</v>
      </c>
      <c r="C7" s="13" t="s">
        <v>4281</v>
      </c>
      <c r="D7" s="13" t="s">
        <v>4283</v>
      </c>
    </row>
    <row r="8" spans="2:4" x14ac:dyDescent="0.35">
      <c r="B8" s="18" t="s">
        <v>4275</v>
      </c>
      <c r="C8" s="13" t="s">
        <v>4281</v>
      </c>
      <c r="D8" s="13" t="s">
        <v>4287</v>
      </c>
    </row>
    <row r="9" spans="2:4" x14ac:dyDescent="0.35">
      <c r="B9" s="18" t="s">
        <v>4276</v>
      </c>
      <c r="C9" s="13" t="s">
        <v>4281</v>
      </c>
      <c r="D9" s="13" t="s">
        <v>4287</v>
      </c>
    </row>
    <row r="10" spans="2:4" x14ac:dyDescent="0.35">
      <c r="B10" s="18" t="s">
        <v>4277</v>
      </c>
      <c r="C10" s="13" t="s">
        <v>4281</v>
      </c>
      <c r="D10" s="13" t="s">
        <v>4287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A0F8-D547-4EE2-9A3E-1B5171058F6C}">
  <sheetPr>
    <tabColor theme="3" tint="0.89999084444715716"/>
  </sheetPr>
  <dimension ref="A1:CX170"/>
  <sheetViews>
    <sheetView topLeftCell="O1" zoomScale="89" zoomScaleNormal="60" workbookViewId="0">
      <pane ySplit="1" topLeftCell="A2" activePane="bottomLeft" state="frozen"/>
      <selection activeCell="AA1" sqref="AA1"/>
      <selection pane="bottomLeft" activeCell="S1" sqref="S1"/>
    </sheetView>
  </sheetViews>
  <sheetFormatPr baseColWidth="10" defaultColWidth="11.453125" defaultRowHeight="14.5" x14ac:dyDescent="0.35"/>
  <cols>
    <col min="1" max="1" width="15.08984375" bestFit="1" customWidth="1"/>
    <col min="2" max="2" width="19.36328125" bestFit="1" customWidth="1"/>
    <col min="3" max="3" width="38.6328125" bestFit="1" customWidth="1"/>
    <col min="4" max="4" width="9.08984375" bestFit="1" customWidth="1"/>
    <col min="5" max="6" width="23" bestFit="1" customWidth="1"/>
    <col min="7" max="7" width="24.81640625" bestFit="1" customWidth="1"/>
    <col min="8" max="8" width="13" bestFit="1" customWidth="1"/>
    <col min="9" max="10" width="16.08984375" bestFit="1" customWidth="1"/>
    <col min="11" max="11" width="16.6328125" bestFit="1" customWidth="1"/>
    <col min="12" max="12" width="18.08984375" bestFit="1" customWidth="1"/>
    <col min="13" max="13" width="20.36328125" bestFit="1" customWidth="1"/>
    <col min="14" max="14" width="18" bestFit="1" customWidth="1"/>
    <col min="15" max="15" width="19.6328125" bestFit="1" customWidth="1"/>
    <col min="16" max="16" width="31.6328125" bestFit="1" customWidth="1"/>
    <col min="17" max="17" width="21.6328125" bestFit="1" customWidth="1"/>
    <col min="18" max="18" width="15.08984375" bestFit="1" customWidth="1"/>
    <col min="19" max="19" width="25.08984375" bestFit="1" customWidth="1"/>
    <col min="20" max="20" width="25.08984375" customWidth="1"/>
    <col min="21" max="21" width="20.81640625" bestFit="1" customWidth="1"/>
    <col min="22" max="22" width="21" bestFit="1" customWidth="1"/>
    <col min="23" max="23" width="22.6328125" bestFit="1" customWidth="1"/>
    <col min="24" max="24" width="23" bestFit="1" customWidth="1"/>
    <col min="25" max="25" width="25.08984375" bestFit="1" customWidth="1"/>
    <col min="26" max="26" width="26.6328125" bestFit="1" customWidth="1"/>
    <col min="27" max="27" width="29" bestFit="1" customWidth="1"/>
    <col min="28" max="28" width="22" bestFit="1" customWidth="1"/>
    <col min="29" max="29" width="27.453125" bestFit="1" customWidth="1"/>
    <col min="42" max="42" width="22.6328125" bestFit="1" customWidth="1"/>
    <col min="43" max="43" width="22.6328125" customWidth="1"/>
    <col min="44" max="44" width="22.6328125" bestFit="1" customWidth="1"/>
    <col min="45" max="45" width="22.6328125" customWidth="1"/>
    <col min="46" max="46" width="25.08984375" bestFit="1" customWidth="1"/>
    <col min="55" max="55" width="20.36328125" bestFit="1" customWidth="1"/>
    <col min="56" max="56" width="38.6328125" bestFit="1" customWidth="1"/>
    <col min="57" max="57" width="11" bestFit="1" customWidth="1"/>
    <col min="58" max="58" width="24.6328125" bestFit="1" customWidth="1"/>
  </cols>
  <sheetData>
    <row r="1" spans="1:102" x14ac:dyDescent="0.35">
      <c r="A1" t="s">
        <v>3971</v>
      </c>
      <c r="B1" t="s">
        <v>3972</v>
      </c>
      <c r="C1" t="s">
        <v>3973</v>
      </c>
      <c r="D1" t="s">
        <v>3974</v>
      </c>
      <c r="E1" s="24" t="s">
        <v>3922</v>
      </c>
      <c r="F1" s="24" t="s">
        <v>4270</v>
      </c>
      <c r="G1" s="24" t="s">
        <v>4271</v>
      </c>
      <c r="H1" s="24" t="s">
        <v>3928</v>
      </c>
      <c r="I1" s="24" t="s">
        <v>3930</v>
      </c>
      <c r="J1" s="24" t="s">
        <v>3932</v>
      </c>
      <c r="K1" s="24" t="s">
        <v>3934</v>
      </c>
      <c r="L1" s="24" t="s">
        <v>3936</v>
      </c>
      <c r="M1" s="24" t="s">
        <v>3938</v>
      </c>
      <c r="N1" s="23" t="s">
        <v>3943</v>
      </c>
      <c r="O1" s="23" t="s">
        <v>3945</v>
      </c>
      <c r="P1" s="23" t="s">
        <v>3947</v>
      </c>
      <c r="Q1" s="25" t="s">
        <v>3950</v>
      </c>
      <c r="R1" s="25" t="s">
        <v>3975</v>
      </c>
      <c r="S1" s="25" t="s">
        <v>3976</v>
      </c>
      <c r="T1" s="25" t="s">
        <v>3952</v>
      </c>
      <c r="U1" s="26" t="s">
        <v>3954</v>
      </c>
      <c r="V1" s="26" t="s">
        <v>3956</v>
      </c>
      <c r="W1" s="26" t="s">
        <v>3958</v>
      </c>
      <c r="X1" s="26" t="s">
        <v>3959</v>
      </c>
      <c r="Y1" s="26" t="s">
        <v>3961</v>
      </c>
      <c r="Z1" s="26" t="s">
        <v>3963</v>
      </c>
      <c r="AA1" s="27" t="s">
        <v>3965</v>
      </c>
      <c r="AB1" s="27" t="s">
        <v>3967</v>
      </c>
      <c r="AC1" s="27" t="s">
        <v>3969</v>
      </c>
      <c r="AD1" s="24" t="s">
        <v>3977</v>
      </c>
      <c r="AE1" s="24" t="s">
        <v>3978</v>
      </c>
      <c r="AF1" s="24" t="s">
        <v>3979</v>
      </c>
      <c r="AG1" s="24" t="s">
        <v>3980</v>
      </c>
      <c r="AH1" s="24" t="s">
        <v>3981</v>
      </c>
      <c r="AI1" s="24" t="s">
        <v>3982</v>
      </c>
      <c r="AJ1" s="24" t="s">
        <v>3983</v>
      </c>
      <c r="AK1" s="24" t="s">
        <v>3984</v>
      </c>
      <c r="AL1" s="24" t="s">
        <v>3985</v>
      </c>
      <c r="AM1" s="23" t="s">
        <v>3986</v>
      </c>
      <c r="AN1" s="23" t="s">
        <v>3987</v>
      </c>
      <c r="AO1" s="23" t="s">
        <v>3988</v>
      </c>
      <c r="AP1" s="25" t="s">
        <v>3989</v>
      </c>
      <c r="AQ1" s="25" t="s">
        <v>3990</v>
      </c>
      <c r="AR1" s="25" t="s">
        <v>3991</v>
      </c>
      <c r="AS1" s="25" t="s">
        <v>3992</v>
      </c>
      <c r="AT1" s="26" t="s">
        <v>3993</v>
      </c>
      <c r="AU1" s="26" t="s">
        <v>3994</v>
      </c>
      <c r="AV1" s="26" t="s">
        <v>3995</v>
      </c>
      <c r="AW1" s="26" t="s">
        <v>3996</v>
      </c>
      <c r="AX1" s="26" t="s">
        <v>3997</v>
      </c>
      <c r="AY1" s="26" t="s">
        <v>3998</v>
      </c>
      <c r="AZ1" s="27" t="s">
        <v>3999</v>
      </c>
      <c r="BA1" s="27" t="s">
        <v>4000</v>
      </c>
      <c r="BB1" s="27" t="s">
        <v>4001</v>
      </c>
      <c r="BC1" s="42" t="s">
        <v>4002</v>
      </c>
      <c r="BD1" s="42" t="s">
        <v>4003</v>
      </c>
      <c r="BE1" s="42" t="s">
        <v>4004</v>
      </c>
      <c r="BF1" s="42" t="s">
        <v>4005</v>
      </c>
    </row>
    <row r="2" spans="1:102" x14ac:dyDescent="0.35">
      <c r="A2" t="s">
        <v>250</v>
      </c>
      <c r="B2" t="s">
        <v>251</v>
      </c>
      <c r="C2" t="s">
        <v>251</v>
      </c>
      <c r="D2" t="s">
        <v>252</v>
      </c>
      <c r="E2" s="19">
        <v>1260</v>
      </c>
      <c r="F2" s="19">
        <v>863.40381190569406</v>
      </c>
      <c r="G2" s="19">
        <v>0.68524112056007402</v>
      </c>
      <c r="H2" s="19">
        <v>175</v>
      </c>
      <c r="I2" s="19">
        <v>8529090.4550000001</v>
      </c>
      <c r="J2" s="19">
        <v>48737.66</v>
      </c>
      <c r="K2" s="19">
        <v>171</v>
      </c>
      <c r="L2" s="19">
        <v>8493779</v>
      </c>
      <c r="M2" s="19">
        <v>49671</v>
      </c>
      <c r="N2" s="19">
        <v>600701.75</v>
      </c>
      <c r="O2" s="19">
        <v>64169.59</v>
      </c>
      <c r="P2" s="19">
        <v>540976.32999999996</v>
      </c>
      <c r="Q2" s="19">
        <v>0.88</v>
      </c>
      <c r="R2" s="19">
        <v>21062445.09</v>
      </c>
      <c r="S2" s="19">
        <v>349017.76</v>
      </c>
      <c r="T2" s="19">
        <f>IF((100-IFERROR(S2/R2*100,0))=100,50,(100-IFERROR(S2/R2*100,0)))</f>
        <v>98.342938065791301</v>
      </c>
      <c r="U2" s="19">
        <v>11028</v>
      </c>
      <c r="V2" s="19">
        <v>32727804.170000002</v>
      </c>
      <c r="W2" s="19">
        <v>5155097.7790000001</v>
      </c>
      <c r="X2" s="49">
        <v>4184</v>
      </c>
      <c r="Y2" s="19">
        <v>19399919</v>
      </c>
      <c r="Z2" s="19">
        <v>3831949</v>
      </c>
      <c r="AA2" s="19">
        <v>333315</v>
      </c>
      <c r="AB2" s="19">
        <v>28214412.42000014</v>
      </c>
      <c r="AC2" s="19">
        <v>665818</v>
      </c>
      <c r="AD2" s="19">
        <f t="shared" ref="AD2:AD33" si="0">(E2-MIN($E$2:$E$170))/(MAX($E$2:$E$170)-MIN($E$2:$E$170))*100</f>
        <v>8.6390858401597015</v>
      </c>
      <c r="AE2" s="19">
        <f t="shared" ref="AE2:AE33" si="1">(F2-MIN($F$2:$F$170))/(MAX($F$2:$F$170)-MIN($F$2:$F$170))*100</f>
        <v>7.6143092980427278</v>
      </c>
      <c r="AF2" s="19">
        <f t="shared" ref="AF2:AF33" si="2">(G2-MIN($G$2:$G$170))/(MAX($G$2:$G$170)-MIN($G$2:$G$170))*100</f>
        <v>29.289785623060528</v>
      </c>
      <c r="AG2" s="19">
        <f t="shared" ref="AG2:AG33" si="3">(H2-MIN($H$2:$H$170))/(MAX($H$2:$H$170)-MIN($H$2:$H$170))*100</f>
        <v>8.5532746823069399</v>
      </c>
      <c r="AH2" s="19">
        <f t="shared" ref="AH2:AH33" si="4">(I2-MIN($I$2:$I$170))/(MAX($I$2:$I$170)-MIN($I$2:$I$170))*100</f>
        <v>6.3857731736158705</v>
      </c>
      <c r="AI2" s="19">
        <f t="shared" ref="AI2:AI33" si="5">(J2-MIN($J$2:$J$170))/(MAX($J$2:$J$170)-MIN($J$2:$J$170))*100</f>
        <v>24.778348455071043</v>
      </c>
      <c r="AJ2" s="19">
        <f t="shared" ref="AJ2:AJ33" si="6">(K2-MIN($K$2:$K$170))/(MAX($K$2:$K$170)-MIN($K$2:$K$170))*100</f>
        <v>8.5843373493975896</v>
      </c>
      <c r="AK2" s="19">
        <f t="shared" ref="AK2:AK33" si="7">(L2-MIN($L$2:$L$170))/(MAX($L$2:$L$170)-MIN($L$2:$L$170))*100</f>
        <v>6.5586593485855609</v>
      </c>
      <c r="AL2" s="19">
        <f t="shared" ref="AL2:AL33" si="8">(M2-MIN($M$2:$M$170))/(MAX($M$2:$M$170)-MIN($M$2:$M$170))*100</f>
        <v>25.252802562342712</v>
      </c>
      <c r="AM2" s="19">
        <f t="shared" ref="AM2:AM33" si="9">(N2-MIN($N$2:$N$170))/(MAX($N$2:$N$170)-MIN($N$2:$N$170))*100</f>
        <v>6.4324178170506991</v>
      </c>
      <c r="AN2" s="19">
        <f t="shared" ref="AN2:AN33" si="10">(O2-MIN($O$2:$O$170))/(MAX($O$2:$O$170)-MIN($O$2:$O$170))*100</f>
        <v>23.771507711860519</v>
      </c>
      <c r="AO2" s="19">
        <f t="shared" ref="AO2:AO33" si="11">(P2-MIN($P$2:$P$170))/(MAX($P$2:$P$170)-MIN($P$2:$P$170))*100</f>
        <v>2.1982418381676503</v>
      </c>
      <c r="AP2" s="19">
        <f t="shared" ref="AP2:AP33" si="12">(Q2-MIN($Q$2:$Q$170))/(MAX($Q$2:$Q$170)-MIN($Q$2:$Q$170))*100</f>
        <v>88</v>
      </c>
      <c r="AQ2" s="19">
        <f>IF(AP2&gt;=50,AP2,50)</f>
        <v>88</v>
      </c>
      <c r="AR2" s="19" t="e">
        <f>(#REF!-MIN(#REF!))/(MAX(#REF!)-MIN(#REF!))*100</f>
        <v>#REF!</v>
      </c>
      <c r="AS2" s="19" t="e">
        <f>IF(AR2&gt;=50,AR2,50)</f>
        <v>#REF!</v>
      </c>
      <c r="AT2" s="19">
        <f>(U2-MIN($U$2:$U$170))/(MAX($U$2:$U$170)-MIN($U$2:$U$170))*100</f>
        <v>11.456318799067521</v>
      </c>
      <c r="AU2" s="19">
        <f>(V2-MIN($V$2:$V$170))/(MAX($V$2:$V$170)-MIN($V$2:$V$170))*100</f>
        <v>5.9406959977363734</v>
      </c>
      <c r="AV2" s="19">
        <f>(W2-MIN($W$2:$W$170))/(MAX($W$2:$W$170)-MIN($W$2:$W$170))*100</f>
        <v>0.50334452531631213</v>
      </c>
      <c r="AW2" s="19">
        <f>(X2-MIN($X$2:$X$170))/(MAX($X$2:$X$170)-MIN($X$2:$X$170))*100</f>
        <v>10.955189300194828</v>
      </c>
      <c r="AX2" s="19">
        <f>(Y2-MIN($Y$2:$Y$170))/(MAX($Y$2:$Y$170)-MIN($Y$2:$Y$170))*100</f>
        <v>6.0125992704026316</v>
      </c>
      <c r="AY2" s="19">
        <f>(Z2-MIN($Z$2:$Z$170))/(MAX($Z$2:$Z$170)-MIN($Z$2:$Z$170))*100</f>
        <v>5.0852910804195117</v>
      </c>
      <c r="AZ2" s="19">
        <f>(AA2-MIN($AA$2:$AA$170))/(MAX($AA$2:$AA$170)-MIN($AA$2:$AA$170))*100</f>
        <v>13.770633243845303</v>
      </c>
      <c r="BA2" s="19">
        <f>(AB2-MIN($AB$2:$AB$170))/(MAX($AB$2:$AB$170)-MIN($AB$2:$AB$170))*100</f>
        <v>5.1169704077924498</v>
      </c>
      <c r="BB2" s="19">
        <f>(AC2-MIN($AC$2:$AC$170))/(MAX($AC$2:$AC$170)-MIN($AC$2:$AC$170))*100</f>
        <v>10.78785064205044</v>
      </c>
      <c r="BC2" s="20">
        <v>3.6</v>
      </c>
      <c r="BD2" s="43">
        <v>177803</v>
      </c>
      <c r="BE2">
        <v>1</v>
      </c>
      <c r="BF2">
        <v>1.5</v>
      </c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</row>
    <row r="3" spans="1:102" x14ac:dyDescent="0.35">
      <c r="A3" t="s">
        <v>250</v>
      </c>
      <c r="B3" t="s">
        <v>251</v>
      </c>
      <c r="C3" t="s">
        <v>259</v>
      </c>
      <c r="D3" t="s">
        <v>260</v>
      </c>
      <c r="E3" s="19">
        <v>386</v>
      </c>
      <c r="F3" s="19">
        <v>254.47099287053001</v>
      </c>
      <c r="G3" s="19">
        <v>0.65925127686665796</v>
      </c>
      <c r="H3" s="19">
        <v>99</v>
      </c>
      <c r="I3" s="19">
        <v>4698551.523</v>
      </c>
      <c r="J3" s="19">
        <v>47460.116000000002</v>
      </c>
      <c r="K3" s="19">
        <v>93</v>
      </c>
      <c r="L3" s="19">
        <v>4631298</v>
      </c>
      <c r="M3" s="19">
        <v>49799</v>
      </c>
      <c r="N3" s="19">
        <v>210.67</v>
      </c>
      <c r="O3" s="19">
        <v>745.7</v>
      </c>
      <c r="P3" s="19">
        <v>899549</v>
      </c>
      <c r="Q3" s="19">
        <v>0.92</v>
      </c>
      <c r="R3" s="19">
        <v>12813273.23</v>
      </c>
      <c r="S3" s="19">
        <v>313857.59999999998</v>
      </c>
      <c r="T3" s="19">
        <f t="shared" ref="T3:T66" si="13">IF((100-IFERROR(S3/R3*100,0))=100,50,(100-IFERROR(S3/R3*100,0)))</f>
        <v>97.550527532144102</v>
      </c>
      <c r="U3" s="19">
        <v>7395</v>
      </c>
      <c r="V3" s="19">
        <v>20063517.5</v>
      </c>
      <c r="W3" s="19">
        <v>1718822.0930000001</v>
      </c>
      <c r="X3" s="49">
        <v>2710</v>
      </c>
      <c r="Y3" s="19">
        <v>11090637</v>
      </c>
      <c r="Z3" s="19">
        <v>1677749</v>
      </c>
      <c r="AA3" s="19">
        <v>121061</v>
      </c>
      <c r="AB3" s="19">
        <v>4283092.2599999905</v>
      </c>
      <c r="AC3" s="19">
        <v>166717</v>
      </c>
      <c r="AD3" s="19">
        <f t="shared" si="0"/>
        <v>2.6227025538652167</v>
      </c>
      <c r="AE3" s="19">
        <f t="shared" si="1"/>
        <v>2.2287588487188459</v>
      </c>
      <c r="AF3" s="19">
        <f t="shared" si="2"/>
        <v>26.999615695049545</v>
      </c>
      <c r="AG3" s="19">
        <f t="shared" si="3"/>
        <v>4.838709677419355</v>
      </c>
      <c r="AH3" s="19">
        <f t="shared" si="4"/>
        <v>3.5178292959522128</v>
      </c>
      <c r="AI3" s="19">
        <f t="shared" si="5"/>
        <v>24.128841884614332</v>
      </c>
      <c r="AJ3" s="19">
        <f t="shared" si="6"/>
        <v>4.6686746987951802</v>
      </c>
      <c r="AK3" s="19">
        <f t="shared" si="7"/>
        <v>3.5761592011972065</v>
      </c>
      <c r="AL3" s="19">
        <f t="shared" si="8"/>
        <v>25.317877932840183</v>
      </c>
      <c r="AM3" s="19">
        <f t="shared" si="9"/>
        <v>2.25589065042356E-3</v>
      </c>
      <c r="AN3" s="19">
        <f t="shared" si="10"/>
        <v>0.27624320648977796</v>
      </c>
      <c r="AO3" s="19">
        <f t="shared" si="11"/>
        <v>3.6552916229844508</v>
      </c>
      <c r="AP3" s="19">
        <f t="shared" si="12"/>
        <v>92</v>
      </c>
      <c r="AQ3" s="19">
        <f t="shared" ref="AQ3:AQ66" si="14">IF(AP3&gt;=50,AP3,50)</f>
        <v>92</v>
      </c>
      <c r="AR3" s="19" t="e">
        <f>(#REF!-MIN(#REF!))/(MAX(#REF!)-MIN(#REF!))*100</f>
        <v>#REF!</v>
      </c>
      <c r="AS3" s="19" t="e">
        <f t="shared" ref="AS3:AS66" si="15">IF(AR3&gt;=50,AR3,50)</f>
        <v>#REF!</v>
      </c>
      <c r="AT3" s="19">
        <f t="shared" ref="AT3:AT66" si="16">(U3-MIN($U$2:$U$170))/(MAX($U$2:$U$170)-MIN($U$2:$U$170))*100</f>
        <v>7.6584534649118226</v>
      </c>
      <c r="AU3" s="19">
        <f t="shared" ref="AU3:AU66" si="17">(V3-MIN($V$2:$V$170))/(MAX($V$2:$V$170)-MIN($V$2:$V$170))*100</f>
        <v>3.6337412095918489</v>
      </c>
      <c r="AV3" s="19">
        <f t="shared" ref="AV3:AV66" si="18">(W3-MIN($W$2:$W$170))/(MAX($W$2:$W$170)-MIN($W$2:$W$170))*100</f>
        <v>0.16781504893018359</v>
      </c>
      <c r="AW3" s="19">
        <f t="shared" ref="AW3:AW66" si="19">(X3-MIN($X$2:$X$170))/(MAX($X$2:$X$170)-MIN($X$2:$X$170))*100</f>
        <v>7.0744036648938966</v>
      </c>
      <c r="AX3" s="19">
        <f t="shared" ref="AX3:AX66" si="20">(Y3-MIN($Y$2:$Y$170))/(MAX($Y$2:$Y$170)-MIN($Y$2:$Y$170))*100</f>
        <v>3.4292183751247935</v>
      </c>
      <c r="AY3" s="19">
        <f t="shared" ref="AY3:AY66" si="21">(Z3-MIN($Z$2:$Z$170))/(MAX($Z$2:$Z$170)-MIN($Z$2:$Z$170))*100</f>
        <v>2.2263758907583848</v>
      </c>
      <c r="AZ3" s="19">
        <f t="shared" ref="AZ3:AZ66" si="22">(AA3-MIN($AA$2:$AA$170))/(MAX($AA$2:$AA$170)-MIN($AA$2:$AA$170))*100</f>
        <v>5.0000351230525819</v>
      </c>
      <c r="BA3" s="19">
        <f t="shared" ref="BA3:BA66" si="23">(AB3-MIN($AB$2:$AB$170))/(MAX($AB$2:$AB$170)-MIN($AB$2:$AB$170))*100</f>
        <v>0.77678230622052868</v>
      </c>
      <c r="BB3" s="19">
        <f t="shared" ref="BB3:BB66" si="24">(AC3-MIN($AC$2:$AC$170))/(MAX($AC$2:$AC$170)-MIN($AC$2:$AC$170))*100</f>
        <v>2.7004262619905428</v>
      </c>
      <c r="BC3" s="20">
        <v>1.8</v>
      </c>
      <c r="BD3" s="43">
        <v>89333</v>
      </c>
      <c r="BE3">
        <v>1</v>
      </c>
      <c r="BF3">
        <v>0.1</v>
      </c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36"/>
      <c r="CO3" s="36"/>
      <c r="CP3" s="36"/>
      <c r="CQ3" s="36"/>
      <c r="CR3" s="36"/>
      <c r="CS3" s="36"/>
      <c r="CT3" s="36"/>
      <c r="CU3" s="36"/>
      <c r="CV3" s="36"/>
      <c r="CW3" s="36"/>
      <c r="CX3" s="36"/>
    </row>
    <row r="4" spans="1:102" x14ac:dyDescent="0.35">
      <c r="A4" t="s">
        <v>250</v>
      </c>
      <c r="B4" t="s">
        <v>530</v>
      </c>
      <c r="C4" t="s">
        <v>531</v>
      </c>
      <c r="D4" t="s">
        <v>532</v>
      </c>
      <c r="E4" s="19">
        <v>3654</v>
      </c>
      <c r="F4" s="19">
        <v>2466.88194462721</v>
      </c>
      <c r="G4" s="19">
        <v>0.67511821144696504</v>
      </c>
      <c r="H4" s="19">
        <v>244</v>
      </c>
      <c r="I4" s="19">
        <v>9030336.2349999994</v>
      </c>
      <c r="J4" s="19">
        <v>37009.574999999997</v>
      </c>
      <c r="K4" s="19">
        <v>230</v>
      </c>
      <c r="L4" s="19">
        <v>8845937</v>
      </c>
      <c r="M4" s="19">
        <v>38461</v>
      </c>
      <c r="N4" s="19">
        <v>693819.75</v>
      </c>
      <c r="O4" s="19">
        <v>87302.61</v>
      </c>
      <c r="P4" s="19">
        <v>4130695.54</v>
      </c>
      <c r="Q4" s="19">
        <v>0.9</v>
      </c>
      <c r="R4" s="19">
        <v>39197773.590000004</v>
      </c>
      <c r="S4" s="19">
        <v>917640.58</v>
      </c>
      <c r="T4" s="19">
        <f t="shared" si="13"/>
        <v>97.658947190219735</v>
      </c>
      <c r="U4" s="19">
        <v>20417</v>
      </c>
      <c r="V4" s="19">
        <v>117575019.95</v>
      </c>
      <c r="W4" s="19">
        <v>6974034.2779999999</v>
      </c>
      <c r="X4" s="49">
        <v>7125</v>
      </c>
      <c r="Y4" s="19">
        <v>64404735</v>
      </c>
      <c r="Z4" s="19">
        <v>5218361</v>
      </c>
      <c r="AA4" s="19">
        <v>914523</v>
      </c>
      <c r="AB4" s="19">
        <v>157428661.24699339</v>
      </c>
      <c r="AC4" s="19">
        <v>2228745</v>
      </c>
      <c r="AD4" s="19">
        <f t="shared" si="0"/>
        <v>25.118744406966336</v>
      </c>
      <c r="AE4" s="19">
        <f t="shared" si="1"/>
        <v>21.795861200340013</v>
      </c>
      <c r="AF4" s="19">
        <f t="shared" si="2"/>
        <v>28.397776332496633</v>
      </c>
      <c r="AG4" s="19">
        <f t="shared" si="3"/>
        <v>11.925708699902248</v>
      </c>
      <c r="AH4" s="19">
        <f t="shared" si="4"/>
        <v>6.7610584249800096</v>
      </c>
      <c r="AI4" s="19">
        <f t="shared" si="5"/>
        <v>18.815760656627457</v>
      </c>
      <c r="AJ4" s="19">
        <f t="shared" si="6"/>
        <v>11.546184738955825</v>
      </c>
      <c r="AK4" s="19">
        <f t="shared" si="7"/>
        <v>6.8305859384908532</v>
      </c>
      <c r="AL4" s="19">
        <f t="shared" si="8"/>
        <v>19.553623630493913</v>
      </c>
      <c r="AM4" s="19">
        <f t="shared" si="9"/>
        <v>7.4295414017383212</v>
      </c>
      <c r="AN4" s="19">
        <f t="shared" si="10"/>
        <v>32.341092827311989</v>
      </c>
      <c r="AO4" s="19">
        <f t="shared" si="11"/>
        <v>16.784963136484208</v>
      </c>
      <c r="AP4" s="19">
        <f t="shared" si="12"/>
        <v>90</v>
      </c>
      <c r="AQ4" s="19">
        <f t="shared" si="14"/>
        <v>90</v>
      </c>
      <c r="AR4" s="19" t="e">
        <f>(#REF!-MIN(#REF!))/(MAX(#REF!)-MIN(#REF!))*100</f>
        <v>#REF!</v>
      </c>
      <c r="AS4" s="19" t="e">
        <f t="shared" si="15"/>
        <v>#REF!</v>
      </c>
      <c r="AT4" s="19">
        <f t="shared" si="16"/>
        <v>21.271391087090603</v>
      </c>
      <c r="AU4" s="19">
        <f t="shared" si="17"/>
        <v>21.396654616241225</v>
      </c>
      <c r="AV4" s="19">
        <f t="shared" si="18"/>
        <v>0.68095158215857499</v>
      </c>
      <c r="AW4" s="19">
        <f t="shared" si="19"/>
        <v>18.698330788268127</v>
      </c>
      <c r="AX4" s="19">
        <f t="shared" si="20"/>
        <v>20.004732628001324</v>
      </c>
      <c r="AY4" s="19">
        <f t="shared" si="21"/>
        <v>6.9252475960301609</v>
      </c>
      <c r="AZ4" s="19">
        <f t="shared" si="22"/>
        <v>37.786867531960944</v>
      </c>
      <c r="BA4" s="19">
        <f t="shared" si="23"/>
        <v>28.551287510358272</v>
      </c>
      <c r="BB4" s="19">
        <f t="shared" si="24"/>
        <v>36.113493996910222</v>
      </c>
      <c r="BC4" s="20">
        <v>6.9</v>
      </c>
      <c r="BD4" s="43">
        <v>329218</v>
      </c>
      <c r="BE4">
        <v>1</v>
      </c>
      <c r="BF4">
        <v>0.8</v>
      </c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</row>
    <row r="5" spans="1:102" x14ac:dyDescent="0.35">
      <c r="A5" t="s">
        <v>250</v>
      </c>
      <c r="B5" t="s">
        <v>530</v>
      </c>
      <c r="C5" t="s">
        <v>530</v>
      </c>
      <c r="D5" t="s">
        <v>545</v>
      </c>
      <c r="E5" s="19">
        <v>219</v>
      </c>
      <c r="F5" s="19">
        <v>156.61160755147799</v>
      </c>
      <c r="G5" s="19">
        <v>0.71512149566884897</v>
      </c>
      <c r="H5" s="19">
        <v>10</v>
      </c>
      <c r="I5" s="19">
        <v>419463.00099999999</v>
      </c>
      <c r="J5" s="19">
        <v>41946.3</v>
      </c>
      <c r="K5" s="19">
        <v>9</v>
      </c>
      <c r="L5" s="19">
        <v>399038</v>
      </c>
      <c r="M5" s="19">
        <v>44338</v>
      </c>
      <c r="N5" s="19">
        <v>32714.98</v>
      </c>
      <c r="O5" s="19">
        <v>13743.23</v>
      </c>
      <c r="P5" s="19">
        <v>27564.27</v>
      </c>
      <c r="Q5" s="19">
        <v>1</v>
      </c>
      <c r="R5" s="19">
        <v>168449.04</v>
      </c>
      <c r="S5" s="19">
        <v>0</v>
      </c>
      <c r="T5" s="19">
        <f t="shared" si="13"/>
        <v>50</v>
      </c>
      <c r="U5" s="19">
        <v>1346</v>
      </c>
      <c r="V5" s="19">
        <v>4991034.92</v>
      </c>
      <c r="W5" s="19">
        <v>79579.202999999994</v>
      </c>
      <c r="X5" s="49">
        <v>537</v>
      </c>
      <c r="Y5" s="19">
        <v>2196064</v>
      </c>
      <c r="Z5" s="19">
        <v>76166</v>
      </c>
      <c r="AA5" s="19">
        <v>21536</v>
      </c>
      <c r="AB5" s="19">
        <v>1140661.7450000001</v>
      </c>
      <c r="AC5" s="19">
        <v>34456</v>
      </c>
      <c r="AD5" s="19">
        <f t="shared" si="0"/>
        <v>1.4731190197563158</v>
      </c>
      <c r="AE5" s="19">
        <f t="shared" si="1"/>
        <v>1.3632665643472501</v>
      </c>
      <c r="AF5" s="19">
        <f t="shared" si="2"/>
        <v>31.922780931498636</v>
      </c>
      <c r="AG5" s="19">
        <f t="shared" si="3"/>
        <v>0.48875855327468232</v>
      </c>
      <c r="AH5" s="19">
        <f t="shared" si="4"/>
        <v>0.31405407097540355</v>
      </c>
      <c r="AI5" s="19">
        <f t="shared" si="5"/>
        <v>21.32560401547687</v>
      </c>
      <c r="AJ5" s="19">
        <f t="shared" si="6"/>
        <v>0.45180722891566261</v>
      </c>
      <c r="AK5" s="19">
        <f t="shared" si="7"/>
        <v>0.30812601895350522</v>
      </c>
      <c r="AL5" s="19">
        <f t="shared" si="8"/>
        <v>22.541498258725436</v>
      </c>
      <c r="AM5" s="19">
        <f t="shared" si="9"/>
        <v>0.35031764138602445</v>
      </c>
      <c r="AN5" s="19">
        <f t="shared" si="10"/>
        <v>5.0911545161948641</v>
      </c>
      <c r="AO5" s="19">
        <f t="shared" si="11"/>
        <v>0.11200662245712198</v>
      </c>
      <c r="AP5" s="19">
        <f t="shared" si="12"/>
        <v>100</v>
      </c>
      <c r="AQ5" s="19">
        <f t="shared" si="14"/>
        <v>100</v>
      </c>
      <c r="AR5" s="19" t="e">
        <f>(#REF!-MIN(#REF!))/(MAX(#REF!)-MIN(#REF!))*100</f>
        <v>#REF!</v>
      </c>
      <c r="AS5" s="19" t="e">
        <f t="shared" si="15"/>
        <v>#REF!</v>
      </c>
      <c r="AT5" s="19">
        <f t="shared" si="16"/>
        <v>1.3349501876456999</v>
      </c>
      <c r="AU5" s="19">
        <f t="shared" si="17"/>
        <v>0.8881040676654075</v>
      </c>
      <c r="AV5" s="19">
        <f t="shared" si="18"/>
        <v>7.7538784041281863E-3</v>
      </c>
      <c r="AW5" s="19">
        <f t="shared" si="19"/>
        <v>1.3532726028118582</v>
      </c>
      <c r="AX5" s="19">
        <f t="shared" si="20"/>
        <v>0.66386873843487382</v>
      </c>
      <c r="AY5" s="19">
        <f t="shared" si="21"/>
        <v>0.10085831290905052</v>
      </c>
      <c r="AZ5" s="19">
        <f t="shared" si="22"/>
        <v>0.887538878120115</v>
      </c>
      <c r="BA5" s="19">
        <f t="shared" si="23"/>
        <v>0.20687059888330181</v>
      </c>
      <c r="BB5" s="19">
        <f t="shared" si="24"/>
        <v>0.55727119732206487</v>
      </c>
      <c r="BC5" s="20">
        <v>0.4</v>
      </c>
      <c r="BD5" s="43">
        <v>14906</v>
      </c>
      <c r="BE5">
        <v>0</v>
      </c>
      <c r="BF5">
        <v>0</v>
      </c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</row>
    <row r="6" spans="1:102" x14ac:dyDescent="0.35">
      <c r="A6" t="s">
        <v>250</v>
      </c>
      <c r="B6" t="s">
        <v>530</v>
      </c>
      <c r="C6" t="s">
        <v>546</v>
      </c>
      <c r="D6" t="s">
        <v>547</v>
      </c>
      <c r="E6" s="19">
        <v>1283</v>
      </c>
      <c r="F6" s="19">
        <v>793.45951468954001</v>
      </c>
      <c r="G6" s="19">
        <v>0.61844077528413111</v>
      </c>
      <c r="H6" s="19">
        <v>192</v>
      </c>
      <c r="I6" s="19">
        <v>8032436.9249999998</v>
      </c>
      <c r="J6" s="19">
        <v>41835.608999999997</v>
      </c>
      <c r="K6" s="19">
        <v>182</v>
      </c>
      <c r="L6" s="19">
        <v>7502707</v>
      </c>
      <c r="M6" s="19">
        <v>41224</v>
      </c>
      <c r="N6" s="19">
        <v>90087.98</v>
      </c>
      <c r="O6" s="19">
        <v>42786.87</v>
      </c>
      <c r="P6" s="19">
        <v>986851.98</v>
      </c>
      <c r="Q6" s="19">
        <v>0.86</v>
      </c>
      <c r="R6" s="19">
        <v>27799107.379999999</v>
      </c>
      <c r="S6" s="19">
        <v>959122.83</v>
      </c>
      <c r="T6" s="19">
        <f t="shared" si="13"/>
        <v>96.549807096719803</v>
      </c>
      <c r="U6" s="19">
        <v>12682</v>
      </c>
      <c r="V6" s="19">
        <v>72835949.370000005</v>
      </c>
      <c r="W6" s="19">
        <v>2842055.017</v>
      </c>
      <c r="X6" s="49">
        <v>4440</v>
      </c>
      <c r="Y6" s="19">
        <v>38047143</v>
      </c>
      <c r="Z6" s="19">
        <v>2535451</v>
      </c>
      <c r="AA6" s="19">
        <v>304452</v>
      </c>
      <c r="AB6" s="19">
        <v>19344675.440000031</v>
      </c>
      <c r="AC6" s="19">
        <v>621856</v>
      </c>
      <c r="AD6" s="19">
        <f t="shared" si="0"/>
        <v>8.7974117161148211</v>
      </c>
      <c r="AE6" s="19">
        <f t="shared" si="1"/>
        <v>6.9957048649675748</v>
      </c>
      <c r="AF6" s="19">
        <f t="shared" si="2"/>
        <v>23.403480813521789</v>
      </c>
      <c r="AG6" s="19">
        <f t="shared" si="3"/>
        <v>9.3841642228739008</v>
      </c>
      <c r="AH6" s="19">
        <f t="shared" si="4"/>
        <v>6.0139261630596161</v>
      </c>
      <c r="AI6" s="19">
        <f t="shared" si="5"/>
        <v>21.269328433743148</v>
      </c>
      <c r="AJ6" s="19">
        <f t="shared" si="6"/>
        <v>9.1365461847389557</v>
      </c>
      <c r="AK6" s="19">
        <f t="shared" si="7"/>
        <v>5.7933811799492689</v>
      </c>
      <c r="AL6" s="19">
        <f t="shared" si="8"/>
        <v>20.958336510841658</v>
      </c>
      <c r="AM6" s="19">
        <f t="shared" si="9"/>
        <v>0.96467760857048779</v>
      </c>
      <c r="AN6" s="19">
        <f t="shared" si="10"/>
        <v>15.850318042726681</v>
      </c>
      <c r="AO6" s="19">
        <f t="shared" si="11"/>
        <v>4.0100447842414573</v>
      </c>
      <c r="AP6" s="19">
        <f t="shared" si="12"/>
        <v>86</v>
      </c>
      <c r="AQ6" s="19">
        <f t="shared" si="14"/>
        <v>86</v>
      </c>
      <c r="AR6" s="19" t="e">
        <f>(#REF!-MIN(#REF!))/(MAX(#REF!)-MIN(#REF!))*100</f>
        <v>#REF!</v>
      </c>
      <c r="AS6" s="19" t="e">
        <f t="shared" si="15"/>
        <v>#REF!</v>
      </c>
      <c r="AT6" s="19">
        <f t="shared" si="16"/>
        <v>13.185377225352553</v>
      </c>
      <c r="AU6" s="19">
        <f t="shared" si="17"/>
        <v>13.246885443994053</v>
      </c>
      <c r="AV6" s="19">
        <f t="shared" si="18"/>
        <v>0.27749127670924312</v>
      </c>
      <c r="AW6" s="19">
        <f t="shared" si="19"/>
        <v>11.629192775525249</v>
      </c>
      <c r="AX6" s="19">
        <f t="shared" si="20"/>
        <v>11.810077588212328</v>
      </c>
      <c r="AY6" s="19">
        <f t="shared" si="21"/>
        <v>3.3646626217966951</v>
      </c>
      <c r="AZ6" s="19">
        <f t="shared" si="22"/>
        <v>12.577978341886139</v>
      </c>
      <c r="BA6" s="19">
        <f t="shared" si="23"/>
        <v>3.5083534720241767</v>
      </c>
      <c r="BB6" s="19">
        <f t="shared" si="24"/>
        <v>10.075491118434591</v>
      </c>
      <c r="BC6" s="20">
        <v>3.4</v>
      </c>
      <c r="BD6" s="43">
        <v>159822</v>
      </c>
      <c r="BE6">
        <v>0</v>
      </c>
      <c r="BF6">
        <v>0</v>
      </c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</row>
    <row r="7" spans="1:102" x14ac:dyDescent="0.35">
      <c r="A7" t="s">
        <v>757</v>
      </c>
      <c r="B7" t="s">
        <v>757</v>
      </c>
      <c r="C7" t="s">
        <v>757</v>
      </c>
      <c r="D7" t="s">
        <v>758</v>
      </c>
      <c r="E7" s="19">
        <v>5653</v>
      </c>
      <c r="F7" s="19">
        <v>4304.0975721833092</v>
      </c>
      <c r="G7" s="19">
        <v>0.76138290680759102</v>
      </c>
      <c r="H7" s="19">
        <v>405</v>
      </c>
      <c r="I7" s="19">
        <v>20257212.916999999</v>
      </c>
      <c r="J7" s="19">
        <v>50017.81</v>
      </c>
      <c r="K7" s="19">
        <v>398</v>
      </c>
      <c r="L7" s="19">
        <v>19791174</v>
      </c>
      <c r="M7" s="19">
        <v>49727</v>
      </c>
      <c r="N7" s="19">
        <v>2134572.2799999998</v>
      </c>
      <c r="O7" s="19">
        <v>94891.91</v>
      </c>
      <c r="P7" s="19">
        <v>3938302.86</v>
      </c>
      <c r="Q7" s="19">
        <v>0.91</v>
      </c>
      <c r="R7" s="19">
        <v>79958059.709999993</v>
      </c>
      <c r="S7" s="19">
        <v>1240509.79</v>
      </c>
      <c r="T7" s="19">
        <f t="shared" si="13"/>
        <v>98.448549408903602</v>
      </c>
      <c r="U7" s="19">
        <v>26484</v>
      </c>
      <c r="V7" s="19">
        <v>71212946.099999994</v>
      </c>
      <c r="W7" s="19">
        <v>31821439.116999999</v>
      </c>
      <c r="X7" s="49">
        <v>11688</v>
      </c>
      <c r="Y7" s="19">
        <v>44479129</v>
      </c>
      <c r="Z7" s="19">
        <v>23010710</v>
      </c>
      <c r="AA7" s="19">
        <v>1017839</v>
      </c>
      <c r="AB7" s="19">
        <v>124117202.5269967</v>
      </c>
      <c r="AC7" s="19">
        <v>1774640</v>
      </c>
      <c r="AD7" s="19">
        <f t="shared" si="0"/>
        <v>38.879328147587252</v>
      </c>
      <c r="AE7" s="19">
        <f t="shared" si="1"/>
        <v>38.04464454587724</v>
      </c>
      <c r="AF7" s="19">
        <f t="shared" si="2"/>
        <v>35.999238407237073</v>
      </c>
      <c r="AG7" s="19">
        <f t="shared" si="3"/>
        <v>19.794721407624632</v>
      </c>
      <c r="AH7" s="19">
        <f t="shared" si="4"/>
        <v>15.16667779525894</v>
      </c>
      <c r="AI7" s="19">
        <f t="shared" si="5"/>
        <v>25.429179922457024</v>
      </c>
      <c r="AJ7" s="19">
        <f t="shared" si="6"/>
        <v>19.979919678714857</v>
      </c>
      <c r="AK7" s="19">
        <f t="shared" si="7"/>
        <v>15.282192811301481</v>
      </c>
      <c r="AL7" s="19">
        <f t="shared" si="8"/>
        <v>25.28127303693536</v>
      </c>
      <c r="AM7" s="19">
        <f t="shared" si="9"/>
        <v>22.857367679808714</v>
      </c>
      <c r="AN7" s="19">
        <f t="shared" si="10"/>
        <v>35.152535186186704</v>
      </c>
      <c r="AO7" s="19">
        <f t="shared" si="11"/>
        <v>16.003180986176076</v>
      </c>
      <c r="AP7" s="19">
        <f t="shared" si="12"/>
        <v>91</v>
      </c>
      <c r="AQ7" s="19">
        <f t="shared" si="14"/>
        <v>91</v>
      </c>
      <c r="AR7" s="19" t="e">
        <f>(#REF!-MIN(#REF!))/(MAX(#REF!)-MIN(#REF!))*100</f>
        <v>#REF!</v>
      </c>
      <c r="AS7" s="19" t="e">
        <f t="shared" si="15"/>
        <v>#REF!</v>
      </c>
      <c r="AT7" s="19">
        <f t="shared" si="16"/>
        <v>27.613711203336855</v>
      </c>
      <c r="AU7" s="19">
        <f t="shared" si="17"/>
        <v>12.951235537886808</v>
      </c>
      <c r="AV7" s="19">
        <f t="shared" si="18"/>
        <v>3.1071354792045538</v>
      </c>
      <c r="AW7" s="19">
        <f t="shared" si="19"/>
        <v>30.711916170817755</v>
      </c>
      <c r="AX7" s="19">
        <f t="shared" si="20"/>
        <v>13.809801481455395</v>
      </c>
      <c r="AY7" s="19">
        <f t="shared" si="21"/>
        <v>30.538104719719676</v>
      </c>
      <c r="AZ7" s="19">
        <f t="shared" si="22"/>
        <v>42.056012591407743</v>
      </c>
      <c r="BA7" s="19">
        <f t="shared" si="23"/>
        <v>22.50991595977462</v>
      </c>
      <c r="BB7" s="19">
        <f t="shared" si="24"/>
        <v>28.755184059428434</v>
      </c>
      <c r="BC7" s="20">
        <v>11</v>
      </c>
      <c r="BD7" s="43">
        <v>566439</v>
      </c>
      <c r="BE7">
        <v>6</v>
      </c>
      <c r="BF7">
        <v>6.3</v>
      </c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</row>
    <row r="8" spans="1:102" x14ac:dyDescent="0.35">
      <c r="A8" t="s">
        <v>757</v>
      </c>
      <c r="B8" t="s">
        <v>757</v>
      </c>
      <c r="C8" t="s">
        <v>759</v>
      </c>
      <c r="D8" t="s">
        <v>760</v>
      </c>
      <c r="E8" s="19">
        <v>402</v>
      </c>
      <c r="F8" s="19">
        <v>208.96480154625601</v>
      </c>
      <c r="G8" s="19">
        <v>0.51981293916979299</v>
      </c>
      <c r="H8" s="19">
        <v>68</v>
      </c>
      <c r="I8" s="19">
        <v>3132970.9139999999</v>
      </c>
      <c r="J8" s="19">
        <v>46073.101999999999</v>
      </c>
      <c r="K8" s="19">
        <v>66</v>
      </c>
      <c r="L8" s="19">
        <v>3098338</v>
      </c>
      <c r="M8" s="19">
        <v>46945</v>
      </c>
      <c r="N8" s="19">
        <v>109611.04</v>
      </c>
      <c r="O8" s="19">
        <v>17729.580000000002</v>
      </c>
      <c r="P8" s="19">
        <v>731979.01</v>
      </c>
      <c r="Q8" s="19">
        <v>0.88</v>
      </c>
      <c r="R8" s="19">
        <v>10108847.84</v>
      </c>
      <c r="S8" s="19">
        <v>331016.99</v>
      </c>
      <c r="T8" s="19">
        <f t="shared" si="13"/>
        <v>96.72547262319857</v>
      </c>
      <c r="U8" s="19">
        <v>7179</v>
      </c>
      <c r="V8" s="19">
        <v>17263943.140000001</v>
      </c>
      <c r="W8" s="19">
        <v>1829225.5919999999</v>
      </c>
      <c r="X8" s="49">
        <v>3081</v>
      </c>
      <c r="Y8" s="19">
        <v>10972276</v>
      </c>
      <c r="Z8" s="19">
        <v>728505</v>
      </c>
      <c r="AA8" s="19">
        <v>88323</v>
      </c>
      <c r="AB8" s="19">
        <v>5164659.8669999912</v>
      </c>
      <c r="AC8" s="19">
        <v>158054</v>
      </c>
      <c r="AD8" s="19">
        <f t="shared" si="0"/>
        <v>2.7328422936600814</v>
      </c>
      <c r="AE8" s="19">
        <f t="shared" si="1"/>
        <v>1.8262909877784912</v>
      </c>
      <c r="AF8" s="19">
        <f t="shared" si="2"/>
        <v>14.712604985319985</v>
      </c>
      <c r="AG8" s="19">
        <f t="shared" si="3"/>
        <v>3.3235581622678394</v>
      </c>
      <c r="AH8" s="19">
        <f t="shared" si="4"/>
        <v>2.3456711734850506</v>
      </c>
      <c r="AI8" s="19">
        <f t="shared" si="5"/>
        <v>23.423680491883083</v>
      </c>
      <c r="AJ8" s="19">
        <f t="shared" si="6"/>
        <v>3.3132530120481931</v>
      </c>
      <c r="AK8" s="19">
        <f t="shared" si="7"/>
        <v>2.3924502260746232</v>
      </c>
      <c r="AL8" s="19">
        <f t="shared" si="8"/>
        <v>23.866900531279391</v>
      </c>
      <c r="AM8" s="19">
        <f t="shared" si="9"/>
        <v>1.1737338981307395</v>
      </c>
      <c r="AN8" s="19">
        <f t="shared" si="10"/>
        <v>6.5678906113947129</v>
      </c>
      <c r="AO8" s="19">
        <f t="shared" si="11"/>
        <v>2.9743757632474179</v>
      </c>
      <c r="AP8" s="19">
        <f t="shared" si="12"/>
        <v>88</v>
      </c>
      <c r="AQ8" s="19">
        <f t="shared" si="14"/>
        <v>88</v>
      </c>
      <c r="AR8" s="19" t="e">
        <f>(#REF!-MIN(#REF!))/(MAX(#REF!)-MIN(#REF!))*100</f>
        <v>#REF!</v>
      </c>
      <c r="AS8" s="19" t="e">
        <f t="shared" si="15"/>
        <v>#REF!</v>
      </c>
      <c r="AT8" s="19">
        <f t="shared" si="16"/>
        <v>7.4326513971502948</v>
      </c>
      <c r="AU8" s="19">
        <f t="shared" si="17"/>
        <v>3.1237644818960093</v>
      </c>
      <c r="AV8" s="19">
        <f t="shared" si="18"/>
        <v>0.17859521664536104</v>
      </c>
      <c r="AW8" s="19">
        <f t="shared" si="19"/>
        <v>8.0511821389079046</v>
      </c>
      <c r="AX8" s="19">
        <f t="shared" si="20"/>
        <v>3.3924195823836176</v>
      </c>
      <c r="AY8" s="19">
        <f t="shared" si="21"/>
        <v>0.96660052621716941</v>
      </c>
      <c r="AZ8" s="19">
        <f t="shared" si="22"/>
        <v>3.6472604225592473</v>
      </c>
      <c r="BA8" s="19">
        <f t="shared" si="23"/>
        <v>0.93666355025769887</v>
      </c>
      <c r="BB8" s="19">
        <f t="shared" si="24"/>
        <v>2.5600511527351837</v>
      </c>
      <c r="BC8" s="20">
        <v>3.3</v>
      </c>
      <c r="BD8" s="43">
        <v>137970</v>
      </c>
      <c r="BE8">
        <v>0</v>
      </c>
      <c r="BF8">
        <v>0</v>
      </c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</row>
    <row r="9" spans="1:102" x14ac:dyDescent="0.35">
      <c r="A9" t="s">
        <v>757</v>
      </c>
      <c r="B9" t="s">
        <v>757</v>
      </c>
      <c r="C9" t="s">
        <v>761</v>
      </c>
      <c r="D9" t="s">
        <v>762</v>
      </c>
      <c r="E9" s="19">
        <v>1055</v>
      </c>
      <c r="F9" s="19">
        <v>829.79989954102007</v>
      </c>
      <c r="G9" s="19">
        <v>0.78654018913840806</v>
      </c>
      <c r="H9" s="19">
        <v>119</v>
      </c>
      <c r="I9" s="19">
        <v>6220738.3969999999</v>
      </c>
      <c r="J9" s="19">
        <v>52275.112999999998</v>
      </c>
      <c r="K9" s="19">
        <v>116</v>
      </c>
      <c r="L9" s="19">
        <v>6188442</v>
      </c>
      <c r="M9" s="19">
        <v>53349</v>
      </c>
      <c r="N9" s="19">
        <v>294794.34000000003</v>
      </c>
      <c r="O9" s="19">
        <v>28305.06</v>
      </c>
      <c r="P9" s="19">
        <v>1626179.47</v>
      </c>
      <c r="Q9" s="19">
        <v>0.87</v>
      </c>
      <c r="R9" s="19">
        <v>16819833.32</v>
      </c>
      <c r="S9" s="19">
        <v>363516.61</v>
      </c>
      <c r="T9" s="19">
        <f t="shared" si="13"/>
        <v>97.838762114439319</v>
      </c>
      <c r="U9" s="19">
        <v>8595</v>
      </c>
      <c r="V9" s="19">
        <v>20014282.539999999</v>
      </c>
      <c r="W9" s="19">
        <v>3644454.1770000001</v>
      </c>
      <c r="X9" s="49">
        <v>3778</v>
      </c>
      <c r="Y9" s="19">
        <v>11554579</v>
      </c>
      <c r="Z9" s="19">
        <v>3482681</v>
      </c>
      <c r="AA9" s="19">
        <v>543688</v>
      </c>
      <c r="AB9" s="19">
        <v>66746563.069998823</v>
      </c>
      <c r="AC9" s="19">
        <v>995162</v>
      </c>
      <c r="AD9" s="19">
        <f t="shared" si="0"/>
        <v>7.2279204240379977</v>
      </c>
      <c r="AE9" s="19">
        <f t="shared" si="1"/>
        <v>7.3171080967322766</v>
      </c>
      <c r="AF9" s="19">
        <f t="shared" si="2"/>
        <v>38.216044792999007</v>
      </c>
      <c r="AG9" s="19">
        <f t="shared" si="3"/>
        <v>5.8162267839687187</v>
      </c>
      <c r="AH9" s="19">
        <f t="shared" si="4"/>
        <v>4.6574983094894131</v>
      </c>
      <c r="AI9" s="19">
        <f t="shared" si="5"/>
        <v>26.576798423277069</v>
      </c>
      <c r="AJ9" s="19">
        <f t="shared" si="6"/>
        <v>5.8232931726907635</v>
      </c>
      <c r="AK9" s="19">
        <f t="shared" si="7"/>
        <v>4.7785423869021697</v>
      </c>
      <c r="AL9" s="19">
        <f t="shared" si="8"/>
        <v>27.122702661480975</v>
      </c>
      <c r="AM9" s="19">
        <f t="shared" si="9"/>
        <v>3.1567085745658341</v>
      </c>
      <c r="AN9" s="19">
        <f t="shared" si="10"/>
        <v>10.485557911070877</v>
      </c>
      <c r="AO9" s="19">
        <f t="shared" si="11"/>
        <v>6.6079337469779791</v>
      </c>
      <c r="AP9" s="19">
        <f t="shared" si="12"/>
        <v>87</v>
      </c>
      <c r="AQ9" s="19">
        <f t="shared" si="14"/>
        <v>87</v>
      </c>
      <c r="AR9" s="19" t="e">
        <f>(#REF!-MIN(#REF!))/(MAX(#REF!)-MIN(#REF!))*100</f>
        <v>#REF!</v>
      </c>
      <c r="AS9" s="19" t="e">
        <f t="shared" si="15"/>
        <v>#REF!</v>
      </c>
      <c r="AT9" s="19">
        <f t="shared" si="16"/>
        <v>8.9129093969203108</v>
      </c>
      <c r="AU9" s="19">
        <f t="shared" si="17"/>
        <v>3.624772459146143</v>
      </c>
      <c r="AV9" s="19">
        <f t="shared" si="18"/>
        <v>0.35584022033572649</v>
      </c>
      <c r="AW9" s="19">
        <f t="shared" si="19"/>
        <v>9.8862619135379912</v>
      </c>
      <c r="AX9" s="19">
        <f t="shared" si="20"/>
        <v>3.5734593455620698</v>
      </c>
      <c r="AY9" s="19">
        <f t="shared" si="21"/>
        <v>4.6217651355385518</v>
      </c>
      <c r="AZ9" s="19">
        <f t="shared" si="22"/>
        <v>22.463506115336667</v>
      </c>
      <c r="BA9" s="19">
        <f t="shared" si="23"/>
        <v>12.105167492658159</v>
      </c>
      <c r="BB9" s="19">
        <f t="shared" si="24"/>
        <v>16.124535391282453</v>
      </c>
      <c r="BC9" s="20">
        <v>3.6</v>
      </c>
      <c r="BD9" s="43">
        <v>165965</v>
      </c>
      <c r="BE9">
        <v>0</v>
      </c>
      <c r="BF9">
        <v>0</v>
      </c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</row>
    <row r="10" spans="1:102" x14ac:dyDescent="0.35">
      <c r="A10" t="s">
        <v>757</v>
      </c>
      <c r="B10" t="s">
        <v>757</v>
      </c>
      <c r="C10" t="s">
        <v>763</v>
      </c>
      <c r="D10" t="s">
        <v>764</v>
      </c>
      <c r="E10" s="19">
        <v>2099</v>
      </c>
      <c r="F10" s="19">
        <v>1647.1315190565199</v>
      </c>
      <c r="G10" s="19">
        <v>0.78472201956004195</v>
      </c>
      <c r="H10" s="19">
        <v>266</v>
      </c>
      <c r="I10" s="19">
        <v>15947399.465</v>
      </c>
      <c r="J10" s="19">
        <v>59952.63</v>
      </c>
      <c r="K10" s="19">
        <v>260</v>
      </c>
      <c r="L10" s="19">
        <v>15752254</v>
      </c>
      <c r="M10" s="19">
        <v>60586</v>
      </c>
      <c r="N10" s="19">
        <v>624849.6</v>
      </c>
      <c r="O10" s="19">
        <v>88018.57</v>
      </c>
      <c r="P10" s="19">
        <v>3492921.91</v>
      </c>
      <c r="Q10" s="19">
        <v>0.93</v>
      </c>
      <c r="R10" s="19">
        <v>48907211.390000001</v>
      </c>
      <c r="S10" s="19">
        <v>419795.1</v>
      </c>
      <c r="T10" s="19">
        <f t="shared" si="13"/>
        <v>99.141649895651511</v>
      </c>
      <c r="U10" s="19">
        <v>17090</v>
      </c>
      <c r="V10" s="19">
        <v>28273277.280000001</v>
      </c>
      <c r="W10" s="19">
        <v>9091918.5209999997</v>
      </c>
      <c r="X10" s="49">
        <v>8642</v>
      </c>
      <c r="Y10" s="19">
        <v>16838791</v>
      </c>
      <c r="Z10" s="19">
        <v>4322266</v>
      </c>
      <c r="AA10" s="19">
        <v>432699</v>
      </c>
      <c r="AB10" s="19">
        <v>93252327.619998604</v>
      </c>
      <c r="AC10" s="19">
        <v>804433</v>
      </c>
      <c r="AD10" s="19">
        <f t="shared" si="0"/>
        <v>14.414538445652921</v>
      </c>
      <c r="AE10" s="19">
        <f t="shared" si="1"/>
        <v>14.545788393029667</v>
      </c>
      <c r="AF10" s="19">
        <f t="shared" si="2"/>
        <v>38.055831544257792</v>
      </c>
      <c r="AG10" s="19">
        <f t="shared" si="3"/>
        <v>13.000977517106548</v>
      </c>
      <c r="AH10" s="19">
        <f t="shared" si="4"/>
        <v>11.939898659749067</v>
      </c>
      <c r="AI10" s="19">
        <f t="shared" si="5"/>
        <v>30.480067301916954</v>
      </c>
      <c r="AJ10" s="19">
        <f t="shared" si="6"/>
        <v>13.052208835341366</v>
      </c>
      <c r="AK10" s="19">
        <f t="shared" si="7"/>
        <v>12.163451386996799</v>
      </c>
      <c r="AL10" s="19">
        <f t="shared" si="8"/>
        <v>30.802003101248125</v>
      </c>
      <c r="AM10" s="19">
        <f t="shared" si="9"/>
        <v>6.6909971546062623</v>
      </c>
      <c r="AN10" s="19">
        <f t="shared" si="10"/>
        <v>32.606318904981862</v>
      </c>
      <c r="AO10" s="19">
        <f t="shared" si="11"/>
        <v>14.193388239397574</v>
      </c>
      <c r="AP10" s="19">
        <f t="shared" si="12"/>
        <v>93</v>
      </c>
      <c r="AQ10" s="19">
        <f t="shared" si="14"/>
        <v>93</v>
      </c>
      <c r="AR10" s="19" t="e">
        <f>(#REF!-MIN(#REF!))/(MAX(#REF!)-MIN(#REF!))*100</f>
        <v>#REF!</v>
      </c>
      <c r="AS10" s="19" t="e">
        <f t="shared" si="15"/>
        <v>#REF!</v>
      </c>
      <c r="AT10" s="19">
        <f t="shared" si="16"/>
        <v>17.793412015597067</v>
      </c>
      <c r="AU10" s="19">
        <f t="shared" si="17"/>
        <v>5.1292494152654129</v>
      </c>
      <c r="AV10" s="19">
        <f t="shared" si="18"/>
        <v>0.88774889879861762</v>
      </c>
      <c r="AW10" s="19">
        <f t="shared" si="19"/>
        <v>22.692327944815965</v>
      </c>
      <c r="AX10" s="19">
        <f t="shared" si="20"/>
        <v>5.2163368321364683</v>
      </c>
      <c r="AY10" s="19">
        <f t="shared" si="21"/>
        <v>5.736008153601702</v>
      </c>
      <c r="AZ10" s="19">
        <f t="shared" si="22"/>
        <v>17.877303194173045</v>
      </c>
      <c r="BA10" s="19">
        <f t="shared" si="23"/>
        <v>16.912257245912087</v>
      </c>
      <c r="BB10" s="19">
        <f t="shared" si="24"/>
        <v>13.033965818020841</v>
      </c>
      <c r="BC10" s="20">
        <v>6.5</v>
      </c>
      <c r="BD10" s="43">
        <v>316064</v>
      </c>
      <c r="BE10">
        <v>0</v>
      </c>
      <c r="BF10">
        <v>0</v>
      </c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</row>
    <row r="11" spans="1:102" x14ac:dyDescent="0.35">
      <c r="A11" t="s">
        <v>757</v>
      </c>
      <c r="B11" t="s">
        <v>757</v>
      </c>
      <c r="C11" t="s">
        <v>765</v>
      </c>
      <c r="D11" t="s">
        <v>766</v>
      </c>
      <c r="E11" s="19">
        <v>23</v>
      </c>
      <c r="F11" s="19">
        <v>17.9040824106089</v>
      </c>
      <c r="G11" s="19">
        <v>0.77843836567864699</v>
      </c>
      <c r="H11" s="19">
        <v>7</v>
      </c>
      <c r="I11" s="19">
        <v>310331.13099999999</v>
      </c>
      <c r="J11" s="19">
        <v>44333.019</v>
      </c>
      <c r="K11" s="19">
        <v>7</v>
      </c>
      <c r="L11" s="19">
        <v>310331</v>
      </c>
      <c r="M11" s="19">
        <v>44333</v>
      </c>
      <c r="N11" s="19">
        <v>0</v>
      </c>
      <c r="O11" s="19">
        <v>0</v>
      </c>
      <c r="P11" s="19">
        <v>300000</v>
      </c>
      <c r="Q11" s="19">
        <v>1</v>
      </c>
      <c r="R11" s="19">
        <v>1121515.8500000001</v>
      </c>
      <c r="S11" s="19">
        <v>0</v>
      </c>
      <c r="T11" s="19">
        <f t="shared" si="13"/>
        <v>50</v>
      </c>
      <c r="U11" s="19">
        <v>699</v>
      </c>
      <c r="V11" s="19">
        <v>860467.7</v>
      </c>
      <c r="W11" s="19">
        <v>501417.696</v>
      </c>
      <c r="X11" s="49">
        <v>341</v>
      </c>
      <c r="Y11" s="19">
        <v>562839</v>
      </c>
      <c r="Z11" s="19">
        <v>501418</v>
      </c>
      <c r="AA11" s="19">
        <v>700</v>
      </c>
      <c r="AB11" s="19">
        <v>28808.429999999989</v>
      </c>
      <c r="AC11" s="19">
        <v>1006</v>
      </c>
      <c r="AD11" s="19">
        <f t="shared" si="0"/>
        <v>0.12390720726922283</v>
      </c>
      <c r="AE11" s="19">
        <f t="shared" si="1"/>
        <v>0.13650336322658083</v>
      </c>
      <c r="AF11" s="19">
        <f t="shared" si="2"/>
        <v>37.502129285523331</v>
      </c>
      <c r="AG11" s="19">
        <f t="shared" si="3"/>
        <v>0.34213098729227759</v>
      </c>
      <c r="AH11" s="19">
        <f t="shared" si="4"/>
        <v>0.23234648779178321</v>
      </c>
      <c r="AI11" s="19">
        <f t="shared" si="5"/>
        <v>22.53901793494569</v>
      </c>
      <c r="AJ11" s="19">
        <f t="shared" si="6"/>
        <v>0.35140562248995982</v>
      </c>
      <c r="AK11" s="19">
        <f t="shared" si="7"/>
        <v>0.23962894658619036</v>
      </c>
      <c r="AL11" s="19">
        <f t="shared" si="8"/>
        <v>22.538956252065383</v>
      </c>
      <c r="AM11" s="19">
        <f t="shared" si="9"/>
        <v>0</v>
      </c>
      <c r="AN11" s="19">
        <f t="shared" si="10"/>
        <v>0</v>
      </c>
      <c r="AO11" s="19">
        <f t="shared" si="11"/>
        <v>1.2190414161933762</v>
      </c>
      <c r="AP11" s="19">
        <f t="shared" si="12"/>
        <v>100</v>
      </c>
      <c r="AQ11" s="19">
        <f t="shared" si="14"/>
        <v>100</v>
      </c>
      <c r="AR11" s="19" t="e">
        <f>(#REF!-MIN(#REF!))/(MAX(#REF!)-MIN(#REF!))*100</f>
        <v>#REF!</v>
      </c>
      <c r="AS11" s="19" t="e">
        <f t="shared" si="15"/>
        <v>#REF!</v>
      </c>
      <c r="AT11" s="19">
        <f t="shared" si="16"/>
        <v>0.65858936430445647</v>
      </c>
      <c r="AU11" s="19">
        <f t="shared" si="17"/>
        <v>0.13567070333665943</v>
      </c>
      <c r="AV11" s="19">
        <f t="shared" si="18"/>
        <v>4.8943602864380216E-2</v>
      </c>
      <c r="AW11" s="19">
        <f t="shared" si="19"/>
        <v>0.83723869201200574</v>
      </c>
      <c r="AX11" s="19">
        <f t="shared" si="20"/>
        <v>0.15609414820070597</v>
      </c>
      <c r="AY11" s="19">
        <f t="shared" si="21"/>
        <v>0.66522531793819051</v>
      </c>
      <c r="AZ11" s="19">
        <f t="shared" si="22"/>
        <v>2.6569556247089433E-2</v>
      </c>
      <c r="BA11" s="19">
        <f t="shared" si="23"/>
        <v>5.2247015323439953E-3</v>
      </c>
      <c r="BB11" s="19">
        <f t="shared" si="24"/>
        <v>1.5247948494666135E-2</v>
      </c>
      <c r="BC11" s="20">
        <v>0.1</v>
      </c>
      <c r="BD11" s="43">
        <v>6148</v>
      </c>
      <c r="BE11">
        <v>0</v>
      </c>
      <c r="BF11">
        <v>0</v>
      </c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</row>
    <row r="12" spans="1:102" x14ac:dyDescent="0.35">
      <c r="A12" t="s">
        <v>757</v>
      </c>
      <c r="B12" t="s">
        <v>757</v>
      </c>
      <c r="C12" t="s">
        <v>769</v>
      </c>
      <c r="D12" t="s">
        <v>770</v>
      </c>
      <c r="E12" s="19">
        <v>498</v>
      </c>
      <c r="F12" s="19">
        <v>312.35047501079799</v>
      </c>
      <c r="G12" s="19">
        <v>0.62720978917830905</v>
      </c>
      <c r="H12" s="19">
        <v>43</v>
      </c>
      <c r="I12" s="19">
        <v>1517968.753</v>
      </c>
      <c r="J12" s="19">
        <v>35301.599000000002</v>
      </c>
      <c r="K12" s="19">
        <v>42</v>
      </c>
      <c r="L12" s="19">
        <v>1514038</v>
      </c>
      <c r="M12" s="19">
        <v>36049</v>
      </c>
      <c r="N12" s="19">
        <v>120993.04</v>
      </c>
      <c r="O12" s="19">
        <v>24955.83</v>
      </c>
      <c r="P12" s="19">
        <v>320325.45</v>
      </c>
      <c r="Q12" s="19">
        <v>0.89</v>
      </c>
      <c r="R12" s="19">
        <v>5469146.5800000001</v>
      </c>
      <c r="S12" s="19">
        <v>46007.74</v>
      </c>
      <c r="T12" s="19">
        <f t="shared" si="13"/>
        <v>99.158776614833386</v>
      </c>
      <c r="U12" s="19">
        <v>4472</v>
      </c>
      <c r="V12" s="19">
        <v>7851658.5800000001</v>
      </c>
      <c r="W12" s="19">
        <v>435225.90700000001</v>
      </c>
      <c r="X12" s="49">
        <v>1880</v>
      </c>
      <c r="Y12" s="19">
        <v>5102435</v>
      </c>
      <c r="Z12" s="19">
        <v>420816</v>
      </c>
      <c r="AA12" s="19">
        <v>71299</v>
      </c>
      <c r="AB12" s="19">
        <v>4452406.8599999947</v>
      </c>
      <c r="AC12" s="19">
        <v>123930</v>
      </c>
      <c r="AD12" s="19">
        <f t="shared" si="0"/>
        <v>3.3936807324292695</v>
      </c>
      <c r="AE12" s="19">
        <f t="shared" si="1"/>
        <v>2.7406591130879985</v>
      </c>
      <c r="AF12" s="19">
        <f t="shared" si="2"/>
        <v>24.176187727640102</v>
      </c>
      <c r="AG12" s="19">
        <f t="shared" si="3"/>
        <v>2.1016617790811338</v>
      </c>
      <c r="AH12" s="19">
        <f t="shared" si="4"/>
        <v>1.1365108850043888</v>
      </c>
      <c r="AI12" s="19">
        <f t="shared" si="5"/>
        <v>17.947421378933406</v>
      </c>
      <c r="AJ12" s="19">
        <f t="shared" si="6"/>
        <v>2.1084337349397591</v>
      </c>
      <c r="AK12" s="19">
        <f t="shared" si="7"/>
        <v>1.1690979342426715</v>
      </c>
      <c r="AL12" s="19">
        <f t="shared" si="8"/>
        <v>18.327359617682198</v>
      </c>
      <c r="AM12" s="19">
        <f t="shared" si="9"/>
        <v>1.2956143148161763</v>
      </c>
      <c r="AN12" s="19">
        <f t="shared" si="10"/>
        <v>9.2448417591709742</v>
      </c>
      <c r="AO12" s="19">
        <f t="shared" si="11"/>
        <v>1.3016333007026017</v>
      </c>
      <c r="AP12" s="19">
        <f t="shared" si="12"/>
        <v>89</v>
      </c>
      <c r="AQ12" s="19">
        <f t="shared" si="14"/>
        <v>89</v>
      </c>
      <c r="AR12" s="19" t="e">
        <f>(#REF!-MIN(#REF!))/(MAX(#REF!)-MIN(#REF!))*100</f>
        <v>#REF!</v>
      </c>
      <c r="AS12" s="19" t="e">
        <f t="shared" si="15"/>
        <v>#REF!</v>
      </c>
      <c r="AT12" s="19">
        <f t="shared" si="16"/>
        <v>4.6028078905278127</v>
      </c>
      <c r="AU12" s="19">
        <f t="shared" si="17"/>
        <v>1.4092016724084713</v>
      </c>
      <c r="AV12" s="19">
        <f t="shared" si="18"/>
        <v>4.2480414711370339E-2</v>
      </c>
      <c r="AW12" s="19">
        <f t="shared" si="19"/>
        <v>4.8891580222210518</v>
      </c>
      <c r="AX12" s="19">
        <f t="shared" si="20"/>
        <v>1.5674682691752613</v>
      </c>
      <c r="AY12" s="19">
        <f t="shared" si="21"/>
        <v>0.55825554627489726</v>
      </c>
      <c r="AZ12" s="19">
        <f t="shared" si="22"/>
        <v>2.943807661205514</v>
      </c>
      <c r="BA12" s="19">
        <f t="shared" si="23"/>
        <v>0.80748922950889379</v>
      </c>
      <c r="BB12" s="19">
        <f t="shared" si="24"/>
        <v>2.0071064190136245</v>
      </c>
      <c r="BC12" s="20">
        <v>1.9</v>
      </c>
      <c r="BD12" s="43">
        <v>78485</v>
      </c>
      <c r="BE12">
        <v>0</v>
      </c>
      <c r="BF12">
        <v>0</v>
      </c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</row>
    <row r="13" spans="1:102" x14ac:dyDescent="0.35">
      <c r="A13" t="s">
        <v>757</v>
      </c>
      <c r="B13" t="s">
        <v>757</v>
      </c>
      <c r="C13" t="s">
        <v>773</v>
      </c>
      <c r="D13" t="s">
        <v>774</v>
      </c>
      <c r="E13" s="19">
        <v>697</v>
      </c>
      <c r="F13" s="19">
        <v>546.54433786128493</v>
      </c>
      <c r="G13" s="19">
        <v>0.78413821787845706</v>
      </c>
      <c r="H13" s="19">
        <v>61</v>
      </c>
      <c r="I13" s="19">
        <v>3853529.9449999998</v>
      </c>
      <c r="J13" s="19">
        <v>63172.622000000003</v>
      </c>
      <c r="K13" s="19">
        <v>60</v>
      </c>
      <c r="L13" s="19">
        <v>3850404</v>
      </c>
      <c r="M13" s="19">
        <v>64173</v>
      </c>
      <c r="N13" s="19">
        <v>1952.43</v>
      </c>
      <c r="O13" s="19">
        <v>6.54</v>
      </c>
      <c r="P13" s="19">
        <v>472592.22</v>
      </c>
      <c r="Q13" s="19">
        <v>0.87</v>
      </c>
      <c r="R13" s="19">
        <v>8426281.5099999998</v>
      </c>
      <c r="S13" s="19">
        <v>266426.77</v>
      </c>
      <c r="T13" s="19">
        <f t="shared" si="13"/>
        <v>96.838145394456447</v>
      </c>
      <c r="U13" s="19">
        <v>6056</v>
      </c>
      <c r="V13" s="19">
        <v>13276862.84</v>
      </c>
      <c r="W13" s="19">
        <v>956751.89099999995</v>
      </c>
      <c r="X13" s="49">
        <v>2716</v>
      </c>
      <c r="Y13" s="19">
        <v>8196122</v>
      </c>
      <c r="Z13" s="19">
        <v>833454</v>
      </c>
      <c r="AA13" s="19">
        <v>52111</v>
      </c>
      <c r="AB13" s="19">
        <v>2874723.5279999999</v>
      </c>
      <c r="AC13" s="19">
        <v>85410</v>
      </c>
      <c r="AD13" s="19">
        <f t="shared" si="0"/>
        <v>4.7635437461278993</v>
      </c>
      <c r="AE13" s="19">
        <f t="shared" si="1"/>
        <v>4.8119267864280042</v>
      </c>
      <c r="AF13" s="19">
        <f t="shared" si="2"/>
        <v>38.004388177731251</v>
      </c>
      <c r="AG13" s="19">
        <f t="shared" si="3"/>
        <v>2.9814271749755621</v>
      </c>
      <c r="AH13" s="19">
        <f t="shared" si="4"/>
        <v>2.8851573654117657</v>
      </c>
      <c r="AI13" s="19">
        <f t="shared" si="5"/>
        <v>32.117119302331851</v>
      </c>
      <c r="AJ13" s="19">
        <f t="shared" si="6"/>
        <v>3.0120481927710845</v>
      </c>
      <c r="AK13" s="19">
        <f t="shared" si="7"/>
        <v>2.9731746246789839</v>
      </c>
      <c r="AL13" s="19">
        <f t="shared" si="8"/>
        <v>32.625638679173342</v>
      </c>
      <c r="AM13" s="19">
        <f t="shared" si="9"/>
        <v>2.0906956769385636E-2</v>
      </c>
      <c r="AN13" s="19">
        <f t="shared" si="10"/>
        <v>2.4227310854809544E-3</v>
      </c>
      <c r="AO13" s="19">
        <f t="shared" si="11"/>
        <v>1.9203649638359053</v>
      </c>
      <c r="AP13" s="19">
        <f t="shared" si="12"/>
        <v>87</v>
      </c>
      <c r="AQ13" s="19">
        <f t="shared" si="14"/>
        <v>87</v>
      </c>
      <c r="AR13" s="19" t="e">
        <f>(#REF!-MIN(#REF!))/(MAX(#REF!)-MIN(#REF!))*100</f>
        <v>#REF!</v>
      </c>
      <c r="AS13" s="19" t="e">
        <f t="shared" si="15"/>
        <v>#REF!</v>
      </c>
      <c r="AT13" s="19">
        <f t="shared" si="16"/>
        <v>6.2586897207790173</v>
      </c>
      <c r="AU13" s="19">
        <f t="shared" si="17"/>
        <v>2.3974690158757581</v>
      </c>
      <c r="AV13" s="19">
        <f t="shared" si="18"/>
        <v>9.3403959945592974E-2</v>
      </c>
      <c r="AW13" s="19">
        <f t="shared" si="19"/>
        <v>7.0902006213469537</v>
      </c>
      <c r="AX13" s="19">
        <f t="shared" si="20"/>
        <v>2.5293049106286873</v>
      </c>
      <c r="AY13" s="19">
        <f t="shared" si="21"/>
        <v>1.1058820647185832</v>
      </c>
      <c r="AZ13" s="19">
        <f t="shared" si="22"/>
        <v>2.1509357401026339</v>
      </c>
      <c r="BA13" s="19">
        <f t="shared" si="23"/>
        <v>0.52136032480100247</v>
      </c>
      <c r="BB13" s="19">
        <f t="shared" si="24"/>
        <v>1.3829289737271853</v>
      </c>
      <c r="BC13" s="20">
        <v>3.1</v>
      </c>
      <c r="BD13" s="43">
        <v>146897</v>
      </c>
      <c r="BE13">
        <v>1</v>
      </c>
      <c r="BF13">
        <v>0.8</v>
      </c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</row>
    <row r="14" spans="1:102" x14ac:dyDescent="0.35">
      <c r="A14" t="s">
        <v>757</v>
      </c>
      <c r="B14" t="s">
        <v>757</v>
      </c>
      <c r="C14" t="s">
        <v>775</v>
      </c>
      <c r="D14" t="s">
        <v>776</v>
      </c>
      <c r="E14" s="19">
        <v>1120</v>
      </c>
      <c r="F14" s="19">
        <v>574.78993375187008</v>
      </c>
      <c r="G14" s="19">
        <v>0.51320529799274095</v>
      </c>
      <c r="H14" s="19">
        <v>102</v>
      </c>
      <c r="I14" s="19">
        <v>6617692.6229999997</v>
      </c>
      <c r="J14" s="19">
        <v>64879.339</v>
      </c>
      <c r="K14" s="19">
        <v>101</v>
      </c>
      <c r="L14" s="19">
        <v>6614108</v>
      </c>
      <c r="M14" s="19">
        <v>65486</v>
      </c>
      <c r="N14" s="19">
        <v>373200.53</v>
      </c>
      <c r="O14" s="19">
        <v>45161.34</v>
      </c>
      <c r="P14" s="19">
        <v>1687873.48</v>
      </c>
      <c r="Q14" s="19">
        <v>0.88</v>
      </c>
      <c r="R14" s="19">
        <v>23792360.75</v>
      </c>
      <c r="S14" s="19">
        <v>1443069.88</v>
      </c>
      <c r="T14" s="19">
        <f t="shared" si="13"/>
        <v>93.934734366365888</v>
      </c>
      <c r="U14" s="19">
        <v>7778</v>
      </c>
      <c r="V14" s="19">
        <v>22057893.879999999</v>
      </c>
      <c r="W14" s="19">
        <v>3474973.7459999998</v>
      </c>
      <c r="X14" s="49">
        <v>3442</v>
      </c>
      <c r="Y14" s="19">
        <v>15337663</v>
      </c>
      <c r="Z14" s="19">
        <v>2407242</v>
      </c>
      <c r="AA14" s="19">
        <v>201738</v>
      </c>
      <c r="AB14" s="19">
        <v>11758095.979999941</v>
      </c>
      <c r="AC14" s="19">
        <v>332939</v>
      </c>
      <c r="AD14" s="19">
        <f t="shared" si="0"/>
        <v>7.675363116954637</v>
      </c>
      <c r="AE14" s="19">
        <f t="shared" si="1"/>
        <v>5.0617377292525152</v>
      </c>
      <c r="AF14" s="19">
        <f t="shared" si="2"/>
        <v>14.130353652942592</v>
      </c>
      <c r="AG14" s="19">
        <f t="shared" si="3"/>
        <v>4.9853372434017595</v>
      </c>
      <c r="AH14" s="19">
        <f t="shared" si="4"/>
        <v>4.9546999467470227</v>
      </c>
      <c r="AI14" s="19">
        <f t="shared" si="5"/>
        <v>32.984818501271505</v>
      </c>
      <c r="AJ14" s="19">
        <f t="shared" si="6"/>
        <v>5.070281124497992</v>
      </c>
      <c r="AK14" s="19">
        <f t="shared" si="7"/>
        <v>5.1072298051025982</v>
      </c>
      <c r="AL14" s="19">
        <f t="shared" si="8"/>
        <v>33.293169628104422</v>
      </c>
      <c r="AM14" s="19">
        <f t="shared" si="9"/>
        <v>3.9962955634884771</v>
      </c>
      <c r="AN14" s="19">
        <f t="shared" si="10"/>
        <v>16.729936128436456</v>
      </c>
      <c r="AO14" s="19">
        <f t="shared" si="11"/>
        <v>6.8586255913814735</v>
      </c>
      <c r="AP14" s="19">
        <f t="shared" si="12"/>
        <v>88</v>
      </c>
      <c r="AQ14" s="19">
        <f t="shared" si="14"/>
        <v>88</v>
      </c>
      <c r="AR14" s="19" t="e">
        <f>(#REF!-MIN(#REF!))/(MAX(#REF!)-MIN(#REF!))*100</f>
        <v>#REF!</v>
      </c>
      <c r="AS14" s="19" t="e">
        <f t="shared" si="15"/>
        <v>#REF!</v>
      </c>
      <c r="AT14" s="19">
        <f t="shared" si="16"/>
        <v>8.0588339832111977</v>
      </c>
      <c r="AU14" s="19">
        <f t="shared" si="17"/>
        <v>3.9970412721293105</v>
      </c>
      <c r="AV14" s="19">
        <f t="shared" si="18"/>
        <v>0.33929158295403838</v>
      </c>
      <c r="AW14" s="19">
        <f t="shared" si="19"/>
        <v>9.0016323521668156</v>
      </c>
      <c r="AX14" s="19">
        <f t="shared" si="20"/>
        <v>4.7496315985715674</v>
      </c>
      <c r="AY14" s="19">
        <f t="shared" si="21"/>
        <v>3.1945119126929606</v>
      </c>
      <c r="AZ14" s="19">
        <f t="shared" si="22"/>
        <v>8.3337086679148431</v>
      </c>
      <c r="BA14" s="19">
        <f t="shared" si="23"/>
        <v>2.1324501919803853</v>
      </c>
      <c r="BB14" s="19">
        <f t="shared" si="24"/>
        <v>5.3938848110664139</v>
      </c>
      <c r="BC14" s="20">
        <v>3.1</v>
      </c>
      <c r="BD14" s="43">
        <v>144928</v>
      </c>
      <c r="BE14">
        <v>2</v>
      </c>
      <c r="BF14">
        <v>0.4</v>
      </c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</row>
    <row r="15" spans="1:102" x14ac:dyDescent="0.35">
      <c r="A15" t="s">
        <v>757</v>
      </c>
      <c r="B15" t="s">
        <v>757</v>
      </c>
      <c r="C15" t="s">
        <v>779</v>
      </c>
      <c r="D15" t="s">
        <v>780</v>
      </c>
      <c r="E15" s="19">
        <v>1156</v>
      </c>
      <c r="F15" s="19">
        <v>823.49739024961809</v>
      </c>
      <c r="G15" s="19">
        <v>0.71236798464499795</v>
      </c>
      <c r="H15" s="19">
        <v>148</v>
      </c>
      <c r="I15" s="19">
        <v>7109628.8130000001</v>
      </c>
      <c r="J15" s="19">
        <v>48038.033000000003</v>
      </c>
      <c r="K15" s="19">
        <v>142</v>
      </c>
      <c r="L15" s="19">
        <v>7036064</v>
      </c>
      <c r="M15" s="19">
        <v>49550</v>
      </c>
      <c r="N15" s="19">
        <v>379243.78</v>
      </c>
      <c r="O15" s="19">
        <v>46340.09</v>
      </c>
      <c r="P15" s="19">
        <v>1999931.74</v>
      </c>
      <c r="Q15" s="19">
        <v>0.93</v>
      </c>
      <c r="R15" s="19">
        <v>29864368.899999999</v>
      </c>
      <c r="S15" s="19">
        <v>276225.78999999998</v>
      </c>
      <c r="T15" s="19">
        <f t="shared" si="13"/>
        <v>99.075065704803833</v>
      </c>
      <c r="U15" s="19">
        <v>13036</v>
      </c>
      <c r="V15" s="19">
        <v>25230202.780000001</v>
      </c>
      <c r="W15" s="19">
        <v>4941542.1390000004</v>
      </c>
      <c r="X15" s="49">
        <v>5778</v>
      </c>
      <c r="Y15" s="19">
        <v>15405350</v>
      </c>
      <c r="Z15" s="19">
        <v>2094298</v>
      </c>
      <c r="AA15" s="19">
        <v>206066</v>
      </c>
      <c r="AB15" s="19">
        <v>13406085.289999969</v>
      </c>
      <c r="AC15" s="19">
        <v>328025</v>
      </c>
      <c r="AD15" s="19">
        <f t="shared" si="0"/>
        <v>7.9231775314930823</v>
      </c>
      <c r="AE15" s="19">
        <f t="shared" si="1"/>
        <v>7.2613671665587978</v>
      </c>
      <c r="AF15" s="19">
        <f t="shared" si="2"/>
        <v>31.680147377497391</v>
      </c>
      <c r="AG15" s="19">
        <f t="shared" si="3"/>
        <v>7.2336265884652988</v>
      </c>
      <c r="AH15" s="19">
        <f t="shared" si="4"/>
        <v>5.3230150609795404</v>
      </c>
      <c r="AI15" s="19">
        <f t="shared" si="5"/>
        <v>24.422656335371904</v>
      </c>
      <c r="AJ15" s="19">
        <f t="shared" si="6"/>
        <v>7.1285140562248994</v>
      </c>
      <c r="AK15" s="19">
        <f t="shared" si="7"/>
        <v>5.4330524647328726</v>
      </c>
      <c r="AL15" s="19">
        <f t="shared" si="8"/>
        <v>25.19128600116932</v>
      </c>
      <c r="AM15" s="19">
        <f t="shared" si="9"/>
        <v>4.0610077255104651</v>
      </c>
      <c r="AN15" s="19">
        <f t="shared" si="10"/>
        <v>17.166601918499254</v>
      </c>
      <c r="AO15" s="19">
        <f t="shared" si="11"/>
        <v>8.1266654020656102</v>
      </c>
      <c r="AP15" s="19">
        <f t="shared" si="12"/>
        <v>93</v>
      </c>
      <c r="AQ15" s="19">
        <f t="shared" si="14"/>
        <v>93</v>
      </c>
      <c r="AR15" s="19" t="e">
        <f>(#REF!-MIN(#REF!))/(MAX(#REF!)-MIN(#REF!))*100</f>
        <v>#REF!</v>
      </c>
      <c r="AS15" s="19" t="e">
        <f t="shared" si="15"/>
        <v>#REF!</v>
      </c>
      <c r="AT15" s="19">
        <f t="shared" si="16"/>
        <v>13.555441725295058</v>
      </c>
      <c r="AU15" s="19">
        <f t="shared" si="17"/>
        <v>4.5749161573895076</v>
      </c>
      <c r="AV15" s="19">
        <f t="shared" si="18"/>
        <v>0.48249223678764824</v>
      </c>
      <c r="AW15" s="19">
        <f t="shared" si="19"/>
        <v>15.151914064556896</v>
      </c>
      <c r="AX15" s="19">
        <f t="shared" si="20"/>
        <v>4.7706756915098829</v>
      </c>
      <c r="AY15" s="19">
        <f t="shared" si="21"/>
        <v>2.7791928359529594</v>
      </c>
      <c r="AZ15" s="19">
        <f t="shared" si="22"/>
        <v>8.5125469874131365</v>
      </c>
      <c r="BA15" s="19">
        <f t="shared" si="23"/>
        <v>2.4313298002493426</v>
      </c>
      <c r="BB15" s="19">
        <f t="shared" si="24"/>
        <v>5.3142584360368819</v>
      </c>
      <c r="BC15" s="20">
        <v>6.5</v>
      </c>
      <c r="BD15" s="43">
        <v>295147</v>
      </c>
      <c r="BE15">
        <v>1</v>
      </c>
      <c r="BF15">
        <v>0.2</v>
      </c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</row>
    <row r="16" spans="1:102" x14ac:dyDescent="0.35">
      <c r="A16" t="s">
        <v>757</v>
      </c>
      <c r="B16" t="s">
        <v>757</v>
      </c>
      <c r="C16" t="s">
        <v>787</v>
      </c>
      <c r="D16" t="s">
        <v>788</v>
      </c>
      <c r="E16" s="19">
        <v>5</v>
      </c>
      <c r="F16" s="19">
        <v>2.9186704931241398</v>
      </c>
      <c r="G16" s="19">
        <v>0.58373409862482806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f t="shared" si="13"/>
        <v>50</v>
      </c>
      <c r="U16" s="19">
        <v>279</v>
      </c>
      <c r="V16" s="19">
        <v>819738.4</v>
      </c>
      <c r="W16" s="19">
        <v>326402.63400000002</v>
      </c>
      <c r="X16" s="49">
        <v>127</v>
      </c>
      <c r="Y16" s="19">
        <v>478761</v>
      </c>
      <c r="Z16" s="19">
        <v>326403</v>
      </c>
      <c r="AA16" s="19"/>
      <c r="AB16" s="19"/>
      <c r="AC16" s="19"/>
      <c r="AD16" s="19">
        <f t="shared" si="0"/>
        <v>0</v>
      </c>
      <c r="AE16" s="19">
        <f t="shared" si="1"/>
        <v>3.9687233407101974E-3</v>
      </c>
      <c r="AF16" s="19">
        <f t="shared" si="2"/>
        <v>20.345202044170357</v>
      </c>
      <c r="AG16" s="19">
        <f t="shared" si="3"/>
        <v>0</v>
      </c>
      <c r="AH16" s="19">
        <f t="shared" si="4"/>
        <v>0</v>
      </c>
      <c r="AI16" s="19">
        <f t="shared" si="5"/>
        <v>0</v>
      </c>
      <c r="AJ16" s="19">
        <f t="shared" si="6"/>
        <v>0</v>
      </c>
      <c r="AK16" s="19">
        <f t="shared" si="7"/>
        <v>0</v>
      </c>
      <c r="AL16" s="19">
        <f t="shared" si="8"/>
        <v>0</v>
      </c>
      <c r="AM16" s="19">
        <f t="shared" si="9"/>
        <v>0</v>
      </c>
      <c r="AN16" s="19">
        <f t="shared" si="10"/>
        <v>0</v>
      </c>
      <c r="AO16" s="19">
        <f t="shared" si="11"/>
        <v>0</v>
      </c>
      <c r="AP16" s="19">
        <f t="shared" si="12"/>
        <v>0</v>
      </c>
      <c r="AQ16" s="19">
        <f t="shared" si="14"/>
        <v>50</v>
      </c>
      <c r="AR16" s="19" t="e">
        <f>(#REF!-MIN(#REF!))/(MAX(#REF!)-MIN(#REF!))*100</f>
        <v>#REF!</v>
      </c>
      <c r="AS16" s="19" t="e">
        <f t="shared" si="15"/>
        <v>#REF!</v>
      </c>
      <c r="AT16" s="19">
        <f t="shared" si="16"/>
        <v>0.21952978810148549</v>
      </c>
      <c r="AU16" s="19">
        <f t="shared" si="17"/>
        <v>0.12825136294259246</v>
      </c>
      <c r="AV16" s="19">
        <f t="shared" si="18"/>
        <v>3.1854545559754574E-2</v>
      </c>
      <c r="AW16" s="19">
        <f t="shared" si="19"/>
        <v>0.27381391185298298</v>
      </c>
      <c r="AX16" s="19">
        <f t="shared" si="20"/>
        <v>0.12995404380742984</v>
      </c>
      <c r="AY16" s="19">
        <f t="shared" si="21"/>
        <v>0.43295670689068233</v>
      </c>
      <c r="AZ16" s="19">
        <f t="shared" si="22"/>
        <v>-2.3553105848897319E-3</v>
      </c>
      <c r="BA16" s="19">
        <f t="shared" si="23"/>
        <v>0</v>
      </c>
      <c r="BB16" s="19">
        <f t="shared" si="24"/>
        <v>-1.0532589289620603E-3</v>
      </c>
      <c r="BC16" s="20">
        <v>0.1</v>
      </c>
      <c r="BD16" s="43">
        <v>4048</v>
      </c>
      <c r="BE16">
        <v>0</v>
      </c>
      <c r="BF16">
        <v>0</v>
      </c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</row>
    <row r="17" spans="1:102" x14ac:dyDescent="0.35">
      <c r="A17" t="s">
        <v>757</v>
      </c>
      <c r="B17" t="s">
        <v>757</v>
      </c>
      <c r="C17" t="s">
        <v>789</v>
      </c>
      <c r="D17" t="s">
        <v>790</v>
      </c>
      <c r="E17" s="19">
        <v>153</v>
      </c>
      <c r="F17" s="19">
        <v>119.283816825109</v>
      </c>
      <c r="G17" s="19">
        <v>0.77963278970659899</v>
      </c>
      <c r="H17" s="19">
        <v>40</v>
      </c>
      <c r="I17" s="19">
        <v>3280434.5929999999</v>
      </c>
      <c r="J17" s="19">
        <v>82010.865000000005</v>
      </c>
      <c r="K17" s="19">
        <v>39</v>
      </c>
      <c r="L17" s="19">
        <v>3276500</v>
      </c>
      <c r="M17" s="19">
        <v>84013</v>
      </c>
      <c r="N17" s="19">
        <v>0</v>
      </c>
      <c r="O17" s="19">
        <v>0</v>
      </c>
      <c r="P17" s="19">
        <v>380226.22</v>
      </c>
      <c r="Q17" s="19">
        <v>0.81</v>
      </c>
      <c r="R17" s="19">
        <v>6524783.7400000002</v>
      </c>
      <c r="S17" s="19">
        <v>401910.62</v>
      </c>
      <c r="T17" s="19">
        <f t="shared" si="13"/>
        <v>93.840246113658935</v>
      </c>
      <c r="U17" s="19">
        <v>2663</v>
      </c>
      <c r="V17" s="19">
        <v>6142905.29</v>
      </c>
      <c r="W17" s="19">
        <v>3171054.9339999999</v>
      </c>
      <c r="X17" s="49">
        <v>1229</v>
      </c>
      <c r="Y17" s="19">
        <v>3319517</v>
      </c>
      <c r="Z17" s="19">
        <v>1962290</v>
      </c>
      <c r="AA17" s="19">
        <v>1634</v>
      </c>
      <c r="AB17" s="19">
        <v>89598.809999999794</v>
      </c>
      <c r="AC17" s="19">
        <v>2961</v>
      </c>
      <c r="AD17" s="19">
        <f t="shared" si="0"/>
        <v>1.0187925931024988</v>
      </c>
      <c r="AE17" s="19">
        <f t="shared" si="1"/>
        <v>1.033130474068537</v>
      </c>
      <c r="AF17" s="19">
        <f t="shared" si="2"/>
        <v>37.607379398697432</v>
      </c>
      <c r="AG17" s="19">
        <f t="shared" si="3"/>
        <v>1.9550342130987293</v>
      </c>
      <c r="AH17" s="19">
        <f t="shared" si="4"/>
        <v>2.4560779759933844</v>
      </c>
      <c r="AI17" s="19">
        <f t="shared" si="5"/>
        <v>41.694529242310566</v>
      </c>
      <c r="AJ17" s="19">
        <f t="shared" si="6"/>
        <v>1.957831325301205</v>
      </c>
      <c r="AK17" s="19">
        <f t="shared" si="7"/>
        <v>2.5300219555560122</v>
      </c>
      <c r="AL17" s="19">
        <f t="shared" si="8"/>
        <v>42.712321106281301</v>
      </c>
      <c r="AM17" s="19">
        <f t="shared" si="9"/>
        <v>0</v>
      </c>
      <c r="AN17" s="19">
        <f t="shared" si="10"/>
        <v>0</v>
      </c>
      <c r="AO17" s="19">
        <f t="shared" si="11"/>
        <v>1.5450383656755138</v>
      </c>
      <c r="AP17" s="19">
        <f t="shared" si="12"/>
        <v>81</v>
      </c>
      <c r="AQ17" s="19">
        <f t="shared" si="14"/>
        <v>81</v>
      </c>
      <c r="AR17" s="19" t="e">
        <f>(#REF!-MIN(#REF!))/(MAX(#REF!)-MIN(#REF!))*100</f>
        <v>#REF!</v>
      </c>
      <c r="AS17" s="19" t="e">
        <f t="shared" si="15"/>
        <v>#REF!</v>
      </c>
      <c r="AT17" s="19">
        <f t="shared" si="16"/>
        <v>2.7117155730250158</v>
      </c>
      <c r="AU17" s="19">
        <f t="shared" si="17"/>
        <v>1.0979313508465536</v>
      </c>
      <c r="AV17" s="19">
        <f t="shared" si="18"/>
        <v>0.30961593141370558</v>
      </c>
      <c r="AW17" s="19">
        <f t="shared" si="19"/>
        <v>3.1751882470643991</v>
      </c>
      <c r="AX17" s="19">
        <f t="shared" si="20"/>
        <v>1.0131536726737855</v>
      </c>
      <c r="AY17" s="19">
        <f t="shared" si="21"/>
        <v>2.6040003392689068</v>
      </c>
      <c r="AZ17" s="19">
        <f t="shared" si="22"/>
        <v>6.5163592848615934E-2</v>
      </c>
      <c r="BA17" s="19">
        <f t="shared" si="23"/>
        <v>1.6249654698405905E-2</v>
      </c>
      <c r="BB17" s="19">
        <f t="shared" si="24"/>
        <v>4.6926736281140413E-2</v>
      </c>
      <c r="BC17" s="20">
        <v>0.8</v>
      </c>
      <c r="BD17" s="43">
        <v>37526</v>
      </c>
      <c r="BE17">
        <v>0</v>
      </c>
      <c r="BF17">
        <v>0</v>
      </c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</row>
    <row r="18" spans="1:102" x14ac:dyDescent="0.35">
      <c r="A18" t="s">
        <v>757</v>
      </c>
      <c r="B18" t="s">
        <v>757</v>
      </c>
      <c r="C18" t="s">
        <v>799</v>
      </c>
      <c r="D18" t="s">
        <v>800</v>
      </c>
      <c r="E18" s="19">
        <v>366</v>
      </c>
      <c r="F18" s="19">
        <v>243.71613776693698</v>
      </c>
      <c r="G18" s="19">
        <v>0.66589108679491094</v>
      </c>
      <c r="H18" s="19">
        <v>63</v>
      </c>
      <c r="I18" s="19">
        <v>3511790.6060000001</v>
      </c>
      <c r="J18" s="19">
        <v>55742.707999999999</v>
      </c>
      <c r="K18" s="19">
        <v>60</v>
      </c>
      <c r="L18" s="19">
        <v>3346961</v>
      </c>
      <c r="M18" s="19">
        <v>55783</v>
      </c>
      <c r="N18" s="19">
        <v>73834.19</v>
      </c>
      <c r="O18" s="19">
        <v>8800.57</v>
      </c>
      <c r="P18" s="19">
        <v>1337724.9099999999</v>
      </c>
      <c r="Q18" s="19">
        <v>0.94</v>
      </c>
      <c r="R18" s="19">
        <v>10977751.630000001</v>
      </c>
      <c r="S18" s="19">
        <v>5914.65</v>
      </c>
      <c r="T18" s="19">
        <f t="shared" si="13"/>
        <v>99.946121480979428</v>
      </c>
      <c r="U18" s="19">
        <v>6277</v>
      </c>
      <c r="V18" s="19">
        <v>13124657.619999999</v>
      </c>
      <c r="W18" s="19">
        <v>874394.85800000001</v>
      </c>
      <c r="X18" s="49">
        <v>2795</v>
      </c>
      <c r="Y18" s="19">
        <v>7596285</v>
      </c>
      <c r="Z18" s="19">
        <v>856008</v>
      </c>
      <c r="AA18" s="19">
        <v>57310</v>
      </c>
      <c r="AB18" s="19">
        <v>3713239.2799999942</v>
      </c>
      <c r="AC18" s="19">
        <v>103585</v>
      </c>
      <c r="AD18" s="19">
        <f t="shared" si="0"/>
        <v>2.4850278791216356</v>
      </c>
      <c r="AE18" s="19">
        <f t="shared" si="1"/>
        <v>2.1336402856771257</v>
      </c>
      <c r="AF18" s="19">
        <f t="shared" si="2"/>
        <v>27.584701669585275</v>
      </c>
      <c r="AG18" s="19">
        <f t="shared" si="3"/>
        <v>3.0791788856304985</v>
      </c>
      <c r="AH18" s="19">
        <f t="shared" si="4"/>
        <v>2.6292953933915126</v>
      </c>
      <c r="AI18" s="19">
        <f t="shared" si="5"/>
        <v>28.339732409255515</v>
      </c>
      <c r="AJ18" s="19">
        <f t="shared" si="6"/>
        <v>3.0120481927710845</v>
      </c>
      <c r="AK18" s="19">
        <f t="shared" si="7"/>
        <v>2.584429975397438</v>
      </c>
      <c r="AL18" s="19">
        <f t="shared" si="8"/>
        <v>28.360151503596942</v>
      </c>
      <c r="AM18" s="19">
        <f t="shared" si="9"/>
        <v>0.79062922534103919</v>
      </c>
      <c r="AN18" s="19">
        <f t="shared" si="10"/>
        <v>3.2601551236928326</v>
      </c>
      <c r="AO18" s="19">
        <f t="shared" si="11"/>
        <v>5.4358068958785219</v>
      </c>
      <c r="AP18" s="19">
        <f t="shared" si="12"/>
        <v>94</v>
      </c>
      <c r="AQ18" s="19">
        <f t="shared" si="14"/>
        <v>94</v>
      </c>
      <c r="AR18" s="19" t="e">
        <f>(#REF!-MIN(#REF!))/(MAX(#REF!)-MIN(#REF!))*100</f>
        <v>#REF!</v>
      </c>
      <c r="AS18" s="19" t="e">
        <f t="shared" si="15"/>
        <v>#REF!</v>
      </c>
      <c r="AT18" s="19">
        <f t="shared" si="16"/>
        <v>6.4897186882572466</v>
      </c>
      <c r="AU18" s="19">
        <f t="shared" si="17"/>
        <v>2.3697429725375754</v>
      </c>
      <c r="AV18" s="19">
        <f t="shared" si="18"/>
        <v>8.5362343182482925E-2</v>
      </c>
      <c r="AW18" s="19">
        <f t="shared" si="19"/>
        <v>7.2981938813122014</v>
      </c>
      <c r="AX18" s="19">
        <f t="shared" si="20"/>
        <v>2.34281377383964</v>
      </c>
      <c r="AY18" s="19">
        <f t="shared" si="21"/>
        <v>1.1358142776921309</v>
      </c>
      <c r="AZ18" s="19">
        <f t="shared" si="22"/>
        <v>2.3657648581875761</v>
      </c>
      <c r="BA18" s="19">
        <f t="shared" si="23"/>
        <v>0.67343367744010663</v>
      </c>
      <c r="BB18" s="19">
        <f t="shared" si="24"/>
        <v>1.6774363742484997</v>
      </c>
      <c r="BC18" s="20">
        <v>2.7</v>
      </c>
      <c r="BD18" s="43">
        <v>122649</v>
      </c>
      <c r="BE18">
        <v>0</v>
      </c>
      <c r="BF18">
        <v>0</v>
      </c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</row>
    <row r="19" spans="1:102" x14ac:dyDescent="0.35">
      <c r="A19" t="s">
        <v>757</v>
      </c>
      <c r="B19" t="s">
        <v>757</v>
      </c>
      <c r="C19" t="s">
        <v>801</v>
      </c>
      <c r="D19" t="s">
        <v>802</v>
      </c>
      <c r="E19" s="19">
        <v>117</v>
      </c>
      <c r="F19" s="19">
        <v>68.296864765317395</v>
      </c>
      <c r="G19" s="19">
        <v>0.58373388688305405</v>
      </c>
      <c r="H19" s="19">
        <v>13</v>
      </c>
      <c r="I19" s="19">
        <v>1119553.7579999999</v>
      </c>
      <c r="J19" s="19">
        <v>86119.52</v>
      </c>
      <c r="K19" s="19">
        <v>13</v>
      </c>
      <c r="L19" s="19">
        <v>1119554</v>
      </c>
      <c r="M19" s="19">
        <v>86120</v>
      </c>
      <c r="N19" s="19">
        <v>0</v>
      </c>
      <c r="O19" s="19">
        <v>0</v>
      </c>
      <c r="P19" s="19">
        <v>58658.6</v>
      </c>
      <c r="Q19" s="19">
        <v>0.91</v>
      </c>
      <c r="R19" s="19">
        <v>3243913.18</v>
      </c>
      <c r="S19" s="19">
        <v>70990.62</v>
      </c>
      <c r="T19" s="19">
        <f t="shared" si="13"/>
        <v>97.811574599539682</v>
      </c>
      <c r="U19" s="19">
        <v>1222</v>
      </c>
      <c r="V19" s="19">
        <v>2607154.1800000002</v>
      </c>
      <c r="W19" s="19">
        <v>358990.158</v>
      </c>
      <c r="X19" s="49">
        <v>516</v>
      </c>
      <c r="Y19" s="19">
        <v>1144894</v>
      </c>
      <c r="Z19" s="19">
        <v>308358</v>
      </c>
      <c r="AA19" s="19">
        <v>34916</v>
      </c>
      <c r="AB19" s="19">
        <v>2123048.96</v>
      </c>
      <c r="AC19" s="19">
        <v>67656</v>
      </c>
      <c r="AD19" s="19">
        <f t="shared" si="0"/>
        <v>0.77097817856405315</v>
      </c>
      <c r="AE19" s="19">
        <f t="shared" si="1"/>
        <v>0.58218942771411319</v>
      </c>
      <c r="AF19" s="19">
        <f t="shared" si="2"/>
        <v>20.345183385934124</v>
      </c>
      <c r="AG19" s="19">
        <f t="shared" si="3"/>
        <v>0.63538611925708699</v>
      </c>
      <c r="AH19" s="19">
        <f t="shared" si="4"/>
        <v>0.83821556260622787</v>
      </c>
      <c r="AI19" s="19">
        <f t="shared" si="5"/>
        <v>43.783379738449888</v>
      </c>
      <c r="AJ19" s="19">
        <f t="shared" si="6"/>
        <v>0.65261044176706828</v>
      </c>
      <c r="AK19" s="19">
        <f t="shared" si="7"/>
        <v>0.86448838712972853</v>
      </c>
      <c r="AL19" s="19">
        <f t="shared" si="8"/>
        <v>43.783522712829509</v>
      </c>
      <c r="AM19" s="19">
        <f t="shared" si="9"/>
        <v>0</v>
      </c>
      <c r="AN19" s="19">
        <f t="shared" si="10"/>
        <v>0</v>
      </c>
      <c r="AO19" s="19">
        <f t="shared" si="11"/>
        <v>0.23835754271973589</v>
      </c>
      <c r="AP19" s="19">
        <f t="shared" si="12"/>
        <v>91</v>
      </c>
      <c r="AQ19" s="19">
        <f t="shared" si="14"/>
        <v>91</v>
      </c>
      <c r="AR19" s="19" t="e">
        <f>(#REF!-MIN(#REF!))/(MAX(#REF!)-MIN(#REF!))*100</f>
        <v>#REF!</v>
      </c>
      <c r="AS19" s="19" t="e">
        <f t="shared" si="15"/>
        <v>#REF!</v>
      </c>
      <c r="AT19" s="19">
        <f t="shared" si="16"/>
        <v>1.2053230746714894</v>
      </c>
      <c r="AU19" s="19">
        <f t="shared" si="17"/>
        <v>0.45385101964051516</v>
      </c>
      <c r="AV19" s="19">
        <f t="shared" si="18"/>
        <v>3.5036500636580266E-2</v>
      </c>
      <c r="AW19" s="19">
        <f t="shared" si="19"/>
        <v>1.2979832552261599</v>
      </c>
      <c r="AX19" s="19">
        <f t="shared" si="20"/>
        <v>0.33705680742937844</v>
      </c>
      <c r="AY19" s="19">
        <f t="shared" si="21"/>
        <v>0.40900854766803124</v>
      </c>
      <c r="AZ19" s="19">
        <f t="shared" si="22"/>
        <v>1.4404170469942312</v>
      </c>
      <c r="BA19" s="19">
        <f t="shared" si="23"/>
        <v>0.38503650336215234</v>
      </c>
      <c r="BB19" s="19">
        <f t="shared" si="24"/>
        <v>1.0952434502688404</v>
      </c>
      <c r="BC19" s="20">
        <v>0.5</v>
      </c>
      <c r="BD19" s="43">
        <v>21926</v>
      </c>
      <c r="BE19">
        <v>0</v>
      </c>
      <c r="BF19">
        <v>0</v>
      </c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</row>
    <row r="20" spans="1:102" x14ac:dyDescent="0.35">
      <c r="A20" t="s">
        <v>757</v>
      </c>
      <c r="B20" t="s">
        <v>757</v>
      </c>
      <c r="C20" t="s">
        <v>803</v>
      </c>
      <c r="D20" t="s">
        <v>804</v>
      </c>
      <c r="E20" s="19">
        <v>35</v>
      </c>
      <c r="F20" s="19">
        <v>20.288917376201997</v>
      </c>
      <c r="G20" s="19">
        <v>0.57968335360577206</v>
      </c>
      <c r="H20" s="19">
        <v>14</v>
      </c>
      <c r="I20" s="19">
        <v>1145137.55</v>
      </c>
      <c r="J20" s="19">
        <v>81795.539000000004</v>
      </c>
      <c r="K20" s="19">
        <v>14</v>
      </c>
      <c r="L20" s="19">
        <v>1145138</v>
      </c>
      <c r="M20" s="19">
        <v>81796</v>
      </c>
      <c r="N20" s="19">
        <v>0</v>
      </c>
      <c r="O20" s="19">
        <v>0</v>
      </c>
      <c r="P20" s="19">
        <v>231296.68</v>
      </c>
      <c r="Q20" s="19">
        <v>1</v>
      </c>
      <c r="R20" s="19">
        <v>3769785</v>
      </c>
      <c r="S20" s="19">
        <v>0</v>
      </c>
      <c r="T20" s="19">
        <f t="shared" si="13"/>
        <v>50</v>
      </c>
      <c r="U20" s="19">
        <v>948</v>
      </c>
      <c r="V20" s="19">
        <v>1547649.01</v>
      </c>
      <c r="W20" s="19">
        <v>1313752.7239999999</v>
      </c>
      <c r="X20" s="49">
        <v>424</v>
      </c>
      <c r="Y20" s="19">
        <v>736068</v>
      </c>
      <c r="Z20" s="19">
        <v>1313753</v>
      </c>
      <c r="AA20" s="19">
        <v>677</v>
      </c>
      <c r="AB20" s="19">
        <v>32585.989999999969</v>
      </c>
      <c r="AC20" s="19">
        <v>947</v>
      </c>
      <c r="AD20" s="19">
        <f t="shared" si="0"/>
        <v>0.2065120121153714</v>
      </c>
      <c r="AE20" s="19">
        <f t="shared" si="1"/>
        <v>0.15759542563317536</v>
      </c>
      <c r="AF20" s="19">
        <f t="shared" si="2"/>
        <v>19.98825898063695</v>
      </c>
      <c r="AG20" s="19">
        <f t="shared" si="3"/>
        <v>0.68426197458455518</v>
      </c>
      <c r="AH20" s="19">
        <f t="shared" si="4"/>
        <v>0.85737027710889746</v>
      </c>
      <c r="AI20" s="19">
        <f t="shared" si="5"/>
        <v>41.585056964416289</v>
      </c>
      <c r="AJ20" s="19">
        <f t="shared" si="6"/>
        <v>0.70281124497991965</v>
      </c>
      <c r="AK20" s="19">
        <f t="shared" si="7"/>
        <v>0.88424363868197775</v>
      </c>
      <c r="AL20" s="19">
        <f t="shared" si="8"/>
        <v>41.585195353211823</v>
      </c>
      <c r="AM20" s="19">
        <f t="shared" si="9"/>
        <v>0</v>
      </c>
      <c r="AN20" s="19">
        <f t="shared" si="10"/>
        <v>0</v>
      </c>
      <c r="AO20" s="19">
        <f t="shared" si="11"/>
        <v>0.93986744116008702</v>
      </c>
      <c r="AP20" s="19">
        <f t="shared" si="12"/>
        <v>100</v>
      </c>
      <c r="AQ20" s="19">
        <f t="shared" si="14"/>
        <v>100</v>
      </c>
      <c r="AR20" s="19" t="e">
        <f>(#REF!-MIN(#REF!))/(MAX(#REF!)-MIN(#REF!))*100</f>
        <v>#REF!</v>
      </c>
      <c r="AS20" s="19" t="e">
        <f t="shared" si="15"/>
        <v>#REF!</v>
      </c>
      <c r="AT20" s="19">
        <f t="shared" si="16"/>
        <v>0.91888897019621785</v>
      </c>
      <c r="AU20" s="19">
        <f t="shared" si="17"/>
        <v>0.26084918790012723</v>
      </c>
      <c r="AV20" s="19">
        <f t="shared" si="18"/>
        <v>0.12826271794743907</v>
      </c>
      <c r="AW20" s="19">
        <f t="shared" si="19"/>
        <v>1.0557632562792902</v>
      </c>
      <c r="AX20" s="19">
        <f t="shared" si="20"/>
        <v>0.20995156802447471</v>
      </c>
      <c r="AY20" s="19">
        <f t="shared" si="21"/>
        <v>1.7433038949474611</v>
      </c>
      <c r="AZ20" s="19">
        <f t="shared" si="22"/>
        <v>2.5619167765467264E-2</v>
      </c>
      <c r="BA20" s="19">
        <f t="shared" si="23"/>
        <v>5.9098004259845478E-3</v>
      </c>
      <c r="BB20" s="19">
        <f t="shared" si="24"/>
        <v>1.4291913466839034E-2</v>
      </c>
      <c r="BC20" s="20">
        <v>0.3</v>
      </c>
      <c r="BD20" s="43">
        <v>11317</v>
      </c>
      <c r="BE20">
        <v>0</v>
      </c>
      <c r="BF20">
        <v>0</v>
      </c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</row>
    <row r="21" spans="1:102" x14ac:dyDescent="0.35">
      <c r="A21" t="s">
        <v>757</v>
      </c>
      <c r="B21" t="s">
        <v>757</v>
      </c>
      <c r="C21" t="s">
        <v>807</v>
      </c>
      <c r="D21" t="s">
        <v>808</v>
      </c>
      <c r="E21" s="19">
        <v>540</v>
      </c>
      <c r="F21" s="19">
        <v>526.65252138645394</v>
      </c>
      <c r="G21" s="19">
        <v>0.9752824470119521</v>
      </c>
      <c r="H21" s="19">
        <v>103</v>
      </c>
      <c r="I21" s="19">
        <v>6996463.4759999998</v>
      </c>
      <c r="J21" s="19">
        <v>67926.83</v>
      </c>
      <c r="K21" s="19">
        <v>100</v>
      </c>
      <c r="L21" s="19">
        <v>6674460</v>
      </c>
      <c r="M21" s="19">
        <v>66745</v>
      </c>
      <c r="N21" s="19">
        <v>86104.79</v>
      </c>
      <c r="O21" s="19">
        <v>3712.03</v>
      </c>
      <c r="P21" s="19">
        <v>1189167.07</v>
      </c>
      <c r="Q21" s="19">
        <v>0.86</v>
      </c>
      <c r="R21" s="19">
        <v>18073682.25</v>
      </c>
      <c r="S21" s="19">
        <v>630954.67000000004</v>
      </c>
      <c r="T21" s="19">
        <f t="shared" si="13"/>
        <v>96.508986595689436</v>
      </c>
      <c r="U21" s="19">
        <v>4571</v>
      </c>
      <c r="V21" s="19">
        <v>15138854.9</v>
      </c>
      <c r="W21" s="19">
        <v>10835648.287</v>
      </c>
      <c r="X21" s="49">
        <v>2061</v>
      </c>
      <c r="Y21" s="19">
        <v>8480263</v>
      </c>
      <c r="Z21" s="19">
        <v>6271257</v>
      </c>
      <c r="AA21" s="19">
        <v>155905</v>
      </c>
      <c r="AB21" s="19">
        <v>10686501.399999941</v>
      </c>
      <c r="AC21" s="19">
        <v>241231</v>
      </c>
      <c r="AD21" s="19">
        <f t="shared" si="0"/>
        <v>3.6827975493907892</v>
      </c>
      <c r="AE21" s="19">
        <f t="shared" si="1"/>
        <v>4.6359987073278566</v>
      </c>
      <c r="AF21" s="19">
        <f t="shared" si="2"/>
        <v>54.847612424796111</v>
      </c>
      <c r="AG21" s="19">
        <f t="shared" si="3"/>
        <v>5.0342130987292277</v>
      </c>
      <c r="AH21" s="19">
        <f t="shared" si="4"/>
        <v>5.2382876006471006</v>
      </c>
      <c r="AI21" s="19">
        <f t="shared" si="5"/>
        <v>34.534170561089169</v>
      </c>
      <c r="AJ21" s="19">
        <f t="shared" si="6"/>
        <v>5.0200803212851408</v>
      </c>
      <c r="AK21" s="19">
        <f t="shared" si="7"/>
        <v>5.1538319369694428</v>
      </c>
      <c r="AL21" s="19">
        <f t="shared" si="8"/>
        <v>33.933246905106891</v>
      </c>
      <c r="AM21" s="19">
        <f t="shared" si="9"/>
        <v>0.9220249238984386</v>
      </c>
      <c r="AN21" s="19">
        <f t="shared" si="10"/>
        <v>1.3751147509538022</v>
      </c>
      <c r="AO21" s="19">
        <f t="shared" si="11"/>
        <v>4.8321463636777588</v>
      </c>
      <c r="AP21" s="19">
        <f t="shared" si="12"/>
        <v>86</v>
      </c>
      <c r="AQ21" s="19">
        <f t="shared" si="14"/>
        <v>86</v>
      </c>
      <c r="AR21" s="19" t="e">
        <f>(#REF!-MIN(#REF!))/(MAX(#REF!)-MIN(#REF!))*100</f>
        <v>#REF!</v>
      </c>
      <c r="AS21" s="19" t="e">
        <f t="shared" si="15"/>
        <v>#REF!</v>
      </c>
      <c r="AT21" s="19">
        <f t="shared" si="16"/>
        <v>4.7063005049185129</v>
      </c>
      <c r="AU21" s="19">
        <f t="shared" si="17"/>
        <v>2.7366536545557736</v>
      </c>
      <c r="AV21" s="19">
        <f t="shared" si="18"/>
        <v>1.0580125181375948</v>
      </c>
      <c r="AW21" s="19">
        <f t="shared" si="19"/>
        <v>5.3656995418882625</v>
      </c>
      <c r="AX21" s="19">
        <f t="shared" si="20"/>
        <v>2.6176452065730471</v>
      </c>
      <c r="AY21" s="19">
        <f t="shared" si="21"/>
        <v>8.3225832043921706</v>
      </c>
      <c r="AZ21" s="19">
        <f t="shared" si="22"/>
        <v>6.439832351471841</v>
      </c>
      <c r="BA21" s="19">
        <f t="shared" si="23"/>
        <v>1.9381056253317506</v>
      </c>
      <c r="BB21" s="19">
        <f t="shared" si="24"/>
        <v>3.9078498901856036</v>
      </c>
      <c r="BC21" s="20">
        <v>1.5</v>
      </c>
      <c r="BD21" s="43">
        <v>82122</v>
      </c>
      <c r="BE21">
        <v>1</v>
      </c>
      <c r="BF21">
        <v>0.1</v>
      </c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</row>
    <row r="22" spans="1:102" x14ac:dyDescent="0.35">
      <c r="A22" t="s">
        <v>757</v>
      </c>
      <c r="B22" t="s">
        <v>757</v>
      </c>
      <c r="C22" t="s">
        <v>811</v>
      </c>
      <c r="D22" t="s">
        <v>812</v>
      </c>
      <c r="E22" s="19">
        <v>160</v>
      </c>
      <c r="F22" s="19">
        <v>80.378337182083001</v>
      </c>
      <c r="G22" s="19">
        <v>0.50236460738801902</v>
      </c>
      <c r="H22" s="19">
        <v>8</v>
      </c>
      <c r="I22" s="19">
        <v>289715.49900000001</v>
      </c>
      <c r="J22" s="19">
        <v>36214.436999999998</v>
      </c>
      <c r="K22" s="19">
        <v>8</v>
      </c>
      <c r="L22" s="19">
        <v>289715</v>
      </c>
      <c r="M22" s="19">
        <v>36214</v>
      </c>
      <c r="N22" s="19">
        <v>91229.74</v>
      </c>
      <c r="O22" s="19">
        <v>14771.92</v>
      </c>
      <c r="P22" s="19">
        <v>70700</v>
      </c>
      <c r="Q22" s="19">
        <v>1</v>
      </c>
      <c r="R22" s="19">
        <v>916051.03</v>
      </c>
      <c r="S22" s="19">
        <v>0</v>
      </c>
      <c r="T22" s="19">
        <f t="shared" si="13"/>
        <v>50</v>
      </c>
      <c r="U22" s="19">
        <v>1651</v>
      </c>
      <c r="V22" s="19">
        <v>1452392.86</v>
      </c>
      <c r="W22" s="19">
        <v>398222.86499999999</v>
      </c>
      <c r="X22" s="49">
        <v>824</v>
      </c>
      <c r="Y22" s="19">
        <v>1022165</v>
      </c>
      <c r="Z22" s="19">
        <v>397602</v>
      </c>
      <c r="AA22" s="19">
        <v>24643</v>
      </c>
      <c r="AB22" s="19">
        <v>1227631.67</v>
      </c>
      <c r="AC22" s="19">
        <v>39979</v>
      </c>
      <c r="AD22" s="19">
        <f t="shared" si="0"/>
        <v>1.0669787292627522</v>
      </c>
      <c r="AE22" s="19">
        <f t="shared" si="1"/>
        <v>0.68904091800773903</v>
      </c>
      <c r="AF22" s="19">
        <f t="shared" si="2"/>
        <v>13.17509497902857</v>
      </c>
      <c r="AG22" s="19">
        <f t="shared" si="3"/>
        <v>0.39100684261974583</v>
      </c>
      <c r="AH22" s="19">
        <f t="shared" si="4"/>
        <v>0.21691145981578588</v>
      </c>
      <c r="AI22" s="19">
        <f t="shared" si="5"/>
        <v>18.411510505227735</v>
      </c>
      <c r="AJ22" s="19">
        <f t="shared" si="6"/>
        <v>0.40160642570281119</v>
      </c>
      <c r="AK22" s="19">
        <f t="shared" si="7"/>
        <v>0.22370984613273615</v>
      </c>
      <c r="AL22" s="19">
        <f t="shared" si="8"/>
        <v>18.411245837464094</v>
      </c>
      <c r="AM22" s="19">
        <f t="shared" si="9"/>
        <v>0.97690377133228412</v>
      </c>
      <c r="AN22" s="19">
        <f t="shared" si="10"/>
        <v>5.4722308526357528</v>
      </c>
      <c r="AO22" s="19">
        <f t="shared" si="11"/>
        <v>0.28728742708290561</v>
      </c>
      <c r="AP22" s="19">
        <f t="shared" si="12"/>
        <v>100</v>
      </c>
      <c r="AQ22" s="19">
        <f t="shared" si="14"/>
        <v>100</v>
      </c>
      <c r="AR22" s="19" t="e">
        <f>(#REF!-MIN(#REF!))/(MAX(#REF!)-MIN(#REF!))*100</f>
        <v>#REF!</v>
      </c>
      <c r="AS22" s="19" t="e">
        <f t="shared" si="15"/>
        <v>#REF!</v>
      </c>
      <c r="AT22" s="19">
        <f t="shared" si="16"/>
        <v>1.6537910703645238</v>
      </c>
      <c r="AU22" s="19">
        <f t="shared" si="17"/>
        <v>0.24349711454069559</v>
      </c>
      <c r="AV22" s="19">
        <f t="shared" si="18"/>
        <v>3.8867313656196757E-2</v>
      </c>
      <c r="AW22" s="19">
        <f t="shared" si="19"/>
        <v>2.108893686483071</v>
      </c>
      <c r="AX22" s="19">
        <f t="shared" si="20"/>
        <v>0.2988999902824151</v>
      </c>
      <c r="AY22" s="19">
        <f t="shared" si="21"/>
        <v>0.52744742390334709</v>
      </c>
      <c r="AZ22" s="19">
        <f t="shared" si="22"/>
        <v>1.0159239656157713</v>
      </c>
      <c r="BA22" s="19">
        <f t="shared" si="23"/>
        <v>0.22264347857217562</v>
      </c>
      <c r="BB22" s="19">
        <f t="shared" si="24"/>
        <v>0.64676579831679493</v>
      </c>
      <c r="BC22" s="20">
        <v>0.3</v>
      </c>
      <c r="BD22" s="43">
        <v>14601</v>
      </c>
      <c r="BE22">
        <v>0</v>
      </c>
      <c r="BF22">
        <v>0</v>
      </c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</row>
    <row r="23" spans="1:102" x14ac:dyDescent="0.35">
      <c r="A23" t="s">
        <v>757</v>
      </c>
      <c r="B23" t="s">
        <v>757</v>
      </c>
      <c r="C23" t="s">
        <v>813</v>
      </c>
      <c r="D23" t="s">
        <v>814</v>
      </c>
      <c r="E23" s="19">
        <v>2305</v>
      </c>
      <c r="F23" s="19">
        <v>1297.4547367780999</v>
      </c>
      <c r="G23" s="19">
        <v>0.56288708753930605</v>
      </c>
      <c r="H23" s="19">
        <v>216</v>
      </c>
      <c r="I23" s="19">
        <v>11694719.614</v>
      </c>
      <c r="J23" s="19">
        <v>54142.22</v>
      </c>
      <c r="K23" s="19">
        <v>209</v>
      </c>
      <c r="L23" s="19">
        <v>11583511</v>
      </c>
      <c r="M23" s="19">
        <v>55423</v>
      </c>
      <c r="N23" s="19">
        <v>622437.56999999995</v>
      </c>
      <c r="O23" s="19">
        <v>60019.38</v>
      </c>
      <c r="P23" s="19">
        <v>2105445.56</v>
      </c>
      <c r="Q23" s="19">
        <v>0.89</v>
      </c>
      <c r="R23" s="19">
        <v>42007658.560000002</v>
      </c>
      <c r="S23" s="19">
        <v>2045215.62</v>
      </c>
      <c r="T23" s="19">
        <f t="shared" si="13"/>
        <v>95.131326786331599</v>
      </c>
      <c r="U23" s="19">
        <v>12464</v>
      </c>
      <c r="V23" s="19">
        <v>37167019.719999999</v>
      </c>
      <c r="W23" s="19">
        <v>7565584.9819999998</v>
      </c>
      <c r="X23" s="49">
        <v>5478</v>
      </c>
      <c r="Y23" s="19">
        <v>23551002</v>
      </c>
      <c r="Z23" s="19">
        <v>7242350</v>
      </c>
      <c r="AA23" s="19">
        <v>439680</v>
      </c>
      <c r="AB23" s="19">
        <v>116074174.16999809</v>
      </c>
      <c r="AC23" s="19">
        <v>779387</v>
      </c>
      <c r="AD23" s="19">
        <f t="shared" si="0"/>
        <v>15.832587595511804</v>
      </c>
      <c r="AE23" s="19">
        <f t="shared" si="1"/>
        <v>11.45316159899096</v>
      </c>
      <c r="AF23" s="19">
        <f t="shared" si="2"/>
        <v>18.508207622804569</v>
      </c>
      <c r="AG23" s="19">
        <f t="shared" si="3"/>
        <v>10.557184750733137</v>
      </c>
      <c r="AH23" s="19">
        <f t="shared" si="4"/>
        <v>8.7558957403554167</v>
      </c>
      <c r="AI23" s="19">
        <f t="shared" si="5"/>
        <v>27.526040300070143</v>
      </c>
      <c r="AJ23" s="19">
        <f t="shared" si="6"/>
        <v>10.491967871485944</v>
      </c>
      <c r="AK23" s="19">
        <f t="shared" si="7"/>
        <v>8.9444642613839687</v>
      </c>
      <c r="AL23" s="19">
        <f t="shared" si="8"/>
        <v>28.177127024072803</v>
      </c>
      <c r="AM23" s="19">
        <f t="shared" si="9"/>
        <v>6.6651687218652871</v>
      </c>
      <c r="AN23" s="19">
        <f t="shared" si="10"/>
        <v>22.234069978179491</v>
      </c>
      <c r="AO23" s="19">
        <f t="shared" si="11"/>
        <v>8.5554177906015205</v>
      </c>
      <c r="AP23" s="19">
        <f t="shared" si="12"/>
        <v>89</v>
      </c>
      <c r="AQ23" s="19">
        <f t="shared" si="14"/>
        <v>89</v>
      </c>
      <c r="AR23" s="19" t="e">
        <f>(#REF!-MIN(#REF!))/(MAX(#REF!)-MIN(#REF!))*100</f>
        <v>#REF!</v>
      </c>
      <c r="AS23" s="19" t="e">
        <f t="shared" si="15"/>
        <v>#REF!</v>
      </c>
      <c r="AT23" s="19">
        <f t="shared" si="16"/>
        <v>12.957484397704347</v>
      </c>
      <c r="AU23" s="19">
        <f t="shared" si="17"/>
        <v>6.7493534322634874</v>
      </c>
      <c r="AV23" s="19">
        <f t="shared" si="18"/>
        <v>0.73871257577664218</v>
      </c>
      <c r="AW23" s="19">
        <f t="shared" si="19"/>
        <v>14.36206624190406</v>
      </c>
      <c r="AX23" s="19">
        <f t="shared" si="20"/>
        <v>7.3031835250846386</v>
      </c>
      <c r="AY23" s="19">
        <f t="shared" si="21"/>
        <v>9.6113551514136137</v>
      </c>
      <c r="AZ23" s="19">
        <f t="shared" si="22"/>
        <v>18.165766758964537</v>
      </c>
      <c r="BA23" s="19">
        <f t="shared" si="23"/>
        <v>21.051231033817295</v>
      </c>
      <c r="BB23" s="19">
        <f t="shared" si="24"/>
        <v>12.628120846716474</v>
      </c>
      <c r="BC23" s="20">
        <v>3.7</v>
      </c>
      <c r="BD23" s="43">
        <v>182840</v>
      </c>
      <c r="BE23">
        <v>3</v>
      </c>
      <c r="BF23">
        <v>0.4</v>
      </c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</row>
    <row r="24" spans="1:102" x14ac:dyDescent="0.35">
      <c r="A24" t="s">
        <v>976</v>
      </c>
      <c r="B24" t="s">
        <v>977</v>
      </c>
      <c r="C24" t="s">
        <v>976</v>
      </c>
      <c r="D24" t="s">
        <v>979</v>
      </c>
      <c r="E24" s="19">
        <v>2140</v>
      </c>
      <c r="F24" s="19">
        <v>1360.3427361081199</v>
      </c>
      <c r="G24" s="19">
        <v>0.63567417575145702</v>
      </c>
      <c r="H24" s="19">
        <v>236</v>
      </c>
      <c r="I24" s="19">
        <v>11763274.354</v>
      </c>
      <c r="J24" s="19">
        <v>49844.383000000002</v>
      </c>
      <c r="K24" s="19">
        <v>227</v>
      </c>
      <c r="L24" s="19">
        <v>11585530</v>
      </c>
      <c r="M24" s="19">
        <v>51038</v>
      </c>
      <c r="N24" s="19">
        <v>647041.92000000004</v>
      </c>
      <c r="O24" s="19">
        <v>82349.509999999995</v>
      </c>
      <c r="P24" s="19">
        <v>4768490.7</v>
      </c>
      <c r="Q24" s="19">
        <v>0.87</v>
      </c>
      <c r="R24" s="19">
        <v>39208716.799999997</v>
      </c>
      <c r="S24" s="19">
        <v>432563.02</v>
      </c>
      <c r="T24" s="19">
        <f t="shared" si="13"/>
        <v>98.896768230884817</v>
      </c>
      <c r="U24" s="19">
        <v>14320</v>
      </c>
      <c r="V24" s="19">
        <v>77312333.560000002</v>
      </c>
      <c r="W24" s="19">
        <v>4975492.1179999998</v>
      </c>
      <c r="X24" s="49">
        <v>5159</v>
      </c>
      <c r="Y24" s="19">
        <v>40131532</v>
      </c>
      <c r="Z24" s="19">
        <v>2837267</v>
      </c>
      <c r="AA24" s="19">
        <v>361201</v>
      </c>
      <c r="AB24" s="19">
        <v>24550022.86000013</v>
      </c>
      <c r="AC24" s="19">
        <v>659005</v>
      </c>
      <c r="AD24" s="19">
        <f t="shared" si="0"/>
        <v>14.696771528877264</v>
      </c>
      <c r="AE24" s="19">
        <f t="shared" si="1"/>
        <v>12.009358411613913</v>
      </c>
      <c r="AF24" s="19">
        <f t="shared" si="2"/>
        <v>24.922051528036643</v>
      </c>
      <c r="AG24" s="19">
        <f t="shared" si="3"/>
        <v>11.534701857282501</v>
      </c>
      <c r="AH24" s="19">
        <f t="shared" si="4"/>
        <v>8.8072230210222049</v>
      </c>
      <c r="AI24" s="19">
        <f t="shared" si="5"/>
        <v>25.34100920113972</v>
      </c>
      <c r="AJ24" s="19">
        <f t="shared" si="6"/>
        <v>11.39558232931727</v>
      </c>
      <c r="AK24" s="19">
        <f t="shared" si="7"/>
        <v>8.9460232768969465</v>
      </c>
      <c r="AL24" s="19">
        <f t="shared" si="8"/>
        <v>25.947787183202419</v>
      </c>
      <c r="AM24" s="19">
        <f t="shared" si="9"/>
        <v>6.9286363400584294</v>
      </c>
      <c r="AN24" s="19">
        <f t="shared" si="10"/>
        <v>30.506225955829464</v>
      </c>
      <c r="AO24" s="19">
        <f t="shared" si="11"/>
        <v>19.376625520109812</v>
      </c>
      <c r="AP24" s="19">
        <f t="shared" si="12"/>
        <v>87</v>
      </c>
      <c r="AQ24" s="19">
        <f t="shared" si="14"/>
        <v>87</v>
      </c>
      <c r="AR24" s="19" t="e">
        <f>(#REF!-MIN(#REF!))/(MAX(#REF!)-MIN(#REF!))*100</f>
        <v>#REF!</v>
      </c>
      <c r="AS24" s="19" t="e">
        <f t="shared" si="15"/>
        <v>#REF!</v>
      </c>
      <c r="AT24" s="19">
        <f t="shared" si="16"/>
        <v>14.897709572544141</v>
      </c>
      <c r="AU24" s="19">
        <f t="shared" si="17"/>
        <v>14.062313601124906</v>
      </c>
      <c r="AV24" s="19">
        <f t="shared" si="18"/>
        <v>0.48580722653762659</v>
      </c>
      <c r="AW24" s="19">
        <f t="shared" si="19"/>
        <v>13.522194723816543</v>
      </c>
      <c r="AX24" s="19">
        <f t="shared" si="20"/>
        <v>12.458120430052006</v>
      </c>
      <c r="AY24" s="19">
        <f t="shared" si="21"/>
        <v>3.765213335232199</v>
      </c>
      <c r="AZ24" s="19">
        <f t="shared" si="22"/>
        <v>14.92291729595469</v>
      </c>
      <c r="BA24" s="19">
        <f t="shared" si="23"/>
        <v>4.4523961234861753</v>
      </c>
      <c r="BB24" s="19">
        <f t="shared" si="24"/>
        <v>10.677452902311693</v>
      </c>
      <c r="BC24" s="20">
        <v>5.0999999999999996</v>
      </c>
      <c r="BD24" s="43">
        <v>231893</v>
      </c>
      <c r="BE24">
        <v>3</v>
      </c>
      <c r="BF24">
        <v>1.1000000000000001</v>
      </c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</row>
    <row r="25" spans="1:102" x14ac:dyDescent="0.35">
      <c r="A25" t="s">
        <v>976</v>
      </c>
      <c r="B25" t="s">
        <v>977</v>
      </c>
      <c r="C25" t="s">
        <v>4006</v>
      </c>
      <c r="D25" t="s">
        <v>985</v>
      </c>
      <c r="E25" s="19">
        <v>77</v>
      </c>
      <c r="F25" s="19">
        <v>52.828336350472803</v>
      </c>
      <c r="G25" s="19">
        <v>0.68608229026588097</v>
      </c>
      <c r="H25" s="19">
        <v>3</v>
      </c>
      <c r="I25" s="19">
        <v>51930.834000000003</v>
      </c>
      <c r="J25" s="19">
        <v>17310.277999999998</v>
      </c>
      <c r="K25" s="19">
        <v>3</v>
      </c>
      <c r="L25" s="19">
        <v>51931</v>
      </c>
      <c r="M25" s="19">
        <v>17310</v>
      </c>
      <c r="N25" s="19">
        <v>0</v>
      </c>
      <c r="O25" s="19">
        <v>0</v>
      </c>
      <c r="P25" s="19">
        <v>0</v>
      </c>
      <c r="Q25" s="19">
        <v>1</v>
      </c>
      <c r="R25" s="19">
        <v>284033.45</v>
      </c>
      <c r="S25" s="19">
        <v>0</v>
      </c>
      <c r="T25" s="19">
        <f t="shared" si="13"/>
        <v>50</v>
      </c>
      <c r="U25" s="19">
        <v>1453</v>
      </c>
      <c r="V25" s="19">
        <v>6590900.5300000003</v>
      </c>
      <c r="W25" s="19">
        <v>360230.83399999997</v>
      </c>
      <c r="X25" s="49">
        <v>534</v>
      </c>
      <c r="Y25" s="19">
        <v>3198826</v>
      </c>
      <c r="Z25" s="19">
        <v>360231</v>
      </c>
      <c r="AA25" s="19">
        <v>20117</v>
      </c>
      <c r="AB25" s="19">
        <v>819244.63999999699</v>
      </c>
      <c r="AC25" s="19">
        <v>33340</v>
      </c>
      <c r="AD25" s="19">
        <f t="shared" si="0"/>
        <v>0.49562882907689132</v>
      </c>
      <c r="AE25" s="19">
        <f t="shared" si="1"/>
        <v>0.44538198763075176</v>
      </c>
      <c r="AF25" s="19">
        <f t="shared" si="2"/>
        <v>29.363907714263444</v>
      </c>
      <c r="AG25" s="19">
        <f t="shared" si="3"/>
        <v>0.1466275659824047</v>
      </c>
      <c r="AH25" s="19">
        <f t="shared" si="4"/>
        <v>3.8880878141736033E-2</v>
      </c>
      <c r="AI25" s="19">
        <f t="shared" si="5"/>
        <v>8.8005887056980203</v>
      </c>
      <c r="AJ25" s="19">
        <f t="shared" si="6"/>
        <v>0.15060240963855423</v>
      </c>
      <c r="AK25" s="19">
        <f t="shared" si="7"/>
        <v>4.0099670433077758E-2</v>
      </c>
      <c r="AL25" s="19">
        <f t="shared" si="8"/>
        <v>8.8004270571188901</v>
      </c>
      <c r="AM25" s="19">
        <f t="shared" si="9"/>
        <v>0</v>
      </c>
      <c r="AN25" s="19">
        <f t="shared" si="10"/>
        <v>0</v>
      </c>
      <c r="AO25" s="19">
        <f t="shared" si="11"/>
        <v>0</v>
      </c>
      <c r="AP25" s="19">
        <f t="shared" si="12"/>
        <v>100</v>
      </c>
      <c r="AQ25" s="19">
        <f t="shared" si="14"/>
        <v>100</v>
      </c>
      <c r="AR25" s="19" t="e">
        <f>(#REF!-MIN(#REF!))/(MAX(#REF!)-MIN(#REF!))*100</f>
        <v>#REF!</v>
      </c>
      <c r="AS25" s="19" t="e">
        <f t="shared" si="15"/>
        <v>#REF!</v>
      </c>
      <c r="AT25" s="19">
        <f t="shared" si="16"/>
        <v>1.4468058415831235</v>
      </c>
      <c r="AU25" s="19">
        <f t="shared" si="17"/>
        <v>1.1795391658711605</v>
      </c>
      <c r="AV25" s="19">
        <f t="shared" si="18"/>
        <v>3.5157644399969455E-2</v>
      </c>
      <c r="AW25" s="19">
        <f t="shared" si="19"/>
        <v>1.3453741245853299</v>
      </c>
      <c r="AX25" s="19">
        <f t="shared" si="20"/>
        <v>0.97563047588831386</v>
      </c>
      <c r="AY25" s="19">
        <f t="shared" si="21"/>
        <v>0.47785104494464981</v>
      </c>
      <c r="AZ25" s="19">
        <f t="shared" si="22"/>
        <v>0.82890404092786019</v>
      </c>
      <c r="BA25" s="19">
        <f t="shared" si="23"/>
        <v>0.1485783406444777</v>
      </c>
      <c r="BB25" s="19">
        <f t="shared" si="24"/>
        <v>0.53918755171096244</v>
      </c>
      <c r="BC25" s="20">
        <v>0.5</v>
      </c>
      <c r="BD25" s="43">
        <v>20476</v>
      </c>
      <c r="BE25">
        <v>0</v>
      </c>
      <c r="BF25">
        <v>0</v>
      </c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</row>
    <row r="26" spans="1:102" x14ac:dyDescent="0.35">
      <c r="A26" t="s">
        <v>976</v>
      </c>
      <c r="B26" t="s">
        <v>977</v>
      </c>
      <c r="C26" t="s">
        <v>1005</v>
      </c>
      <c r="D26" t="s">
        <v>1006</v>
      </c>
      <c r="E26" s="19">
        <v>266</v>
      </c>
      <c r="F26" s="19">
        <v>194.58143444616999</v>
      </c>
      <c r="G26" s="19">
        <v>0.73150915205327005</v>
      </c>
      <c r="H26" s="19">
        <v>9</v>
      </c>
      <c r="I26" s="19">
        <v>614797.59600000002</v>
      </c>
      <c r="J26" s="19">
        <v>68310.843999999997</v>
      </c>
      <c r="K26" s="19">
        <v>8</v>
      </c>
      <c r="L26" s="19">
        <v>607012</v>
      </c>
      <c r="M26" s="19">
        <v>75876</v>
      </c>
      <c r="N26" s="19">
        <v>0</v>
      </c>
      <c r="O26" s="19">
        <v>0</v>
      </c>
      <c r="P26" s="19">
        <v>0</v>
      </c>
      <c r="Q26" s="19">
        <v>0.83</v>
      </c>
      <c r="R26" s="19">
        <v>905430.91</v>
      </c>
      <c r="S26" s="19">
        <v>47675.37</v>
      </c>
      <c r="T26" s="19">
        <f t="shared" si="13"/>
        <v>94.734510444314296</v>
      </c>
      <c r="U26" s="19">
        <v>1749</v>
      </c>
      <c r="V26" s="19">
        <v>6252753.7599999998</v>
      </c>
      <c r="W26" s="19">
        <v>507072.44699999999</v>
      </c>
      <c r="X26" s="49">
        <v>638</v>
      </c>
      <c r="Y26" s="19">
        <v>2944267</v>
      </c>
      <c r="Z26" s="19">
        <v>455779</v>
      </c>
      <c r="AA26" s="19">
        <v>14438</v>
      </c>
      <c r="AB26" s="19">
        <v>694768.43999999808</v>
      </c>
      <c r="AC26" s="19">
        <v>20401</v>
      </c>
      <c r="AD26" s="19">
        <f t="shared" si="0"/>
        <v>1.7966545054037311</v>
      </c>
      <c r="AE26" s="19">
        <f t="shared" si="1"/>
        <v>1.6990809791745942</v>
      </c>
      <c r="AF26" s="19">
        <f t="shared" si="2"/>
        <v>33.366826470398351</v>
      </c>
      <c r="AG26" s="19">
        <f t="shared" si="3"/>
        <v>0.43988269794721413</v>
      </c>
      <c r="AH26" s="19">
        <f t="shared" si="4"/>
        <v>0.46030207047913496</v>
      </c>
      <c r="AI26" s="19">
        <f t="shared" si="5"/>
        <v>34.729404240827293</v>
      </c>
      <c r="AJ26" s="19">
        <f t="shared" si="6"/>
        <v>0.40160642570281119</v>
      </c>
      <c r="AK26" s="19">
        <f t="shared" si="7"/>
        <v>0.4687177437161501</v>
      </c>
      <c r="AL26" s="19">
        <f t="shared" si="8"/>
        <v>38.575459467703801</v>
      </c>
      <c r="AM26" s="19">
        <f t="shared" si="9"/>
        <v>0</v>
      </c>
      <c r="AN26" s="19">
        <f t="shared" si="10"/>
        <v>0</v>
      </c>
      <c r="AO26" s="19">
        <f t="shared" si="11"/>
        <v>0</v>
      </c>
      <c r="AP26" s="19">
        <f t="shared" si="12"/>
        <v>83</v>
      </c>
      <c r="AQ26" s="19">
        <f t="shared" si="14"/>
        <v>83</v>
      </c>
      <c r="AR26" s="19" t="e">
        <f>(#REF!-MIN(#REF!))/(MAX(#REF!)-MIN(#REF!))*100</f>
        <v>#REF!</v>
      </c>
      <c r="AS26" s="19" t="e">
        <f t="shared" si="15"/>
        <v>#REF!</v>
      </c>
      <c r="AT26" s="19">
        <f t="shared" si="16"/>
        <v>1.7562383048118839</v>
      </c>
      <c r="AU26" s="19">
        <f t="shared" si="17"/>
        <v>1.1179415938582786</v>
      </c>
      <c r="AV26" s="19">
        <f t="shared" si="18"/>
        <v>4.9495751706760363E-2</v>
      </c>
      <c r="AW26" s="19">
        <f t="shared" si="19"/>
        <v>1.6191880364383131</v>
      </c>
      <c r="AX26" s="19">
        <f t="shared" si="20"/>
        <v>0.89648731317930608</v>
      </c>
      <c r="AY26" s="19">
        <f t="shared" si="21"/>
        <v>0.60465618306633828</v>
      </c>
      <c r="AZ26" s="19">
        <f t="shared" si="22"/>
        <v>0.59424072844384623</v>
      </c>
      <c r="BA26" s="19">
        <f t="shared" si="23"/>
        <v>0.1260033168448346</v>
      </c>
      <c r="BB26" s="19">
        <f t="shared" si="24"/>
        <v>0.32952420891342249</v>
      </c>
      <c r="BC26" s="20">
        <v>0.6</v>
      </c>
      <c r="BD26" s="43">
        <v>29852</v>
      </c>
      <c r="BE26">
        <v>0</v>
      </c>
      <c r="BF26">
        <v>0</v>
      </c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</row>
    <row r="27" spans="1:102" x14ac:dyDescent="0.35">
      <c r="A27" t="s">
        <v>976</v>
      </c>
      <c r="B27" t="s">
        <v>977</v>
      </c>
      <c r="C27" t="s">
        <v>1007</v>
      </c>
      <c r="D27" t="s">
        <v>1008</v>
      </c>
      <c r="E27" s="19">
        <v>215</v>
      </c>
      <c r="F27" s="19">
        <v>132.92759602044998</v>
      </c>
      <c r="G27" s="19">
        <v>0.61826788846721303</v>
      </c>
      <c r="H27" s="19">
        <v>9</v>
      </c>
      <c r="I27" s="19">
        <v>610930.27599999995</v>
      </c>
      <c r="J27" s="19">
        <v>67881.142000000007</v>
      </c>
      <c r="K27" s="19">
        <v>8</v>
      </c>
      <c r="L27" s="19">
        <v>217775</v>
      </c>
      <c r="M27" s="19">
        <v>27222</v>
      </c>
      <c r="N27" s="19">
        <v>0</v>
      </c>
      <c r="O27" s="19">
        <v>0</v>
      </c>
      <c r="P27" s="19">
        <v>150000</v>
      </c>
      <c r="Q27" s="19">
        <v>0.67</v>
      </c>
      <c r="R27" s="19">
        <v>699284.87</v>
      </c>
      <c r="S27" s="19">
        <v>220302.37</v>
      </c>
      <c r="T27" s="19">
        <f t="shared" si="13"/>
        <v>68.496047969692228</v>
      </c>
      <c r="U27" s="19">
        <v>1376</v>
      </c>
      <c r="V27" s="19">
        <v>4876608.49</v>
      </c>
      <c r="W27" s="19">
        <v>221895.96299999999</v>
      </c>
      <c r="X27" s="49">
        <v>626</v>
      </c>
      <c r="Y27" s="19">
        <v>2754501</v>
      </c>
      <c r="Z27" s="19">
        <v>213671</v>
      </c>
      <c r="AA27" s="19"/>
      <c r="AB27" s="19"/>
      <c r="AC27" s="19"/>
      <c r="AD27" s="19">
        <f t="shared" si="0"/>
        <v>1.4455840848075996</v>
      </c>
      <c r="AE27" s="19">
        <f t="shared" si="1"/>
        <v>1.1537993867613527</v>
      </c>
      <c r="AF27" s="19">
        <f t="shared" si="2"/>
        <v>23.388246393733585</v>
      </c>
      <c r="AG27" s="19">
        <f t="shared" si="3"/>
        <v>0.43988269794721413</v>
      </c>
      <c r="AH27" s="19">
        <f t="shared" si="4"/>
        <v>0.45740658842977872</v>
      </c>
      <c r="AI27" s="19">
        <f t="shared" si="5"/>
        <v>34.510942667418959</v>
      </c>
      <c r="AJ27" s="19">
        <f t="shared" si="6"/>
        <v>0.40160642570281119</v>
      </c>
      <c r="AK27" s="19">
        <f t="shared" si="7"/>
        <v>0.16815978372385487</v>
      </c>
      <c r="AL27" s="19">
        <f t="shared" si="8"/>
        <v>13.839701060016777</v>
      </c>
      <c r="AM27" s="19">
        <f t="shared" si="9"/>
        <v>0</v>
      </c>
      <c r="AN27" s="19">
        <f t="shared" si="10"/>
        <v>0</v>
      </c>
      <c r="AO27" s="19">
        <f t="shared" si="11"/>
        <v>0.60952070809668812</v>
      </c>
      <c r="AP27" s="19">
        <f t="shared" si="12"/>
        <v>67</v>
      </c>
      <c r="AQ27" s="19">
        <f t="shared" si="14"/>
        <v>67</v>
      </c>
      <c r="AR27" s="19" t="e">
        <f>(#REF!-MIN(#REF!))/(MAX(#REF!)-MIN(#REF!))*100</f>
        <v>#REF!</v>
      </c>
      <c r="AS27" s="19" t="e">
        <f t="shared" si="15"/>
        <v>#REF!</v>
      </c>
      <c r="AT27" s="19">
        <f t="shared" si="16"/>
        <v>1.3663115859459121</v>
      </c>
      <c r="AU27" s="19">
        <f t="shared" si="17"/>
        <v>0.86725989321979025</v>
      </c>
      <c r="AV27" s="19">
        <f t="shared" si="18"/>
        <v>2.1650163896679994E-2</v>
      </c>
      <c r="AW27" s="19">
        <f t="shared" si="19"/>
        <v>1.5875941235321995</v>
      </c>
      <c r="AX27" s="19">
        <f t="shared" si="20"/>
        <v>0.83748849005917425</v>
      </c>
      <c r="AY27" s="19">
        <f t="shared" si="21"/>
        <v>0.28334607317010019</v>
      </c>
      <c r="AZ27" s="19">
        <f t="shared" si="22"/>
        <v>-2.3553105848897319E-3</v>
      </c>
      <c r="BA27" s="19">
        <f t="shared" si="23"/>
        <v>0</v>
      </c>
      <c r="BB27" s="19">
        <f t="shared" si="24"/>
        <v>-1.0532589289620603E-3</v>
      </c>
      <c r="BC27" s="20">
        <v>0.6</v>
      </c>
      <c r="BD27" s="43">
        <v>28433</v>
      </c>
      <c r="BE27">
        <v>0</v>
      </c>
      <c r="BF27">
        <v>0</v>
      </c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</row>
    <row r="28" spans="1:102" x14ac:dyDescent="0.35">
      <c r="A28" t="s">
        <v>1231</v>
      </c>
      <c r="B28" t="s">
        <v>1231</v>
      </c>
      <c r="C28" t="s">
        <v>1231</v>
      </c>
      <c r="D28" t="s">
        <v>1232</v>
      </c>
      <c r="E28" s="19">
        <v>4640</v>
      </c>
      <c r="F28" s="19">
        <v>3303.1932252299198</v>
      </c>
      <c r="G28" s="19">
        <v>0.71189509164438003</v>
      </c>
      <c r="H28" s="19">
        <v>460</v>
      </c>
      <c r="I28" s="19">
        <v>20658289.576000001</v>
      </c>
      <c r="J28" s="19">
        <v>44909.324999999997</v>
      </c>
      <c r="K28" s="19">
        <v>453</v>
      </c>
      <c r="L28" s="19">
        <v>20607198</v>
      </c>
      <c r="M28" s="19">
        <v>45491</v>
      </c>
      <c r="N28" s="19">
        <v>866215.11</v>
      </c>
      <c r="O28" s="19">
        <v>111352.1</v>
      </c>
      <c r="P28" s="19">
        <v>5722332.9500000002</v>
      </c>
      <c r="Q28" s="19">
        <v>0.86</v>
      </c>
      <c r="R28" s="19">
        <v>73520913.079999998</v>
      </c>
      <c r="S28" s="19">
        <v>4496991.22</v>
      </c>
      <c r="T28" s="19">
        <f t="shared" si="13"/>
        <v>93.883384969516484</v>
      </c>
      <c r="U28" s="19">
        <v>26105</v>
      </c>
      <c r="V28" s="19">
        <v>74403297.099999994</v>
      </c>
      <c r="W28" s="19">
        <v>16097760.427999999</v>
      </c>
      <c r="X28" s="49">
        <v>9888</v>
      </c>
      <c r="Y28" s="19">
        <v>38759122</v>
      </c>
      <c r="Z28" s="19">
        <v>10302076</v>
      </c>
      <c r="AA28" s="19">
        <v>875304</v>
      </c>
      <c r="AB28" s="19">
        <v>159491303.6999962</v>
      </c>
      <c r="AC28" s="19">
        <v>2090404</v>
      </c>
      <c r="AD28" s="19">
        <f t="shared" si="0"/>
        <v>31.906105871824881</v>
      </c>
      <c r="AE28" s="19">
        <f t="shared" si="1"/>
        <v>29.192402250896304</v>
      </c>
      <c r="AF28" s="19">
        <f t="shared" si="2"/>
        <v>31.638477048812174</v>
      </c>
      <c r="AG28" s="19">
        <f t="shared" si="3"/>
        <v>22.482893450635384</v>
      </c>
      <c r="AH28" s="19">
        <f t="shared" si="4"/>
        <v>15.466965918959662</v>
      </c>
      <c r="AI28" s="19">
        <f t="shared" si="5"/>
        <v>22.832013349266937</v>
      </c>
      <c r="AJ28" s="19">
        <f t="shared" si="6"/>
        <v>22.740963855421686</v>
      </c>
      <c r="AK28" s="19">
        <f t="shared" si="7"/>
        <v>15.912303794442224</v>
      </c>
      <c r="AL28" s="19">
        <f t="shared" si="8"/>
        <v>23.127684994534686</v>
      </c>
      <c r="AM28" s="19">
        <f t="shared" si="9"/>
        <v>9.2755806137780219</v>
      </c>
      <c r="AN28" s="19">
        <f t="shared" si="10"/>
        <v>41.250182584645842</v>
      </c>
      <c r="AO28" s="19">
        <f t="shared" si="11"/>
        <v>23.252536210993398</v>
      </c>
      <c r="AP28" s="19">
        <f t="shared" si="12"/>
        <v>86</v>
      </c>
      <c r="AQ28" s="19">
        <f t="shared" si="14"/>
        <v>86</v>
      </c>
      <c r="AR28" s="19" t="e">
        <f>(#REF!-MIN(#REF!))/(MAX(#REF!)-MIN(#REF!))*100</f>
        <v>#REF!</v>
      </c>
      <c r="AS28" s="19" t="e">
        <f t="shared" si="15"/>
        <v>#REF!</v>
      </c>
      <c r="AT28" s="19">
        <f t="shared" si="16"/>
        <v>27.217512204810841</v>
      </c>
      <c r="AU28" s="19">
        <f t="shared" si="17"/>
        <v>13.532397012440796</v>
      </c>
      <c r="AV28" s="19">
        <f t="shared" si="18"/>
        <v>1.5718227861984968</v>
      </c>
      <c r="AW28" s="19">
        <f t="shared" si="19"/>
        <v>25.97282923490074</v>
      </c>
      <c r="AX28" s="19">
        <f t="shared" si="20"/>
        <v>12.031434011840629</v>
      </c>
      <c r="AY28" s="19">
        <f t="shared" si="21"/>
        <v>13.672025997946472</v>
      </c>
      <c r="AZ28" s="19">
        <f t="shared" si="22"/>
        <v>36.166289885841813</v>
      </c>
      <c r="BA28" s="19">
        <f t="shared" si="23"/>
        <v>28.925368679824341</v>
      </c>
      <c r="BB28" s="19">
        <f t="shared" si="24"/>
        <v>33.871818712424989</v>
      </c>
      <c r="BC28" s="20">
        <v>9.6999999999999993</v>
      </c>
      <c r="BD28" s="43">
        <v>495574</v>
      </c>
      <c r="BE28">
        <v>3</v>
      </c>
      <c r="BF28">
        <v>1.5</v>
      </c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</row>
    <row r="29" spans="1:102" x14ac:dyDescent="0.35">
      <c r="A29" t="s">
        <v>1231</v>
      </c>
      <c r="B29" t="s">
        <v>1231</v>
      </c>
      <c r="C29" t="s">
        <v>1241</v>
      </c>
      <c r="D29" t="s">
        <v>1242</v>
      </c>
      <c r="E29" s="19">
        <v>35</v>
      </c>
      <c r="F29" s="19">
        <v>20.346174988050301</v>
      </c>
      <c r="G29" s="19">
        <v>0.58131928537286703</v>
      </c>
      <c r="H29" s="19">
        <v>1</v>
      </c>
      <c r="I29" s="19">
        <v>3813.5830000000001</v>
      </c>
      <c r="J29" s="19">
        <v>3813.5830000000001</v>
      </c>
      <c r="K29" s="19">
        <v>1</v>
      </c>
      <c r="L29" s="19">
        <v>3814</v>
      </c>
      <c r="M29" s="19">
        <v>3814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f t="shared" si="13"/>
        <v>50</v>
      </c>
      <c r="U29" s="19">
        <v>264</v>
      </c>
      <c r="V29" s="19">
        <v>898910.69</v>
      </c>
      <c r="W29" s="19">
        <v>3328.277</v>
      </c>
      <c r="X29" s="49">
        <v>95</v>
      </c>
      <c r="Y29" s="19">
        <v>594907</v>
      </c>
      <c r="Z29" s="19">
        <v>3328</v>
      </c>
      <c r="AA29" s="19">
        <v>6636</v>
      </c>
      <c r="AB29" s="19">
        <v>278557.7599999996</v>
      </c>
      <c r="AC29" s="19">
        <v>13015</v>
      </c>
      <c r="AD29" s="19">
        <f t="shared" si="0"/>
        <v>0.2065120121153714</v>
      </c>
      <c r="AE29" s="19">
        <f t="shared" si="1"/>
        <v>0.15810182592492747</v>
      </c>
      <c r="AF29" s="19">
        <f t="shared" si="2"/>
        <v>20.132413819791598</v>
      </c>
      <c r="AG29" s="19">
        <f t="shared" si="3"/>
        <v>4.8875855327468229E-2</v>
      </c>
      <c r="AH29" s="19">
        <f t="shared" si="4"/>
        <v>2.8552488855926351E-3</v>
      </c>
      <c r="AI29" s="19">
        <f t="shared" si="5"/>
        <v>1.9388351520433107</v>
      </c>
      <c r="AJ29" s="19">
        <f t="shared" si="6"/>
        <v>5.0200803212851398E-2</v>
      </c>
      <c r="AK29" s="19">
        <f t="shared" si="7"/>
        <v>2.9450644707738837E-3</v>
      </c>
      <c r="AL29" s="19">
        <f t="shared" si="8"/>
        <v>1.9390426802918224</v>
      </c>
      <c r="AM29" s="19">
        <f t="shared" si="9"/>
        <v>0</v>
      </c>
      <c r="AN29" s="19">
        <f t="shared" si="10"/>
        <v>0</v>
      </c>
      <c r="AO29" s="19">
        <f t="shared" si="11"/>
        <v>0</v>
      </c>
      <c r="AP29" s="19">
        <f t="shared" si="12"/>
        <v>0</v>
      </c>
      <c r="AQ29" s="19">
        <f t="shared" si="14"/>
        <v>50</v>
      </c>
      <c r="AR29" s="19" t="e">
        <f>(#REF!-MIN(#REF!))/(MAX(#REF!)-MIN(#REF!))*100</f>
        <v>#REF!</v>
      </c>
      <c r="AS29" s="19" t="e">
        <f t="shared" si="15"/>
        <v>#REF!</v>
      </c>
      <c r="AT29" s="19">
        <f t="shared" si="16"/>
        <v>0.20384908895137938</v>
      </c>
      <c r="AU29" s="19">
        <f t="shared" si="17"/>
        <v>0.14267356438695275</v>
      </c>
      <c r="AV29" s="19">
        <f t="shared" si="18"/>
        <v>3.0848239618476843E-4</v>
      </c>
      <c r="AW29" s="19">
        <f t="shared" si="19"/>
        <v>0.18956347743668053</v>
      </c>
      <c r="AX29" s="19">
        <f t="shared" si="20"/>
        <v>0.16606418635198905</v>
      </c>
      <c r="AY29" s="19">
        <f t="shared" si="21"/>
        <v>4.1924208913469031E-3</v>
      </c>
      <c r="AZ29" s="19">
        <f t="shared" si="22"/>
        <v>0.2718524269822728</v>
      </c>
      <c r="BA29" s="19">
        <f t="shared" si="23"/>
        <v>5.051928048554917E-2</v>
      </c>
      <c r="BB29" s="19">
        <f t="shared" si="24"/>
        <v>0.20984158661628738</v>
      </c>
      <c r="BC29" s="20">
        <v>0.1</v>
      </c>
      <c r="BD29" s="43">
        <v>2859</v>
      </c>
      <c r="BE29">
        <v>0</v>
      </c>
      <c r="BF29">
        <v>0</v>
      </c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</row>
    <row r="30" spans="1:102" x14ac:dyDescent="0.35">
      <c r="A30" t="s">
        <v>1231</v>
      </c>
      <c r="B30" t="s">
        <v>1231</v>
      </c>
      <c r="C30" t="s">
        <v>1243</v>
      </c>
      <c r="D30" t="s">
        <v>1244</v>
      </c>
      <c r="E30" s="19">
        <v>15</v>
      </c>
      <c r="F30" s="19">
        <v>7.5445439899083802</v>
      </c>
      <c r="G30" s="19">
        <v>0.50296959932722496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f t="shared" si="13"/>
        <v>50</v>
      </c>
      <c r="U30" s="19">
        <v>170</v>
      </c>
      <c r="V30" s="19">
        <v>213595.31</v>
      </c>
      <c r="W30" s="19">
        <v>8813.7000000000007</v>
      </c>
      <c r="X30" s="49">
        <v>57</v>
      </c>
      <c r="Y30" s="19">
        <v>169458</v>
      </c>
      <c r="Z30" s="19">
        <v>8814</v>
      </c>
      <c r="AA30" s="19"/>
      <c r="AB30" s="19"/>
      <c r="AC30" s="19"/>
      <c r="AD30" s="19">
        <f t="shared" si="0"/>
        <v>6.8837337371790458E-2</v>
      </c>
      <c r="AE30" s="19">
        <f t="shared" si="1"/>
        <v>4.4881077397427832E-2</v>
      </c>
      <c r="AF30" s="19">
        <f t="shared" si="2"/>
        <v>13.228405586133507</v>
      </c>
      <c r="AG30" s="19">
        <f t="shared" si="3"/>
        <v>0</v>
      </c>
      <c r="AH30" s="19">
        <f t="shared" si="4"/>
        <v>0</v>
      </c>
      <c r="AI30" s="19">
        <f t="shared" si="5"/>
        <v>0</v>
      </c>
      <c r="AJ30" s="19">
        <f t="shared" si="6"/>
        <v>0</v>
      </c>
      <c r="AK30" s="19">
        <f t="shared" si="7"/>
        <v>0</v>
      </c>
      <c r="AL30" s="19">
        <f t="shared" si="8"/>
        <v>0</v>
      </c>
      <c r="AM30" s="19">
        <f t="shared" si="9"/>
        <v>0</v>
      </c>
      <c r="AN30" s="19">
        <f t="shared" si="10"/>
        <v>0</v>
      </c>
      <c r="AO30" s="19">
        <f t="shared" si="11"/>
        <v>0</v>
      </c>
      <c r="AP30" s="19">
        <f t="shared" si="12"/>
        <v>0</v>
      </c>
      <c r="AQ30" s="19">
        <f t="shared" si="14"/>
        <v>50</v>
      </c>
      <c r="AR30" s="19" t="e">
        <f>(#REF!-MIN(#REF!))/(MAX(#REF!)-MIN(#REF!))*100</f>
        <v>#REF!</v>
      </c>
      <c r="AS30" s="19" t="e">
        <f t="shared" si="15"/>
        <v>#REF!</v>
      </c>
      <c r="AT30" s="19">
        <f t="shared" si="16"/>
        <v>0.10558337427738111</v>
      </c>
      <c r="AU30" s="19">
        <f t="shared" si="17"/>
        <v>1.7834981806123973E-2</v>
      </c>
      <c r="AV30" s="19">
        <f t="shared" si="18"/>
        <v>8.4409748505701401E-4</v>
      </c>
      <c r="AW30" s="19">
        <f t="shared" si="19"/>
        <v>8.9516086567321365E-2</v>
      </c>
      <c r="AX30" s="19">
        <f t="shared" si="20"/>
        <v>3.379080599071823E-2</v>
      </c>
      <c r="AY30" s="19">
        <f t="shared" si="21"/>
        <v>1.1473085978377326E-2</v>
      </c>
      <c r="AZ30" s="19">
        <f t="shared" si="22"/>
        <v>-2.3553105848897319E-3</v>
      </c>
      <c r="BA30" s="19">
        <f t="shared" si="23"/>
        <v>0</v>
      </c>
      <c r="BB30" s="19">
        <f t="shared" si="24"/>
        <v>-1.0532589289620603E-3</v>
      </c>
      <c r="BC30" s="20">
        <v>0</v>
      </c>
      <c r="BD30" s="43">
        <v>1120</v>
      </c>
      <c r="BE30">
        <v>0</v>
      </c>
      <c r="BF30">
        <v>0</v>
      </c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</row>
    <row r="31" spans="1:102" x14ac:dyDescent="0.35">
      <c r="A31" t="s">
        <v>1231</v>
      </c>
      <c r="B31" t="s">
        <v>1231</v>
      </c>
      <c r="C31" t="s">
        <v>1245</v>
      </c>
      <c r="D31" t="s">
        <v>1246</v>
      </c>
      <c r="E31" s="19">
        <v>278</v>
      </c>
      <c r="F31" s="19">
        <v>148.63066143855102</v>
      </c>
      <c r="G31" s="19">
        <v>0.53464266704514796</v>
      </c>
      <c r="H31" s="19">
        <v>34</v>
      </c>
      <c r="I31" s="19">
        <v>964183.26699999999</v>
      </c>
      <c r="J31" s="19">
        <v>28358.330999999998</v>
      </c>
      <c r="K31" s="19">
        <v>32</v>
      </c>
      <c r="L31" s="19">
        <v>936208</v>
      </c>
      <c r="M31" s="19">
        <v>29256</v>
      </c>
      <c r="N31" s="19">
        <v>9513.2099999999991</v>
      </c>
      <c r="O31" s="19">
        <v>1427.04</v>
      </c>
      <c r="P31" s="19">
        <v>120006</v>
      </c>
      <c r="Q31" s="19">
        <v>0.93</v>
      </c>
      <c r="R31" s="19">
        <v>2887187.68</v>
      </c>
      <c r="S31" s="19">
        <v>38073.53</v>
      </c>
      <c r="T31" s="19">
        <f t="shared" si="13"/>
        <v>98.6812935555336</v>
      </c>
      <c r="U31" s="19">
        <v>2078</v>
      </c>
      <c r="V31" s="19">
        <v>3959371.79</v>
      </c>
      <c r="W31" s="19">
        <v>1361002.7439999999</v>
      </c>
      <c r="X31" s="49">
        <v>845</v>
      </c>
      <c r="Y31" s="19">
        <v>2588751</v>
      </c>
      <c r="Z31" s="19">
        <v>1192515</v>
      </c>
      <c r="AA31" s="19">
        <v>46936</v>
      </c>
      <c r="AB31" s="19">
        <v>3063006.04</v>
      </c>
      <c r="AC31" s="19">
        <v>83188</v>
      </c>
      <c r="AD31" s="19">
        <f t="shared" si="0"/>
        <v>1.8792593102498794</v>
      </c>
      <c r="AE31" s="19">
        <f t="shared" si="1"/>
        <v>1.2926811293355407</v>
      </c>
      <c r="AF31" s="19">
        <f t="shared" si="2"/>
        <v>16.019369166796295</v>
      </c>
      <c r="AG31" s="19">
        <f t="shared" si="3"/>
        <v>1.6617790811339197</v>
      </c>
      <c r="AH31" s="19">
        <f t="shared" si="4"/>
        <v>0.72188888995173728</v>
      </c>
      <c r="AI31" s="19">
        <f t="shared" si="5"/>
        <v>14.417446531537278</v>
      </c>
      <c r="AJ31" s="19">
        <f t="shared" si="6"/>
        <v>1.6064257028112447</v>
      </c>
      <c r="AK31" s="19">
        <f t="shared" si="7"/>
        <v>0.72291371737133614</v>
      </c>
      <c r="AL31" s="19">
        <f t="shared" si="8"/>
        <v>14.873789369328147</v>
      </c>
      <c r="AM31" s="19">
        <f t="shared" si="9"/>
        <v>0.10186909144404004</v>
      </c>
      <c r="AN31" s="19">
        <f t="shared" si="10"/>
        <v>0.52864436823008265</v>
      </c>
      <c r="AO31" s="19">
        <f t="shared" si="11"/>
        <v>0.48764094730567431</v>
      </c>
      <c r="AP31" s="19">
        <f t="shared" si="12"/>
        <v>93</v>
      </c>
      <c r="AQ31" s="19">
        <f t="shared" si="14"/>
        <v>93</v>
      </c>
      <c r="AR31" s="19" t="e">
        <f>(#REF!-MIN(#REF!))/(MAX(#REF!)-MIN(#REF!))*100</f>
        <v>#REF!</v>
      </c>
      <c r="AS31" s="19" t="e">
        <f t="shared" si="15"/>
        <v>#REF!</v>
      </c>
      <c r="AT31" s="19">
        <f t="shared" si="16"/>
        <v>2.1001683061708776</v>
      </c>
      <c r="AU31" s="19">
        <f t="shared" si="17"/>
        <v>0.70017400421038711</v>
      </c>
      <c r="AV31" s="19">
        <f t="shared" si="18"/>
        <v>0.13287636828242971</v>
      </c>
      <c r="AW31" s="19">
        <f t="shared" si="19"/>
        <v>2.1641830340687696</v>
      </c>
      <c r="AX31" s="19">
        <f t="shared" si="20"/>
        <v>0.7859563139466893</v>
      </c>
      <c r="AY31" s="19">
        <f t="shared" si="21"/>
        <v>1.5824046470762627</v>
      </c>
      <c r="AZ31" s="19">
        <f t="shared" si="22"/>
        <v>1.9370983317376449</v>
      </c>
      <c r="BA31" s="19">
        <f t="shared" si="23"/>
        <v>0.55550727168286917</v>
      </c>
      <c r="BB31" s="19">
        <f t="shared" si="24"/>
        <v>1.3469237223402053</v>
      </c>
      <c r="BC31" s="20">
        <v>0.5</v>
      </c>
      <c r="BD31" s="43">
        <v>21756</v>
      </c>
      <c r="BE31">
        <v>0</v>
      </c>
      <c r="BF31">
        <v>0</v>
      </c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</row>
    <row r="32" spans="1:102" x14ac:dyDescent="0.35">
      <c r="A32" t="s">
        <v>1231</v>
      </c>
      <c r="B32" t="s">
        <v>1231</v>
      </c>
      <c r="C32" t="s">
        <v>1247</v>
      </c>
      <c r="D32" t="s">
        <v>1248</v>
      </c>
      <c r="E32" s="19">
        <v>18</v>
      </c>
      <c r="F32" s="19">
        <v>6.6478866007172206</v>
      </c>
      <c r="G32" s="19">
        <v>0.36932703337317896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f t="shared" si="13"/>
        <v>50</v>
      </c>
      <c r="U32" s="19">
        <v>240</v>
      </c>
      <c r="V32" s="19">
        <v>516108.23</v>
      </c>
      <c r="W32" s="19">
        <v>29846.761999999999</v>
      </c>
      <c r="X32" s="49">
        <v>87</v>
      </c>
      <c r="Y32" s="19">
        <v>208570</v>
      </c>
      <c r="Z32" s="19">
        <v>29847</v>
      </c>
      <c r="AA32" s="19"/>
      <c r="AB32" s="19"/>
      <c r="AC32" s="19"/>
      <c r="AD32" s="19">
        <f t="shared" si="0"/>
        <v>8.9488538583327601E-2</v>
      </c>
      <c r="AE32" s="19">
        <f t="shared" si="1"/>
        <v>3.6950820636264224E-2</v>
      </c>
      <c r="AF32" s="19">
        <f t="shared" si="2"/>
        <v>1.4521059953931843</v>
      </c>
      <c r="AG32" s="19">
        <f t="shared" si="3"/>
        <v>0</v>
      </c>
      <c r="AH32" s="19">
        <f t="shared" si="4"/>
        <v>0</v>
      </c>
      <c r="AI32" s="19">
        <f t="shared" si="5"/>
        <v>0</v>
      </c>
      <c r="AJ32" s="19">
        <f t="shared" si="6"/>
        <v>0</v>
      </c>
      <c r="AK32" s="19">
        <f t="shared" si="7"/>
        <v>0</v>
      </c>
      <c r="AL32" s="19">
        <f t="shared" si="8"/>
        <v>0</v>
      </c>
      <c r="AM32" s="19">
        <f t="shared" si="9"/>
        <v>0</v>
      </c>
      <c r="AN32" s="19">
        <f t="shared" si="10"/>
        <v>0</v>
      </c>
      <c r="AO32" s="19">
        <f t="shared" si="11"/>
        <v>0</v>
      </c>
      <c r="AP32" s="19">
        <f t="shared" si="12"/>
        <v>0</v>
      </c>
      <c r="AQ32" s="19">
        <f t="shared" si="14"/>
        <v>50</v>
      </c>
      <c r="AR32" s="19" t="e">
        <f>(#REF!-MIN(#REF!))/(MAX(#REF!)-MIN(#REF!))*100</f>
        <v>#REF!</v>
      </c>
      <c r="AS32" s="19" t="e">
        <f t="shared" si="15"/>
        <v>#REF!</v>
      </c>
      <c r="AT32" s="19">
        <f t="shared" si="16"/>
        <v>0.1787599703112096</v>
      </c>
      <c r="AU32" s="19">
        <f t="shared" si="17"/>
        <v>7.2941411994787847E-2</v>
      </c>
      <c r="AV32" s="19">
        <f t="shared" si="18"/>
        <v>2.8978361616158587E-3</v>
      </c>
      <c r="AW32" s="19">
        <f t="shared" si="19"/>
        <v>0.16850086883260493</v>
      </c>
      <c r="AX32" s="19">
        <f t="shared" si="20"/>
        <v>4.5950845038148176E-2</v>
      </c>
      <c r="AY32" s="19">
        <f t="shared" si="21"/>
        <v>3.9386725930165678E-2</v>
      </c>
      <c r="AZ32" s="19">
        <f t="shared" si="22"/>
        <v>-2.3553105848897319E-3</v>
      </c>
      <c r="BA32" s="19">
        <f t="shared" si="23"/>
        <v>0</v>
      </c>
      <c r="BB32" s="19">
        <f t="shared" si="24"/>
        <v>-1.0532589289620603E-3</v>
      </c>
      <c r="BC32" s="20">
        <v>0.1</v>
      </c>
      <c r="BD32" s="43">
        <v>2527</v>
      </c>
      <c r="BE32">
        <v>0</v>
      </c>
      <c r="BF32">
        <v>0</v>
      </c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</row>
    <row r="33" spans="1:102" x14ac:dyDescent="0.35">
      <c r="A33" t="s">
        <v>1482</v>
      </c>
      <c r="B33" t="s">
        <v>1482</v>
      </c>
      <c r="C33" t="s">
        <v>1482</v>
      </c>
      <c r="D33" t="s">
        <v>1483</v>
      </c>
      <c r="E33" s="19">
        <v>5348</v>
      </c>
      <c r="F33" s="19">
        <v>3726.57664993142</v>
      </c>
      <c r="G33" s="19">
        <v>0.69681687545464099</v>
      </c>
      <c r="H33" s="19">
        <v>638</v>
      </c>
      <c r="I33" s="19">
        <v>38425977.387000002</v>
      </c>
      <c r="J33" s="19">
        <v>60228.805</v>
      </c>
      <c r="K33" s="19">
        <v>613</v>
      </c>
      <c r="L33" s="19">
        <v>37554648</v>
      </c>
      <c r="M33" s="19">
        <v>61264</v>
      </c>
      <c r="N33" s="19">
        <v>769467.41</v>
      </c>
      <c r="O33" s="19">
        <v>17339.419999999998</v>
      </c>
      <c r="P33" s="19">
        <v>6161821.9800000004</v>
      </c>
      <c r="Q33" s="19">
        <v>0.84</v>
      </c>
      <c r="R33" s="19">
        <v>88057432.950000003</v>
      </c>
      <c r="S33" s="19">
        <v>3891954.8</v>
      </c>
      <c r="T33" s="19">
        <f t="shared" si="13"/>
        <v>95.580208655174062</v>
      </c>
      <c r="U33" s="19">
        <v>44921</v>
      </c>
      <c r="V33" s="19">
        <v>275698564.95999998</v>
      </c>
      <c r="W33" s="19">
        <v>25945339.035</v>
      </c>
      <c r="X33" s="49">
        <v>15485</v>
      </c>
      <c r="Y33" s="19">
        <v>141968806</v>
      </c>
      <c r="Z33" s="19">
        <v>13343623</v>
      </c>
      <c r="AA33" s="19">
        <v>758781</v>
      </c>
      <c r="AB33" s="19">
        <v>63867484.893999472</v>
      </c>
      <c r="AC33" s="19">
        <v>1384450</v>
      </c>
      <c r="AD33" s="19">
        <f t="shared" si="0"/>
        <v>36.779789357747646</v>
      </c>
      <c r="AE33" s="19">
        <f t="shared" si="1"/>
        <v>32.936908577144706</v>
      </c>
      <c r="AF33" s="19">
        <f t="shared" si="2"/>
        <v>30.309816603865503</v>
      </c>
      <c r="AG33" s="19">
        <f t="shared" si="3"/>
        <v>31.182795698924732</v>
      </c>
      <c r="AH33" s="19">
        <f t="shared" si="4"/>
        <v>28.769723672472725</v>
      </c>
      <c r="AI33" s="19">
        <f t="shared" si="5"/>
        <v>30.620475363866976</v>
      </c>
      <c r="AJ33" s="19">
        <f t="shared" si="6"/>
        <v>30.773092369477911</v>
      </c>
      <c r="AK33" s="19">
        <f t="shared" si="7"/>
        <v>28.998652212170818</v>
      </c>
      <c r="AL33" s="19">
        <f t="shared" si="8"/>
        <v>31.146699204351911</v>
      </c>
      <c r="AM33" s="19">
        <f t="shared" si="9"/>
        <v>8.2395895762312268</v>
      </c>
      <c r="AN33" s="19">
        <f t="shared" si="10"/>
        <v>6.4233565501850398</v>
      </c>
      <c r="AO33" s="19">
        <f t="shared" si="11"/>
        <v>25.038387309435578</v>
      </c>
      <c r="AP33" s="19">
        <f t="shared" si="12"/>
        <v>84</v>
      </c>
      <c r="AQ33" s="19">
        <f t="shared" si="14"/>
        <v>84</v>
      </c>
      <c r="AR33" s="19" t="e">
        <f>(#REF!-MIN(#REF!))/(MAX(#REF!)-MIN(#REF!))*100</f>
        <v>#REF!</v>
      </c>
      <c r="AS33" s="19" t="e">
        <f t="shared" si="15"/>
        <v>#REF!</v>
      </c>
      <c r="AT33" s="19">
        <f t="shared" si="16"/>
        <v>46.887381218703936</v>
      </c>
      <c r="AU33" s="19">
        <f t="shared" si="17"/>
        <v>50.200793276757317</v>
      </c>
      <c r="AV33" s="19">
        <f t="shared" si="18"/>
        <v>2.5333733704952279</v>
      </c>
      <c r="AW33" s="19">
        <f t="shared" si="19"/>
        <v>40.708756779527143</v>
      </c>
      <c r="AX33" s="19">
        <f t="shared" si="20"/>
        <v>44.119636801595838</v>
      </c>
      <c r="AY33" s="19">
        <f t="shared" si="21"/>
        <v>17.708570849106174</v>
      </c>
      <c r="AZ33" s="19">
        <f t="shared" si="22"/>
        <v>31.351415231752235</v>
      </c>
      <c r="BA33" s="19">
        <f t="shared" si="23"/>
        <v>11.583017408190456</v>
      </c>
      <c r="BB33" s="19">
        <f t="shared" si="24"/>
        <v>22.432551728786798</v>
      </c>
      <c r="BC33" s="20">
        <v>13.1</v>
      </c>
      <c r="BD33" s="43">
        <v>673710</v>
      </c>
      <c r="BE33">
        <v>3</v>
      </c>
      <c r="BF33">
        <v>0.6</v>
      </c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</row>
    <row r="34" spans="1:102" x14ac:dyDescent="0.35">
      <c r="A34" t="s">
        <v>1482</v>
      </c>
      <c r="B34" t="s">
        <v>1482</v>
      </c>
      <c r="C34" t="s">
        <v>1484</v>
      </c>
      <c r="D34" t="s">
        <v>1485</v>
      </c>
      <c r="E34" s="19">
        <v>1025</v>
      </c>
      <c r="F34" s="19">
        <v>969.003057515769</v>
      </c>
      <c r="G34" s="19">
        <v>0.94536883660075</v>
      </c>
      <c r="H34" s="19">
        <v>134</v>
      </c>
      <c r="I34" s="19">
        <v>8318286.057</v>
      </c>
      <c r="J34" s="19">
        <v>62076.762000000002</v>
      </c>
      <c r="K34" s="19">
        <v>129</v>
      </c>
      <c r="L34" s="19">
        <v>8082159</v>
      </c>
      <c r="M34" s="19">
        <v>62652</v>
      </c>
      <c r="N34" s="19">
        <v>93105.94</v>
      </c>
      <c r="O34" s="19">
        <v>8925.68</v>
      </c>
      <c r="P34" s="19">
        <v>1075964.1200000001</v>
      </c>
      <c r="Q34" s="19">
        <v>0.86</v>
      </c>
      <c r="R34" s="19">
        <v>19027185.18</v>
      </c>
      <c r="S34" s="19">
        <v>669566.16</v>
      </c>
      <c r="T34" s="19">
        <f t="shared" si="13"/>
        <v>96.481002556784915</v>
      </c>
      <c r="U34" s="19">
        <v>9660</v>
      </c>
      <c r="V34" s="19">
        <v>66425527.82</v>
      </c>
      <c r="W34" s="19">
        <v>4619531.7139999997</v>
      </c>
      <c r="X34" s="49">
        <v>3229</v>
      </c>
      <c r="Y34" s="19">
        <v>35190408</v>
      </c>
      <c r="Z34" s="19">
        <v>3326056</v>
      </c>
      <c r="AA34" s="19">
        <v>183774</v>
      </c>
      <c r="AB34" s="19">
        <v>11516429.60999994</v>
      </c>
      <c r="AC34" s="19">
        <v>302038</v>
      </c>
      <c r="AD34" s="19">
        <f t="shared" ref="AD34:AD65" si="25">(E34-MIN($E$2:$E$170))/(MAX($E$2:$E$170)-MIN($E$2:$E$170))*100</f>
        <v>7.0214084119226268</v>
      </c>
      <c r="AE34" s="19">
        <f t="shared" ref="AE34:AE65" si="26">(F34-MIN($F$2:$F$170))/(MAX($F$2:$F$170)-MIN($F$2:$F$170))*100</f>
        <v>8.5482547955849775</v>
      </c>
      <c r="AF34" s="19">
        <f t="shared" ref="AF34:AF65" si="27">(G34-MIN($G$2:$G$170))/(MAX($G$2:$G$170)-MIN($G$2:$G$170))*100</f>
        <v>52.211688491966676</v>
      </c>
      <c r="AG34" s="19">
        <f t="shared" ref="AG34:AG65" si="28">(H34-MIN($H$2:$H$170))/(MAX($H$2:$H$170)-MIN($H$2:$H$170))*100</f>
        <v>6.5493646138807424</v>
      </c>
      <c r="AH34" s="19">
        <f t="shared" ref="AH34:AH65" si="29">(I34-MIN($I$2:$I$170))/(MAX($I$2:$I$170)-MIN($I$2:$I$170))*100</f>
        <v>6.2279428543419675</v>
      </c>
      <c r="AI34" s="19">
        <f t="shared" ref="AI34:AI65" si="30">(J34-MIN($J$2:$J$170))/(MAX($J$2:$J$170)-MIN($J$2:$J$170))*100</f>
        <v>31.559981332680167</v>
      </c>
      <c r="AJ34" s="19">
        <f t="shared" ref="AJ34:AJ65" si="31">(K34-MIN($K$2:$K$170))/(MAX($K$2:$K$170)-MIN($K$2:$K$170))*100</f>
        <v>6.475903614457831</v>
      </c>
      <c r="AK34" s="19">
        <f t="shared" ref="AK34:AK65" si="32">(L34-MIN($L$2:$L$170))/(MAX($L$2:$L$170)-MIN($L$2:$L$170))*100</f>
        <v>6.2408178600014113</v>
      </c>
      <c r="AL34" s="19">
        <f t="shared" ref="AL34:AL65" si="33">(M34-MIN($M$2:$M$170))/(MAX($M$2:$M$170)-MIN($M$2:$M$170))*100</f>
        <v>31.852360253183864</v>
      </c>
      <c r="AM34" s="19">
        <f t="shared" ref="AM34:AM65" si="34">(N34-MIN($N$2:$N$170))/(MAX($N$2:$N$170)-MIN($N$2:$N$170))*100</f>
        <v>0.99699444413014182</v>
      </c>
      <c r="AN34" s="19">
        <f t="shared" ref="AN34:AN65" si="35">(O34-MIN($O$2:$O$170))/(MAX($O$2:$O$170)-MIN($O$2:$O$170))*100</f>
        <v>3.3065018952684473</v>
      </c>
      <c r="AO34" s="19">
        <f t="shared" ref="AO34:AO65" si="36">(P34-MIN($P$2:$P$170))/(MAX($P$2:$P$170)-MIN($P$2:$P$170))*100</f>
        <v>4.3721494153935332</v>
      </c>
      <c r="AP34" s="19">
        <f t="shared" ref="AP34:AP65" si="37">(Q34-MIN($Q$2:$Q$170))/(MAX($Q$2:$Q$170)-MIN($Q$2:$Q$170))*100</f>
        <v>86</v>
      </c>
      <c r="AQ34" s="19">
        <f t="shared" si="14"/>
        <v>86</v>
      </c>
      <c r="AR34" s="19" t="e">
        <f>(#REF!-MIN(#REF!))/(MAX(#REF!)-MIN(#REF!))*100</f>
        <v>#REF!</v>
      </c>
      <c r="AS34" s="19" t="e">
        <f t="shared" si="15"/>
        <v>#REF!</v>
      </c>
      <c r="AT34" s="19">
        <f t="shared" si="16"/>
        <v>10.026239036577845</v>
      </c>
      <c r="AU34" s="19">
        <f t="shared" si="17"/>
        <v>12.079148715179358</v>
      </c>
      <c r="AV34" s="19">
        <f t="shared" si="18"/>
        <v>0.45105005951086125</v>
      </c>
      <c r="AW34" s="19">
        <f t="shared" si="19"/>
        <v>8.4408403980833029</v>
      </c>
      <c r="AX34" s="19">
        <f t="shared" si="20"/>
        <v>10.921910039936613</v>
      </c>
      <c r="AY34" s="19">
        <f t="shared" si="21"/>
        <v>4.4139025454444685</v>
      </c>
      <c r="AZ34" s="19">
        <f t="shared" si="22"/>
        <v>7.5914139425295959</v>
      </c>
      <c r="BA34" s="19">
        <f t="shared" si="23"/>
        <v>2.0886215399623818</v>
      </c>
      <c r="BB34" s="19">
        <f t="shared" si="24"/>
        <v>4.8931655162378496</v>
      </c>
      <c r="BC34" s="20">
        <v>2.2999999999999998</v>
      </c>
      <c r="BD34" s="43">
        <v>128886</v>
      </c>
      <c r="BE34">
        <v>1</v>
      </c>
      <c r="BF34">
        <v>0.2</v>
      </c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</row>
    <row r="35" spans="1:102" x14ac:dyDescent="0.35">
      <c r="A35" t="s">
        <v>1482</v>
      </c>
      <c r="B35" t="s">
        <v>1482</v>
      </c>
      <c r="C35" t="s">
        <v>1486</v>
      </c>
      <c r="D35" t="s">
        <v>1487</v>
      </c>
      <c r="E35" s="19">
        <v>380</v>
      </c>
      <c r="F35" s="19">
        <v>287.40892784552</v>
      </c>
      <c r="G35" s="19">
        <v>0.75633928380399995</v>
      </c>
      <c r="H35" s="19">
        <v>44</v>
      </c>
      <c r="I35" s="19">
        <v>2728171.0970000001</v>
      </c>
      <c r="J35" s="19">
        <v>62003.889000000003</v>
      </c>
      <c r="K35" s="19">
        <v>43</v>
      </c>
      <c r="L35" s="19">
        <v>2715182</v>
      </c>
      <c r="M35" s="19">
        <v>63144</v>
      </c>
      <c r="N35" s="19">
        <v>3527.16</v>
      </c>
      <c r="O35" s="19">
        <v>4.75</v>
      </c>
      <c r="P35" s="19">
        <v>817359.98</v>
      </c>
      <c r="Q35" s="19">
        <v>0.82</v>
      </c>
      <c r="R35" s="19">
        <v>5374782.2199999997</v>
      </c>
      <c r="S35" s="19">
        <v>3285.05</v>
      </c>
      <c r="T35" s="19">
        <f t="shared" si="13"/>
        <v>99.938880314298572</v>
      </c>
      <c r="U35" s="19">
        <v>4458</v>
      </c>
      <c r="V35" s="19">
        <v>29405361.359999999</v>
      </c>
      <c r="W35" s="19">
        <v>5732546.3260000004</v>
      </c>
      <c r="X35" s="49">
        <v>1462</v>
      </c>
      <c r="Y35" s="19">
        <v>16268488</v>
      </c>
      <c r="Z35" s="19">
        <v>580512</v>
      </c>
      <c r="AA35" s="19">
        <v>92169</v>
      </c>
      <c r="AB35" s="19">
        <v>5270113.7099999934</v>
      </c>
      <c r="AC35" s="19">
        <v>159205</v>
      </c>
      <c r="AD35" s="19">
        <f t="shared" si="25"/>
        <v>2.5814001514421423</v>
      </c>
      <c r="AE35" s="19">
        <f t="shared" si="26"/>
        <v>2.5200699834765778</v>
      </c>
      <c r="AF35" s="19">
        <f t="shared" si="27"/>
        <v>35.554805040599518</v>
      </c>
      <c r="AG35" s="19">
        <f t="shared" si="28"/>
        <v>2.1505376344086025</v>
      </c>
      <c r="AH35" s="19">
        <f t="shared" si="29"/>
        <v>2.0425955025537101</v>
      </c>
      <c r="AI35" s="19">
        <f t="shared" si="30"/>
        <v>31.52293251689856</v>
      </c>
      <c r="AJ35" s="19">
        <f t="shared" si="31"/>
        <v>2.1586345381526106</v>
      </c>
      <c r="AK35" s="19">
        <f t="shared" si="32"/>
        <v>2.0965878447521695</v>
      </c>
      <c r="AL35" s="19">
        <f t="shared" si="33"/>
        <v>32.102493708533515</v>
      </c>
      <c r="AM35" s="19">
        <f t="shared" si="34"/>
        <v>3.7769436875435346E-2</v>
      </c>
      <c r="AN35" s="19">
        <f t="shared" si="35"/>
        <v>1.7596288464884608E-3</v>
      </c>
      <c r="AO35" s="19">
        <f t="shared" si="36"/>
        <v>3.3213188918632985</v>
      </c>
      <c r="AP35" s="19">
        <f t="shared" si="37"/>
        <v>82</v>
      </c>
      <c r="AQ35" s="19">
        <f t="shared" si="14"/>
        <v>82</v>
      </c>
      <c r="AR35" s="19" t="e">
        <f>(#REF!-MIN(#REF!))/(MAX(#REF!)-MIN(#REF!))*100</f>
        <v>#REF!</v>
      </c>
      <c r="AS35" s="19" t="e">
        <f t="shared" si="15"/>
        <v>#REF!</v>
      </c>
      <c r="AT35" s="19">
        <f t="shared" si="16"/>
        <v>4.5881725713210466</v>
      </c>
      <c r="AU35" s="19">
        <f t="shared" si="17"/>
        <v>5.3354723836008402</v>
      </c>
      <c r="AV35" s="19">
        <f t="shared" si="18"/>
        <v>0.55972853705443226</v>
      </c>
      <c r="AW35" s="19">
        <f t="shared" si="19"/>
        <v>3.7886367226581017</v>
      </c>
      <c r="AX35" s="19">
        <f t="shared" si="20"/>
        <v>5.0390279052376536</v>
      </c>
      <c r="AY35" s="19">
        <f t="shared" si="21"/>
        <v>0.7701937693405938</v>
      </c>
      <c r="AZ35" s="19">
        <f t="shared" si="22"/>
        <v>3.8061819051818073</v>
      </c>
      <c r="BA35" s="19">
        <f t="shared" si="23"/>
        <v>0.9557886763098189</v>
      </c>
      <c r="BB35" s="19">
        <f t="shared" si="24"/>
        <v>2.5787019377695732</v>
      </c>
      <c r="BC35" s="20">
        <v>1.5</v>
      </c>
      <c r="BD35" s="43">
        <v>68134</v>
      </c>
      <c r="BE35">
        <v>0</v>
      </c>
      <c r="BF35">
        <v>0</v>
      </c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</row>
    <row r="36" spans="1:102" x14ac:dyDescent="0.35">
      <c r="A36" t="s">
        <v>1482</v>
      </c>
      <c r="B36" t="s">
        <v>1482</v>
      </c>
      <c r="C36" t="s">
        <v>1488</v>
      </c>
      <c r="D36" t="s">
        <v>1489</v>
      </c>
      <c r="E36" s="19">
        <v>406</v>
      </c>
      <c r="F36" s="19">
        <v>277.13064625691999</v>
      </c>
      <c r="G36" s="19">
        <v>0.68258779866236496</v>
      </c>
      <c r="H36" s="19">
        <v>76</v>
      </c>
      <c r="I36" s="19">
        <v>6217324.5599999996</v>
      </c>
      <c r="J36" s="19">
        <v>81806.902000000002</v>
      </c>
      <c r="K36" s="19">
        <v>73</v>
      </c>
      <c r="L36" s="19">
        <v>6158753</v>
      </c>
      <c r="M36" s="19">
        <v>84366</v>
      </c>
      <c r="N36" s="19">
        <v>61023.01</v>
      </c>
      <c r="O36" s="19">
        <v>374.86</v>
      </c>
      <c r="P36" s="19">
        <v>1419417.42</v>
      </c>
      <c r="Q36" s="19">
        <v>0.85</v>
      </c>
      <c r="R36" s="19">
        <v>15030519.42</v>
      </c>
      <c r="S36" s="19">
        <v>1661604.33</v>
      </c>
      <c r="T36" s="19">
        <f t="shared" si="13"/>
        <v>88.94513034733167</v>
      </c>
      <c r="U36" s="19">
        <v>6921</v>
      </c>
      <c r="V36" s="19">
        <v>44984078.689999998</v>
      </c>
      <c r="W36" s="19">
        <v>4014087.156</v>
      </c>
      <c r="X36" s="49">
        <v>2053</v>
      </c>
      <c r="Y36" s="19">
        <v>20510790</v>
      </c>
      <c r="Z36" s="19">
        <v>3633622</v>
      </c>
      <c r="AA36" s="19">
        <v>60537</v>
      </c>
      <c r="AB36" s="19">
        <v>3257774.4799999981</v>
      </c>
      <c r="AC36" s="19">
        <v>103617</v>
      </c>
      <c r="AD36" s="19">
        <f t="shared" si="25"/>
        <v>2.7603772286087973</v>
      </c>
      <c r="AE36" s="19">
        <f t="shared" si="26"/>
        <v>2.429166352899613</v>
      </c>
      <c r="AF36" s="19">
        <f t="shared" si="27"/>
        <v>29.055980522454796</v>
      </c>
      <c r="AG36" s="19">
        <f t="shared" si="28"/>
        <v>3.7145650048875858</v>
      </c>
      <c r="AH36" s="19">
        <f t="shared" si="29"/>
        <v>4.6549423524563958</v>
      </c>
      <c r="AI36" s="19">
        <f t="shared" si="30"/>
        <v>41.590833942086022</v>
      </c>
      <c r="AJ36" s="19">
        <f t="shared" si="31"/>
        <v>3.6646586345381524</v>
      </c>
      <c r="AK36" s="19">
        <f t="shared" si="32"/>
        <v>4.7556173687918379</v>
      </c>
      <c r="AL36" s="19">
        <f t="shared" si="33"/>
        <v>42.891786776481354</v>
      </c>
      <c r="AM36" s="19">
        <f t="shared" si="34"/>
        <v>0.65344490302227853</v>
      </c>
      <c r="AN36" s="19">
        <f t="shared" si="35"/>
        <v>0.13886620408308725</v>
      </c>
      <c r="AO36" s="19">
        <f t="shared" si="36"/>
        <v>5.76776207282116</v>
      </c>
      <c r="AP36" s="19">
        <f t="shared" si="37"/>
        <v>85</v>
      </c>
      <c r="AQ36" s="19">
        <f t="shared" si="14"/>
        <v>85</v>
      </c>
      <c r="AR36" s="19" t="e">
        <f>(#REF!-MIN(#REF!))/(MAX(#REF!)-MIN(#REF!))*100</f>
        <v>#REF!</v>
      </c>
      <c r="AS36" s="19" t="e">
        <f t="shared" si="15"/>
        <v>#REF!</v>
      </c>
      <c r="AT36" s="19">
        <f t="shared" si="16"/>
        <v>7.1629433717684696</v>
      </c>
      <c r="AU36" s="19">
        <f t="shared" si="17"/>
        <v>8.1733263799675839</v>
      </c>
      <c r="AV36" s="19">
        <f t="shared" si="18"/>
        <v>0.39193242341599899</v>
      </c>
      <c r="AW36" s="19">
        <f t="shared" si="19"/>
        <v>5.3446369332841872</v>
      </c>
      <c r="AX36" s="19">
        <f t="shared" si="20"/>
        <v>6.3579724228023435</v>
      </c>
      <c r="AY36" s="19">
        <f t="shared" si="21"/>
        <v>4.822084287726204</v>
      </c>
      <c r="AZ36" s="19">
        <f t="shared" si="22"/>
        <v>2.499108494283</v>
      </c>
      <c r="BA36" s="19">
        <f t="shared" si="23"/>
        <v>0.59083050751766619</v>
      </c>
      <c r="BB36" s="19">
        <f t="shared" si="24"/>
        <v>1.6779549017212194</v>
      </c>
      <c r="BC36" s="20">
        <v>2</v>
      </c>
      <c r="BD36" s="43">
        <v>104004</v>
      </c>
      <c r="BE36">
        <v>0</v>
      </c>
      <c r="BF36">
        <v>0</v>
      </c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</row>
    <row r="37" spans="1:102" x14ac:dyDescent="0.35">
      <c r="A37" t="s">
        <v>1482</v>
      </c>
      <c r="B37" t="s">
        <v>1482</v>
      </c>
      <c r="C37" t="s">
        <v>1490</v>
      </c>
      <c r="D37" t="s">
        <v>1491</v>
      </c>
      <c r="E37" s="19">
        <v>183</v>
      </c>
      <c r="F37" s="19">
        <v>118.47452482866601</v>
      </c>
      <c r="G37" s="19">
        <v>0.64740177502003604</v>
      </c>
      <c r="H37" s="19">
        <v>8</v>
      </c>
      <c r="I37" s="19">
        <v>803618.228</v>
      </c>
      <c r="J37" s="19">
        <v>100452.27899999999</v>
      </c>
      <c r="K37" s="19">
        <v>6</v>
      </c>
      <c r="L37" s="19">
        <v>755111</v>
      </c>
      <c r="M37" s="19">
        <v>125852</v>
      </c>
      <c r="N37" s="19">
        <v>116.77</v>
      </c>
      <c r="O37" s="19">
        <v>35.6</v>
      </c>
      <c r="P37" s="19">
        <v>0</v>
      </c>
      <c r="Q37" s="19">
        <v>0.6</v>
      </c>
      <c r="R37" s="19">
        <v>1491401.9</v>
      </c>
      <c r="S37" s="19">
        <v>0</v>
      </c>
      <c r="T37" s="19">
        <f t="shared" si="13"/>
        <v>50</v>
      </c>
      <c r="U37" s="19">
        <v>680</v>
      </c>
      <c r="V37" s="19">
        <v>2642397.9700000002</v>
      </c>
      <c r="W37" s="19">
        <v>884594.29099999997</v>
      </c>
      <c r="X37" s="49">
        <v>206</v>
      </c>
      <c r="Y37" s="19">
        <v>1510969</v>
      </c>
      <c r="Z37" s="19">
        <v>586374</v>
      </c>
      <c r="AA37" s="19">
        <v>26972</v>
      </c>
      <c r="AB37" s="19">
        <v>2002961.71</v>
      </c>
      <c r="AC37" s="19">
        <v>58365</v>
      </c>
      <c r="AD37" s="19">
        <f t="shared" si="25"/>
        <v>1.2253046052178702</v>
      </c>
      <c r="AE37" s="19">
        <f t="shared" si="26"/>
        <v>1.0259728981606007</v>
      </c>
      <c r="AF37" s="19">
        <f t="shared" si="27"/>
        <v>25.955462713170753</v>
      </c>
      <c r="AG37" s="19">
        <f t="shared" si="28"/>
        <v>0.39100684261974583</v>
      </c>
      <c r="AH37" s="19">
        <f t="shared" si="29"/>
        <v>0.60167303292964336</v>
      </c>
      <c r="AI37" s="19">
        <f t="shared" si="30"/>
        <v>51.070190324443466</v>
      </c>
      <c r="AJ37" s="19">
        <f t="shared" si="31"/>
        <v>0.30120481927710846</v>
      </c>
      <c r="AK37" s="19">
        <f t="shared" si="32"/>
        <v>0.58307566271382749</v>
      </c>
      <c r="AL37" s="19">
        <f t="shared" si="33"/>
        <v>63.983324436310021</v>
      </c>
      <c r="AM37" s="19">
        <f t="shared" si="34"/>
        <v>1.2503932750270999E-3</v>
      </c>
      <c r="AN37" s="19">
        <f t="shared" si="35"/>
        <v>1.3187955144208254E-2</v>
      </c>
      <c r="AO37" s="19">
        <f t="shared" si="36"/>
        <v>0</v>
      </c>
      <c r="AP37" s="19">
        <f t="shared" si="37"/>
        <v>60</v>
      </c>
      <c r="AQ37" s="19">
        <f t="shared" si="14"/>
        <v>60</v>
      </c>
      <c r="AR37" s="19" t="e">
        <f>(#REF!-MIN(#REF!))/(MAX(#REF!)-MIN(#REF!))*100</f>
        <v>#REF!</v>
      </c>
      <c r="AS37" s="19" t="e">
        <f t="shared" si="15"/>
        <v>#REF!</v>
      </c>
      <c r="AT37" s="19">
        <f t="shared" si="16"/>
        <v>0.63872714538098874</v>
      </c>
      <c r="AU37" s="19">
        <f t="shared" si="17"/>
        <v>0.46027110726262049</v>
      </c>
      <c r="AV37" s="19">
        <f t="shared" si="18"/>
        <v>8.6358250009129015E-2</v>
      </c>
      <c r="AW37" s="19">
        <f t="shared" si="19"/>
        <v>0.48180717181822968</v>
      </c>
      <c r="AX37" s="19">
        <f t="shared" si="20"/>
        <v>0.45087063168505237</v>
      </c>
      <c r="AY37" s="19">
        <f t="shared" si="21"/>
        <v>0.7779734373573951</v>
      </c>
      <c r="AZ37" s="19">
        <f t="shared" si="22"/>
        <v>1.112161129689599</v>
      </c>
      <c r="BA37" s="19">
        <f t="shared" si="23"/>
        <v>0.36325746024560707</v>
      </c>
      <c r="BB37" s="19">
        <f t="shared" si="24"/>
        <v>0.94469223936135571</v>
      </c>
      <c r="BC37" s="20">
        <v>0.2</v>
      </c>
      <c r="BD37" s="43">
        <v>10688</v>
      </c>
      <c r="BE37">
        <v>0</v>
      </c>
      <c r="BF37">
        <v>0</v>
      </c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</row>
    <row r="38" spans="1:102" x14ac:dyDescent="0.35">
      <c r="A38" t="s">
        <v>1482</v>
      </c>
      <c r="B38" t="s">
        <v>1482</v>
      </c>
      <c r="C38" t="s">
        <v>4007</v>
      </c>
      <c r="D38" t="s">
        <v>1493</v>
      </c>
      <c r="E38" s="19">
        <v>1657</v>
      </c>
      <c r="F38" s="19">
        <v>928.03234258002499</v>
      </c>
      <c r="G38" s="19">
        <v>0.56006779878094393</v>
      </c>
      <c r="H38" s="19">
        <v>225</v>
      </c>
      <c r="I38" s="19">
        <v>12989136.332</v>
      </c>
      <c r="J38" s="19">
        <v>57729.495000000003</v>
      </c>
      <c r="K38" s="19">
        <v>217</v>
      </c>
      <c r="L38" s="19">
        <v>12826986</v>
      </c>
      <c r="M38" s="19">
        <v>59111</v>
      </c>
      <c r="N38" s="19">
        <v>353044.39</v>
      </c>
      <c r="O38" s="19">
        <v>101982.67</v>
      </c>
      <c r="P38" s="19">
        <v>1790113.03</v>
      </c>
      <c r="Q38" s="19">
        <v>0.87</v>
      </c>
      <c r="R38" s="19">
        <v>33832675.950000003</v>
      </c>
      <c r="S38" s="19">
        <v>631051.26</v>
      </c>
      <c r="T38" s="19">
        <f t="shared" si="13"/>
        <v>98.134787620900553</v>
      </c>
      <c r="U38" s="19">
        <v>20398</v>
      </c>
      <c r="V38" s="19">
        <v>120284320.26000001</v>
      </c>
      <c r="W38" s="19">
        <v>6414019.2949999999</v>
      </c>
      <c r="X38" s="49">
        <v>8057</v>
      </c>
      <c r="Y38" s="19">
        <v>69147785</v>
      </c>
      <c r="Z38" s="19">
        <v>4887348</v>
      </c>
      <c r="AA38" s="19">
        <v>289306</v>
      </c>
      <c r="AB38" s="19">
        <v>18564591.510000009</v>
      </c>
      <c r="AC38" s="19">
        <v>533892</v>
      </c>
      <c r="AD38" s="19">
        <f t="shared" si="25"/>
        <v>11.371928133819784</v>
      </c>
      <c r="AE38" s="19">
        <f t="shared" si="26"/>
        <v>8.1858997946163505</v>
      </c>
      <c r="AF38" s="19">
        <f t="shared" si="27"/>
        <v>18.25977787428646</v>
      </c>
      <c r="AG38" s="19">
        <f t="shared" si="28"/>
        <v>10.997067448680351</v>
      </c>
      <c r="AH38" s="19">
        <f t="shared" si="29"/>
        <v>9.7250320857717814</v>
      </c>
      <c r="AI38" s="19">
        <f t="shared" si="30"/>
        <v>29.349819897904034</v>
      </c>
      <c r="AJ38" s="19">
        <f t="shared" si="31"/>
        <v>10.893574297188755</v>
      </c>
      <c r="AK38" s="19">
        <f t="shared" si="32"/>
        <v>9.9046409899617238</v>
      </c>
      <c r="AL38" s="19">
        <f t="shared" si="33"/>
        <v>30.052111136531177</v>
      </c>
      <c r="AM38" s="19">
        <f t="shared" si="34"/>
        <v>3.7804601442326344</v>
      </c>
      <c r="AN38" s="19">
        <f t="shared" si="35"/>
        <v>37.779294310297544</v>
      </c>
      <c r="AO38" s="19">
        <f t="shared" si="36"/>
        <v>7.2740730774580529</v>
      </c>
      <c r="AP38" s="19">
        <f t="shared" si="37"/>
        <v>87</v>
      </c>
      <c r="AQ38" s="19">
        <f t="shared" si="14"/>
        <v>87</v>
      </c>
      <c r="AR38" s="19" t="e">
        <f>(#REF!-MIN(#REF!))/(MAX(#REF!)-MIN(#REF!))*100</f>
        <v>#REF!</v>
      </c>
      <c r="AS38" s="19" t="e">
        <f t="shared" si="15"/>
        <v>#REF!</v>
      </c>
      <c r="AT38" s="19">
        <f t="shared" si="16"/>
        <v>21.251528868167135</v>
      </c>
      <c r="AU38" s="19">
        <f t="shared" si="17"/>
        <v>21.890186821057934</v>
      </c>
      <c r="AV38" s="19">
        <f t="shared" si="18"/>
        <v>0.62626984204676694</v>
      </c>
      <c r="AW38" s="19">
        <f t="shared" si="19"/>
        <v>21.152124690642935</v>
      </c>
      <c r="AX38" s="19">
        <f t="shared" si="20"/>
        <v>21.479361212678981</v>
      </c>
      <c r="AY38" s="19">
        <f t="shared" si="21"/>
        <v>6.485948508816672</v>
      </c>
      <c r="AZ38" s="19">
        <f t="shared" si="22"/>
        <v>11.952126866118775</v>
      </c>
      <c r="BA38" s="19">
        <f t="shared" si="23"/>
        <v>3.3668773240901158</v>
      </c>
      <c r="BB38" s="19">
        <f t="shared" si="24"/>
        <v>8.6501239118619964</v>
      </c>
      <c r="BC38" s="20">
        <v>5.6</v>
      </c>
      <c r="BD38" s="43">
        <v>234880</v>
      </c>
      <c r="BE38">
        <v>0</v>
      </c>
      <c r="BF38">
        <v>0</v>
      </c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</row>
    <row r="39" spans="1:102" x14ac:dyDescent="0.35">
      <c r="A39" t="s">
        <v>1482</v>
      </c>
      <c r="B39" t="s">
        <v>1482</v>
      </c>
      <c r="C39" t="s">
        <v>1494</v>
      </c>
      <c r="D39" t="s">
        <v>1495</v>
      </c>
      <c r="E39" s="19">
        <v>132</v>
      </c>
      <c r="F39" s="19">
        <v>67.255559573697298</v>
      </c>
      <c r="G39" s="19">
        <v>0.50951181495225206</v>
      </c>
      <c r="H39" s="19">
        <v>21</v>
      </c>
      <c r="I39" s="19">
        <v>1223985.94</v>
      </c>
      <c r="J39" s="19">
        <v>58285.044999999998</v>
      </c>
      <c r="K39" s="19">
        <v>20</v>
      </c>
      <c r="L39" s="19">
        <v>1220858</v>
      </c>
      <c r="M39" s="19">
        <v>61043</v>
      </c>
      <c r="N39" s="19">
        <v>0</v>
      </c>
      <c r="O39" s="19">
        <v>0</v>
      </c>
      <c r="P39" s="19">
        <v>0</v>
      </c>
      <c r="Q39" s="19">
        <v>0.89</v>
      </c>
      <c r="R39" s="19">
        <v>3329951.96</v>
      </c>
      <c r="S39" s="19">
        <v>0</v>
      </c>
      <c r="T39" s="19">
        <f t="shared" si="13"/>
        <v>50</v>
      </c>
      <c r="U39" s="19">
        <v>1284</v>
      </c>
      <c r="V39" s="19">
        <v>11658567.57</v>
      </c>
      <c r="W39" s="19">
        <v>268791.88900000002</v>
      </c>
      <c r="X39" s="49">
        <v>566</v>
      </c>
      <c r="Y39" s="19">
        <v>7504791</v>
      </c>
      <c r="Z39" s="19">
        <v>205941</v>
      </c>
      <c r="AA39" s="19"/>
      <c r="AB39" s="19"/>
      <c r="AC39" s="19"/>
      <c r="AD39" s="19">
        <f t="shared" si="25"/>
        <v>0.87423418462173885</v>
      </c>
      <c r="AE39" s="19">
        <f t="shared" si="26"/>
        <v>0.5729798704898883</v>
      </c>
      <c r="AF39" s="19">
        <f t="shared" si="27"/>
        <v>13.804891757568091</v>
      </c>
      <c r="AG39" s="19">
        <f t="shared" si="28"/>
        <v>1.0263929618768328</v>
      </c>
      <c r="AH39" s="19">
        <f t="shared" si="29"/>
        <v>0.91640446560781652</v>
      </c>
      <c r="AI39" s="19">
        <f t="shared" si="30"/>
        <v>29.632262909821605</v>
      </c>
      <c r="AJ39" s="19">
        <f t="shared" si="31"/>
        <v>1.0040160642570282</v>
      </c>
      <c r="AK39" s="19">
        <f t="shared" si="32"/>
        <v>0.94271251170950765</v>
      </c>
      <c r="AL39" s="19">
        <f t="shared" si="33"/>
        <v>31.034342509977375</v>
      </c>
      <c r="AM39" s="19">
        <f t="shared" si="34"/>
        <v>0</v>
      </c>
      <c r="AN39" s="19">
        <f t="shared" si="35"/>
        <v>0</v>
      </c>
      <c r="AO39" s="19">
        <f t="shared" si="36"/>
        <v>0</v>
      </c>
      <c r="AP39" s="19">
        <f t="shared" si="37"/>
        <v>89</v>
      </c>
      <c r="AQ39" s="19">
        <f t="shared" si="14"/>
        <v>89</v>
      </c>
      <c r="AR39" s="19" t="e">
        <f>(#REF!-MIN(#REF!))/(MAX(#REF!)-MIN(#REF!))*100</f>
        <v>#REF!</v>
      </c>
      <c r="AS39" s="19" t="e">
        <f t="shared" si="15"/>
        <v>#REF!</v>
      </c>
      <c r="AT39" s="19">
        <f t="shared" si="16"/>
        <v>1.2701366311585947</v>
      </c>
      <c r="AU39" s="19">
        <f t="shared" si="17"/>
        <v>2.1026767295796884</v>
      </c>
      <c r="AV39" s="19">
        <f t="shared" si="18"/>
        <v>2.6229239306586629E-2</v>
      </c>
      <c r="AW39" s="19">
        <f t="shared" si="19"/>
        <v>1.4296245590016323</v>
      </c>
      <c r="AX39" s="19">
        <f t="shared" si="20"/>
        <v>2.3143680126255477</v>
      </c>
      <c r="AY39" s="19">
        <f t="shared" si="21"/>
        <v>0.27308731612986231</v>
      </c>
      <c r="AZ39" s="19">
        <f t="shared" si="22"/>
        <v>-2.3553105848897319E-3</v>
      </c>
      <c r="BA39" s="19">
        <f t="shared" si="23"/>
        <v>0</v>
      </c>
      <c r="BB39" s="19">
        <f t="shared" si="24"/>
        <v>-1.0532589289620603E-3</v>
      </c>
      <c r="BC39" s="20">
        <v>0.5</v>
      </c>
      <c r="BD39" s="43">
        <v>21059</v>
      </c>
      <c r="BE39">
        <v>1</v>
      </c>
      <c r="BF39">
        <v>0.2</v>
      </c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</row>
    <row r="40" spans="1:102" x14ac:dyDescent="0.35">
      <c r="A40" t="s">
        <v>1496</v>
      </c>
      <c r="B40" t="s">
        <v>1496</v>
      </c>
      <c r="C40" t="s">
        <v>1496</v>
      </c>
      <c r="D40" t="s">
        <v>1497</v>
      </c>
      <c r="E40" s="19">
        <v>2118</v>
      </c>
      <c r="F40" s="19">
        <v>1549.2146086929802</v>
      </c>
      <c r="G40" s="19">
        <v>0.73145165660669698</v>
      </c>
      <c r="H40" s="19">
        <v>271</v>
      </c>
      <c r="I40" s="19">
        <v>13168728.630000001</v>
      </c>
      <c r="J40" s="19">
        <v>48593.095000000001</v>
      </c>
      <c r="K40" s="19">
        <v>265</v>
      </c>
      <c r="L40" s="19">
        <v>12687599</v>
      </c>
      <c r="M40" s="19">
        <v>47878</v>
      </c>
      <c r="N40" s="19">
        <v>1115680.3999999999</v>
      </c>
      <c r="O40" s="19">
        <v>58609.35</v>
      </c>
      <c r="P40" s="19">
        <v>2364743.5</v>
      </c>
      <c r="Q40" s="19">
        <v>0.92</v>
      </c>
      <c r="R40" s="19">
        <v>35913480.210000001</v>
      </c>
      <c r="S40" s="19">
        <v>544785.6</v>
      </c>
      <c r="T40" s="19">
        <f t="shared" si="13"/>
        <v>98.483060965368921</v>
      </c>
      <c r="U40" s="19">
        <v>18690</v>
      </c>
      <c r="V40" s="19">
        <v>74295098.409999996</v>
      </c>
      <c r="W40" s="19">
        <v>55291327.347999997</v>
      </c>
      <c r="X40" s="49">
        <v>8033</v>
      </c>
      <c r="Y40" s="19">
        <v>45955154</v>
      </c>
      <c r="Z40" s="19">
        <v>38301843</v>
      </c>
      <c r="AA40" s="19">
        <v>909572</v>
      </c>
      <c r="AB40" s="19">
        <v>177425871.76999691</v>
      </c>
      <c r="AC40" s="19">
        <v>1765695</v>
      </c>
      <c r="AD40" s="19">
        <f t="shared" si="25"/>
        <v>14.545329386659326</v>
      </c>
      <c r="AE40" s="19">
        <f t="shared" si="26"/>
        <v>13.679787343126797</v>
      </c>
      <c r="AF40" s="19">
        <f t="shared" si="27"/>
        <v>33.361760093536205</v>
      </c>
      <c r="AG40" s="19">
        <f t="shared" si="28"/>
        <v>13.245356793743889</v>
      </c>
      <c r="AH40" s="19">
        <f t="shared" si="29"/>
        <v>9.8594937478689548</v>
      </c>
      <c r="AI40" s="19">
        <f t="shared" si="30"/>
        <v>24.704851246866806</v>
      </c>
      <c r="AJ40" s="19">
        <f t="shared" si="31"/>
        <v>13.303212851405622</v>
      </c>
      <c r="AK40" s="19">
        <f t="shared" si="32"/>
        <v>9.7970102344851213</v>
      </c>
      <c r="AL40" s="19">
        <f t="shared" si="33"/>
        <v>24.34123897404611</v>
      </c>
      <c r="AM40" s="19">
        <f t="shared" si="34"/>
        <v>11.946897912473622</v>
      </c>
      <c r="AN40" s="19">
        <f t="shared" si="35"/>
        <v>21.711726933460728</v>
      </c>
      <c r="AO40" s="19">
        <f t="shared" si="36"/>
        <v>9.609067550580269</v>
      </c>
      <c r="AP40" s="19">
        <f t="shared" si="37"/>
        <v>92</v>
      </c>
      <c r="AQ40" s="19">
        <f t="shared" si="14"/>
        <v>92</v>
      </c>
      <c r="AR40" s="19" t="e">
        <f>(#REF!-MIN(#REF!))/(MAX(#REF!)-MIN(#REF!))*100</f>
        <v>#REF!</v>
      </c>
      <c r="AS40" s="19" t="e">
        <f t="shared" si="15"/>
        <v>#REF!</v>
      </c>
      <c r="AT40" s="19">
        <f t="shared" si="16"/>
        <v>19.466019924941719</v>
      </c>
      <c r="AU40" s="19">
        <f t="shared" si="17"/>
        <v>13.512687297044215</v>
      </c>
      <c r="AV40" s="19">
        <f t="shared" si="18"/>
        <v>5.3988140372061402</v>
      </c>
      <c r="AW40" s="19">
        <f t="shared" si="19"/>
        <v>21.088936864830711</v>
      </c>
      <c r="AX40" s="19">
        <f t="shared" si="20"/>
        <v>14.268702116426319</v>
      </c>
      <c r="AY40" s="19">
        <f t="shared" si="21"/>
        <v>50.831509417903931</v>
      </c>
      <c r="AZ40" s="19">
        <f t="shared" si="22"/>
        <v>37.582286080982193</v>
      </c>
      <c r="BA40" s="19">
        <f t="shared" si="23"/>
        <v>32.177984850759742</v>
      </c>
      <c r="BB40" s="19">
        <f t="shared" si="24"/>
        <v>28.610239426819735</v>
      </c>
      <c r="BC40" s="20">
        <v>7.5</v>
      </c>
      <c r="BD40" s="43">
        <v>348136</v>
      </c>
      <c r="BE40">
        <v>4</v>
      </c>
      <c r="BF40">
        <v>3.3</v>
      </c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</row>
    <row r="41" spans="1:102" x14ac:dyDescent="0.35">
      <c r="A41" t="s">
        <v>1496</v>
      </c>
      <c r="B41" t="s">
        <v>1496</v>
      </c>
      <c r="C41" t="s">
        <v>1502</v>
      </c>
      <c r="D41" t="s">
        <v>1503</v>
      </c>
      <c r="E41" s="19">
        <v>558</v>
      </c>
      <c r="F41" s="19">
        <v>323.04300018893497</v>
      </c>
      <c r="G41" s="19">
        <v>0.57893010786547505</v>
      </c>
      <c r="H41" s="19">
        <v>89</v>
      </c>
      <c r="I41" s="19">
        <v>4950386.8090000004</v>
      </c>
      <c r="J41" s="19">
        <v>55622.324000000001</v>
      </c>
      <c r="K41" s="19">
        <v>86</v>
      </c>
      <c r="L41" s="19">
        <v>4879651</v>
      </c>
      <c r="M41" s="19">
        <v>56740</v>
      </c>
      <c r="N41" s="19">
        <v>276892.46000000002</v>
      </c>
      <c r="O41" s="19">
        <v>40664.239999999998</v>
      </c>
      <c r="P41" s="19">
        <v>570154.51</v>
      </c>
      <c r="Q41" s="19">
        <v>0.91</v>
      </c>
      <c r="R41" s="19">
        <v>12571293.460000001</v>
      </c>
      <c r="S41" s="19">
        <v>285702.78999999998</v>
      </c>
      <c r="T41" s="19">
        <f t="shared" si="13"/>
        <v>97.727339745038449</v>
      </c>
      <c r="U41" s="19">
        <v>5953</v>
      </c>
      <c r="V41" s="19">
        <v>16445911.18</v>
      </c>
      <c r="W41" s="19">
        <v>2633826.89</v>
      </c>
      <c r="X41" s="49">
        <v>2691</v>
      </c>
      <c r="Y41" s="19">
        <v>10264428</v>
      </c>
      <c r="Z41" s="19">
        <v>1401813</v>
      </c>
      <c r="AA41" s="19">
        <v>216511</v>
      </c>
      <c r="AB41" s="19">
        <v>110829024.6399987</v>
      </c>
      <c r="AC41" s="19">
        <v>398083</v>
      </c>
      <c r="AD41" s="19">
        <f t="shared" si="25"/>
        <v>3.8067047566600118</v>
      </c>
      <c r="AE41" s="19">
        <f t="shared" si="26"/>
        <v>2.8352264150586235</v>
      </c>
      <c r="AF41" s="19">
        <f t="shared" si="27"/>
        <v>19.921884562876695</v>
      </c>
      <c r="AG41" s="19">
        <f t="shared" si="28"/>
        <v>4.3499511241446731</v>
      </c>
      <c r="AH41" s="19">
        <f t="shared" si="29"/>
        <v>3.7063796486531775</v>
      </c>
      <c r="AI41" s="19">
        <f t="shared" si="30"/>
        <v>28.278528882036209</v>
      </c>
      <c r="AJ41" s="19">
        <f t="shared" si="31"/>
        <v>4.3172690763052213</v>
      </c>
      <c r="AK41" s="19">
        <f t="shared" si="32"/>
        <v>3.7679304640472608</v>
      </c>
      <c r="AL41" s="19">
        <f t="shared" si="33"/>
        <v>28.846691578331935</v>
      </c>
      <c r="AM41" s="19">
        <f t="shared" si="34"/>
        <v>2.9650121597131993</v>
      </c>
      <c r="AN41" s="19">
        <f t="shared" si="35"/>
        <v>15.063993626216826</v>
      </c>
      <c r="AO41" s="19">
        <f t="shared" si="36"/>
        <v>2.3168065377314679</v>
      </c>
      <c r="AP41" s="19">
        <f t="shared" si="37"/>
        <v>91</v>
      </c>
      <c r="AQ41" s="19">
        <f t="shared" si="14"/>
        <v>91</v>
      </c>
      <c r="AR41" s="19" t="e">
        <f>(#REF!-MIN(#REF!))/(MAX(#REF!)-MIN(#REF!))*100</f>
        <v>#REF!</v>
      </c>
      <c r="AS41" s="19" t="e">
        <f t="shared" si="15"/>
        <v>#REF!</v>
      </c>
      <c r="AT41" s="19">
        <f t="shared" si="16"/>
        <v>6.151015586614955</v>
      </c>
      <c r="AU41" s="19">
        <f t="shared" si="17"/>
        <v>2.9747499502329124</v>
      </c>
      <c r="AV41" s="19">
        <f t="shared" si="18"/>
        <v>0.25715918440773672</v>
      </c>
      <c r="AW41" s="19">
        <f t="shared" si="19"/>
        <v>7.0243799694592175</v>
      </c>
      <c r="AX41" s="19">
        <f t="shared" si="20"/>
        <v>3.1723474991445815</v>
      </c>
      <c r="AY41" s="19">
        <f t="shared" si="21"/>
        <v>1.8601714428081795</v>
      </c>
      <c r="AZ41" s="19">
        <f t="shared" si="22"/>
        <v>8.9441473217845981</v>
      </c>
      <c r="BA41" s="19">
        <f t="shared" si="23"/>
        <v>20.099969865237082</v>
      </c>
      <c r="BB41" s="19">
        <f t="shared" si="24"/>
        <v>6.4494771136557132</v>
      </c>
      <c r="BC41" s="20">
        <v>1</v>
      </c>
      <c r="BD41" s="43">
        <v>48565</v>
      </c>
      <c r="BE41">
        <v>0</v>
      </c>
      <c r="BF41">
        <v>0</v>
      </c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</row>
    <row r="42" spans="1:102" x14ac:dyDescent="0.35">
      <c r="A42" t="s">
        <v>1496</v>
      </c>
      <c r="B42" t="s">
        <v>1496</v>
      </c>
      <c r="C42" t="s">
        <v>1504</v>
      </c>
      <c r="D42" t="s">
        <v>1505</v>
      </c>
      <c r="E42" s="19">
        <v>709</v>
      </c>
      <c r="F42" s="19">
        <v>422.48676985846004</v>
      </c>
      <c r="G42" s="19">
        <v>0.59589107173266498</v>
      </c>
      <c r="H42" s="19">
        <v>135</v>
      </c>
      <c r="I42" s="19">
        <v>5958206.8559999997</v>
      </c>
      <c r="J42" s="19">
        <v>44134.866000000002</v>
      </c>
      <c r="K42" s="19">
        <v>129</v>
      </c>
      <c r="L42" s="19">
        <v>5894660</v>
      </c>
      <c r="M42" s="19">
        <v>45695</v>
      </c>
      <c r="N42" s="19">
        <v>442945.06</v>
      </c>
      <c r="O42" s="19">
        <v>54403.9</v>
      </c>
      <c r="P42" s="19">
        <v>1864138.44</v>
      </c>
      <c r="Q42" s="19">
        <v>0.93</v>
      </c>
      <c r="R42" s="19">
        <v>23818168.699999999</v>
      </c>
      <c r="S42" s="19">
        <v>104393.46</v>
      </c>
      <c r="T42" s="19">
        <f t="shared" si="13"/>
        <v>99.561706605932301</v>
      </c>
      <c r="U42" s="19">
        <v>10704</v>
      </c>
      <c r="V42" s="19">
        <v>32328560.899999999</v>
      </c>
      <c r="W42" s="19">
        <v>5946941.6869999999</v>
      </c>
      <c r="X42" s="49">
        <v>4532</v>
      </c>
      <c r="Y42" s="19">
        <v>19251353</v>
      </c>
      <c r="Z42" s="19">
        <v>5523199</v>
      </c>
      <c r="AA42" s="19">
        <v>90825</v>
      </c>
      <c r="AB42" s="19">
        <v>6133200.0399999656</v>
      </c>
      <c r="AC42" s="19">
        <v>142963</v>
      </c>
      <c r="AD42" s="19">
        <f t="shared" si="25"/>
        <v>4.8461485509740481</v>
      </c>
      <c r="AE42" s="19">
        <f t="shared" si="26"/>
        <v>3.7147313812628582</v>
      </c>
      <c r="AF42" s="19">
        <f t="shared" si="27"/>
        <v>21.416448741750894</v>
      </c>
      <c r="AG42" s="19">
        <f t="shared" si="28"/>
        <v>6.5982404692082106</v>
      </c>
      <c r="AH42" s="19">
        <f t="shared" si="29"/>
        <v>4.4609396165559785</v>
      </c>
      <c r="AI42" s="19">
        <f t="shared" si="30"/>
        <v>22.438276453277968</v>
      </c>
      <c r="AJ42" s="19">
        <f t="shared" si="31"/>
        <v>6.475903614457831</v>
      </c>
      <c r="AK42" s="19">
        <f t="shared" si="32"/>
        <v>4.5516921167519611</v>
      </c>
      <c r="AL42" s="19">
        <f t="shared" si="33"/>
        <v>23.231398866265028</v>
      </c>
      <c r="AM42" s="19">
        <f t="shared" si="34"/>
        <v>4.7431320050567374</v>
      </c>
      <c r="AN42" s="19">
        <f t="shared" si="35"/>
        <v>20.153825642415487</v>
      </c>
      <c r="AO42" s="19">
        <f t="shared" si="36"/>
        <v>7.5748732129270362</v>
      </c>
      <c r="AP42" s="19">
        <f t="shared" si="37"/>
        <v>93</v>
      </c>
      <c r="AQ42" s="19">
        <f t="shared" si="14"/>
        <v>93</v>
      </c>
      <c r="AR42" s="19" t="e">
        <f>(#REF!-MIN(#REF!))/(MAX(#REF!)-MIN(#REF!))*100</f>
        <v>#REF!</v>
      </c>
      <c r="AS42" s="19" t="e">
        <f t="shared" si="15"/>
        <v>#REF!</v>
      </c>
      <c r="AT42" s="19">
        <f t="shared" si="16"/>
        <v>11.117615697425229</v>
      </c>
      <c r="AU42" s="19">
        <f t="shared" si="17"/>
        <v>5.8679689506186863</v>
      </c>
      <c r="AV42" s="19">
        <f t="shared" si="18"/>
        <v>0.58066281875628312</v>
      </c>
      <c r="AW42" s="19">
        <f t="shared" si="19"/>
        <v>11.87141277447212</v>
      </c>
      <c r="AX42" s="19">
        <f t="shared" si="20"/>
        <v>5.9664096518425866</v>
      </c>
      <c r="AY42" s="19">
        <f t="shared" si="21"/>
        <v>7.3298089128001536</v>
      </c>
      <c r="AZ42" s="19">
        <f t="shared" si="22"/>
        <v>3.7506461608644068</v>
      </c>
      <c r="BA42" s="19">
        <f t="shared" si="23"/>
        <v>1.1123181529559261</v>
      </c>
      <c r="BB42" s="19">
        <f t="shared" si="24"/>
        <v>2.3155168373972383</v>
      </c>
      <c r="BC42" s="20">
        <v>3.6</v>
      </c>
      <c r="BD42" s="43">
        <v>163263</v>
      </c>
      <c r="BE42">
        <v>2</v>
      </c>
      <c r="BF42">
        <v>0.3</v>
      </c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</row>
    <row r="43" spans="1:102" x14ac:dyDescent="0.35">
      <c r="A43" t="s">
        <v>1496</v>
      </c>
      <c r="B43" t="s">
        <v>1496</v>
      </c>
      <c r="C43" t="s">
        <v>1506</v>
      </c>
      <c r="D43" t="s">
        <v>1507</v>
      </c>
      <c r="E43" s="19">
        <v>764</v>
      </c>
      <c r="F43" s="19">
        <v>436.12624515960198</v>
      </c>
      <c r="G43" s="19">
        <v>0.57084587062775094</v>
      </c>
      <c r="H43" s="19">
        <v>83</v>
      </c>
      <c r="I43" s="19">
        <v>3847056.3029999998</v>
      </c>
      <c r="J43" s="19">
        <v>46350.076000000001</v>
      </c>
      <c r="K43" s="19">
        <v>81</v>
      </c>
      <c r="L43" s="19">
        <v>3814007</v>
      </c>
      <c r="M43" s="19">
        <v>47087</v>
      </c>
      <c r="N43" s="19">
        <v>236627.68</v>
      </c>
      <c r="O43" s="19">
        <v>32335.07</v>
      </c>
      <c r="P43" s="19">
        <v>947134.19</v>
      </c>
      <c r="Q43" s="19">
        <v>0.89</v>
      </c>
      <c r="R43" s="19">
        <v>10301117.970000001</v>
      </c>
      <c r="S43" s="19">
        <v>958998.65</v>
      </c>
      <c r="T43" s="19">
        <f t="shared" si="13"/>
        <v>90.690343972441667</v>
      </c>
      <c r="U43" s="19">
        <v>10011</v>
      </c>
      <c r="V43" s="19">
        <v>30318976.640000001</v>
      </c>
      <c r="W43" s="19">
        <v>4896645.3269999996</v>
      </c>
      <c r="X43" s="49">
        <v>4149</v>
      </c>
      <c r="Y43" s="19">
        <v>17661127</v>
      </c>
      <c r="Z43" s="19">
        <v>2696795</v>
      </c>
      <c r="AA43" s="19">
        <v>13402</v>
      </c>
      <c r="AB43" s="19">
        <v>575517.38999999862</v>
      </c>
      <c r="AC43" s="19">
        <v>21900</v>
      </c>
      <c r="AD43" s="19">
        <f t="shared" si="25"/>
        <v>5.2247539065188962</v>
      </c>
      <c r="AE43" s="19">
        <f t="shared" si="26"/>
        <v>3.8353622292650997</v>
      </c>
      <c r="AF43" s="19">
        <f t="shared" si="27"/>
        <v>19.209518716004268</v>
      </c>
      <c r="AG43" s="19">
        <f t="shared" si="28"/>
        <v>4.0566959921798631</v>
      </c>
      <c r="AH43" s="19">
        <f t="shared" si="29"/>
        <v>2.8803105168952325</v>
      </c>
      <c r="AI43" s="19">
        <f t="shared" si="30"/>
        <v>23.564494767434986</v>
      </c>
      <c r="AJ43" s="19">
        <f t="shared" si="31"/>
        <v>4.0662650602409638</v>
      </c>
      <c r="AK43" s="19">
        <f t="shared" si="32"/>
        <v>2.9450698759787333</v>
      </c>
      <c r="AL43" s="19">
        <f t="shared" si="33"/>
        <v>23.939093520425022</v>
      </c>
      <c r="AM43" s="19">
        <f t="shared" si="34"/>
        <v>2.5338499593839563</v>
      </c>
      <c r="AN43" s="19">
        <f t="shared" si="35"/>
        <v>11.978467773731291</v>
      </c>
      <c r="AO43" s="19">
        <f t="shared" si="36"/>
        <v>3.8486526810092201</v>
      </c>
      <c r="AP43" s="19">
        <f t="shared" si="37"/>
        <v>89</v>
      </c>
      <c r="AQ43" s="19">
        <f t="shared" si="14"/>
        <v>89</v>
      </c>
      <c r="AR43" s="19" t="e">
        <f>(#REF!-MIN(#REF!))/(MAX(#REF!)-MIN(#REF!))*100</f>
        <v>#REF!</v>
      </c>
      <c r="AS43" s="19" t="e">
        <f t="shared" si="15"/>
        <v>#REF!</v>
      </c>
      <c r="AT43" s="19">
        <f t="shared" si="16"/>
        <v>10.393167396690327</v>
      </c>
      <c r="AU43" s="19">
        <f t="shared" si="17"/>
        <v>5.5018985866424046</v>
      </c>
      <c r="AV43" s="19">
        <f t="shared" si="18"/>
        <v>0.47810836156973685</v>
      </c>
      <c r="AW43" s="19">
        <f t="shared" si="19"/>
        <v>10.863040387551997</v>
      </c>
      <c r="AX43" s="19">
        <f t="shared" si="20"/>
        <v>5.4720035807074279</v>
      </c>
      <c r="AY43" s="19">
        <f t="shared" si="21"/>
        <v>3.5787879640864939</v>
      </c>
      <c r="AZ43" s="19">
        <f t="shared" si="22"/>
        <v>0.55143192553251708</v>
      </c>
      <c r="BA43" s="19">
        <f t="shared" si="23"/>
        <v>0.10437592709577062</v>
      </c>
      <c r="BB43" s="19">
        <f t="shared" si="24"/>
        <v>0.3538139802136398</v>
      </c>
      <c r="BC43" s="20">
        <v>3.1</v>
      </c>
      <c r="BD43" s="43">
        <v>129034</v>
      </c>
      <c r="BE43">
        <v>2</v>
      </c>
      <c r="BF43">
        <v>0.4</v>
      </c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</row>
    <row r="44" spans="1:102" x14ac:dyDescent="0.35">
      <c r="A44" t="s">
        <v>1496</v>
      </c>
      <c r="B44" t="s">
        <v>1496</v>
      </c>
      <c r="C44" t="s">
        <v>1510</v>
      </c>
      <c r="D44" t="s">
        <v>1511</v>
      </c>
      <c r="E44" s="19">
        <v>2052</v>
      </c>
      <c r="F44" s="19">
        <v>1502.91585797776</v>
      </c>
      <c r="G44" s="19">
        <v>0.73241513546674608</v>
      </c>
      <c r="H44" s="19">
        <v>238</v>
      </c>
      <c r="I44" s="19">
        <v>14484891.189999999</v>
      </c>
      <c r="J44" s="19">
        <v>60860.887000000002</v>
      </c>
      <c r="K44" s="19">
        <v>233</v>
      </c>
      <c r="L44" s="19">
        <v>14403947</v>
      </c>
      <c r="M44" s="19">
        <v>61820</v>
      </c>
      <c r="N44" s="19">
        <v>640225.30000000005</v>
      </c>
      <c r="O44" s="19">
        <v>53382.33</v>
      </c>
      <c r="P44" s="19">
        <v>2087635.94</v>
      </c>
      <c r="Q44" s="19">
        <v>0.91</v>
      </c>
      <c r="R44" s="19">
        <v>37499039.899999999</v>
      </c>
      <c r="S44" s="19">
        <v>758984.1</v>
      </c>
      <c r="T44" s="19">
        <f t="shared" si="13"/>
        <v>97.97599057996149</v>
      </c>
      <c r="U44" s="19">
        <v>13389</v>
      </c>
      <c r="V44" s="19">
        <v>47716505.439999998</v>
      </c>
      <c r="W44" s="19">
        <v>15707301.411</v>
      </c>
      <c r="X44" s="49">
        <v>5621</v>
      </c>
      <c r="Y44" s="19">
        <v>26912087</v>
      </c>
      <c r="Z44" s="19">
        <v>14217976</v>
      </c>
      <c r="AA44" s="19">
        <v>446792</v>
      </c>
      <c r="AB44" s="19">
        <v>36842111.410000376</v>
      </c>
      <c r="AC44" s="19">
        <v>789576</v>
      </c>
      <c r="AD44" s="19">
        <f t="shared" si="25"/>
        <v>14.091002960005508</v>
      </c>
      <c r="AE44" s="19">
        <f t="shared" si="26"/>
        <v>13.270309893524775</v>
      </c>
      <c r="AF44" s="19">
        <f t="shared" si="27"/>
        <v>33.44665980811655</v>
      </c>
      <c r="AG44" s="19">
        <f t="shared" si="28"/>
        <v>11.632453567937437</v>
      </c>
      <c r="AH44" s="19">
        <f t="shared" si="29"/>
        <v>10.844911315206218</v>
      </c>
      <c r="AI44" s="19">
        <f t="shared" si="30"/>
        <v>30.941827436333696</v>
      </c>
      <c r="AJ44" s="19">
        <f t="shared" si="31"/>
        <v>11.696787148594376</v>
      </c>
      <c r="AK44" s="19">
        <f t="shared" si="32"/>
        <v>11.122326310595193</v>
      </c>
      <c r="AL44" s="19">
        <f t="shared" si="33"/>
        <v>31.429370344950303</v>
      </c>
      <c r="AM44" s="19">
        <f t="shared" si="34"/>
        <v>6.8556427988542223</v>
      </c>
      <c r="AN44" s="19">
        <f t="shared" si="35"/>
        <v>19.775386897003443</v>
      </c>
      <c r="AO44" s="19">
        <f t="shared" si="36"/>
        <v>8.4830489093126342</v>
      </c>
      <c r="AP44" s="19">
        <f t="shared" si="37"/>
        <v>91</v>
      </c>
      <c r="AQ44" s="19">
        <f t="shared" si="14"/>
        <v>91</v>
      </c>
      <c r="AR44" s="19" t="e">
        <f>(#REF!-MIN(#REF!))/(MAX(#REF!)-MIN(#REF!))*100</f>
        <v>#REF!</v>
      </c>
      <c r="AS44" s="19" t="e">
        <f t="shared" si="15"/>
        <v>#REF!</v>
      </c>
      <c r="AT44" s="19">
        <f t="shared" si="16"/>
        <v>13.924460845294224</v>
      </c>
      <c r="AU44" s="19">
        <f t="shared" si="17"/>
        <v>8.6710713488254854</v>
      </c>
      <c r="AV44" s="19">
        <f t="shared" si="18"/>
        <v>1.5336970589589705</v>
      </c>
      <c r="AW44" s="19">
        <f t="shared" si="19"/>
        <v>14.738560370701911</v>
      </c>
      <c r="AX44" s="19">
        <f t="shared" si="20"/>
        <v>8.3481550131632609</v>
      </c>
      <c r="AY44" s="19">
        <f t="shared" si="21"/>
        <v>18.868955712547717</v>
      </c>
      <c r="AZ44" s="19">
        <f t="shared" si="22"/>
        <v>18.459643405977445</v>
      </c>
      <c r="BA44" s="19">
        <f t="shared" si="23"/>
        <v>6.6816912944793332</v>
      </c>
      <c r="BB44" s="19">
        <f t="shared" si="24"/>
        <v>12.793223234827156</v>
      </c>
      <c r="BC44" s="20">
        <v>5.8</v>
      </c>
      <c r="BD44" s="43">
        <v>277381</v>
      </c>
      <c r="BE44">
        <v>6</v>
      </c>
      <c r="BF44">
        <v>3</v>
      </c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</row>
    <row r="45" spans="1:102" x14ac:dyDescent="0.35">
      <c r="A45" t="s">
        <v>1937</v>
      </c>
      <c r="B45" t="s">
        <v>1937</v>
      </c>
      <c r="C45" t="s">
        <v>4008</v>
      </c>
      <c r="D45" t="s">
        <v>1939</v>
      </c>
      <c r="E45" s="19">
        <v>1984</v>
      </c>
      <c r="F45" s="19">
        <v>1502.50518748945</v>
      </c>
      <c r="G45" s="19">
        <v>0.75731108240396094</v>
      </c>
      <c r="H45" s="19">
        <v>98</v>
      </c>
      <c r="I45" s="19">
        <v>4654236.1140000001</v>
      </c>
      <c r="J45" s="19">
        <v>47492.205000000002</v>
      </c>
      <c r="K45" s="19">
        <v>91</v>
      </c>
      <c r="L45" s="19">
        <v>4451801</v>
      </c>
      <c r="M45" s="19">
        <v>48921</v>
      </c>
      <c r="N45" s="19">
        <v>758868.55</v>
      </c>
      <c r="O45" s="19">
        <v>84973.48</v>
      </c>
      <c r="P45" s="19">
        <v>940892.29</v>
      </c>
      <c r="Q45" s="19">
        <v>0.8</v>
      </c>
      <c r="R45" s="19">
        <v>12492490.720000001</v>
      </c>
      <c r="S45" s="19">
        <v>585798.26</v>
      </c>
      <c r="T45" s="19">
        <f t="shared" si="13"/>
        <v>95.310796916885764</v>
      </c>
      <c r="U45" s="19">
        <v>13227</v>
      </c>
      <c r="V45" s="19">
        <v>52781904.490000002</v>
      </c>
      <c r="W45" s="19">
        <v>5492154.7920000004</v>
      </c>
      <c r="X45" s="49">
        <v>4208</v>
      </c>
      <c r="Y45" s="19">
        <v>30380531</v>
      </c>
      <c r="Z45" s="19">
        <v>3293512</v>
      </c>
      <c r="AA45" s="19">
        <v>675953</v>
      </c>
      <c r="AB45" s="19">
        <v>122807107.8399962</v>
      </c>
      <c r="AC45" s="19">
        <v>1492986</v>
      </c>
      <c r="AD45" s="19">
        <f t="shared" si="25"/>
        <v>13.62290906587733</v>
      </c>
      <c r="AE45" s="19">
        <f t="shared" si="26"/>
        <v>13.266677823510308</v>
      </c>
      <c r="AF45" s="19">
        <f t="shared" si="27"/>
        <v>35.640437873023117</v>
      </c>
      <c r="AG45" s="19">
        <f t="shared" si="28"/>
        <v>4.7898338220918868</v>
      </c>
      <c r="AH45" s="19">
        <f t="shared" si="29"/>
        <v>3.4846501250355626</v>
      </c>
      <c r="AI45" s="19">
        <f t="shared" si="30"/>
        <v>24.145156012612574</v>
      </c>
      <c r="AJ45" s="19">
        <f t="shared" si="31"/>
        <v>4.5682730923694779</v>
      </c>
      <c r="AK45" s="19">
        <f t="shared" si="32"/>
        <v>3.4375566219338349</v>
      </c>
      <c r="AL45" s="19">
        <f t="shared" si="33"/>
        <v>24.871501563334096</v>
      </c>
      <c r="AM45" s="19">
        <f t="shared" si="34"/>
        <v>8.1260951575710081</v>
      </c>
      <c r="AN45" s="19">
        <f t="shared" si="35"/>
        <v>31.478270862002166</v>
      </c>
      <c r="AO45" s="19">
        <f t="shared" si="36"/>
        <v>3.823288898956763</v>
      </c>
      <c r="AP45" s="19">
        <f t="shared" si="37"/>
        <v>80</v>
      </c>
      <c r="AQ45" s="19">
        <f t="shared" si="14"/>
        <v>80</v>
      </c>
      <c r="AR45" s="19" t="e">
        <f>(#REF!-MIN(#REF!))/(MAX(#REF!)-MIN(#REF!))*100</f>
        <v>#REF!</v>
      </c>
      <c r="AS45" s="19" t="e">
        <f t="shared" si="15"/>
        <v>#REF!</v>
      </c>
      <c r="AT45" s="19">
        <f t="shared" si="16"/>
        <v>13.755109294473074</v>
      </c>
      <c r="AU45" s="19">
        <f t="shared" si="17"/>
        <v>9.5937957704024193</v>
      </c>
      <c r="AV45" s="19">
        <f t="shared" si="18"/>
        <v>0.53625590188162142</v>
      </c>
      <c r="AW45" s="19">
        <f t="shared" si="19"/>
        <v>11.018377126007056</v>
      </c>
      <c r="AX45" s="19">
        <f t="shared" si="20"/>
        <v>9.4265047389206789</v>
      </c>
      <c r="AY45" s="19">
        <f t="shared" si="21"/>
        <v>4.3707122493102508</v>
      </c>
      <c r="AZ45" s="19">
        <f t="shared" si="22"/>
        <v>27.928859703239127</v>
      </c>
      <c r="BA45" s="19">
        <f t="shared" si="23"/>
        <v>22.272316975078571</v>
      </c>
      <c r="BB45" s="19">
        <f t="shared" si="24"/>
        <v>24.191267284384125</v>
      </c>
      <c r="BC45" s="20">
        <v>4.5</v>
      </c>
      <c r="BD45" s="43">
        <v>213876</v>
      </c>
      <c r="BE45">
        <v>2</v>
      </c>
      <c r="BF45">
        <v>1.5</v>
      </c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</row>
    <row r="46" spans="1:102" x14ac:dyDescent="0.35">
      <c r="A46" t="s">
        <v>1937</v>
      </c>
      <c r="B46" t="s">
        <v>1937</v>
      </c>
      <c r="C46" t="s">
        <v>4009</v>
      </c>
      <c r="D46" t="s">
        <v>1941</v>
      </c>
      <c r="E46" s="19">
        <v>561</v>
      </c>
      <c r="F46" s="19">
        <v>378.37789800050803</v>
      </c>
      <c r="G46" s="19">
        <v>0.67447040641801892</v>
      </c>
      <c r="H46" s="19">
        <v>50</v>
      </c>
      <c r="I46" s="19">
        <v>2372777.1710000001</v>
      </c>
      <c r="J46" s="19">
        <v>47455.542999999998</v>
      </c>
      <c r="K46" s="19">
        <v>46</v>
      </c>
      <c r="L46" s="19">
        <v>1947110</v>
      </c>
      <c r="M46" s="19">
        <v>42328</v>
      </c>
      <c r="N46" s="19">
        <v>5397.16</v>
      </c>
      <c r="O46" s="19">
        <v>39.58</v>
      </c>
      <c r="P46" s="19">
        <v>468495.39</v>
      </c>
      <c r="Q46" s="19">
        <v>0.83</v>
      </c>
      <c r="R46" s="19">
        <v>6530998.7800000003</v>
      </c>
      <c r="S46" s="19">
        <v>515800.88</v>
      </c>
      <c r="T46" s="19">
        <f t="shared" si="13"/>
        <v>92.102266477532552</v>
      </c>
      <c r="U46" s="19">
        <v>8000</v>
      </c>
      <c r="V46" s="19">
        <v>22569107.460000001</v>
      </c>
      <c r="W46" s="19">
        <v>2155018.8480000002</v>
      </c>
      <c r="X46" s="49">
        <v>2387</v>
      </c>
      <c r="Y46" s="19">
        <v>11105375</v>
      </c>
      <c r="Z46" s="19">
        <v>1170272</v>
      </c>
      <c r="AA46" s="19">
        <v>104282</v>
      </c>
      <c r="AB46" s="19">
        <v>5029121.0149999913</v>
      </c>
      <c r="AC46" s="19">
        <v>186463</v>
      </c>
      <c r="AD46" s="19">
        <f t="shared" si="25"/>
        <v>3.8273559578715499</v>
      </c>
      <c r="AE46" s="19">
        <f t="shared" si="26"/>
        <v>3.3246217546702983</v>
      </c>
      <c r="AF46" s="19">
        <f t="shared" si="27"/>
        <v>28.340693126687182</v>
      </c>
      <c r="AG46" s="19">
        <f t="shared" si="28"/>
        <v>2.4437927663734116</v>
      </c>
      <c r="AH46" s="19">
        <f t="shared" si="29"/>
        <v>1.7765102721659383</v>
      </c>
      <c r="AI46" s="19">
        <f t="shared" si="30"/>
        <v>24.126516959956785</v>
      </c>
      <c r="AJ46" s="19">
        <f t="shared" si="31"/>
        <v>2.3092369477911645</v>
      </c>
      <c r="AK46" s="19">
        <f t="shared" si="32"/>
        <v>1.5035040591737117</v>
      </c>
      <c r="AL46" s="19">
        <f t="shared" si="33"/>
        <v>21.519611581382343</v>
      </c>
      <c r="AM46" s="19">
        <f t="shared" si="34"/>
        <v>5.7793719005269008E-2</v>
      </c>
      <c r="AN46" s="19">
        <f t="shared" si="35"/>
        <v>1.4662338893476479E-2</v>
      </c>
      <c r="AO46" s="19">
        <f t="shared" si="36"/>
        <v>1.9037176123522268</v>
      </c>
      <c r="AP46" s="19">
        <f t="shared" si="37"/>
        <v>83</v>
      </c>
      <c r="AQ46" s="19">
        <f t="shared" si="14"/>
        <v>83</v>
      </c>
      <c r="AR46" s="19" t="e">
        <f>(#REF!-MIN(#REF!))/(MAX(#REF!)-MIN(#REF!))*100</f>
        <v>#REF!</v>
      </c>
      <c r="AS46" s="19" t="e">
        <f t="shared" si="15"/>
        <v>#REF!</v>
      </c>
      <c r="AT46" s="19">
        <f t="shared" si="16"/>
        <v>8.2909083306327673</v>
      </c>
      <c r="AU46" s="19">
        <f t="shared" si="17"/>
        <v>4.0901650813793982</v>
      </c>
      <c r="AV46" s="19">
        <f t="shared" si="18"/>
        <v>0.21040676222104743</v>
      </c>
      <c r="AW46" s="19">
        <f t="shared" si="19"/>
        <v>6.2240008425043447</v>
      </c>
      <c r="AX46" s="19">
        <f t="shared" si="20"/>
        <v>3.4338004638822341</v>
      </c>
      <c r="AY46" s="19">
        <f t="shared" si="21"/>
        <v>1.552885173228137</v>
      </c>
      <c r="AZ46" s="19">
        <f t="shared" si="22"/>
        <v>4.3067060650900411</v>
      </c>
      <c r="BA46" s="19">
        <f t="shared" si="23"/>
        <v>0.91208220209896396</v>
      </c>
      <c r="BB46" s="19">
        <f t="shared" si="24"/>
        <v>3.0203901206256942</v>
      </c>
      <c r="BC46" s="20">
        <v>2</v>
      </c>
      <c r="BD46" s="43">
        <v>91142</v>
      </c>
      <c r="BE46">
        <v>0</v>
      </c>
      <c r="BF46">
        <v>0</v>
      </c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</row>
    <row r="47" spans="1:102" x14ac:dyDescent="0.35">
      <c r="A47" t="s">
        <v>1937</v>
      </c>
      <c r="B47" t="s">
        <v>1937</v>
      </c>
      <c r="C47" t="s">
        <v>1958</v>
      </c>
      <c r="D47" t="s">
        <v>1959</v>
      </c>
      <c r="E47" s="19">
        <v>235</v>
      </c>
      <c r="F47" s="19">
        <v>150.64108849765898</v>
      </c>
      <c r="G47" s="19">
        <v>0.64102590850067798</v>
      </c>
      <c r="H47" s="19">
        <v>8</v>
      </c>
      <c r="I47" s="19">
        <v>399971.75</v>
      </c>
      <c r="J47" s="19">
        <v>49996.468999999997</v>
      </c>
      <c r="K47" s="19">
        <v>8</v>
      </c>
      <c r="L47" s="19">
        <v>399972</v>
      </c>
      <c r="M47" s="19">
        <v>49996</v>
      </c>
      <c r="N47" s="19">
        <v>18179.48</v>
      </c>
      <c r="O47" s="19">
        <v>3263.13</v>
      </c>
      <c r="P47" s="19">
        <v>0</v>
      </c>
      <c r="Q47" s="19">
        <v>0.83</v>
      </c>
      <c r="R47" s="19">
        <v>333524.33</v>
      </c>
      <c r="S47" s="19">
        <v>0</v>
      </c>
      <c r="T47" s="19">
        <f t="shared" si="13"/>
        <v>50</v>
      </c>
      <c r="U47" s="19">
        <v>3392</v>
      </c>
      <c r="V47" s="19">
        <v>10220821.710000001</v>
      </c>
      <c r="W47" s="19">
        <v>473301.804</v>
      </c>
      <c r="X47" s="49">
        <v>1137</v>
      </c>
      <c r="Y47" s="19">
        <v>6479393</v>
      </c>
      <c r="Z47" s="19">
        <v>221323</v>
      </c>
      <c r="AA47" s="19">
        <v>13807</v>
      </c>
      <c r="AB47" s="19">
        <v>598264.63999999897</v>
      </c>
      <c r="AC47" s="19">
        <v>20022</v>
      </c>
      <c r="AD47" s="19">
        <f t="shared" si="25"/>
        <v>1.5832587595511805</v>
      </c>
      <c r="AE47" s="19">
        <f t="shared" si="26"/>
        <v>1.3104618368504803</v>
      </c>
      <c r="AF47" s="19">
        <f t="shared" si="27"/>
        <v>25.393634872269001</v>
      </c>
      <c r="AG47" s="19">
        <f t="shared" si="28"/>
        <v>0.39100684261974583</v>
      </c>
      <c r="AH47" s="19">
        <f t="shared" si="29"/>
        <v>0.29946087274251959</v>
      </c>
      <c r="AI47" s="19">
        <f t="shared" si="30"/>
        <v>25.418330104587643</v>
      </c>
      <c r="AJ47" s="19">
        <f t="shared" si="31"/>
        <v>0.40160642570281119</v>
      </c>
      <c r="AK47" s="19">
        <f t="shared" si="32"/>
        <v>0.30884722771483264</v>
      </c>
      <c r="AL47" s="19">
        <f t="shared" si="33"/>
        <v>25.418032995246449</v>
      </c>
      <c r="AM47" s="19">
        <f t="shared" si="34"/>
        <v>0.19466900347254998</v>
      </c>
      <c r="AN47" s="19">
        <f t="shared" si="35"/>
        <v>1.2088205637561875</v>
      </c>
      <c r="AO47" s="19">
        <f t="shared" si="36"/>
        <v>0</v>
      </c>
      <c r="AP47" s="19">
        <f t="shared" si="37"/>
        <v>83</v>
      </c>
      <c r="AQ47" s="19">
        <f t="shared" si="14"/>
        <v>83</v>
      </c>
      <c r="AR47" s="19" t="e">
        <f>(#REF!-MIN(#REF!))/(MAX(#REF!)-MIN(#REF!))*100</f>
        <v>#REF!</v>
      </c>
      <c r="AS47" s="19" t="e">
        <f t="shared" si="15"/>
        <v>#REF!</v>
      </c>
      <c r="AT47" s="19">
        <f t="shared" si="16"/>
        <v>3.4737975517201729</v>
      </c>
      <c r="AU47" s="19">
        <f t="shared" si="17"/>
        <v>1.8407737276744132</v>
      </c>
      <c r="AV47" s="19">
        <f t="shared" si="18"/>
        <v>4.6198272924956686E-2</v>
      </c>
      <c r="AW47" s="19">
        <f t="shared" si="19"/>
        <v>2.9329682481175294</v>
      </c>
      <c r="AX47" s="19">
        <f t="shared" si="20"/>
        <v>1.9955686743366194</v>
      </c>
      <c r="AY47" s="19">
        <f t="shared" si="21"/>
        <v>0.29350131364511967</v>
      </c>
      <c r="AZ47" s="19">
        <f t="shared" si="22"/>
        <v>0.56816702705673361</v>
      </c>
      <c r="BA47" s="19">
        <f t="shared" si="23"/>
        <v>0.10850137204128182</v>
      </c>
      <c r="BB47" s="19">
        <f t="shared" si="24"/>
        <v>0.32338289915839746</v>
      </c>
      <c r="BC47" s="20">
        <v>0.6</v>
      </c>
      <c r="BD47" s="43">
        <v>26287</v>
      </c>
      <c r="BE47">
        <v>0</v>
      </c>
      <c r="BF47">
        <v>0</v>
      </c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</row>
    <row r="48" spans="1:102" x14ac:dyDescent="0.35">
      <c r="A48" t="s">
        <v>2111</v>
      </c>
      <c r="B48" t="s">
        <v>2111</v>
      </c>
      <c r="C48" t="s">
        <v>2111</v>
      </c>
      <c r="D48" t="s">
        <v>2112</v>
      </c>
      <c r="E48" s="19">
        <v>2669</v>
      </c>
      <c r="F48" s="19">
        <v>1989.94877802157</v>
      </c>
      <c r="G48" s="19">
        <v>0.74557841064877206</v>
      </c>
      <c r="H48" s="19">
        <v>215</v>
      </c>
      <c r="I48" s="19">
        <v>12449270.164999999</v>
      </c>
      <c r="J48" s="19">
        <v>57903.582000000002</v>
      </c>
      <c r="K48" s="19">
        <v>213</v>
      </c>
      <c r="L48" s="19">
        <v>12424888</v>
      </c>
      <c r="M48" s="19">
        <v>58333</v>
      </c>
      <c r="N48" s="19">
        <v>939385.3</v>
      </c>
      <c r="O48" s="19">
        <v>106433.96</v>
      </c>
      <c r="P48" s="19">
        <v>3325832.83</v>
      </c>
      <c r="Q48" s="19">
        <v>0.9</v>
      </c>
      <c r="R48" s="19">
        <v>33810530.530000001</v>
      </c>
      <c r="S48" s="19">
        <v>299365.93</v>
      </c>
      <c r="T48" s="19">
        <f t="shared" si="13"/>
        <v>99.114577839190147</v>
      </c>
      <c r="U48" s="19">
        <v>19811</v>
      </c>
      <c r="V48" s="19">
        <v>150563913.93000001</v>
      </c>
      <c r="W48" s="19">
        <v>19362893.976</v>
      </c>
      <c r="X48" s="49">
        <v>8409</v>
      </c>
      <c r="Y48" s="19">
        <v>94452734</v>
      </c>
      <c r="Z48" s="19">
        <v>15927085</v>
      </c>
      <c r="AA48" s="19">
        <v>1061899</v>
      </c>
      <c r="AB48" s="19">
        <v>212945573.1799992</v>
      </c>
      <c r="AC48" s="19">
        <v>2793793</v>
      </c>
      <c r="AD48" s="19">
        <f t="shared" si="25"/>
        <v>18.338266675844977</v>
      </c>
      <c r="AE48" s="19">
        <f t="shared" si="26"/>
        <v>17.577747888956576</v>
      </c>
      <c r="AF48" s="19">
        <f t="shared" si="27"/>
        <v>34.606579711122585</v>
      </c>
      <c r="AG48" s="19">
        <f t="shared" si="28"/>
        <v>10.508308895405669</v>
      </c>
      <c r="AH48" s="19">
        <f t="shared" si="29"/>
        <v>9.320831555274367</v>
      </c>
      <c r="AI48" s="19">
        <f t="shared" si="30"/>
        <v>29.438326164874955</v>
      </c>
      <c r="AJ48" s="19">
        <f t="shared" si="31"/>
        <v>10.692771084337348</v>
      </c>
      <c r="AK48" s="19">
        <f t="shared" si="32"/>
        <v>9.5941521243169312</v>
      </c>
      <c r="AL48" s="19">
        <f t="shared" si="33"/>
        <v>29.656574900226239</v>
      </c>
      <c r="AM48" s="19">
        <f t="shared" si="34"/>
        <v>10.05909961273713</v>
      </c>
      <c r="AN48" s="19">
        <f t="shared" si="35"/>
        <v>39.428266581473473</v>
      </c>
      <c r="AO48" s="19">
        <f t="shared" si="36"/>
        <v>13.514426543685412</v>
      </c>
      <c r="AP48" s="19">
        <f t="shared" si="37"/>
        <v>90</v>
      </c>
      <c r="AQ48" s="19">
        <f t="shared" si="14"/>
        <v>90</v>
      </c>
      <c r="AR48" s="19" t="e">
        <f>(#REF!-MIN(#REF!))/(MAX(#REF!)-MIN(#REF!))*100</f>
        <v>#REF!</v>
      </c>
      <c r="AS48" s="19" t="e">
        <f t="shared" si="15"/>
        <v>#REF!</v>
      </c>
      <c r="AT48" s="19">
        <f t="shared" si="16"/>
        <v>20.637890841426316</v>
      </c>
      <c r="AU48" s="19">
        <f t="shared" si="17"/>
        <v>27.405985335438622</v>
      </c>
      <c r="AV48" s="19">
        <f t="shared" si="18"/>
        <v>1.8906413705614109</v>
      </c>
      <c r="AW48" s="19">
        <f t="shared" si="19"/>
        <v>22.078879469222262</v>
      </c>
      <c r="AX48" s="19">
        <f t="shared" si="20"/>
        <v>29.346746361309155</v>
      </c>
      <c r="AY48" s="19">
        <f t="shared" si="21"/>
        <v>21.137174856957028</v>
      </c>
      <c r="AZ48" s="19">
        <f t="shared" si="22"/>
        <v>43.876626352289179</v>
      </c>
      <c r="BA48" s="19">
        <f t="shared" si="23"/>
        <v>38.619843653382461</v>
      </c>
      <c r="BB48" s="19">
        <f t="shared" si="24"/>
        <v>45.269522478327985</v>
      </c>
      <c r="BC48" s="20">
        <v>7</v>
      </c>
      <c r="BD48" s="43">
        <v>325334</v>
      </c>
      <c r="BE48">
        <v>2</v>
      </c>
      <c r="BF48">
        <v>2</v>
      </c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</row>
    <row r="49" spans="1:102" x14ac:dyDescent="0.35">
      <c r="A49" t="s">
        <v>2111</v>
      </c>
      <c r="B49" t="s">
        <v>2111</v>
      </c>
      <c r="C49" t="s">
        <v>2113</v>
      </c>
      <c r="D49" t="s">
        <v>2114</v>
      </c>
      <c r="E49" s="19">
        <v>213</v>
      </c>
      <c r="F49" s="19">
        <v>128.459947750205</v>
      </c>
      <c r="G49" s="19">
        <v>0.60309834624509506</v>
      </c>
      <c r="H49" s="19">
        <v>21</v>
      </c>
      <c r="I49" s="19">
        <v>1545589.7660000001</v>
      </c>
      <c r="J49" s="19">
        <v>73599.513000000006</v>
      </c>
      <c r="K49" s="19">
        <v>20</v>
      </c>
      <c r="L49" s="19">
        <v>1529511</v>
      </c>
      <c r="M49" s="19">
        <v>76476</v>
      </c>
      <c r="N49" s="19">
        <v>17454.8</v>
      </c>
      <c r="O49" s="19">
        <v>2770.41</v>
      </c>
      <c r="P49" s="19">
        <v>106849.13</v>
      </c>
      <c r="Q49" s="19">
        <v>0.76</v>
      </c>
      <c r="R49" s="19">
        <v>4152268.63</v>
      </c>
      <c r="S49" s="19">
        <v>207263.8</v>
      </c>
      <c r="T49" s="19">
        <f t="shared" si="13"/>
        <v>95.008420252424756</v>
      </c>
      <c r="U49" s="19">
        <v>2591</v>
      </c>
      <c r="V49" s="19">
        <v>12842175.52</v>
      </c>
      <c r="W49" s="19">
        <v>1730768.456</v>
      </c>
      <c r="X49" s="49">
        <v>1178</v>
      </c>
      <c r="Y49" s="19">
        <v>8600841</v>
      </c>
      <c r="Z49" s="19">
        <v>1132095</v>
      </c>
      <c r="AA49" s="19">
        <v>47487</v>
      </c>
      <c r="AB49" s="19">
        <v>2454067.09</v>
      </c>
      <c r="AC49" s="19">
        <v>92534</v>
      </c>
      <c r="AD49" s="19">
        <f t="shared" si="25"/>
        <v>1.4318166173332416</v>
      </c>
      <c r="AE49" s="19">
        <f t="shared" si="26"/>
        <v>1.1142864152198249</v>
      </c>
      <c r="AF49" s="19">
        <f t="shared" si="27"/>
        <v>22.051538492424108</v>
      </c>
      <c r="AG49" s="19">
        <f t="shared" si="28"/>
        <v>1.0263929618768328</v>
      </c>
      <c r="AH49" s="19">
        <f t="shared" si="29"/>
        <v>1.157190877176367</v>
      </c>
      <c r="AI49" s="19">
        <f t="shared" si="30"/>
        <v>37.4181768110642</v>
      </c>
      <c r="AJ49" s="19">
        <f t="shared" si="31"/>
        <v>1.0040160642570282</v>
      </c>
      <c r="AK49" s="19">
        <f t="shared" si="32"/>
        <v>1.1810457534760967</v>
      </c>
      <c r="AL49" s="19">
        <f t="shared" si="33"/>
        <v>38.880500266910701</v>
      </c>
      <c r="AM49" s="19">
        <f t="shared" si="34"/>
        <v>0.18690900519776504</v>
      </c>
      <c r="AN49" s="19">
        <f t="shared" si="35"/>
        <v>1.026293337389494</v>
      </c>
      <c r="AO49" s="19">
        <f t="shared" si="36"/>
        <v>0.43417838251410051</v>
      </c>
      <c r="AP49" s="19">
        <f t="shared" si="37"/>
        <v>76</v>
      </c>
      <c r="AQ49" s="19">
        <f t="shared" si="14"/>
        <v>76</v>
      </c>
      <c r="AR49" s="19" t="e">
        <f>(#REF!-MIN(#REF!))/(MAX(#REF!)-MIN(#REF!))*100</f>
        <v>#REF!</v>
      </c>
      <c r="AS49" s="19" t="e">
        <f t="shared" si="15"/>
        <v>#REF!</v>
      </c>
      <c r="AT49" s="19">
        <f t="shared" si="16"/>
        <v>2.6364482171045065</v>
      </c>
      <c r="AU49" s="19">
        <f t="shared" si="17"/>
        <v>2.3182854013264111</v>
      </c>
      <c r="AV49" s="19">
        <f t="shared" si="18"/>
        <v>0.16898153185774362</v>
      </c>
      <c r="AW49" s="19">
        <f t="shared" si="19"/>
        <v>3.0409141172134166</v>
      </c>
      <c r="AX49" s="19">
        <f t="shared" si="20"/>
        <v>2.6551332713168856</v>
      </c>
      <c r="AY49" s="19">
        <f t="shared" si="21"/>
        <v>1.5022191230955158</v>
      </c>
      <c r="AZ49" s="19">
        <f t="shared" si="22"/>
        <v>1.9598663340582456</v>
      </c>
      <c r="BA49" s="19">
        <f t="shared" si="23"/>
        <v>0.44507000505053468</v>
      </c>
      <c r="BB49" s="19">
        <f t="shared" si="24"/>
        <v>1.4983661523414271</v>
      </c>
      <c r="BC49" s="20">
        <v>1.1000000000000001</v>
      </c>
      <c r="BD49" s="43">
        <v>47475</v>
      </c>
      <c r="BE49">
        <v>0</v>
      </c>
      <c r="BF49">
        <v>0</v>
      </c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</row>
    <row r="50" spans="1:102" x14ac:dyDescent="0.35">
      <c r="A50" t="s">
        <v>2111</v>
      </c>
      <c r="B50" t="s">
        <v>2111</v>
      </c>
      <c r="C50" t="s">
        <v>2115</v>
      </c>
      <c r="D50" t="s">
        <v>2116</v>
      </c>
      <c r="E50" s="19">
        <v>39</v>
      </c>
      <c r="F50" s="19">
        <v>23.875337741061603</v>
      </c>
      <c r="G50" s="19">
        <v>0.612188147206709</v>
      </c>
      <c r="H50" s="19">
        <v>12</v>
      </c>
      <c r="I50" s="19">
        <v>712439.33900000004</v>
      </c>
      <c r="J50" s="19">
        <v>59369.945</v>
      </c>
      <c r="K50" s="19">
        <v>12</v>
      </c>
      <c r="L50" s="19">
        <v>712439</v>
      </c>
      <c r="M50" s="19">
        <v>59370</v>
      </c>
      <c r="N50" s="19">
        <v>11201.8</v>
      </c>
      <c r="O50" s="19">
        <v>3339.76</v>
      </c>
      <c r="P50" s="19">
        <v>18255.77</v>
      </c>
      <c r="Q50" s="19">
        <v>0.71</v>
      </c>
      <c r="R50" s="19">
        <v>1436012.18</v>
      </c>
      <c r="S50" s="19">
        <v>22801.79</v>
      </c>
      <c r="T50" s="19">
        <f t="shared" si="13"/>
        <v>98.41214508361621</v>
      </c>
      <c r="U50" s="19">
        <v>907</v>
      </c>
      <c r="V50" s="19">
        <v>7341327.6299999999</v>
      </c>
      <c r="W50" s="19">
        <v>369274.75599999999</v>
      </c>
      <c r="X50" s="49">
        <v>434</v>
      </c>
      <c r="Y50" s="19">
        <v>5672078</v>
      </c>
      <c r="Z50" s="19">
        <v>369275</v>
      </c>
      <c r="AA50" s="19">
        <v>938</v>
      </c>
      <c r="AB50" s="19">
        <v>32831.699999999881</v>
      </c>
      <c r="AC50" s="19">
        <v>1308</v>
      </c>
      <c r="AD50" s="19">
        <f t="shared" si="25"/>
        <v>0.23404694706408757</v>
      </c>
      <c r="AE50" s="19">
        <f t="shared" si="26"/>
        <v>0.18931460253357263</v>
      </c>
      <c r="AF50" s="19">
        <f t="shared" si="27"/>
        <v>22.852512482858963</v>
      </c>
      <c r="AG50" s="19">
        <f t="shared" si="28"/>
        <v>0.5865102639296188</v>
      </c>
      <c r="AH50" s="19">
        <f t="shared" si="29"/>
        <v>0.53340693744756673</v>
      </c>
      <c r="AI50" s="19">
        <f t="shared" si="30"/>
        <v>30.183828788013265</v>
      </c>
      <c r="AJ50" s="19">
        <f t="shared" si="31"/>
        <v>0.60240963855421692</v>
      </c>
      <c r="AK50" s="19">
        <f t="shared" si="32"/>
        <v>0.55012553395219588</v>
      </c>
      <c r="AL50" s="19">
        <f t="shared" si="33"/>
        <v>30.183787081522151</v>
      </c>
      <c r="AM50" s="19">
        <f t="shared" si="34"/>
        <v>0.1199508040438346</v>
      </c>
      <c r="AN50" s="19">
        <f t="shared" si="35"/>
        <v>1.2372080076522742</v>
      </c>
      <c r="AO50" s="19">
        <f t="shared" si="36"/>
        <v>7.4181799048335162E-2</v>
      </c>
      <c r="AP50" s="19">
        <f t="shared" si="37"/>
        <v>71</v>
      </c>
      <c r="AQ50" s="19">
        <f t="shared" si="14"/>
        <v>71</v>
      </c>
      <c r="AR50" s="19" t="e">
        <f>(#REF!-MIN(#REF!))/(MAX(#REF!)-MIN(#REF!))*100</f>
        <v>#REF!</v>
      </c>
      <c r="AS50" s="19" t="e">
        <f t="shared" si="15"/>
        <v>#REF!</v>
      </c>
      <c r="AT50" s="19">
        <f t="shared" si="16"/>
        <v>0.87602839251926112</v>
      </c>
      <c r="AU50" s="19">
        <f t="shared" si="17"/>
        <v>1.3162386450135108</v>
      </c>
      <c r="AV50" s="19">
        <f t="shared" si="18"/>
        <v>3.6040723259299669E-2</v>
      </c>
      <c r="AW50" s="19">
        <f t="shared" si="19"/>
        <v>1.0820915170343848</v>
      </c>
      <c r="AX50" s="19">
        <f t="shared" si="20"/>
        <v>1.744572000078696</v>
      </c>
      <c r="AY50" s="19">
        <f t="shared" si="21"/>
        <v>0.48985365796818298</v>
      </c>
      <c r="AZ50" s="19">
        <f t="shared" si="22"/>
        <v>3.6404010969962354E-2</v>
      </c>
      <c r="BA50" s="19">
        <f t="shared" si="23"/>
        <v>5.9543624313944839E-3</v>
      </c>
      <c r="BB50" s="19">
        <f t="shared" si="24"/>
        <v>2.0141551518459092E-2</v>
      </c>
      <c r="BC50" s="20">
        <v>0.2</v>
      </c>
      <c r="BD50" s="43">
        <v>8880</v>
      </c>
      <c r="BE50">
        <v>0</v>
      </c>
      <c r="BF50">
        <v>0</v>
      </c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</row>
    <row r="51" spans="1:102" x14ac:dyDescent="0.35">
      <c r="A51" t="s">
        <v>2111</v>
      </c>
      <c r="B51" t="s">
        <v>2111</v>
      </c>
      <c r="C51" t="s">
        <v>2121</v>
      </c>
      <c r="D51" t="s">
        <v>2122</v>
      </c>
      <c r="E51" s="19">
        <v>224</v>
      </c>
      <c r="F51" s="19">
        <v>123.37311493503299</v>
      </c>
      <c r="G51" s="19">
        <v>0.55077283453139803</v>
      </c>
      <c r="H51" s="19">
        <v>30</v>
      </c>
      <c r="I51" s="19">
        <v>1628766.351</v>
      </c>
      <c r="J51" s="19">
        <v>54292.212</v>
      </c>
      <c r="K51" s="19">
        <v>30</v>
      </c>
      <c r="L51" s="19">
        <v>1628766</v>
      </c>
      <c r="M51" s="19">
        <v>54292</v>
      </c>
      <c r="N51" s="19">
        <v>139305.99</v>
      </c>
      <c r="O51" s="19">
        <v>24946.86</v>
      </c>
      <c r="P51" s="19">
        <v>277456.03000000003</v>
      </c>
      <c r="Q51" s="19">
        <v>0.96</v>
      </c>
      <c r="R51" s="19">
        <v>5084965.4000000004</v>
      </c>
      <c r="S51" s="19">
        <v>38227.839999999997</v>
      </c>
      <c r="T51" s="19">
        <f t="shared" si="13"/>
        <v>99.248218286795023</v>
      </c>
      <c r="U51" s="19">
        <v>3648</v>
      </c>
      <c r="V51" s="19">
        <v>19283293.280000001</v>
      </c>
      <c r="W51" s="19">
        <v>1099424.675</v>
      </c>
      <c r="X51" s="49">
        <v>1617</v>
      </c>
      <c r="Y51" s="19">
        <v>11574617</v>
      </c>
      <c r="Z51" s="19">
        <v>660562</v>
      </c>
      <c r="AA51" s="19">
        <v>88836</v>
      </c>
      <c r="AB51" s="19">
        <v>5020122.0299999919</v>
      </c>
      <c r="AC51" s="19">
        <v>180665</v>
      </c>
      <c r="AD51" s="19">
        <f t="shared" si="25"/>
        <v>1.5075376884422109</v>
      </c>
      <c r="AE51" s="19">
        <f t="shared" si="26"/>
        <v>1.069297224463458</v>
      </c>
      <c r="AF51" s="19">
        <f t="shared" si="27"/>
        <v>17.440725329863511</v>
      </c>
      <c r="AG51" s="19">
        <f t="shared" si="28"/>
        <v>1.466275659824047</v>
      </c>
      <c r="AH51" s="19">
        <f t="shared" si="29"/>
        <v>1.2194656071687788</v>
      </c>
      <c r="AI51" s="19">
        <f t="shared" si="30"/>
        <v>27.602296608671601</v>
      </c>
      <c r="AJ51" s="19">
        <f t="shared" si="31"/>
        <v>1.5060240963855422</v>
      </c>
      <c r="AK51" s="19">
        <f t="shared" si="32"/>
        <v>1.2576876973792595</v>
      </c>
      <c r="AL51" s="19">
        <f t="shared" si="33"/>
        <v>27.602125117567809</v>
      </c>
      <c r="AM51" s="19">
        <f t="shared" si="34"/>
        <v>1.4917125380405276</v>
      </c>
      <c r="AN51" s="19">
        <f t="shared" si="35"/>
        <v>9.2415188390124463</v>
      </c>
      <c r="AO51" s="19">
        <f t="shared" si="36"/>
        <v>1.1274346391419729</v>
      </c>
      <c r="AP51" s="19">
        <f t="shared" si="37"/>
        <v>96</v>
      </c>
      <c r="AQ51" s="19">
        <f t="shared" si="14"/>
        <v>96</v>
      </c>
      <c r="AR51" s="19" t="e">
        <f>(#REF!-MIN(#REF!))/(MAX(#REF!)-MIN(#REF!))*100</f>
        <v>#REF!</v>
      </c>
      <c r="AS51" s="19" t="e">
        <f t="shared" si="15"/>
        <v>#REF!</v>
      </c>
      <c r="AT51" s="19">
        <f t="shared" si="16"/>
        <v>3.741414817215317</v>
      </c>
      <c r="AU51" s="19">
        <f t="shared" si="17"/>
        <v>3.4916138204180753</v>
      </c>
      <c r="AV51" s="19">
        <f t="shared" si="18"/>
        <v>0.10733500881489816</v>
      </c>
      <c r="AW51" s="19">
        <f t="shared" si="19"/>
        <v>4.1967247643620667</v>
      </c>
      <c r="AX51" s="19">
        <f t="shared" si="20"/>
        <v>3.5796892203430164</v>
      </c>
      <c r="AY51" s="19">
        <f t="shared" si="21"/>
        <v>0.87643096223464867</v>
      </c>
      <c r="AZ51" s="19">
        <f t="shared" si="22"/>
        <v>3.6684582178232548</v>
      </c>
      <c r="BA51" s="19">
        <f t="shared" si="23"/>
        <v>0.91045014472134778</v>
      </c>
      <c r="BB51" s="19">
        <f t="shared" si="24"/>
        <v>2.9264394241622784</v>
      </c>
      <c r="BC51" s="20">
        <v>1.6</v>
      </c>
      <c r="BD51" s="43">
        <v>66478</v>
      </c>
      <c r="BE51">
        <v>0</v>
      </c>
      <c r="BF51">
        <v>0</v>
      </c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</row>
    <row r="52" spans="1:102" x14ac:dyDescent="0.35">
      <c r="A52" t="s">
        <v>2111</v>
      </c>
      <c r="B52" t="s">
        <v>2111</v>
      </c>
      <c r="C52" t="s">
        <v>2045</v>
      </c>
      <c r="D52" t="s">
        <v>2124</v>
      </c>
      <c r="E52" s="19">
        <v>5</v>
      </c>
      <c r="F52" s="19">
        <v>4.3455516725570105</v>
      </c>
      <c r="G52" s="19">
        <v>0.86911033451140296</v>
      </c>
      <c r="H52" s="19">
        <v>3</v>
      </c>
      <c r="I52" s="19">
        <v>480071.402</v>
      </c>
      <c r="J52" s="19">
        <v>160023.80100000001</v>
      </c>
      <c r="K52" s="19">
        <v>3</v>
      </c>
      <c r="L52" s="19">
        <v>480071</v>
      </c>
      <c r="M52" s="19">
        <v>160024</v>
      </c>
      <c r="N52" s="19">
        <v>0</v>
      </c>
      <c r="O52" s="19">
        <v>0</v>
      </c>
      <c r="P52" s="19">
        <v>0</v>
      </c>
      <c r="Q52" s="19">
        <v>1</v>
      </c>
      <c r="R52" s="19">
        <v>766378.1</v>
      </c>
      <c r="S52" s="19">
        <v>0</v>
      </c>
      <c r="T52" s="19">
        <f t="shared" si="13"/>
        <v>50</v>
      </c>
      <c r="U52" s="19">
        <v>239</v>
      </c>
      <c r="V52" s="19">
        <v>1779427.04</v>
      </c>
      <c r="W52" s="19">
        <v>3276.0329999999999</v>
      </c>
      <c r="X52" s="49">
        <v>105</v>
      </c>
      <c r="Y52" s="19">
        <v>1196433</v>
      </c>
      <c r="Z52" s="19">
        <v>577</v>
      </c>
      <c r="AA52" s="19">
        <v>50234</v>
      </c>
      <c r="AB52" s="19">
        <v>2684720.2599999988</v>
      </c>
      <c r="AC52" s="19">
        <v>94405</v>
      </c>
      <c r="AD52" s="19">
        <f t="shared" si="25"/>
        <v>0</v>
      </c>
      <c r="AE52" s="19">
        <f t="shared" si="26"/>
        <v>1.6588408693196884E-2</v>
      </c>
      <c r="AF52" s="19">
        <f t="shared" si="27"/>
        <v>45.491950955244697</v>
      </c>
      <c r="AG52" s="19">
        <f t="shared" si="28"/>
        <v>0.1466275659824047</v>
      </c>
      <c r="AH52" s="19">
        <f t="shared" si="29"/>
        <v>0.35943188743116222</v>
      </c>
      <c r="AI52" s="19">
        <f t="shared" si="30"/>
        <v>81.356501364303213</v>
      </c>
      <c r="AJ52" s="19">
        <f t="shared" si="31"/>
        <v>0.15060240963855423</v>
      </c>
      <c r="AK52" s="19">
        <f t="shared" si="32"/>
        <v>0.3706974424616909</v>
      </c>
      <c r="AL52" s="19">
        <f t="shared" si="33"/>
        <v>81.356414753806646</v>
      </c>
      <c r="AM52" s="19">
        <f t="shared" si="34"/>
        <v>0</v>
      </c>
      <c r="AN52" s="19">
        <f t="shared" si="35"/>
        <v>0</v>
      </c>
      <c r="AO52" s="19">
        <f t="shared" si="36"/>
        <v>0</v>
      </c>
      <c r="AP52" s="19">
        <f t="shared" si="37"/>
        <v>100</v>
      </c>
      <c r="AQ52" s="19">
        <f t="shared" si="14"/>
        <v>100</v>
      </c>
      <c r="AR52" s="19" t="e">
        <f>(#REF!-MIN(#REF!))/(MAX(#REF!)-MIN(#REF!))*100</f>
        <v>#REF!</v>
      </c>
      <c r="AS52" s="19" t="e">
        <f t="shared" si="15"/>
        <v>#REF!</v>
      </c>
      <c r="AT52" s="19">
        <f t="shared" si="16"/>
        <v>0.17771459036786919</v>
      </c>
      <c r="AU52" s="19">
        <f t="shared" si="17"/>
        <v>0.30307039230178073</v>
      </c>
      <c r="AV52" s="19">
        <f t="shared" si="18"/>
        <v>3.0338111690274375E-4</v>
      </c>
      <c r="AW52" s="19">
        <f t="shared" si="19"/>
        <v>0.21589173819177507</v>
      </c>
      <c r="AX52" s="19">
        <f t="shared" si="20"/>
        <v>0.35308043834739572</v>
      </c>
      <c r="AY52" s="19">
        <f t="shared" si="21"/>
        <v>5.4147126421954302E-4</v>
      </c>
      <c r="AZ52" s="19">
        <f t="shared" si="22"/>
        <v>2.0733757757545983</v>
      </c>
      <c r="BA52" s="19">
        <f t="shared" si="23"/>
        <v>0.48690130133217846</v>
      </c>
      <c r="BB52" s="19">
        <f t="shared" si="24"/>
        <v>1.528683805512012</v>
      </c>
      <c r="BC52" s="20">
        <v>0.1</v>
      </c>
      <c r="BD52" s="43">
        <v>2589</v>
      </c>
      <c r="BE52">
        <v>0</v>
      </c>
      <c r="BF52">
        <v>0</v>
      </c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</row>
    <row r="53" spans="1:102" x14ac:dyDescent="0.35">
      <c r="A53" t="s">
        <v>2111</v>
      </c>
      <c r="B53" t="s">
        <v>2111</v>
      </c>
      <c r="C53" t="s">
        <v>2125</v>
      </c>
      <c r="D53" t="s">
        <v>2126</v>
      </c>
      <c r="E53" s="19">
        <v>35</v>
      </c>
      <c r="F53" s="19">
        <v>21.193031772399198</v>
      </c>
      <c r="G53" s="19">
        <v>0.60551519349712202</v>
      </c>
      <c r="H53" s="19">
        <v>6</v>
      </c>
      <c r="I53" s="19">
        <v>164943.375</v>
      </c>
      <c r="J53" s="19">
        <v>27490.562999999998</v>
      </c>
      <c r="K53" s="19">
        <v>6</v>
      </c>
      <c r="L53" s="19">
        <v>164943</v>
      </c>
      <c r="M53" s="19">
        <v>27491</v>
      </c>
      <c r="N53" s="19">
        <v>38396.21</v>
      </c>
      <c r="O53" s="19">
        <v>5960.86</v>
      </c>
      <c r="P53" s="19">
        <v>0</v>
      </c>
      <c r="Q53" s="19">
        <v>1</v>
      </c>
      <c r="R53" s="19">
        <v>581430.53</v>
      </c>
      <c r="S53" s="19">
        <v>0</v>
      </c>
      <c r="T53" s="19">
        <f t="shared" si="13"/>
        <v>50</v>
      </c>
      <c r="U53" s="19">
        <v>1031</v>
      </c>
      <c r="V53" s="19">
        <v>5824177.8700000001</v>
      </c>
      <c r="W53" s="19">
        <v>1582836.723</v>
      </c>
      <c r="X53" s="49">
        <v>491</v>
      </c>
      <c r="Y53" s="19">
        <v>4352520</v>
      </c>
      <c r="Z53" s="19">
        <v>888711</v>
      </c>
      <c r="AA53" s="19">
        <v>40968</v>
      </c>
      <c r="AB53" s="19">
        <v>1974781.95</v>
      </c>
      <c r="AC53" s="19">
        <v>85860</v>
      </c>
      <c r="AD53" s="19">
        <f t="shared" si="25"/>
        <v>0.2065120121153714</v>
      </c>
      <c r="AE53" s="19">
        <f t="shared" si="26"/>
        <v>0.16559163398403262</v>
      </c>
      <c r="AF53" s="19">
        <f t="shared" si="27"/>
        <v>22.264505948576616</v>
      </c>
      <c r="AG53" s="19">
        <f t="shared" si="28"/>
        <v>0.2932551319648094</v>
      </c>
      <c r="AH53" s="19">
        <f t="shared" si="29"/>
        <v>0.12349393933595731</v>
      </c>
      <c r="AI53" s="19">
        <f t="shared" si="30"/>
        <v>13.976271106164784</v>
      </c>
      <c r="AJ53" s="19">
        <f t="shared" si="31"/>
        <v>0.30120481927710846</v>
      </c>
      <c r="AK53" s="19">
        <f t="shared" si="32"/>
        <v>0.12736438620945378</v>
      </c>
      <c r="AL53" s="19">
        <f t="shared" si="33"/>
        <v>13.976461018327868</v>
      </c>
      <c r="AM53" s="19">
        <f t="shared" si="34"/>
        <v>0.41115323088574363</v>
      </c>
      <c r="AN53" s="19">
        <f t="shared" si="35"/>
        <v>2.2081897275535169</v>
      </c>
      <c r="AO53" s="19">
        <f t="shared" si="36"/>
        <v>0</v>
      </c>
      <c r="AP53" s="19">
        <f t="shared" si="37"/>
        <v>100</v>
      </c>
      <c r="AQ53" s="19">
        <f t="shared" si="14"/>
        <v>100</v>
      </c>
      <c r="AR53" s="19" t="e">
        <f>(#REF!-MIN(#REF!))/(MAX(#REF!)-MIN(#REF!))*100</f>
        <v>#REF!</v>
      </c>
      <c r="AS53" s="19" t="e">
        <f t="shared" si="15"/>
        <v>#REF!</v>
      </c>
      <c r="AT53" s="19">
        <f t="shared" si="16"/>
        <v>1.0056555054934717</v>
      </c>
      <c r="AU53" s="19">
        <f t="shared" si="17"/>
        <v>1.0398712510681938</v>
      </c>
      <c r="AV53" s="19">
        <f t="shared" si="18"/>
        <v>0.15453698158006762</v>
      </c>
      <c r="AW53" s="19">
        <f t="shared" si="19"/>
        <v>1.2321626033384234</v>
      </c>
      <c r="AX53" s="19">
        <f t="shared" si="20"/>
        <v>1.3343174284549342</v>
      </c>
      <c r="AY53" s="19">
        <f t="shared" si="21"/>
        <v>1.1792155883631403</v>
      </c>
      <c r="AZ53" s="19">
        <f t="shared" si="22"/>
        <v>1.6904931813758568</v>
      </c>
      <c r="BA53" s="19">
        <f t="shared" si="23"/>
        <v>0.3581467744063202</v>
      </c>
      <c r="BB53" s="19">
        <f t="shared" si="24"/>
        <v>1.3902207663123072</v>
      </c>
      <c r="BC53" s="20">
        <v>0.3</v>
      </c>
      <c r="BD53" s="43">
        <v>11860</v>
      </c>
      <c r="BE53">
        <v>0</v>
      </c>
      <c r="BF53">
        <v>0</v>
      </c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</row>
    <row r="54" spans="1:102" x14ac:dyDescent="0.35">
      <c r="A54" t="s">
        <v>2111</v>
      </c>
      <c r="B54" t="s">
        <v>2111</v>
      </c>
      <c r="C54" t="s">
        <v>2129</v>
      </c>
      <c r="D54" t="s">
        <v>2130</v>
      </c>
      <c r="E54" s="19">
        <v>10</v>
      </c>
      <c r="F54" s="19">
        <v>7.4758921382032995</v>
      </c>
      <c r="G54" s="19">
        <v>0.74758921382032995</v>
      </c>
      <c r="H54" s="19">
        <v>1</v>
      </c>
      <c r="I54" s="19">
        <v>10706</v>
      </c>
      <c r="J54" s="19">
        <v>10706</v>
      </c>
      <c r="K54" s="19">
        <v>1</v>
      </c>
      <c r="L54" s="19">
        <v>10706</v>
      </c>
      <c r="M54" s="19">
        <v>10706</v>
      </c>
      <c r="N54" s="19">
        <v>0</v>
      </c>
      <c r="O54" s="19">
        <v>0</v>
      </c>
      <c r="P54" s="19">
        <v>0</v>
      </c>
      <c r="Q54" s="19">
        <v>1</v>
      </c>
      <c r="R54" s="19">
        <v>220784.77</v>
      </c>
      <c r="S54" s="19">
        <v>0</v>
      </c>
      <c r="T54" s="19">
        <f t="shared" si="13"/>
        <v>50</v>
      </c>
      <c r="U54" s="19">
        <v>303</v>
      </c>
      <c r="V54" s="19">
        <v>777218.65</v>
      </c>
      <c r="W54" s="19">
        <v>277412.47100000002</v>
      </c>
      <c r="X54" s="49">
        <v>122</v>
      </c>
      <c r="Y54" s="19">
        <v>403350</v>
      </c>
      <c r="Z54" s="19">
        <v>276667</v>
      </c>
      <c r="AA54" s="19"/>
      <c r="AB54" s="19"/>
      <c r="AC54" s="19"/>
      <c r="AD54" s="19">
        <f t="shared" si="25"/>
        <v>3.4418668685895229E-2</v>
      </c>
      <c r="AE54" s="19">
        <f t="shared" si="26"/>
        <v>4.4273903667847885E-2</v>
      </c>
      <c r="AF54" s="19">
        <f t="shared" si="27"/>
        <v>34.783767423714238</v>
      </c>
      <c r="AG54" s="19">
        <f t="shared" si="28"/>
        <v>4.8875855327468229E-2</v>
      </c>
      <c r="AH54" s="19">
        <f t="shared" si="29"/>
        <v>8.0156363632716918E-3</v>
      </c>
      <c r="AI54" s="19">
        <f t="shared" si="30"/>
        <v>5.4429572236334396</v>
      </c>
      <c r="AJ54" s="19">
        <f t="shared" si="31"/>
        <v>5.0200803212851398E-2</v>
      </c>
      <c r="AK54" s="19">
        <f t="shared" si="32"/>
        <v>8.2668747310186679E-3</v>
      </c>
      <c r="AL54" s="19">
        <f t="shared" si="33"/>
        <v>5.4429446605150105</v>
      </c>
      <c r="AM54" s="19">
        <f t="shared" si="34"/>
        <v>0</v>
      </c>
      <c r="AN54" s="19">
        <f t="shared" si="35"/>
        <v>0</v>
      </c>
      <c r="AO54" s="19">
        <f t="shared" si="36"/>
        <v>0</v>
      </c>
      <c r="AP54" s="19">
        <f t="shared" si="37"/>
        <v>100</v>
      </c>
      <c r="AQ54" s="19">
        <f t="shared" si="14"/>
        <v>100</v>
      </c>
      <c r="AR54" s="19" t="e">
        <f>(#REF!-MIN(#REF!))/(MAX(#REF!)-MIN(#REF!))*100</f>
        <v>#REF!</v>
      </c>
      <c r="AS54" s="19" t="e">
        <f t="shared" si="15"/>
        <v>#REF!</v>
      </c>
      <c r="AT54" s="19">
        <f t="shared" si="16"/>
        <v>0.24461890674165523</v>
      </c>
      <c r="AU54" s="19">
        <f t="shared" si="17"/>
        <v>0.1205058701715252</v>
      </c>
      <c r="AV54" s="19">
        <f t="shared" si="18"/>
        <v>2.7070981829280045E-2</v>
      </c>
      <c r="AW54" s="19">
        <f t="shared" si="19"/>
        <v>0.26064978147543577</v>
      </c>
      <c r="AX54" s="19">
        <f t="shared" si="20"/>
        <v>0.10650853591712151</v>
      </c>
      <c r="AY54" s="19">
        <f t="shared" si="21"/>
        <v>0.36695029807395885</v>
      </c>
      <c r="AZ54" s="19">
        <f t="shared" si="22"/>
        <v>-2.3553105848897319E-3</v>
      </c>
      <c r="BA54" s="19">
        <f t="shared" si="23"/>
        <v>0</v>
      </c>
      <c r="BB54" s="19">
        <f t="shared" si="24"/>
        <v>-1.0532589289620603E-3</v>
      </c>
      <c r="BC54" s="20">
        <v>0.1</v>
      </c>
      <c r="BD54" s="43">
        <v>3435</v>
      </c>
      <c r="BE54">
        <v>0</v>
      </c>
      <c r="BF54">
        <v>0</v>
      </c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</row>
    <row r="55" spans="1:102" x14ac:dyDescent="0.35">
      <c r="A55" t="s">
        <v>2111</v>
      </c>
      <c r="B55" t="s">
        <v>2111</v>
      </c>
      <c r="C55" t="s">
        <v>1506</v>
      </c>
      <c r="D55" t="s">
        <v>2132</v>
      </c>
      <c r="E55" s="19">
        <v>49</v>
      </c>
      <c r="F55" s="19">
        <v>43.291984759755202</v>
      </c>
      <c r="G55" s="19">
        <v>0.88350989305622896</v>
      </c>
      <c r="H55" s="19">
        <v>9</v>
      </c>
      <c r="I55" s="19">
        <v>359227.973</v>
      </c>
      <c r="J55" s="19">
        <v>39914.218999999997</v>
      </c>
      <c r="K55" s="19">
        <v>9</v>
      </c>
      <c r="L55" s="19">
        <v>359228</v>
      </c>
      <c r="M55" s="19">
        <v>39914</v>
      </c>
      <c r="N55" s="19">
        <v>49696.82</v>
      </c>
      <c r="O55" s="19">
        <v>8808.0300000000007</v>
      </c>
      <c r="P55" s="19">
        <v>0</v>
      </c>
      <c r="Q55" s="19">
        <v>1</v>
      </c>
      <c r="R55" s="19">
        <v>953290.25</v>
      </c>
      <c r="S55" s="19">
        <v>0</v>
      </c>
      <c r="T55" s="19">
        <f t="shared" si="13"/>
        <v>50</v>
      </c>
      <c r="U55" s="19">
        <v>1085</v>
      </c>
      <c r="V55" s="19">
        <v>8400734.8100000005</v>
      </c>
      <c r="W55" s="19">
        <v>24600.839</v>
      </c>
      <c r="X55" s="49">
        <v>524</v>
      </c>
      <c r="Y55" s="19">
        <v>5682131</v>
      </c>
      <c r="Z55" s="19">
        <v>21267</v>
      </c>
      <c r="AA55" s="19">
        <v>36321</v>
      </c>
      <c r="AB55" s="19">
        <v>1421738.899999998</v>
      </c>
      <c r="AC55" s="19">
        <v>64312</v>
      </c>
      <c r="AD55" s="19">
        <f t="shared" si="25"/>
        <v>0.302884284435878</v>
      </c>
      <c r="AE55" s="19">
        <f t="shared" si="26"/>
        <v>0.36104016700811603</v>
      </c>
      <c r="AF55" s="19">
        <f t="shared" si="27"/>
        <v>46.760809527270212</v>
      </c>
      <c r="AG55" s="19">
        <f t="shared" si="28"/>
        <v>0.43988269794721413</v>
      </c>
      <c r="AH55" s="19">
        <f t="shared" si="29"/>
        <v>0.2689558007736953</v>
      </c>
      <c r="AI55" s="19">
        <f t="shared" si="30"/>
        <v>20.29248894374529</v>
      </c>
      <c r="AJ55" s="19">
        <f t="shared" si="31"/>
        <v>0.45180722891566261</v>
      </c>
      <c r="AK55" s="19">
        <f t="shared" si="32"/>
        <v>0.27738584680313599</v>
      </c>
      <c r="AL55" s="19">
        <f t="shared" si="33"/>
        <v>20.292330765906609</v>
      </c>
      <c r="AM55" s="19">
        <f t="shared" si="34"/>
        <v>0.53216210943078079</v>
      </c>
      <c r="AN55" s="19">
        <f t="shared" si="35"/>
        <v>3.262918667102265</v>
      </c>
      <c r="AO55" s="19">
        <f t="shared" si="36"/>
        <v>0</v>
      </c>
      <c r="AP55" s="19">
        <f t="shared" si="37"/>
        <v>100</v>
      </c>
      <c r="AQ55" s="19">
        <f t="shared" si="14"/>
        <v>100</v>
      </c>
      <c r="AR55" s="19" t="e">
        <f>(#REF!-MIN(#REF!))/(MAX(#REF!)-MIN(#REF!))*100</f>
        <v>#REF!</v>
      </c>
      <c r="AS55" s="19" t="e">
        <f t="shared" si="15"/>
        <v>#REF!</v>
      </c>
      <c r="AT55" s="19">
        <f t="shared" si="16"/>
        <v>1.0621060224338534</v>
      </c>
      <c r="AU55" s="19">
        <f t="shared" si="17"/>
        <v>1.509222626676308</v>
      </c>
      <c r="AV55" s="19">
        <f t="shared" si="18"/>
        <v>2.38560665554824E-3</v>
      </c>
      <c r="AW55" s="19">
        <f t="shared" si="19"/>
        <v>1.3190458638302354</v>
      </c>
      <c r="AX55" s="19">
        <f t="shared" si="20"/>
        <v>1.7476975081719617</v>
      </c>
      <c r="AY55" s="19">
        <f t="shared" si="21"/>
        <v>2.7999903756137052E-2</v>
      </c>
      <c r="AZ55" s="19">
        <f t="shared" si="22"/>
        <v>1.4984733868498463</v>
      </c>
      <c r="BA55" s="19">
        <f t="shared" si="23"/>
        <v>0.25784679725424325</v>
      </c>
      <c r="BB55" s="19">
        <f t="shared" si="24"/>
        <v>1.041057329369623</v>
      </c>
      <c r="BC55" s="20">
        <v>0.3</v>
      </c>
      <c r="BD55" s="43">
        <v>10089</v>
      </c>
      <c r="BE55">
        <v>0</v>
      </c>
      <c r="BF55">
        <v>0</v>
      </c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</row>
    <row r="56" spans="1:102" x14ac:dyDescent="0.35">
      <c r="A56" t="s">
        <v>2111</v>
      </c>
      <c r="B56" t="s">
        <v>2111</v>
      </c>
      <c r="C56" t="s">
        <v>2133</v>
      </c>
      <c r="D56" t="s">
        <v>2134</v>
      </c>
      <c r="E56" s="19">
        <v>72</v>
      </c>
      <c r="F56" s="19">
        <v>56.492498525692</v>
      </c>
      <c r="G56" s="19">
        <v>0.78461803507905603</v>
      </c>
      <c r="H56" s="19">
        <v>24</v>
      </c>
      <c r="I56" s="19">
        <v>1516680.1429999999</v>
      </c>
      <c r="J56" s="19">
        <v>63195.006000000001</v>
      </c>
      <c r="K56" s="19">
        <v>23</v>
      </c>
      <c r="L56" s="19">
        <v>1503442</v>
      </c>
      <c r="M56" s="19">
        <v>65367</v>
      </c>
      <c r="N56" s="19">
        <v>7418.52</v>
      </c>
      <c r="O56" s="19">
        <v>1123.06</v>
      </c>
      <c r="P56" s="19">
        <v>493529.05</v>
      </c>
      <c r="Q56" s="19">
        <v>0.89</v>
      </c>
      <c r="R56" s="19">
        <v>3029166.04</v>
      </c>
      <c r="S56" s="19">
        <v>0</v>
      </c>
      <c r="T56" s="19">
        <f t="shared" si="13"/>
        <v>50</v>
      </c>
      <c r="U56" s="19">
        <v>2037</v>
      </c>
      <c r="V56" s="19">
        <v>11498585.359999999</v>
      </c>
      <c r="W56" s="19">
        <v>3666886.7689999999</v>
      </c>
      <c r="X56" s="49">
        <v>939</v>
      </c>
      <c r="Y56" s="19">
        <v>7234351</v>
      </c>
      <c r="Z56" s="19">
        <v>1732203</v>
      </c>
      <c r="AA56" s="19">
        <v>23534</v>
      </c>
      <c r="AB56" s="19">
        <v>993611.68</v>
      </c>
      <c r="AC56" s="19">
        <v>49304</v>
      </c>
      <c r="AD56" s="19">
        <f t="shared" si="25"/>
        <v>0.46121016039099605</v>
      </c>
      <c r="AE56" s="19">
        <f t="shared" si="26"/>
        <v>0.47778873207329053</v>
      </c>
      <c r="AF56" s="19">
        <f t="shared" si="27"/>
        <v>38.046668652239553</v>
      </c>
      <c r="AG56" s="19">
        <f t="shared" si="28"/>
        <v>1.1730205278592376</v>
      </c>
      <c r="AH56" s="19">
        <f t="shared" si="29"/>
        <v>1.1355460961781159</v>
      </c>
      <c r="AI56" s="19">
        <f t="shared" si="30"/>
        <v>32.128499384014439</v>
      </c>
      <c r="AJ56" s="19">
        <f t="shared" si="31"/>
        <v>1.1546184738955823</v>
      </c>
      <c r="AK56" s="19">
        <f t="shared" si="32"/>
        <v>1.1609159984449997</v>
      </c>
      <c r="AL56" s="19">
        <f t="shared" si="33"/>
        <v>33.232669869595064</v>
      </c>
      <c r="AM56" s="19">
        <f t="shared" si="34"/>
        <v>7.9438790088670386E-2</v>
      </c>
      <c r="AN56" s="19">
        <f t="shared" si="35"/>
        <v>0.41603553101838536</v>
      </c>
      <c r="AO56" s="19">
        <f t="shared" si="36"/>
        <v>2.0054411734819051</v>
      </c>
      <c r="AP56" s="19">
        <f t="shared" si="37"/>
        <v>89</v>
      </c>
      <c r="AQ56" s="19">
        <f t="shared" si="14"/>
        <v>89</v>
      </c>
      <c r="AR56" s="19" t="e">
        <f>(#REF!-MIN(#REF!))/(MAX(#REF!)-MIN(#REF!))*100</f>
        <v>#REF!</v>
      </c>
      <c r="AS56" s="19" t="e">
        <f t="shared" si="15"/>
        <v>#REF!</v>
      </c>
      <c r="AT56" s="19">
        <f t="shared" si="16"/>
        <v>2.057307728493921</v>
      </c>
      <c r="AU56" s="19">
        <f t="shared" si="17"/>
        <v>2.0735340123470056</v>
      </c>
      <c r="AV56" s="19">
        <f t="shared" si="18"/>
        <v>0.35803061381271351</v>
      </c>
      <c r="AW56" s="19">
        <f t="shared" si="19"/>
        <v>2.4116686851666578</v>
      </c>
      <c r="AX56" s="19">
        <f t="shared" si="20"/>
        <v>2.2302873990034637</v>
      </c>
      <c r="AY56" s="19">
        <f t="shared" si="21"/>
        <v>2.2986437246353724</v>
      </c>
      <c r="AZ56" s="19">
        <f t="shared" si="22"/>
        <v>0.97009871230624989</v>
      </c>
      <c r="BA56" s="19">
        <f t="shared" si="23"/>
        <v>0.18020157526983924</v>
      </c>
      <c r="BB56" s="19">
        <f t="shared" si="24"/>
        <v>0.79786794466404443</v>
      </c>
      <c r="BC56" s="20">
        <v>0.5</v>
      </c>
      <c r="BD56" s="43">
        <v>22368</v>
      </c>
      <c r="BE56">
        <v>0</v>
      </c>
      <c r="BF56">
        <v>0</v>
      </c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</row>
    <row r="57" spans="1:102" x14ac:dyDescent="0.35">
      <c r="A57" t="s">
        <v>2111</v>
      </c>
      <c r="B57" t="s">
        <v>2139</v>
      </c>
      <c r="C57" t="s">
        <v>2140</v>
      </c>
      <c r="D57" t="s">
        <v>2141</v>
      </c>
      <c r="E57" s="19">
        <v>1335</v>
      </c>
      <c r="F57" s="19">
        <v>934.66770534238606</v>
      </c>
      <c r="G57" s="19">
        <v>0.70012562197931494</v>
      </c>
      <c r="H57" s="19">
        <v>99</v>
      </c>
      <c r="I57" s="19">
        <v>5950645.9400000004</v>
      </c>
      <c r="J57" s="19">
        <v>60107.535000000003</v>
      </c>
      <c r="K57" s="19">
        <v>97</v>
      </c>
      <c r="L57" s="19">
        <v>5942590</v>
      </c>
      <c r="M57" s="19">
        <v>61264</v>
      </c>
      <c r="N57" s="19">
        <v>446126.44</v>
      </c>
      <c r="O57" s="19">
        <v>56402.2</v>
      </c>
      <c r="P57" s="19">
        <v>1556857.06</v>
      </c>
      <c r="Q57" s="19">
        <v>0.88</v>
      </c>
      <c r="R57" s="19">
        <v>18609398.370000001</v>
      </c>
      <c r="S57" s="19">
        <v>1235646.24</v>
      </c>
      <c r="T57" s="19">
        <f t="shared" si="13"/>
        <v>93.360095713830432</v>
      </c>
      <c r="U57" s="19">
        <v>7530</v>
      </c>
      <c r="V57" s="19">
        <v>45606554.270000003</v>
      </c>
      <c r="W57" s="19">
        <v>2625897.2319999998</v>
      </c>
      <c r="X57" s="49">
        <v>3257</v>
      </c>
      <c r="Y57" s="19">
        <v>28215809</v>
      </c>
      <c r="Z57" s="19">
        <v>2194195</v>
      </c>
      <c r="AA57" s="19">
        <v>359046</v>
      </c>
      <c r="AB57" s="19">
        <v>23852865.240000069</v>
      </c>
      <c r="AC57" s="19">
        <v>813374</v>
      </c>
      <c r="AD57" s="19">
        <f t="shared" si="25"/>
        <v>9.1553658704481311</v>
      </c>
      <c r="AE57" s="19">
        <f t="shared" si="26"/>
        <v>8.2445845621131681</v>
      </c>
      <c r="AF57" s="19">
        <f t="shared" si="27"/>
        <v>30.601376333104614</v>
      </c>
      <c r="AG57" s="19">
        <f t="shared" si="28"/>
        <v>4.838709677419355</v>
      </c>
      <c r="AH57" s="19">
        <f t="shared" si="29"/>
        <v>4.4552787204949622</v>
      </c>
      <c r="AI57" s="19">
        <f t="shared" si="30"/>
        <v>30.55882139202782</v>
      </c>
      <c r="AJ57" s="19">
        <f t="shared" si="31"/>
        <v>4.8694779116465865</v>
      </c>
      <c r="AK57" s="19">
        <f t="shared" si="32"/>
        <v>4.5887023265275761</v>
      </c>
      <c r="AL57" s="19">
        <f t="shared" si="33"/>
        <v>31.146699204351911</v>
      </c>
      <c r="AM57" s="19">
        <f t="shared" si="34"/>
        <v>4.7771987701274377</v>
      </c>
      <c r="AN57" s="19">
        <f t="shared" si="35"/>
        <v>20.894092236928728</v>
      </c>
      <c r="AO57" s="19">
        <f t="shared" si="36"/>
        <v>6.3262441174435207</v>
      </c>
      <c r="AP57" s="19">
        <f t="shared" si="37"/>
        <v>88</v>
      </c>
      <c r="AQ57" s="19">
        <f t="shared" si="14"/>
        <v>88</v>
      </c>
      <c r="AR57" s="19" t="e">
        <f>(#REF!-MIN(#REF!))/(MAX(#REF!)-MIN(#REF!))*100</f>
        <v>#REF!</v>
      </c>
      <c r="AS57" s="19" t="e">
        <f t="shared" si="15"/>
        <v>#REF!</v>
      </c>
      <c r="AT57" s="19">
        <f t="shared" si="16"/>
        <v>7.7995797572627774</v>
      </c>
      <c r="AU57" s="19">
        <f t="shared" si="17"/>
        <v>8.2867179240160773</v>
      </c>
      <c r="AV57" s="19">
        <f t="shared" si="18"/>
        <v>0.25638490602038239</v>
      </c>
      <c r="AW57" s="19">
        <f t="shared" si="19"/>
        <v>8.5145595281975677</v>
      </c>
      <c r="AX57" s="19">
        <f t="shared" si="20"/>
        <v>8.753486124509994</v>
      </c>
      <c r="AY57" s="19">
        <f t="shared" si="21"/>
        <v>2.9117696861533018</v>
      </c>
      <c r="AZ57" s="19">
        <f t="shared" si="22"/>
        <v>14.833870027350526</v>
      </c>
      <c r="BA57" s="19">
        <f t="shared" si="23"/>
        <v>4.3259595045694352</v>
      </c>
      <c r="BB57" s="19">
        <f t="shared" si="24"/>
        <v>13.178845634695453</v>
      </c>
      <c r="BC57" s="20">
        <v>2.5</v>
      </c>
      <c r="BD57" s="43">
        <v>117499</v>
      </c>
      <c r="BE57">
        <v>1</v>
      </c>
      <c r="BF57">
        <v>0.6</v>
      </c>
      <c r="BG57" s="36"/>
      <c r="BH57" s="36"/>
      <c r="BI57" s="36"/>
      <c r="BJ57" s="36"/>
      <c r="BK57" s="36"/>
      <c r="BL57" s="36"/>
      <c r="BM57" s="36"/>
      <c r="BN57" s="36"/>
      <c r="BO57" s="36"/>
      <c r="BP57" s="36"/>
      <c r="BQ57" s="36"/>
      <c r="BR57" s="36"/>
      <c r="BS57" s="36"/>
      <c r="BT57" s="36"/>
      <c r="BU57" s="36"/>
      <c r="BV57" s="36"/>
      <c r="BW57" s="36"/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</row>
    <row r="58" spans="1:102" x14ac:dyDescent="0.35">
      <c r="A58" t="s">
        <v>2111</v>
      </c>
      <c r="B58" t="s">
        <v>2139</v>
      </c>
      <c r="C58" t="s">
        <v>2150</v>
      </c>
      <c r="D58" t="s">
        <v>2151</v>
      </c>
      <c r="E58" s="19">
        <v>63</v>
      </c>
      <c r="F58" s="19">
        <v>75.963233996758191</v>
      </c>
      <c r="G58" s="19">
        <v>1.2057656189961601</v>
      </c>
      <c r="H58" s="19">
        <v>20</v>
      </c>
      <c r="I58" s="19">
        <v>863153.28899999999</v>
      </c>
      <c r="J58" s="19">
        <v>43157.663999999997</v>
      </c>
      <c r="K58" s="19">
        <v>19</v>
      </c>
      <c r="L58" s="19">
        <v>858667</v>
      </c>
      <c r="M58" s="19">
        <v>45193</v>
      </c>
      <c r="N58" s="19">
        <v>9765.35</v>
      </c>
      <c r="O58" s="19">
        <v>1492.56</v>
      </c>
      <c r="P58" s="19">
        <v>81950.080000000002</v>
      </c>
      <c r="Q58" s="19">
        <v>0.71</v>
      </c>
      <c r="R58" s="19">
        <v>3582140.14</v>
      </c>
      <c r="S58" s="19">
        <v>1080977.8700000001</v>
      </c>
      <c r="T58" s="19">
        <f t="shared" si="13"/>
        <v>69.823127299536637</v>
      </c>
      <c r="U58" s="19">
        <v>1390</v>
      </c>
      <c r="V58" s="19">
        <v>8563090.4399999995</v>
      </c>
      <c r="W58" s="19">
        <v>584067.77800000005</v>
      </c>
      <c r="X58" s="49">
        <v>596</v>
      </c>
      <c r="Y58" s="19">
        <v>5145838</v>
      </c>
      <c r="Z58" s="19">
        <v>487122</v>
      </c>
      <c r="AA58" s="19">
        <v>90981</v>
      </c>
      <c r="AB58" s="19">
        <v>38219123.340000048</v>
      </c>
      <c r="AC58" s="19">
        <v>192936</v>
      </c>
      <c r="AD58" s="19">
        <f t="shared" si="25"/>
        <v>0.39925655675638466</v>
      </c>
      <c r="AE58" s="19">
        <f t="shared" si="26"/>
        <v>0.64999266801981348</v>
      </c>
      <c r="AF58" s="19">
        <f t="shared" si="27"/>
        <v>75.157300917633577</v>
      </c>
      <c r="AG58" s="19">
        <f t="shared" si="28"/>
        <v>0.97751710654936463</v>
      </c>
      <c r="AH58" s="19">
        <f t="shared" si="29"/>
        <v>0.64624723429721276</v>
      </c>
      <c r="AI58" s="19">
        <f t="shared" si="30"/>
        <v>21.941464508121133</v>
      </c>
      <c r="AJ58" s="19">
        <f t="shared" si="31"/>
        <v>0.9538152610441768</v>
      </c>
      <c r="AK58" s="19">
        <f t="shared" si="32"/>
        <v>0.66303871891085431</v>
      </c>
      <c r="AL58" s="19">
        <f t="shared" si="33"/>
        <v>22.976181397595262</v>
      </c>
      <c r="AM58" s="19">
        <f t="shared" si="34"/>
        <v>0.10456904999816641</v>
      </c>
      <c r="AN58" s="19">
        <f t="shared" si="35"/>
        <v>0.55291613286627728</v>
      </c>
      <c r="AO58" s="19">
        <f t="shared" si="36"/>
        <v>0.33300180526786821</v>
      </c>
      <c r="AP58" s="19">
        <f t="shared" si="37"/>
        <v>71</v>
      </c>
      <c r="AQ58" s="19">
        <f t="shared" si="14"/>
        <v>71</v>
      </c>
      <c r="AR58" s="19" t="e">
        <f>(#REF!-MIN(#REF!))/(MAX(#REF!)-MIN(#REF!))*100</f>
        <v>#REF!</v>
      </c>
      <c r="AS58" s="19" t="e">
        <f t="shared" si="15"/>
        <v>#REF!</v>
      </c>
      <c r="AT58" s="19">
        <f t="shared" si="16"/>
        <v>1.3809469051526777</v>
      </c>
      <c r="AU58" s="19">
        <f t="shared" si="17"/>
        <v>1.5387976914052179</v>
      </c>
      <c r="AV58" s="19">
        <f t="shared" si="18"/>
        <v>5.7013833914151289E-2</v>
      </c>
      <c r="AW58" s="19">
        <f t="shared" si="19"/>
        <v>1.5086093412669159</v>
      </c>
      <c r="AX58" s="19">
        <f t="shared" si="20"/>
        <v>1.5809623930956844</v>
      </c>
      <c r="AY58" s="19">
        <f t="shared" si="21"/>
        <v>0.64625258952328224</v>
      </c>
      <c r="AZ58" s="19">
        <f t="shared" si="22"/>
        <v>3.7570922740441057</v>
      </c>
      <c r="BA58" s="19">
        <f t="shared" si="23"/>
        <v>6.9314264012076494</v>
      </c>
      <c r="BB58" s="19">
        <f t="shared" si="24"/>
        <v>3.1252785059667927</v>
      </c>
      <c r="BC58" s="20">
        <v>0.4</v>
      </c>
      <c r="BD58" s="43">
        <v>17250</v>
      </c>
      <c r="BE58">
        <v>0</v>
      </c>
      <c r="BF58">
        <v>0</v>
      </c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</row>
    <row r="59" spans="1:102" x14ac:dyDescent="0.35">
      <c r="A59" t="s">
        <v>2111</v>
      </c>
      <c r="B59" t="s">
        <v>2139</v>
      </c>
      <c r="C59" t="s">
        <v>2158</v>
      </c>
      <c r="D59" t="s">
        <v>2159</v>
      </c>
      <c r="E59" s="19">
        <v>72</v>
      </c>
      <c r="F59" s="19">
        <v>43.055208674354702</v>
      </c>
      <c r="G59" s="19">
        <v>0.59798900936603694</v>
      </c>
      <c r="H59" s="19">
        <v>24</v>
      </c>
      <c r="I59" s="19">
        <v>1508900.3740000001</v>
      </c>
      <c r="J59" s="19">
        <v>62870.849000000002</v>
      </c>
      <c r="K59" s="19">
        <v>23</v>
      </c>
      <c r="L59" s="19">
        <v>1500925</v>
      </c>
      <c r="M59" s="19">
        <v>65258</v>
      </c>
      <c r="N59" s="19">
        <v>0</v>
      </c>
      <c r="O59" s="19">
        <v>0</v>
      </c>
      <c r="P59" s="19">
        <v>81500.98</v>
      </c>
      <c r="Q59" s="19">
        <v>0.88</v>
      </c>
      <c r="R59" s="19">
        <v>4771596.34</v>
      </c>
      <c r="S59" s="19">
        <v>0</v>
      </c>
      <c r="T59" s="19">
        <f t="shared" si="13"/>
        <v>50</v>
      </c>
      <c r="U59" s="19">
        <v>1355</v>
      </c>
      <c r="V59" s="19">
        <v>7961540.0300000003</v>
      </c>
      <c r="W59" s="19">
        <v>201083.554</v>
      </c>
      <c r="X59" s="49">
        <v>553</v>
      </c>
      <c r="Y59" s="19">
        <v>4437277</v>
      </c>
      <c r="Z59" s="19">
        <v>162619</v>
      </c>
      <c r="AA59" s="19">
        <v>1065</v>
      </c>
      <c r="AB59" s="19">
        <v>34013.489999999889</v>
      </c>
      <c r="AC59" s="19">
        <v>1318</v>
      </c>
      <c r="AD59" s="19">
        <f t="shared" si="25"/>
        <v>0.46121016039099605</v>
      </c>
      <c r="AE59" s="19">
        <f t="shared" si="26"/>
        <v>0.35894606152840436</v>
      </c>
      <c r="AF59" s="19">
        <f t="shared" si="27"/>
        <v>21.60131455839327</v>
      </c>
      <c r="AG59" s="19">
        <f t="shared" si="28"/>
        <v>1.1730205278592376</v>
      </c>
      <c r="AH59" s="19">
        <f t="shared" si="29"/>
        <v>1.1297213437687892</v>
      </c>
      <c r="AI59" s="19">
        <f t="shared" si="30"/>
        <v>31.963697153046631</v>
      </c>
      <c r="AJ59" s="19">
        <f t="shared" si="31"/>
        <v>1.1546184738955823</v>
      </c>
      <c r="AK59" s="19">
        <f t="shared" si="32"/>
        <v>1.1589724412155982</v>
      </c>
      <c r="AL59" s="19">
        <f t="shared" si="33"/>
        <v>33.177254124405806</v>
      </c>
      <c r="AM59" s="19">
        <f t="shared" si="34"/>
        <v>0</v>
      </c>
      <c r="AN59" s="19">
        <f t="shared" si="35"/>
        <v>0</v>
      </c>
      <c r="AO59" s="19">
        <f t="shared" si="36"/>
        <v>0.33117690026782676</v>
      </c>
      <c r="AP59" s="19">
        <f t="shared" si="37"/>
        <v>88</v>
      </c>
      <c r="AQ59" s="19">
        <f t="shared" si="14"/>
        <v>88</v>
      </c>
      <c r="AR59" s="19" t="e">
        <f>(#REF!-MIN(#REF!))/(MAX(#REF!)-MIN(#REF!))*100</f>
        <v>#REF!</v>
      </c>
      <c r="AS59" s="19" t="e">
        <f t="shared" si="15"/>
        <v>#REF!</v>
      </c>
      <c r="AT59" s="19">
        <f t="shared" si="16"/>
        <v>1.3443586071357636</v>
      </c>
      <c r="AU59" s="19">
        <f t="shared" si="17"/>
        <v>1.4292179231307682</v>
      </c>
      <c r="AV59" s="19">
        <f t="shared" si="18"/>
        <v>1.9617970518670584E-2</v>
      </c>
      <c r="AW59" s="19">
        <f t="shared" si="19"/>
        <v>1.3953978200200094</v>
      </c>
      <c r="AX59" s="19">
        <f t="shared" si="20"/>
        <v>1.3606686360010329</v>
      </c>
      <c r="AY59" s="19">
        <f t="shared" si="21"/>
        <v>0.21559315409917834</v>
      </c>
      <c r="AZ59" s="19">
        <f t="shared" si="22"/>
        <v>4.1651808238050002E-2</v>
      </c>
      <c r="BA59" s="19">
        <f t="shared" si="23"/>
        <v>6.1686920572681901E-3</v>
      </c>
      <c r="BB59" s="19">
        <f t="shared" si="24"/>
        <v>2.0303591353684022E-2</v>
      </c>
      <c r="BC59" s="20">
        <v>0.4</v>
      </c>
      <c r="BD59" s="43">
        <v>17733</v>
      </c>
      <c r="BE59">
        <v>0</v>
      </c>
      <c r="BF59">
        <v>0</v>
      </c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</row>
    <row r="60" spans="1:102" x14ac:dyDescent="0.35">
      <c r="A60" t="s">
        <v>2199</v>
      </c>
      <c r="B60" t="s">
        <v>2200</v>
      </c>
      <c r="C60" t="s">
        <v>2200</v>
      </c>
      <c r="D60" t="s">
        <v>2201</v>
      </c>
      <c r="E60" s="19">
        <v>3962</v>
      </c>
      <c r="F60" s="19">
        <v>2531.4405459620098</v>
      </c>
      <c r="G60" s="19">
        <v>0.63892997121706696</v>
      </c>
      <c r="H60" s="19">
        <v>262</v>
      </c>
      <c r="I60" s="19">
        <v>9828895.4169999994</v>
      </c>
      <c r="J60" s="19">
        <v>37514.868000000002</v>
      </c>
      <c r="K60" s="19">
        <v>249</v>
      </c>
      <c r="L60" s="19">
        <v>9546814</v>
      </c>
      <c r="M60" s="19">
        <v>38341</v>
      </c>
      <c r="N60" s="19">
        <v>1160151.6200000001</v>
      </c>
      <c r="O60" s="19">
        <v>113611.43</v>
      </c>
      <c r="P60" s="19">
        <v>4113954.76</v>
      </c>
      <c r="Q60" s="19">
        <v>0.86</v>
      </c>
      <c r="R60" s="19">
        <v>49725524.859999999</v>
      </c>
      <c r="S60" s="19">
        <v>3464653.87</v>
      </c>
      <c r="T60" s="19">
        <f t="shared" si="13"/>
        <v>93.032443840955764</v>
      </c>
      <c r="U60" s="19">
        <v>21712</v>
      </c>
      <c r="V60" s="19">
        <v>78806153.489999995</v>
      </c>
      <c r="W60" s="19">
        <v>8442267.3039999995</v>
      </c>
      <c r="X60" s="49">
        <v>7896</v>
      </c>
      <c r="Y60" s="19">
        <v>43620134</v>
      </c>
      <c r="Z60" s="19">
        <v>4322182</v>
      </c>
      <c r="AA60" s="19">
        <v>1236132</v>
      </c>
      <c r="AB60" s="19">
        <v>243906315.74000561</v>
      </c>
      <c r="AC60" s="19">
        <v>2537305</v>
      </c>
      <c r="AD60" s="19">
        <f t="shared" si="25"/>
        <v>27.238934398017484</v>
      </c>
      <c r="AE60" s="19">
        <f t="shared" si="26"/>
        <v>22.366833224769977</v>
      </c>
      <c r="AF60" s="19">
        <f t="shared" si="27"/>
        <v>25.208945322206837</v>
      </c>
      <c r="AG60" s="19">
        <f t="shared" si="28"/>
        <v>12.805474095796676</v>
      </c>
      <c r="AH60" s="19">
        <f t="shared" si="29"/>
        <v>7.3589437245749751</v>
      </c>
      <c r="AI60" s="19">
        <f t="shared" si="30"/>
        <v>19.072652883827292</v>
      </c>
      <c r="AJ60" s="19">
        <f t="shared" si="31"/>
        <v>12.5</v>
      </c>
      <c r="AK60" s="19">
        <f t="shared" si="32"/>
        <v>7.3717836183761678</v>
      </c>
      <c r="AL60" s="19">
        <f t="shared" si="33"/>
        <v>19.492615470652535</v>
      </c>
      <c r="AM60" s="19">
        <f t="shared" si="34"/>
        <v>12.423103396932394</v>
      </c>
      <c r="AN60" s="19">
        <f t="shared" si="35"/>
        <v>42.087147267116734</v>
      </c>
      <c r="AO60" s="19">
        <f t="shared" si="36"/>
        <v>16.716937455952934</v>
      </c>
      <c r="AP60" s="19">
        <f t="shared" si="37"/>
        <v>86</v>
      </c>
      <c r="AQ60" s="19">
        <f t="shared" si="14"/>
        <v>86</v>
      </c>
      <c r="AR60" s="19" t="e">
        <f>(#REF!-MIN(#REF!))/(MAX(#REF!)-MIN(#REF!))*100</f>
        <v>#REF!</v>
      </c>
      <c r="AS60" s="19" t="e">
        <f t="shared" si="15"/>
        <v>#REF!</v>
      </c>
      <c r="AT60" s="19">
        <f t="shared" si="16"/>
        <v>22.625158113716431</v>
      </c>
      <c r="AU60" s="19">
        <f t="shared" si="17"/>
        <v>14.334431181051672</v>
      </c>
      <c r="AV60" s="19">
        <f t="shared" si="18"/>
        <v>0.82431477633815886</v>
      </c>
      <c r="AW60" s="19">
        <f t="shared" si="19"/>
        <v>20.728239692485914</v>
      </c>
      <c r="AX60" s="19">
        <f t="shared" si="20"/>
        <v>13.542737338953167</v>
      </c>
      <c r="AY60" s="19">
        <f t="shared" si="21"/>
        <v>5.735896674223774</v>
      </c>
      <c r="AZ60" s="19">
        <f t="shared" si="22"/>
        <v>51.076149670483787</v>
      </c>
      <c r="BA60" s="19">
        <f t="shared" si="23"/>
        <v>44.23488894032706</v>
      </c>
      <c r="BB60" s="19">
        <f t="shared" si="24"/>
        <v>41.113395152610735</v>
      </c>
      <c r="BC60" s="20">
        <v>8.3000000000000007</v>
      </c>
      <c r="BD60" s="43">
        <v>373777</v>
      </c>
      <c r="BE60">
        <v>2</v>
      </c>
      <c r="BF60">
        <v>3.1</v>
      </c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</row>
    <row r="61" spans="1:102" x14ac:dyDescent="0.35">
      <c r="A61" t="s">
        <v>2199</v>
      </c>
      <c r="B61" t="s">
        <v>2200</v>
      </c>
      <c r="C61" t="s">
        <v>2208</v>
      </c>
      <c r="D61" t="s">
        <v>2209</v>
      </c>
      <c r="E61" s="19">
        <v>549</v>
      </c>
      <c r="F61" s="19">
        <v>353.56086824628403</v>
      </c>
      <c r="G61" s="19">
        <v>0.64400886747957098</v>
      </c>
      <c r="H61" s="19">
        <v>73</v>
      </c>
      <c r="I61" s="19">
        <v>3077589.6529999999</v>
      </c>
      <c r="J61" s="19">
        <v>42158.762000000002</v>
      </c>
      <c r="K61" s="19">
        <v>73</v>
      </c>
      <c r="L61" s="19">
        <v>3077590</v>
      </c>
      <c r="M61" s="19">
        <v>42159</v>
      </c>
      <c r="N61" s="19">
        <v>273333.90999999997</v>
      </c>
      <c r="O61" s="19">
        <v>42253.93</v>
      </c>
      <c r="P61" s="19">
        <v>776377.53</v>
      </c>
      <c r="Q61" s="19">
        <v>0.95</v>
      </c>
      <c r="R61" s="19">
        <v>13493944.810000001</v>
      </c>
      <c r="S61" s="19">
        <v>321987.03999999998</v>
      </c>
      <c r="T61" s="19">
        <f t="shared" si="13"/>
        <v>97.613840544527918</v>
      </c>
      <c r="U61" s="19">
        <v>7860</v>
      </c>
      <c r="V61" s="19">
        <v>15738777.380000001</v>
      </c>
      <c r="W61" s="19">
        <v>1300786.9850000001</v>
      </c>
      <c r="X61" s="49">
        <v>2825</v>
      </c>
      <c r="Y61" s="19">
        <v>8418778</v>
      </c>
      <c r="Z61" s="19">
        <v>1067152</v>
      </c>
      <c r="AA61" s="19">
        <v>76380</v>
      </c>
      <c r="AB61" s="19">
        <v>4368830.4399999939</v>
      </c>
      <c r="AC61" s="19">
        <v>131408</v>
      </c>
      <c r="AD61" s="19">
        <f t="shared" si="25"/>
        <v>3.7447511530254012</v>
      </c>
      <c r="AE61" s="19">
        <f t="shared" si="26"/>
        <v>3.1051338874282024</v>
      </c>
      <c r="AF61" s="19">
        <f t="shared" si="27"/>
        <v>25.656486893640785</v>
      </c>
      <c r="AG61" s="19">
        <f t="shared" si="28"/>
        <v>3.5679374389051812</v>
      </c>
      <c r="AH61" s="19">
        <f t="shared" si="29"/>
        <v>2.3042069431921828</v>
      </c>
      <c r="AI61" s="19">
        <f t="shared" si="30"/>
        <v>21.433620228595458</v>
      </c>
      <c r="AJ61" s="19">
        <f t="shared" si="31"/>
        <v>3.6646586345381524</v>
      </c>
      <c r="AK61" s="19">
        <f t="shared" si="32"/>
        <v>2.3764291989011528</v>
      </c>
      <c r="AL61" s="19">
        <f t="shared" si="33"/>
        <v>21.433691756272403</v>
      </c>
      <c r="AM61" s="19">
        <f t="shared" si="34"/>
        <v>2.926906593310461</v>
      </c>
      <c r="AN61" s="19">
        <f t="shared" si="35"/>
        <v>15.652891390632456</v>
      </c>
      <c r="AO61" s="19">
        <f t="shared" si="36"/>
        <v>3.1547878789063843</v>
      </c>
      <c r="AP61" s="19">
        <f t="shared" si="37"/>
        <v>95</v>
      </c>
      <c r="AQ61" s="19">
        <f t="shared" si="14"/>
        <v>95</v>
      </c>
      <c r="AR61" s="19" t="e">
        <f>(#REF!-MIN(#REF!))/(MAX(#REF!)-MIN(#REF!))*100</f>
        <v>#REF!</v>
      </c>
      <c r="AS61" s="19" t="e">
        <f t="shared" si="15"/>
        <v>#REF!</v>
      </c>
      <c r="AT61" s="19">
        <f t="shared" si="16"/>
        <v>8.1445551385651118</v>
      </c>
      <c r="AU61" s="19">
        <f t="shared" si="17"/>
        <v>2.8459368754599588</v>
      </c>
      <c r="AV61" s="19">
        <f t="shared" si="18"/>
        <v>0.12699669973028804</v>
      </c>
      <c r="AW61" s="19">
        <f t="shared" si="19"/>
        <v>7.3771786635774843</v>
      </c>
      <c r="AX61" s="19">
        <f t="shared" si="20"/>
        <v>2.5985293341852573</v>
      </c>
      <c r="AY61" s="19">
        <f t="shared" si="21"/>
        <v>1.4160309654675507</v>
      </c>
      <c r="AZ61" s="19">
        <f t="shared" si="22"/>
        <v>3.1537608731673514</v>
      </c>
      <c r="BA61" s="19">
        <f t="shared" si="23"/>
        <v>0.79233179643663565</v>
      </c>
      <c r="BB61" s="19">
        <f t="shared" si="24"/>
        <v>2.1282798077948288</v>
      </c>
      <c r="BC61" s="20">
        <v>3.1</v>
      </c>
      <c r="BD61" s="43">
        <v>129537</v>
      </c>
      <c r="BE61">
        <v>0</v>
      </c>
      <c r="BF61">
        <v>0</v>
      </c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</row>
    <row r="62" spans="1:102" x14ac:dyDescent="0.35">
      <c r="A62" t="s">
        <v>2199</v>
      </c>
      <c r="B62" t="s">
        <v>2200</v>
      </c>
      <c r="C62" t="s">
        <v>2218</v>
      </c>
      <c r="D62" t="s">
        <v>2219</v>
      </c>
      <c r="E62" s="19">
        <v>1636</v>
      </c>
      <c r="F62" s="19">
        <v>1135.1387903259999</v>
      </c>
      <c r="G62" s="19">
        <v>0.69385011633618898</v>
      </c>
      <c r="H62" s="19">
        <v>205</v>
      </c>
      <c r="I62" s="19">
        <v>10219135.530999999</v>
      </c>
      <c r="J62" s="19">
        <v>49849.442000000003</v>
      </c>
      <c r="K62" s="19">
        <v>197</v>
      </c>
      <c r="L62" s="19">
        <v>9864527</v>
      </c>
      <c r="M62" s="19">
        <v>50074</v>
      </c>
      <c r="N62" s="19">
        <v>599973.18000000005</v>
      </c>
      <c r="O62" s="19">
        <v>65750.429999999993</v>
      </c>
      <c r="P62" s="19">
        <v>1958183.12</v>
      </c>
      <c r="Q62" s="19">
        <v>0.86</v>
      </c>
      <c r="R62" s="19">
        <v>29635557</v>
      </c>
      <c r="S62" s="19">
        <v>1187655.22</v>
      </c>
      <c r="T62" s="19">
        <f t="shared" si="13"/>
        <v>95.992465334800357</v>
      </c>
      <c r="U62" s="19">
        <v>18327</v>
      </c>
      <c r="V62" s="19">
        <v>57130158.460000001</v>
      </c>
      <c r="W62" s="19">
        <v>5368427.1540000001</v>
      </c>
      <c r="X62" s="49">
        <v>6467</v>
      </c>
      <c r="Y62" s="19">
        <v>29392063</v>
      </c>
      <c r="Z62" s="19">
        <v>2655003</v>
      </c>
      <c r="AA62" s="19">
        <v>287653</v>
      </c>
      <c r="AB62" s="19">
        <v>16185419.34</v>
      </c>
      <c r="AC62" s="19">
        <v>512728</v>
      </c>
      <c r="AD62" s="19">
        <f t="shared" si="25"/>
        <v>11.227369725339024</v>
      </c>
      <c r="AE62" s="19">
        <f t="shared" si="26"/>
        <v>10.017599758634546</v>
      </c>
      <c r="AF62" s="19">
        <f t="shared" si="27"/>
        <v>30.04839207985221</v>
      </c>
      <c r="AG62" s="19">
        <f t="shared" si="28"/>
        <v>10.019550342130987</v>
      </c>
      <c r="AH62" s="19">
        <f t="shared" si="29"/>
        <v>7.6511184722104773</v>
      </c>
      <c r="AI62" s="19">
        <f t="shared" si="30"/>
        <v>25.343581209414928</v>
      </c>
      <c r="AJ62" s="19">
        <f t="shared" si="31"/>
        <v>9.8895582329317264</v>
      </c>
      <c r="AK62" s="19">
        <f t="shared" si="32"/>
        <v>7.6171127395620566</v>
      </c>
      <c r="AL62" s="19">
        <f t="shared" si="33"/>
        <v>25.457688299143342</v>
      </c>
      <c r="AM62" s="19">
        <f t="shared" si="34"/>
        <v>6.4246161639858164</v>
      </c>
      <c r="AN62" s="19">
        <f t="shared" si="35"/>
        <v>24.357127009899003</v>
      </c>
      <c r="AO62" s="19">
        <f t="shared" si="36"/>
        <v>7.9570210792358793</v>
      </c>
      <c r="AP62" s="19">
        <f t="shared" si="37"/>
        <v>86</v>
      </c>
      <c r="AQ62" s="19">
        <f t="shared" si="14"/>
        <v>86</v>
      </c>
      <c r="AR62" s="19" t="e">
        <f>(#REF!-MIN(#REF!))/(MAX(#REF!)-MIN(#REF!))*100</f>
        <v>#REF!</v>
      </c>
      <c r="AS62" s="19" t="e">
        <f t="shared" si="15"/>
        <v>#REF!</v>
      </c>
      <c r="AT62" s="19">
        <f t="shared" si="16"/>
        <v>19.086547005509154</v>
      </c>
      <c r="AU62" s="19">
        <f t="shared" si="17"/>
        <v>10.385883440047687</v>
      </c>
      <c r="AV62" s="19">
        <f t="shared" si="18"/>
        <v>0.52417472057193515</v>
      </c>
      <c r="AW62" s="19">
        <f t="shared" si="19"/>
        <v>16.965931230582907</v>
      </c>
      <c r="AX62" s="19">
        <f t="shared" si="20"/>
        <v>9.119187049282333</v>
      </c>
      <c r="AY62" s="19">
        <f t="shared" si="21"/>
        <v>3.5233243192966328</v>
      </c>
      <c r="AZ62" s="19">
        <f t="shared" si="22"/>
        <v>11.883822859156973</v>
      </c>
      <c r="BA62" s="19">
        <f t="shared" si="23"/>
        <v>2.9353902738652602</v>
      </c>
      <c r="BB62" s="19">
        <f t="shared" si="24"/>
        <v>8.3071828045919496</v>
      </c>
      <c r="BC62" s="20">
        <v>6.9</v>
      </c>
      <c r="BD62" s="43">
        <v>310136</v>
      </c>
      <c r="BE62">
        <v>1</v>
      </c>
      <c r="BF62">
        <v>0.2</v>
      </c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</row>
    <row r="63" spans="1:102" x14ac:dyDescent="0.35">
      <c r="A63" t="s">
        <v>2199</v>
      </c>
      <c r="B63" t="s">
        <v>2200</v>
      </c>
      <c r="C63" t="s">
        <v>3513</v>
      </c>
      <c r="D63" t="s">
        <v>2225</v>
      </c>
      <c r="E63" s="19">
        <v>77</v>
      </c>
      <c r="F63" s="19">
        <v>34.775443372337996</v>
      </c>
      <c r="G63" s="19">
        <v>0.45162913470568899</v>
      </c>
      <c r="H63" s="19">
        <v>3</v>
      </c>
      <c r="I63" s="19">
        <v>174849.66699999999</v>
      </c>
      <c r="J63" s="19">
        <v>58283.222000000002</v>
      </c>
      <c r="K63" s="19">
        <v>3</v>
      </c>
      <c r="L63" s="19">
        <v>174850</v>
      </c>
      <c r="M63" s="19">
        <v>58283</v>
      </c>
      <c r="N63" s="19">
        <v>0</v>
      </c>
      <c r="O63" s="19">
        <v>0</v>
      </c>
      <c r="P63" s="19">
        <v>0</v>
      </c>
      <c r="Q63" s="19">
        <v>1</v>
      </c>
      <c r="R63" s="19">
        <v>282009</v>
      </c>
      <c r="S63" s="19">
        <v>0</v>
      </c>
      <c r="T63" s="19">
        <f t="shared" si="13"/>
        <v>50</v>
      </c>
      <c r="U63" s="19">
        <v>925</v>
      </c>
      <c r="V63" s="19">
        <v>1130390.73</v>
      </c>
      <c r="W63" s="19">
        <v>57262.142</v>
      </c>
      <c r="X63" s="49">
        <v>327</v>
      </c>
      <c r="Y63" s="19">
        <v>546594</v>
      </c>
      <c r="Z63" s="19">
        <v>57262</v>
      </c>
      <c r="AA63" s="19">
        <v>9384</v>
      </c>
      <c r="AB63" s="19">
        <v>393965.16999999981</v>
      </c>
      <c r="AC63" s="19">
        <v>16174</v>
      </c>
      <c r="AD63" s="19">
        <f t="shared" si="25"/>
        <v>0.49562882907689132</v>
      </c>
      <c r="AE63" s="19">
        <f t="shared" si="26"/>
        <v>0.28571779668758723</v>
      </c>
      <c r="AF63" s="19">
        <f t="shared" si="27"/>
        <v>8.7043926850424853</v>
      </c>
      <c r="AG63" s="19">
        <f t="shared" si="28"/>
        <v>0.1466275659824047</v>
      </c>
      <c r="AH63" s="19">
        <f t="shared" si="29"/>
        <v>0.13091083027378539</v>
      </c>
      <c r="AI63" s="19">
        <f t="shared" si="30"/>
        <v>29.631336092054124</v>
      </c>
      <c r="AJ63" s="19">
        <f t="shared" si="31"/>
        <v>0.15060240963855423</v>
      </c>
      <c r="AK63" s="19">
        <f t="shared" si="32"/>
        <v>0.13501429541552531</v>
      </c>
      <c r="AL63" s="19">
        <f t="shared" si="33"/>
        <v>29.631154833625661</v>
      </c>
      <c r="AM63" s="19">
        <f t="shared" si="34"/>
        <v>0</v>
      </c>
      <c r="AN63" s="19">
        <f t="shared" si="35"/>
        <v>0</v>
      </c>
      <c r="AO63" s="19">
        <f t="shared" si="36"/>
        <v>0</v>
      </c>
      <c r="AP63" s="19">
        <f t="shared" si="37"/>
        <v>100</v>
      </c>
      <c r="AQ63" s="19">
        <f t="shared" si="14"/>
        <v>100</v>
      </c>
      <c r="AR63" s="19" t="e">
        <f>(#REF!-MIN(#REF!))/(MAX(#REF!)-MIN(#REF!))*100</f>
        <v>#REF!</v>
      </c>
      <c r="AS63" s="19" t="e">
        <f t="shared" si="15"/>
        <v>#REF!</v>
      </c>
      <c r="AT63" s="19">
        <f t="shared" si="16"/>
        <v>0.89484523149938844</v>
      </c>
      <c r="AU63" s="19">
        <f t="shared" si="17"/>
        <v>0.18484048626364191</v>
      </c>
      <c r="AV63" s="19">
        <f t="shared" si="18"/>
        <v>5.5747657612413353E-3</v>
      </c>
      <c r="AW63" s="19">
        <f t="shared" si="19"/>
        <v>0.80037912695487334</v>
      </c>
      <c r="AX63" s="19">
        <f t="shared" si="20"/>
        <v>0.15104352858714748</v>
      </c>
      <c r="AY63" s="19">
        <f t="shared" si="21"/>
        <v>7.5770144333545023E-2</v>
      </c>
      <c r="AZ63" s="19">
        <f t="shared" si="22"/>
        <v>0.38540318991695671</v>
      </c>
      <c r="BA63" s="19">
        <f t="shared" si="23"/>
        <v>7.1449587061466466E-2</v>
      </c>
      <c r="BB63" s="19">
        <f t="shared" si="24"/>
        <v>0.26102997056384353</v>
      </c>
      <c r="BC63" s="20">
        <v>0.2</v>
      </c>
      <c r="BD63" s="43">
        <v>10484</v>
      </c>
      <c r="BE63">
        <v>0</v>
      </c>
      <c r="BF63">
        <v>0</v>
      </c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</row>
    <row r="64" spans="1:102" x14ac:dyDescent="0.35">
      <c r="A64" t="s">
        <v>2199</v>
      </c>
      <c r="B64" t="s">
        <v>2200</v>
      </c>
      <c r="C64" t="s">
        <v>2228</v>
      </c>
      <c r="D64" t="s">
        <v>2229</v>
      </c>
      <c r="E64" s="19">
        <v>30</v>
      </c>
      <c r="F64" s="19">
        <v>15.0649835079852</v>
      </c>
      <c r="G64" s="19">
        <v>0.50216611693284097</v>
      </c>
      <c r="H64" s="19">
        <v>2</v>
      </c>
      <c r="I64" s="19">
        <v>61648.834000000003</v>
      </c>
      <c r="J64" s="19">
        <v>30824.417000000001</v>
      </c>
      <c r="K64" s="19">
        <v>2</v>
      </c>
      <c r="L64" s="19">
        <v>61649</v>
      </c>
      <c r="M64" s="19">
        <v>30824</v>
      </c>
      <c r="N64" s="19">
        <v>23329.86</v>
      </c>
      <c r="O64" s="19">
        <v>4529.92</v>
      </c>
      <c r="P64" s="19">
        <v>0</v>
      </c>
      <c r="Q64" s="19">
        <v>1</v>
      </c>
      <c r="R64" s="19">
        <v>451972.05</v>
      </c>
      <c r="S64" s="19">
        <v>0</v>
      </c>
      <c r="T64" s="19">
        <f t="shared" si="13"/>
        <v>50</v>
      </c>
      <c r="U64" s="19">
        <v>452</v>
      </c>
      <c r="V64" s="19">
        <v>772165.97</v>
      </c>
      <c r="W64" s="19">
        <v>120405.186</v>
      </c>
      <c r="X64" s="49">
        <v>174</v>
      </c>
      <c r="Y64" s="19">
        <v>519002</v>
      </c>
      <c r="Z64" s="19">
        <v>120405</v>
      </c>
      <c r="AA64" s="19">
        <v>11750</v>
      </c>
      <c r="AB64" s="19">
        <v>529463.85999999987</v>
      </c>
      <c r="AC64" s="19">
        <v>20787</v>
      </c>
      <c r="AD64" s="19">
        <f t="shared" si="25"/>
        <v>0.17209334342947613</v>
      </c>
      <c r="AE64" s="19">
        <f t="shared" si="26"/>
        <v>0.11139367970693292</v>
      </c>
      <c r="AF64" s="19">
        <f t="shared" si="27"/>
        <v>13.157604420916396</v>
      </c>
      <c r="AG64" s="19">
        <f t="shared" si="28"/>
        <v>9.7751710654936458E-2</v>
      </c>
      <c r="AH64" s="19">
        <f t="shared" si="29"/>
        <v>4.6156793906566441E-2</v>
      </c>
      <c r="AI64" s="19">
        <f t="shared" si="30"/>
        <v>15.67121083265827</v>
      </c>
      <c r="AJ64" s="19">
        <f t="shared" si="31"/>
        <v>0.1004016064257028</v>
      </c>
      <c r="AK64" s="19">
        <f t="shared" si="32"/>
        <v>4.7603639108216869E-2</v>
      </c>
      <c r="AL64" s="19">
        <f t="shared" si="33"/>
        <v>15.670962657922164</v>
      </c>
      <c r="AM64" s="19">
        <f t="shared" si="34"/>
        <v>0.24982015972701668</v>
      </c>
      <c r="AN64" s="19">
        <f t="shared" si="35"/>
        <v>1.6781006114284229</v>
      </c>
      <c r="AO64" s="19">
        <f t="shared" si="36"/>
        <v>0</v>
      </c>
      <c r="AP64" s="19">
        <f t="shared" si="37"/>
        <v>100</v>
      </c>
      <c r="AQ64" s="19">
        <f t="shared" si="14"/>
        <v>100</v>
      </c>
      <c r="AR64" s="19" t="e">
        <f>(#REF!-MIN(#REF!))/(MAX(#REF!)-MIN(#REF!))*100</f>
        <v>#REF!</v>
      </c>
      <c r="AS64" s="19" t="e">
        <f t="shared" si="15"/>
        <v>#REF!</v>
      </c>
      <c r="AT64" s="19">
        <f t="shared" si="16"/>
        <v>0.40038051829937593</v>
      </c>
      <c r="AU64" s="19">
        <f t="shared" si="17"/>
        <v>0.11958546268054714</v>
      </c>
      <c r="AV64" s="19">
        <f t="shared" si="18"/>
        <v>1.1740264233050001E-2</v>
      </c>
      <c r="AW64" s="19">
        <f t="shared" si="19"/>
        <v>0.39755673740192721</v>
      </c>
      <c r="AX64" s="19">
        <f t="shared" si="20"/>
        <v>0.14246509236816896</v>
      </c>
      <c r="AY64" s="19">
        <f t="shared" si="21"/>
        <v>0.1595694581487769</v>
      </c>
      <c r="AZ64" s="19">
        <f t="shared" si="22"/>
        <v>0.4831692398090463</v>
      </c>
      <c r="BA64" s="19">
        <f t="shared" si="23"/>
        <v>9.6023651433374435E-2</v>
      </c>
      <c r="BB64" s="19">
        <f t="shared" si="24"/>
        <v>0.33577894655310481</v>
      </c>
      <c r="BC64" s="20">
        <v>0.1</v>
      </c>
      <c r="BD64" s="43">
        <v>4782</v>
      </c>
      <c r="BE64">
        <v>0</v>
      </c>
      <c r="BF64">
        <v>0</v>
      </c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</row>
    <row r="65" spans="1:102" x14ac:dyDescent="0.35">
      <c r="A65" t="s">
        <v>2199</v>
      </c>
      <c r="B65" t="s">
        <v>2200</v>
      </c>
      <c r="C65" t="s">
        <v>2234</v>
      </c>
      <c r="D65" t="s">
        <v>2235</v>
      </c>
      <c r="E65" s="19">
        <v>111</v>
      </c>
      <c r="F65" s="19">
        <v>84.055921060634191</v>
      </c>
      <c r="G65" s="19">
        <v>0.75726055009580295</v>
      </c>
      <c r="H65" s="19">
        <v>16</v>
      </c>
      <c r="I65" s="19">
        <v>737638.83299999998</v>
      </c>
      <c r="J65" s="19">
        <v>46102.427000000003</v>
      </c>
      <c r="K65" s="19">
        <v>16</v>
      </c>
      <c r="L65" s="19">
        <v>737639</v>
      </c>
      <c r="M65" s="19">
        <v>46102</v>
      </c>
      <c r="N65" s="19">
        <v>24369.8</v>
      </c>
      <c r="O65" s="19">
        <v>4399.63</v>
      </c>
      <c r="P65" s="19">
        <v>0</v>
      </c>
      <c r="Q65" s="19">
        <v>0.85</v>
      </c>
      <c r="R65" s="19">
        <v>2781731.08</v>
      </c>
      <c r="S65" s="19">
        <v>556.1</v>
      </c>
      <c r="T65" s="19">
        <f t="shared" si="13"/>
        <v>99.980008851179107</v>
      </c>
      <c r="U65" s="19">
        <v>1295</v>
      </c>
      <c r="V65" s="19">
        <v>3005437.89</v>
      </c>
      <c r="W65" s="19">
        <v>322166.24200000003</v>
      </c>
      <c r="X65" s="49">
        <v>484</v>
      </c>
      <c r="Y65" s="19">
        <v>1266599</v>
      </c>
      <c r="Z65" s="19">
        <v>227474</v>
      </c>
      <c r="AA65" s="19">
        <v>14811</v>
      </c>
      <c r="AB65" s="19">
        <v>668750.84</v>
      </c>
      <c r="AC65" s="19">
        <v>23329</v>
      </c>
      <c r="AD65" s="19">
        <f t="shared" si="25"/>
        <v>0.72967577614097889</v>
      </c>
      <c r="AE65" s="19">
        <f t="shared" si="26"/>
        <v>0.72156636726984213</v>
      </c>
      <c r="AF65" s="19">
        <f t="shared" si="27"/>
        <v>35.635985073156313</v>
      </c>
      <c r="AG65" s="19">
        <f t="shared" si="28"/>
        <v>0.78201368523949166</v>
      </c>
      <c r="AH65" s="19">
        <f t="shared" si="29"/>
        <v>0.55227392609341441</v>
      </c>
      <c r="AI65" s="19">
        <f t="shared" si="30"/>
        <v>23.438589395356189</v>
      </c>
      <c r="AJ65" s="19">
        <f t="shared" si="31"/>
        <v>0.80321285140562237</v>
      </c>
      <c r="AK65" s="19">
        <f t="shared" si="32"/>
        <v>0.56958427140985224</v>
      </c>
      <c r="AL65" s="19">
        <f t="shared" si="33"/>
        <v>23.438318208393703</v>
      </c>
      <c r="AM65" s="19">
        <f t="shared" si="34"/>
        <v>0.26095601638910182</v>
      </c>
      <c r="AN65" s="19">
        <f t="shared" si="35"/>
        <v>1.6298349182896898</v>
      </c>
      <c r="AO65" s="19">
        <f t="shared" si="36"/>
        <v>0</v>
      </c>
      <c r="AP65" s="19">
        <f t="shared" si="37"/>
        <v>85</v>
      </c>
      <c r="AQ65" s="19">
        <f t="shared" si="14"/>
        <v>85</v>
      </c>
      <c r="AR65" s="19" t="e">
        <f>(#REF!-MIN(#REF!))/(MAX(#REF!)-MIN(#REF!))*100</f>
        <v>#REF!</v>
      </c>
      <c r="AS65" s="19" t="e">
        <f t="shared" si="15"/>
        <v>#REF!</v>
      </c>
      <c r="AT65" s="19">
        <f t="shared" si="16"/>
        <v>1.2816358105353391</v>
      </c>
      <c r="AU65" s="19">
        <f t="shared" si="17"/>
        <v>0.52640327116219243</v>
      </c>
      <c r="AV65" s="19">
        <f t="shared" si="18"/>
        <v>3.1440890044477504E-2</v>
      </c>
      <c r="AW65" s="19">
        <f t="shared" si="19"/>
        <v>1.2137328208098572</v>
      </c>
      <c r="AX65" s="19">
        <f t="shared" si="20"/>
        <v>0.37489525988047945</v>
      </c>
      <c r="AY65" s="19">
        <f t="shared" si="21"/>
        <v>0.30166452380740988</v>
      </c>
      <c r="AZ65" s="19">
        <f t="shared" si="22"/>
        <v>0.60965355034145796</v>
      </c>
      <c r="BA65" s="19">
        <f t="shared" si="23"/>
        <v>0.12128476069346145</v>
      </c>
      <c r="BB65" s="19">
        <f t="shared" si="24"/>
        <v>0.37696947266728259</v>
      </c>
      <c r="BC65" s="20">
        <v>0.4</v>
      </c>
      <c r="BD65" s="43">
        <v>15826</v>
      </c>
      <c r="BE65">
        <v>0</v>
      </c>
      <c r="BF65">
        <v>0</v>
      </c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/>
      <c r="CW65" s="36"/>
      <c r="CX65" s="36"/>
    </row>
    <row r="66" spans="1:102" x14ac:dyDescent="0.35">
      <c r="A66" t="s">
        <v>2199</v>
      </c>
      <c r="B66" t="s">
        <v>2200</v>
      </c>
      <c r="C66" t="s">
        <v>2248</v>
      </c>
      <c r="D66" t="s">
        <v>2249</v>
      </c>
      <c r="E66" s="19">
        <v>94</v>
      </c>
      <c r="F66" s="19">
        <v>50.7081961067069</v>
      </c>
      <c r="G66" s="19">
        <v>0.53944889475220104</v>
      </c>
      <c r="H66" s="19">
        <v>4</v>
      </c>
      <c r="I66" s="19">
        <v>91340.308999999994</v>
      </c>
      <c r="J66" s="19">
        <v>22835.077000000001</v>
      </c>
      <c r="K66" s="19">
        <v>4</v>
      </c>
      <c r="L66" s="19">
        <v>91340</v>
      </c>
      <c r="M66" s="19">
        <v>22835</v>
      </c>
      <c r="N66" s="19">
        <v>20236.560000000001</v>
      </c>
      <c r="O66" s="19">
        <v>3258.43</v>
      </c>
      <c r="P66" s="19">
        <v>0</v>
      </c>
      <c r="Q66" s="19">
        <v>0.75</v>
      </c>
      <c r="R66" s="19">
        <v>729787.88</v>
      </c>
      <c r="S66" s="19">
        <v>268608.96999999997</v>
      </c>
      <c r="T66" s="19">
        <f t="shared" si="13"/>
        <v>63.193555639756589</v>
      </c>
      <c r="U66" s="19">
        <v>1054</v>
      </c>
      <c r="V66" s="19">
        <v>1241884.49</v>
      </c>
      <c r="W66" s="19">
        <v>140180.76800000001</v>
      </c>
      <c r="X66" s="49">
        <v>383</v>
      </c>
      <c r="Y66" s="19">
        <v>457585</v>
      </c>
      <c r="Z66" s="19">
        <v>140013</v>
      </c>
      <c r="AA66" s="19">
        <v>16575</v>
      </c>
      <c r="AB66" s="19">
        <v>719921.29999999597</v>
      </c>
      <c r="AC66" s="19">
        <v>28736</v>
      </c>
      <c r="AD66" s="19">
        <f t="shared" ref="AD66:AD97" si="38">(E66-MIN($E$2:$E$170))/(MAX($E$2:$E$170)-MIN($E$2:$E$170))*100</f>
        <v>0.61265230260893511</v>
      </c>
      <c r="AE66" s="19">
        <f t="shared" ref="AE66:AE97" si="39">(F66-MIN($F$2:$F$170))/(MAX($F$2:$F$170)-MIN($F$2:$F$170))*100</f>
        <v>0.42663094993740686</v>
      </c>
      <c r="AF66" s="19">
        <f t="shared" ref="AF66:AF97" si="40">(G66-MIN($G$2:$G$170))/(MAX($G$2:$G$170)-MIN($G$2:$G$170))*100</f>
        <v>16.44288376317898</v>
      </c>
      <c r="AG66" s="19">
        <f t="shared" ref="AG66:AG97" si="41">(H66-MIN($H$2:$H$170))/(MAX($H$2:$H$170)-MIN($H$2:$H$170))*100</f>
        <v>0.19550342130987292</v>
      </c>
      <c r="AH66" s="19">
        <f t="shared" ref="AH66:AH97" si="42">(I66-MIN($I$2:$I$170))/(MAX($I$2:$I$170)-MIN($I$2:$I$170))*100</f>
        <v>6.8386951452724887E-2</v>
      </c>
      <c r="AI66" s="19">
        <f t="shared" ref="AI66:AI97" si="43">(J66-MIN($J$2:$J$170))/(MAX($J$2:$J$170)-MIN($J$2:$J$170))*100</f>
        <v>11.609410359553133</v>
      </c>
      <c r="AJ66" s="19">
        <f t="shared" ref="AJ66:AJ97" si="44">(K66-MIN($K$2:$K$170))/(MAX($K$2:$K$170)-MIN($K$2:$K$170))*100</f>
        <v>0.20080321285140559</v>
      </c>
      <c r="AK66" s="19">
        <f t="shared" ref="AK66:AK97" si="45">(L66-MIN($L$2:$L$170))/(MAX($L$2:$L$170)-MIN($L$2:$L$170))*100</f>
        <v>7.0530201562791425E-2</v>
      </c>
      <c r="AL66" s="19">
        <f t="shared" ref="AL66:AL97" si="46">(M66-MIN($M$2:$M$170))/(MAX($M$2:$M$170)-MIN($M$2:$M$170))*100</f>
        <v>11.609344416482372</v>
      </c>
      <c r="AM66" s="19">
        <f t="shared" ref="AM66:AM97" si="47">(N66-MIN($N$2:$N$170))/(MAX($N$2:$N$170)-MIN($N$2:$N$170))*100</f>
        <v>0.216696570469148</v>
      </c>
      <c r="AN66" s="19">
        <f t="shared" ref="AN66:AN97" si="48">(O66-MIN($O$2:$O$170))/(MAX($O$2:$O$170)-MIN($O$2:$O$170))*100</f>
        <v>1.2070794573186094</v>
      </c>
      <c r="AO66" s="19">
        <f t="shared" ref="AO66:AO97" si="49">(P66-MIN($P$2:$P$170))/(MAX($P$2:$P$170)-MIN($P$2:$P$170))*100</f>
        <v>0</v>
      </c>
      <c r="AP66" s="19">
        <f t="shared" ref="AP66:AP97" si="50">(Q66-MIN($Q$2:$Q$170))/(MAX($Q$2:$Q$170)-MIN($Q$2:$Q$170))*100</f>
        <v>75</v>
      </c>
      <c r="AQ66" s="19">
        <f t="shared" si="14"/>
        <v>75</v>
      </c>
      <c r="AR66" s="19" t="e">
        <f>(#REF!-MIN(#REF!))/(MAX(#REF!)-MIN(#REF!))*100</f>
        <v>#REF!</v>
      </c>
      <c r="AS66" s="19" t="e">
        <f t="shared" si="15"/>
        <v>#REF!</v>
      </c>
      <c r="AT66" s="19">
        <f t="shared" si="16"/>
        <v>1.029699244190301</v>
      </c>
      <c r="AU66" s="19">
        <f t="shared" si="17"/>
        <v>0.2051504389820635</v>
      </c>
      <c r="AV66" s="19">
        <f t="shared" si="18"/>
        <v>1.3671218347332596E-2</v>
      </c>
      <c r="AW66" s="19">
        <f t="shared" si="19"/>
        <v>0.94781738718340258</v>
      </c>
      <c r="AX66" s="19">
        <f t="shared" si="20"/>
        <v>0.1233703613859639</v>
      </c>
      <c r="AY66" s="19">
        <f t="shared" si="21"/>
        <v>0.18559193008215141</v>
      </c>
      <c r="AZ66" s="19">
        <f t="shared" si="22"/>
        <v>0.68254421475804561</v>
      </c>
      <c r="BA66" s="19">
        <f t="shared" si="23"/>
        <v>0.1305650436097025</v>
      </c>
      <c r="BB66" s="19">
        <f t="shared" si="24"/>
        <v>0.46458441157340358</v>
      </c>
      <c r="BC66" s="20">
        <v>0.2</v>
      </c>
      <c r="BD66" s="43">
        <v>8942</v>
      </c>
      <c r="BE66">
        <v>0</v>
      </c>
      <c r="BF66">
        <v>0</v>
      </c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</row>
    <row r="67" spans="1:102" x14ac:dyDescent="0.35">
      <c r="A67" t="s">
        <v>2199</v>
      </c>
      <c r="B67" t="s">
        <v>2200</v>
      </c>
      <c r="C67" t="s">
        <v>2250</v>
      </c>
      <c r="D67" t="s">
        <v>2251</v>
      </c>
      <c r="E67" s="19">
        <v>101</v>
      </c>
      <c r="F67" s="19">
        <v>47.951401759655198</v>
      </c>
      <c r="G67" s="19">
        <v>0.47476635405599199</v>
      </c>
      <c r="H67" s="19">
        <v>4</v>
      </c>
      <c r="I67" s="19">
        <v>123144.083</v>
      </c>
      <c r="J67" s="19">
        <v>30786.021000000001</v>
      </c>
      <c r="K67" s="19">
        <v>4</v>
      </c>
      <c r="L67" s="19">
        <v>123144</v>
      </c>
      <c r="M67" s="19">
        <v>30786</v>
      </c>
      <c r="N67" s="19">
        <v>0</v>
      </c>
      <c r="O67" s="19">
        <v>0</v>
      </c>
      <c r="P67" s="19">
        <v>0</v>
      </c>
      <c r="Q67" s="19">
        <v>1</v>
      </c>
      <c r="R67" s="19">
        <v>306490.81</v>
      </c>
      <c r="S67" s="19">
        <v>0</v>
      </c>
      <c r="T67" s="19">
        <f t="shared" ref="T67:T130" si="51">IF((100-IFERROR(S67/R67*100,0))=100,50,(100-IFERROR(S67/R67*100,0)))</f>
        <v>50</v>
      </c>
      <c r="U67" s="19">
        <v>464</v>
      </c>
      <c r="V67" s="19">
        <v>1358101.66</v>
      </c>
      <c r="W67" s="19">
        <v>169</v>
      </c>
      <c r="X67" s="49">
        <v>174</v>
      </c>
      <c r="Y67" s="19">
        <v>586162</v>
      </c>
      <c r="Z67" s="19">
        <v>169</v>
      </c>
      <c r="AA67" s="19">
        <v>1001</v>
      </c>
      <c r="AB67" s="19">
        <v>33109.569999999992</v>
      </c>
      <c r="AC67" s="19">
        <v>1472</v>
      </c>
      <c r="AD67" s="19">
        <f t="shared" si="38"/>
        <v>0.66083843876918835</v>
      </c>
      <c r="AE67" s="19">
        <f t="shared" si="39"/>
        <v>0.40224918799200504</v>
      </c>
      <c r="AF67" s="19">
        <f t="shared" si="40"/>
        <v>10.743195403478268</v>
      </c>
      <c r="AG67" s="19">
        <f t="shared" si="41"/>
        <v>0.19550342130987292</v>
      </c>
      <c r="AH67" s="19">
        <f t="shared" si="42"/>
        <v>9.2198597946623148E-2</v>
      </c>
      <c r="AI67" s="19">
        <f t="shared" si="43"/>
        <v>15.651690210057986</v>
      </c>
      <c r="AJ67" s="19">
        <f t="shared" si="44"/>
        <v>0.20080321285140559</v>
      </c>
      <c r="AK67" s="19">
        <f t="shared" si="45"/>
        <v>9.5088363709748075E-2</v>
      </c>
      <c r="AL67" s="19">
        <f t="shared" si="46"/>
        <v>15.651643407305727</v>
      </c>
      <c r="AM67" s="19">
        <f t="shared" si="47"/>
        <v>0</v>
      </c>
      <c r="AN67" s="19">
        <f t="shared" si="48"/>
        <v>0</v>
      </c>
      <c r="AO67" s="19">
        <f t="shared" si="49"/>
        <v>0</v>
      </c>
      <c r="AP67" s="19">
        <f t="shared" si="50"/>
        <v>100</v>
      </c>
      <c r="AQ67" s="19">
        <f t="shared" ref="AQ67:AQ130" si="52">IF(AP67&gt;=50,AP67,50)</f>
        <v>100</v>
      </c>
      <c r="AR67" s="19" t="e">
        <f>(#REF!-MIN(#REF!))/(MAX(#REF!)-MIN(#REF!))*100</f>
        <v>#REF!</v>
      </c>
      <c r="AS67" s="19" t="e">
        <f t="shared" ref="AS67:AS130" si="53">IF(AR67&gt;=50,AR67,50)</f>
        <v>#REF!</v>
      </c>
      <c r="AT67" s="19">
        <f t="shared" ref="AT67:AT130" si="54">(U67-MIN($U$2:$U$170))/(MAX($U$2:$U$170)-MIN($U$2:$U$170))*100</f>
        <v>0.41292507761946079</v>
      </c>
      <c r="AU67" s="19">
        <f t="shared" ref="AU67:AU130" si="55">(V67-MIN($V$2:$V$170))/(MAX($V$2:$V$170)-MIN($V$2:$V$170))*100</f>
        <v>0.22632081863172959</v>
      </c>
      <c r="AV67" s="19">
        <f t="shared" ref="AV67:AV130" si="56">(W67-MIN($W$2:$W$170))/(MAX($W$2:$W$170)-MIN($W$2:$W$170))*100</f>
        <v>0</v>
      </c>
      <c r="AW67" s="19">
        <f t="shared" ref="AW67:AW130" si="57">(X67-MIN($X$2:$X$170))/(MAX($X$2:$X$170)-MIN($X$2:$X$170))*100</f>
        <v>0.39755673740192721</v>
      </c>
      <c r="AX67" s="19">
        <f t="shared" ref="AX67:AX130" si="58">(Y67-MIN($Y$2:$Y$170))/(MAX($Y$2:$Y$170)-MIN($Y$2:$Y$170))*100</f>
        <v>0.16334533941320362</v>
      </c>
      <c r="AY67" s="19">
        <f t="shared" ref="AY67:AY130" si="59">(Z67-MIN($Z$2:$Z$170))/(MAX($Z$2:$Z$170)-MIN($Z$2:$Z$170))*100</f>
        <v>0</v>
      </c>
      <c r="AZ67" s="19">
        <f t="shared" ref="AZ67:AZ130" si="60">(AA67-MIN($AA$2:$AA$170))/(MAX($AA$2:$AA$170)-MIN($AA$2:$AA$170))*100</f>
        <v>3.9007248984840474E-2</v>
      </c>
      <c r="BA67" s="19">
        <f t="shared" ref="BA67:BA130" si="61">(AB67-MIN($AB$2:$AB$170))/(MAX($AB$2:$AB$170)-MIN($AB$2:$AB$170))*100</f>
        <v>6.0047569796150228E-3</v>
      </c>
      <c r="BB67" s="19">
        <f t="shared" ref="BB67:BB130" si="62">(AC67-MIN($AC$2:$AC$170))/(MAX($AC$2:$AC$170)-MIN($AC$2:$AC$170))*100</f>
        <v>2.279900481614798E-2</v>
      </c>
      <c r="BC67" s="20">
        <v>0.2</v>
      </c>
      <c r="BD67" s="43">
        <v>7402</v>
      </c>
      <c r="BE67">
        <v>0</v>
      </c>
      <c r="BF67">
        <v>0</v>
      </c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</row>
    <row r="68" spans="1:102" x14ac:dyDescent="0.35">
      <c r="A68" t="s">
        <v>263</v>
      </c>
      <c r="B68" t="s">
        <v>2449</v>
      </c>
      <c r="C68" t="s">
        <v>2449</v>
      </c>
      <c r="D68" t="s">
        <v>2450</v>
      </c>
      <c r="E68" s="19">
        <v>8548</v>
      </c>
      <c r="F68" s="19">
        <v>6887.5376964055995</v>
      </c>
      <c r="G68" s="19">
        <v>0.80574844365999099</v>
      </c>
      <c r="H68" s="19">
        <v>1122</v>
      </c>
      <c r="I68" s="19">
        <v>71259222.118000001</v>
      </c>
      <c r="J68" s="19">
        <v>63510.892999999996</v>
      </c>
      <c r="K68" s="19">
        <v>1086</v>
      </c>
      <c r="L68" s="19">
        <v>70112377</v>
      </c>
      <c r="M68" s="19">
        <v>64560</v>
      </c>
      <c r="N68" s="19">
        <v>3014018.37</v>
      </c>
      <c r="O68" s="19">
        <v>173004.95</v>
      </c>
      <c r="P68" s="19">
        <v>13154833.720000001</v>
      </c>
      <c r="Q68" s="19">
        <v>0.89</v>
      </c>
      <c r="R68" s="19">
        <v>214143979.94999999</v>
      </c>
      <c r="S68" s="19">
        <v>6631360.4100000001</v>
      </c>
      <c r="T68" s="19">
        <f t="shared" si="51"/>
        <v>96.903316912505161</v>
      </c>
      <c r="U68" s="19">
        <v>58808</v>
      </c>
      <c r="V68" s="19">
        <v>355818490.81999999</v>
      </c>
      <c r="W68" s="19">
        <v>41598828.898000002</v>
      </c>
      <c r="X68" s="49">
        <v>22860</v>
      </c>
      <c r="Y68" s="19">
        <v>198371812</v>
      </c>
      <c r="Z68" s="19">
        <v>22232736</v>
      </c>
      <c r="AA68" s="19">
        <v>1979374</v>
      </c>
      <c r="AB68" s="19">
        <v>273767792.99801058</v>
      </c>
      <c r="AC68" s="19">
        <v>4633041</v>
      </c>
      <c r="AD68" s="19">
        <f t="shared" si="38"/>
        <v>58.807737316720591</v>
      </c>
      <c r="AE68" s="19">
        <f t="shared" si="39"/>
        <v>60.893219440972935</v>
      </c>
      <c r="AF68" s="19">
        <f t="shared" si="40"/>
        <v>39.90863546010079</v>
      </c>
      <c r="AG68" s="19">
        <f t="shared" si="41"/>
        <v>54.838709677419352</v>
      </c>
      <c r="AH68" s="19">
        <f t="shared" si="42"/>
        <v>53.352140110918668</v>
      </c>
      <c r="AI68" s="19">
        <f t="shared" si="43"/>
        <v>32.28909712626195</v>
      </c>
      <c r="AJ68" s="19">
        <f t="shared" si="44"/>
        <v>54.518072289156628</v>
      </c>
      <c r="AK68" s="19">
        <f t="shared" si="45"/>
        <v>54.138822879969581</v>
      </c>
      <c r="AL68" s="19">
        <f t="shared" si="46"/>
        <v>32.822389994661791</v>
      </c>
      <c r="AM68" s="19">
        <f t="shared" si="47"/>
        <v>32.274627906621063</v>
      </c>
      <c r="AN68" s="19">
        <f t="shared" si="48"/>
        <v>64.089368548482923</v>
      </c>
      <c r="AO68" s="19">
        <f t="shared" si="49"/>
        <v>53.454290426057263</v>
      </c>
      <c r="AP68" s="19">
        <f t="shared" si="50"/>
        <v>89</v>
      </c>
      <c r="AQ68" s="19">
        <f t="shared" si="52"/>
        <v>89</v>
      </c>
      <c r="AR68" s="19" t="e">
        <f>(#REF!-MIN(#REF!))/(MAX(#REF!)-MIN(#REF!))*100</f>
        <v>#REF!</v>
      </c>
      <c r="AS68" s="19" t="e">
        <f t="shared" si="53"/>
        <v>#REF!</v>
      </c>
      <c r="AT68" s="19">
        <f t="shared" si="54"/>
        <v>61.404572491872166</v>
      </c>
      <c r="AU68" s="19">
        <f t="shared" si="55"/>
        <v>64.795618189111522</v>
      </c>
      <c r="AV68" s="19">
        <f t="shared" si="56"/>
        <v>4.0618325912575175</v>
      </c>
      <c r="AW68" s="19">
        <f t="shared" si="57"/>
        <v>60.125849086409353</v>
      </c>
      <c r="AX68" s="19">
        <f t="shared" si="58"/>
        <v>61.655501890377437</v>
      </c>
      <c r="AY68" s="19">
        <f t="shared" si="59"/>
        <v>29.505627843960031</v>
      </c>
      <c r="AZ68" s="19">
        <f t="shared" si="60"/>
        <v>81.787829490389299</v>
      </c>
      <c r="BA68" s="19">
        <f t="shared" si="61"/>
        <v>49.650571293997629</v>
      </c>
      <c r="BB68" s="19">
        <f t="shared" si="62"/>
        <v>75.072666764106629</v>
      </c>
      <c r="BC68" s="20">
        <v>20.9</v>
      </c>
      <c r="BD68" s="43">
        <v>1128097</v>
      </c>
      <c r="BE68">
        <v>3</v>
      </c>
      <c r="BF68">
        <v>3.9</v>
      </c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</row>
    <row r="69" spans="1:102" x14ac:dyDescent="0.35">
      <c r="A69" t="s">
        <v>263</v>
      </c>
      <c r="B69" t="s">
        <v>2449</v>
      </c>
      <c r="C69" t="s">
        <v>2451</v>
      </c>
      <c r="D69" t="s">
        <v>2452</v>
      </c>
      <c r="E69" s="19">
        <v>596</v>
      </c>
      <c r="F69" s="19">
        <v>362.25561658868202</v>
      </c>
      <c r="G69" s="19">
        <v>0.60781143722933295</v>
      </c>
      <c r="H69" s="19">
        <v>113</v>
      </c>
      <c r="I69" s="19">
        <v>4199630.6189999999</v>
      </c>
      <c r="J69" s="19">
        <v>37164.873</v>
      </c>
      <c r="K69" s="19">
        <v>109</v>
      </c>
      <c r="L69" s="19">
        <v>4050496</v>
      </c>
      <c r="M69" s="19">
        <v>37161</v>
      </c>
      <c r="N69" s="19">
        <v>216417.99</v>
      </c>
      <c r="O69" s="19">
        <v>70544.47</v>
      </c>
      <c r="P69" s="19">
        <v>1425889.45</v>
      </c>
      <c r="Q69" s="19">
        <v>0.95</v>
      </c>
      <c r="R69" s="19">
        <v>16954080.969999999</v>
      </c>
      <c r="S69" s="19">
        <v>249200.22</v>
      </c>
      <c r="T69" s="19">
        <f t="shared" si="51"/>
        <v>98.530146102044952</v>
      </c>
      <c r="U69" s="19">
        <v>9999</v>
      </c>
      <c r="V69" s="19">
        <v>48979376.960000001</v>
      </c>
      <c r="W69" s="19">
        <v>726877.01599999995</v>
      </c>
      <c r="X69" s="49">
        <v>3527</v>
      </c>
      <c r="Y69" s="19">
        <v>28111082</v>
      </c>
      <c r="Z69" s="19">
        <v>726701</v>
      </c>
      <c r="AA69" s="19">
        <v>221300</v>
      </c>
      <c r="AB69" s="19">
        <v>34656486.280000113</v>
      </c>
      <c r="AC69" s="19">
        <v>384136</v>
      </c>
      <c r="AD69" s="19">
        <f t="shared" si="38"/>
        <v>4.0682866386728165</v>
      </c>
      <c r="AE69" s="19">
        <f t="shared" si="39"/>
        <v>3.1820323635463956</v>
      </c>
      <c r="AF69" s="19">
        <f t="shared" si="40"/>
        <v>22.466846078241399</v>
      </c>
      <c r="AG69" s="19">
        <f t="shared" si="41"/>
        <v>5.5229716520039096</v>
      </c>
      <c r="AH69" s="19">
        <f t="shared" si="42"/>
        <v>3.1442846910111717</v>
      </c>
      <c r="AI69" s="19">
        <f t="shared" si="43"/>
        <v>18.894714548922977</v>
      </c>
      <c r="AJ69" s="19">
        <f t="shared" si="44"/>
        <v>5.4718875502008029</v>
      </c>
      <c r="AK69" s="19">
        <f t="shared" si="45"/>
        <v>3.1276800887812617</v>
      </c>
      <c r="AL69" s="19">
        <f t="shared" si="46"/>
        <v>18.892701898878975</v>
      </c>
      <c r="AM69" s="19">
        <f t="shared" si="47"/>
        <v>2.3174411175034866</v>
      </c>
      <c r="AN69" s="19">
        <f t="shared" si="48"/>
        <v>26.133070394155755</v>
      </c>
      <c r="AO69" s="19">
        <f t="shared" si="49"/>
        <v>5.7940609815439803</v>
      </c>
      <c r="AP69" s="19">
        <f t="shared" si="50"/>
        <v>95</v>
      </c>
      <c r="AQ69" s="19">
        <f t="shared" si="52"/>
        <v>95</v>
      </c>
      <c r="AR69" s="19" t="e">
        <f>(#REF!-MIN(#REF!))/(MAX(#REF!)-MIN(#REF!))*100</f>
        <v>#REF!</v>
      </c>
      <c r="AS69" s="19" t="e">
        <f t="shared" si="53"/>
        <v>#REF!</v>
      </c>
      <c r="AT69" s="19">
        <f t="shared" si="54"/>
        <v>10.380622837370241</v>
      </c>
      <c r="AU69" s="19">
        <f t="shared" si="55"/>
        <v>8.9011188497855489</v>
      </c>
      <c r="AV69" s="19">
        <f t="shared" si="56"/>
        <v>7.0958206609410643E-2</v>
      </c>
      <c r="AW69" s="19">
        <f t="shared" si="57"/>
        <v>9.2254225685851186</v>
      </c>
      <c r="AX69" s="19">
        <f t="shared" si="58"/>
        <v>8.720926183588535</v>
      </c>
      <c r="AY69" s="19">
        <f t="shared" si="59"/>
        <v>0.96420637386262997</v>
      </c>
      <c r="AZ69" s="19">
        <f t="shared" si="60"/>
        <v>9.1420347321536664</v>
      </c>
      <c r="BA69" s="19">
        <f t="shared" si="61"/>
        <v>6.2853059667873374</v>
      </c>
      <c r="BB69" s="19">
        <f t="shared" si="62"/>
        <v>6.2234801554674997</v>
      </c>
      <c r="BC69" s="20">
        <v>2.8</v>
      </c>
      <c r="BD69" s="43">
        <v>120053</v>
      </c>
      <c r="BE69">
        <v>0</v>
      </c>
      <c r="BF69">
        <v>0</v>
      </c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</row>
    <row r="70" spans="1:102" x14ac:dyDescent="0.35">
      <c r="A70" t="s">
        <v>263</v>
      </c>
      <c r="B70" t="s">
        <v>2449</v>
      </c>
      <c r="C70" t="s">
        <v>2453</v>
      </c>
      <c r="D70" t="s">
        <v>2454</v>
      </c>
      <c r="E70" s="19">
        <v>155</v>
      </c>
      <c r="F70" s="19">
        <v>77.180929301269288</v>
      </c>
      <c r="G70" s="19">
        <v>0.49794147936302802</v>
      </c>
      <c r="H70" s="19">
        <v>52</v>
      </c>
      <c r="I70" s="19">
        <v>1830583.0209999999</v>
      </c>
      <c r="J70" s="19">
        <v>35203.519999999997</v>
      </c>
      <c r="K70" s="19">
        <v>52</v>
      </c>
      <c r="L70" s="19">
        <v>1830583</v>
      </c>
      <c r="M70" s="19">
        <v>35204</v>
      </c>
      <c r="N70" s="19">
        <v>0</v>
      </c>
      <c r="O70" s="19">
        <v>0</v>
      </c>
      <c r="P70" s="19">
        <v>278981.53999999998</v>
      </c>
      <c r="Q70" s="19">
        <v>0.88</v>
      </c>
      <c r="R70" s="19">
        <v>7768772.3300000001</v>
      </c>
      <c r="S70" s="19">
        <v>59644.480000000003</v>
      </c>
      <c r="T70" s="19">
        <f t="shared" si="51"/>
        <v>99.232253469834916</v>
      </c>
      <c r="U70" s="19">
        <v>3692</v>
      </c>
      <c r="V70" s="19">
        <v>20504677.539999999</v>
      </c>
      <c r="W70" s="19">
        <v>239951.12899999999</v>
      </c>
      <c r="X70" s="49">
        <v>1359</v>
      </c>
      <c r="Y70" s="19">
        <v>11009993</v>
      </c>
      <c r="Z70" s="19">
        <v>85410</v>
      </c>
      <c r="AA70" s="19">
        <v>47764</v>
      </c>
      <c r="AB70" s="19">
        <v>2459701.34</v>
      </c>
      <c r="AC70" s="19">
        <v>87576</v>
      </c>
      <c r="AD70" s="19">
        <f t="shared" si="38"/>
        <v>1.032560060576857</v>
      </c>
      <c r="AE70" s="19">
        <f t="shared" si="39"/>
        <v>0.66076226244689695</v>
      </c>
      <c r="AF70" s="19">
        <f t="shared" si="40"/>
        <v>12.78533831446105</v>
      </c>
      <c r="AG70" s="19">
        <f t="shared" si="41"/>
        <v>2.541544477028348</v>
      </c>
      <c r="AH70" s="19">
        <f t="shared" si="42"/>
        <v>1.370566769018807</v>
      </c>
      <c r="AI70" s="19">
        <f t="shared" si="43"/>
        <v>17.897557769598755</v>
      </c>
      <c r="AJ70" s="19">
        <f t="shared" si="44"/>
        <v>2.6104417670682731</v>
      </c>
      <c r="AK70" s="19">
        <f t="shared" si="45"/>
        <v>1.413525158390841</v>
      </c>
      <c r="AL70" s="19">
        <f t="shared" si="46"/>
        <v>17.897760492132488</v>
      </c>
      <c r="AM70" s="19">
        <f t="shared" si="47"/>
        <v>0</v>
      </c>
      <c r="AN70" s="19">
        <f t="shared" si="48"/>
        <v>0</v>
      </c>
      <c r="AO70" s="19">
        <f t="shared" si="49"/>
        <v>1.13363350537803</v>
      </c>
      <c r="AP70" s="19">
        <f t="shared" si="50"/>
        <v>88</v>
      </c>
      <c r="AQ70" s="19">
        <f t="shared" si="52"/>
        <v>88</v>
      </c>
      <c r="AR70" s="19" t="e">
        <f>(#REF!-MIN(#REF!))/(MAX(#REF!)-MIN(#REF!))*100</f>
        <v>#REF!</v>
      </c>
      <c r="AS70" s="19" t="e">
        <f t="shared" si="53"/>
        <v>#REF!</v>
      </c>
      <c r="AT70" s="19">
        <f t="shared" si="54"/>
        <v>3.787411534722295</v>
      </c>
      <c r="AU70" s="19">
        <f t="shared" si="55"/>
        <v>3.7141039092950154</v>
      </c>
      <c r="AV70" s="19">
        <f t="shared" si="56"/>
        <v>2.3413130825883657E-2</v>
      </c>
      <c r="AW70" s="19">
        <f t="shared" si="57"/>
        <v>3.5174556368806278</v>
      </c>
      <c r="AX70" s="19">
        <f t="shared" si="58"/>
        <v>3.40414591171354</v>
      </c>
      <c r="AY70" s="19">
        <f t="shared" si="59"/>
        <v>0.11312635302288743</v>
      </c>
      <c r="AZ70" s="19">
        <f t="shared" si="60"/>
        <v>1.9713123170760429</v>
      </c>
      <c r="BA70" s="19">
        <f t="shared" si="61"/>
        <v>0.44609183354339632</v>
      </c>
      <c r="BB70" s="19">
        <f t="shared" si="62"/>
        <v>1.4180268020369056</v>
      </c>
      <c r="BC70" s="20">
        <v>1.5</v>
      </c>
      <c r="BD70" s="43">
        <v>66467</v>
      </c>
      <c r="BE70">
        <v>0</v>
      </c>
      <c r="BF70">
        <v>0</v>
      </c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</row>
    <row r="71" spans="1:102" x14ac:dyDescent="0.35">
      <c r="A71" t="s">
        <v>263</v>
      </c>
      <c r="B71" t="s">
        <v>2449</v>
      </c>
      <c r="C71" t="s">
        <v>2455</v>
      </c>
      <c r="D71" t="s">
        <v>2456</v>
      </c>
      <c r="E71" s="19">
        <v>481</v>
      </c>
      <c r="F71" s="19">
        <v>365.31575197288697</v>
      </c>
      <c r="G71" s="19">
        <v>0.75949220784384108</v>
      </c>
      <c r="H71" s="19">
        <v>89</v>
      </c>
      <c r="I71" s="19">
        <v>5774993.0939999996</v>
      </c>
      <c r="J71" s="19">
        <v>64887.563000000002</v>
      </c>
      <c r="K71" s="19">
        <v>86</v>
      </c>
      <c r="L71" s="19">
        <v>5362769</v>
      </c>
      <c r="M71" s="19">
        <v>62358</v>
      </c>
      <c r="N71" s="19">
        <v>55463.27</v>
      </c>
      <c r="O71" s="19">
        <v>10670.09</v>
      </c>
      <c r="P71" s="19">
        <v>827089.16</v>
      </c>
      <c r="Q71" s="19">
        <v>0.87</v>
      </c>
      <c r="R71" s="19">
        <v>13891122.34</v>
      </c>
      <c r="S71" s="19">
        <v>676486.14</v>
      </c>
      <c r="T71" s="19">
        <f t="shared" si="51"/>
        <v>95.13008291596401</v>
      </c>
      <c r="U71" s="19">
        <v>5588</v>
      </c>
      <c r="V71" s="19">
        <v>22977676.25</v>
      </c>
      <c r="W71" s="19">
        <v>3845672.7209999999</v>
      </c>
      <c r="X71" s="49">
        <v>2474</v>
      </c>
      <c r="Y71" s="19">
        <v>12556970</v>
      </c>
      <c r="Z71" s="19">
        <v>2491923</v>
      </c>
      <c r="AA71" s="19">
        <v>47897</v>
      </c>
      <c r="AB71" s="19">
        <v>2798588.36</v>
      </c>
      <c r="AC71" s="19">
        <v>85827</v>
      </c>
      <c r="AD71" s="19">
        <f t="shared" si="38"/>
        <v>3.276657258897226</v>
      </c>
      <c r="AE71" s="19">
        <f t="shared" si="39"/>
        <v>3.2090969476486446</v>
      </c>
      <c r="AF71" s="19">
        <f t="shared" si="40"/>
        <v>35.83263402281753</v>
      </c>
      <c r="AG71" s="19">
        <f t="shared" si="41"/>
        <v>4.3499511241446731</v>
      </c>
      <c r="AH71" s="19">
        <f t="shared" si="42"/>
        <v>4.3237665460404724</v>
      </c>
      <c r="AI71" s="19">
        <f t="shared" si="43"/>
        <v>32.98899960347655</v>
      </c>
      <c r="AJ71" s="19">
        <f t="shared" si="44"/>
        <v>4.3172690763052213</v>
      </c>
      <c r="AK71" s="19">
        <f t="shared" si="45"/>
        <v>4.1409807149626605</v>
      </c>
      <c r="AL71" s="19">
        <f t="shared" si="46"/>
        <v>31.702890261572485</v>
      </c>
      <c r="AM71" s="19">
        <f t="shared" si="47"/>
        <v>0.59391024937066272</v>
      </c>
      <c r="AN71" s="19">
        <f t="shared" si="48"/>
        <v>3.9527154018164339</v>
      </c>
      <c r="AO71" s="19">
        <f t="shared" si="49"/>
        <v>3.3608531364152996</v>
      </c>
      <c r="AP71" s="19">
        <f t="shared" si="50"/>
        <v>87</v>
      </c>
      <c r="AQ71" s="19">
        <f t="shared" si="52"/>
        <v>87</v>
      </c>
      <c r="AR71" s="19" t="e">
        <f>(#REF!-MIN(#REF!))/(MAX(#REF!)-MIN(#REF!))*100</f>
        <v>#REF!</v>
      </c>
      <c r="AS71" s="19" t="e">
        <f t="shared" si="53"/>
        <v>#REF!</v>
      </c>
      <c r="AT71" s="19">
        <f t="shared" si="54"/>
        <v>5.7694519072957062</v>
      </c>
      <c r="AU71" s="19">
        <f t="shared" si="55"/>
        <v>4.1645908860802408</v>
      </c>
      <c r="AV71" s="19">
        <f t="shared" si="56"/>
        <v>0.37548787345697232</v>
      </c>
      <c r="AW71" s="19">
        <f t="shared" si="57"/>
        <v>6.4530567110736667</v>
      </c>
      <c r="AX71" s="19">
        <f t="shared" si="58"/>
        <v>3.8851057379938645</v>
      </c>
      <c r="AY71" s="19">
        <f t="shared" si="59"/>
        <v>3.306895069862998</v>
      </c>
      <c r="AZ71" s="19">
        <f t="shared" si="60"/>
        <v>1.9768080417741192</v>
      </c>
      <c r="BA71" s="19">
        <f t="shared" si="61"/>
        <v>0.50755243839709674</v>
      </c>
      <c r="BB71" s="19">
        <f t="shared" si="62"/>
        <v>1.3896860348560649</v>
      </c>
      <c r="BC71" s="20">
        <v>1.3</v>
      </c>
      <c r="BD71" s="43">
        <v>60443</v>
      </c>
      <c r="BE71">
        <v>1</v>
      </c>
      <c r="BF71">
        <v>0.2</v>
      </c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</row>
    <row r="72" spans="1:102" x14ac:dyDescent="0.35">
      <c r="A72" t="s">
        <v>263</v>
      </c>
      <c r="B72" t="s">
        <v>2449</v>
      </c>
      <c r="C72" t="s">
        <v>2457</v>
      </c>
      <c r="D72" t="s">
        <v>2458</v>
      </c>
      <c r="E72" s="19">
        <v>876</v>
      </c>
      <c r="F72" s="19">
        <v>519.75258197120002</v>
      </c>
      <c r="G72" s="19">
        <v>0.59332486526392703</v>
      </c>
      <c r="H72" s="19">
        <v>130</v>
      </c>
      <c r="I72" s="19">
        <v>6220429.8370000003</v>
      </c>
      <c r="J72" s="19">
        <v>47849.46</v>
      </c>
      <c r="K72" s="19">
        <v>129</v>
      </c>
      <c r="L72" s="19">
        <v>6182212</v>
      </c>
      <c r="M72" s="19">
        <v>47924</v>
      </c>
      <c r="N72" s="19">
        <v>245283.38</v>
      </c>
      <c r="O72" s="19">
        <v>57138.38</v>
      </c>
      <c r="P72" s="19">
        <v>1299594.3799999999</v>
      </c>
      <c r="Q72" s="19">
        <v>0.86</v>
      </c>
      <c r="R72" s="19">
        <v>21225561.359999999</v>
      </c>
      <c r="S72" s="19">
        <v>1606878.48</v>
      </c>
      <c r="T72" s="19">
        <f t="shared" si="51"/>
        <v>92.429512450831126</v>
      </c>
      <c r="U72" s="19">
        <v>11650</v>
      </c>
      <c r="V72" s="19">
        <v>59485297.770000003</v>
      </c>
      <c r="W72" s="19">
        <v>1211781.922</v>
      </c>
      <c r="X72" s="49">
        <v>4350</v>
      </c>
      <c r="Y72" s="19">
        <v>32071270</v>
      </c>
      <c r="Z72" s="19">
        <v>903327</v>
      </c>
      <c r="AA72" s="19">
        <v>244097</v>
      </c>
      <c r="AB72" s="19">
        <v>15151742.664000001</v>
      </c>
      <c r="AC72" s="19">
        <v>487177</v>
      </c>
      <c r="AD72" s="19">
        <f t="shared" si="38"/>
        <v>5.995732085082949</v>
      </c>
      <c r="AE72" s="19">
        <f t="shared" si="39"/>
        <v>4.5749739593482568</v>
      </c>
      <c r="AF72" s="19">
        <f t="shared" si="40"/>
        <v>21.190320068062114</v>
      </c>
      <c r="AG72" s="19">
        <f t="shared" si="41"/>
        <v>6.3538611925708697</v>
      </c>
      <c r="AH72" s="19">
        <f t="shared" si="42"/>
        <v>4.657267289056362</v>
      </c>
      <c r="AI72" s="19">
        <f t="shared" si="43"/>
        <v>24.326785349706643</v>
      </c>
      <c r="AJ72" s="19">
        <f t="shared" si="44"/>
        <v>6.475903614457831</v>
      </c>
      <c r="AK72" s="19">
        <f t="shared" si="45"/>
        <v>4.7737317545862492</v>
      </c>
      <c r="AL72" s="19">
        <f t="shared" si="46"/>
        <v>24.36462543531864</v>
      </c>
      <c r="AM72" s="19">
        <f t="shared" si="47"/>
        <v>2.6265366860316575</v>
      </c>
      <c r="AN72" s="19">
        <f t="shared" si="48"/>
        <v>21.166808776761965</v>
      </c>
      <c r="AO72" s="19">
        <f t="shared" si="49"/>
        <v>5.2808645782405081</v>
      </c>
      <c r="AP72" s="19">
        <f t="shared" si="50"/>
        <v>86</v>
      </c>
      <c r="AQ72" s="19">
        <f t="shared" si="52"/>
        <v>86</v>
      </c>
      <c r="AR72" s="19" t="e">
        <f>(#REF!-MIN(#REF!))/(MAX(#REF!)-MIN(#REF!))*100</f>
        <v>#REF!</v>
      </c>
      <c r="AS72" s="19" t="e">
        <f t="shared" si="53"/>
        <v>#REF!</v>
      </c>
      <c r="AT72" s="19">
        <f t="shared" si="54"/>
        <v>12.106545123825255</v>
      </c>
      <c r="AU72" s="19">
        <f t="shared" si="55"/>
        <v>10.814900884892996</v>
      </c>
      <c r="AV72" s="19">
        <f t="shared" si="56"/>
        <v>0.11830594703376403</v>
      </c>
      <c r="AW72" s="19">
        <f t="shared" si="57"/>
        <v>11.392238428729398</v>
      </c>
      <c r="AX72" s="19">
        <f t="shared" si="58"/>
        <v>9.9521606056370988</v>
      </c>
      <c r="AY72" s="19">
        <f t="shared" si="59"/>
        <v>1.1986130001225344</v>
      </c>
      <c r="AZ72" s="19">
        <f t="shared" si="60"/>
        <v>10.084035002394566</v>
      </c>
      <c r="BA72" s="19">
        <f t="shared" si="61"/>
        <v>2.7479225044295275</v>
      </c>
      <c r="BB72" s="19">
        <f t="shared" si="62"/>
        <v>7.8931548216087251</v>
      </c>
      <c r="BC72" s="20">
        <v>3.4</v>
      </c>
      <c r="BD72" s="43">
        <v>153403</v>
      </c>
      <c r="BE72">
        <v>1</v>
      </c>
      <c r="BF72">
        <v>0.2</v>
      </c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</row>
    <row r="73" spans="1:102" x14ac:dyDescent="0.35">
      <c r="A73" t="s">
        <v>263</v>
      </c>
      <c r="B73" t="s">
        <v>2449</v>
      </c>
      <c r="C73" t="s">
        <v>2459</v>
      </c>
      <c r="D73" t="s">
        <v>2460</v>
      </c>
      <c r="E73" s="19">
        <v>159</v>
      </c>
      <c r="F73" s="19">
        <v>90.923529556187788</v>
      </c>
      <c r="G73" s="19">
        <v>0.57184609783765894</v>
      </c>
      <c r="H73" s="19">
        <v>23</v>
      </c>
      <c r="I73" s="19">
        <v>1284366.68</v>
      </c>
      <c r="J73" s="19">
        <v>55842.03</v>
      </c>
      <c r="K73" s="19">
        <v>22</v>
      </c>
      <c r="L73" s="19">
        <v>1281329</v>
      </c>
      <c r="M73" s="19">
        <v>58242</v>
      </c>
      <c r="N73" s="19">
        <v>16780.349999999999</v>
      </c>
      <c r="O73" s="19">
        <v>2591.1799999999998</v>
      </c>
      <c r="P73" s="19">
        <v>67708.39</v>
      </c>
      <c r="Q73" s="19">
        <v>0.81</v>
      </c>
      <c r="R73" s="19">
        <v>1535341.28</v>
      </c>
      <c r="S73" s="19">
        <v>121177.67</v>
      </c>
      <c r="T73" s="19">
        <f t="shared" si="51"/>
        <v>92.107444020524213</v>
      </c>
      <c r="U73" s="19">
        <v>2111</v>
      </c>
      <c r="V73" s="19">
        <v>10064818.26</v>
      </c>
      <c r="W73" s="19">
        <v>1559407.2009999999</v>
      </c>
      <c r="X73" s="49">
        <v>752</v>
      </c>
      <c r="Y73" s="19">
        <v>5671742</v>
      </c>
      <c r="Z73" s="19">
        <v>540622</v>
      </c>
      <c r="AA73" s="19">
        <v>107209</v>
      </c>
      <c r="AB73" s="19">
        <v>53605919.019999973</v>
      </c>
      <c r="AC73" s="19">
        <v>219257</v>
      </c>
      <c r="AD73" s="19">
        <f t="shared" si="38"/>
        <v>1.060094995525573</v>
      </c>
      <c r="AE73" s="19">
        <f t="shared" si="39"/>
        <v>0.78230517270590338</v>
      </c>
      <c r="AF73" s="19">
        <f t="shared" si="40"/>
        <v>19.297656617267979</v>
      </c>
      <c r="AG73" s="19">
        <f t="shared" si="41"/>
        <v>1.1241446725317694</v>
      </c>
      <c r="AH73" s="19">
        <f t="shared" si="42"/>
        <v>0.96161183112110382</v>
      </c>
      <c r="AI73" s="19">
        <f t="shared" si="43"/>
        <v>28.390227962904476</v>
      </c>
      <c r="AJ73" s="19">
        <f t="shared" si="44"/>
        <v>1.1044176706827309</v>
      </c>
      <c r="AK73" s="19">
        <f t="shared" si="45"/>
        <v>0.98940653205879125</v>
      </c>
      <c r="AL73" s="19">
        <f t="shared" si="46"/>
        <v>29.610310379013193</v>
      </c>
      <c r="AM73" s="19">
        <f t="shared" si="47"/>
        <v>0.17968687841569747</v>
      </c>
      <c r="AN73" s="19">
        <f t="shared" si="48"/>
        <v>0.95989791040925665</v>
      </c>
      <c r="AO73" s="19">
        <f t="shared" si="49"/>
        <v>0.27513110544591141</v>
      </c>
      <c r="AP73" s="19">
        <f t="shared" si="50"/>
        <v>81</v>
      </c>
      <c r="AQ73" s="19">
        <f t="shared" si="52"/>
        <v>81</v>
      </c>
      <c r="AR73" s="19" t="e">
        <f>(#REF!-MIN(#REF!))/(MAX(#REF!)-MIN(#REF!))*100</f>
        <v>#REF!</v>
      </c>
      <c r="AS73" s="19" t="e">
        <f t="shared" si="53"/>
        <v>#REF!</v>
      </c>
      <c r="AT73" s="19">
        <f t="shared" si="54"/>
        <v>2.1346658443011113</v>
      </c>
      <c r="AU73" s="19">
        <f t="shared" si="55"/>
        <v>1.8123557902632912</v>
      </c>
      <c r="AV73" s="19">
        <f t="shared" si="56"/>
        <v>0.15224924451616859</v>
      </c>
      <c r="AW73" s="19">
        <f t="shared" si="57"/>
        <v>1.9193302090463902</v>
      </c>
      <c r="AX73" s="19">
        <f t="shared" si="58"/>
        <v>1.7444675366628657</v>
      </c>
      <c r="AY73" s="19">
        <f t="shared" si="59"/>
        <v>0.71725433617952128</v>
      </c>
      <c r="AZ73" s="19">
        <f t="shared" si="60"/>
        <v>4.427653329686045</v>
      </c>
      <c r="BA73" s="19">
        <f t="shared" si="61"/>
        <v>9.7219781587022318</v>
      </c>
      <c r="BB73" s="19">
        <f t="shared" si="62"/>
        <v>3.5517835562623374</v>
      </c>
      <c r="BC73" s="20">
        <v>0.5</v>
      </c>
      <c r="BD73" s="43">
        <v>18505</v>
      </c>
      <c r="BE73">
        <v>0</v>
      </c>
      <c r="BF73">
        <v>0</v>
      </c>
      <c r="BG73" s="36"/>
      <c r="BH73" s="36"/>
      <c r="BI73" s="36"/>
      <c r="BJ73" s="36"/>
      <c r="BK73" s="36"/>
      <c r="BL73" s="36"/>
      <c r="BM73" s="36"/>
      <c r="BN73" s="36"/>
      <c r="BO73" s="36"/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</row>
    <row r="74" spans="1:102" x14ac:dyDescent="0.35">
      <c r="A74" t="s">
        <v>263</v>
      </c>
      <c r="B74" t="s">
        <v>2449</v>
      </c>
      <c r="C74" t="s">
        <v>2461</v>
      </c>
      <c r="D74" t="s">
        <v>2462</v>
      </c>
      <c r="E74" s="19">
        <v>153</v>
      </c>
      <c r="F74" s="19">
        <v>109.685311206468</v>
      </c>
      <c r="G74" s="19">
        <v>0.71689745886580603</v>
      </c>
      <c r="H74" s="19">
        <v>49</v>
      </c>
      <c r="I74" s="19">
        <v>3055042.6850000001</v>
      </c>
      <c r="J74" s="19">
        <v>62347.81</v>
      </c>
      <c r="K74" s="19">
        <v>47</v>
      </c>
      <c r="L74" s="19">
        <v>2634688</v>
      </c>
      <c r="M74" s="19">
        <v>56057</v>
      </c>
      <c r="N74" s="19">
        <v>55.07</v>
      </c>
      <c r="O74" s="19">
        <v>8544.58</v>
      </c>
      <c r="P74" s="19">
        <v>0</v>
      </c>
      <c r="Q74" s="19">
        <v>0.79</v>
      </c>
      <c r="R74" s="19">
        <v>6110236.5599999996</v>
      </c>
      <c r="S74" s="19">
        <v>615094.96</v>
      </c>
      <c r="T74" s="19">
        <f t="shared" si="51"/>
        <v>89.933369126382885</v>
      </c>
      <c r="U74" s="19">
        <v>2999</v>
      </c>
      <c r="V74" s="19">
        <v>14900771.5</v>
      </c>
      <c r="W74" s="19">
        <v>3149381.1359999999</v>
      </c>
      <c r="X74" s="49">
        <v>1179</v>
      </c>
      <c r="Y74" s="19">
        <v>7670430</v>
      </c>
      <c r="Z74" s="19">
        <v>682932</v>
      </c>
      <c r="AA74" s="19">
        <v>57300</v>
      </c>
      <c r="AB74" s="19">
        <v>7078111.4899999481</v>
      </c>
      <c r="AC74" s="19">
        <v>118212</v>
      </c>
      <c r="AD74" s="19">
        <f t="shared" si="38"/>
        <v>1.0187925931024988</v>
      </c>
      <c r="AE74" s="19">
        <f t="shared" si="39"/>
        <v>0.94823894805550946</v>
      </c>
      <c r="AF74" s="19">
        <f t="shared" si="40"/>
        <v>32.079275043387263</v>
      </c>
      <c r="AG74" s="19">
        <f t="shared" si="41"/>
        <v>2.3949169110459434</v>
      </c>
      <c r="AH74" s="19">
        <f t="shared" si="42"/>
        <v>2.2873259141820648</v>
      </c>
      <c r="AI74" s="19">
        <f t="shared" si="43"/>
        <v>31.69778281498461</v>
      </c>
      <c r="AJ74" s="19">
        <f t="shared" si="44"/>
        <v>2.3594377510040161</v>
      </c>
      <c r="AK74" s="19">
        <f t="shared" si="45"/>
        <v>2.0344326220173836</v>
      </c>
      <c r="AL74" s="19">
        <f t="shared" si="46"/>
        <v>28.499453468568088</v>
      </c>
      <c r="AM74" s="19">
        <f t="shared" si="47"/>
        <v>5.8969904646520848E-4</v>
      </c>
      <c r="AN74" s="19">
        <f t="shared" si="48"/>
        <v>3.1653240945533416</v>
      </c>
      <c r="AO74" s="19">
        <f t="shared" si="49"/>
        <v>0</v>
      </c>
      <c r="AP74" s="19">
        <f t="shared" si="50"/>
        <v>79</v>
      </c>
      <c r="AQ74" s="19">
        <f t="shared" si="52"/>
        <v>79</v>
      </c>
      <c r="AR74" s="19" t="e">
        <f>(#REF!-MIN(#REF!))/(MAX(#REF!)-MIN(#REF!))*100</f>
        <v>#REF!</v>
      </c>
      <c r="AS74" s="19" t="e">
        <f t="shared" si="53"/>
        <v>#REF!</v>
      </c>
      <c r="AT74" s="19">
        <f t="shared" si="54"/>
        <v>3.0629632339873929</v>
      </c>
      <c r="AU74" s="19">
        <f t="shared" si="55"/>
        <v>2.6932838498506397</v>
      </c>
      <c r="AV74" s="19">
        <f t="shared" si="56"/>
        <v>0.30749962912635798</v>
      </c>
      <c r="AW74" s="19">
        <f t="shared" si="57"/>
        <v>3.0435469432889262</v>
      </c>
      <c r="AX74" s="19">
        <f t="shared" si="58"/>
        <v>2.3658656785024461</v>
      </c>
      <c r="AY74" s="19">
        <f t="shared" si="59"/>
        <v>0.90611898228511734</v>
      </c>
      <c r="AZ74" s="19">
        <f t="shared" si="60"/>
        <v>2.365351645804262</v>
      </c>
      <c r="BA74" s="19">
        <f t="shared" si="61"/>
        <v>1.2836874466225472</v>
      </c>
      <c r="BB74" s="19">
        <f t="shared" si="62"/>
        <v>1.9144520412320083</v>
      </c>
      <c r="BC74" s="20">
        <v>0.5</v>
      </c>
      <c r="BD74" s="43">
        <v>23162</v>
      </c>
      <c r="BE74">
        <v>0</v>
      </c>
      <c r="BF74">
        <v>0</v>
      </c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</row>
    <row r="75" spans="1:102" x14ac:dyDescent="0.35">
      <c r="A75" t="s">
        <v>263</v>
      </c>
      <c r="B75" t="s">
        <v>2449</v>
      </c>
      <c r="C75" t="s">
        <v>2469</v>
      </c>
      <c r="D75" t="s">
        <v>2470</v>
      </c>
      <c r="E75" s="19">
        <v>820</v>
      </c>
      <c r="F75" s="19">
        <v>684.14668889365305</v>
      </c>
      <c r="G75" s="19">
        <v>0.8343252303581129</v>
      </c>
      <c r="H75" s="19">
        <v>159</v>
      </c>
      <c r="I75" s="19">
        <v>9271149.341</v>
      </c>
      <c r="J75" s="19">
        <v>58309.114999999998</v>
      </c>
      <c r="K75" s="19">
        <v>154</v>
      </c>
      <c r="L75" s="19">
        <v>8941079</v>
      </c>
      <c r="M75" s="19">
        <v>58059</v>
      </c>
      <c r="N75" s="19">
        <v>10087.94</v>
      </c>
      <c r="O75" s="19">
        <v>1885.23</v>
      </c>
      <c r="P75" s="19">
        <v>1838406.54</v>
      </c>
      <c r="Q75" s="19">
        <v>0.87</v>
      </c>
      <c r="R75" s="19">
        <v>24919160.390000001</v>
      </c>
      <c r="S75" s="19">
        <v>242324.4</v>
      </c>
      <c r="T75" s="19">
        <f t="shared" si="51"/>
        <v>99.027557926481165</v>
      </c>
      <c r="U75" s="19">
        <v>8144</v>
      </c>
      <c r="V75" s="19">
        <v>50818785.219999999</v>
      </c>
      <c r="W75" s="19">
        <v>9729221.8450000007</v>
      </c>
      <c r="X75" s="49">
        <v>3155</v>
      </c>
      <c r="Y75" s="19">
        <v>28942349</v>
      </c>
      <c r="Z75" s="19">
        <v>6610698</v>
      </c>
      <c r="AA75" s="19">
        <v>151285</v>
      </c>
      <c r="AB75" s="19">
        <v>12539973.90499994</v>
      </c>
      <c r="AC75" s="19">
        <v>271777</v>
      </c>
      <c r="AD75" s="19">
        <f t="shared" si="38"/>
        <v>5.6102429958009221</v>
      </c>
      <c r="AE75" s="19">
        <f t="shared" si="39"/>
        <v>6.0289155580376335</v>
      </c>
      <c r="AF75" s="19">
        <f t="shared" si="40"/>
        <v>42.42676132138876</v>
      </c>
      <c r="AG75" s="19">
        <f t="shared" si="41"/>
        <v>7.7712609970674489</v>
      </c>
      <c r="AH75" s="19">
        <f t="shared" si="42"/>
        <v>6.9413564157521011</v>
      </c>
      <c r="AI75" s="19">
        <f t="shared" si="43"/>
        <v>29.64450015812843</v>
      </c>
      <c r="AJ75" s="19">
        <f t="shared" si="44"/>
        <v>7.7309236947791167</v>
      </c>
      <c r="AK75" s="19">
        <f t="shared" si="45"/>
        <v>6.9040519384589629</v>
      </c>
      <c r="AL75" s="19">
        <f t="shared" si="46"/>
        <v>29.51727293525509</v>
      </c>
      <c r="AM75" s="19">
        <f t="shared" si="47"/>
        <v>0.10802339928814664</v>
      </c>
      <c r="AN75" s="19">
        <f t="shared" si="48"/>
        <v>0.69838001900325075</v>
      </c>
      <c r="AO75" s="19">
        <f t="shared" si="49"/>
        <v>7.470312373535883</v>
      </c>
      <c r="AP75" s="19">
        <f t="shared" si="50"/>
        <v>87</v>
      </c>
      <c r="AQ75" s="19">
        <f t="shared" si="52"/>
        <v>87</v>
      </c>
      <c r="AR75" s="19" t="e">
        <f>(#REF!-MIN(#REF!))/(MAX(#REF!)-MIN(#REF!))*100</f>
        <v>#REF!</v>
      </c>
      <c r="AS75" s="19" t="e">
        <f t="shared" si="53"/>
        <v>#REF!</v>
      </c>
      <c r="AT75" s="19">
        <f t="shared" si="54"/>
        <v>8.4414430424737876</v>
      </c>
      <c r="AU75" s="19">
        <f t="shared" si="55"/>
        <v>9.2361895729405852</v>
      </c>
      <c r="AV75" s="19">
        <f t="shared" si="56"/>
        <v>0.94997733159638686</v>
      </c>
      <c r="AW75" s="19">
        <f t="shared" si="57"/>
        <v>8.2460112684956037</v>
      </c>
      <c r="AX75" s="19">
        <f t="shared" si="58"/>
        <v>8.9793696070606117</v>
      </c>
      <c r="AY75" s="19">
        <f t="shared" si="59"/>
        <v>8.7730673891910591</v>
      </c>
      <c r="AZ75" s="19">
        <f t="shared" si="60"/>
        <v>6.2489282303807787</v>
      </c>
      <c r="BA75" s="19">
        <f t="shared" si="61"/>
        <v>2.2742516991383055</v>
      </c>
      <c r="BB75" s="19">
        <f t="shared" si="62"/>
        <v>4.4028167708636818</v>
      </c>
      <c r="BC75" s="20">
        <v>2.8</v>
      </c>
      <c r="BD75" s="43">
        <v>145778</v>
      </c>
      <c r="BE75">
        <v>0</v>
      </c>
      <c r="BF75">
        <v>0</v>
      </c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</row>
    <row r="76" spans="1:102" x14ac:dyDescent="0.35">
      <c r="A76" t="s">
        <v>2619</v>
      </c>
      <c r="B76" t="s">
        <v>2620</v>
      </c>
      <c r="C76" t="s">
        <v>2620</v>
      </c>
      <c r="D76" t="s">
        <v>2621</v>
      </c>
      <c r="E76" s="19">
        <v>5028</v>
      </c>
      <c r="F76" s="19">
        <v>4289.4685496843604</v>
      </c>
      <c r="G76" s="19">
        <v>0.85311625888710596</v>
      </c>
      <c r="H76" s="19">
        <v>602</v>
      </c>
      <c r="I76" s="19">
        <v>29102461.509</v>
      </c>
      <c r="J76" s="19">
        <v>48342.959000000003</v>
      </c>
      <c r="K76" s="19">
        <v>584</v>
      </c>
      <c r="L76" s="19">
        <v>28674802</v>
      </c>
      <c r="M76" s="19">
        <v>49101</v>
      </c>
      <c r="N76" s="19">
        <v>1769765.51</v>
      </c>
      <c r="O76" s="19">
        <v>163516.07999999999</v>
      </c>
      <c r="P76" s="19">
        <v>6658247.1699999999</v>
      </c>
      <c r="Q76" s="19">
        <v>0.89</v>
      </c>
      <c r="R76" s="19">
        <v>97286608.409999996</v>
      </c>
      <c r="S76" s="19">
        <v>2809463.86</v>
      </c>
      <c r="T76" s="19">
        <f t="shared" si="51"/>
        <v>97.112178226873809</v>
      </c>
      <c r="U76" s="19">
        <v>39333</v>
      </c>
      <c r="V76" s="19">
        <v>193607882.41</v>
      </c>
      <c r="W76" s="19">
        <v>55520308.300999999</v>
      </c>
      <c r="X76" s="49">
        <v>14109</v>
      </c>
      <c r="Y76" s="19">
        <v>109950220</v>
      </c>
      <c r="Z76" s="19">
        <v>19137166</v>
      </c>
      <c r="AA76" s="19">
        <v>1932249</v>
      </c>
      <c r="AB76" s="19">
        <v>342895205.83702362</v>
      </c>
      <c r="AC76" s="19">
        <v>4575144</v>
      </c>
      <c r="AD76" s="19">
        <f t="shared" si="38"/>
        <v>34.576994561850348</v>
      </c>
      <c r="AE76" s="19">
        <f t="shared" si="39"/>
        <v>37.91526190097855</v>
      </c>
      <c r="AF76" s="19">
        <f t="shared" si="40"/>
        <v>44.082586918539164</v>
      </c>
      <c r="AG76" s="19">
        <f t="shared" si="41"/>
        <v>29.423264907135877</v>
      </c>
      <c r="AH76" s="19">
        <f t="shared" si="42"/>
        <v>21.789160165538497</v>
      </c>
      <c r="AI76" s="19">
        <f t="shared" si="43"/>
        <v>24.577681477756887</v>
      </c>
      <c r="AJ76" s="19">
        <f t="shared" si="44"/>
        <v>29.317269076305219</v>
      </c>
      <c r="AK76" s="19">
        <f t="shared" si="45"/>
        <v>22.141882689217592</v>
      </c>
      <c r="AL76" s="19">
        <f t="shared" si="46"/>
        <v>24.963013803096164</v>
      </c>
      <c r="AM76" s="19">
        <f t="shared" si="47"/>
        <v>18.950953944325647</v>
      </c>
      <c r="AN76" s="19">
        <f t="shared" si="48"/>
        <v>60.574233943729439</v>
      </c>
      <c r="AO76" s="19">
        <f t="shared" si="49"/>
        <v>27.05559686494113</v>
      </c>
      <c r="AP76" s="19">
        <f t="shared" si="50"/>
        <v>89</v>
      </c>
      <c r="AQ76" s="19">
        <f t="shared" si="52"/>
        <v>89</v>
      </c>
      <c r="AR76" s="19" t="e">
        <f>(#REF!-MIN(#REF!))/(MAX(#REF!)-MIN(#REF!))*100</f>
        <v>#REF!</v>
      </c>
      <c r="AS76" s="19" t="e">
        <f t="shared" si="53"/>
        <v>#REF!</v>
      </c>
      <c r="AT76" s="19">
        <f t="shared" si="54"/>
        <v>41.045798095317743</v>
      </c>
      <c r="AU76" s="19">
        <f t="shared" si="55"/>
        <v>35.246970917430183</v>
      </c>
      <c r="AV76" s="19">
        <f t="shared" si="56"/>
        <v>5.4211725050018131</v>
      </c>
      <c r="AW76" s="19">
        <f t="shared" si="57"/>
        <v>37.085988099626135</v>
      </c>
      <c r="AX76" s="19">
        <f t="shared" si="58"/>
        <v>34.164961612306264</v>
      </c>
      <c r="AY76" s="19">
        <f t="shared" si="59"/>
        <v>25.397387154302947</v>
      </c>
      <c r="AZ76" s="19">
        <f t="shared" si="60"/>
        <v>79.840566134022126</v>
      </c>
      <c r="BA76" s="19">
        <f t="shared" si="61"/>
        <v>62.187530086509668</v>
      </c>
      <c r="BB76" s="19">
        <f t="shared" si="62"/>
        <v>74.134504730104837</v>
      </c>
      <c r="BC76" s="20">
        <v>13.1</v>
      </c>
      <c r="BD76" s="43">
        <v>638847</v>
      </c>
      <c r="BE76">
        <v>1</v>
      </c>
      <c r="BF76">
        <v>4</v>
      </c>
      <c r="BG76" s="36"/>
      <c r="BH76" s="36"/>
      <c r="BI76" s="36"/>
      <c r="BJ76" s="36"/>
      <c r="BK76" s="36"/>
      <c r="BL76" s="36"/>
      <c r="BM76" s="36"/>
      <c r="BN76" s="36"/>
      <c r="BO76" s="36"/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</row>
    <row r="77" spans="1:102" x14ac:dyDescent="0.35">
      <c r="A77" t="s">
        <v>2619</v>
      </c>
      <c r="B77" t="s">
        <v>2620</v>
      </c>
      <c r="C77" t="s">
        <v>2628</v>
      </c>
      <c r="D77" t="s">
        <v>2629</v>
      </c>
      <c r="E77" s="19">
        <v>1642</v>
      </c>
      <c r="F77" s="19">
        <v>1277.1603426629702</v>
      </c>
      <c r="G77" s="19">
        <v>0.77780776045248101</v>
      </c>
      <c r="H77" s="19">
        <v>212</v>
      </c>
      <c r="I77" s="19">
        <v>11395662.959000001</v>
      </c>
      <c r="J77" s="19">
        <v>53753.127</v>
      </c>
      <c r="K77" s="19">
        <v>204</v>
      </c>
      <c r="L77" s="19">
        <v>11091628</v>
      </c>
      <c r="M77" s="19">
        <v>54371</v>
      </c>
      <c r="N77" s="19">
        <v>258753.22</v>
      </c>
      <c r="O77" s="19">
        <v>80047.66</v>
      </c>
      <c r="P77" s="19">
        <v>1718665.84</v>
      </c>
      <c r="Q77" s="19">
        <v>0.87</v>
      </c>
      <c r="R77" s="19">
        <v>44468100.509999998</v>
      </c>
      <c r="S77" s="19">
        <v>2294431.98</v>
      </c>
      <c r="T77" s="19">
        <f t="shared" si="51"/>
        <v>94.840274368175386</v>
      </c>
      <c r="U77" s="19">
        <v>13898</v>
      </c>
      <c r="V77" s="19">
        <v>51349973.289999999</v>
      </c>
      <c r="W77" s="19">
        <v>3187229.0789999999</v>
      </c>
      <c r="X77" s="49">
        <v>5236</v>
      </c>
      <c r="Y77" s="19">
        <v>27926524</v>
      </c>
      <c r="Z77" s="19">
        <v>2388743</v>
      </c>
      <c r="AA77" s="19">
        <v>153873</v>
      </c>
      <c r="AB77" s="19">
        <v>8902465.0899999402</v>
      </c>
      <c r="AC77" s="19">
        <v>271719</v>
      </c>
      <c r="AD77" s="19">
        <f t="shared" si="38"/>
        <v>11.268672127762098</v>
      </c>
      <c r="AE77" s="19">
        <f t="shared" si="39"/>
        <v>11.273673024999052</v>
      </c>
      <c r="AF77" s="19">
        <f t="shared" si="40"/>
        <v>37.446561689871423</v>
      </c>
      <c r="AG77" s="19">
        <f t="shared" si="41"/>
        <v>10.361681329423265</v>
      </c>
      <c r="AH77" s="19">
        <f t="shared" si="42"/>
        <v>8.5319905097841104</v>
      </c>
      <c r="AI77" s="19">
        <f t="shared" si="43"/>
        <v>27.3282244440067</v>
      </c>
      <c r="AJ77" s="19">
        <f t="shared" si="44"/>
        <v>10.240963855421686</v>
      </c>
      <c r="AK77" s="19">
        <f t="shared" si="45"/>
        <v>8.564645921825063</v>
      </c>
      <c r="AL77" s="19">
        <f t="shared" si="46"/>
        <v>27.642288822796719</v>
      </c>
      <c r="AM77" s="19">
        <f t="shared" si="47"/>
        <v>2.7707740530924698</v>
      </c>
      <c r="AN77" s="19">
        <f t="shared" si="48"/>
        <v>29.65350981682116</v>
      </c>
      <c r="AO77" s="19">
        <f t="shared" si="49"/>
        <v>6.9837494651892627</v>
      </c>
      <c r="AP77" s="19">
        <f t="shared" si="50"/>
        <v>87</v>
      </c>
      <c r="AQ77" s="19">
        <f t="shared" si="52"/>
        <v>87</v>
      </c>
      <c r="AR77" s="19" t="e">
        <f>(#REF!-MIN(#REF!))/(MAX(#REF!)-MIN(#REF!))*100</f>
        <v>#REF!</v>
      </c>
      <c r="AS77" s="19" t="e">
        <f t="shared" si="53"/>
        <v>#REF!</v>
      </c>
      <c r="AT77" s="19">
        <f t="shared" si="54"/>
        <v>14.456559236454488</v>
      </c>
      <c r="AU77" s="19">
        <f t="shared" si="55"/>
        <v>9.3329519799693692</v>
      </c>
      <c r="AV77" s="19">
        <f t="shared" si="56"/>
        <v>0.31119522914728187</v>
      </c>
      <c r="AW77" s="19">
        <f t="shared" si="57"/>
        <v>13.724922331630774</v>
      </c>
      <c r="AX77" s="19">
        <f t="shared" si="58"/>
        <v>8.6635465434137657</v>
      </c>
      <c r="AY77" s="19">
        <f t="shared" si="59"/>
        <v>3.1699612339753207</v>
      </c>
      <c r="AZ77" s="19">
        <f t="shared" si="60"/>
        <v>6.3558675951824393</v>
      </c>
      <c r="BA77" s="19">
        <f t="shared" si="61"/>
        <v>1.6145525111004533</v>
      </c>
      <c r="BB77" s="19">
        <f t="shared" si="62"/>
        <v>4.4018769398193776</v>
      </c>
      <c r="BC77" s="20">
        <v>6.4</v>
      </c>
      <c r="BD77" s="43">
        <v>305750</v>
      </c>
      <c r="BE77">
        <v>1</v>
      </c>
      <c r="BF77">
        <v>0.1</v>
      </c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</row>
    <row r="78" spans="1:102" x14ac:dyDescent="0.35">
      <c r="A78" t="s">
        <v>2619</v>
      </c>
      <c r="B78" t="s">
        <v>2620</v>
      </c>
      <c r="C78" t="s">
        <v>2630</v>
      </c>
      <c r="D78" t="s">
        <v>2631</v>
      </c>
      <c r="E78" s="19">
        <v>725</v>
      </c>
      <c r="F78" s="19">
        <v>477.79671035659999</v>
      </c>
      <c r="G78" s="19">
        <v>0.65902994531944892</v>
      </c>
      <c r="H78" s="19">
        <v>88</v>
      </c>
      <c r="I78" s="19">
        <v>4402698.07</v>
      </c>
      <c r="J78" s="19">
        <v>50030.66</v>
      </c>
      <c r="K78" s="19">
        <v>79</v>
      </c>
      <c r="L78" s="19">
        <v>3776247</v>
      </c>
      <c r="M78" s="19">
        <v>47801</v>
      </c>
      <c r="N78" s="19">
        <v>71262.25</v>
      </c>
      <c r="O78" s="19">
        <v>29242.75</v>
      </c>
      <c r="P78" s="19">
        <v>1605039.48</v>
      </c>
      <c r="Q78" s="19">
        <v>0.87</v>
      </c>
      <c r="R78" s="19">
        <v>12902526.43</v>
      </c>
      <c r="S78" s="19">
        <v>388937.27</v>
      </c>
      <c r="T78" s="19">
        <f t="shared" si="51"/>
        <v>96.985572770494997</v>
      </c>
      <c r="U78" s="19">
        <v>6638</v>
      </c>
      <c r="V78" s="19">
        <v>33254660.93</v>
      </c>
      <c r="W78" s="19">
        <v>3883014.7089999998</v>
      </c>
      <c r="X78" s="49">
        <v>2563</v>
      </c>
      <c r="Y78" s="19">
        <v>18156018</v>
      </c>
      <c r="Z78" s="19">
        <v>3005037</v>
      </c>
      <c r="AA78" s="19">
        <v>113849</v>
      </c>
      <c r="AB78" s="19">
        <v>6812691.3099999409</v>
      </c>
      <c r="AC78" s="19">
        <v>216100</v>
      </c>
      <c r="AD78" s="19">
        <f t="shared" si="38"/>
        <v>4.9562882907689128</v>
      </c>
      <c r="AE78" s="19">
        <f t="shared" si="39"/>
        <v>4.2039059923042013</v>
      </c>
      <c r="AF78" s="19">
        <f t="shared" si="40"/>
        <v>26.980112428330528</v>
      </c>
      <c r="AG78" s="19">
        <f t="shared" si="41"/>
        <v>4.3010752688172049</v>
      </c>
      <c r="AH78" s="19">
        <f t="shared" si="42"/>
        <v>3.2963223189237905</v>
      </c>
      <c r="AI78" s="19">
        <f t="shared" si="43"/>
        <v>25.435712894652401</v>
      </c>
      <c r="AJ78" s="19">
        <f t="shared" si="44"/>
        <v>3.9658634538152611</v>
      </c>
      <c r="AK78" s="19">
        <f t="shared" si="45"/>
        <v>2.9159126566771016</v>
      </c>
      <c r="AL78" s="19">
        <f t="shared" si="46"/>
        <v>24.302092071481226</v>
      </c>
      <c r="AM78" s="19">
        <f t="shared" si="47"/>
        <v>0.76308844877365722</v>
      </c>
      <c r="AN78" s="19">
        <f t="shared" si="48"/>
        <v>10.832923463294829</v>
      </c>
      <c r="AO78" s="19">
        <f t="shared" si="49"/>
        <v>6.5220320024849325</v>
      </c>
      <c r="AP78" s="19">
        <f t="shared" si="50"/>
        <v>87</v>
      </c>
      <c r="AQ78" s="19">
        <f t="shared" si="52"/>
        <v>87</v>
      </c>
      <c r="AR78" s="19" t="e">
        <f>(#REF!-MIN(#REF!))/(MAX(#REF!)-MIN(#REF!))*100</f>
        <v>#REF!</v>
      </c>
      <c r="AS78" s="19" t="e">
        <f t="shared" si="53"/>
        <v>#REF!</v>
      </c>
      <c r="AT78" s="19">
        <f t="shared" si="54"/>
        <v>6.8671008478031341</v>
      </c>
      <c r="AU78" s="19">
        <f t="shared" si="55"/>
        <v>6.0366694036469886</v>
      </c>
      <c r="AV78" s="19">
        <f t="shared" si="56"/>
        <v>0.37913407033573376</v>
      </c>
      <c r="AW78" s="19">
        <f t="shared" si="57"/>
        <v>6.6873782317940087</v>
      </c>
      <c r="AX78" s="19">
        <f t="shared" si="58"/>
        <v>5.625866688812911</v>
      </c>
      <c r="AY78" s="19">
        <f t="shared" si="59"/>
        <v>3.9878668499334551</v>
      </c>
      <c r="AZ78" s="19">
        <f t="shared" si="60"/>
        <v>4.7020263522065333</v>
      </c>
      <c r="BA78" s="19">
        <f t="shared" si="61"/>
        <v>1.2355507997743482</v>
      </c>
      <c r="BB78" s="19">
        <f t="shared" si="62"/>
        <v>3.5006275802818259</v>
      </c>
      <c r="BC78" s="20">
        <v>2.2999999999999998</v>
      </c>
      <c r="BD78" s="43">
        <v>104087</v>
      </c>
      <c r="BE78">
        <v>0</v>
      </c>
      <c r="BF78">
        <v>0</v>
      </c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</row>
    <row r="79" spans="1:102" x14ac:dyDescent="0.35">
      <c r="A79" t="s">
        <v>2619</v>
      </c>
      <c r="B79" t="s">
        <v>2620</v>
      </c>
      <c r="C79" t="s">
        <v>2634</v>
      </c>
      <c r="D79" t="s">
        <v>2635</v>
      </c>
      <c r="E79" s="19">
        <v>97</v>
      </c>
      <c r="F79" s="19">
        <v>67.093329303374404</v>
      </c>
      <c r="G79" s="19">
        <v>0.69168380725128209</v>
      </c>
      <c r="H79" s="19">
        <v>19</v>
      </c>
      <c r="I79" s="19">
        <v>405007.011</v>
      </c>
      <c r="J79" s="19">
        <v>21316.157999999999</v>
      </c>
      <c r="K79" s="19">
        <v>19</v>
      </c>
      <c r="L79" s="19">
        <v>405007</v>
      </c>
      <c r="M79" s="19">
        <v>21316</v>
      </c>
      <c r="N79" s="19">
        <v>8856.99</v>
      </c>
      <c r="O79" s="19">
        <v>1358.65</v>
      </c>
      <c r="P79" s="19">
        <v>0</v>
      </c>
      <c r="Q79" s="19">
        <v>0.91</v>
      </c>
      <c r="R79" s="19">
        <v>1039367.67</v>
      </c>
      <c r="S79" s="19">
        <v>265.67</v>
      </c>
      <c r="T79" s="19">
        <f t="shared" si="51"/>
        <v>99.974439266520577</v>
      </c>
      <c r="U79" s="19">
        <v>1774</v>
      </c>
      <c r="V79" s="19">
        <v>6460379.2000000002</v>
      </c>
      <c r="W79" s="19">
        <v>118681.624</v>
      </c>
      <c r="X79" s="49">
        <v>692</v>
      </c>
      <c r="Y79" s="19">
        <v>3822328</v>
      </c>
      <c r="Z79" s="19">
        <v>118682</v>
      </c>
      <c r="AA79" s="19">
        <v>53032</v>
      </c>
      <c r="AB79" s="19">
        <v>3056603.7</v>
      </c>
      <c r="AC79" s="19">
        <v>101532</v>
      </c>
      <c r="AD79" s="19">
        <f t="shared" si="38"/>
        <v>0.63330350382047218</v>
      </c>
      <c r="AE79" s="19">
        <f t="shared" si="39"/>
        <v>0.57154506639012603</v>
      </c>
      <c r="AF79" s="19">
        <f t="shared" si="40"/>
        <v>29.857501515847488</v>
      </c>
      <c r="AG79" s="19">
        <f t="shared" si="41"/>
        <v>0.92864125122189645</v>
      </c>
      <c r="AH79" s="19">
        <f t="shared" si="42"/>
        <v>0.30323079812736581</v>
      </c>
      <c r="AI79" s="19">
        <f t="shared" si="43"/>
        <v>10.837188134336984</v>
      </c>
      <c r="AJ79" s="19">
        <f t="shared" si="44"/>
        <v>0.9538152610441768</v>
      </c>
      <c r="AK79" s="19">
        <f t="shared" si="45"/>
        <v>0.31273511434575729</v>
      </c>
      <c r="AL79" s="19">
        <f t="shared" si="46"/>
        <v>10.837082793156918</v>
      </c>
      <c r="AM79" s="19">
        <f t="shared" si="47"/>
        <v>9.4842174642307722E-2</v>
      </c>
      <c r="AN79" s="19">
        <f t="shared" si="48"/>
        <v>0.50330941732243095</v>
      </c>
      <c r="AO79" s="19">
        <f t="shared" si="49"/>
        <v>0</v>
      </c>
      <c r="AP79" s="19">
        <f t="shared" si="50"/>
        <v>91</v>
      </c>
      <c r="AQ79" s="19">
        <f t="shared" si="52"/>
        <v>91</v>
      </c>
      <c r="AR79" s="19" t="e">
        <f>(#REF!-MIN(#REF!))/(MAX(#REF!)-MIN(#REF!))*100</f>
        <v>#REF!</v>
      </c>
      <c r="AS79" s="19" t="e">
        <f t="shared" si="53"/>
        <v>#REF!</v>
      </c>
      <c r="AT79" s="19">
        <f t="shared" si="54"/>
        <v>1.7823728033953941</v>
      </c>
      <c r="AU79" s="19">
        <f t="shared" si="55"/>
        <v>1.1557631084393769</v>
      </c>
      <c r="AV79" s="19">
        <f t="shared" si="56"/>
        <v>1.1571969861985668E-2</v>
      </c>
      <c r="AW79" s="19">
        <f t="shared" si="57"/>
        <v>1.7613606445158234</v>
      </c>
      <c r="AX79" s="19">
        <f t="shared" si="58"/>
        <v>1.1694791327238292</v>
      </c>
      <c r="AY79" s="19">
        <f t="shared" si="59"/>
        <v>0.15728280376581055</v>
      </c>
      <c r="AZ79" s="19">
        <f t="shared" si="60"/>
        <v>2.188992600605852</v>
      </c>
      <c r="BA79" s="19">
        <f t="shared" si="61"/>
        <v>0.5543461422631617</v>
      </c>
      <c r="BB79" s="19">
        <f t="shared" si="62"/>
        <v>1.644169596076821</v>
      </c>
      <c r="BC79" s="20">
        <v>0.7</v>
      </c>
      <c r="BD79" s="43">
        <v>30124</v>
      </c>
      <c r="BE79">
        <v>0</v>
      </c>
      <c r="BF79">
        <v>0</v>
      </c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</row>
    <row r="80" spans="1:102" x14ac:dyDescent="0.35">
      <c r="A80" t="s">
        <v>2619</v>
      </c>
      <c r="B80" t="s">
        <v>2620</v>
      </c>
      <c r="C80" t="s">
        <v>2642</v>
      </c>
      <c r="D80" t="s">
        <v>2643</v>
      </c>
      <c r="E80" s="19">
        <v>141</v>
      </c>
      <c r="F80" s="19">
        <v>82.390066833695101</v>
      </c>
      <c r="G80" s="19">
        <v>0.58432671513258894</v>
      </c>
      <c r="H80" s="19">
        <v>34</v>
      </c>
      <c r="I80" s="19">
        <v>1235765.1170000001</v>
      </c>
      <c r="J80" s="19">
        <v>36346.033000000003</v>
      </c>
      <c r="K80" s="19">
        <v>31</v>
      </c>
      <c r="L80" s="19">
        <v>1195415</v>
      </c>
      <c r="M80" s="19">
        <v>38562</v>
      </c>
      <c r="N80" s="19">
        <v>18079.95</v>
      </c>
      <c r="O80" s="19">
        <v>5960.97</v>
      </c>
      <c r="P80" s="19">
        <v>96000</v>
      </c>
      <c r="Q80" s="19">
        <v>0.83</v>
      </c>
      <c r="R80" s="19">
        <v>2298105.2799999998</v>
      </c>
      <c r="S80" s="19">
        <v>7763.22</v>
      </c>
      <c r="T80" s="19">
        <f t="shared" si="51"/>
        <v>99.662190411050275</v>
      </c>
      <c r="U80" s="19">
        <v>2590</v>
      </c>
      <c r="V80" s="19">
        <v>9336185.6999999993</v>
      </c>
      <c r="W80" s="19">
        <v>997850.11499999999</v>
      </c>
      <c r="X80" s="49">
        <v>991</v>
      </c>
      <c r="Y80" s="19">
        <v>4682287</v>
      </c>
      <c r="Z80" s="19">
        <v>987164</v>
      </c>
      <c r="AA80" s="19">
        <v>42266</v>
      </c>
      <c r="AB80" s="19">
        <v>2246677.75</v>
      </c>
      <c r="AC80" s="19">
        <v>93325</v>
      </c>
      <c r="AD80" s="19">
        <f t="shared" si="38"/>
        <v>0.9361877882563503</v>
      </c>
      <c r="AE80" s="19">
        <f t="shared" si="39"/>
        <v>0.70683314596865643</v>
      </c>
      <c r="AF80" s="19">
        <f t="shared" si="40"/>
        <v>20.397422154492169</v>
      </c>
      <c r="AG80" s="19">
        <f t="shared" si="41"/>
        <v>1.6617790811339197</v>
      </c>
      <c r="AH80" s="19">
        <f t="shared" si="42"/>
        <v>0.92522359502035301</v>
      </c>
      <c r="AI80" s="19">
        <f t="shared" si="43"/>
        <v>18.478414241338449</v>
      </c>
      <c r="AJ80" s="19">
        <f t="shared" si="44"/>
        <v>1.5562248995983934</v>
      </c>
      <c r="AK80" s="19">
        <f t="shared" si="45"/>
        <v>0.92306613642636659</v>
      </c>
      <c r="AL80" s="19">
        <f t="shared" si="46"/>
        <v>19.604972165027075</v>
      </c>
      <c r="AM80" s="19">
        <f t="shared" si="47"/>
        <v>0.19360321908731881</v>
      </c>
      <c r="AN80" s="19">
        <f t="shared" si="48"/>
        <v>2.20823047685312</v>
      </c>
      <c r="AO80" s="19">
        <f t="shared" si="49"/>
        <v>0.39009325318188037</v>
      </c>
      <c r="AP80" s="19">
        <f t="shared" si="50"/>
        <v>83</v>
      </c>
      <c r="AQ80" s="19">
        <f t="shared" si="52"/>
        <v>83</v>
      </c>
      <c r="AR80" s="19" t="e">
        <f>(#REF!-MIN(#REF!))/(MAX(#REF!)-MIN(#REF!))*100</f>
        <v>#REF!</v>
      </c>
      <c r="AS80" s="19" t="e">
        <f t="shared" si="53"/>
        <v>#REF!</v>
      </c>
      <c r="AT80" s="19">
        <f t="shared" si="54"/>
        <v>2.6354028371611662</v>
      </c>
      <c r="AU80" s="19">
        <f t="shared" si="55"/>
        <v>1.6796264532788492</v>
      </c>
      <c r="AV80" s="19">
        <f t="shared" si="56"/>
        <v>9.7416928298307337E-2</v>
      </c>
      <c r="AW80" s="19">
        <f t="shared" si="57"/>
        <v>2.5485756410931497</v>
      </c>
      <c r="AX80" s="19">
        <f t="shared" si="58"/>
        <v>1.4368429857405198</v>
      </c>
      <c r="AY80" s="19">
        <f t="shared" si="59"/>
        <v>1.3098760549714901</v>
      </c>
      <c r="AZ80" s="19">
        <f t="shared" si="60"/>
        <v>1.7441281487300124</v>
      </c>
      <c r="BA80" s="19">
        <f t="shared" si="61"/>
        <v>0.40745784074689817</v>
      </c>
      <c r="BB80" s="19">
        <f t="shared" si="62"/>
        <v>1.511183503307719</v>
      </c>
      <c r="BC80" s="20">
        <v>0.9</v>
      </c>
      <c r="BD80" s="43">
        <v>38371</v>
      </c>
      <c r="BE80">
        <v>0</v>
      </c>
      <c r="BF80">
        <v>0</v>
      </c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</row>
    <row r="81" spans="1:102" x14ac:dyDescent="0.35">
      <c r="A81" t="s">
        <v>2619</v>
      </c>
      <c r="B81" t="s">
        <v>2620</v>
      </c>
      <c r="C81" t="s">
        <v>2654</v>
      </c>
      <c r="D81" t="s">
        <v>2655</v>
      </c>
      <c r="E81" s="19">
        <v>58</v>
      </c>
      <c r="F81" s="19">
        <v>40.358783401801304</v>
      </c>
      <c r="G81" s="19">
        <v>0.69584109313450604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14808.39</v>
      </c>
      <c r="O81" s="19">
        <v>6683.02</v>
      </c>
      <c r="P81" s="19">
        <v>0</v>
      </c>
      <c r="Q81" s="19">
        <v>0</v>
      </c>
      <c r="R81" s="19">
        <v>0</v>
      </c>
      <c r="S81" s="19">
        <v>0</v>
      </c>
      <c r="T81" s="19">
        <f t="shared" si="51"/>
        <v>50</v>
      </c>
      <c r="U81" s="19">
        <v>1198</v>
      </c>
      <c r="V81" s="19">
        <v>4509368.91</v>
      </c>
      <c r="W81" s="19">
        <v>26888.362000000001</v>
      </c>
      <c r="X81" s="49">
        <v>390</v>
      </c>
      <c r="Y81" s="19">
        <v>2417620</v>
      </c>
      <c r="Z81" s="19">
        <v>26888</v>
      </c>
      <c r="AA81" s="19">
        <v>26444</v>
      </c>
      <c r="AB81" s="19">
        <v>1120997.879999999</v>
      </c>
      <c r="AC81" s="19">
        <v>50026</v>
      </c>
      <c r="AD81" s="19">
        <f t="shared" si="38"/>
        <v>0.36483788807048945</v>
      </c>
      <c r="AE81" s="19">
        <f t="shared" si="39"/>
        <v>0.33509821840972093</v>
      </c>
      <c r="AF81" s="19">
        <f t="shared" si="40"/>
        <v>30.223832734465628</v>
      </c>
      <c r="AG81" s="19">
        <f t="shared" si="41"/>
        <v>0</v>
      </c>
      <c r="AH81" s="19">
        <f t="shared" si="42"/>
        <v>0</v>
      </c>
      <c r="AI81" s="19">
        <f t="shared" si="43"/>
        <v>0</v>
      </c>
      <c r="AJ81" s="19">
        <f t="shared" si="44"/>
        <v>0</v>
      </c>
      <c r="AK81" s="19">
        <f t="shared" si="45"/>
        <v>0</v>
      </c>
      <c r="AL81" s="19">
        <f t="shared" si="46"/>
        <v>0</v>
      </c>
      <c r="AM81" s="19">
        <f t="shared" si="47"/>
        <v>0.15857079104203611</v>
      </c>
      <c r="AN81" s="19">
        <f t="shared" si="48"/>
        <v>2.4757125839282765</v>
      </c>
      <c r="AO81" s="19">
        <f t="shared" si="49"/>
        <v>0</v>
      </c>
      <c r="AP81" s="19">
        <f t="shared" si="50"/>
        <v>0</v>
      </c>
      <c r="AQ81" s="19">
        <f t="shared" si="52"/>
        <v>50</v>
      </c>
      <c r="AR81" s="19" t="e">
        <f>(#REF!-MIN(#REF!))/(MAX(#REF!)-MIN(#REF!))*100</f>
        <v>#REF!</v>
      </c>
      <c r="AS81" s="19" t="e">
        <f t="shared" si="53"/>
        <v>#REF!</v>
      </c>
      <c r="AT81" s="19">
        <f t="shared" si="54"/>
        <v>1.1802339560313195</v>
      </c>
      <c r="AU81" s="19">
        <f t="shared" si="55"/>
        <v>0.80036270986053337</v>
      </c>
      <c r="AV81" s="19">
        <f t="shared" si="56"/>
        <v>2.6089680690513199E-3</v>
      </c>
      <c r="AW81" s="19">
        <f t="shared" si="57"/>
        <v>0.96624716971196889</v>
      </c>
      <c r="AX81" s="19">
        <f t="shared" si="58"/>
        <v>0.73275116866581036</v>
      </c>
      <c r="AY81" s="19">
        <f t="shared" si="59"/>
        <v>3.5459732129122477E-2</v>
      </c>
      <c r="AZ81" s="19">
        <f t="shared" si="60"/>
        <v>1.0903435158506205</v>
      </c>
      <c r="BA81" s="19">
        <f t="shared" si="61"/>
        <v>0.20330435714096071</v>
      </c>
      <c r="BB81" s="19">
        <f t="shared" si="62"/>
        <v>0.8095672207672846</v>
      </c>
      <c r="BC81" s="20">
        <v>0.2</v>
      </c>
      <c r="BD81" s="43">
        <v>8216</v>
      </c>
      <c r="BE81">
        <v>0</v>
      </c>
      <c r="BF81">
        <v>0</v>
      </c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</row>
    <row r="82" spans="1:102" x14ac:dyDescent="0.35">
      <c r="A82" t="s">
        <v>2619</v>
      </c>
      <c r="B82" t="s">
        <v>2619</v>
      </c>
      <c r="C82" t="s">
        <v>2619</v>
      </c>
      <c r="D82" t="s">
        <v>2672</v>
      </c>
      <c r="E82" s="19">
        <v>374</v>
      </c>
      <c r="F82" s="19">
        <v>308.186597190383</v>
      </c>
      <c r="G82" s="19">
        <v>0.82402833473364601</v>
      </c>
      <c r="H82" s="19">
        <v>50</v>
      </c>
      <c r="I82" s="19">
        <v>3158611.477</v>
      </c>
      <c r="J82" s="19">
        <v>63172.23</v>
      </c>
      <c r="K82" s="19">
        <v>49</v>
      </c>
      <c r="L82" s="19">
        <v>3098800</v>
      </c>
      <c r="M82" s="19">
        <v>63241</v>
      </c>
      <c r="N82" s="19">
        <v>227181.03</v>
      </c>
      <c r="O82" s="19">
        <v>61075.78</v>
      </c>
      <c r="P82" s="19">
        <v>470678.81</v>
      </c>
      <c r="Q82" s="19">
        <v>0.9</v>
      </c>
      <c r="R82" s="19">
        <v>9255518.7799999993</v>
      </c>
      <c r="S82" s="19">
        <v>134685.91</v>
      </c>
      <c r="T82" s="19">
        <f t="shared" si="51"/>
        <v>98.544804314037592</v>
      </c>
      <c r="U82" s="19">
        <v>5018</v>
      </c>
      <c r="V82" s="19">
        <v>16622360.73</v>
      </c>
      <c r="W82" s="19">
        <v>3694514.702</v>
      </c>
      <c r="X82" s="49">
        <v>1718</v>
      </c>
      <c r="Y82" s="19">
        <v>9082339</v>
      </c>
      <c r="Z82" s="19">
        <v>2482808</v>
      </c>
      <c r="AA82" s="19">
        <v>330518</v>
      </c>
      <c r="AB82" s="19">
        <v>64498967.02499947</v>
      </c>
      <c r="AC82" s="19">
        <v>562636</v>
      </c>
      <c r="AD82" s="19">
        <f t="shared" si="38"/>
        <v>2.5400977490190679</v>
      </c>
      <c r="AE82" s="19">
        <f t="shared" si="39"/>
        <v>2.7038327615338202</v>
      </c>
      <c r="AF82" s="19">
        <f t="shared" si="40"/>
        <v>41.519420708293971</v>
      </c>
      <c r="AG82" s="19">
        <f t="shared" si="41"/>
        <v>2.4437927663734116</v>
      </c>
      <c r="AH82" s="19">
        <f t="shared" si="42"/>
        <v>2.3648683927226331</v>
      </c>
      <c r="AI82" s="19">
        <f t="shared" si="43"/>
        <v>32.116920008549705</v>
      </c>
      <c r="AJ82" s="19">
        <f t="shared" si="44"/>
        <v>2.4598393574297188</v>
      </c>
      <c r="AK82" s="19">
        <f t="shared" si="45"/>
        <v>2.3928069695946803</v>
      </c>
      <c r="AL82" s="19">
        <f t="shared" si="46"/>
        <v>32.151808637738633</v>
      </c>
      <c r="AM82" s="19">
        <f t="shared" si="47"/>
        <v>2.4326936038856712</v>
      </c>
      <c r="AN82" s="19">
        <f t="shared" si="48"/>
        <v>22.625411433638526</v>
      </c>
      <c r="AO82" s="19">
        <f t="shared" si="49"/>
        <v>1.91258987704871</v>
      </c>
      <c r="AP82" s="19">
        <f t="shared" si="50"/>
        <v>90</v>
      </c>
      <c r="AQ82" s="19">
        <f t="shared" si="52"/>
        <v>90</v>
      </c>
      <c r="AR82" s="19" t="e">
        <f>(#REF!-MIN(#REF!))/(MAX(#REF!)-MIN(#REF!))*100</f>
        <v>#REF!</v>
      </c>
      <c r="AS82" s="19" t="e">
        <f t="shared" si="53"/>
        <v>#REF!</v>
      </c>
      <c r="AT82" s="19">
        <f t="shared" si="54"/>
        <v>5.1735853395916749</v>
      </c>
      <c r="AU82" s="19">
        <f t="shared" si="55"/>
        <v>3.0068923949552606</v>
      </c>
      <c r="AV82" s="19">
        <f t="shared" si="56"/>
        <v>0.3607282977997372</v>
      </c>
      <c r="AW82" s="19">
        <f t="shared" si="57"/>
        <v>4.4626401979885211</v>
      </c>
      <c r="AX82" s="19">
        <f t="shared" si="58"/>
        <v>2.8048324552312707</v>
      </c>
      <c r="AY82" s="19">
        <f t="shared" si="59"/>
        <v>3.2947982302224075</v>
      </c>
      <c r="AZ82" s="19">
        <f t="shared" si="60"/>
        <v>13.655057740232381</v>
      </c>
      <c r="BA82" s="19">
        <f t="shared" si="61"/>
        <v>11.697543109781398</v>
      </c>
      <c r="BB82" s="19">
        <f t="shared" si="62"/>
        <v>9.1158912142325423</v>
      </c>
      <c r="BC82" s="20">
        <v>1.5</v>
      </c>
      <c r="BD82" s="43">
        <v>64484</v>
      </c>
      <c r="BE82">
        <v>0</v>
      </c>
      <c r="BF82">
        <v>0</v>
      </c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</row>
    <row r="83" spans="1:102" x14ac:dyDescent="0.35">
      <c r="A83" t="s">
        <v>2695</v>
      </c>
      <c r="B83" t="s">
        <v>2696</v>
      </c>
      <c r="C83" t="s">
        <v>2697</v>
      </c>
      <c r="D83" t="s">
        <v>2698</v>
      </c>
      <c r="E83" s="19">
        <v>14532</v>
      </c>
      <c r="F83" s="19">
        <v>11309.258809831899</v>
      </c>
      <c r="G83" s="19">
        <v>0.77823140722763395</v>
      </c>
      <c r="H83" s="19">
        <v>2046</v>
      </c>
      <c r="I83" s="19">
        <v>133563943.208</v>
      </c>
      <c r="J83" s="19">
        <v>65280.52</v>
      </c>
      <c r="K83" s="19">
        <v>1992</v>
      </c>
      <c r="L83" s="19">
        <v>129504805</v>
      </c>
      <c r="M83" s="19">
        <v>65012</v>
      </c>
      <c r="N83" s="19">
        <v>9338661.8699999992</v>
      </c>
      <c r="O83" s="19">
        <v>159934.87</v>
      </c>
      <c r="P83" s="19">
        <v>24609500.219999999</v>
      </c>
      <c r="Q83" s="19">
        <v>0.87</v>
      </c>
      <c r="R83" s="19">
        <v>443269816.64999998</v>
      </c>
      <c r="S83" s="19">
        <v>18556170.609999999</v>
      </c>
      <c r="T83" s="19">
        <f t="shared" si="51"/>
        <v>95.813797846594255</v>
      </c>
      <c r="U83" s="19">
        <v>95728</v>
      </c>
      <c r="V83" s="19">
        <v>549076887.38</v>
      </c>
      <c r="W83" s="19">
        <v>210277411.41100001</v>
      </c>
      <c r="X83" s="49">
        <v>38005</v>
      </c>
      <c r="Y83" s="19">
        <v>321704476</v>
      </c>
      <c r="Z83" s="19">
        <v>39219067</v>
      </c>
      <c r="AA83" s="19">
        <v>1169644</v>
      </c>
      <c r="AB83" s="19">
        <v>60710278.730999559</v>
      </c>
      <c r="AC83" s="19">
        <v>1974639</v>
      </c>
      <c r="AD83" s="19">
        <f t="shared" si="38"/>
        <v>100</v>
      </c>
      <c r="AE83" s="19">
        <f t="shared" si="39"/>
        <v>100</v>
      </c>
      <c r="AF83" s="19">
        <f t="shared" si="40"/>
        <v>37.483892545570257</v>
      </c>
      <c r="AG83" s="19">
        <f t="shared" si="41"/>
        <v>100</v>
      </c>
      <c r="AH83" s="19">
        <f t="shared" si="42"/>
        <v>100</v>
      </c>
      <c r="AI83" s="19">
        <f t="shared" si="43"/>
        <v>33.188779926821148</v>
      </c>
      <c r="AJ83" s="19">
        <f t="shared" si="44"/>
        <v>100</v>
      </c>
      <c r="AK83" s="19">
        <f t="shared" si="45"/>
        <v>100</v>
      </c>
      <c r="AL83" s="19">
        <f t="shared" si="46"/>
        <v>33.052187396730979</v>
      </c>
      <c r="AM83" s="19">
        <f t="shared" si="47"/>
        <v>100</v>
      </c>
      <c r="AN83" s="19">
        <f t="shared" si="48"/>
        <v>59.247581223448819</v>
      </c>
      <c r="AO83" s="19">
        <f t="shared" si="49"/>
        <v>100</v>
      </c>
      <c r="AP83" s="19">
        <f t="shared" si="50"/>
        <v>87</v>
      </c>
      <c r="AQ83" s="19">
        <f t="shared" si="52"/>
        <v>87</v>
      </c>
      <c r="AR83" s="19" t="e">
        <f>(#REF!-MIN(#REF!))/(MAX(#REF!)-MIN(#REF!))*100</f>
        <v>#REF!</v>
      </c>
      <c r="AS83" s="19" t="e">
        <f t="shared" si="53"/>
        <v>#REF!</v>
      </c>
      <c r="AT83" s="19">
        <f t="shared" si="54"/>
        <v>100</v>
      </c>
      <c r="AU83" s="19">
        <f t="shared" si="55"/>
        <v>100</v>
      </c>
      <c r="AV83" s="19">
        <f t="shared" si="56"/>
        <v>20.532174798876671</v>
      </c>
      <c r="AW83" s="19">
        <f t="shared" si="57"/>
        <v>100</v>
      </c>
      <c r="AX83" s="19">
        <f t="shared" si="58"/>
        <v>100</v>
      </c>
      <c r="AY83" s="19">
        <f t="shared" si="59"/>
        <v>52.048789905287521</v>
      </c>
      <c r="AZ83" s="19">
        <f t="shared" si="60"/>
        <v>48.328783176305741</v>
      </c>
      <c r="BA83" s="19">
        <f t="shared" si="61"/>
        <v>11.01042598693801</v>
      </c>
      <c r="BB83" s="19">
        <f t="shared" si="62"/>
        <v>31.995964559943559</v>
      </c>
      <c r="BC83" s="20">
        <v>35.6</v>
      </c>
      <c r="BD83" s="43">
        <v>2062516</v>
      </c>
      <c r="BE83">
        <v>8</v>
      </c>
      <c r="BF83">
        <v>23.8</v>
      </c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</row>
    <row r="84" spans="1:102" x14ac:dyDescent="0.35">
      <c r="A84" t="s">
        <v>2695</v>
      </c>
      <c r="B84" t="s">
        <v>2696</v>
      </c>
      <c r="C84" t="s">
        <v>2699</v>
      </c>
      <c r="D84" t="s">
        <v>2700</v>
      </c>
      <c r="E84" s="19">
        <v>320</v>
      </c>
      <c r="F84" s="19">
        <v>192.87607734536201</v>
      </c>
      <c r="G84" s="19">
        <v>0.60273774170425798</v>
      </c>
      <c r="H84" s="19">
        <v>64</v>
      </c>
      <c r="I84" s="19">
        <v>5537087.7920000004</v>
      </c>
      <c r="J84" s="19">
        <v>86516.997000000003</v>
      </c>
      <c r="K84" s="19">
        <v>64</v>
      </c>
      <c r="L84" s="19">
        <v>5537088</v>
      </c>
      <c r="M84" s="19">
        <v>86517</v>
      </c>
      <c r="N84" s="19">
        <v>22838.04</v>
      </c>
      <c r="O84" s="19">
        <v>8556.7900000000009</v>
      </c>
      <c r="P84" s="19">
        <v>629823.94999999995</v>
      </c>
      <c r="Q84" s="19">
        <v>0.94</v>
      </c>
      <c r="R84" s="19">
        <v>12802008.380000001</v>
      </c>
      <c r="S84" s="19">
        <v>507425.69</v>
      </c>
      <c r="T84" s="19">
        <f t="shared" si="51"/>
        <v>96.036358710772845</v>
      </c>
      <c r="U84" s="19">
        <v>4323</v>
      </c>
      <c r="V84" s="19">
        <v>19637040.690000001</v>
      </c>
      <c r="W84" s="19">
        <v>5460354.1830000002</v>
      </c>
      <c r="X84" s="49">
        <v>1745</v>
      </c>
      <c r="Y84" s="19">
        <v>11328329</v>
      </c>
      <c r="Z84" s="19">
        <v>992031</v>
      </c>
      <c r="AA84" s="19">
        <v>42618</v>
      </c>
      <c r="AB84" s="19">
        <v>2762529.810000001</v>
      </c>
      <c r="AC84" s="19">
        <v>82786</v>
      </c>
      <c r="AD84" s="19">
        <f t="shared" si="38"/>
        <v>2.1683761272113995</v>
      </c>
      <c r="AE84" s="19">
        <f t="shared" si="39"/>
        <v>1.6839983848170321</v>
      </c>
      <c r="AF84" s="19">
        <f t="shared" si="40"/>
        <v>22.019762784764175</v>
      </c>
      <c r="AG84" s="19">
        <f t="shared" si="41"/>
        <v>3.1280547409579667</v>
      </c>
      <c r="AH84" s="19">
        <f t="shared" si="42"/>
        <v>4.1456456428342028</v>
      </c>
      <c r="AI84" s="19">
        <f t="shared" si="43"/>
        <v>43.985458041119252</v>
      </c>
      <c r="AJ84" s="19">
        <f t="shared" si="44"/>
        <v>3.2128514056224895</v>
      </c>
      <c r="AK84" s="19">
        <f t="shared" si="45"/>
        <v>4.275584986981757</v>
      </c>
      <c r="AL84" s="19">
        <f t="shared" si="46"/>
        <v>43.985358041638065</v>
      </c>
      <c r="AM84" s="19">
        <f t="shared" si="47"/>
        <v>0.24455366644514781</v>
      </c>
      <c r="AN84" s="19">
        <f t="shared" si="48"/>
        <v>3.169847266809263</v>
      </c>
      <c r="AO84" s="19">
        <f t="shared" si="49"/>
        <v>2.5592715998683535</v>
      </c>
      <c r="AP84" s="19">
        <f t="shared" si="50"/>
        <v>94</v>
      </c>
      <c r="AQ84" s="19">
        <f t="shared" si="52"/>
        <v>94</v>
      </c>
      <c r="AR84" s="19" t="e">
        <f>(#REF!-MIN(#REF!))/(MAX(#REF!)-MIN(#REF!))*100</f>
        <v>#REF!</v>
      </c>
      <c r="AS84" s="19" t="e">
        <f t="shared" si="53"/>
        <v>#REF!</v>
      </c>
      <c r="AT84" s="19">
        <f t="shared" si="54"/>
        <v>4.4470462789700917</v>
      </c>
      <c r="AU84" s="19">
        <f t="shared" si="55"/>
        <v>3.5560532399099296</v>
      </c>
      <c r="AV84" s="19">
        <f t="shared" si="56"/>
        <v>0.53315078382313685</v>
      </c>
      <c r="AW84" s="19">
        <f t="shared" si="57"/>
        <v>4.5337265020272763</v>
      </c>
      <c r="AX84" s="19">
        <f t="shared" si="58"/>
        <v>3.5031175365397482</v>
      </c>
      <c r="AY84" s="19">
        <f t="shared" si="59"/>
        <v>1.3163352232140304</v>
      </c>
      <c r="AZ84" s="19">
        <f t="shared" si="60"/>
        <v>1.7586732246226648</v>
      </c>
      <c r="BA84" s="19">
        <f t="shared" si="61"/>
        <v>0.50101285392688799</v>
      </c>
      <c r="BB84" s="19">
        <f t="shared" si="62"/>
        <v>1.340409720964163</v>
      </c>
      <c r="BC84" s="20">
        <v>1.2</v>
      </c>
      <c r="BD84" s="43">
        <v>50627</v>
      </c>
      <c r="BE84">
        <v>0</v>
      </c>
      <c r="BF84">
        <v>0</v>
      </c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</row>
    <row r="85" spans="1:102" x14ac:dyDescent="0.35">
      <c r="A85" t="s">
        <v>2695</v>
      </c>
      <c r="B85" t="s">
        <v>2696</v>
      </c>
      <c r="C85" t="s">
        <v>2701</v>
      </c>
      <c r="D85" t="s">
        <v>2702</v>
      </c>
      <c r="E85" s="19">
        <v>7717</v>
      </c>
      <c r="F85" s="19">
        <v>5161.1276034066295</v>
      </c>
      <c r="G85" s="19">
        <v>0.66879974127337394</v>
      </c>
      <c r="H85" s="19">
        <v>1152</v>
      </c>
      <c r="I85" s="19">
        <v>86341315.454999998</v>
      </c>
      <c r="J85" s="19">
        <v>74949.058999999994</v>
      </c>
      <c r="K85" s="19">
        <v>1125</v>
      </c>
      <c r="L85" s="19">
        <v>84115994</v>
      </c>
      <c r="M85" s="19">
        <v>74770</v>
      </c>
      <c r="N85" s="19">
        <v>1194682.3999999999</v>
      </c>
      <c r="O85" s="19">
        <v>206821.15</v>
      </c>
      <c r="P85" s="19">
        <v>15927264.130000001</v>
      </c>
      <c r="Q85" s="19">
        <v>0.84</v>
      </c>
      <c r="R85" s="19">
        <v>204647608.52000001</v>
      </c>
      <c r="S85" s="19">
        <v>6526889.8499999996</v>
      </c>
      <c r="T85" s="19">
        <f t="shared" si="51"/>
        <v>96.810668887263276</v>
      </c>
      <c r="U85" s="19">
        <v>60050</v>
      </c>
      <c r="V85" s="19">
        <v>264232263.06</v>
      </c>
      <c r="W85" s="19">
        <v>65457355.509999998</v>
      </c>
      <c r="X85" s="49">
        <v>24697</v>
      </c>
      <c r="Y85" s="19">
        <v>149241340</v>
      </c>
      <c r="Z85" s="19">
        <v>18782610</v>
      </c>
      <c r="AA85" s="19">
        <v>2103324</v>
      </c>
      <c r="AB85" s="19">
        <v>348358243.68003511</v>
      </c>
      <c r="AC85" s="19">
        <v>4317395</v>
      </c>
      <c r="AD85" s="19">
        <f t="shared" si="38"/>
        <v>53.087354581124799</v>
      </c>
      <c r="AE85" s="19">
        <f t="shared" si="39"/>
        <v>45.624427282915555</v>
      </c>
      <c r="AF85" s="19">
        <f t="shared" si="40"/>
        <v>27.841006135904088</v>
      </c>
      <c r="AG85" s="19">
        <f t="shared" si="41"/>
        <v>56.304985337243409</v>
      </c>
      <c r="AH85" s="19">
        <f t="shared" si="42"/>
        <v>64.644179694919686</v>
      </c>
      <c r="AI85" s="19">
        <f t="shared" si="43"/>
        <v>38.104289378720239</v>
      </c>
      <c r="AJ85" s="19">
        <f t="shared" si="44"/>
        <v>56.475903614457835</v>
      </c>
      <c r="AK85" s="19">
        <f t="shared" si="45"/>
        <v>64.952025525230511</v>
      </c>
      <c r="AL85" s="19">
        <f t="shared" si="46"/>
        <v>38.013167594499095</v>
      </c>
      <c r="AM85" s="19">
        <f t="shared" si="47"/>
        <v>12.792864937511652</v>
      </c>
      <c r="AN85" s="19">
        <f t="shared" si="48"/>
        <v>76.616518232403564</v>
      </c>
      <c r="AO85" s="19">
        <f t="shared" si="49"/>
        <v>64.719982070403873</v>
      </c>
      <c r="AP85" s="19">
        <f t="shared" si="50"/>
        <v>84</v>
      </c>
      <c r="AQ85" s="19">
        <f t="shared" si="52"/>
        <v>84</v>
      </c>
      <c r="AR85" s="19" t="e">
        <f>(#REF!-MIN(#REF!))/(MAX(#REF!)-MIN(#REF!))*100</f>
        <v>#REF!</v>
      </c>
      <c r="AS85" s="19" t="e">
        <f t="shared" si="53"/>
        <v>#REF!</v>
      </c>
      <c r="AT85" s="19">
        <f t="shared" si="54"/>
        <v>62.702934381500953</v>
      </c>
      <c r="AU85" s="19">
        <f t="shared" si="55"/>
        <v>48.112066074049771</v>
      </c>
      <c r="AV85" s="19">
        <f t="shared" si="56"/>
        <v>6.3914591034968122</v>
      </c>
      <c r="AW85" s="19">
        <f t="shared" si="57"/>
        <v>64.962350587120213</v>
      </c>
      <c r="AX85" s="19">
        <f t="shared" si="58"/>
        <v>46.380689609270263</v>
      </c>
      <c r="AY85" s="19">
        <f t="shared" si="59"/>
        <v>24.926843317154358</v>
      </c>
      <c r="AZ85" s="19">
        <f t="shared" si="60"/>
        <v>86.909596981566182</v>
      </c>
      <c r="BA85" s="19">
        <f t="shared" si="61"/>
        <v>63.178307514840036</v>
      </c>
      <c r="BB85" s="19">
        <f t="shared" si="62"/>
        <v>69.957944181165715</v>
      </c>
      <c r="BC85" s="20">
        <v>22.7</v>
      </c>
      <c r="BD85" s="43">
        <v>1208603</v>
      </c>
      <c r="BE85">
        <v>6</v>
      </c>
      <c r="BF85">
        <v>1.3</v>
      </c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</row>
    <row r="86" spans="1:102" x14ac:dyDescent="0.35">
      <c r="A86" t="s">
        <v>2695</v>
      </c>
      <c r="B86" t="s">
        <v>2696</v>
      </c>
      <c r="C86" t="s">
        <v>2703</v>
      </c>
      <c r="D86" t="s">
        <v>2704</v>
      </c>
      <c r="E86" s="19">
        <v>492</v>
      </c>
      <c r="F86" s="19">
        <v>441.48237703804</v>
      </c>
      <c r="G86" s="19">
        <v>0.89732190454886096</v>
      </c>
      <c r="H86" s="19">
        <v>117</v>
      </c>
      <c r="I86" s="19">
        <v>8305335.2999999998</v>
      </c>
      <c r="J86" s="19">
        <v>70985.771999999997</v>
      </c>
      <c r="K86" s="19">
        <v>114</v>
      </c>
      <c r="L86" s="19">
        <v>8021903</v>
      </c>
      <c r="M86" s="19">
        <v>70368</v>
      </c>
      <c r="N86" s="19">
        <v>34241.58</v>
      </c>
      <c r="O86" s="19">
        <v>381.01</v>
      </c>
      <c r="P86" s="19">
        <v>1986654.78</v>
      </c>
      <c r="Q86" s="19">
        <v>0.85</v>
      </c>
      <c r="R86" s="19">
        <v>12600533.32</v>
      </c>
      <c r="S86" s="19">
        <v>81018.91</v>
      </c>
      <c r="T86" s="19">
        <f t="shared" si="51"/>
        <v>99.35701999318232</v>
      </c>
      <c r="U86" s="19">
        <v>7476</v>
      </c>
      <c r="V86" s="19">
        <v>35973276.899999999</v>
      </c>
      <c r="W86" s="19">
        <v>31040258.769000001</v>
      </c>
      <c r="X86" s="49">
        <v>3024</v>
      </c>
      <c r="Y86" s="19">
        <v>20440478</v>
      </c>
      <c r="Z86" s="19">
        <v>13471904</v>
      </c>
      <c r="AA86" s="19">
        <v>288689</v>
      </c>
      <c r="AB86" s="19">
        <v>50476574.36500039</v>
      </c>
      <c r="AC86" s="19">
        <v>618420</v>
      </c>
      <c r="AD86" s="19">
        <f t="shared" si="38"/>
        <v>3.3523783300061956</v>
      </c>
      <c r="AE86" s="19">
        <f t="shared" si="39"/>
        <v>3.8827331666539977</v>
      </c>
      <c r="AF86" s="19">
        <f t="shared" si="40"/>
        <v>47.977894698651241</v>
      </c>
      <c r="AG86" s="19">
        <f t="shared" si="41"/>
        <v>5.7184750733137824</v>
      </c>
      <c r="AH86" s="19">
        <f t="shared" si="42"/>
        <v>6.2182465570562311</v>
      </c>
      <c r="AI86" s="19">
        <f t="shared" si="43"/>
        <v>36.089344337997048</v>
      </c>
      <c r="AJ86" s="19">
        <f t="shared" si="44"/>
        <v>5.7228915662650603</v>
      </c>
      <c r="AK86" s="19">
        <f t="shared" si="45"/>
        <v>6.194289856658215</v>
      </c>
      <c r="AL86" s="19">
        <f t="shared" si="46"/>
        <v>35.775184930984523</v>
      </c>
      <c r="AM86" s="19">
        <f t="shared" si="47"/>
        <v>0.36666473716110681</v>
      </c>
      <c r="AN86" s="19">
        <f t="shared" si="48"/>
        <v>0.14114446037906705</v>
      </c>
      <c r="AO86" s="19">
        <f t="shared" si="49"/>
        <v>8.0727148549951337</v>
      </c>
      <c r="AP86" s="19">
        <f t="shared" si="50"/>
        <v>85</v>
      </c>
      <c r="AQ86" s="19">
        <f t="shared" si="52"/>
        <v>85</v>
      </c>
      <c r="AR86" s="19" t="e">
        <f>(#REF!-MIN(#REF!))/(MAX(#REF!)-MIN(#REF!))*100</f>
        <v>#REF!</v>
      </c>
      <c r="AS86" s="19" t="e">
        <f t="shared" si="53"/>
        <v>#REF!</v>
      </c>
      <c r="AT86" s="19">
        <f t="shared" si="54"/>
        <v>7.7431292403223955</v>
      </c>
      <c r="AU86" s="19">
        <f t="shared" si="55"/>
        <v>6.5318985699271987</v>
      </c>
      <c r="AV86" s="19">
        <f t="shared" si="56"/>
        <v>3.0308584115072641</v>
      </c>
      <c r="AW86" s="19">
        <f t="shared" si="57"/>
        <v>7.9011110526038655</v>
      </c>
      <c r="AX86" s="19">
        <f t="shared" si="58"/>
        <v>6.3361122094278581</v>
      </c>
      <c r="AY86" s="19">
        <f t="shared" si="59"/>
        <v>17.878817111962416</v>
      </c>
      <c r="AZ86" s="19">
        <f t="shared" si="60"/>
        <v>11.926631662068301</v>
      </c>
      <c r="BA86" s="19">
        <f t="shared" si="61"/>
        <v>9.1544397050548501</v>
      </c>
      <c r="BB86" s="19">
        <f t="shared" si="62"/>
        <v>10.019814231051305</v>
      </c>
      <c r="BC86" s="20">
        <v>2.4</v>
      </c>
      <c r="BD86" s="43">
        <v>143976</v>
      </c>
      <c r="BE86">
        <v>1</v>
      </c>
      <c r="BF86">
        <v>0.1</v>
      </c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</row>
    <row r="87" spans="1:102" x14ac:dyDescent="0.35">
      <c r="A87" t="s">
        <v>2695</v>
      </c>
      <c r="B87" t="s">
        <v>2696</v>
      </c>
      <c r="C87" t="s">
        <v>2705</v>
      </c>
      <c r="D87" t="s">
        <v>2706</v>
      </c>
      <c r="E87" s="19">
        <v>2000</v>
      </c>
      <c r="F87" s="19">
        <v>1789.9267151244098</v>
      </c>
      <c r="G87" s="19">
        <v>0.89496335756220802</v>
      </c>
      <c r="H87" s="19">
        <v>260</v>
      </c>
      <c r="I87" s="19">
        <v>15660642.639</v>
      </c>
      <c r="J87" s="19">
        <v>60233.241000000002</v>
      </c>
      <c r="K87" s="19">
        <v>253</v>
      </c>
      <c r="L87" s="19">
        <v>15233063</v>
      </c>
      <c r="M87" s="19">
        <v>60210</v>
      </c>
      <c r="N87" s="19">
        <v>110556.3</v>
      </c>
      <c r="O87" s="19">
        <v>554.65</v>
      </c>
      <c r="P87" s="19">
        <v>2222034.65</v>
      </c>
      <c r="Q87" s="19">
        <v>0.83</v>
      </c>
      <c r="R87" s="19">
        <v>41985046.630000003</v>
      </c>
      <c r="S87" s="19">
        <v>751990.21</v>
      </c>
      <c r="T87" s="19">
        <f t="shared" si="51"/>
        <v>98.208909432381873</v>
      </c>
      <c r="U87" s="19">
        <v>15822</v>
      </c>
      <c r="V87" s="19">
        <v>97808507.069999993</v>
      </c>
      <c r="W87" s="19">
        <v>12715748.193</v>
      </c>
      <c r="X87" s="49">
        <v>5555</v>
      </c>
      <c r="Y87" s="19">
        <v>49001218</v>
      </c>
      <c r="Z87" s="19">
        <v>7176417</v>
      </c>
      <c r="AA87" s="19">
        <v>674146</v>
      </c>
      <c r="AB87" s="19">
        <v>84942576.759997606</v>
      </c>
      <c r="AC87" s="19">
        <v>1387674</v>
      </c>
      <c r="AD87" s="19">
        <f t="shared" si="38"/>
        <v>13.733048805672196</v>
      </c>
      <c r="AE87" s="19">
        <f t="shared" si="39"/>
        <v>15.808703953342585</v>
      </c>
      <c r="AF87" s="19">
        <f t="shared" si="40"/>
        <v>47.770064538287414</v>
      </c>
      <c r="AG87" s="19">
        <f t="shared" si="41"/>
        <v>12.707722385141739</v>
      </c>
      <c r="AH87" s="19">
        <f t="shared" si="42"/>
        <v>11.725202373376757</v>
      </c>
      <c r="AI87" s="19">
        <f t="shared" si="43"/>
        <v>30.622730637381274</v>
      </c>
      <c r="AJ87" s="19">
        <f t="shared" si="44"/>
        <v>12.700803212851405</v>
      </c>
      <c r="AK87" s="19">
        <f t="shared" si="45"/>
        <v>11.76254657114846</v>
      </c>
      <c r="AL87" s="19">
        <f t="shared" si="46"/>
        <v>30.610844200411808</v>
      </c>
      <c r="AM87" s="19">
        <f t="shared" si="47"/>
        <v>1.1838559050430639</v>
      </c>
      <c r="AN87" s="19">
        <f t="shared" si="48"/>
        <v>0.205469082043121</v>
      </c>
      <c r="AO87" s="19">
        <f t="shared" si="49"/>
        <v>9.0291742218891766</v>
      </c>
      <c r="AP87" s="19">
        <f t="shared" si="50"/>
        <v>83</v>
      </c>
      <c r="AQ87" s="19">
        <f t="shared" si="52"/>
        <v>83</v>
      </c>
      <c r="AR87" s="19" t="e">
        <f>(#REF!-MIN(#REF!))/(MAX(#REF!)-MIN(#REF!))*100</f>
        <v>#REF!</v>
      </c>
      <c r="AS87" s="19" t="e">
        <f t="shared" si="53"/>
        <v>#REF!</v>
      </c>
      <c r="AT87" s="19">
        <f t="shared" si="54"/>
        <v>16.467870247441432</v>
      </c>
      <c r="AU87" s="19">
        <f t="shared" si="55"/>
        <v>17.795942414940711</v>
      </c>
      <c r="AV87" s="19">
        <f t="shared" si="56"/>
        <v>1.2415917750592378</v>
      </c>
      <c r="AW87" s="19">
        <f t="shared" si="57"/>
        <v>14.564793849718288</v>
      </c>
      <c r="AX87" s="19">
        <f t="shared" si="58"/>
        <v>15.215732623200982</v>
      </c>
      <c r="AY87" s="19">
        <f t="shared" si="59"/>
        <v>9.5238531296886446</v>
      </c>
      <c r="AZ87" s="19">
        <f t="shared" si="60"/>
        <v>27.854192225574291</v>
      </c>
      <c r="BA87" s="19">
        <f t="shared" si="61"/>
        <v>15.405199483595847</v>
      </c>
      <c r="BB87" s="19">
        <f t="shared" si="62"/>
        <v>22.484793371663319</v>
      </c>
      <c r="BC87" s="20">
        <v>5.3</v>
      </c>
      <c r="BD87" s="43">
        <v>293076</v>
      </c>
      <c r="BE87">
        <v>2</v>
      </c>
      <c r="BF87">
        <v>1.7</v>
      </c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</row>
    <row r="88" spans="1:102" x14ac:dyDescent="0.35">
      <c r="A88" t="s">
        <v>2695</v>
      </c>
      <c r="B88" t="s">
        <v>2696</v>
      </c>
      <c r="C88" t="s">
        <v>2707</v>
      </c>
      <c r="D88" t="s">
        <v>2708</v>
      </c>
      <c r="E88" s="19">
        <v>1657</v>
      </c>
      <c r="F88" s="19">
        <v>1001.87118930648</v>
      </c>
      <c r="G88" s="19">
        <v>0.60462956506124499</v>
      </c>
      <c r="H88" s="19">
        <v>406</v>
      </c>
      <c r="I88" s="19">
        <v>26805910.254999999</v>
      </c>
      <c r="J88" s="19">
        <v>66024.409</v>
      </c>
      <c r="K88" s="19">
        <v>390</v>
      </c>
      <c r="L88" s="19">
        <v>25041159</v>
      </c>
      <c r="M88" s="19">
        <v>64208</v>
      </c>
      <c r="N88" s="19">
        <v>291083.96999999997</v>
      </c>
      <c r="O88" s="19">
        <v>67631.570000000007</v>
      </c>
      <c r="P88" s="19">
        <v>3592807.26</v>
      </c>
      <c r="Q88" s="19">
        <v>0.82</v>
      </c>
      <c r="R88" s="19">
        <v>55446591.219999999</v>
      </c>
      <c r="S88" s="19">
        <v>2652873.56</v>
      </c>
      <c r="T88" s="19">
        <f t="shared" si="51"/>
        <v>95.215443363372913</v>
      </c>
      <c r="U88" s="19">
        <v>26035</v>
      </c>
      <c r="V88" s="19">
        <v>125575989.11</v>
      </c>
      <c r="W88" s="19">
        <v>8057252.4029999999</v>
      </c>
      <c r="X88" s="49">
        <v>10592</v>
      </c>
      <c r="Y88" s="19">
        <v>72646279</v>
      </c>
      <c r="Z88" s="19">
        <v>5800166</v>
      </c>
      <c r="AA88" s="19">
        <v>346984</v>
      </c>
      <c r="AB88" s="19">
        <v>25288422.286000092</v>
      </c>
      <c r="AC88" s="19">
        <v>695717</v>
      </c>
      <c r="AD88" s="19">
        <f t="shared" si="38"/>
        <v>11.371928133819784</v>
      </c>
      <c r="AE88" s="19">
        <f t="shared" si="39"/>
        <v>8.8389485739468885</v>
      </c>
      <c r="AF88" s="19">
        <f t="shared" si="40"/>
        <v>22.186466248332064</v>
      </c>
      <c r="AG88" s="19">
        <f t="shared" si="41"/>
        <v>19.843597262952102</v>
      </c>
      <c r="AH88" s="19">
        <f t="shared" si="42"/>
        <v>20.069720623068893</v>
      </c>
      <c r="AI88" s="19">
        <f t="shared" si="43"/>
        <v>33.566974958217706</v>
      </c>
      <c r="AJ88" s="19">
        <f t="shared" si="44"/>
        <v>19.578313253012048</v>
      </c>
      <c r="AK88" s="19">
        <f t="shared" si="45"/>
        <v>19.336084865731429</v>
      </c>
      <c r="AL88" s="19">
        <f t="shared" si="46"/>
        <v>32.643432725793744</v>
      </c>
      <c r="AM88" s="19">
        <f t="shared" si="47"/>
        <v>3.1169772934502871</v>
      </c>
      <c r="AN88" s="19">
        <f t="shared" si="48"/>
        <v>25.05399189585339</v>
      </c>
      <c r="AO88" s="19">
        <f t="shared" si="49"/>
        <v>14.599269501134144</v>
      </c>
      <c r="AP88" s="19">
        <f t="shared" si="50"/>
        <v>82</v>
      </c>
      <c r="AQ88" s="19">
        <f t="shared" si="52"/>
        <v>82</v>
      </c>
      <c r="AR88" s="19" t="e">
        <f>(#REF!-MIN(#REF!))/(MAX(#REF!)-MIN(#REF!))*100</f>
        <v>#REF!</v>
      </c>
      <c r="AS88" s="19" t="e">
        <f t="shared" si="53"/>
        <v>#REF!</v>
      </c>
      <c r="AT88" s="19">
        <f t="shared" si="54"/>
        <v>27.144335608777009</v>
      </c>
      <c r="AU88" s="19">
        <f t="shared" si="55"/>
        <v>22.854129055538536</v>
      </c>
      <c r="AV88" s="19">
        <f t="shared" si="56"/>
        <v>0.78672063083356369</v>
      </c>
      <c r="AW88" s="19">
        <f t="shared" si="57"/>
        <v>27.826338792059396</v>
      </c>
      <c r="AX88" s="19">
        <f t="shared" si="58"/>
        <v>22.567053574286657</v>
      </c>
      <c r="AY88" s="19">
        <f t="shared" si="59"/>
        <v>7.6973816374008743</v>
      </c>
      <c r="AZ88" s="19">
        <f t="shared" si="60"/>
        <v>14.335453250597197</v>
      </c>
      <c r="BA88" s="19">
        <f t="shared" si="61"/>
        <v>4.5863123630210589</v>
      </c>
      <c r="BB88" s="19">
        <f t="shared" si="62"/>
        <v>11.272333545389463</v>
      </c>
      <c r="BC88" s="20">
        <v>7.9</v>
      </c>
      <c r="BD88" s="43">
        <v>354133</v>
      </c>
      <c r="BE88">
        <v>0</v>
      </c>
      <c r="BF88">
        <v>0</v>
      </c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</row>
    <row r="89" spans="1:102" x14ac:dyDescent="0.35">
      <c r="A89" t="s">
        <v>2695</v>
      </c>
      <c r="B89" t="s">
        <v>2696</v>
      </c>
      <c r="C89" t="s">
        <v>2709</v>
      </c>
      <c r="D89" t="s">
        <v>2710</v>
      </c>
      <c r="E89" s="19">
        <v>352</v>
      </c>
      <c r="F89" s="19">
        <v>233.79570503443699</v>
      </c>
      <c r="G89" s="19">
        <v>0.66419234384783299</v>
      </c>
      <c r="H89" s="19">
        <v>63</v>
      </c>
      <c r="I89" s="19">
        <v>2782189.7740000002</v>
      </c>
      <c r="J89" s="19">
        <v>44161.741999999998</v>
      </c>
      <c r="K89" s="19">
        <v>60</v>
      </c>
      <c r="L89" s="19">
        <v>2764076</v>
      </c>
      <c r="M89" s="19">
        <v>46068</v>
      </c>
      <c r="N89" s="19">
        <v>21546.880000000001</v>
      </c>
      <c r="O89" s="19">
        <v>3189.87</v>
      </c>
      <c r="P89" s="19">
        <v>180799.64</v>
      </c>
      <c r="Q89" s="19">
        <v>0.93</v>
      </c>
      <c r="R89" s="19">
        <v>6100925.1600000001</v>
      </c>
      <c r="S89" s="19">
        <v>54000</v>
      </c>
      <c r="T89" s="19">
        <f t="shared" si="51"/>
        <v>99.114888339328516</v>
      </c>
      <c r="U89" s="19">
        <v>4690</v>
      </c>
      <c r="V89" s="19">
        <v>23604159.260000002</v>
      </c>
      <c r="W89" s="19">
        <v>2093622.496</v>
      </c>
      <c r="X89" s="49">
        <v>1656</v>
      </c>
      <c r="Y89" s="19">
        <v>13799318</v>
      </c>
      <c r="Z89" s="19">
        <v>1877425</v>
      </c>
      <c r="AA89" s="19">
        <v>182646</v>
      </c>
      <c r="AB89" s="19">
        <v>15079208.16</v>
      </c>
      <c r="AC89" s="19">
        <v>366227</v>
      </c>
      <c r="AD89" s="19">
        <f t="shared" si="38"/>
        <v>2.3886556068011289</v>
      </c>
      <c r="AE89" s="19">
        <f t="shared" si="39"/>
        <v>2.0459015577093074</v>
      </c>
      <c r="AF89" s="19">
        <f t="shared" si="40"/>
        <v>27.435012042409713</v>
      </c>
      <c r="AG89" s="19">
        <f t="shared" si="41"/>
        <v>3.0791788856304985</v>
      </c>
      <c r="AH89" s="19">
        <f t="shared" si="42"/>
        <v>2.0830395593122599</v>
      </c>
      <c r="AI89" s="19">
        <f t="shared" si="43"/>
        <v>22.451940279015158</v>
      </c>
      <c r="AJ89" s="19">
        <f t="shared" si="44"/>
        <v>3.0120481927710845</v>
      </c>
      <c r="AK89" s="19">
        <f t="shared" si="45"/>
        <v>2.1343424284527512</v>
      </c>
      <c r="AL89" s="19">
        <f t="shared" si="46"/>
        <v>23.421032563105314</v>
      </c>
      <c r="AM89" s="19">
        <f t="shared" si="47"/>
        <v>0.2307277027474173</v>
      </c>
      <c r="AN89" s="19">
        <f t="shared" si="48"/>
        <v>1.1816815302206625</v>
      </c>
      <c r="AO89" s="19">
        <f t="shared" si="49"/>
        <v>0.73467416397617524</v>
      </c>
      <c r="AP89" s="19">
        <f t="shared" si="50"/>
        <v>93</v>
      </c>
      <c r="AQ89" s="19">
        <f t="shared" si="52"/>
        <v>93</v>
      </c>
      <c r="AR89" s="19" t="e">
        <f>(#REF!-MIN(#REF!))/(MAX(#REF!)-MIN(#REF!))*100</f>
        <v>#REF!</v>
      </c>
      <c r="AS89" s="19" t="e">
        <f t="shared" si="53"/>
        <v>#REF!</v>
      </c>
      <c r="AT89" s="19">
        <f t="shared" si="54"/>
        <v>4.8307007181760211</v>
      </c>
      <c r="AU89" s="19">
        <f t="shared" si="55"/>
        <v>4.2787124325416261</v>
      </c>
      <c r="AV89" s="19">
        <f t="shared" si="56"/>
        <v>0.20441181661103491</v>
      </c>
      <c r="AW89" s="19">
        <f t="shared" si="57"/>
        <v>4.2994049813069344</v>
      </c>
      <c r="AX89" s="19">
        <f t="shared" si="58"/>
        <v>4.2713554871883952</v>
      </c>
      <c r="AY89" s="19">
        <f t="shared" si="59"/>
        <v>2.4913729891757903</v>
      </c>
      <c r="AZ89" s="19">
        <f t="shared" si="60"/>
        <v>7.5448035856917768</v>
      </c>
      <c r="BA89" s="19">
        <f t="shared" si="61"/>
        <v>2.7347676350320413</v>
      </c>
      <c r="BB89" s="19">
        <f t="shared" si="62"/>
        <v>5.9332830145631688</v>
      </c>
      <c r="BC89" s="20">
        <v>1.4</v>
      </c>
      <c r="BD89" s="43">
        <v>62906</v>
      </c>
      <c r="BE89">
        <v>0</v>
      </c>
      <c r="BF89">
        <v>0</v>
      </c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</row>
    <row r="90" spans="1:102" x14ac:dyDescent="0.35">
      <c r="A90" t="s">
        <v>2695</v>
      </c>
      <c r="B90" t="s">
        <v>2696</v>
      </c>
      <c r="C90" t="s">
        <v>2711</v>
      </c>
      <c r="D90" t="s">
        <v>2712</v>
      </c>
      <c r="E90" s="19">
        <v>3185</v>
      </c>
      <c r="F90" s="19">
        <v>2453.8305855902099</v>
      </c>
      <c r="G90" s="19">
        <v>0.77043346486348996</v>
      </c>
      <c r="H90" s="19">
        <v>512</v>
      </c>
      <c r="I90" s="19">
        <v>33372144.684999999</v>
      </c>
      <c r="J90" s="19">
        <v>65179.97</v>
      </c>
      <c r="K90" s="19">
        <v>496</v>
      </c>
      <c r="L90" s="19">
        <v>33043450</v>
      </c>
      <c r="M90" s="19">
        <v>66620</v>
      </c>
      <c r="N90" s="19">
        <v>363337.61</v>
      </c>
      <c r="O90" s="19">
        <v>58393.42</v>
      </c>
      <c r="P90" s="19">
        <v>5043032.8499999996</v>
      </c>
      <c r="Q90" s="19">
        <v>0.81</v>
      </c>
      <c r="R90" s="19">
        <v>88919483.689999998</v>
      </c>
      <c r="S90" s="19">
        <v>5634579.3700000001</v>
      </c>
      <c r="T90" s="19">
        <f t="shared" si="51"/>
        <v>93.663279254247769</v>
      </c>
      <c r="U90" s="19">
        <v>31996</v>
      </c>
      <c r="V90" s="19">
        <v>191273750.33000001</v>
      </c>
      <c r="W90" s="19">
        <v>185858597.21700001</v>
      </c>
      <c r="X90" s="49">
        <v>12163</v>
      </c>
      <c r="Y90" s="19">
        <v>106297373</v>
      </c>
      <c r="Z90" s="19">
        <v>14244322</v>
      </c>
      <c r="AA90" s="19">
        <v>1079488</v>
      </c>
      <c r="AB90" s="19">
        <v>202856228.5199959</v>
      </c>
      <c r="AC90" s="19">
        <v>2546731</v>
      </c>
      <c r="AD90" s="19">
        <f t="shared" si="38"/>
        <v>21.890273284229366</v>
      </c>
      <c r="AE90" s="19">
        <f t="shared" si="39"/>
        <v>21.68043179609576</v>
      </c>
      <c r="AF90" s="19">
        <f t="shared" si="40"/>
        <v>36.796754396014954</v>
      </c>
      <c r="AG90" s="19">
        <f t="shared" si="41"/>
        <v>25.024437927663733</v>
      </c>
      <c r="AH90" s="19">
        <f t="shared" si="42"/>
        <v>24.985893560382042</v>
      </c>
      <c r="AI90" s="19">
        <f t="shared" si="43"/>
        <v>33.137660054895477</v>
      </c>
      <c r="AJ90" s="19">
        <f t="shared" si="44"/>
        <v>24.899598393574294</v>
      </c>
      <c r="AK90" s="19">
        <f t="shared" si="45"/>
        <v>25.51523088274601</v>
      </c>
      <c r="AL90" s="19">
        <f t="shared" si="46"/>
        <v>33.869696738605455</v>
      </c>
      <c r="AM90" s="19">
        <f t="shared" si="47"/>
        <v>3.8906817171227126</v>
      </c>
      <c r="AN90" s="19">
        <f t="shared" si="48"/>
        <v>21.631736058340252</v>
      </c>
      <c r="AO90" s="19">
        <f t="shared" si="49"/>
        <v>20.492219691245726</v>
      </c>
      <c r="AP90" s="19">
        <f t="shared" si="50"/>
        <v>81</v>
      </c>
      <c r="AQ90" s="19">
        <f t="shared" si="52"/>
        <v>81</v>
      </c>
      <c r="AR90" s="19" t="e">
        <f>(#REF!-MIN(#REF!))/(MAX(#REF!)-MIN(#REF!))*100</f>
        <v>#REF!</v>
      </c>
      <c r="AS90" s="19" t="e">
        <f t="shared" si="53"/>
        <v>#REF!</v>
      </c>
      <c r="AT90" s="19">
        <f t="shared" si="54"/>
        <v>33.375845451029178</v>
      </c>
      <c r="AU90" s="19">
        <f t="shared" si="55"/>
        <v>34.82178019659208</v>
      </c>
      <c r="AV90" s="19">
        <f t="shared" si="56"/>
        <v>18.147839929045457</v>
      </c>
      <c r="AW90" s="19">
        <f t="shared" si="57"/>
        <v>31.962508556684742</v>
      </c>
      <c r="AX90" s="19">
        <f t="shared" si="58"/>
        <v>33.029280436342695</v>
      </c>
      <c r="AY90" s="19">
        <f t="shared" si="59"/>
        <v>18.903920423153423</v>
      </c>
      <c r="AZ90" s="19">
        <f t="shared" si="60"/>
        <v>44.603425613300153</v>
      </c>
      <c r="BA90" s="19">
        <f t="shared" si="61"/>
        <v>36.790038471167875</v>
      </c>
      <c r="BB90" s="19">
        <f t="shared" si="62"/>
        <v>41.266133901293763</v>
      </c>
      <c r="BC90" s="20">
        <v>11</v>
      </c>
      <c r="BD90" s="43">
        <v>572439</v>
      </c>
      <c r="BE90">
        <v>3</v>
      </c>
      <c r="BF90">
        <v>0.5</v>
      </c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</row>
    <row r="91" spans="1:102" x14ac:dyDescent="0.35">
      <c r="A91" t="s">
        <v>2695</v>
      </c>
      <c r="B91" t="s">
        <v>2696</v>
      </c>
      <c r="C91" t="s">
        <v>2713</v>
      </c>
      <c r="D91" t="s">
        <v>2714</v>
      </c>
      <c r="E91" s="19">
        <v>221</v>
      </c>
      <c r="F91" s="19">
        <v>174.44936472623101</v>
      </c>
      <c r="G91" s="19">
        <v>0.78936364129516401</v>
      </c>
      <c r="H91" s="19">
        <v>35</v>
      </c>
      <c r="I91" s="19">
        <v>1746140.175</v>
      </c>
      <c r="J91" s="19">
        <v>49889.718999999997</v>
      </c>
      <c r="K91" s="19">
        <v>35</v>
      </c>
      <c r="L91" s="19">
        <v>1746140</v>
      </c>
      <c r="M91" s="19">
        <v>49890</v>
      </c>
      <c r="N91" s="19">
        <v>0</v>
      </c>
      <c r="O91" s="19">
        <v>0</v>
      </c>
      <c r="P91" s="19">
        <v>464232.78</v>
      </c>
      <c r="Q91" s="19">
        <v>0.92</v>
      </c>
      <c r="R91" s="19">
        <v>3543775.49</v>
      </c>
      <c r="S91" s="19">
        <v>8784.36</v>
      </c>
      <c r="T91" s="19">
        <f t="shared" si="51"/>
        <v>99.752118608394127</v>
      </c>
      <c r="U91" s="19">
        <v>2896</v>
      </c>
      <c r="V91" s="19">
        <v>13959198.99</v>
      </c>
      <c r="W91" s="19">
        <v>1967123.1240000001</v>
      </c>
      <c r="X91" s="49">
        <v>1214</v>
      </c>
      <c r="Y91" s="19">
        <v>8178823</v>
      </c>
      <c r="Z91" s="19">
        <v>1934035</v>
      </c>
      <c r="AA91" s="19">
        <v>20990</v>
      </c>
      <c r="AB91" s="19">
        <v>1375109.3</v>
      </c>
      <c r="AC91" s="19">
        <v>36515</v>
      </c>
      <c r="AD91" s="19">
        <f t="shared" si="38"/>
        <v>1.486886487230674</v>
      </c>
      <c r="AE91" s="19">
        <f t="shared" si="39"/>
        <v>1.5210280417457511</v>
      </c>
      <c r="AF91" s="19">
        <f t="shared" si="40"/>
        <v>38.464841411357206</v>
      </c>
      <c r="AG91" s="19">
        <f t="shared" si="41"/>
        <v>1.7106549364613879</v>
      </c>
      <c r="AH91" s="19">
        <f t="shared" si="42"/>
        <v>1.3073439830094897</v>
      </c>
      <c r="AI91" s="19">
        <f t="shared" si="43"/>
        <v>25.364058137128008</v>
      </c>
      <c r="AJ91" s="19">
        <f t="shared" si="44"/>
        <v>1.7570281124497993</v>
      </c>
      <c r="AK91" s="19">
        <f t="shared" si="45"/>
        <v>1.3483206279489013</v>
      </c>
      <c r="AL91" s="19">
        <f t="shared" si="46"/>
        <v>25.36414245405323</v>
      </c>
      <c r="AM91" s="19">
        <f t="shared" si="47"/>
        <v>0</v>
      </c>
      <c r="AN91" s="19">
        <f t="shared" si="48"/>
        <v>0</v>
      </c>
      <c r="AO91" s="19">
        <f t="shared" si="49"/>
        <v>1.8863966185819603</v>
      </c>
      <c r="AP91" s="19">
        <f t="shared" si="50"/>
        <v>92</v>
      </c>
      <c r="AQ91" s="19">
        <f t="shared" si="52"/>
        <v>92</v>
      </c>
      <c r="AR91" s="19" t="e">
        <f>(#REF!-MIN(#REF!))/(MAX(#REF!)-MIN(#REF!))*100</f>
        <v>#REF!</v>
      </c>
      <c r="AS91" s="19" t="e">
        <f t="shared" si="53"/>
        <v>#REF!</v>
      </c>
      <c r="AT91" s="19">
        <f t="shared" si="54"/>
        <v>2.9552890998233305</v>
      </c>
      <c r="AU91" s="19">
        <f t="shared" si="55"/>
        <v>2.5217648952556426</v>
      </c>
      <c r="AV91" s="19">
        <f t="shared" si="56"/>
        <v>0.19205999390272904</v>
      </c>
      <c r="AW91" s="19">
        <f t="shared" si="57"/>
        <v>3.1356958559317567</v>
      </c>
      <c r="AX91" s="19">
        <f t="shared" si="58"/>
        <v>2.5239265992285675</v>
      </c>
      <c r="AY91" s="19">
        <f t="shared" si="59"/>
        <v>2.566502127086252</v>
      </c>
      <c r="AZ91" s="19">
        <f t="shared" si="60"/>
        <v>0.86497748199117142</v>
      </c>
      <c r="BA91" s="19">
        <f t="shared" si="61"/>
        <v>0.24939004544331234</v>
      </c>
      <c r="BB91" s="19">
        <f t="shared" si="62"/>
        <v>0.59063519939487841</v>
      </c>
      <c r="BC91" s="20">
        <v>0.8</v>
      </c>
      <c r="BD91" s="43">
        <v>35235</v>
      </c>
      <c r="BE91">
        <v>0</v>
      </c>
      <c r="BF91">
        <v>0</v>
      </c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</row>
    <row r="92" spans="1:102" x14ac:dyDescent="0.35">
      <c r="A92" t="s">
        <v>2695</v>
      </c>
      <c r="B92" t="s">
        <v>2696</v>
      </c>
      <c r="C92" t="s">
        <v>2715</v>
      </c>
      <c r="D92" t="s">
        <v>2716</v>
      </c>
      <c r="E92" s="19">
        <v>5173</v>
      </c>
      <c r="F92" s="19">
        <v>3723.3635543431101</v>
      </c>
      <c r="G92" s="19">
        <v>0.71976871338548498</v>
      </c>
      <c r="H92" s="19">
        <v>611</v>
      </c>
      <c r="I92" s="19">
        <v>38879119.482000001</v>
      </c>
      <c r="J92" s="19">
        <v>63631.947</v>
      </c>
      <c r="K92" s="19">
        <v>594</v>
      </c>
      <c r="L92" s="19">
        <v>38058974</v>
      </c>
      <c r="M92" s="19">
        <v>64072</v>
      </c>
      <c r="N92" s="19">
        <v>569571.41</v>
      </c>
      <c r="O92" s="19">
        <v>106035.76</v>
      </c>
      <c r="P92" s="19">
        <v>5952797.7400000002</v>
      </c>
      <c r="Q92" s="19">
        <v>0.86</v>
      </c>
      <c r="R92" s="19">
        <v>89247647.420000002</v>
      </c>
      <c r="S92" s="19">
        <v>6636720.9400000004</v>
      </c>
      <c r="T92" s="19">
        <f t="shared" si="51"/>
        <v>92.563702089795655</v>
      </c>
      <c r="U92" s="19">
        <v>51501</v>
      </c>
      <c r="V92" s="19">
        <v>319964058.62</v>
      </c>
      <c r="W92" s="19">
        <v>19259285.103</v>
      </c>
      <c r="X92" s="49">
        <v>18355</v>
      </c>
      <c r="Y92" s="19">
        <v>178959055</v>
      </c>
      <c r="Z92" s="19">
        <v>15335060</v>
      </c>
      <c r="AA92" s="19">
        <v>1040199</v>
      </c>
      <c r="AB92" s="19">
        <v>159416088.72799599</v>
      </c>
      <c r="AC92" s="19">
        <v>2141023</v>
      </c>
      <c r="AD92" s="19">
        <f t="shared" si="38"/>
        <v>35.575135953741309</v>
      </c>
      <c r="AE92" s="19">
        <f t="shared" si="39"/>
        <v>32.908491175670498</v>
      </c>
      <c r="AF92" s="19">
        <f t="shared" si="40"/>
        <v>32.332283904625626</v>
      </c>
      <c r="AG92" s="19">
        <f t="shared" si="41"/>
        <v>29.863147605083089</v>
      </c>
      <c r="AH92" s="19">
        <f t="shared" si="42"/>
        <v>29.108993451513555</v>
      </c>
      <c r="AI92" s="19">
        <f t="shared" si="43"/>
        <v>32.350641283159931</v>
      </c>
      <c r="AJ92" s="19">
        <f t="shared" si="44"/>
        <v>29.819277108433734</v>
      </c>
      <c r="AK92" s="19">
        <f t="shared" si="45"/>
        <v>29.388078689435499</v>
      </c>
      <c r="AL92" s="19">
        <f t="shared" si="46"/>
        <v>32.57429014464018</v>
      </c>
      <c r="AM92" s="19">
        <f t="shared" si="47"/>
        <v>6.0990687737578408</v>
      </c>
      <c r="AN92" s="19">
        <f t="shared" si="48"/>
        <v>39.280754116910998</v>
      </c>
      <c r="AO92" s="19">
        <f t="shared" si="49"/>
        <v>24.189023290941098</v>
      </c>
      <c r="AP92" s="19">
        <f t="shared" si="50"/>
        <v>86</v>
      </c>
      <c r="AQ92" s="19">
        <f t="shared" si="52"/>
        <v>86</v>
      </c>
      <c r="AR92" s="19" t="e">
        <f>(#REF!-MIN(#REF!))/(MAX(#REF!)-MIN(#REF!))*100</f>
        <v>#REF!</v>
      </c>
      <c r="AS92" s="19" t="e">
        <f t="shared" si="53"/>
        <v>#REF!</v>
      </c>
      <c r="AT92" s="19">
        <f t="shared" si="54"/>
        <v>53.765981245883822</v>
      </c>
      <c r="AU92" s="19">
        <f t="shared" si="55"/>
        <v>58.26429461792825</v>
      </c>
      <c r="AV92" s="19">
        <f t="shared" si="56"/>
        <v>1.8805246529044779</v>
      </c>
      <c r="AW92" s="19">
        <f t="shared" si="57"/>
        <v>48.264967616239275</v>
      </c>
      <c r="AX92" s="19">
        <f t="shared" si="58"/>
        <v>55.62001704842946</v>
      </c>
      <c r="AY92" s="19">
        <f t="shared" si="59"/>
        <v>20.351477491271794</v>
      </c>
      <c r="AZ92" s="19">
        <f t="shared" si="60"/>
        <v>42.979955480497821</v>
      </c>
      <c r="BA92" s="19">
        <f t="shared" si="61"/>
        <v>28.911727680316051</v>
      </c>
      <c r="BB92" s="19">
        <f t="shared" si="62"/>
        <v>34.692048154350076</v>
      </c>
      <c r="BC92" s="20">
        <v>15</v>
      </c>
      <c r="BD92" s="43">
        <v>691814</v>
      </c>
      <c r="BE92">
        <v>2</v>
      </c>
      <c r="BF92">
        <v>0.3</v>
      </c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/>
      <c r="CL92" s="36"/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</row>
    <row r="93" spans="1:102" x14ac:dyDescent="0.35">
      <c r="A93" t="s">
        <v>2695</v>
      </c>
      <c r="B93" t="s">
        <v>2696</v>
      </c>
      <c r="C93" t="s">
        <v>2717</v>
      </c>
      <c r="D93" t="s">
        <v>2718</v>
      </c>
      <c r="E93" s="19">
        <v>1485</v>
      </c>
      <c r="F93" s="19">
        <v>769.90516616052798</v>
      </c>
      <c r="G93" s="19">
        <v>0.51845465734715701</v>
      </c>
      <c r="H93" s="19">
        <v>202</v>
      </c>
      <c r="I93" s="19">
        <v>13252492.278000001</v>
      </c>
      <c r="J93" s="19">
        <v>65606.396999999997</v>
      </c>
      <c r="K93" s="19">
        <v>194</v>
      </c>
      <c r="L93" s="19">
        <v>12675929</v>
      </c>
      <c r="M93" s="19">
        <v>65340</v>
      </c>
      <c r="N93" s="19">
        <v>119849.49</v>
      </c>
      <c r="O93" s="19">
        <v>39877.160000000003</v>
      </c>
      <c r="P93" s="19">
        <v>1421539.49</v>
      </c>
      <c r="Q93" s="19">
        <v>0.86</v>
      </c>
      <c r="R93" s="19">
        <v>30606281.59</v>
      </c>
      <c r="S93" s="19">
        <v>1065286.57</v>
      </c>
      <c r="T93" s="19">
        <f t="shared" si="51"/>
        <v>96.519385842845864</v>
      </c>
      <c r="U93" s="19">
        <v>16345</v>
      </c>
      <c r="V93" s="19">
        <v>76737161.989999995</v>
      </c>
      <c r="W93" s="19">
        <v>4870602.6359999999</v>
      </c>
      <c r="X93" s="49">
        <v>5645</v>
      </c>
      <c r="Y93" s="19">
        <v>41972885</v>
      </c>
      <c r="Z93" s="19">
        <v>3808047</v>
      </c>
      <c r="AA93" s="19">
        <v>355046</v>
      </c>
      <c r="AB93" s="19">
        <v>28023106.718000229</v>
      </c>
      <c r="AC93" s="19">
        <v>734665</v>
      </c>
      <c r="AD93" s="19">
        <f t="shared" si="38"/>
        <v>10.187925931024989</v>
      </c>
      <c r="AE93" s="19">
        <f t="shared" si="39"/>
        <v>6.7873844586131495</v>
      </c>
      <c r="AF93" s="19">
        <f t="shared" si="40"/>
        <v>14.592916070655487</v>
      </c>
      <c r="AG93" s="19">
        <f t="shared" si="41"/>
        <v>9.8729227761485827</v>
      </c>
      <c r="AH93" s="19">
        <f t="shared" si="42"/>
        <v>9.9222080148995051</v>
      </c>
      <c r="AI93" s="19">
        <f t="shared" si="43"/>
        <v>33.354456610098374</v>
      </c>
      <c r="AJ93" s="19">
        <f t="shared" si="44"/>
        <v>9.738955823293173</v>
      </c>
      <c r="AK93" s="19">
        <f t="shared" si="45"/>
        <v>9.7879989858291356</v>
      </c>
      <c r="AL93" s="19">
        <f t="shared" si="46"/>
        <v>33.218943033630751</v>
      </c>
      <c r="AM93" s="19">
        <f t="shared" si="47"/>
        <v>1.2833689844260312</v>
      </c>
      <c r="AN93" s="19">
        <f t="shared" si="48"/>
        <v>14.772421274112798</v>
      </c>
      <c r="AO93" s="19">
        <f t="shared" si="49"/>
        <v>5.7763850435480322</v>
      </c>
      <c r="AP93" s="19">
        <f t="shared" si="50"/>
        <v>86</v>
      </c>
      <c r="AQ93" s="19">
        <f t="shared" si="52"/>
        <v>86</v>
      </c>
      <c r="AR93" s="19" t="e">
        <f>(#REF!-MIN(#REF!))/(MAX(#REF!)-MIN(#REF!))*100</f>
        <v>#REF!</v>
      </c>
      <c r="AS93" s="19" t="e">
        <f t="shared" si="53"/>
        <v>#REF!</v>
      </c>
      <c r="AT93" s="19">
        <f t="shared" si="54"/>
        <v>17.014603957808465</v>
      </c>
      <c r="AU93" s="19">
        <f t="shared" si="55"/>
        <v>13.957539061350838</v>
      </c>
      <c r="AV93" s="19">
        <f t="shared" si="56"/>
        <v>0.47556546592532856</v>
      </c>
      <c r="AW93" s="19">
        <f t="shared" si="57"/>
        <v>14.801748196514138</v>
      </c>
      <c r="AX93" s="19">
        <f t="shared" si="58"/>
        <v>13.030602644720195</v>
      </c>
      <c r="AY93" s="19">
        <f t="shared" si="59"/>
        <v>5.0535698888573162</v>
      </c>
      <c r="AZ93" s="19">
        <f t="shared" si="60"/>
        <v>14.668585074024932</v>
      </c>
      <c r="BA93" s="19">
        <f t="shared" si="61"/>
        <v>5.0822751746823815</v>
      </c>
      <c r="BB93" s="19">
        <f t="shared" si="62"/>
        <v>11.90344629562353</v>
      </c>
      <c r="BC93" s="20">
        <v>5.9</v>
      </c>
      <c r="BD93" s="43">
        <v>269909</v>
      </c>
      <c r="BE93">
        <v>1</v>
      </c>
      <c r="BF93">
        <v>0.2</v>
      </c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</row>
    <row r="94" spans="1:102" x14ac:dyDescent="0.35">
      <c r="A94" t="s">
        <v>2695</v>
      </c>
      <c r="B94" t="s">
        <v>2696</v>
      </c>
      <c r="C94" t="s">
        <v>2719</v>
      </c>
      <c r="D94" t="s">
        <v>2720</v>
      </c>
      <c r="E94" s="19">
        <v>2733</v>
      </c>
      <c r="F94" s="19">
        <v>2263.0507607978602</v>
      </c>
      <c r="G94" s="19">
        <v>0.82804638155794597</v>
      </c>
      <c r="H94" s="19">
        <v>227</v>
      </c>
      <c r="I94" s="19">
        <v>13354156.194</v>
      </c>
      <c r="J94" s="19">
        <v>58828.881999999998</v>
      </c>
      <c r="K94" s="19">
        <v>225</v>
      </c>
      <c r="L94" s="19">
        <v>13117585</v>
      </c>
      <c r="M94" s="19">
        <v>58300</v>
      </c>
      <c r="N94" s="19">
        <v>306313.71999999997</v>
      </c>
      <c r="O94" s="19">
        <v>45005.95</v>
      </c>
      <c r="P94" s="19">
        <v>2082400.58</v>
      </c>
      <c r="Q94" s="19">
        <v>0.84</v>
      </c>
      <c r="R94" s="19">
        <v>35748636.619999997</v>
      </c>
      <c r="S94" s="19">
        <v>1730338.05</v>
      </c>
      <c r="T94" s="19">
        <f t="shared" si="51"/>
        <v>95.15970897465796</v>
      </c>
      <c r="U94" s="19">
        <v>20207</v>
      </c>
      <c r="V94" s="19">
        <v>144103814.38</v>
      </c>
      <c r="W94" s="19">
        <v>15943710.539000001</v>
      </c>
      <c r="X94" s="49">
        <v>7093</v>
      </c>
      <c r="Y94" s="19">
        <v>83239171</v>
      </c>
      <c r="Z94" s="19">
        <v>5664652</v>
      </c>
      <c r="AA94" s="19">
        <v>1203823</v>
      </c>
      <c r="AB94" s="19">
        <v>173383241.09999809</v>
      </c>
      <c r="AC94" s="19">
        <v>2023884</v>
      </c>
      <c r="AD94" s="19">
        <f t="shared" si="38"/>
        <v>18.778825635024436</v>
      </c>
      <c r="AE94" s="19">
        <f t="shared" si="39"/>
        <v>19.993128469662572</v>
      </c>
      <c r="AF94" s="19">
        <f t="shared" si="40"/>
        <v>41.873482476225377</v>
      </c>
      <c r="AG94" s="19">
        <f t="shared" si="41"/>
        <v>11.094819159335287</v>
      </c>
      <c r="AH94" s="19">
        <f t="shared" si="42"/>
        <v>9.9983243031418194</v>
      </c>
      <c r="AI94" s="19">
        <f t="shared" si="43"/>
        <v>29.908751003192531</v>
      </c>
      <c r="AJ94" s="19">
        <f t="shared" si="44"/>
        <v>11.295180722891567</v>
      </c>
      <c r="AK94" s="19">
        <f t="shared" si="45"/>
        <v>10.129033436249721</v>
      </c>
      <c r="AL94" s="19">
        <f t="shared" si="46"/>
        <v>29.639797656269863</v>
      </c>
      <c r="AM94" s="19">
        <f t="shared" si="47"/>
        <v>3.2800600799566157</v>
      </c>
      <c r="AN94" s="19">
        <f t="shared" si="48"/>
        <v>16.672372186024703</v>
      </c>
      <c r="AO94" s="19">
        <f t="shared" si="49"/>
        <v>8.461775173750361</v>
      </c>
      <c r="AP94" s="19">
        <f t="shared" si="50"/>
        <v>84</v>
      </c>
      <c r="AQ94" s="19">
        <f t="shared" si="52"/>
        <v>84</v>
      </c>
      <c r="AR94" s="19" t="e">
        <f>(#REF!-MIN(#REF!))/(MAX(#REF!)-MIN(#REF!))*100</f>
        <v>#REF!</v>
      </c>
      <c r="AS94" s="19" t="e">
        <f t="shared" si="53"/>
        <v>#REF!</v>
      </c>
      <c r="AT94" s="19">
        <f t="shared" si="54"/>
        <v>21.051861298989117</v>
      </c>
      <c r="AU94" s="19">
        <f t="shared" si="55"/>
        <v>26.229199151020794</v>
      </c>
      <c r="AV94" s="19">
        <f t="shared" si="56"/>
        <v>1.5567808386609059</v>
      </c>
      <c r="AW94" s="19">
        <f t="shared" si="57"/>
        <v>18.614080353851826</v>
      </c>
      <c r="AX94" s="19">
        <f t="shared" si="58"/>
        <v>25.860415722609638</v>
      </c>
      <c r="AY94" s="19">
        <f t="shared" si="59"/>
        <v>7.5175362038237976</v>
      </c>
      <c r="AZ94" s="19">
        <f t="shared" si="60"/>
        <v>49.741101781234619</v>
      </c>
      <c r="BA94" s="19">
        <f t="shared" si="61"/>
        <v>31.444812697461433</v>
      </c>
      <c r="BB94" s="19">
        <f t="shared" si="62"/>
        <v>32.793929728508736</v>
      </c>
      <c r="BC94" s="20">
        <v>6.3</v>
      </c>
      <c r="BD94" s="43">
        <v>298781</v>
      </c>
      <c r="BE94">
        <v>1</v>
      </c>
      <c r="BF94">
        <v>0.2</v>
      </c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</row>
    <row r="95" spans="1:102" x14ac:dyDescent="0.35">
      <c r="A95" t="s">
        <v>2695</v>
      </c>
      <c r="B95" t="s">
        <v>2696</v>
      </c>
      <c r="C95" t="s">
        <v>2721</v>
      </c>
      <c r="D95" t="s">
        <v>2722</v>
      </c>
      <c r="E95" s="19">
        <v>1624</v>
      </c>
      <c r="F95" s="19">
        <v>1662.57362641183</v>
      </c>
      <c r="G95" s="19">
        <v>1.02375223301221</v>
      </c>
      <c r="H95" s="19">
        <v>321</v>
      </c>
      <c r="I95" s="19">
        <v>19949032.493999999</v>
      </c>
      <c r="J95" s="19">
        <v>62146.519</v>
      </c>
      <c r="K95" s="19">
        <v>306</v>
      </c>
      <c r="L95" s="19">
        <v>19650485</v>
      </c>
      <c r="M95" s="19">
        <v>64217</v>
      </c>
      <c r="N95" s="19">
        <v>182979.55</v>
      </c>
      <c r="O95" s="19">
        <v>3174.88</v>
      </c>
      <c r="P95" s="19">
        <v>3167931.44</v>
      </c>
      <c r="Q95" s="19">
        <v>0.83</v>
      </c>
      <c r="R95" s="19">
        <v>46332098.960000001</v>
      </c>
      <c r="S95" s="19">
        <v>1593327.45</v>
      </c>
      <c r="T95" s="19">
        <f t="shared" si="51"/>
        <v>96.561072159982288</v>
      </c>
      <c r="U95" s="19">
        <v>17981</v>
      </c>
      <c r="V95" s="19">
        <v>102404529.11</v>
      </c>
      <c r="W95" s="19">
        <v>50355519.582000002</v>
      </c>
      <c r="X95" s="49">
        <v>6563</v>
      </c>
      <c r="Y95" s="19">
        <v>53274744</v>
      </c>
      <c r="Z95" s="19">
        <v>20923139</v>
      </c>
      <c r="AA95" s="19">
        <v>1301575</v>
      </c>
      <c r="AB95" s="19">
        <v>191184860.11599591</v>
      </c>
      <c r="AC95" s="19">
        <v>2638654</v>
      </c>
      <c r="AD95" s="19">
        <f t="shared" si="38"/>
        <v>11.144764920492875</v>
      </c>
      <c r="AE95" s="19">
        <f t="shared" si="39"/>
        <v>14.68236215881498</v>
      </c>
      <c r="AF95" s="19">
        <f t="shared" si="40"/>
        <v>59.118667211594946</v>
      </c>
      <c r="AG95" s="19">
        <f t="shared" si="41"/>
        <v>15.689149560117302</v>
      </c>
      <c r="AH95" s="19">
        <f t="shared" si="42"/>
        <v>14.935941553427515</v>
      </c>
      <c r="AI95" s="19">
        <f t="shared" si="43"/>
        <v>31.595445966254704</v>
      </c>
      <c r="AJ95" s="19">
        <f t="shared" si="44"/>
        <v>15.361445783132529</v>
      </c>
      <c r="AK95" s="19">
        <f t="shared" si="45"/>
        <v>15.1735566877229</v>
      </c>
      <c r="AL95" s="19">
        <f t="shared" si="46"/>
        <v>32.648008337781846</v>
      </c>
      <c r="AM95" s="19">
        <f t="shared" si="47"/>
        <v>1.9593765418128368</v>
      </c>
      <c r="AN95" s="19">
        <f t="shared" si="48"/>
        <v>1.176128512029323</v>
      </c>
      <c r="AO95" s="19">
        <f t="shared" si="49"/>
        <v>12.872798763403736</v>
      </c>
      <c r="AP95" s="19">
        <f t="shared" si="50"/>
        <v>83</v>
      </c>
      <c r="AQ95" s="19">
        <f t="shared" si="52"/>
        <v>83</v>
      </c>
      <c r="AR95" s="19" t="e">
        <f>(#REF!-MIN(#REF!))/(MAX(#REF!)-MIN(#REF!))*100</f>
        <v>#REF!</v>
      </c>
      <c r="AS95" s="19" t="e">
        <f t="shared" si="53"/>
        <v>#REF!</v>
      </c>
      <c r="AT95" s="19">
        <f t="shared" si="54"/>
        <v>18.724845545113372</v>
      </c>
      <c r="AU95" s="19">
        <f t="shared" si="55"/>
        <v>18.633164070441644</v>
      </c>
      <c r="AV95" s="19">
        <f t="shared" si="56"/>
        <v>4.9168652220933566</v>
      </c>
      <c r="AW95" s="19">
        <f t="shared" si="57"/>
        <v>17.218682533831814</v>
      </c>
      <c r="AX95" s="19">
        <f t="shared" si="58"/>
        <v>16.544384776765288</v>
      </c>
      <c r="AY95" s="19">
        <f t="shared" si="59"/>
        <v>27.767615238057775</v>
      </c>
      <c r="AZ95" s="19">
        <f t="shared" si="60"/>
        <v>53.780335470605522</v>
      </c>
      <c r="BA95" s="19">
        <f t="shared" si="61"/>
        <v>34.673317206422446</v>
      </c>
      <c r="BB95" s="19">
        <f t="shared" si="62"/>
        <v>42.755652678631904</v>
      </c>
      <c r="BC95" s="20">
        <v>6.5</v>
      </c>
      <c r="BD95" s="43">
        <v>369182</v>
      </c>
      <c r="BE95">
        <v>5</v>
      </c>
      <c r="BF95">
        <v>3.1</v>
      </c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</row>
    <row r="96" spans="1:102" x14ac:dyDescent="0.35">
      <c r="A96" t="s">
        <v>2695</v>
      </c>
      <c r="B96" t="s">
        <v>2696</v>
      </c>
      <c r="C96" t="s">
        <v>2723</v>
      </c>
      <c r="D96" t="s">
        <v>2724</v>
      </c>
      <c r="E96" s="19">
        <v>1372</v>
      </c>
      <c r="F96" s="19">
        <v>1541.8919711860299</v>
      </c>
      <c r="G96" s="19">
        <v>1.1238279673367599</v>
      </c>
      <c r="H96" s="19">
        <v>411</v>
      </c>
      <c r="I96" s="19">
        <v>27818319.210999999</v>
      </c>
      <c r="J96" s="19">
        <v>67684.475000000006</v>
      </c>
      <c r="K96" s="19">
        <v>396</v>
      </c>
      <c r="L96" s="19">
        <v>26579386</v>
      </c>
      <c r="M96" s="19">
        <v>67120</v>
      </c>
      <c r="N96" s="19">
        <v>342738.32</v>
      </c>
      <c r="O96" s="19">
        <v>8262.7199999999993</v>
      </c>
      <c r="P96" s="19">
        <v>3138981.74</v>
      </c>
      <c r="Q96" s="19">
        <v>0.86</v>
      </c>
      <c r="R96" s="19">
        <v>54471372.140000001</v>
      </c>
      <c r="S96" s="19">
        <v>3008621.2</v>
      </c>
      <c r="T96" s="19">
        <f t="shared" si="51"/>
        <v>94.476692835518492</v>
      </c>
      <c r="U96" s="19">
        <v>23118</v>
      </c>
      <c r="V96" s="19">
        <v>103035501.40000001</v>
      </c>
      <c r="W96" s="19">
        <v>137229635.54300001</v>
      </c>
      <c r="X96" s="49">
        <v>8932</v>
      </c>
      <c r="Y96" s="19">
        <v>52887998</v>
      </c>
      <c r="Z96" s="19">
        <v>17650864</v>
      </c>
      <c r="AA96" s="19">
        <v>855624</v>
      </c>
      <c r="AB96" s="19">
        <v>135369316.9239946</v>
      </c>
      <c r="AC96" s="19">
        <v>2080335</v>
      </c>
      <c r="AD96" s="19">
        <f t="shared" si="38"/>
        <v>9.4100640187237552</v>
      </c>
      <c r="AE96" s="19">
        <f t="shared" si="39"/>
        <v>13.615024150073287</v>
      </c>
      <c r="AF96" s="19">
        <f t="shared" si="40"/>
        <v>67.937128760548433</v>
      </c>
      <c r="AG96" s="19">
        <f t="shared" si="41"/>
        <v>20.087976539589441</v>
      </c>
      <c r="AH96" s="19">
        <f t="shared" si="42"/>
        <v>20.827716330355976</v>
      </c>
      <c r="AI96" s="19">
        <f t="shared" si="43"/>
        <v>34.410956671874374</v>
      </c>
      <c r="AJ96" s="19">
        <f t="shared" si="44"/>
        <v>19.879518072289155</v>
      </c>
      <c r="AK96" s="19">
        <f t="shared" si="45"/>
        <v>20.523860871417089</v>
      </c>
      <c r="AL96" s="19">
        <f t="shared" si="46"/>
        <v>34.123897404611199</v>
      </c>
      <c r="AM96" s="19">
        <f t="shared" si="47"/>
        <v>3.6701009713289898</v>
      </c>
      <c r="AN96" s="19">
        <f t="shared" si="48"/>
        <v>3.0609095710436072</v>
      </c>
      <c r="AO96" s="19">
        <f t="shared" si="49"/>
        <v>12.755162485782495</v>
      </c>
      <c r="AP96" s="19">
        <f t="shared" si="50"/>
        <v>86</v>
      </c>
      <c r="AQ96" s="19">
        <f t="shared" si="52"/>
        <v>86</v>
      </c>
      <c r="AR96" s="19" t="e">
        <f>(#REF!-MIN(#REF!))/(MAX(#REF!)-MIN(#REF!))*100</f>
        <v>#REF!</v>
      </c>
      <c r="AS96" s="19" t="e">
        <f t="shared" si="53"/>
        <v>#REF!</v>
      </c>
      <c r="AT96" s="19">
        <f t="shared" si="54"/>
        <v>24.094962314053042</v>
      </c>
      <c r="AU96" s="19">
        <f t="shared" si="55"/>
        <v>18.748103394189755</v>
      </c>
      <c r="AV96" s="19">
        <f t="shared" si="56"/>
        <v>13.399545106789354</v>
      </c>
      <c r="AW96" s="19">
        <f t="shared" si="57"/>
        <v>23.455847506713706</v>
      </c>
      <c r="AX96" s="19">
        <f t="shared" si="58"/>
        <v>16.424144276114916</v>
      </c>
      <c r="AY96" s="19">
        <f t="shared" si="59"/>
        <v>23.424863078440115</v>
      </c>
      <c r="AZ96" s="19">
        <f t="shared" si="60"/>
        <v>35.35308791547989</v>
      </c>
      <c r="BA96" s="19">
        <f t="shared" si="61"/>
        <v>24.550601249882583</v>
      </c>
      <c r="BB96" s="19">
        <f t="shared" si="62"/>
        <v>33.708660802337</v>
      </c>
      <c r="BC96" s="20">
        <v>8</v>
      </c>
      <c r="BD96" s="43">
        <v>481984</v>
      </c>
      <c r="BE96">
        <v>2</v>
      </c>
      <c r="BF96">
        <v>0.5</v>
      </c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36"/>
      <c r="CH96" s="36"/>
      <c r="CI96" s="36"/>
      <c r="CJ96" s="36"/>
      <c r="CK96" s="36"/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</row>
    <row r="97" spans="1:102" x14ac:dyDescent="0.35">
      <c r="A97" t="s">
        <v>2695</v>
      </c>
      <c r="B97" t="s">
        <v>2696</v>
      </c>
      <c r="C97" t="s">
        <v>2725</v>
      </c>
      <c r="D97" t="s">
        <v>2726</v>
      </c>
      <c r="E97" s="19">
        <v>12974</v>
      </c>
      <c r="F97" s="19">
        <v>9473.0450144688293</v>
      </c>
      <c r="G97" s="19">
        <v>0.73015608250877406</v>
      </c>
      <c r="H97" s="19">
        <v>1275</v>
      </c>
      <c r="I97" s="19">
        <v>82335547.849999994</v>
      </c>
      <c r="J97" s="19">
        <v>64576.9</v>
      </c>
      <c r="K97" s="19">
        <v>1244</v>
      </c>
      <c r="L97" s="19">
        <v>79710910</v>
      </c>
      <c r="M97" s="19">
        <v>64076</v>
      </c>
      <c r="N97" s="19">
        <v>1030926.82</v>
      </c>
      <c r="O97" s="19">
        <v>26877.34</v>
      </c>
      <c r="P97" s="19">
        <v>14615327.08</v>
      </c>
      <c r="Q97" s="19">
        <v>0.88</v>
      </c>
      <c r="R97" s="19">
        <v>287668808.81</v>
      </c>
      <c r="S97" s="19">
        <v>11670468.58</v>
      </c>
      <c r="T97" s="19">
        <f t="shared" si="51"/>
        <v>95.943088641317331</v>
      </c>
      <c r="U97" s="19">
        <v>64398</v>
      </c>
      <c r="V97" s="19">
        <v>416120993.24000001</v>
      </c>
      <c r="W97" s="19">
        <v>322589378.60000002</v>
      </c>
      <c r="X97" s="49">
        <v>24138</v>
      </c>
      <c r="Y97" s="19">
        <v>236527397</v>
      </c>
      <c r="Z97" s="19">
        <v>25236364</v>
      </c>
      <c r="AA97" s="19">
        <v>732187</v>
      </c>
      <c r="AB97" s="19">
        <v>43543605.210000344</v>
      </c>
      <c r="AC97" s="19">
        <v>1310377</v>
      </c>
      <c r="AD97" s="19">
        <f t="shared" si="38"/>
        <v>89.275142837475045</v>
      </c>
      <c r="AE97" s="19">
        <f t="shared" si="39"/>
        <v>83.760077102854865</v>
      </c>
      <c r="AF97" s="19">
        <f t="shared" si="40"/>
        <v>33.247596850633563</v>
      </c>
      <c r="AG97" s="19">
        <f t="shared" si="41"/>
        <v>62.316715542521997</v>
      </c>
      <c r="AH97" s="19">
        <f t="shared" si="42"/>
        <v>61.645041223272592</v>
      </c>
      <c r="AI97" s="19">
        <f t="shared" si="43"/>
        <v>32.831057755917648</v>
      </c>
      <c r="AJ97" s="19">
        <f t="shared" si="44"/>
        <v>62.449799196787147</v>
      </c>
      <c r="AK97" s="19">
        <f t="shared" si="45"/>
        <v>61.550542468289116</v>
      </c>
      <c r="AL97" s="19">
        <f t="shared" si="46"/>
        <v>32.576323749968225</v>
      </c>
      <c r="AM97" s="19">
        <f t="shared" si="47"/>
        <v>11.039341978017243</v>
      </c>
      <c r="AN97" s="19">
        <f t="shared" si="48"/>
        <v>9.9566616380796145</v>
      </c>
      <c r="AO97" s="19">
        <f t="shared" si="49"/>
        <v>59.388963405775343</v>
      </c>
      <c r="AP97" s="19">
        <f t="shared" si="50"/>
        <v>88</v>
      </c>
      <c r="AQ97" s="19">
        <f t="shared" si="52"/>
        <v>88</v>
      </c>
      <c r="AR97" s="19" t="e">
        <f>(#REF!-MIN(#REF!))/(MAX(#REF!)-MIN(#REF!))*100</f>
        <v>#REF!</v>
      </c>
      <c r="AS97" s="19" t="e">
        <f t="shared" si="53"/>
        <v>#REF!</v>
      </c>
      <c r="AT97" s="19">
        <f t="shared" si="54"/>
        <v>67.248246375145044</v>
      </c>
      <c r="AU97" s="19">
        <f t="shared" si="55"/>
        <v>75.780456918675426</v>
      </c>
      <c r="AV97" s="19">
        <f t="shared" si="56"/>
        <v>31.498691745218448</v>
      </c>
      <c r="AW97" s="19">
        <f t="shared" si="57"/>
        <v>63.490600810910436</v>
      </c>
      <c r="AX97" s="19">
        <f t="shared" si="58"/>
        <v>73.518188622774971</v>
      </c>
      <c r="AY97" s="19">
        <f t="shared" si="59"/>
        <v>33.491849045933606</v>
      </c>
      <c r="AZ97" s="19">
        <f t="shared" si="60"/>
        <v>30.252518219567008</v>
      </c>
      <c r="BA97" s="19">
        <f t="shared" si="61"/>
        <v>7.8970752958238561</v>
      </c>
      <c r="BB97" s="19">
        <f t="shared" si="62"/>
        <v>21.232274057325156</v>
      </c>
      <c r="BC97" s="20">
        <v>19.5</v>
      </c>
      <c r="BD97" s="43">
        <v>1116020</v>
      </c>
      <c r="BE97">
        <v>4</v>
      </c>
      <c r="BF97">
        <v>10.4</v>
      </c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</row>
    <row r="98" spans="1:102" x14ac:dyDescent="0.35">
      <c r="A98" t="s">
        <v>2695</v>
      </c>
      <c r="B98" t="s">
        <v>2696</v>
      </c>
      <c r="C98" t="s">
        <v>2727</v>
      </c>
      <c r="D98" t="s">
        <v>2728</v>
      </c>
      <c r="E98" s="19">
        <v>1882</v>
      </c>
      <c r="F98" s="19">
        <v>1824.4168053559899</v>
      </c>
      <c r="G98" s="19">
        <v>0.969403190943674</v>
      </c>
      <c r="H98" s="19">
        <v>333</v>
      </c>
      <c r="I98" s="19">
        <v>21277822.784000002</v>
      </c>
      <c r="J98" s="19">
        <v>63897.366000000002</v>
      </c>
      <c r="K98" s="19">
        <v>316</v>
      </c>
      <c r="L98" s="19">
        <v>19348587</v>
      </c>
      <c r="M98" s="19">
        <v>61230</v>
      </c>
      <c r="N98" s="19">
        <v>135930.49</v>
      </c>
      <c r="O98" s="19">
        <v>2718.11</v>
      </c>
      <c r="P98" s="19">
        <v>1335171.6100000001</v>
      </c>
      <c r="Q98" s="19">
        <v>0.89</v>
      </c>
      <c r="R98" s="19">
        <v>43184391.890000001</v>
      </c>
      <c r="S98" s="19">
        <v>977711.83</v>
      </c>
      <c r="T98" s="19">
        <f t="shared" si="51"/>
        <v>97.735960176328419</v>
      </c>
      <c r="U98" s="19">
        <v>15945</v>
      </c>
      <c r="V98" s="19">
        <v>75716660.430000007</v>
      </c>
      <c r="W98" s="19">
        <v>73453398.113000005</v>
      </c>
      <c r="X98" s="49">
        <v>6369</v>
      </c>
      <c r="Y98" s="19">
        <v>40299763</v>
      </c>
      <c r="Z98" s="19">
        <v>18225459</v>
      </c>
      <c r="AA98" s="19">
        <v>502901</v>
      </c>
      <c r="AB98" s="19">
        <v>44998314.210000537</v>
      </c>
      <c r="AC98" s="19">
        <v>968011</v>
      </c>
      <c r="AD98" s="19">
        <f t="shared" ref="AD98:AD129" si="63">(E98-MIN($E$2:$E$170))/(MAX($E$2:$E$170)-MIN($E$2:$E$170))*100</f>
        <v>12.920768224685069</v>
      </c>
      <c r="AE98" s="19">
        <f t="shared" ref="AE98:AE129" si="64">(F98-MIN($F$2:$F$170))/(MAX($F$2:$F$170)-MIN($F$2:$F$170))*100</f>
        <v>16.113742727961792</v>
      </c>
      <c r="AF98" s="19">
        <f t="shared" ref="AF98:AF129" si="65">(G98-MIN($G$2:$G$170))/(MAX($G$2:$G$170)-MIN($G$2:$G$170))*100</f>
        <v>54.329544844033492</v>
      </c>
      <c r="AG98" s="19">
        <f t="shared" ref="AG98:AG129" si="66">(H98-MIN($H$2:$H$170))/(MAX($H$2:$H$170)-MIN($H$2:$H$170))*100</f>
        <v>16.275659824046919</v>
      </c>
      <c r="AH98" s="19">
        <f t="shared" ref="AH98:AH129" si="67">(I98-MIN($I$2:$I$170))/(MAX($I$2:$I$170)-MIN($I$2:$I$170))*100</f>
        <v>15.930813566101376</v>
      </c>
      <c r="AI98" s="19">
        <f t="shared" ref="AI98:AI129" si="68">(J98-MIN($J$2:$J$170))/(MAX($J$2:$J$170)-MIN($J$2:$J$170))*100</f>
        <v>32.485580967761045</v>
      </c>
      <c r="AJ98" s="19">
        <f t="shared" ref="AJ98:AJ129" si="69">(K98-MIN($K$2:$K$170))/(MAX($K$2:$K$170)-MIN($K$2:$K$170))*100</f>
        <v>15.863453815261044</v>
      </c>
      <c r="AK98" s="19">
        <f t="shared" ref="AK98:AK129" si="70">(L98-MIN($L$2:$L$170))/(MAX($L$2:$L$170)-MIN($L$2:$L$170))*100</f>
        <v>14.940439468635933</v>
      </c>
      <c r="AL98" s="19">
        <f t="shared" ref="AL98:AL129" si="71">(M98-MIN($M$2:$M$170))/(MAX($M$2:$M$170)-MIN($M$2:$M$170))*100</f>
        <v>31.129413559063522</v>
      </c>
      <c r="AM98" s="19">
        <f t="shared" ref="AM98:AM129" si="72">(N98-MIN($N$2:$N$170))/(MAX($N$2:$N$170)-MIN($N$2:$N$170))*100</f>
        <v>1.4555671025703387</v>
      </c>
      <c r="AN98" s="19">
        <f t="shared" ref="AN98:AN129" si="73">(O98-MIN($O$2:$O$170))/(MAX($O$2:$O$170)-MIN($O$2:$O$170))*100</f>
        <v>1.0069188976692105</v>
      </c>
      <c r="AO98" s="19">
        <f t="shared" ref="AO98:AO129" si="74">(P98-MIN($P$2:$P$170))/(MAX($P$2:$P$170)-MIN($P$2:$P$170))*100</f>
        <v>5.4254316343853004</v>
      </c>
      <c r="AP98" s="19">
        <f t="shared" ref="AP98:AP129" si="75">(Q98-MIN($Q$2:$Q$170))/(MAX($Q$2:$Q$170)-MIN($Q$2:$Q$170))*100</f>
        <v>89</v>
      </c>
      <c r="AQ98" s="19">
        <f t="shared" si="52"/>
        <v>89</v>
      </c>
      <c r="AR98" s="19" t="e">
        <f>(#REF!-MIN(#REF!))/(MAX(#REF!)-MIN(#REF!))*100</f>
        <v>#REF!</v>
      </c>
      <c r="AS98" s="19" t="e">
        <f t="shared" si="53"/>
        <v>#REF!</v>
      </c>
      <c r="AT98" s="19">
        <f t="shared" si="54"/>
        <v>16.596451980472303</v>
      </c>
      <c r="AU98" s="19">
        <f t="shared" si="55"/>
        <v>13.771642214453978</v>
      </c>
      <c r="AV98" s="19">
        <f t="shared" si="56"/>
        <v>7.1722195060094558</v>
      </c>
      <c r="AW98" s="19">
        <f t="shared" si="57"/>
        <v>16.707914275182979</v>
      </c>
      <c r="AX98" s="19">
        <f t="shared" si="58"/>
        <v>12.510423956565306</v>
      </c>
      <c r="AY98" s="19">
        <f t="shared" si="59"/>
        <v>24.187428473205379</v>
      </c>
      <c r="AZ98" s="19">
        <f t="shared" si="60"/>
        <v>20.778136767513903</v>
      </c>
      <c r="BA98" s="19">
        <f t="shared" si="61"/>
        <v>8.1609015557559541</v>
      </c>
      <c r="BB98" s="19">
        <f t="shared" si="62"/>
        <v>15.684581034663235</v>
      </c>
      <c r="BC98" s="20">
        <v>5.5</v>
      </c>
      <c r="BD98" s="43">
        <v>324008</v>
      </c>
      <c r="BE98">
        <v>5</v>
      </c>
      <c r="BF98">
        <v>4</v>
      </c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</row>
    <row r="99" spans="1:102" x14ac:dyDescent="0.35">
      <c r="A99" t="s">
        <v>2695</v>
      </c>
      <c r="B99" t="s">
        <v>2696</v>
      </c>
      <c r="C99" t="s">
        <v>2729</v>
      </c>
      <c r="D99" t="s">
        <v>2730</v>
      </c>
      <c r="E99" s="19">
        <v>5375</v>
      </c>
      <c r="F99" s="19">
        <v>4209.46485156381</v>
      </c>
      <c r="G99" s="19">
        <v>0.78315625145373291</v>
      </c>
      <c r="H99" s="19">
        <v>726</v>
      </c>
      <c r="I99" s="19">
        <v>47677557.395000003</v>
      </c>
      <c r="J99" s="19">
        <v>65671.566999999995</v>
      </c>
      <c r="K99" s="19">
        <v>700</v>
      </c>
      <c r="L99" s="19">
        <v>46111351</v>
      </c>
      <c r="M99" s="19">
        <v>65873</v>
      </c>
      <c r="N99" s="19">
        <v>1017292.77</v>
      </c>
      <c r="O99" s="19">
        <v>122985.78</v>
      </c>
      <c r="P99" s="19">
        <v>7682413.2800000003</v>
      </c>
      <c r="Q99" s="19">
        <v>0.84</v>
      </c>
      <c r="R99" s="19">
        <v>118742530.55</v>
      </c>
      <c r="S99" s="19">
        <v>5189284.59</v>
      </c>
      <c r="T99" s="19">
        <f t="shared" si="51"/>
        <v>95.629801246475125</v>
      </c>
      <c r="U99" s="19">
        <v>47646</v>
      </c>
      <c r="V99" s="19">
        <v>295184868.43000001</v>
      </c>
      <c r="W99" s="19">
        <v>38259987.188000001</v>
      </c>
      <c r="X99" s="49">
        <v>18244</v>
      </c>
      <c r="Y99" s="19">
        <v>158553599</v>
      </c>
      <c r="Z99" s="19">
        <v>24568463</v>
      </c>
      <c r="AA99" s="19">
        <v>1169029</v>
      </c>
      <c r="AB99" s="19">
        <v>124595448.3699947</v>
      </c>
      <c r="AC99" s="19">
        <v>2399723</v>
      </c>
      <c r="AD99" s="19">
        <f t="shared" si="63"/>
        <v>36.965650168651479</v>
      </c>
      <c r="AE99" s="19">
        <f t="shared" si="64"/>
        <v>37.207689671510948</v>
      </c>
      <c r="AF99" s="19">
        <f t="shared" si="65"/>
        <v>37.917859378145224</v>
      </c>
      <c r="AG99" s="19">
        <f t="shared" si="66"/>
        <v>35.483870967741936</v>
      </c>
      <c r="AH99" s="19">
        <f t="shared" si="67"/>
        <v>35.696428429603507</v>
      </c>
      <c r="AI99" s="19">
        <f t="shared" si="68"/>
        <v>33.387589201380294</v>
      </c>
      <c r="AJ99" s="19">
        <f t="shared" si="69"/>
        <v>35.140562248995984</v>
      </c>
      <c r="AK99" s="19">
        <f t="shared" si="70"/>
        <v>35.605899719319297</v>
      </c>
      <c r="AL99" s="19">
        <f t="shared" si="71"/>
        <v>33.489920943592871</v>
      </c>
      <c r="AM99" s="19">
        <f t="shared" si="72"/>
        <v>10.893346221989297</v>
      </c>
      <c r="AN99" s="19">
        <f t="shared" si="73"/>
        <v>45.55985814650181</v>
      </c>
      <c r="AO99" s="19">
        <f t="shared" si="74"/>
        <v>31.21726654878</v>
      </c>
      <c r="AP99" s="19">
        <f t="shared" si="75"/>
        <v>84</v>
      </c>
      <c r="AQ99" s="19">
        <f t="shared" si="52"/>
        <v>84</v>
      </c>
      <c r="AR99" s="19" t="e">
        <f>(#REF!-MIN(#REF!))/(MAX(#REF!)-MIN(#REF!))*100</f>
        <v>#REF!</v>
      </c>
      <c r="AS99" s="19" t="e">
        <f t="shared" si="53"/>
        <v>#REF!</v>
      </c>
      <c r="AT99" s="19">
        <f t="shared" si="54"/>
        <v>49.736041564306547</v>
      </c>
      <c r="AU99" s="19">
        <f t="shared" si="55"/>
        <v>53.750461905140781</v>
      </c>
      <c r="AV99" s="19">
        <f t="shared" si="56"/>
        <v>3.735816894886971</v>
      </c>
      <c r="AW99" s="19">
        <f t="shared" si="57"/>
        <v>47.972723921857721</v>
      </c>
      <c r="AX99" s="19">
        <f t="shared" si="58"/>
        <v>49.275899086151554</v>
      </c>
      <c r="AY99" s="19">
        <f t="shared" si="59"/>
        <v>32.605453950728958</v>
      </c>
      <c r="AZ99" s="19">
        <f t="shared" si="60"/>
        <v>48.303370614731932</v>
      </c>
      <c r="BA99" s="19">
        <f t="shared" si="61"/>
        <v>22.596650703346164</v>
      </c>
      <c r="BB99" s="19">
        <f t="shared" si="62"/>
        <v>38.884018691619069</v>
      </c>
      <c r="BC99" s="20">
        <v>17</v>
      </c>
      <c r="BD99" s="43">
        <v>875991</v>
      </c>
      <c r="BE99">
        <v>5</v>
      </c>
      <c r="BF99">
        <v>1.4</v>
      </c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</row>
    <row r="100" spans="1:102" x14ac:dyDescent="0.35">
      <c r="A100" t="s">
        <v>2695</v>
      </c>
      <c r="B100" t="s">
        <v>2696</v>
      </c>
      <c r="C100" t="s">
        <v>2731</v>
      </c>
      <c r="D100" t="s">
        <v>2732</v>
      </c>
      <c r="E100" s="19">
        <v>2472</v>
      </c>
      <c r="F100" s="19">
        <v>1584.7565450796199</v>
      </c>
      <c r="G100" s="19">
        <v>0.64108274477331195</v>
      </c>
      <c r="H100" s="19">
        <v>355</v>
      </c>
      <c r="I100" s="19">
        <v>26181991.377999999</v>
      </c>
      <c r="J100" s="19">
        <v>73752.088000000003</v>
      </c>
      <c r="K100" s="19">
        <v>347</v>
      </c>
      <c r="L100" s="19">
        <v>25397278</v>
      </c>
      <c r="M100" s="19">
        <v>73191</v>
      </c>
      <c r="N100" s="19">
        <v>180545.81</v>
      </c>
      <c r="O100" s="19">
        <v>37361.64</v>
      </c>
      <c r="P100" s="19">
        <v>4298726.17</v>
      </c>
      <c r="Q100" s="19">
        <v>0.86</v>
      </c>
      <c r="R100" s="19">
        <v>64045744.359999999</v>
      </c>
      <c r="S100" s="19">
        <v>2535812.17</v>
      </c>
      <c r="T100" s="19">
        <f t="shared" si="51"/>
        <v>96.040623471020581</v>
      </c>
      <c r="U100" s="19">
        <v>18098</v>
      </c>
      <c r="V100" s="19">
        <v>69227399.480000004</v>
      </c>
      <c r="W100" s="19">
        <v>15029959.997</v>
      </c>
      <c r="X100" s="49">
        <v>7450</v>
      </c>
      <c r="Y100" s="19">
        <v>40338799</v>
      </c>
      <c r="Z100" s="19">
        <v>6641873</v>
      </c>
      <c r="AA100" s="19">
        <v>170078</v>
      </c>
      <c r="AB100" s="19">
        <v>23559629.47000001</v>
      </c>
      <c r="AC100" s="19">
        <v>300242</v>
      </c>
      <c r="AD100" s="19">
        <f t="shared" si="63"/>
        <v>16.982171129620706</v>
      </c>
      <c r="AE100" s="19">
        <f t="shared" si="64"/>
        <v>13.994128901823199</v>
      </c>
      <c r="AF100" s="19">
        <f t="shared" si="65"/>
        <v>25.398643164121083</v>
      </c>
      <c r="AG100" s="19">
        <f t="shared" si="66"/>
        <v>17.350928641251222</v>
      </c>
      <c r="AH100" s="19">
        <f t="shared" si="67"/>
        <v>19.602589403359115</v>
      </c>
      <c r="AI100" s="19">
        <f t="shared" si="68"/>
        <v>37.495746323337301</v>
      </c>
      <c r="AJ100" s="19">
        <f t="shared" si="69"/>
        <v>17.419678714859437</v>
      </c>
      <c r="AK100" s="19">
        <f t="shared" si="70"/>
        <v>19.611070029409333</v>
      </c>
      <c r="AL100" s="19">
        <f t="shared" si="71"/>
        <v>37.210401891252957</v>
      </c>
      <c r="AM100" s="19">
        <f t="shared" si="72"/>
        <v>1.9333156346520557</v>
      </c>
      <c r="AN100" s="19">
        <f t="shared" si="73"/>
        <v>13.840551472866766</v>
      </c>
      <c r="AO100" s="19">
        <f t="shared" si="74"/>
        <v>17.467750793681091</v>
      </c>
      <c r="AP100" s="19">
        <f t="shared" si="75"/>
        <v>86</v>
      </c>
      <c r="AQ100" s="19">
        <f t="shared" si="52"/>
        <v>86</v>
      </c>
      <c r="AR100" s="19" t="e">
        <f>(#REF!-MIN(#REF!))/(MAX(#REF!)-MIN(#REF!))*100</f>
        <v>#REF!</v>
      </c>
      <c r="AS100" s="19" t="e">
        <f t="shared" si="53"/>
        <v>#REF!</v>
      </c>
      <c r="AT100" s="19">
        <f t="shared" si="54"/>
        <v>18.8471549984842</v>
      </c>
      <c r="AU100" s="19">
        <f t="shared" si="55"/>
        <v>12.589543924181953</v>
      </c>
      <c r="AV100" s="19">
        <f t="shared" si="56"/>
        <v>1.4675591728458186</v>
      </c>
      <c r="AW100" s="19">
        <f t="shared" si="57"/>
        <v>19.553999262808698</v>
      </c>
      <c r="AX100" s="19">
        <f t="shared" si="58"/>
        <v>12.522560366982965</v>
      </c>
      <c r="AY100" s="19">
        <f t="shared" si="59"/>
        <v>8.8144408368921479</v>
      </c>
      <c r="AZ100" s="19">
        <f t="shared" si="60"/>
        <v>7.0254782623427579</v>
      </c>
      <c r="BA100" s="19">
        <f t="shared" si="61"/>
        <v>4.2727782178121423</v>
      </c>
      <c r="BB100" s="19">
        <f t="shared" si="62"/>
        <v>4.864063161831452</v>
      </c>
      <c r="BC100" s="20">
        <v>4.8</v>
      </c>
      <c r="BD100" s="43">
        <v>244189</v>
      </c>
      <c r="BE100">
        <v>1</v>
      </c>
      <c r="BF100">
        <v>0.1</v>
      </c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</row>
    <row r="101" spans="1:102" x14ac:dyDescent="0.35">
      <c r="A101" t="s">
        <v>2695</v>
      </c>
      <c r="B101" t="s">
        <v>2696</v>
      </c>
      <c r="C101" t="s">
        <v>2733</v>
      </c>
      <c r="D101" t="s">
        <v>2734</v>
      </c>
      <c r="E101" s="19">
        <v>1130</v>
      </c>
      <c r="F101" s="19">
        <v>907.40139942169196</v>
      </c>
      <c r="G101" s="19">
        <v>0.80301008798379803</v>
      </c>
      <c r="H101" s="19">
        <v>153</v>
      </c>
      <c r="I101" s="19">
        <v>12887514.85</v>
      </c>
      <c r="J101" s="19">
        <v>84232.123000000007</v>
      </c>
      <c r="K101" s="19">
        <v>146</v>
      </c>
      <c r="L101" s="19">
        <v>12010596</v>
      </c>
      <c r="M101" s="19">
        <v>82264</v>
      </c>
      <c r="N101" s="19">
        <v>431288.71</v>
      </c>
      <c r="O101" s="19">
        <v>37583.620000000003</v>
      </c>
      <c r="P101" s="19">
        <v>3371843.28</v>
      </c>
      <c r="Q101" s="19">
        <v>0.89</v>
      </c>
      <c r="R101" s="19">
        <v>32531543.059999999</v>
      </c>
      <c r="S101" s="19">
        <v>1206769.1499999999</v>
      </c>
      <c r="T101" s="19">
        <f t="shared" si="51"/>
        <v>96.290464464675779</v>
      </c>
      <c r="U101" s="19">
        <v>9285</v>
      </c>
      <c r="V101" s="19">
        <v>57625648.799999997</v>
      </c>
      <c r="W101" s="19">
        <v>20966871.737</v>
      </c>
      <c r="X101" s="49">
        <v>4220</v>
      </c>
      <c r="Y101" s="19">
        <v>36089485</v>
      </c>
      <c r="Z101" s="19">
        <v>3619445</v>
      </c>
      <c r="AA101" s="19">
        <v>417239</v>
      </c>
      <c r="AB101" s="19">
        <v>77481165.787998199</v>
      </c>
      <c r="AC101" s="19">
        <v>785766</v>
      </c>
      <c r="AD101" s="19">
        <f t="shared" si="63"/>
        <v>7.7442004543264265</v>
      </c>
      <c r="AE101" s="19">
        <f t="shared" si="64"/>
        <v>8.0034346987583458</v>
      </c>
      <c r="AF101" s="19">
        <f t="shared" si="65"/>
        <v>39.667337363205959</v>
      </c>
      <c r="AG101" s="19">
        <f t="shared" si="66"/>
        <v>7.4780058651026398</v>
      </c>
      <c r="AH101" s="19">
        <f t="shared" si="67"/>
        <v>9.6489475680799472</v>
      </c>
      <c r="AI101" s="19">
        <f t="shared" si="68"/>
        <v>42.823822374820708</v>
      </c>
      <c r="AJ101" s="19">
        <f t="shared" si="69"/>
        <v>7.3293172690763049</v>
      </c>
      <c r="AK101" s="19">
        <f t="shared" si="70"/>
        <v>9.2742473918245736</v>
      </c>
      <c r="AL101" s="19">
        <f t="shared" si="71"/>
        <v>41.823127176593204</v>
      </c>
      <c r="AM101" s="19">
        <f t="shared" si="72"/>
        <v>4.6183138013112375</v>
      </c>
      <c r="AN101" s="19">
        <f t="shared" si="73"/>
        <v>13.922783559465399</v>
      </c>
      <c r="AO101" s="19">
        <f t="shared" si="74"/>
        <v>13.701388690777726</v>
      </c>
      <c r="AP101" s="19">
        <f t="shared" si="75"/>
        <v>89</v>
      </c>
      <c r="AQ101" s="19">
        <f t="shared" si="52"/>
        <v>89</v>
      </c>
      <c r="AR101" s="19" t="e">
        <f>(#REF!-MIN(#REF!))/(MAX(#REF!)-MIN(#REF!))*100</f>
        <v>#REF!</v>
      </c>
      <c r="AS101" s="19" t="e">
        <f t="shared" si="53"/>
        <v>#REF!</v>
      </c>
      <c r="AT101" s="19">
        <f t="shared" si="54"/>
        <v>9.6342215578251906</v>
      </c>
      <c r="AU101" s="19">
        <f t="shared" si="55"/>
        <v>10.476143068728563</v>
      </c>
      <c r="AV101" s="19">
        <f t="shared" si="56"/>
        <v>2.0472591356831016</v>
      </c>
      <c r="AW101" s="19">
        <f t="shared" si="57"/>
        <v>11.049971038913171</v>
      </c>
      <c r="AX101" s="19">
        <f t="shared" si="58"/>
        <v>11.201435797418872</v>
      </c>
      <c r="AY101" s="19">
        <f t="shared" si="59"/>
        <v>4.8032694884300264</v>
      </c>
      <c r="AZ101" s="19">
        <f t="shared" si="60"/>
        <v>17.238476849569619</v>
      </c>
      <c r="BA101" s="19">
        <f t="shared" si="61"/>
        <v>14.051996780815667</v>
      </c>
      <c r="BB101" s="19">
        <f t="shared" si="62"/>
        <v>12.731486057606459</v>
      </c>
      <c r="BC101" s="20">
        <v>2.8</v>
      </c>
      <c r="BD101" s="43">
        <v>135692</v>
      </c>
      <c r="BE101">
        <v>1</v>
      </c>
      <c r="BF101">
        <v>0.4</v>
      </c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</row>
    <row r="102" spans="1:102" x14ac:dyDescent="0.35">
      <c r="A102" t="s">
        <v>2695</v>
      </c>
      <c r="B102" t="s">
        <v>2696</v>
      </c>
      <c r="C102" t="s">
        <v>2735</v>
      </c>
      <c r="D102" t="s">
        <v>2736</v>
      </c>
      <c r="E102" s="19">
        <v>1065</v>
      </c>
      <c r="F102" s="19">
        <v>1033.09450798187</v>
      </c>
      <c r="G102" s="19">
        <v>0.97004179153227899</v>
      </c>
      <c r="H102" s="19">
        <v>289</v>
      </c>
      <c r="I102" s="19">
        <v>23910950.396000002</v>
      </c>
      <c r="J102" s="19">
        <v>82736.853000000003</v>
      </c>
      <c r="K102" s="19">
        <v>278</v>
      </c>
      <c r="L102" s="19">
        <v>22543557</v>
      </c>
      <c r="M102" s="19">
        <v>81092</v>
      </c>
      <c r="N102" s="19">
        <v>182304.74</v>
      </c>
      <c r="O102" s="19">
        <v>11476.17</v>
      </c>
      <c r="P102" s="19">
        <v>2550023.4900000002</v>
      </c>
      <c r="Q102" s="19">
        <v>0.83</v>
      </c>
      <c r="R102" s="19">
        <v>37429062.479999997</v>
      </c>
      <c r="S102" s="19">
        <v>664951.26</v>
      </c>
      <c r="T102" s="19">
        <f t="shared" si="51"/>
        <v>98.223435972099722</v>
      </c>
      <c r="U102" s="19">
        <v>14659</v>
      </c>
      <c r="V102" s="19">
        <v>78668225</v>
      </c>
      <c r="W102" s="19">
        <v>200097580.80899999</v>
      </c>
      <c r="X102" s="49">
        <v>5734</v>
      </c>
      <c r="Y102" s="19">
        <v>42947435</v>
      </c>
      <c r="Z102" s="19">
        <v>18457311</v>
      </c>
      <c r="AA102" s="19">
        <v>466935</v>
      </c>
      <c r="AB102" s="19">
        <v>39035211.788000278</v>
      </c>
      <c r="AC102" s="19">
        <v>923951</v>
      </c>
      <c r="AD102" s="19">
        <f t="shared" si="63"/>
        <v>7.2967577614097889</v>
      </c>
      <c r="AE102" s="19">
        <f t="shared" si="64"/>
        <v>9.1150952237334213</v>
      </c>
      <c r="AF102" s="19">
        <f t="shared" si="65"/>
        <v>54.385816974073421</v>
      </c>
      <c r="AG102" s="19">
        <f t="shared" si="66"/>
        <v>14.12512218963832</v>
      </c>
      <c r="AH102" s="19">
        <f t="shared" si="67"/>
        <v>17.902249530596233</v>
      </c>
      <c r="AI102" s="19">
        <f t="shared" si="68"/>
        <v>42.063623360456575</v>
      </c>
      <c r="AJ102" s="19">
        <f t="shared" si="69"/>
        <v>13.95582329317269</v>
      </c>
      <c r="AK102" s="19">
        <f t="shared" si="70"/>
        <v>17.407506231139454</v>
      </c>
      <c r="AL102" s="19">
        <f t="shared" si="71"/>
        <v>41.227280815475737</v>
      </c>
      <c r="AM102" s="19">
        <f t="shared" si="72"/>
        <v>1.952150560088755</v>
      </c>
      <c r="AN102" s="19">
        <f t="shared" si="73"/>
        <v>4.2513262693064169</v>
      </c>
      <c r="AO102" s="19">
        <f t="shared" si="74"/>
        <v>10.361947488586585</v>
      </c>
      <c r="AP102" s="19">
        <f t="shared" si="75"/>
        <v>83</v>
      </c>
      <c r="AQ102" s="19">
        <f t="shared" si="52"/>
        <v>83</v>
      </c>
      <c r="AR102" s="19" t="e">
        <f>(#REF!-MIN(#REF!))/(MAX(#REF!)-MIN(#REF!))*100</f>
        <v>#REF!</v>
      </c>
      <c r="AS102" s="19" t="e">
        <f t="shared" si="53"/>
        <v>#REF!</v>
      </c>
      <c r="AT102" s="19">
        <f t="shared" si="54"/>
        <v>15.252093373336539</v>
      </c>
      <c r="AU102" s="19">
        <f t="shared" si="55"/>
        <v>14.30930581878545</v>
      </c>
      <c r="AV102" s="19">
        <f t="shared" si="56"/>
        <v>19.538182016078583</v>
      </c>
      <c r="AW102" s="19">
        <f t="shared" si="57"/>
        <v>15.036069717234479</v>
      </c>
      <c r="AX102" s="19">
        <f t="shared" si="58"/>
        <v>13.333593186080209</v>
      </c>
      <c r="AY102" s="19">
        <f t="shared" si="59"/>
        <v>24.495127481910846</v>
      </c>
      <c r="AZ102" s="19">
        <f t="shared" si="60"/>
        <v>19.291977109686815</v>
      </c>
      <c r="BA102" s="19">
        <f t="shared" si="61"/>
        <v>7.0794323343596837</v>
      </c>
      <c r="BB102" s="19">
        <f t="shared" si="62"/>
        <v>14.970633520662185</v>
      </c>
      <c r="BC102" s="20">
        <v>4.5</v>
      </c>
      <c r="BD102" s="43">
        <v>263946</v>
      </c>
      <c r="BE102">
        <v>2</v>
      </c>
      <c r="BF102">
        <v>1.8</v>
      </c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</row>
    <row r="103" spans="1:102" x14ac:dyDescent="0.35">
      <c r="A103" t="s">
        <v>2695</v>
      </c>
      <c r="B103" t="s">
        <v>2696</v>
      </c>
      <c r="C103" t="s">
        <v>2737</v>
      </c>
      <c r="D103" t="s">
        <v>2738</v>
      </c>
      <c r="E103" s="19">
        <v>937</v>
      </c>
      <c r="F103" s="19">
        <v>844.0502510553091</v>
      </c>
      <c r="G103" s="19">
        <v>0.90080069482957204</v>
      </c>
      <c r="H103" s="19">
        <v>236</v>
      </c>
      <c r="I103" s="19">
        <v>16211288.036</v>
      </c>
      <c r="J103" s="19">
        <v>68691.898000000001</v>
      </c>
      <c r="K103" s="19">
        <v>224</v>
      </c>
      <c r="L103" s="19">
        <v>15794274</v>
      </c>
      <c r="M103" s="19">
        <v>70510</v>
      </c>
      <c r="N103" s="19">
        <v>52300.27</v>
      </c>
      <c r="O103" s="19">
        <v>178.85</v>
      </c>
      <c r="P103" s="19">
        <v>2628561.5299999998</v>
      </c>
      <c r="Q103" s="19">
        <v>0.82</v>
      </c>
      <c r="R103" s="19">
        <v>33662241.439999998</v>
      </c>
      <c r="S103" s="19">
        <v>846188.43</v>
      </c>
      <c r="T103" s="19">
        <f t="shared" si="51"/>
        <v>97.486238605030934</v>
      </c>
      <c r="U103" s="19">
        <v>14059</v>
      </c>
      <c r="V103" s="19">
        <v>80023804.069999993</v>
      </c>
      <c r="W103" s="19">
        <v>24294392.140999999</v>
      </c>
      <c r="X103" s="49">
        <v>5307</v>
      </c>
      <c r="Y103" s="19">
        <v>42349158</v>
      </c>
      <c r="Z103" s="19">
        <v>11564883</v>
      </c>
      <c r="AA103" s="19">
        <v>572993</v>
      </c>
      <c r="AB103" s="19">
        <v>73469568.499998197</v>
      </c>
      <c r="AC103" s="19">
        <v>1240093</v>
      </c>
      <c r="AD103" s="19">
        <f t="shared" si="63"/>
        <v>6.4156398430508705</v>
      </c>
      <c r="AE103" s="19">
        <f t="shared" si="64"/>
        <v>7.4431416830356127</v>
      </c>
      <c r="AF103" s="19">
        <f t="shared" si="65"/>
        <v>48.284438323181</v>
      </c>
      <c r="AG103" s="19">
        <f t="shared" si="66"/>
        <v>11.534701857282501</v>
      </c>
      <c r="AH103" s="19">
        <f t="shared" si="67"/>
        <v>12.137473367908925</v>
      </c>
      <c r="AI103" s="19">
        <f t="shared" si="68"/>
        <v>34.923133049149214</v>
      </c>
      <c r="AJ103" s="19">
        <f t="shared" si="69"/>
        <v>11.244979919678714</v>
      </c>
      <c r="AK103" s="19">
        <f t="shared" si="70"/>
        <v>12.19589805953532</v>
      </c>
      <c r="AL103" s="19">
        <f t="shared" si="71"/>
        <v>35.84737792013015</v>
      </c>
      <c r="AM103" s="19">
        <f t="shared" si="72"/>
        <v>0.56004030050613662</v>
      </c>
      <c r="AN103" s="19">
        <f t="shared" si="73"/>
        <v>6.6254656672518147E-2</v>
      </c>
      <c r="AO103" s="19">
        <f t="shared" si="74"/>
        <v>10.681084566942092</v>
      </c>
      <c r="AP103" s="19">
        <f t="shared" si="75"/>
        <v>82</v>
      </c>
      <c r="AQ103" s="19">
        <f t="shared" si="52"/>
        <v>82</v>
      </c>
      <c r="AR103" s="19" t="e">
        <f>(#REF!-MIN(#REF!))/(MAX(#REF!)-MIN(#REF!))*100</f>
        <v>#REF!</v>
      </c>
      <c r="AS103" s="19" t="e">
        <f t="shared" si="53"/>
        <v>#REF!</v>
      </c>
      <c r="AT103" s="19">
        <f t="shared" si="54"/>
        <v>14.624865407332294</v>
      </c>
      <c r="AU103" s="19">
        <f t="shared" si="55"/>
        <v>14.556241134428063</v>
      </c>
      <c r="AV103" s="19">
        <f t="shared" si="56"/>
        <v>2.3721693817867604</v>
      </c>
      <c r="AW103" s="19">
        <f t="shared" si="57"/>
        <v>13.911852982991944</v>
      </c>
      <c r="AX103" s="19">
        <f t="shared" si="58"/>
        <v>13.147587058007515</v>
      </c>
      <c r="AY103" s="19">
        <f t="shared" si="59"/>
        <v>15.347941936072177</v>
      </c>
      <c r="AZ103" s="19">
        <f t="shared" si="60"/>
        <v>23.674425004638309</v>
      </c>
      <c r="BA103" s="19">
        <f t="shared" si="61"/>
        <v>13.324452846704693</v>
      </c>
      <c r="BB103" s="19">
        <f t="shared" si="62"/>
        <v>20.093393279430241</v>
      </c>
      <c r="BC103" s="20">
        <v>4</v>
      </c>
      <c r="BD103" s="43">
        <v>227483</v>
      </c>
      <c r="BE103">
        <v>0</v>
      </c>
      <c r="BF103">
        <v>0</v>
      </c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</row>
    <row r="104" spans="1:102" x14ac:dyDescent="0.35">
      <c r="A104" t="s">
        <v>2695</v>
      </c>
      <c r="B104" t="s">
        <v>2696</v>
      </c>
      <c r="C104" t="s">
        <v>2739</v>
      </c>
      <c r="D104" t="s">
        <v>2740</v>
      </c>
      <c r="E104" s="19">
        <v>3425</v>
      </c>
      <c r="F104" s="19">
        <v>4603.9395285536302</v>
      </c>
      <c r="G104" s="19">
        <v>1.3442159207455799</v>
      </c>
      <c r="H104" s="19">
        <v>764</v>
      </c>
      <c r="I104" s="19">
        <v>64545710.519000001</v>
      </c>
      <c r="J104" s="19">
        <v>84483.914000000004</v>
      </c>
      <c r="K104" s="19">
        <v>740</v>
      </c>
      <c r="L104" s="19">
        <v>62396932</v>
      </c>
      <c r="M104" s="19">
        <v>84320</v>
      </c>
      <c r="N104" s="19">
        <v>2435651.39</v>
      </c>
      <c r="O104" s="19">
        <v>19361.41</v>
      </c>
      <c r="P104" s="19">
        <v>6147517.4800000004</v>
      </c>
      <c r="Q104" s="19">
        <v>0.87</v>
      </c>
      <c r="R104" s="19">
        <v>109610090.92</v>
      </c>
      <c r="S104" s="19">
        <v>3450298.69</v>
      </c>
      <c r="T104" s="19">
        <f t="shared" si="51"/>
        <v>96.852207072323083</v>
      </c>
      <c r="U104" s="19">
        <v>37356</v>
      </c>
      <c r="V104" s="19">
        <v>99477834.170000002</v>
      </c>
      <c r="W104" s="19">
        <v>622298200.13999999</v>
      </c>
      <c r="X104" s="49">
        <v>16639</v>
      </c>
      <c r="Y104" s="19">
        <v>57139867</v>
      </c>
      <c r="Z104" s="19">
        <v>75350428</v>
      </c>
      <c r="AA104" s="19">
        <v>1022711</v>
      </c>
      <c r="AB104" s="19">
        <v>130797571.0869956</v>
      </c>
      <c r="AC104" s="19">
        <v>2140181</v>
      </c>
      <c r="AD104" s="19">
        <f t="shared" si="63"/>
        <v>23.542369381152337</v>
      </c>
      <c r="AE104" s="19">
        <f t="shared" si="64"/>
        <v>40.696519978400254</v>
      </c>
      <c r="AF104" s="19">
        <f t="shared" si="65"/>
        <v>87.357247994302284</v>
      </c>
      <c r="AG104" s="19">
        <f t="shared" si="66"/>
        <v>37.341153470185731</v>
      </c>
      <c r="AH104" s="19">
        <f t="shared" si="67"/>
        <v>48.325700012077768</v>
      </c>
      <c r="AI104" s="19">
        <f t="shared" si="68"/>
        <v>42.951833550077183</v>
      </c>
      <c r="AJ104" s="19">
        <f t="shared" si="69"/>
        <v>37.148594377510044</v>
      </c>
      <c r="AK104" s="19">
        <f t="shared" si="70"/>
        <v>48.181171347271636</v>
      </c>
      <c r="AL104" s="19">
        <f t="shared" si="71"/>
        <v>42.868400315208824</v>
      </c>
      <c r="AM104" s="19">
        <f t="shared" si="72"/>
        <v>26.081374654161245</v>
      </c>
      <c r="AN104" s="19">
        <f t="shared" si="73"/>
        <v>7.1723990620400313</v>
      </c>
      <c r="AO104" s="19">
        <f t="shared" si="74"/>
        <v>24.980261382975787</v>
      </c>
      <c r="AP104" s="19">
        <f t="shared" si="75"/>
        <v>87</v>
      </c>
      <c r="AQ104" s="19">
        <f t="shared" si="52"/>
        <v>87</v>
      </c>
      <c r="AR104" s="19" t="e">
        <f>(#REF!-MIN(#REF!))/(MAX(#REF!)-MIN(#REF!))*100</f>
        <v>#REF!</v>
      </c>
      <c r="AS104" s="19" t="e">
        <f t="shared" si="53"/>
        <v>#REF!</v>
      </c>
      <c r="AT104" s="19">
        <f t="shared" si="54"/>
        <v>38.979081947333761</v>
      </c>
      <c r="AU104" s="19">
        <f t="shared" si="55"/>
        <v>18.10003077354105</v>
      </c>
      <c r="AV104" s="19">
        <f t="shared" si="56"/>
        <v>60.763265705137862</v>
      </c>
      <c r="AW104" s="19">
        <f t="shared" si="57"/>
        <v>43.747038070665049</v>
      </c>
      <c r="AX104" s="19">
        <f t="shared" si="58"/>
        <v>17.746063202903546</v>
      </c>
      <c r="AY104" s="19">
        <f t="shared" si="59"/>
        <v>100</v>
      </c>
      <c r="AZ104" s="19">
        <f t="shared" si="60"/>
        <v>42.25732966455832</v>
      </c>
      <c r="BA104" s="19">
        <f t="shared" si="61"/>
        <v>23.721468684169839</v>
      </c>
      <c r="BB104" s="19">
        <f t="shared" si="62"/>
        <v>34.678404400224132</v>
      </c>
      <c r="BC104" s="20">
        <v>11.6</v>
      </c>
      <c r="BD104" s="43">
        <v>868646</v>
      </c>
      <c r="BE104">
        <v>5</v>
      </c>
      <c r="BF104">
        <v>4.5999999999999996</v>
      </c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</row>
    <row r="105" spans="1:102" x14ac:dyDescent="0.35">
      <c r="A105" t="s">
        <v>2695</v>
      </c>
      <c r="B105" t="s">
        <v>2696</v>
      </c>
      <c r="C105" t="s">
        <v>2741</v>
      </c>
      <c r="D105" t="s">
        <v>2742</v>
      </c>
      <c r="E105" s="19">
        <v>779</v>
      </c>
      <c r="F105" s="19">
        <v>428.102816217221</v>
      </c>
      <c r="G105" s="19">
        <v>0.54955432120310799</v>
      </c>
      <c r="H105" s="19">
        <v>146</v>
      </c>
      <c r="I105" s="19">
        <v>9179741.4849999994</v>
      </c>
      <c r="J105" s="19">
        <v>62874.942000000003</v>
      </c>
      <c r="K105" s="19">
        <v>141</v>
      </c>
      <c r="L105" s="19">
        <v>8995583</v>
      </c>
      <c r="M105" s="19">
        <v>63798</v>
      </c>
      <c r="N105" s="19">
        <v>207756.71</v>
      </c>
      <c r="O105" s="19">
        <v>59812.03</v>
      </c>
      <c r="P105" s="19">
        <v>1349640.44</v>
      </c>
      <c r="Q105" s="19">
        <v>0.88</v>
      </c>
      <c r="R105" s="19">
        <v>23913831</v>
      </c>
      <c r="S105" s="19">
        <v>3337489.72</v>
      </c>
      <c r="T105" s="19">
        <f t="shared" si="51"/>
        <v>86.043684426807232</v>
      </c>
      <c r="U105" s="19">
        <v>8690</v>
      </c>
      <c r="V105" s="19">
        <v>35965421.780000001</v>
      </c>
      <c r="W105" s="19">
        <v>2998776.8369999998</v>
      </c>
      <c r="X105" s="49">
        <v>3705</v>
      </c>
      <c r="Y105" s="19">
        <v>21373470</v>
      </c>
      <c r="Z105" s="19">
        <v>2699287</v>
      </c>
      <c r="AA105" s="19">
        <v>130447</v>
      </c>
      <c r="AB105" s="19">
        <v>7706241.8999999408</v>
      </c>
      <c r="AC105" s="19">
        <v>217724</v>
      </c>
      <c r="AD105" s="19">
        <f t="shared" si="63"/>
        <v>5.3280099125765821</v>
      </c>
      <c r="AE105" s="19">
        <f t="shared" si="64"/>
        <v>3.764401065742621</v>
      </c>
      <c r="AF105" s="19">
        <f t="shared" si="65"/>
        <v>17.333352518612731</v>
      </c>
      <c r="AG105" s="19">
        <f t="shared" si="66"/>
        <v>7.1358748778103624</v>
      </c>
      <c r="AH105" s="19">
        <f t="shared" si="67"/>
        <v>6.8729188915187454</v>
      </c>
      <c r="AI105" s="19">
        <f t="shared" si="68"/>
        <v>31.965778044501551</v>
      </c>
      <c r="AJ105" s="19">
        <f t="shared" si="69"/>
        <v>7.0783132530120492</v>
      </c>
      <c r="AK105" s="19">
        <f t="shared" si="70"/>
        <v>6.9461384077602366</v>
      </c>
      <c r="AL105" s="19">
        <f t="shared" si="71"/>
        <v>32.434988179669034</v>
      </c>
      <c r="AM105" s="19">
        <f t="shared" si="72"/>
        <v>2.2246946392545639</v>
      </c>
      <c r="AN105" s="19">
        <f t="shared" si="73"/>
        <v>22.157257548428046</v>
      </c>
      <c r="AO105" s="19">
        <f t="shared" si="74"/>
        <v>5.4842253110981707</v>
      </c>
      <c r="AP105" s="19">
        <f t="shared" si="75"/>
        <v>88</v>
      </c>
      <c r="AQ105" s="19">
        <f t="shared" si="52"/>
        <v>88</v>
      </c>
      <c r="AR105" s="19" t="e">
        <f>(#REF!-MIN(#REF!))/(MAX(#REF!)-MIN(#REF!))*100</f>
        <v>#REF!</v>
      </c>
      <c r="AS105" s="19" t="e">
        <f t="shared" si="53"/>
        <v>#REF!</v>
      </c>
      <c r="AT105" s="19">
        <f t="shared" si="54"/>
        <v>9.0122204915376489</v>
      </c>
      <c r="AU105" s="19">
        <f t="shared" si="55"/>
        <v>6.5304676636971317</v>
      </c>
      <c r="AV105" s="19">
        <f t="shared" si="56"/>
        <v>0.29279412054599374</v>
      </c>
      <c r="AW105" s="19">
        <f t="shared" si="57"/>
        <v>9.6940656100258007</v>
      </c>
      <c r="AX105" s="19">
        <f t="shared" si="58"/>
        <v>6.6261822429454424</v>
      </c>
      <c r="AY105" s="19">
        <f t="shared" si="59"/>
        <v>3.5820951856316778</v>
      </c>
      <c r="AZ105" s="19">
        <f t="shared" si="60"/>
        <v>5.3878762660310908</v>
      </c>
      <c r="BA105" s="19">
        <f t="shared" si="61"/>
        <v>1.3976052795498821</v>
      </c>
      <c r="BB105" s="19">
        <f t="shared" si="62"/>
        <v>3.5269428495223556</v>
      </c>
      <c r="BC105" s="20">
        <v>2</v>
      </c>
      <c r="BD105" s="43">
        <v>83506</v>
      </c>
      <c r="BE105">
        <v>1</v>
      </c>
      <c r="BF105">
        <v>0.1</v>
      </c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</row>
    <row r="106" spans="1:102" x14ac:dyDescent="0.35">
      <c r="A106" t="s">
        <v>2695</v>
      </c>
      <c r="B106" t="s">
        <v>2696</v>
      </c>
      <c r="C106" t="s">
        <v>2743</v>
      </c>
      <c r="D106" t="s">
        <v>2744</v>
      </c>
      <c r="E106" s="19">
        <v>135</v>
      </c>
      <c r="F106" s="19">
        <v>76.339303279915001</v>
      </c>
      <c r="G106" s="19">
        <v>0.56547632059196307</v>
      </c>
      <c r="H106" s="19">
        <v>14</v>
      </c>
      <c r="I106" s="19">
        <v>438260.13299999997</v>
      </c>
      <c r="J106" s="19">
        <v>31304.294999999998</v>
      </c>
      <c r="K106" s="19">
        <v>13</v>
      </c>
      <c r="L106" s="19">
        <v>430510</v>
      </c>
      <c r="M106" s="19">
        <v>33116</v>
      </c>
      <c r="N106" s="19">
        <v>0</v>
      </c>
      <c r="O106" s="19">
        <v>0</v>
      </c>
      <c r="P106" s="19">
        <v>52587.64</v>
      </c>
      <c r="Q106" s="19">
        <v>0.9</v>
      </c>
      <c r="R106" s="19">
        <v>1450733.96</v>
      </c>
      <c r="S106" s="19">
        <v>50466.25</v>
      </c>
      <c r="T106" s="19">
        <f t="shared" si="51"/>
        <v>96.521329796401815</v>
      </c>
      <c r="U106" s="19">
        <v>1209</v>
      </c>
      <c r="V106" s="19">
        <v>6338760.2999999998</v>
      </c>
      <c r="W106" s="19">
        <v>750144.71600000001</v>
      </c>
      <c r="X106" s="49">
        <v>481</v>
      </c>
      <c r="Y106" s="19">
        <v>3717965</v>
      </c>
      <c r="Z106" s="19">
        <v>66549</v>
      </c>
      <c r="AA106" s="19">
        <v>13465</v>
      </c>
      <c r="AB106" s="19">
        <v>630397.07999999879</v>
      </c>
      <c r="AC106" s="19">
        <v>23174</v>
      </c>
      <c r="AD106" s="19">
        <f t="shared" si="63"/>
        <v>0.89488538583327604</v>
      </c>
      <c r="AE106" s="19">
        <f t="shared" si="64"/>
        <v>0.65331871653217832</v>
      </c>
      <c r="AF106" s="19">
        <f t="shared" si="65"/>
        <v>18.736365350252132</v>
      </c>
      <c r="AG106" s="19">
        <f t="shared" si="66"/>
        <v>0.68426197458455518</v>
      </c>
      <c r="AH106" s="19">
        <f t="shared" si="67"/>
        <v>0.32812757880133459</v>
      </c>
      <c r="AI106" s="19">
        <f t="shared" si="68"/>
        <v>15.915182010181411</v>
      </c>
      <c r="AJ106" s="19">
        <f t="shared" si="69"/>
        <v>0.65261044176706828</v>
      </c>
      <c r="AK106" s="19">
        <f t="shared" si="70"/>
        <v>0.33242781995617848</v>
      </c>
      <c r="AL106" s="19">
        <f t="shared" si="71"/>
        <v>16.836218510892497</v>
      </c>
      <c r="AM106" s="19">
        <f t="shared" si="72"/>
        <v>0</v>
      </c>
      <c r="AN106" s="19">
        <f t="shared" si="73"/>
        <v>0</v>
      </c>
      <c r="AO106" s="19">
        <f t="shared" si="74"/>
        <v>0.2136883704662248</v>
      </c>
      <c r="AP106" s="19">
        <f t="shared" si="75"/>
        <v>90</v>
      </c>
      <c r="AQ106" s="19">
        <f t="shared" si="52"/>
        <v>90</v>
      </c>
      <c r="AR106" s="19" t="e">
        <f>(#REF!-MIN(#REF!))/(MAX(#REF!)-MIN(#REF!))*100</f>
        <v>#REF!</v>
      </c>
      <c r="AS106" s="19" t="e">
        <f t="shared" si="53"/>
        <v>#REF!</v>
      </c>
      <c r="AT106" s="19">
        <f t="shared" si="54"/>
        <v>1.191733135408064</v>
      </c>
      <c r="AU106" s="19">
        <f t="shared" si="55"/>
        <v>1.133608737569954</v>
      </c>
      <c r="AV106" s="19">
        <f t="shared" si="56"/>
        <v>7.3230142830801911E-2</v>
      </c>
      <c r="AW106" s="19">
        <f t="shared" si="57"/>
        <v>1.2058343425833289</v>
      </c>
      <c r="AX106" s="19">
        <f t="shared" si="58"/>
        <v>1.1370323605028501</v>
      </c>
      <c r="AY106" s="19">
        <f t="shared" si="59"/>
        <v>8.8095251271797223E-2</v>
      </c>
      <c r="AZ106" s="19">
        <f t="shared" si="60"/>
        <v>0.55403516354739524</v>
      </c>
      <c r="BA106" s="19">
        <f t="shared" si="61"/>
        <v>0.11432891656578215</v>
      </c>
      <c r="BB106" s="19">
        <f t="shared" si="62"/>
        <v>0.37445785522129615</v>
      </c>
      <c r="BC106" s="20">
        <v>0.3</v>
      </c>
      <c r="BD106" s="43">
        <v>11341</v>
      </c>
      <c r="BE106">
        <v>0</v>
      </c>
      <c r="BF106">
        <v>0</v>
      </c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</row>
    <row r="107" spans="1:102" x14ac:dyDescent="0.35">
      <c r="A107" t="s">
        <v>2695</v>
      </c>
      <c r="B107" t="s">
        <v>2696</v>
      </c>
      <c r="C107" t="s">
        <v>2745</v>
      </c>
      <c r="D107" t="s">
        <v>2746</v>
      </c>
      <c r="E107" s="19">
        <v>2879</v>
      </c>
      <c r="F107" s="19">
        <v>1937.2961126795999</v>
      </c>
      <c r="G107" s="19">
        <v>0.67290590923223292</v>
      </c>
      <c r="H107" s="19">
        <v>462</v>
      </c>
      <c r="I107" s="19">
        <v>33480385.105</v>
      </c>
      <c r="J107" s="19">
        <v>72468.365999999995</v>
      </c>
      <c r="K107" s="19">
        <v>450</v>
      </c>
      <c r="L107" s="19">
        <v>32985079</v>
      </c>
      <c r="M107" s="19">
        <v>73300</v>
      </c>
      <c r="N107" s="19">
        <v>468174.17</v>
      </c>
      <c r="O107" s="19">
        <v>101800.55</v>
      </c>
      <c r="P107" s="19">
        <v>5227165</v>
      </c>
      <c r="Q107" s="19">
        <v>0.86</v>
      </c>
      <c r="R107" s="19">
        <v>91769786.859999999</v>
      </c>
      <c r="S107" s="19">
        <v>3589921.04</v>
      </c>
      <c r="T107" s="19">
        <f t="shared" si="51"/>
        <v>96.088123158140675</v>
      </c>
      <c r="U107" s="19">
        <v>28226</v>
      </c>
      <c r="V107" s="19">
        <v>150899926.25</v>
      </c>
      <c r="W107" s="19">
        <v>16990559.298999999</v>
      </c>
      <c r="X107" s="49">
        <v>12200</v>
      </c>
      <c r="Y107" s="19">
        <v>90694733</v>
      </c>
      <c r="Z107" s="19">
        <v>5284948</v>
      </c>
      <c r="AA107" s="19">
        <v>860828</v>
      </c>
      <c r="AB107" s="19">
        <v>119815296.8919953</v>
      </c>
      <c r="AC107" s="19">
        <v>1741167</v>
      </c>
      <c r="AD107" s="19">
        <f t="shared" si="63"/>
        <v>19.783850760652577</v>
      </c>
      <c r="AE107" s="19">
        <f t="shared" si="64"/>
        <v>17.112074867850822</v>
      </c>
      <c r="AF107" s="19">
        <f t="shared" si="65"/>
        <v>28.202832951396768</v>
      </c>
      <c r="AG107" s="19">
        <f t="shared" si="66"/>
        <v>22.58064516129032</v>
      </c>
      <c r="AH107" s="19">
        <f t="shared" si="67"/>
        <v>25.066933710440679</v>
      </c>
      <c r="AI107" s="19">
        <f t="shared" si="68"/>
        <v>36.843098842201755</v>
      </c>
      <c r="AJ107" s="19">
        <f t="shared" si="69"/>
        <v>22.590361445783135</v>
      </c>
      <c r="AK107" s="19">
        <f t="shared" si="70"/>
        <v>25.47015842385153</v>
      </c>
      <c r="AL107" s="19">
        <f t="shared" si="71"/>
        <v>37.265817636442208</v>
      </c>
      <c r="AM107" s="19">
        <f t="shared" si="72"/>
        <v>5.0132896609522497</v>
      </c>
      <c r="AN107" s="19">
        <f t="shared" si="73"/>
        <v>37.711828288082287</v>
      </c>
      <c r="AO107" s="19">
        <f t="shared" si="74"/>
        <v>21.240435414254829</v>
      </c>
      <c r="AP107" s="19">
        <f t="shared" si="75"/>
        <v>86</v>
      </c>
      <c r="AQ107" s="19">
        <f t="shared" si="52"/>
        <v>86</v>
      </c>
      <c r="AR107" s="19" t="e">
        <f>(#REF!-MIN(#REF!))/(MAX(#REF!)-MIN(#REF!))*100</f>
        <v>#REF!</v>
      </c>
      <c r="AS107" s="19" t="e">
        <f t="shared" si="53"/>
        <v>#REF!</v>
      </c>
      <c r="AT107" s="19">
        <f t="shared" si="54"/>
        <v>29.434763064635845</v>
      </c>
      <c r="AU107" s="19">
        <f t="shared" si="55"/>
        <v>27.467194091265018</v>
      </c>
      <c r="AV107" s="19">
        <f t="shared" si="56"/>
        <v>1.6589986606270879</v>
      </c>
      <c r="AW107" s="19">
        <f t="shared" si="57"/>
        <v>32.059923121478597</v>
      </c>
      <c r="AX107" s="19">
        <f t="shared" si="58"/>
        <v>28.178372488833169</v>
      </c>
      <c r="AY107" s="19">
        <f t="shared" si="59"/>
        <v>7.0136175643404224</v>
      </c>
      <c r="AZ107" s="19">
        <f t="shared" si="60"/>
        <v>35.568123639756486</v>
      </c>
      <c r="BA107" s="19">
        <f t="shared" si="61"/>
        <v>21.729721656815691</v>
      </c>
      <c r="BB107" s="19">
        <f t="shared" si="62"/>
        <v>28.212788118980018</v>
      </c>
      <c r="BC107" s="20">
        <v>9.6</v>
      </c>
      <c r="BD107" s="43">
        <v>444111</v>
      </c>
      <c r="BE107">
        <v>1</v>
      </c>
      <c r="BF107">
        <v>0.8</v>
      </c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</row>
    <row r="108" spans="1:102" x14ac:dyDescent="0.35">
      <c r="A108" t="s">
        <v>2695</v>
      </c>
      <c r="B108" t="s">
        <v>2696</v>
      </c>
      <c r="C108" t="s">
        <v>2747</v>
      </c>
      <c r="D108" t="s">
        <v>2748</v>
      </c>
      <c r="E108" s="19">
        <v>139</v>
      </c>
      <c r="F108" s="19">
        <v>132.32021769960701</v>
      </c>
      <c r="G108" s="19">
        <v>0.95194401222739211</v>
      </c>
      <c r="H108" s="19">
        <v>17</v>
      </c>
      <c r="I108" s="19">
        <v>1295788.1580000001</v>
      </c>
      <c r="J108" s="19">
        <v>76222.832999999999</v>
      </c>
      <c r="K108" s="19">
        <v>17</v>
      </c>
      <c r="L108" s="19">
        <v>1295788</v>
      </c>
      <c r="M108" s="19">
        <v>76223</v>
      </c>
      <c r="N108" s="19">
        <v>0</v>
      </c>
      <c r="O108" s="19">
        <v>0</v>
      </c>
      <c r="P108" s="19">
        <v>172228.71</v>
      </c>
      <c r="Q108" s="19">
        <v>0.86</v>
      </c>
      <c r="R108" s="19">
        <v>4171436.11</v>
      </c>
      <c r="S108" s="19">
        <v>836864.61</v>
      </c>
      <c r="T108" s="19">
        <f t="shared" si="51"/>
        <v>79.93821341303007</v>
      </c>
      <c r="U108" s="19">
        <v>1160</v>
      </c>
      <c r="V108" s="19">
        <v>7594626.6500000004</v>
      </c>
      <c r="W108" s="19">
        <v>4058869.28</v>
      </c>
      <c r="X108" s="49">
        <v>549</v>
      </c>
      <c r="Y108" s="19">
        <v>5581919</v>
      </c>
      <c r="Z108" s="19">
        <v>2853695</v>
      </c>
      <c r="AA108" s="19">
        <v>27356</v>
      </c>
      <c r="AB108" s="19">
        <v>1863702.689999999</v>
      </c>
      <c r="AC108" s="19">
        <v>51801</v>
      </c>
      <c r="AD108" s="19">
        <f t="shared" si="63"/>
        <v>0.9224203207819921</v>
      </c>
      <c r="AE108" s="19">
        <f t="shared" si="64"/>
        <v>1.1484275846733845</v>
      </c>
      <c r="AF108" s="19">
        <f t="shared" si="65"/>
        <v>52.791079028868651</v>
      </c>
      <c r="AG108" s="19">
        <f t="shared" si="66"/>
        <v>0.83088954056695985</v>
      </c>
      <c r="AH108" s="19">
        <f t="shared" si="67"/>
        <v>0.97016314948268689</v>
      </c>
      <c r="AI108" s="19">
        <f t="shared" si="68"/>
        <v>38.751879271731305</v>
      </c>
      <c r="AJ108" s="19">
        <f t="shared" si="69"/>
        <v>0.85341365461847396</v>
      </c>
      <c r="AK108" s="19">
        <f t="shared" si="70"/>
        <v>1.0005713687611824</v>
      </c>
      <c r="AL108" s="19">
        <f t="shared" si="71"/>
        <v>38.751874729911798</v>
      </c>
      <c r="AM108" s="19">
        <f t="shared" si="72"/>
        <v>0</v>
      </c>
      <c r="AN108" s="19">
        <f t="shared" si="73"/>
        <v>0</v>
      </c>
      <c r="AO108" s="19">
        <f t="shared" si="74"/>
        <v>0.69984643515852762</v>
      </c>
      <c r="AP108" s="19">
        <f t="shared" si="75"/>
        <v>86</v>
      </c>
      <c r="AQ108" s="19">
        <f t="shared" si="52"/>
        <v>86</v>
      </c>
      <c r="AR108" s="19" t="e">
        <f>(#REF!-MIN(#REF!))/(MAX(#REF!)-MIN(#REF!))*100</f>
        <v>#REF!</v>
      </c>
      <c r="AS108" s="19" t="e">
        <f t="shared" si="53"/>
        <v>#REF!</v>
      </c>
      <c r="AT108" s="19">
        <f t="shared" si="54"/>
        <v>1.1405095181843841</v>
      </c>
      <c r="AU108" s="19">
        <f t="shared" si="55"/>
        <v>1.3623801610931776</v>
      </c>
      <c r="AV108" s="19">
        <f t="shared" si="56"/>
        <v>0.39630510011315578</v>
      </c>
      <c r="AW108" s="19">
        <f t="shared" si="57"/>
        <v>1.3848665157179716</v>
      </c>
      <c r="AX108" s="19">
        <f t="shared" si="58"/>
        <v>1.7165412944007137</v>
      </c>
      <c r="AY108" s="19">
        <f t="shared" si="59"/>
        <v>3.7870155164297445</v>
      </c>
      <c r="AZ108" s="19">
        <f t="shared" si="60"/>
        <v>1.128028485208856</v>
      </c>
      <c r="BA108" s="19">
        <f t="shared" si="61"/>
        <v>0.33800142181564996</v>
      </c>
      <c r="BB108" s="19">
        <f t="shared" si="62"/>
        <v>0.83832929151971014</v>
      </c>
      <c r="BC108" s="20">
        <v>0.3</v>
      </c>
      <c r="BD108" s="43">
        <v>13575</v>
      </c>
      <c r="BE108">
        <v>0</v>
      </c>
      <c r="BF108">
        <v>0</v>
      </c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</row>
    <row r="109" spans="1:102" x14ac:dyDescent="0.35">
      <c r="A109" t="s">
        <v>2695</v>
      </c>
      <c r="B109" t="s">
        <v>2696</v>
      </c>
      <c r="C109" t="s">
        <v>2749</v>
      </c>
      <c r="D109" t="s">
        <v>2750</v>
      </c>
      <c r="E109" s="19">
        <v>55</v>
      </c>
      <c r="F109" s="19">
        <v>25.019249069444299</v>
      </c>
      <c r="G109" s="19">
        <v>0.45489543762626095</v>
      </c>
      <c r="H109" s="19">
        <v>1</v>
      </c>
      <c r="I109" s="19">
        <v>17070.332999999999</v>
      </c>
      <c r="J109" s="19">
        <v>17070.332999999999</v>
      </c>
      <c r="K109" s="19">
        <v>1</v>
      </c>
      <c r="L109" s="19">
        <v>17070</v>
      </c>
      <c r="M109" s="19">
        <v>17070</v>
      </c>
      <c r="N109" s="19">
        <v>0</v>
      </c>
      <c r="O109" s="19">
        <v>0</v>
      </c>
      <c r="P109" s="19">
        <v>0</v>
      </c>
      <c r="Q109" s="19">
        <v>1</v>
      </c>
      <c r="R109" s="19">
        <v>51806.13</v>
      </c>
      <c r="S109" s="19">
        <v>0</v>
      </c>
      <c r="T109" s="19">
        <f t="shared" si="51"/>
        <v>50</v>
      </c>
      <c r="U109" s="19">
        <v>763</v>
      </c>
      <c r="V109" s="19">
        <v>5091639.6399999997</v>
      </c>
      <c r="W109" s="19">
        <v>135585.226</v>
      </c>
      <c r="X109" s="49">
        <v>315</v>
      </c>
      <c r="Y109" s="19">
        <v>2543153</v>
      </c>
      <c r="Z109" s="19">
        <v>112491</v>
      </c>
      <c r="AA109" s="19">
        <v>511</v>
      </c>
      <c r="AB109" s="19">
        <v>24384.699999999899</v>
      </c>
      <c r="AC109" s="19">
        <v>724</v>
      </c>
      <c r="AD109" s="19">
        <f t="shared" si="63"/>
        <v>0.34418668685895226</v>
      </c>
      <c r="AE109" s="19">
        <f t="shared" si="64"/>
        <v>0.19943163347028481</v>
      </c>
      <c r="AF109" s="19">
        <f t="shared" si="65"/>
        <v>8.9922123738682131</v>
      </c>
      <c r="AG109" s="19">
        <f t="shared" si="66"/>
        <v>4.8875855327468229E-2</v>
      </c>
      <c r="AH109" s="19">
        <f t="shared" si="67"/>
        <v>1.2780644678494E-2</v>
      </c>
      <c r="AI109" s="19">
        <f t="shared" si="68"/>
        <v>8.6786000665214171</v>
      </c>
      <c r="AJ109" s="19">
        <f t="shared" si="69"/>
        <v>5.0200803212851398E-2</v>
      </c>
      <c r="AK109" s="19">
        <f t="shared" si="70"/>
        <v>1.3180978111198267E-2</v>
      </c>
      <c r="AL109" s="19">
        <f t="shared" si="71"/>
        <v>8.6784107374361312</v>
      </c>
      <c r="AM109" s="19">
        <f t="shared" si="72"/>
        <v>0</v>
      </c>
      <c r="AN109" s="19">
        <f t="shared" si="73"/>
        <v>0</v>
      </c>
      <c r="AO109" s="19">
        <f t="shared" si="74"/>
        <v>0</v>
      </c>
      <c r="AP109" s="19">
        <f t="shared" si="75"/>
        <v>100</v>
      </c>
      <c r="AQ109" s="19">
        <f t="shared" si="52"/>
        <v>100</v>
      </c>
      <c r="AR109" s="19" t="e">
        <f>(#REF!-MIN(#REF!))/(MAX(#REF!)-MIN(#REF!))*100</f>
        <v>#REF!</v>
      </c>
      <c r="AS109" s="19" t="e">
        <f t="shared" si="53"/>
        <v>#REF!</v>
      </c>
      <c r="AT109" s="19">
        <f t="shared" si="54"/>
        <v>0.72549368067824249</v>
      </c>
      <c r="AU109" s="19">
        <f t="shared" si="55"/>
        <v>0.90643044850008403</v>
      </c>
      <c r="AV109" s="19">
        <f t="shared" si="56"/>
        <v>1.322249422218379E-2</v>
      </c>
      <c r="AW109" s="19">
        <f t="shared" si="57"/>
        <v>0.76878521404875988</v>
      </c>
      <c r="AX109" s="19">
        <f t="shared" si="58"/>
        <v>0.77177975789011555</v>
      </c>
      <c r="AY109" s="19">
        <f t="shared" si="59"/>
        <v>0.14906650818545961</v>
      </c>
      <c r="AZ109" s="19">
        <f t="shared" si="60"/>
        <v>1.8759842202455058E-2</v>
      </c>
      <c r="BA109" s="19">
        <f t="shared" si="61"/>
        <v>4.4224131428109116E-3</v>
      </c>
      <c r="BB109" s="19">
        <f t="shared" si="62"/>
        <v>1.0678425141323042E-2</v>
      </c>
      <c r="BC109" s="20">
        <v>0.2</v>
      </c>
      <c r="BD109" s="43">
        <v>8401</v>
      </c>
      <c r="BE109">
        <v>0</v>
      </c>
      <c r="BF109">
        <v>0</v>
      </c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</row>
    <row r="110" spans="1:102" x14ac:dyDescent="0.35">
      <c r="A110" t="s">
        <v>2695</v>
      </c>
      <c r="B110" t="s">
        <v>2696</v>
      </c>
      <c r="C110" t="s">
        <v>2751</v>
      </c>
      <c r="D110" t="s">
        <v>2752</v>
      </c>
      <c r="E110" s="19">
        <v>1382</v>
      </c>
      <c r="F110" s="19">
        <v>823.727570905275</v>
      </c>
      <c r="G110" s="19">
        <v>0.59604021049585709</v>
      </c>
      <c r="H110" s="19">
        <v>208</v>
      </c>
      <c r="I110" s="19">
        <v>9015399.4120000005</v>
      </c>
      <c r="J110" s="19">
        <v>43343.266000000003</v>
      </c>
      <c r="K110" s="19">
        <v>197</v>
      </c>
      <c r="L110" s="19">
        <v>8797894</v>
      </c>
      <c r="M110" s="19">
        <v>44659</v>
      </c>
      <c r="N110" s="19">
        <v>179651.08</v>
      </c>
      <c r="O110" s="19">
        <v>18500.400000000001</v>
      </c>
      <c r="P110" s="19">
        <v>1785575.41</v>
      </c>
      <c r="Q110" s="19">
        <v>0.84</v>
      </c>
      <c r="R110" s="19">
        <v>32428504.489999998</v>
      </c>
      <c r="S110" s="19">
        <v>2207698.7799999998</v>
      </c>
      <c r="T110" s="19">
        <f t="shared" si="51"/>
        <v>93.192104246803027</v>
      </c>
      <c r="U110" s="19">
        <v>18900</v>
      </c>
      <c r="V110" s="19">
        <v>114955930.83</v>
      </c>
      <c r="W110" s="19">
        <v>7333279.9529999997</v>
      </c>
      <c r="X110" s="49">
        <v>5856</v>
      </c>
      <c r="Y110" s="19">
        <v>58160685</v>
      </c>
      <c r="Z110" s="19">
        <v>3861151</v>
      </c>
      <c r="AA110" s="19">
        <v>569802</v>
      </c>
      <c r="AB110" s="19">
        <v>61727687.689999036</v>
      </c>
      <c r="AC110" s="19">
        <v>1304623</v>
      </c>
      <c r="AD110" s="19">
        <f t="shared" si="63"/>
        <v>9.4789013560955464</v>
      </c>
      <c r="AE110" s="19">
        <f t="shared" si="64"/>
        <v>7.2634029404483771</v>
      </c>
      <c r="AF110" s="19">
        <f t="shared" si="65"/>
        <v>21.429590533390446</v>
      </c>
      <c r="AG110" s="19">
        <f t="shared" si="66"/>
        <v>10.166177908113392</v>
      </c>
      <c r="AH110" s="19">
        <f t="shared" si="67"/>
        <v>6.7498751500322651</v>
      </c>
      <c r="AI110" s="19">
        <f t="shared" si="68"/>
        <v>22.035825029942622</v>
      </c>
      <c r="AJ110" s="19">
        <f t="shared" si="69"/>
        <v>9.8895582329317264</v>
      </c>
      <c r="AK110" s="19">
        <f t="shared" si="70"/>
        <v>6.7934884732655281</v>
      </c>
      <c r="AL110" s="19">
        <f t="shared" si="71"/>
        <v>22.704695086301125</v>
      </c>
      <c r="AM110" s="19">
        <f t="shared" si="72"/>
        <v>1.923734711684127</v>
      </c>
      <c r="AN110" s="19">
        <f t="shared" si="73"/>
        <v>6.8534394761210784</v>
      </c>
      <c r="AO110" s="19">
        <f t="shared" si="74"/>
        <v>7.2556345884215601</v>
      </c>
      <c r="AP110" s="19">
        <f t="shared" si="75"/>
        <v>84</v>
      </c>
      <c r="AQ110" s="19">
        <f t="shared" si="52"/>
        <v>84</v>
      </c>
      <c r="AR110" s="19" t="e">
        <f>(#REF!-MIN(#REF!))/(MAX(#REF!)-MIN(#REF!))*100</f>
        <v>#REF!</v>
      </c>
      <c r="AS110" s="19" t="e">
        <f t="shared" si="53"/>
        <v>#REF!</v>
      </c>
      <c r="AT110" s="19">
        <f t="shared" si="54"/>
        <v>19.685549713043205</v>
      </c>
      <c r="AU110" s="19">
        <f t="shared" si="55"/>
        <v>20.919555483585441</v>
      </c>
      <c r="AV110" s="19">
        <f t="shared" si="56"/>
        <v>0.71602953405801728</v>
      </c>
      <c r="AW110" s="19">
        <f t="shared" si="57"/>
        <v>15.357274498446632</v>
      </c>
      <c r="AX110" s="19">
        <f t="shared" si="58"/>
        <v>18.063438605345748</v>
      </c>
      <c r="AY110" s="19">
        <f t="shared" si="59"/>
        <v>5.1240460898747546</v>
      </c>
      <c r="AZ110" s="19">
        <f t="shared" si="60"/>
        <v>23.542568933122816</v>
      </c>
      <c r="BA110" s="19">
        <f t="shared" si="61"/>
        <v>11.194943440582833</v>
      </c>
      <c r="BB110" s="19">
        <f t="shared" si="62"/>
        <v>21.13903633613673</v>
      </c>
      <c r="BC110" s="20">
        <v>5.8</v>
      </c>
      <c r="BD110" s="43">
        <v>269542</v>
      </c>
      <c r="BE110">
        <v>1</v>
      </c>
      <c r="BF110">
        <v>1</v>
      </c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</row>
    <row r="111" spans="1:102" x14ac:dyDescent="0.35">
      <c r="A111" t="s">
        <v>2695</v>
      </c>
      <c r="B111" t="s">
        <v>2696</v>
      </c>
      <c r="C111" t="s">
        <v>2753</v>
      </c>
      <c r="D111" t="s">
        <v>2754</v>
      </c>
      <c r="E111" s="19">
        <v>78</v>
      </c>
      <c r="F111" s="19">
        <v>62.2589472802009</v>
      </c>
      <c r="G111" s="19">
        <v>0.79819163179744701</v>
      </c>
      <c r="H111" s="19">
        <v>7</v>
      </c>
      <c r="I111" s="19">
        <v>331869.74900000001</v>
      </c>
      <c r="J111" s="19">
        <v>47409.964</v>
      </c>
      <c r="K111" s="19">
        <v>7</v>
      </c>
      <c r="L111" s="19">
        <v>331870</v>
      </c>
      <c r="M111" s="19">
        <v>47410</v>
      </c>
      <c r="N111" s="19">
        <v>0</v>
      </c>
      <c r="O111" s="19">
        <v>0</v>
      </c>
      <c r="P111" s="19">
        <v>0</v>
      </c>
      <c r="Q111" s="19">
        <v>0.67</v>
      </c>
      <c r="R111" s="19">
        <v>170632.09</v>
      </c>
      <c r="S111" s="19">
        <v>91.18</v>
      </c>
      <c r="T111" s="19">
        <f t="shared" si="51"/>
        <v>99.946563392618586</v>
      </c>
      <c r="U111" s="19">
        <v>934</v>
      </c>
      <c r="V111" s="19">
        <v>6337697.1799999997</v>
      </c>
      <c r="W111" s="19">
        <v>451980.647</v>
      </c>
      <c r="X111" s="49">
        <v>368</v>
      </c>
      <c r="Y111" s="19">
        <v>3211948</v>
      </c>
      <c r="Z111" s="19">
        <v>451606</v>
      </c>
      <c r="AA111" s="19">
        <v>28335</v>
      </c>
      <c r="AB111" s="19">
        <v>2025987.44</v>
      </c>
      <c r="AC111" s="19">
        <v>55947</v>
      </c>
      <c r="AD111" s="19">
        <f t="shared" si="63"/>
        <v>0.50251256281407031</v>
      </c>
      <c r="AE111" s="19">
        <f t="shared" si="64"/>
        <v>0.52878861204371985</v>
      </c>
      <c r="AF111" s="19">
        <f t="shared" si="65"/>
        <v>39.242745219151821</v>
      </c>
      <c r="AG111" s="19">
        <f t="shared" si="66"/>
        <v>0.34213098729227759</v>
      </c>
      <c r="AH111" s="19">
        <f t="shared" si="67"/>
        <v>0.24847256005550619</v>
      </c>
      <c r="AI111" s="19">
        <f t="shared" si="68"/>
        <v>24.103344482159663</v>
      </c>
      <c r="AJ111" s="19">
        <f t="shared" si="69"/>
        <v>0.35140562248995982</v>
      </c>
      <c r="AK111" s="19">
        <f t="shared" si="70"/>
        <v>0.2562607619076373</v>
      </c>
      <c r="AL111" s="19">
        <f t="shared" si="71"/>
        <v>24.103307150664737</v>
      </c>
      <c r="AM111" s="19">
        <f t="shared" si="72"/>
        <v>0</v>
      </c>
      <c r="AN111" s="19">
        <f t="shared" si="73"/>
        <v>0</v>
      </c>
      <c r="AO111" s="19">
        <f t="shared" si="74"/>
        <v>0</v>
      </c>
      <c r="AP111" s="19">
        <f t="shared" si="75"/>
        <v>67</v>
      </c>
      <c r="AQ111" s="19">
        <f t="shared" si="52"/>
        <v>67</v>
      </c>
      <c r="AR111" s="19" t="e">
        <f>(#REF!-MIN(#REF!))/(MAX(#REF!)-MIN(#REF!))*100</f>
        <v>#REF!</v>
      </c>
      <c r="AS111" s="19" t="e">
        <f t="shared" si="53"/>
        <v>#REF!</v>
      </c>
      <c r="AT111" s="19">
        <f t="shared" si="54"/>
        <v>0.9042536509894521</v>
      </c>
      <c r="AU111" s="19">
        <f t="shared" si="55"/>
        <v>1.1334150772526947</v>
      </c>
      <c r="AV111" s="19">
        <f t="shared" si="56"/>
        <v>4.4116403686902644E-2</v>
      </c>
      <c r="AW111" s="19">
        <f t="shared" si="57"/>
        <v>0.90832499605076089</v>
      </c>
      <c r="AX111" s="19">
        <f t="shared" si="58"/>
        <v>0.97971014536009704</v>
      </c>
      <c r="AY111" s="19">
        <f t="shared" si="59"/>
        <v>0.59911804682715153</v>
      </c>
      <c r="AZ111" s="19">
        <f t="shared" si="60"/>
        <v>1.1684819775352957</v>
      </c>
      <c r="BA111" s="19">
        <f t="shared" si="61"/>
        <v>0.36743341036903759</v>
      </c>
      <c r="BB111" s="19">
        <f t="shared" si="62"/>
        <v>0.90551100720396693</v>
      </c>
      <c r="BC111" s="20">
        <v>0.3</v>
      </c>
      <c r="BD111" s="43">
        <v>11876</v>
      </c>
      <c r="BE111">
        <v>0</v>
      </c>
      <c r="BF111">
        <v>0</v>
      </c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</row>
    <row r="112" spans="1:102" x14ac:dyDescent="0.35">
      <c r="A112" t="s">
        <v>2695</v>
      </c>
      <c r="B112" t="s">
        <v>2696</v>
      </c>
      <c r="C112" t="s">
        <v>2755</v>
      </c>
      <c r="D112" t="s">
        <v>2756</v>
      </c>
      <c r="E112" s="19">
        <v>1757</v>
      </c>
      <c r="F112" s="19">
        <v>1971.2716367752098</v>
      </c>
      <c r="G112" s="19">
        <v>1.1219531228088799</v>
      </c>
      <c r="H112" s="19">
        <v>411</v>
      </c>
      <c r="I112" s="19">
        <v>30301124.467999998</v>
      </c>
      <c r="J112" s="19">
        <v>73725.364000000001</v>
      </c>
      <c r="K112" s="19">
        <v>395</v>
      </c>
      <c r="L112" s="19">
        <v>29365220</v>
      </c>
      <c r="M112" s="19">
        <v>74342</v>
      </c>
      <c r="N112" s="19">
        <v>340254.89</v>
      </c>
      <c r="O112" s="19">
        <v>13640.99</v>
      </c>
      <c r="P112" s="19">
        <v>3609802.04</v>
      </c>
      <c r="Q112" s="19">
        <v>0.86</v>
      </c>
      <c r="R112" s="19">
        <v>57926037.170000002</v>
      </c>
      <c r="S112" s="19">
        <v>3048346.99</v>
      </c>
      <c r="T112" s="19">
        <f t="shared" si="51"/>
        <v>94.73751849957597</v>
      </c>
      <c r="U112" s="19">
        <v>22101</v>
      </c>
      <c r="V112" s="19">
        <v>93553140.790000007</v>
      </c>
      <c r="W112" s="19">
        <v>1024135432.17</v>
      </c>
      <c r="X112" s="49">
        <v>8840</v>
      </c>
      <c r="Y112" s="19">
        <v>48853249</v>
      </c>
      <c r="Z112" s="19">
        <v>29329159</v>
      </c>
      <c r="AA112" s="19">
        <v>1279312</v>
      </c>
      <c r="AB112" s="19">
        <v>187591086.42299721</v>
      </c>
      <c r="AC112" s="19">
        <v>2588151</v>
      </c>
      <c r="AD112" s="19">
        <f t="shared" si="63"/>
        <v>12.060301507537687</v>
      </c>
      <c r="AE112" s="19">
        <f t="shared" si="64"/>
        <v>17.412562693994023</v>
      </c>
      <c r="AF112" s="19">
        <f t="shared" si="65"/>
        <v>67.771921435406483</v>
      </c>
      <c r="AG112" s="19">
        <f t="shared" si="66"/>
        <v>20.087976539589441</v>
      </c>
      <c r="AH112" s="19">
        <f t="shared" si="67"/>
        <v>22.686605187158825</v>
      </c>
      <c r="AI112" s="19">
        <f t="shared" si="68"/>
        <v>37.482159774780946</v>
      </c>
      <c r="AJ112" s="19">
        <f t="shared" si="69"/>
        <v>19.829317269076306</v>
      </c>
      <c r="AK112" s="19">
        <f t="shared" si="70"/>
        <v>22.675004220885857</v>
      </c>
      <c r="AL112" s="19">
        <f t="shared" si="71"/>
        <v>37.795571824398181</v>
      </c>
      <c r="AM112" s="19">
        <f t="shared" si="72"/>
        <v>3.6435079750885127</v>
      </c>
      <c r="AN112" s="19">
        <f t="shared" si="73"/>
        <v>5.0532798944548691</v>
      </c>
      <c r="AO112" s="19">
        <f t="shared" si="74"/>
        <v>14.668327303397794</v>
      </c>
      <c r="AP112" s="19">
        <f t="shared" si="75"/>
        <v>86</v>
      </c>
      <c r="AQ112" s="19">
        <f t="shared" si="52"/>
        <v>86</v>
      </c>
      <c r="AR112" s="19" t="e">
        <f>(#REF!-MIN(#REF!))/(MAX(#REF!)-MIN(#REF!))*100</f>
        <v>#REF!</v>
      </c>
      <c r="AS112" s="19" t="e">
        <f t="shared" si="53"/>
        <v>#REF!</v>
      </c>
      <c r="AT112" s="19">
        <f t="shared" si="54"/>
        <v>23.031810911675848</v>
      </c>
      <c r="AU112" s="19">
        <f t="shared" si="55"/>
        <v>17.020775374683346</v>
      </c>
      <c r="AV112" s="19">
        <f t="shared" si="56"/>
        <v>100</v>
      </c>
      <c r="AW112" s="19">
        <f t="shared" si="57"/>
        <v>23.213627507766837</v>
      </c>
      <c r="AX112" s="19">
        <f t="shared" si="58"/>
        <v>15.169728613745848</v>
      </c>
      <c r="AY112" s="19">
        <f t="shared" si="59"/>
        <v>38.923542386231212</v>
      </c>
      <c r="AZ112" s="19">
        <f t="shared" si="60"/>
        <v>52.860400741633583</v>
      </c>
      <c r="BA112" s="19">
        <f t="shared" si="61"/>
        <v>34.021549827196715</v>
      </c>
      <c r="BB112" s="19">
        <f t="shared" si="62"/>
        <v>41.937302898795423</v>
      </c>
      <c r="BC112" s="20">
        <v>8.6</v>
      </c>
      <c r="BD112" s="43">
        <v>540095</v>
      </c>
      <c r="BE112">
        <v>6</v>
      </c>
      <c r="BF112">
        <v>1.8</v>
      </c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</row>
    <row r="113" spans="1:102" x14ac:dyDescent="0.35">
      <c r="A113" t="s">
        <v>2695</v>
      </c>
      <c r="B113" t="s">
        <v>2696</v>
      </c>
      <c r="C113" t="s">
        <v>2757</v>
      </c>
      <c r="D113" t="s">
        <v>2758</v>
      </c>
      <c r="E113" s="19">
        <v>1996</v>
      </c>
      <c r="F113" s="19">
        <v>2969.4319651005903</v>
      </c>
      <c r="G113" s="19">
        <v>1.4876913652808601</v>
      </c>
      <c r="H113" s="19">
        <v>540</v>
      </c>
      <c r="I113" s="19">
        <v>53235242.100000001</v>
      </c>
      <c r="J113" s="19">
        <v>98583.782000000007</v>
      </c>
      <c r="K113" s="19">
        <v>521</v>
      </c>
      <c r="L113" s="19">
        <v>51559896</v>
      </c>
      <c r="M113" s="19">
        <v>98963</v>
      </c>
      <c r="N113" s="19">
        <v>4806796.87</v>
      </c>
      <c r="O113" s="19">
        <v>113776.92</v>
      </c>
      <c r="P113" s="19">
        <v>5136252.57</v>
      </c>
      <c r="Q113" s="19">
        <v>0.86</v>
      </c>
      <c r="R113" s="19">
        <v>102743155.38</v>
      </c>
      <c r="S113" s="19">
        <v>5309956.4400000004</v>
      </c>
      <c r="T113" s="19">
        <f t="shared" si="51"/>
        <v>94.831814907415591</v>
      </c>
      <c r="U113" s="19">
        <v>26645</v>
      </c>
      <c r="V113" s="19">
        <v>41965627.030000001</v>
      </c>
      <c r="W113" s="19">
        <v>1011397430.499</v>
      </c>
      <c r="X113" s="49">
        <v>11270</v>
      </c>
      <c r="Y113" s="19">
        <v>19900815</v>
      </c>
      <c r="Z113" s="19">
        <v>47964329</v>
      </c>
      <c r="AA113" s="19">
        <v>861518</v>
      </c>
      <c r="AB113" s="19">
        <v>140689789.88499501</v>
      </c>
      <c r="AC113" s="19">
        <v>2104818</v>
      </c>
      <c r="AD113" s="19">
        <f t="shared" si="63"/>
        <v>13.705513870723479</v>
      </c>
      <c r="AE113" s="19">
        <f t="shared" si="64"/>
        <v>26.240536218606429</v>
      </c>
      <c r="AF113" s="19">
        <f t="shared" si="65"/>
        <v>100</v>
      </c>
      <c r="AG113" s="19">
        <f t="shared" si="66"/>
        <v>26.392961876832842</v>
      </c>
      <c r="AH113" s="19">
        <f t="shared" si="67"/>
        <v>39.857495085403713</v>
      </c>
      <c r="AI113" s="19">
        <f t="shared" si="68"/>
        <v>50.120241768167787</v>
      </c>
      <c r="AJ113" s="19">
        <f t="shared" si="69"/>
        <v>26.154618473895582</v>
      </c>
      <c r="AK113" s="19">
        <f t="shared" si="70"/>
        <v>39.813114270161634</v>
      </c>
      <c r="AL113" s="19">
        <f t="shared" si="71"/>
        <v>50.312921019853071</v>
      </c>
      <c r="AM113" s="19">
        <f t="shared" si="72"/>
        <v>51.472008912129084</v>
      </c>
      <c r="AN113" s="19">
        <f t="shared" si="73"/>
        <v>42.148452736128391</v>
      </c>
      <c r="AO113" s="19">
        <f t="shared" si="74"/>
        <v>20.871015356198892</v>
      </c>
      <c r="AP113" s="19">
        <f t="shared" si="75"/>
        <v>86</v>
      </c>
      <c r="AQ113" s="19">
        <f t="shared" si="52"/>
        <v>86</v>
      </c>
      <c r="AR113" s="19" t="e">
        <f>(#REF!-MIN(#REF!))/(MAX(#REF!)-MIN(#REF!))*100</f>
        <v>#REF!</v>
      </c>
      <c r="AS113" s="19" t="e">
        <f t="shared" si="53"/>
        <v>#REF!</v>
      </c>
      <c r="AT113" s="19">
        <f t="shared" si="54"/>
        <v>27.782017374214657</v>
      </c>
      <c r="AU113" s="19">
        <f t="shared" si="55"/>
        <v>7.6234784737041208</v>
      </c>
      <c r="AV113" s="19">
        <f t="shared" si="56"/>
        <v>98.756218819028646</v>
      </c>
      <c r="AW113" s="19">
        <f t="shared" si="57"/>
        <v>29.611394871254802</v>
      </c>
      <c r="AX113" s="19">
        <f t="shared" si="58"/>
        <v>6.1683293511630497</v>
      </c>
      <c r="AY113" s="19">
        <f t="shared" si="59"/>
        <v>63.654937138304987</v>
      </c>
      <c r="AZ113" s="19">
        <f t="shared" si="60"/>
        <v>35.59663529420515</v>
      </c>
      <c r="BA113" s="19">
        <f t="shared" si="61"/>
        <v>25.515523088113046</v>
      </c>
      <c r="BB113" s="19">
        <f t="shared" si="62"/>
        <v>34.105382930918203</v>
      </c>
      <c r="BC113" s="20">
        <v>7.8</v>
      </c>
      <c r="BD113" s="43">
        <v>621261</v>
      </c>
      <c r="BE113">
        <v>6</v>
      </c>
      <c r="BF113">
        <v>2.6</v>
      </c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</row>
    <row r="114" spans="1:102" x14ac:dyDescent="0.35">
      <c r="A114" t="s">
        <v>2695</v>
      </c>
      <c r="B114" t="s">
        <v>2696</v>
      </c>
      <c r="C114" t="s">
        <v>2759</v>
      </c>
      <c r="D114" t="s">
        <v>2760</v>
      </c>
      <c r="E114" s="19">
        <v>8689</v>
      </c>
      <c r="F114" s="19">
        <v>5892.37830929344</v>
      </c>
      <c r="G114" s="19">
        <v>0.67814228441632507</v>
      </c>
      <c r="H114" s="19">
        <v>1131</v>
      </c>
      <c r="I114" s="19">
        <v>64796045.520000003</v>
      </c>
      <c r="J114" s="19">
        <v>57290.932999999997</v>
      </c>
      <c r="K114" s="19">
        <v>1092</v>
      </c>
      <c r="L114" s="19">
        <v>63588628</v>
      </c>
      <c r="M114" s="19">
        <v>58231</v>
      </c>
      <c r="N114" s="19">
        <v>1297468.19</v>
      </c>
      <c r="O114" s="19">
        <v>229334.23</v>
      </c>
      <c r="P114" s="19">
        <v>9290892.9900000002</v>
      </c>
      <c r="Q114" s="19">
        <v>0.84</v>
      </c>
      <c r="R114" s="19">
        <v>183802056.80000001</v>
      </c>
      <c r="S114" s="19">
        <v>10073897.199999999</v>
      </c>
      <c r="T114" s="19">
        <f t="shared" si="51"/>
        <v>94.519159700719953</v>
      </c>
      <c r="U114" s="19">
        <v>82906</v>
      </c>
      <c r="V114" s="19">
        <v>404245012.36000001</v>
      </c>
      <c r="W114" s="19">
        <v>32305394.657000002</v>
      </c>
      <c r="X114" s="49">
        <v>29794</v>
      </c>
      <c r="Y114" s="19">
        <v>214738652</v>
      </c>
      <c r="Z114" s="19">
        <v>20880445</v>
      </c>
      <c r="AA114" s="19">
        <v>1970141</v>
      </c>
      <c r="AB114" s="19">
        <v>283171649.90501273</v>
      </c>
      <c r="AC114" s="19">
        <v>4326435</v>
      </c>
      <c r="AD114" s="19">
        <f t="shared" si="63"/>
        <v>59.778343773662833</v>
      </c>
      <c r="AE114" s="19">
        <f t="shared" si="64"/>
        <v>52.091786972769448</v>
      </c>
      <c r="AF114" s="19">
        <f t="shared" si="65"/>
        <v>28.664251231547048</v>
      </c>
      <c r="AG114" s="19">
        <f t="shared" si="66"/>
        <v>55.278592375366564</v>
      </c>
      <c r="AH114" s="19">
        <f t="shared" si="67"/>
        <v>48.513127093809068</v>
      </c>
      <c r="AI114" s="19">
        <f t="shared" si="68"/>
        <v>29.126853878297165</v>
      </c>
      <c r="AJ114" s="19">
        <f t="shared" si="69"/>
        <v>54.819277108433738</v>
      </c>
      <c r="AK114" s="19">
        <f t="shared" si="70"/>
        <v>49.101365775578756</v>
      </c>
      <c r="AL114" s="19">
        <f t="shared" si="71"/>
        <v>29.604717964361065</v>
      </c>
      <c r="AM114" s="19">
        <f t="shared" si="72"/>
        <v>13.893512882911565</v>
      </c>
      <c r="AN114" s="19">
        <f t="shared" si="73"/>
        <v>84.956447704256703</v>
      </c>
      <c r="AO114" s="19">
        <f t="shared" si="74"/>
        <v>37.753277827435703</v>
      </c>
      <c r="AP114" s="19">
        <f t="shared" si="75"/>
        <v>84</v>
      </c>
      <c r="AQ114" s="19">
        <f t="shared" si="52"/>
        <v>84</v>
      </c>
      <c r="AR114" s="19" t="e">
        <f>(#REF!-MIN(#REF!))/(MAX(#REF!)-MIN(#REF!))*100</f>
        <v>#REF!</v>
      </c>
      <c r="AS114" s="19" t="e">
        <f t="shared" si="53"/>
        <v>#REF!</v>
      </c>
      <c r="AT114" s="19">
        <f t="shared" si="54"/>
        <v>86.596138366489299</v>
      </c>
      <c r="AU114" s="19">
        <f t="shared" si="55"/>
        <v>73.617101676573284</v>
      </c>
      <c r="AV114" s="19">
        <f t="shared" si="56"/>
        <v>3.1543905203503906</v>
      </c>
      <c r="AW114" s="19">
        <f t="shared" si="57"/>
        <v>78.381865093991891</v>
      </c>
      <c r="AX114" s="19">
        <f t="shared" si="58"/>
        <v>66.744001928295177</v>
      </c>
      <c r="AY114" s="19">
        <f t="shared" si="59"/>
        <v>27.710954517090649</v>
      </c>
      <c r="AZ114" s="19">
        <f t="shared" si="60"/>
        <v>81.406310496875491</v>
      </c>
      <c r="BA114" s="19">
        <f t="shared" si="61"/>
        <v>51.356056306265138</v>
      </c>
      <c r="BB114" s="19">
        <f t="shared" si="62"/>
        <v>70.104428192209056</v>
      </c>
      <c r="BC114" s="20">
        <v>29.6</v>
      </c>
      <c r="BD114" s="43">
        <v>1384382</v>
      </c>
      <c r="BE114">
        <v>8</v>
      </c>
      <c r="BF114">
        <v>1.4</v>
      </c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</row>
    <row r="115" spans="1:102" x14ac:dyDescent="0.35">
      <c r="A115" t="s">
        <v>2695</v>
      </c>
      <c r="B115" t="s">
        <v>2696</v>
      </c>
      <c r="C115" t="s">
        <v>2761</v>
      </c>
      <c r="D115" t="s">
        <v>2762</v>
      </c>
      <c r="E115" s="19">
        <v>4174</v>
      </c>
      <c r="F115" s="19">
        <v>2541.64875108253</v>
      </c>
      <c r="G115" s="19">
        <v>0.60892399403031494</v>
      </c>
      <c r="H115" s="19">
        <v>442</v>
      </c>
      <c r="I115" s="19">
        <v>23157355.838</v>
      </c>
      <c r="J115" s="19">
        <v>52392.207999999999</v>
      </c>
      <c r="K115" s="19">
        <v>425</v>
      </c>
      <c r="L115" s="19">
        <v>22378120</v>
      </c>
      <c r="M115" s="19">
        <v>52654</v>
      </c>
      <c r="N115" s="19">
        <v>652580.32999999996</v>
      </c>
      <c r="O115" s="19">
        <v>91155.24</v>
      </c>
      <c r="P115" s="19">
        <v>4155543.32</v>
      </c>
      <c r="Q115" s="19">
        <v>0.83</v>
      </c>
      <c r="R115" s="19">
        <v>63536659.810000002</v>
      </c>
      <c r="S115" s="19">
        <v>4825381.99</v>
      </c>
      <c r="T115" s="19">
        <f t="shared" si="51"/>
        <v>92.40535778174393</v>
      </c>
      <c r="U115" s="19">
        <v>38745</v>
      </c>
      <c r="V115" s="19">
        <v>234886673.41</v>
      </c>
      <c r="W115" s="19">
        <v>27522651.149999999</v>
      </c>
      <c r="X115" s="49">
        <v>13839</v>
      </c>
      <c r="Y115" s="19">
        <v>131095511</v>
      </c>
      <c r="Z115" s="19">
        <v>11386465</v>
      </c>
      <c r="AA115" s="19">
        <v>892871</v>
      </c>
      <c r="AB115" s="19">
        <v>135793201.5579989</v>
      </c>
      <c r="AC115" s="19">
        <v>1597371</v>
      </c>
      <c r="AD115" s="19">
        <f t="shared" si="63"/>
        <v>28.698285950299439</v>
      </c>
      <c r="AE115" s="19">
        <f t="shared" si="64"/>
        <v>22.457117081962494</v>
      </c>
      <c r="AF115" s="19">
        <f t="shared" si="65"/>
        <v>22.564882224932749</v>
      </c>
      <c r="AG115" s="19">
        <f t="shared" si="66"/>
        <v>21.603128054740957</v>
      </c>
      <c r="AH115" s="19">
        <f t="shared" si="67"/>
        <v>17.338029472472893</v>
      </c>
      <c r="AI115" s="19">
        <f t="shared" si="68"/>
        <v>26.636329814655866</v>
      </c>
      <c r="AJ115" s="19">
        <f t="shared" si="69"/>
        <v>21.335341365461847</v>
      </c>
      <c r="AK115" s="19">
        <f t="shared" si="70"/>
        <v>17.279760391902059</v>
      </c>
      <c r="AL115" s="19">
        <f t="shared" si="71"/>
        <v>26.769363735732988</v>
      </c>
      <c r="AM115" s="19">
        <f t="shared" si="72"/>
        <v>6.9879425883956969</v>
      </c>
      <c r="AN115" s="19">
        <f t="shared" si="73"/>
        <v>33.768292592121853</v>
      </c>
      <c r="AO115" s="19">
        <f t="shared" si="74"/>
        <v>16.885931379552414</v>
      </c>
      <c r="AP115" s="19">
        <f t="shared" si="75"/>
        <v>83</v>
      </c>
      <c r="AQ115" s="19">
        <f t="shared" si="52"/>
        <v>83</v>
      </c>
      <c r="AR115" s="19" t="e">
        <f>(#REF!-MIN(#REF!))/(MAX(#REF!)-MIN(#REF!))*100</f>
        <v>#REF!</v>
      </c>
      <c r="AS115" s="19" t="e">
        <f t="shared" si="53"/>
        <v>#REF!</v>
      </c>
      <c r="AT115" s="19">
        <f t="shared" si="54"/>
        <v>40.431114688633585</v>
      </c>
      <c r="AU115" s="19">
        <f t="shared" si="55"/>
        <v>42.766407821195969</v>
      </c>
      <c r="AV115" s="19">
        <f t="shared" si="56"/>
        <v>2.6873874125581634</v>
      </c>
      <c r="AW115" s="19">
        <f t="shared" si="57"/>
        <v>36.375125059238592</v>
      </c>
      <c r="AX115" s="19">
        <f t="shared" si="58"/>
        <v>40.739096512829612</v>
      </c>
      <c r="AY115" s="19">
        <f t="shared" si="59"/>
        <v>15.111157083083151</v>
      </c>
      <c r="AZ115" s="19">
        <f t="shared" si="60"/>
        <v>36.892180079609496</v>
      </c>
      <c r="BA115" s="19">
        <f t="shared" si="61"/>
        <v>24.627477035783421</v>
      </c>
      <c r="BB115" s="19">
        <f t="shared" si="62"/>
        <v>25.88272010437958</v>
      </c>
      <c r="BC115" s="20">
        <v>12.8</v>
      </c>
      <c r="BD115" s="43">
        <v>581205</v>
      </c>
      <c r="BE115">
        <v>3</v>
      </c>
      <c r="BF115">
        <v>1.3</v>
      </c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</row>
    <row r="116" spans="1:102" x14ac:dyDescent="0.35">
      <c r="A116" t="s">
        <v>2695</v>
      </c>
      <c r="B116" t="s">
        <v>2696</v>
      </c>
      <c r="C116" t="s">
        <v>2763</v>
      </c>
      <c r="D116" t="s">
        <v>2764</v>
      </c>
      <c r="E116" s="19">
        <v>1291</v>
      </c>
      <c r="F116" s="19">
        <v>1258.00030902656</v>
      </c>
      <c r="G116" s="19">
        <v>0.974438659199511</v>
      </c>
      <c r="H116" s="19">
        <v>220</v>
      </c>
      <c r="I116" s="19">
        <v>19494757.835000001</v>
      </c>
      <c r="J116" s="19">
        <v>88612.535999999993</v>
      </c>
      <c r="K116" s="19">
        <v>206</v>
      </c>
      <c r="L116" s="19">
        <v>18769745</v>
      </c>
      <c r="M116" s="19">
        <v>91115</v>
      </c>
      <c r="N116" s="19">
        <v>136574.34</v>
      </c>
      <c r="O116" s="19">
        <v>9434.7800000000007</v>
      </c>
      <c r="P116" s="19">
        <v>2969383.61</v>
      </c>
      <c r="Q116" s="19">
        <v>0.83</v>
      </c>
      <c r="R116" s="19">
        <v>49051039.57</v>
      </c>
      <c r="S116" s="19">
        <v>6097396.1900000004</v>
      </c>
      <c r="T116" s="19">
        <f t="shared" si="51"/>
        <v>87.569282438349759</v>
      </c>
      <c r="U116" s="19">
        <v>10691</v>
      </c>
      <c r="V116" s="19">
        <v>54900257.829999998</v>
      </c>
      <c r="W116" s="19">
        <v>20469148.340999998</v>
      </c>
      <c r="X116" s="49">
        <v>4231</v>
      </c>
      <c r="Y116" s="19">
        <v>31072774</v>
      </c>
      <c r="Z116" s="19">
        <v>5322925</v>
      </c>
      <c r="AA116" s="19">
        <v>170732</v>
      </c>
      <c r="AB116" s="19">
        <v>13661974.259999961</v>
      </c>
      <c r="AC116" s="19">
        <v>298292</v>
      </c>
      <c r="AD116" s="19">
        <f t="shared" si="63"/>
        <v>8.852481586012253</v>
      </c>
      <c r="AE116" s="19">
        <f t="shared" si="64"/>
        <v>11.104217011898745</v>
      </c>
      <c r="AF116" s="19">
        <f t="shared" si="65"/>
        <v>54.773259631586967</v>
      </c>
      <c r="AG116" s="19">
        <f t="shared" si="66"/>
        <v>10.75268817204301</v>
      </c>
      <c r="AH116" s="19">
        <f t="shared" si="67"/>
        <v>14.595823817990075</v>
      </c>
      <c r="AI116" s="19">
        <f t="shared" si="68"/>
        <v>45.050835319043365</v>
      </c>
      <c r="AJ116" s="19">
        <f t="shared" si="69"/>
        <v>10.341365461847388</v>
      </c>
      <c r="AK116" s="19">
        <f t="shared" si="70"/>
        <v>14.493473813577806</v>
      </c>
      <c r="AL116" s="19">
        <f t="shared" si="71"/>
        <v>46.322987366226897</v>
      </c>
      <c r="AM116" s="19">
        <f t="shared" si="72"/>
        <v>1.4624615592811907</v>
      </c>
      <c r="AN116" s="19">
        <f t="shared" si="73"/>
        <v>3.4950970627941897</v>
      </c>
      <c r="AO116" s="19">
        <f t="shared" si="74"/>
        <v>12.066005337185999</v>
      </c>
      <c r="AP116" s="19">
        <f t="shared" si="75"/>
        <v>83</v>
      </c>
      <c r="AQ116" s="19">
        <f t="shared" si="52"/>
        <v>83</v>
      </c>
      <c r="AR116" s="19" t="e">
        <f>(#REF!-MIN(#REF!))/(MAX(#REF!)-MIN(#REF!))*100</f>
        <v>#REF!</v>
      </c>
      <c r="AS116" s="19" t="e">
        <f t="shared" si="53"/>
        <v>#REF!</v>
      </c>
      <c r="AT116" s="19">
        <f t="shared" si="54"/>
        <v>11.104025758161804</v>
      </c>
      <c r="AU116" s="19">
        <f t="shared" si="55"/>
        <v>9.9796797532935724</v>
      </c>
      <c r="AV116" s="19">
        <f t="shared" si="56"/>
        <v>1.998659754927536</v>
      </c>
      <c r="AW116" s="19">
        <f t="shared" si="57"/>
        <v>11.078932125743773</v>
      </c>
      <c r="AX116" s="19">
        <f t="shared" si="58"/>
        <v>9.6417251804810693</v>
      </c>
      <c r="AY116" s="19">
        <f t="shared" si="59"/>
        <v>7.0640181873827395</v>
      </c>
      <c r="AZ116" s="19">
        <f t="shared" si="60"/>
        <v>7.0525023522114925</v>
      </c>
      <c r="BA116" s="19">
        <f t="shared" si="61"/>
        <v>2.4777378653076911</v>
      </c>
      <c r="BB116" s="19">
        <f t="shared" si="62"/>
        <v>4.8324653939625897</v>
      </c>
      <c r="BC116" s="20">
        <v>3.7</v>
      </c>
      <c r="BD116" s="43">
        <v>232017</v>
      </c>
      <c r="BE116">
        <v>0</v>
      </c>
      <c r="BF116">
        <v>0</v>
      </c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</row>
    <row r="117" spans="1:102" x14ac:dyDescent="0.35">
      <c r="A117" t="s">
        <v>2695</v>
      </c>
      <c r="B117" t="s">
        <v>2696</v>
      </c>
      <c r="C117" t="s">
        <v>2765</v>
      </c>
      <c r="D117" t="s">
        <v>2766</v>
      </c>
      <c r="E117" s="19">
        <v>5341</v>
      </c>
      <c r="F117" s="19">
        <v>3617.3538044408897</v>
      </c>
      <c r="G117" s="19">
        <v>0.67728024797620101</v>
      </c>
      <c r="H117" s="19">
        <v>1126</v>
      </c>
      <c r="I117" s="19">
        <v>71661440.652999997</v>
      </c>
      <c r="J117" s="19">
        <v>63642.487000000001</v>
      </c>
      <c r="K117" s="19">
        <v>1093</v>
      </c>
      <c r="L117" s="19">
        <v>69506250</v>
      </c>
      <c r="M117" s="19">
        <v>63592</v>
      </c>
      <c r="N117" s="19">
        <v>666983.67000000004</v>
      </c>
      <c r="O117" s="19">
        <v>68757.84</v>
      </c>
      <c r="P117" s="19">
        <v>10382671.09</v>
      </c>
      <c r="Q117" s="19">
        <v>0.85</v>
      </c>
      <c r="R117" s="19">
        <v>187926301.53999999</v>
      </c>
      <c r="S117" s="19">
        <v>9622008.3900000006</v>
      </c>
      <c r="T117" s="19">
        <f t="shared" si="51"/>
        <v>94.879903285942149</v>
      </c>
      <c r="U117" s="19">
        <v>75159</v>
      </c>
      <c r="V117" s="19">
        <v>454230783.70999998</v>
      </c>
      <c r="W117" s="19">
        <v>32364630.548</v>
      </c>
      <c r="X117" s="49">
        <v>27506</v>
      </c>
      <c r="Y117" s="19">
        <v>240537071</v>
      </c>
      <c r="Z117" s="19">
        <v>20866512</v>
      </c>
      <c r="AA117" s="19">
        <v>1611995</v>
      </c>
      <c r="AB117" s="19">
        <v>264731077.70000681</v>
      </c>
      <c r="AC117" s="19">
        <v>3063176</v>
      </c>
      <c r="AD117" s="19">
        <f t="shared" si="63"/>
        <v>36.731603221587392</v>
      </c>
      <c r="AE117" s="19">
        <f t="shared" si="64"/>
        <v>31.970915077993222</v>
      </c>
      <c r="AF117" s="19">
        <f t="shared" si="65"/>
        <v>28.588290407953416</v>
      </c>
      <c r="AG117" s="19">
        <f t="shared" si="66"/>
        <v>55.034213098729225</v>
      </c>
      <c r="AH117" s="19">
        <f t="shared" si="67"/>
        <v>53.653283162957507</v>
      </c>
      <c r="AI117" s="19">
        <f t="shared" si="68"/>
        <v>32.355999845567659</v>
      </c>
      <c r="AJ117" s="19">
        <f t="shared" si="69"/>
        <v>54.869477911646591</v>
      </c>
      <c r="AK117" s="19">
        <f t="shared" si="70"/>
        <v>53.670788508580827</v>
      </c>
      <c r="AL117" s="19">
        <f t="shared" si="71"/>
        <v>32.330257505274659</v>
      </c>
      <c r="AM117" s="19">
        <f t="shared" si="72"/>
        <v>7.1421760342630343</v>
      </c>
      <c r="AN117" s="19">
        <f t="shared" si="73"/>
        <v>25.471216565523818</v>
      </c>
      <c r="AO117" s="19">
        <f t="shared" si="74"/>
        <v>42.189686898078747</v>
      </c>
      <c r="AP117" s="19">
        <f t="shared" si="75"/>
        <v>85</v>
      </c>
      <c r="AQ117" s="19">
        <f t="shared" si="52"/>
        <v>85</v>
      </c>
      <c r="AR117" s="19" t="e">
        <f>(#REF!-MIN(#REF!))/(MAX(#REF!)-MIN(#REF!))*100</f>
        <v>#REF!</v>
      </c>
      <c r="AS117" s="19" t="e">
        <f t="shared" si="53"/>
        <v>#REF!</v>
      </c>
      <c r="AT117" s="19">
        <f t="shared" si="54"/>
        <v>78.497579945431156</v>
      </c>
      <c r="AU117" s="19">
        <f t="shared" si="55"/>
        <v>82.722621597260598</v>
      </c>
      <c r="AV117" s="19">
        <f t="shared" si="56"/>
        <v>3.1601745113064919</v>
      </c>
      <c r="AW117" s="19">
        <f t="shared" si="57"/>
        <v>72.357959033226265</v>
      </c>
      <c r="AX117" s="19">
        <f t="shared" si="58"/>
        <v>74.76480839183472</v>
      </c>
      <c r="AY117" s="19">
        <f t="shared" si="59"/>
        <v>27.692463538844635</v>
      </c>
      <c r="AZ117" s="19">
        <f t="shared" si="60"/>
        <v>66.607274273438335</v>
      </c>
      <c r="BA117" s="19">
        <f t="shared" si="61"/>
        <v>48.011671143422376</v>
      </c>
      <c r="BB117" s="19">
        <f t="shared" si="62"/>
        <v>49.634600171567776</v>
      </c>
      <c r="BC117" s="20">
        <v>24.1</v>
      </c>
      <c r="BD117" s="43">
        <v>1195145</v>
      </c>
      <c r="BE117">
        <v>6</v>
      </c>
      <c r="BF117">
        <v>1.3</v>
      </c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</row>
    <row r="118" spans="1:102" x14ac:dyDescent="0.35">
      <c r="A118" t="s">
        <v>2695</v>
      </c>
      <c r="B118" t="s">
        <v>2696</v>
      </c>
      <c r="C118" t="s">
        <v>2767</v>
      </c>
      <c r="D118" t="s">
        <v>2768</v>
      </c>
      <c r="E118" s="19">
        <v>1668</v>
      </c>
      <c r="F118" s="19">
        <v>1912.40740882657</v>
      </c>
      <c r="G118" s="19">
        <v>1.14652722351713</v>
      </c>
      <c r="H118" s="19">
        <v>490</v>
      </c>
      <c r="I118" s="19">
        <v>34867637.741999999</v>
      </c>
      <c r="J118" s="19">
        <v>71158.444000000003</v>
      </c>
      <c r="K118" s="19">
        <v>469</v>
      </c>
      <c r="L118" s="19">
        <v>33503340</v>
      </c>
      <c r="M118" s="19">
        <v>71436</v>
      </c>
      <c r="N118" s="19">
        <v>151230.59</v>
      </c>
      <c r="O118" s="19">
        <v>1438.94</v>
      </c>
      <c r="P118" s="19">
        <v>3780119.5</v>
      </c>
      <c r="Q118" s="19">
        <v>0.84</v>
      </c>
      <c r="R118" s="19">
        <v>62620670.789999999</v>
      </c>
      <c r="S118" s="19">
        <v>6077743.1900000004</v>
      </c>
      <c r="T118" s="19">
        <f t="shared" si="51"/>
        <v>90.294349911418436</v>
      </c>
      <c r="U118" s="19">
        <v>23229</v>
      </c>
      <c r="V118" s="19">
        <v>130858711.3</v>
      </c>
      <c r="W118" s="19">
        <v>25749707.713</v>
      </c>
      <c r="X118" s="49">
        <v>8861</v>
      </c>
      <c r="Y118" s="19">
        <v>63861976</v>
      </c>
      <c r="Z118" s="19">
        <v>14557199</v>
      </c>
      <c r="AA118" s="19">
        <v>946222</v>
      </c>
      <c r="AB118" s="19">
        <v>97253505.889996707</v>
      </c>
      <c r="AC118" s="19">
        <v>1777016</v>
      </c>
      <c r="AD118" s="19">
        <f t="shared" si="63"/>
        <v>11.447649204928753</v>
      </c>
      <c r="AE118" s="19">
        <f t="shared" si="64"/>
        <v>16.891953097388271</v>
      </c>
      <c r="AF118" s="19">
        <f t="shared" si="65"/>
        <v>69.937339092928013</v>
      </c>
      <c r="AG118" s="19">
        <f t="shared" si="66"/>
        <v>23.949169110459433</v>
      </c>
      <c r="AH118" s="19">
        <f t="shared" si="67"/>
        <v>26.105576778083289</v>
      </c>
      <c r="AI118" s="19">
        <f t="shared" si="68"/>
        <v>36.177131215422719</v>
      </c>
      <c r="AJ118" s="19">
        <f t="shared" si="69"/>
        <v>23.544176706827312</v>
      </c>
      <c r="AK118" s="19">
        <f t="shared" si="70"/>
        <v>25.870345119627032</v>
      </c>
      <c r="AL118" s="19">
        <f t="shared" si="71"/>
        <v>36.318157553572789</v>
      </c>
      <c r="AM118" s="19">
        <f t="shared" si="72"/>
        <v>1.6194032089952948</v>
      </c>
      <c r="AN118" s="19">
        <f t="shared" si="73"/>
        <v>0.53305270155075912</v>
      </c>
      <c r="AO118" s="19">
        <f t="shared" si="74"/>
        <v>15.360407428867322</v>
      </c>
      <c r="AP118" s="19">
        <f t="shared" si="75"/>
        <v>84</v>
      </c>
      <c r="AQ118" s="19">
        <f t="shared" si="52"/>
        <v>84</v>
      </c>
      <c r="AR118" s="19" t="e">
        <f>(#REF!-MIN(#REF!))/(MAX(#REF!)-MIN(#REF!))*100</f>
        <v>#REF!</v>
      </c>
      <c r="AS118" s="19" t="e">
        <f t="shared" si="53"/>
        <v>#REF!</v>
      </c>
      <c r="AT118" s="19">
        <f t="shared" si="54"/>
        <v>24.210999487763829</v>
      </c>
      <c r="AU118" s="19">
        <f t="shared" si="55"/>
        <v>23.816441546421039</v>
      </c>
      <c r="AV118" s="19">
        <f t="shared" si="56"/>
        <v>2.5142712724584446</v>
      </c>
      <c r="AW118" s="19">
        <f t="shared" si="57"/>
        <v>23.268916855352536</v>
      </c>
      <c r="AX118" s="19">
        <f t="shared" si="58"/>
        <v>19.83598721397637</v>
      </c>
      <c r="AY118" s="19">
        <f t="shared" si="59"/>
        <v>19.319150581818175</v>
      </c>
      <c r="AZ118" s="19">
        <f t="shared" si="60"/>
        <v>39.096709465827956</v>
      </c>
      <c r="BA118" s="19">
        <f t="shared" si="61"/>
        <v>17.63791158523015</v>
      </c>
      <c r="BB118" s="19">
        <f t="shared" si="62"/>
        <v>28.793684724277881</v>
      </c>
      <c r="BC118" s="20">
        <v>6.8</v>
      </c>
      <c r="BD118" s="43">
        <v>414726</v>
      </c>
      <c r="BE118">
        <v>3</v>
      </c>
      <c r="BF118">
        <v>0.4</v>
      </c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</row>
    <row r="119" spans="1:102" x14ac:dyDescent="0.35">
      <c r="A119" t="s">
        <v>2695</v>
      </c>
      <c r="B119" t="s">
        <v>2696</v>
      </c>
      <c r="C119" t="s">
        <v>2769</v>
      </c>
      <c r="D119" t="s">
        <v>2770</v>
      </c>
      <c r="E119" s="19">
        <v>2728</v>
      </c>
      <c r="F119" s="19">
        <v>2209.0570492902298</v>
      </c>
      <c r="G119" s="19">
        <v>0.80977164563425197</v>
      </c>
      <c r="H119" s="19">
        <v>429</v>
      </c>
      <c r="I119" s="19">
        <v>33396710.673999999</v>
      </c>
      <c r="J119" s="19">
        <v>77847.81</v>
      </c>
      <c r="K119" s="19">
        <v>421</v>
      </c>
      <c r="L119" s="19">
        <v>33084627</v>
      </c>
      <c r="M119" s="19">
        <v>78586</v>
      </c>
      <c r="N119" s="19">
        <v>507030.48</v>
      </c>
      <c r="O119" s="19">
        <v>39881.29</v>
      </c>
      <c r="P119" s="19">
        <v>5788296.5099999998</v>
      </c>
      <c r="Q119" s="19">
        <v>0.89</v>
      </c>
      <c r="R119" s="19">
        <v>83209250.530000001</v>
      </c>
      <c r="S119" s="19">
        <v>1744670.53</v>
      </c>
      <c r="T119" s="19">
        <f t="shared" si="51"/>
        <v>97.903273351355352</v>
      </c>
      <c r="U119" s="19">
        <v>25982</v>
      </c>
      <c r="V119" s="19">
        <v>117711192.09999999</v>
      </c>
      <c r="W119" s="19">
        <v>10054014.461999999</v>
      </c>
      <c r="X119" s="49">
        <v>10308</v>
      </c>
      <c r="Y119" s="19">
        <v>65822208</v>
      </c>
      <c r="Z119" s="19">
        <v>6644978</v>
      </c>
      <c r="AA119" s="19">
        <v>627786</v>
      </c>
      <c r="AB119" s="19">
        <v>184174758.27299681</v>
      </c>
      <c r="AC119" s="19">
        <v>1193716</v>
      </c>
      <c r="AD119" s="19">
        <f t="shared" si="63"/>
        <v>18.744406966338541</v>
      </c>
      <c r="AE119" s="19">
        <f t="shared" si="64"/>
        <v>19.515594909012442</v>
      </c>
      <c r="AF119" s="19">
        <f t="shared" si="65"/>
        <v>40.263151488917885</v>
      </c>
      <c r="AG119" s="19">
        <f t="shared" si="66"/>
        <v>20.967741935483872</v>
      </c>
      <c r="AH119" s="19">
        <f t="shared" si="67"/>
        <v>25.004286240629391</v>
      </c>
      <c r="AI119" s="19">
        <f t="shared" si="68"/>
        <v>39.5780216498733</v>
      </c>
      <c r="AJ119" s="19">
        <f t="shared" si="69"/>
        <v>21.134538152610443</v>
      </c>
      <c r="AK119" s="19">
        <f t="shared" si="70"/>
        <v>25.547026614186247</v>
      </c>
      <c r="AL119" s="19">
        <f t="shared" si="71"/>
        <v>39.953227077454947</v>
      </c>
      <c r="AM119" s="19">
        <f t="shared" si="72"/>
        <v>5.4293697218957133</v>
      </c>
      <c r="AN119" s="19">
        <f t="shared" si="73"/>
        <v>14.773951225088796</v>
      </c>
      <c r="AO119" s="19">
        <f t="shared" si="74"/>
        <v>23.520577249658587</v>
      </c>
      <c r="AP119" s="19">
        <f t="shared" si="75"/>
        <v>89</v>
      </c>
      <c r="AQ119" s="19">
        <f t="shared" si="52"/>
        <v>89</v>
      </c>
      <c r="AR119" s="19" t="e">
        <f>(#REF!-MIN(#REF!))/(MAX(#REF!)-MIN(#REF!))*100</f>
        <v>#REF!</v>
      </c>
      <c r="AS119" s="19" t="e">
        <f t="shared" si="53"/>
        <v>#REF!</v>
      </c>
      <c r="AT119" s="19">
        <f t="shared" si="54"/>
        <v>27.088930471779971</v>
      </c>
      <c r="AU119" s="19">
        <f t="shared" si="55"/>
        <v>21.421460039684344</v>
      </c>
      <c r="AV119" s="19">
        <f t="shared" si="56"/>
        <v>0.98169117142596873</v>
      </c>
      <c r="AW119" s="19">
        <f t="shared" si="57"/>
        <v>27.078616186614713</v>
      </c>
      <c r="AX119" s="19">
        <f t="shared" si="58"/>
        <v>20.445429269151809</v>
      </c>
      <c r="AY119" s="19">
        <f t="shared" si="59"/>
        <v>8.818561592469111</v>
      </c>
      <c r="AZ119" s="19">
        <f t="shared" si="60"/>
        <v>25.938539616530644</v>
      </c>
      <c r="BA119" s="19">
        <f t="shared" si="61"/>
        <v>33.401964000398905</v>
      </c>
      <c r="BB119" s="19">
        <f t="shared" si="62"/>
        <v>19.341901135607571</v>
      </c>
      <c r="BC119" s="20">
        <v>10.4</v>
      </c>
      <c r="BD119" s="43">
        <v>543625</v>
      </c>
      <c r="BE119">
        <v>5</v>
      </c>
      <c r="BF119">
        <v>1.5</v>
      </c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</row>
    <row r="120" spans="1:102" x14ac:dyDescent="0.35">
      <c r="A120" t="s">
        <v>2695</v>
      </c>
      <c r="B120" t="s">
        <v>2696</v>
      </c>
      <c r="C120" t="s">
        <v>2771</v>
      </c>
      <c r="D120" t="s">
        <v>2772</v>
      </c>
      <c r="E120" s="19">
        <v>10</v>
      </c>
      <c r="F120" s="19">
        <v>4.38153111792227</v>
      </c>
      <c r="G120" s="19">
        <v>0.43815311179222705</v>
      </c>
      <c r="H120" s="19">
        <v>1</v>
      </c>
      <c r="I120" s="19">
        <v>66629.167000000001</v>
      </c>
      <c r="J120" s="19">
        <v>66629.167000000001</v>
      </c>
      <c r="K120" s="19">
        <v>1</v>
      </c>
      <c r="L120" s="19">
        <v>66629</v>
      </c>
      <c r="M120" s="19">
        <v>66629</v>
      </c>
      <c r="N120" s="19">
        <v>0</v>
      </c>
      <c r="O120" s="19">
        <v>0</v>
      </c>
      <c r="P120" s="19">
        <v>0</v>
      </c>
      <c r="Q120" s="19">
        <v>1</v>
      </c>
      <c r="R120" s="19">
        <v>84146.17</v>
      </c>
      <c r="S120" s="19">
        <v>0</v>
      </c>
      <c r="T120" s="19">
        <f t="shared" si="51"/>
        <v>50</v>
      </c>
      <c r="U120" s="19">
        <v>163</v>
      </c>
      <c r="V120" s="19">
        <v>942943.85</v>
      </c>
      <c r="W120" s="19">
        <v>561280.22</v>
      </c>
      <c r="X120" s="49">
        <v>57</v>
      </c>
      <c r="Y120" s="19">
        <v>510486</v>
      </c>
      <c r="Z120" s="19">
        <v>316011</v>
      </c>
      <c r="AA120" s="19"/>
      <c r="AB120" s="19"/>
      <c r="AC120" s="19"/>
      <c r="AD120" s="19">
        <f t="shared" si="63"/>
        <v>3.4418668685895229E-2</v>
      </c>
      <c r="AE120" s="19">
        <f t="shared" si="64"/>
        <v>1.6906619688065446E-2</v>
      </c>
      <c r="AF120" s="19">
        <f t="shared" si="65"/>
        <v>7.516914114964905</v>
      </c>
      <c r="AG120" s="19">
        <f t="shared" si="66"/>
        <v>4.8875855327468229E-2</v>
      </c>
      <c r="AH120" s="19">
        <f t="shared" si="67"/>
        <v>4.9885594419923615E-2</v>
      </c>
      <c r="AI120" s="19">
        <f t="shared" si="68"/>
        <v>33.874435440624772</v>
      </c>
      <c r="AJ120" s="19">
        <f t="shared" si="69"/>
        <v>5.0200803212851398E-2</v>
      </c>
      <c r="AK120" s="19">
        <f t="shared" si="70"/>
        <v>5.1449056272468034E-2</v>
      </c>
      <c r="AL120" s="19">
        <f t="shared" si="71"/>
        <v>33.874272350593557</v>
      </c>
      <c r="AM120" s="19">
        <f t="shared" si="72"/>
        <v>0</v>
      </c>
      <c r="AN120" s="19">
        <f t="shared" si="73"/>
        <v>0</v>
      </c>
      <c r="AO120" s="19">
        <f t="shared" si="74"/>
        <v>0</v>
      </c>
      <c r="AP120" s="19">
        <f t="shared" si="75"/>
        <v>100</v>
      </c>
      <c r="AQ120" s="19">
        <f t="shared" si="52"/>
        <v>100</v>
      </c>
      <c r="AR120" s="19" t="e">
        <f>(#REF!-MIN(#REF!))/(MAX(#REF!)-MIN(#REF!))*100</f>
        <v>#REF!</v>
      </c>
      <c r="AS120" s="19" t="e">
        <f t="shared" si="53"/>
        <v>#REF!</v>
      </c>
      <c r="AT120" s="19">
        <f t="shared" si="54"/>
        <v>9.8265714673998264E-2</v>
      </c>
      <c r="AU120" s="19">
        <f t="shared" si="55"/>
        <v>0.15069474330891836</v>
      </c>
      <c r="AV120" s="19">
        <f t="shared" si="56"/>
        <v>5.4788780367077253E-2</v>
      </c>
      <c r="AW120" s="19">
        <f t="shared" si="57"/>
        <v>8.9516086567321365E-2</v>
      </c>
      <c r="AX120" s="19">
        <f t="shared" si="58"/>
        <v>0.13981744222171996</v>
      </c>
      <c r="AY120" s="19">
        <f t="shared" si="59"/>
        <v>0.41916511527850225</v>
      </c>
      <c r="AZ120" s="19">
        <f t="shared" si="60"/>
        <v>-2.3553105848897319E-3</v>
      </c>
      <c r="BA120" s="19">
        <f t="shared" si="61"/>
        <v>0</v>
      </c>
      <c r="BB120" s="19">
        <f t="shared" si="62"/>
        <v>-1.0532589289620603E-3</v>
      </c>
      <c r="BC120" s="20">
        <v>0.1</v>
      </c>
      <c r="BD120" s="43">
        <v>2495</v>
      </c>
      <c r="BE120">
        <v>0</v>
      </c>
      <c r="BF120">
        <v>0</v>
      </c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</row>
    <row r="121" spans="1:102" x14ac:dyDescent="0.35">
      <c r="A121" t="s">
        <v>2695</v>
      </c>
      <c r="B121" t="s">
        <v>2696</v>
      </c>
      <c r="C121" t="s">
        <v>2773</v>
      </c>
      <c r="D121" t="s">
        <v>2774</v>
      </c>
      <c r="E121" s="19">
        <v>85</v>
      </c>
      <c r="F121" s="19">
        <v>40.8374808976385</v>
      </c>
      <c r="G121" s="19">
        <v>0.48044095173692303</v>
      </c>
      <c r="H121" s="19">
        <v>18</v>
      </c>
      <c r="I121" s="19">
        <v>392834.35100000002</v>
      </c>
      <c r="J121" s="19">
        <v>21824.131000000001</v>
      </c>
      <c r="K121" s="19">
        <v>18</v>
      </c>
      <c r="L121" s="19">
        <v>392834</v>
      </c>
      <c r="M121" s="19">
        <v>21824</v>
      </c>
      <c r="N121" s="19">
        <v>0</v>
      </c>
      <c r="O121" s="19">
        <v>0</v>
      </c>
      <c r="P121" s="19">
        <v>83687.17</v>
      </c>
      <c r="Q121" s="19">
        <v>0.8</v>
      </c>
      <c r="R121" s="19">
        <v>1250349.01</v>
      </c>
      <c r="S121" s="19">
        <v>220675.62</v>
      </c>
      <c r="T121" s="19">
        <f t="shared" si="51"/>
        <v>82.350878176006233</v>
      </c>
      <c r="U121" s="19">
        <v>1273</v>
      </c>
      <c r="V121" s="19">
        <v>7812953.5999999996</v>
      </c>
      <c r="W121" s="19">
        <v>105125.826</v>
      </c>
      <c r="X121" s="49">
        <v>529</v>
      </c>
      <c r="Y121" s="19">
        <v>4059549</v>
      </c>
      <c r="Z121" s="19">
        <v>104926</v>
      </c>
      <c r="AA121" s="19">
        <v>18369</v>
      </c>
      <c r="AB121" s="19">
        <v>1083214.8</v>
      </c>
      <c r="AC121" s="19">
        <v>34190</v>
      </c>
      <c r="AD121" s="19">
        <f t="shared" si="63"/>
        <v>0.55069869897432366</v>
      </c>
      <c r="AE121" s="19">
        <f t="shared" si="64"/>
        <v>0.33933193587937721</v>
      </c>
      <c r="AF121" s="19">
        <f t="shared" si="65"/>
        <v>11.243228921021942</v>
      </c>
      <c r="AG121" s="19">
        <f t="shared" si="66"/>
        <v>0.87976539589442826</v>
      </c>
      <c r="AH121" s="19">
        <f t="shared" si="67"/>
        <v>0.29411706600203957</v>
      </c>
      <c r="AI121" s="19">
        <f t="shared" si="68"/>
        <v>11.095442880251495</v>
      </c>
      <c r="AJ121" s="19">
        <f t="shared" si="69"/>
        <v>0.90361445783132521</v>
      </c>
      <c r="AK121" s="19">
        <f t="shared" si="70"/>
        <v>0.30333546311273935</v>
      </c>
      <c r="AL121" s="19">
        <f t="shared" si="71"/>
        <v>11.095350669818755</v>
      </c>
      <c r="AM121" s="19">
        <f t="shared" si="72"/>
        <v>0</v>
      </c>
      <c r="AN121" s="19">
        <f t="shared" si="73"/>
        <v>0</v>
      </c>
      <c r="AO121" s="19">
        <f t="shared" si="74"/>
        <v>0.34006042078005272</v>
      </c>
      <c r="AP121" s="19">
        <f t="shared" si="75"/>
        <v>80</v>
      </c>
      <c r="AQ121" s="19">
        <f t="shared" si="52"/>
        <v>80</v>
      </c>
      <c r="AR121" s="19" t="e">
        <f>(#REF!-MIN(#REF!))/(MAX(#REF!)-MIN(#REF!))*100</f>
        <v>#REF!</v>
      </c>
      <c r="AS121" s="19" t="e">
        <f t="shared" si="53"/>
        <v>#REF!</v>
      </c>
      <c r="AT121" s="19">
        <f t="shared" si="54"/>
        <v>1.2586374517818502</v>
      </c>
      <c r="AU121" s="19">
        <f t="shared" si="55"/>
        <v>1.4021510866737408</v>
      </c>
      <c r="AV121" s="19">
        <f t="shared" si="56"/>
        <v>1.0248336306195312E-2</v>
      </c>
      <c r="AW121" s="19">
        <f t="shared" si="57"/>
        <v>1.3322099942077825</v>
      </c>
      <c r="AX121" s="19">
        <f t="shared" si="58"/>
        <v>1.2432318588148084</v>
      </c>
      <c r="AY121" s="19">
        <f t="shared" si="59"/>
        <v>0.13902672849472222</v>
      </c>
      <c r="AZ121" s="19">
        <f t="shared" si="60"/>
        <v>0.75667451632457494</v>
      </c>
      <c r="BA121" s="19">
        <f t="shared" si="61"/>
        <v>0.19645201163054343</v>
      </c>
      <c r="BB121" s="19">
        <f t="shared" si="62"/>
        <v>0.55296093770508159</v>
      </c>
      <c r="BC121" s="20">
        <v>0.3</v>
      </c>
      <c r="BD121" s="43">
        <v>13463</v>
      </c>
      <c r="BE121">
        <v>0</v>
      </c>
      <c r="BF121">
        <v>0</v>
      </c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</row>
    <row r="122" spans="1:102" x14ac:dyDescent="0.35">
      <c r="A122" t="s">
        <v>2695</v>
      </c>
      <c r="B122" t="s">
        <v>2696</v>
      </c>
      <c r="C122" t="s">
        <v>2775</v>
      </c>
      <c r="D122" t="s">
        <v>2776</v>
      </c>
      <c r="E122" s="19">
        <v>4577</v>
      </c>
      <c r="F122" s="19">
        <v>5093.66915088716</v>
      </c>
      <c r="G122" s="19">
        <v>1.1128837996257699</v>
      </c>
      <c r="H122" s="19">
        <v>1202</v>
      </c>
      <c r="I122" s="19">
        <v>90162968.392000005</v>
      </c>
      <c r="J122" s="19">
        <v>75010.789000000004</v>
      </c>
      <c r="K122" s="19">
        <v>1160</v>
      </c>
      <c r="L122" s="19">
        <v>87390762</v>
      </c>
      <c r="M122" s="19">
        <v>75337</v>
      </c>
      <c r="N122" s="19">
        <v>831200.82</v>
      </c>
      <c r="O122" s="19">
        <v>16311.4</v>
      </c>
      <c r="P122" s="19">
        <v>8724675.9399999995</v>
      </c>
      <c r="Q122" s="19">
        <v>0.86</v>
      </c>
      <c r="R122" s="19">
        <v>174637405.74000001</v>
      </c>
      <c r="S122" s="19">
        <v>6850650.7300000004</v>
      </c>
      <c r="T122" s="19">
        <f t="shared" si="51"/>
        <v>96.077214557229937</v>
      </c>
      <c r="U122" s="19">
        <v>63508</v>
      </c>
      <c r="V122" s="19">
        <v>285327759.75</v>
      </c>
      <c r="W122" s="19">
        <v>634204950.84200001</v>
      </c>
      <c r="X122" s="49">
        <v>25149</v>
      </c>
      <c r="Y122" s="19">
        <v>146471819</v>
      </c>
      <c r="Z122" s="19">
        <v>63068816</v>
      </c>
      <c r="AA122" s="19">
        <v>2420120</v>
      </c>
      <c r="AB122" s="19">
        <v>551389008.95407617</v>
      </c>
      <c r="AC122" s="19">
        <v>6171387</v>
      </c>
      <c r="AD122" s="19">
        <f t="shared" si="63"/>
        <v>31.472430646382598</v>
      </c>
      <c r="AE122" s="19">
        <f t="shared" si="64"/>
        <v>45.027808266958161</v>
      </c>
      <c r="AF122" s="19">
        <f t="shared" si="65"/>
        <v>66.972751903400678</v>
      </c>
      <c r="AG122" s="19">
        <f t="shared" si="66"/>
        <v>58.748778103616814</v>
      </c>
      <c r="AH122" s="19">
        <f t="shared" si="67"/>
        <v>67.50547058317126</v>
      </c>
      <c r="AI122" s="19">
        <f t="shared" si="68"/>
        <v>38.135673065383315</v>
      </c>
      <c r="AJ122" s="19">
        <f t="shared" si="69"/>
        <v>58.23293172690763</v>
      </c>
      <c r="AK122" s="19">
        <f t="shared" si="70"/>
        <v>67.480710078672374</v>
      </c>
      <c r="AL122" s="19">
        <f t="shared" si="71"/>
        <v>38.301431149749611</v>
      </c>
      <c r="AM122" s="19">
        <f t="shared" si="72"/>
        <v>8.900641564828387</v>
      </c>
      <c r="AN122" s="19">
        <f t="shared" si="73"/>
        <v>6.0425284140235531</v>
      </c>
      <c r="AO122" s="19">
        <f t="shared" si="74"/>
        <v>35.452471045752915</v>
      </c>
      <c r="AP122" s="19">
        <f t="shared" si="75"/>
        <v>86</v>
      </c>
      <c r="AQ122" s="19">
        <f t="shared" si="52"/>
        <v>86</v>
      </c>
      <c r="AR122" s="19" t="e">
        <f>(#REF!-MIN(#REF!))/(MAX(#REF!)-MIN(#REF!))*100</f>
        <v>#REF!</v>
      </c>
      <c r="AS122" s="19" t="e">
        <f t="shared" si="53"/>
        <v>#REF!</v>
      </c>
      <c r="AT122" s="19">
        <f t="shared" si="54"/>
        <v>66.317858225572081</v>
      </c>
      <c r="AU122" s="19">
        <f t="shared" si="55"/>
        <v>51.95486893894121</v>
      </c>
      <c r="AV122" s="19">
        <f t="shared" si="56"/>
        <v>61.925880755140653</v>
      </c>
      <c r="AW122" s="19">
        <f t="shared" si="57"/>
        <v>66.152387973250484</v>
      </c>
      <c r="AX122" s="19">
        <f t="shared" si="58"/>
        <v>45.519637157268903</v>
      </c>
      <c r="AY122" s="19">
        <f t="shared" si="59"/>
        <v>83.700637313005117</v>
      </c>
      <c r="AZ122" s="19">
        <f t="shared" si="60"/>
        <v>100</v>
      </c>
      <c r="BA122" s="19">
        <f t="shared" si="61"/>
        <v>100</v>
      </c>
      <c r="BB122" s="19">
        <f t="shared" si="62"/>
        <v>100</v>
      </c>
      <c r="BC122" s="20">
        <v>20.399999999999999</v>
      </c>
      <c r="BD122" s="43">
        <v>1278857</v>
      </c>
      <c r="BE122">
        <v>11</v>
      </c>
      <c r="BF122">
        <v>4.0999999999999996</v>
      </c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</row>
    <row r="123" spans="1:102" x14ac:dyDescent="0.35">
      <c r="A123" t="s">
        <v>2695</v>
      </c>
      <c r="B123" t="s">
        <v>2696</v>
      </c>
      <c r="C123" t="s">
        <v>2777</v>
      </c>
      <c r="D123" t="s">
        <v>2778</v>
      </c>
      <c r="E123" s="19">
        <v>2400</v>
      </c>
      <c r="F123" s="19">
        <v>2336.2751589914396</v>
      </c>
      <c r="G123" s="19">
        <v>0.97344798291310197</v>
      </c>
      <c r="H123" s="19">
        <v>398</v>
      </c>
      <c r="I123" s="19">
        <v>26394739.021000002</v>
      </c>
      <c r="J123" s="19">
        <v>66318.44</v>
      </c>
      <c r="K123" s="19">
        <v>389</v>
      </c>
      <c r="L123" s="19">
        <v>25407498</v>
      </c>
      <c r="M123" s="19">
        <v>65315</v>
      </c>
      <c r="N123" s="19">
        <v>116519.57</v>
      </c>
      <c r="O123" s="19">
        <v>10919.77</v>
      </c>
      <c r="P123" s="19">
        <v>3018970.77</v>
      </c>
      <c r="Q123" s="19">
        <v>0.82</v>
      </c>
      <c r="R123" s="19">
        <v>55913917.380000003</v>
      </c>
      <c r="S123" s="19">
        <v>3392562.23</v>
      </c>
      <c r="T123" s="19">
        <f t="shared" si="51"/>
        <v>93.932526302988933</v>
      </c>
      <c r="U123" s="19">
        <v>19623</v>
      </c>
      <c r="V123" s="19">
        <v>109613491.54000001</v>
      </c>
      <c r="W123" s="19">
        <v>137224632.097</v>
      </c>
      <c r="X123" s="49">
        <v>7936</v>
      </c>
      <c r="Y123" s="19">
        <v>59864476</v>
      </c>
      <c r="Z123" s="19">
        <v>18574880</v>
      </c>
      <c r="AA123" s="19">
        <v>596067</v>
      </c>
      <c r="AB123" s="19">
        <v>61335232.405999593</v>
      </c>
      <c r="AC123" s="19">
        <v>1018467</v>
      </c>
      <c r="AD123" s="19">
        <f t="shared" si="63"/>
        <v>16.486542300543817</v>
      </c>
      <c r="AE123" s="19">
        <f t="shared" si="64"/>
        <v>20.640742916224582</v>
      </c>
      <c r="AF123" s="19">
        <f t="shared" si="65"/>
        <v>54.685963337454091</v>
      </c>
      <c r="AG123" s="19">
        <f t="shared" si="66"/>
        <v>19.452590420332356</v>
      </c>
      <c r="AH123" s="19">
        <f t="shared" si="67"/>
        <v>19.761874639995693</v>
      </c>
      <c r="AI123" s="19">
        <f t="shared" si="68"/>
        <v>33.716461055305516</v>
      </c>
      <c r="AJ123" s="19">
        <f t="shared" si="69"/>
        <v>19.528112449799199</v>
      </c>
      <c r="AK123" s="19">
        <f t="shared" si="70"/>
        <v>19.618961628489384</v>
      </c>
      <c r="AL123" s="19">
        <f t="shared" si="71"/>
        <v>33.206233000330457</v>
      </c>
      <c r="AM123" s="19">
        <f t="shared" si="72"/>
        <v>1.2477116274475417</v>
      </c>
      <c r="AN123" s="19">
        <f t="shared" si="73"/>
        <v>4.0452089029514315</v>
      </c>
      <c r="AO123" s="19">
        <f t="shared" si="74"/>
        <v>12.267501343024025</v>
      </c>
      <c r="AP123" s="19">
        <f t="shared" si="75"/>
        <v>82</v>
      </c>
      <c r="AQ123" s="19">
        <f t="shared" si="52"/>
        <v>82</v>
      </c>
      <c r="AR123" s="19" t="e">
        <f>(#REF!-MIN(#REF!))/(MAX(#REF!)-MIN(#REF!))*100</f>
        <v>#REF!</v>
      </c>
      <c r="AS123" s="19" t="e">
        <f t="shared" si="53"/>
        <v>#REF!</v>
      </c>
      <c r="AT123" s="19">
        <f t="shared" si="54"/>
        <v>20.44135941207832</v>
      </c>
      <c r="AU123" s="19">
        <f t="shared" si="55"/>
        <v>19.946364792187666</v>
      </c>
      <c r="AV123" s="19">
        <f t="shared" si="56"/>
        <v>13.39905655355035</v>
      </c>
      <c r="AW123" s="19">
        <f t="shared" si="57"/>
        <v>20.833552735506291</v>
      </c>
      <c r="AX123" s="19">
        <f t="shared" si="58"/>
        <v>18.593152378322319</v>
      </c>
      <c r="AY123" s="19">
        <f t="shared" si="59"/>
        <v>24.651157469810421</v>
      </c>
      <c r="AZ123" s="19">
        <f t="shared" si="60"/>
        <v>24.627871257897006</v>
      </c>
      <c r="BA123" s="19">
        <f t="shared" si="61"/>
        <v>11.123767686691059</v>
      </c>
      <c r="BB123" s="19">
        <f t="shared" si="62"/>
        <v>16.502169227274155</v>
      </c>
      <c r="BC123" s="20">
        <v>7.6</v>
      </c>
      <c r="BD123" s="43">
        <v>440680</v>
      </c>
      <c r="BE123">
        <v>10</v>
      </c>
      <c r="BF123">
        <v>3.2</v>
      </c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</row>
    <row r="124" spans="1:102" x14ac:dyDescent="0.35">
      <c r="A124" t="s">
        <v>2695</v>
      </c>
      <c r="B124" t="s">
        <v>2696</v>
      </c>
      <c r="C124" t="s">
        <v>2779</v>
      </c>
      <c r="D124" t="s">
        <v>2780</v>
      </c>
      <c r="E124" s="19">
        <v>4884</v>
      </c>
      <c r="F124" s="19">
        <v>2790.4437303820901</v>
      </c>
      <c r="G124" s="19">
        <v>0.57134392513965804</v>
      </c>
      <c r="H124" s="19">
        <v>565</v>
      </c>
      <c r="I124" s="19">
        <v>33542584.921999998</v>
      </c>
      <c r="J124" s="19">
        <v>59367.406999999999</v>
      </c>
      <c r="K124" s="19">
        <v>553</v>
      </c>
      <c r="L124" s="19">
        <v>32810521</v>
      </c>
      <c r="M124" s="19">
        <v>59332</v>
      </c>
      <c r="N124" s="19">
        <v>696878.91</v>
      </c>
      <c r="O124" s="19">
        <v>114328.26</v>
      </c>
      <c r="P124" s="19">
        <v>8787474.2599999998</v>
      </c>
      <c r="Q124" s="19">
        <v>0.88</v>
      </c>
      <c r="R124" s="19">
        <v>104189306.73999999</v>
      </c>
      <c r="S124" s="19">
        <v>11668644.939999999</v>
      </c>
      <c r="T124" s="19">
        <f t="shared" si="51"/>
        <v>88.800535002004949</v>
      </c>
      <c r="U124" s="19">
        <v>38807</v>
      </c>
      <c r="V124" s="19">
        <v>226953528.75999999</v>
      </c>
      <c r="W124" s="19">
        <v>53283636.600000001</v>
      </c>
      <c r="X124" s="49">
        <v>16115</v>
      </c>
      <c r="Y124" s="19">
        <v>138706098</v>
      </c>
      <c r="Z124" s="19">
        <v>15331926</v>
      </c>
      <c r="AA124" s="19">
        <v>841221</v>
      </c>
      <c r="AB124" s="19">
        <v>139090513.8009949</v>
      </c>
      <c r="AC124" s="19">
        <v>1645491</v>
      </c>
      <c r="AD124" s="19">
        <f t="shared" si="63"/>
        <v>33.585736903696564</v>
      </c>
      <c r="AE124" s="19">
        <f t="shared" si="64"/>
        <v>24.657520592286179</v>
      </c>
      <c r="AF124" s="19">
        <f t="shared" si="65"/>
        <v>19.253406223722092</v>
      </c>
      <c r="AG124" s="19">
        <f t="shared" si="66"/>
        <v>27.614858260019549</v>
      </c>
      <c r="AH124" s="19">
        <f t="shared" si="67"/>
        <v>25.113503028106855</v>
      </c>
      <c r="AI124" s="19">
        <f t="shared" si="68"/>
        <v>30.182538462454367</v>
      </c>
      <c r="AJ124" s="19">
        <f t="shared" si="69"/>
        <v>27.761044176706829</v>
      </c>
      <c r="AK124" s="19">
        <f t="shared" si="70"/>
        <v>25.335369602695433</v>
      </c>
      <c r="AL124" s="19">
        <f t="shared" si="71"/>
        <v>30.164467830905718</v>
      </c>
      <c r="AM124" s="19">
        <f t="shared" si="72"/>
        <v>7.4622994139951677</v>
      </c>
      <c r="AN124" s="19">
        <f t="shared" si="73"/>
        <v>42.352695634701647</v>
      </c>
      <c r="AO124" s="19">
        <f t="shared" si="74"/>
        <v>35.707650222244133</v>
      </c>
      <c r="AP124" s="19">
        <f t="shared" si="75"/>
        <v>88</v>
      </c>
      <c r="AQ124" s="19">
        <f t="shared" si="52"/>
        <v>88</v>
      </c>
      <c r="AR124" s="19" t="e">
        <f>(#REF!-MIN(#REF!))/(MAX(#REF!)-MIN(#REF!))*100</f>
        <v>#REF!</v>
      </c>
      <c r="AS124" s="19" t="e">
        <f t="shared" si="53"/>
        <v>#REF!</v>
      </c>
      <c r="AT124" s="19">
        <f t="shared" si="54"/>
        <v>40.495928245120687</v>
      </c>
      <c r="AU124" s="19">
        <f t="shared" si="55"/>
        <v>41.321288446354728</v>
      </c>
      <c r="AV124" s="19">
        <f t="shared" si="56"/>
        <v>5.202776382786781</v>
      </c>
      <c r="AW124" s="19">
        <f t="shared" si="57"/>
        <v>42.367437207098099</v>
      </c>
      <c r="AX124" s="19">
        <f t="shared" si="58"/>
        <v>43.105251020240708</v>
      </c>
      <c r="AY124" s="19">
        <f t="shared" si="59"/>
        <v>20.347318248766737</v>
      </c>
      <c r="AZ124" s="19">
        <f t="shared" si="60"/>
        <v>34.757938119792748</v>
      </c>
      <c r="BA124" s="19">
        <f t="shared" si="61"/>
        <v>25.225478118403956</v>
      </c>
      <c r="BB124" s="19">
        <f t="shared" si="62"/>
        <v>26.662455791481953</v>
      </c>
      <c r="BC124" s="20">
        <v>12.1</v>
      </c>
      <c r="BD124" s="43">
        <v>543232</v>
      </c>
      <c r="BE124">
        <v>2</v>
      </c>
      <c r="BF124">
        <v>0.3</v>
      </c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</row>
    <row r="125" spans="1:102" x14ac:dyDescent="0.35">
      <c r="A125" t="s">
        <v>2695</v>
      </c>
      <c r="B125" t="s">
        <v>2696</v>
      </c>
      <c r="C125" t="s">
        <v>2781</v>
      </c>
      <c r="D125" t="s">
        <v>2782</v>
      </c>
      <c r="E125" s="19">
        <v>2575</v>
      </c>
      <c r="F125" s="19">
        <v>1490.8428795499401</v>
      </c>
      <c r="G125" s="19">
        <v>0.578968108563085</v>
      </c>
      <c r="H125" s="19">
        <v>359</v>
      </c>
      <c r="I125" s="19">
        <v>19340956.311999999</v>
      </c>
      <c r="J125" s="19">
        <v>53874.53</v>
      </c>
      <c r="K125" s="19">
        <v>350</v>
      </c>
      <c r="L125" s="19">
        <v>19074123</v>
      </c>
      <c r="M125" s="19">
        <v>54497</v>
      </c>
      <c r="N125" s="19">
        <v>402231.12</v>
      </c>
      <c r="O125" s="19">
        <v>103680.26</v>
      </c>
      <c r="P125" s="19">
        <v>2138641.77</v>
      </c>
      <c r="Q125" s="19">
        <v>0.87</v>
      </c>
      <c r="R125" s="19">
        <v>51651332.170000002</v>
      </c>
      <c r="S125" s="19">
        <v>2441570.31</v>
      </c>
      <c r="T125" s="19">
        <f t="shared" si="51"/>
        <v>95.27297708031216</v>
      </c>
      <c r="U125" s="19">
        <v>31826</v>
      </c>
      <c r="V125" s="19">
        <v>171887595.09</v>
      </c>
      <c r="W125" s="19">
        <v>9969086.4199999999</v>
      </c>
      <c r="X125" s="49">
        <v>11559</v>
      </c>
      <c r="Y125" s="19">
        <v>96241938</v>
      </c>
      <c r="Z125" s="19">
        <v>7541809</v>
      </c>
      <c r="AA125" s="19">
        <v>690015</v>
      </c>
      <c r="AB125" s="19">
        <v>97952813.149996907</v>
      </c>
      <c r="AC125" s="19">
        <v>1374167</v>
      </c>
      <c r="AD125" s="19">
        <f t="shared" si="63"/>
        <v>17.691195704550147</v>
      </c>
      <c r="AE125" s="19">
        <f t="shared" si="64"/>
        <v>13.163533526142171</v>
      </c>
      <c r="AF125" s="19">
        <f t="shared" si="65"/>
        <v>19.925233103788919</v>
      </c>
      <c r="AG125" s="19">
        <f t="shared" si="66"/>
        <v>17.546432062561095</v>
      </c>
      <c r="AH125" s="19">
        <f t="shared" si="67"/>
        <v>14.480671839614828</v>
      </c>
      <c r="AI125" s="19">
        <f t="shared" si="68"/>
        <v>27.389946033379086</v>
      </c>
      <c r="AJ125" s="19">
        <f t="shared" si="69"/>
        <v>17.570281124497992</v>
      </c>
      <c r="AK125" s="19">
        <f t="shared" si="70"/>
        <v>14.728506019525685</v>
      </c>
      <c r="AL125" s="19">
        <f t="shared" si="71"/>
        <v>27.706347390630164</v>
      </c>
      <c r="AM125" s="19">
        <f t="shared" si="72"/>
        <v>4.3071601220743201</v>
      </c>
      <c r="AN125" s="19">
        <f t="shared" si="73"/>
        <v>38.40816343314183</v>
      </c>
      <c r="AO125" s="19">
        <f t="shared" si="74"/>
        <v>8.6903096401036954</v>
      </c>
      <c r="AP125" s="19">
        <f t="shared" si="75"/>
        <v>87</v>
      </c>
      <c r="AQ125" s="19">
        <f t="shared" si="52"/>
        <v>87</v>
      </c>
      <c r="AR125" s="19" t="e">
        <f>(#REF!-MIN(#REF!))/(MAX(#REF!)-MIN(#REF!))*100</f>
        <v>#REF!</v>
      </c>
      <c r="AS125" s="19" t="e">
        <f t="shared" si="53"/>
        <v>#REF!</v>
      </c>
      <c r="AT125" s="19">
        <f t="shared" si="54"/>
        <v>33.198130860661308</v>
      </c>
      <c r="AU125" s="19">
        <f t="shared" si="55"/>
        <v>31.290354793803793</v>
      </c>
      <c r="AV125" s="19">
        <f t="shared" si="56"/>
        <v>0.9733985127260697</v>
      </c>
      <c r="AW125" s="19">
        <f t="shared" si="57"/>
        <v>30.372281607077035</v>
      </c>
      <c r="AX125" s="19">
        <f t="shared" si="58"/>
        <v>29.90301529421512</v>
      </c>
      <c r="AY125" s="19">
        <f t="shared" si="59"/>
        <v>10.008777806589888</v>
      </c>
      <c r="AZ125" s="19">
        <f t="shared" si="60"/>
        <v>28.509918956655262</v>
      </c>
      <c r="BA125" s="19">
        <f t="shared" si="61"/>
        <v>17.764738063205602</v>
      </c>
      <c r="BB125" s="19">
        <f t="shared" si="62"/>
        <v>22.265926166225</v>
      </c>
      <c r="BC125" s="20">
        <v>11.3</v>
      </c>
      <c r="BD125" s="43">
        <v>493038</v>
      </c>
      <c r="BE125">
        <v>1</v>
      </c>
      <c r="BF125">
        <v>0.2</v>
      </c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</row>
    <row r="126" spans="1:102" x14ac:dyDescent="0.35">
      <c r="A126" t="s">
        <v>2695</v>
      </c>
      <c r="B126" t="s">
        <v>2937</v>
      </c>
      <c r="C126" t="s">
        <v>2938</v>
      </c>
      <c r="D126" t="s">
        <v>2939</v>
      </c>
      <c r="E126" s="19">
        <v>1214</v>
      </c>
      <c r="F126" s="19">
        <v>881.73180544144998</v>
      </c>
      <c r="G126" s="19">
        <v>0.72630296988587306</v>
      </c>
      <c r="H126" s="19">
        <v>51</v>
      </c>
      <c r="I126" s="19">
        <v>1797818.6569999999</v>
      </c>
      <c r="J126" s="19">
        <v>35251.345999999998</v>
      </c>
      <c r="K126" s="19">
        <v>48</v>
      </c>
      <c r="L126" s="19">
        <v>1703485</v>
      </c>
      <c r="M126" s="19">
        <v>35489</v>
      </c>
      <c r="N126" s="19">
        <v>419676.69</v>
      </c>
      <c r="O126" s="19">
        <v>50519.199999999997</v>
      </c>
      <c r="P126" s="19">
        <v>502744.61</v>
      </c>
      <c r="Q126" s="19">
        <v>0.97</v>
      </c>
      <c r="R126" s="19">
        <v>7240550.0300000003</v>
      </c>
      <c r="S126" s="19">
        <v>185162.65</v>
      </c>
      <c r="T126" s="19">
        <f t="shared" si="51"/>
        <v>97.442699114945555</v>
      </c>
      <c r="U126" s="19">
        <v>8029</v>
      </c>
      <c r="V126" s="19">
        <v>53765767.420000002</v>
      </c>
      <c r="W126" s="19">
        <v>3352233.818</v>
      </c>
      <c r="X126" s="49">
        <v>2802</v>
      </c>
      <c r="Y126" s="19">
        <v>29692338</v>
      </c>
      <c r="Z126" s="19">
        <v>2122300</v>
      </c>
      <c r="AA126" s="19">
        <v>341770</v>
      </c>
      <c r="AB126" s="19">
        <v>43228733.850000411</v>
      </c>
      <c r="AC126" s="19">
        <v>690602</v>
      </c>
      <c r="AD126" s="19">
        <f t="shared" si="63"/>
        <v>8.3224340882494676</v>
      </c>
      <c r="AE126" s="19">
        <f t="shared" si="64"/>
        <v>7.7764065454502376</v>
      </c>
      <c r="AF126" s="19">
        <f t="shared" si="65"/>
        <v>32.908068734870298</v>
      </c>
      <c r="AG126" s="19">
        <f t="shared" si="66"/>
        <v>2.4926686217008798</v>
      </c>
      <c r="AH126" s="19">
        <f t="shared" si="67"/>
        <v>1.3460359239321387</v>
      </c>
      <c r="AI126" s="19">
        <f t="shared" si="68"/>
        <v>17.921872627825682</v>
      </c>
      <c r="AJ126" s="19">
        <f t="shared" si="69"/>
        <v>2.4096385542168677</v>
      </c>
      <c r="AK126" s="19">
        <f t="shared" si="70"/>
        <v>1.3153836261133323</v>
      </c>
      <c r="AL126" s="19">
        <f t="shared" si="71"/>
        <v>18.042654871755765</v>
      </c>
      <c r="AM126" s="19">
        <f t="shared" si="72"/>
        <v>4.4939702908421078</v>
      </c>
      <c r="AN126" s="19">
        <f t="shared" si="73"/>
        <v>18.714745604530492</v>
      </c>
      <c r="AO126" s="19">
        <f t="shared" si="74"/>
        <v>2.0428883378599552</v>
      </c>
      <c r="AP126" s="19">
        <f t="shared" si="75"/>
        <v>97</v>
      </c>
      <c r="AQ126" s="19">
        <f t="shared" si="52"/>
        <v>97</v>
      </c>
      <c r="AR126" s="19" t="e">
        <f>(#REF!-MIN(#REF!))/(MAX(#REF!)-MIN(#REF!))*100</f>
        <v>#REF!</v>
      </c>
      <c r="AS126" s="19" t="e">
        <f t="shared" si="53"/>
        <v>#REF!</v>
      </c>
      <c r="AT126" s="19">
        <f t="shared" si="54"/>
        <v>8.3212243489896398</v>
      </c>
      <c r="AU126" s="19">
        <f t="shared" si="55"/>
        <v>9.7730184425027034</v>
      </c>
      <c r="AV126" s="19">
        <f t="shared" si="56"/>
        <v>0.3273068449595587</v>
      </c>
      <c r="AW126" s="19">
        <f t="shared" si="57"/>
        <v>7.3166236638407671</v>
      </c>
      <c r="AX126" s="19">
        <f t="shared" si="58"/>
        <v>9.2125434546046652</v>
      </c>
      <c r="AY126" s="19">
        <f t="shared" si="59"/>
        <v>2.8163552828663803</v>
      </c>
      <c r="AZ126" s="19">
        <f t="shared" si="60"/>
        <v>14.120004313937281</v>
      </c>
      <c r="BA126" s="19">
        <f t="shared" si="61"/>
        <v>7.839970174958788</v>
      </c>
      <c r="BB126" s="19">
        <f t="shared" si="62"/>
        <v>11.189450169671913</v>
      </c>
      <c r="BC126" s="20">
        <v>2.5</v>
      </c>
      <c r="BD126" s="43">
        <v>114113</v>
      </c>
      <c r="BE126">
        <v>1</v>
      </c>
      <c r="BF126">
        <v>0.9</v>
      </c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</row>
    <row r="127" spans="1:102" x14ac:dyDescent="0.35">
      <c r="A127" t="s">
        <v>2695</v>
      </c>
      <c r="B127" t="s">
        <v>2937</v>
      </c>
      <c r="C127" t="s">
        <v>2942</v>
      </c>
      <c r="D127" t="s">
        <v>2943</v>
      </c>
      <c r="E127" s="19">
        <v>12</v>
      </c>
      <c r="F127" s="19">
        <v>8.0547742824758597</v>
      </c>
      <c r="G127" s="19">
        <v>0.67123119020632205</v>
      </c>
      <c r="H127" s="19">
        <v>2</v>
      </c>
      <c r="I127" s="19">
        <v>78150.332999999999</v>
      </c>
      <c r="J127" s="19">
        <v>39075.167000000001</v>
      </c>
      <c r="K127" s="19">
        <v>2</v>
      </c>
      <c r="L127" s="19">
        <v>78150</v>
      </c>
      <c r="M127" s="19">
        <v>39075</v>
      </c>
      <c r="N127" s="19">
        <v>0</v>
      </c>
      <c r="O127" s="19">
        <v>0</v>
      </c>
      <c r="P127" s="19">
        <v>0</v>
      </c>
      <c r="Q127" s="19">
        <v>0</v>
      </c>
      <c r="R127" s="19">
        <v>70535.58</v>
      </c>
      <c r="S127" s="19">
        <v>52495.39</v>
      </c>
      <c r="T127" s="19">
        <f t="shared" si="51"/>
        <v>25.576014261171451</v>
      </c>
      <c r="U127" s="19">
        <v>334</v>
      </c>
      <c r="V127" s="19">
        <v>1334340.1100000001</v>
      </c>
      <c r="W127" s="19">
        <v>4864.7</v>
      </c>
      <c r="X127" s="49">
        <v>112</v>
      </c>
      <c r="Y127" s="19">
        <v>912624</v>
      </c>
      <c r="Z127" s="19">
        <v>4865</v>
      </c>
      <c r="AA127" s="19">
        <v>57</v>
      </c>
      <c r="AB127" s="19">
        <v>2321.5799999999899</v>
      </c>
      <c r="AC127" s="19">
        <v>65</v>
      </c>
      <c r="AD127" s="19">
        <f t="shared" si="63"/>
        <v>4.8186136160253322E-2</v>
      </c>
      <c r="AE127" s="19">
        <f t="shared" si="64"/>
        <v>4.9393678616310013E-2</v>
      </c>
      <c r="AF127" s="19">
        <f t="shared" si="65"/>
        <v>28.055260261223928</v>
      </c>
      <c r="AG127" s="19">
        <f t="shared" si="66"/>
        <v>9.7751710654936458E-2</v>
      </c>
      <c r="AH127" s="19">
        <f t="shared" si="67"/>
        <v>5.8511549691443274E-2</v>
      </c>
      <c r="AI127" s="19">
        <f t="shared" si="68"/>
        <v>19.865912804720065</v>
      </c>
      <c r="AJ127" s="19">
        <f t="shared" si="69"/>
        <v>0.1004016064257028</v>
      </c>
      <c r="AK127" s="19">
        <f t="shared" si="70"/>
        <v>6.0345251282375195E-2</v>
      </c>
      <c r="AL127" s="19">
        <f t="shared" si="71"/>
        <v>19.865782048348969</v>
      </c>
      <c r="AM127" s="19">
        <f t="shared" si="72"/>
        <v>0</v>
      </c>
      <c r="AN127" s="19">
        <f t="shared" si="73"/>
        <v>0</v>
      </c>
      <c r="AO127" s="19">
        <f t="shared" si="74"/>
        <v>0</v>
      </c>
      <c r="AP127" s="19">
        <f t="shared" si="75"/>
        <v>0</v>
      </c>
      <c r="AQ127" s="19">
        <f t="shared" si="52"/>
        <v>50</v>
      </c>
      <c r="AR127" s="19" t="e">
        <f>(#REF!-MIN(#REF!))/(MAX(#REF!)-MIN(#REF!))*100</f>
        <v>#REF!</v>
      </c>
      <c r="AS127" s="19" t="e">
        <f t="shared" si="53"/>
        <v>#REF!</v>
      </c>
      <c r="AT127" s="19">
        <f t="shared" si="54"/>
        <v>0.27702568498520791</v>
      </c>
      <c r="AU127" s="19">
        <f t="shared" si="55"/>
        <v>0.2219923615322793</v>
      </c>
      <c r="AV127" s="19">
        <f t="shared" si="56"/>
        <v>4.5850388799868362E-4</v>
      </c>
      <c r="AW127" s="19">
        <f t="shared" si="57"/>
        <v>0.23432152072034121</v>
      </c>
      <c r="AX127" s="19">
        <f t="shared" si="58"/>
        <v>0.26484336220677274</v>
      </c>
      <c r="AY127" s="19">
        <f t="shared" si="59"/>
        <v>6.2322280803308178E-3</v>
      </c>
      <c r="AZ127" s="19">
        <f t="shared" si="60"/>
        <v>0</v>
      </c>
      <c r="BA127" s="19">
        <f t="shared" si="61"/>
        <v>4.2104212494256459E-4</v>
      </c>
      <c r="BB127" s="19">
        <f t="shared" si="62"/>
        <v>0</v>
      </c>
      <c r="BC127" s="20">
        <v>0.1</v>
      </c>
      <c r="BD127" s="43">
        <v>4315</v>
      </c>
      <c r="BE127">
        <v>0</v>
      </c>
      <c r="BF127">
        <v>0</v>
      </c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</row>
    <row r="128" spans="1:102" x14ac:dyDescent="0.35">
      <c r="A128" t="s">
        <v>2695</v>
      </c>
      <c r="B128" t="s">
        <v>2937</v>
      </c>
      <c r="C128" t="s">
        <v>2946</v>
      </c>
      <c r="D128" t="s">
        <v>2947</v>
      </c>
      <c r="E128" s="19">
        <v>155</v>
      </c>
      <c r="F128" s="19">
        <v>84.342425901866406</v>
      </c>
      <c r="G128" s="19">
        <v>0.54414468323784804</v>
      </c>
      <c r="H128" s="19">
        <v>8</v>
      </c>
      <c r="I128" s="19">
        <v>672220.973</v>
      </c>
      <c r="J128" s="19">
        <v>84027.622000000003</v>
      </c>
      <c r="K128" s="19">
        <v>8</v>
      </c>
      <c r="L128" s="19">
        <v>672221</v>
      </c>
      <c r="M128" s="19">
        <v>84028</v>
      </c>
      <c r="N128" s="19">
        <v>0</v>
      </c>
      <c r="O128" s="19">
        <v>0</v>
      </c>
      <c r="P128" s="19">
        <v>0</v>
      </c>
      <c r="Q128" s="19">
        <v>0.83</v>
      </c>
      <c r="R128" s="19">
        <v>480788.01</v>
      </c>
      <c r="S128" s="19">
        <v>0</v>
      </c>
      <c r="T128" s="19">
        <f t="shared" si="51"/>
        <v>50</v>
      </c>
      <c r="U128" s="19">
        <v>2020</v>
      </c>
      <c r="V128" s="19">
        <v>11294065.939999999</v>
      </c>
      <c r="W128" s="19">
        <v>118862.11199999999</v>
      </c>
      <c r="X128" s="49">
        <v>715</v>
      </c>
      <c r="Y128" s="19">
        <v>6449544</v>
      </c>
      <c r="Z128" s="19">
        <v>111889</v>
      </c>
      <c r="AA128" s="19">
        <v>128</v>
      </c>
      <c r="AB128" s="19">
        <v>6411.699999999988</v>
      </c>
      <c r="AC128" s="19">
        <v>232</v>
      </c>
      <c r="AD128" s="19">
        <f t="shared" si="63"/>
        <v>1.032560060576857</v>
      </c>
      <c r="AE128" s="19">
        <f t="shared" si="64"/>
        <v>0.72410028600142962</v>
      </c>
      <c r="AF128" s="19">
        <f t="shared" si="65"/>
        <v>16.856666689501594</v>
      </c>
      <c r="AG128" s="19">
        <f t="shared" si="66"/>
        <v>0.39100684261974583</v>
      </c>
      <c r="AH128" s="19">
        <f t="shared" si="67"/>
        <v>0.50329524335257603</v>
      </c>
      <c r="AI128" s="19">
        <f t="shared" si="68"/>
        <v>42.719853554048214</v>
      </c>
      <c r="AJ128" s="19">
        <f t="shared" si="69"/>
        <v>0.40160642570281119</v>
      </c>
      <c r="AK128" s="19">
        <f t="shared" si="70"/>
        <v>0.51907031557632166</v>
      </c>
      <c r="AL128" s="19">
        <f t="shared" si="71"/>
        <v>42.719947126261474</v>
      </c>
      <c r="AM128" s="19">
        <f t="shared" si="72"/>
        <v>0</v>
      </c>
      <c r="AN128" s="19">
        <f t="shared" si="73"/>
        <v>0</v>
      </c>
      <c r="AO128" s="19">
        <f t="shared" si="74"/>
        <v>0</v>
      </c>
      <c r="AP128" s="19">
        <f t="shared" si="75"/>
        <v>83</v>
      </c>
      <c r="AQ128" s="19">
        <f t="shared" si="52"/>
        <v>83</v>
      </c>
      <c r="AR128" s="19" t="e">
        <f>(#REF!-MIN(#REF!))/(MAX(#REF!)-MIN(#REF!))*100</f>
        <v>#REF!</v>
      </c>
      <c r="AS128" s="19" t="e">
        <f t="shared" si="53"/>
        <v>#REF!</v>
      </c>
      <c r="AT128" s="19">
        <f t="shared" si="54"/>
        <v>2.039536269457134</v>
      </c>
      <c r="AU128" s="19">
        <f t="shared" si="55"/>
        <v>2.0362782973168643</v>
      </c>
      <c r="AV128" s="19">
        <f t="shared" si="56"/>
        <v>1.1589593315301915E-2</v>
      </c>
      <c r="AW128" s="19">
        <f t="shared" si="57"/>
        <v>1.8219156442525406</v>
      </c>
      <c r="AX128" s="19">
        <f t="shared" si="58"/>
        <v>1.9862885299940458</v>
      </c>
      <c r="AY128" s="19">
        <f t="shared" si="59"/>
        <v>0.14826757264364546</v>
      </c>
      <c r="AZ128" s="19">
        <f t="shared" si="60"/>
        <v>2.9338079215293156E-3</v>
      </c>
      <c r="BA128" s="19">
        <f t="shared" si="61"/>
        <v>1.1628269508241146E-3</v>
      </c>
      <c r="BB128" s="19">
        <f t="shared" si="62"/>
        <v>2.7060652482563704E-3</v>
      </c>
      <c r="BC128" s="20">
        <v>0.8</v>
      </c>
      <c r="BD128" s="43">
        <v>33078</v>
      </c>
      <c r="BE128">
        <v>0</v>
      </c>
      <c r="BF128">
        <v>0</v>
      </c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</row>
    <row r="129" spans="1:102" x14ac:dyDescent="0.35">
      <c r="A129" t="s">
        <v>2695</v>
      </c>
      <c r="B129" t="s">
        <v>2937</v>
      </c>
      <c r="C129" t="s">
        <v>2937</v>
      </c>
      <c r="D129" t="s">
        <v>2948</v>
      </c>
      <c r="E129" s="19">
        <v>277</v>
      </c>
      <c r="F129" s="19">
        <v>147.344580473245</v>
      </c>
      <c r="G129" s="19">
        <v>0.53192989340521901</v>
      </c>
      <c r="H129" s="19">
        <v>17</v>
      </c>
      <c r="I129" s="19">
        <v>1432093.567</v>
      </c>
      <c r="J129" s="19">
        <v>84240.797999999995</v>
      </c>
      <c r="K129" s="19">
        <v>17</v>
      </c>
      <c r="L129" s="19">
        <v>1432094</v>
      </c>
      <c r="M129" s="19">
        <v>84241</v>
      </c>
      <c r="N129" s="19">
        <v>40106.019999999997</v>
      </c>
      <c r="O129" s="19">
        <v>8397.36</v>
      </c>
      <c r="P129" s="19">
        <v>225273.60000000001</v>
      </c>
      <c r="Q129" s="19">
        <v>0.85</v>
      </c>
      <c r="R129" s="19">
        <v>2360992.85</v>
      </c>
      <c r="S129" s="19">
        <v>271.20999999999998</v>
      </c>
      <c r="T129" s="19">
        <f t="shared" si="51"/>
        <v>99.988512883467649</v>
      </c>
      <c r="U129" s="19">
        <v>2100</v>
      </c>
      <c r="V129" s="19">
        <v>10510931.869999999</v>
      </c>
      <c r="W129" s="19">
        <v>511947.772</v>
      </c>
      <c r="X129" s="49">
        <v>763</v>
      </c>
      <c r="Y129" s="19">
        <v>6552648</v>
      </c>
      <c r="Z129" s="19">
        <v>510700</v>
      </c>
      <c r="AA129" s="19">
        <v>30643</v>
      </c>
      <c r="AB129" s="19">
        <v>1826684.629999999</v>
      </c>
      <c r="AC129" s="19">
        <v>51860</v>
      </c>
      <c r="AD129" s="19">
        <f t="shared" si="63"/>
        <v>1.8723755765127006</v>
      </c>
      <c r="AE129" s="19">
        <f t="shared" si="64"/>
        <v>1.2813067154362454</v>
      </c>
      <c r="AF129" s="19">
        <f t="shared" si="65"/>
        <v>15.780325304703352</v>
      </c>
      <c r="AG129" s="19">
        <f t="shared" si="66"/>
        <v>0.83088954056695985</v>
      </c>
      <c r="AH129" s="19">
        <f t="shared" si="67"/>
        <v>1.0722156987906468</v>
      </c>
      <c r="AI129" s="19">
        <f t="shared" si="68"/>
        <v>42.828232766555715</v>
      </c>
      <c r="AJ129" s="19">
        <f t="shared" si="69"/>
        <v>0.85341365461847396</v>
      </c>
      <c r="AK129" s="19">
        <f t="shared" si="70"/>
        <v>1.1058230619319491</v>
      </c>
      <c r="AL129" s="19">
        <f t="shared" si="71"/>
        <v>42.828236609979918</v>
      </c>
      <c r="AM129" s="19">
        <f t="shared" si="72"/>
        <v>0.42946217090093664</v>
      </c>
      <c r="AN129" s="19">
        <f t="shared" si="73"/>
        <v>3.1107867137575456</v>
      </c>
      <c r="AO129" s="19">
        <f t="shared" si="74"/>
        <v>0.91539282791660048</v>
      </c>
      <c r="AP129" s="19">
        <f t="shared" si="75"/>
        <v>85</v>
      </c>
      <c r="AQ129" s="19">
        <f t="shared" si="52"/>
        <v>85</v>
      </c>
      <c r="AR129" s="19" t="e">
        <f>(#REF!-MIN(#REF!))/(MAX(#REF!)-MIN(#REF!))*100</f>
        <v>#REF!</v>
      </c>
      <c r="AS129" s="19" t="e">
        <f t="shared" si="53"/>
        <v>#REF!</v>
      </c>
      <c r="AT129" s="19">
        <f t="shared" si="54"/>
        <v>2.123166664924367</v>
      </c>
      <c r="AU129" s="19">
        <f t="shared" si="55"/>
        <v>1.8936208433581398</v>
      </c>
      <c r="AV129" s="19">
        <f t="shared" si="56"/>
        <v>4.9971794781862512E-2</v>
      </c>
      <c r="AW129" s="19">
        <f t="shared" si="57"/>
        <v>1.9482912958769942</v>
      </c>
      <c r="AX129" s="19">
        <f t="shared" si="58"/>
        <v>2.0183438753086862</v>
      </c>
      <c r="AY129" s="19">
        <f t="shared" si="59"/>
        <v>0.67754378919918512</v>
      </c>
      <c r="AZ129" s="19">
        <f t="shared" si="60"/>
        <v>1.2638513956041642</v>
      </c>
      <c r="BA129" s="19">
        <f t="shared" si="61"/>
        <v>0.33128782045638105</v>
      </c>
      <c r="BB129" s="19">
        <f t="shared" si="62"/>
        <v>0.83928532654753718</v>
      </c>
      <c r="BC129" s="20">
        <v>0.6</v>
      </c>
      <c r="BD129" s="43">
        <v>26829</v>
      </c>
      <c r="BE129">
        <v>0</v>
      </c>
      <c r="BF129">
        <v>0</v>
      </c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</row>
    <row r="130" spans="1:102" x14ac:dyDescent="0.35">
      <c r="A130" t="s">
        <v>2695</v>
      </c>
      <c r="B130" t="s">
        <v>2937</v>
      </c>
      <c r="C130" t="s">
        <v>2955</v>
      </c>
      <c r="D130" t="s">
        <v>2956</v>
      </c>
      <c r="E130" s="19">
        <v>209</v>
      </c>
      <c r="F130" s="19">
        <v>145.217099256436</v>
      </c>
      <c r="G130" s="19">
        <v>0.69481865672936105</v>
      </c>
      <c r="H130" s="19">
        <v>29</v>
      </c>
      <c r="I130" s="19">
        <v>1368233.49</v>
      </c>
      <c r="J130" s="19">
        <v>47180.464999999997</v>
      </c>
      <c r="K130" s="19">
        <v>28</v>
      </c>
      <c r="L130" s="19">
        <v>1364505</v>
      </c>
      <c r="M130" s="19">
        <v>48732</v>
      </c>
      <c r="N130" s="19">
        <v>0</v>
      </c>
      <c r="O130" s="19">
        <v>0</v>
      </c>
      <c r="P130" s="19">
        <v>90000</v>
      </c>
      <c r="Q130" s="19">
        <v>0.88</v>
      </c>
      <c r="R130" s="19">
        <v>3818850.93</v>
      </c>
      <c r="S130" s="19">
        <v>178234.78</v>
      </c>
      <c r="T130" s="19">
        <f t="shared" si="51"/>
        <v>95.332764141175844</v>
      </c>
      <c r="U130" s="19">
        <v>2601</v>
      </c>
      <c r="V130" s="19">
        <v>12925198.619999999</v>
      </c>
      <c r="W130" s="19">
        <v>574735.05299999996</v>
      </c>
      <c r="X130" s="49">
        <v>943</v>
      </c>
      <c r="Y130" s="19">
        <v>7342907</v>
      </c>
      <c r="Z130" s="19">
        <v>543395</v>
      </c>
      <c r="AA130" s="19">
        <v>19759</v>
      </c>
      <c r="AB130" s="19">
        <v>630413.15999999689</v>
      </c>
      <c r="AC130" s="19">
        <v>29856</v>
      </c>
      <c r="AD130" s="19">
        <f t="shared" ref="AD130:AD161" si="76">(E130-MIN($E$2:$E$170))/(MAX($E$2:$E$170)-MIN($E$2:$E$170))*100</f>
        <v>1.4042816823845254</v>
      </c>
      <c r="AE130" s="19">
        <f t="shared" ref="AE130:AE161" si="77">(F130-MIN($F$2:$F$170))/(MAX($F$2:$F$170)-MIN($F$2:$F$170))*100</f>
        <v>1.2624907523858908</v>
      </c>
      <c r="AF130" s="19">
        <f t="shared" ref="AF130:AF161" si="78">(G130-MIN($G$2:$G$170))/(MAX($G$2:$G$170)-MIN($G$2:$G$170))*100</f>
        <v>30.133737806000944</v>
      </c>
      <c r="AG130" s="19">
        <f t="shared" ref="AG130:AG161" si="79">(H130-MIN($H$2:$H$170))/(MAX($H$2:$H$170)-MIN($H$2:$H$170))*100</f>
        <v>1.4173998044965785</v>
      </c>
      <c r="AH130" s="19">
        <f t="shared" ref="AH130:AH161" si="80">(I130-MIN($I$2:$I$170))/(MAX($I$2:$I$170)-MIN($I$2:$I$170))*100</f>
        <v>1.0244033360629681</v>
      </c>
      <c r="AI130" s="19">
        <f t="shared" ref="AI130:AI161" si="81">(J130-MIN($J$2:$J$170))/(MAX($J$2:$J$170)-MIN($J$2:$J$170))*100</f>
        <v>23.986666615555265</v>
      </c>
      <c r="AJ130" s="19">
        <f t="shared" ref="AJ130:AJ161" si="82">(K130-MIN($K$2:$K$170))/(MAX($K$2:$K$170)-MIN($K$2:$K$170))*100</f>
        <v>1.4056224899598393</v>
      </c>
      <c r="AK130" s="19">
        <f t="shared" ref="AK130:AK161" si="83">(L130-MIN($L$2:$L$170))/(MAX($L$2:$L$170)-MIN($L$2:$L$170))*100</f>
        <v>1.0536327204229989</v>
      </c>
      <c r="AL130" s="19">
        <f t="shared" ref="AL130:AL161" si="84">(M130-MIN($M$2:$M$170))/(MAX($M$2:$M$170)-MIN($M$2:$M$170))*100</f>
        <v>24.775413711583923</v>
      </c>
      <c r="AM130" s="19">
        <f t="shared" ref="AM130:AM161" si="85">(N130-MIN($N$2:$N$170))/(MAX($N$2:$N$170)-MIN($N$2:$N$170))*100</f>
        <v>0</v>
      </c>
      <c r="AN130" s="19">
        <f t="shared" ref="AN130:AN161" si="86">(O130-MIN($O$2:$O$170))/(MAX($O$2:$O$170)-MIN($O$2:$O$170))*100</f>
        <v>0</v>
      </c>
      <c r="AO130" s="19">
        <f t="shared" ref="AO130:AO161" si="87">(P130-MIN($P$2:$P$170))/(MAX($P$2:$P$170)-MIN($P$2:$P$170))*100</f>
        <v>0.36571242485801286</v>
      </c>
      <c r="AP130" s="19">
        <f t="shared" ref="AP130:AP161" si="88">(Q130-MIN($Q$2:$Q$170))/(MAX($Q$2:$Q$170)-MIN($Q$2:$Q$170))*100</f>
        <v>88</v>
      </c>
      <c r="AQ130" s="19">
        <f t="shared" si="52"/>
        <v>88</v>
      </c>
      <c r="AR130" s="19" t="e">
        <f>(#REF!-MIN(#REF!))/(MAX(#REF!)-MIN(#REF!))*100</f>
        <v>#REF!</v>
      </c>
      <c r="AS130" s="19" t="e">
        <f t="shared" si="53"/>
        <v>#REF!</v>
      </c>
      <c r="AT130" s="19">
        <f t="shared" si="54"/>
        <v>2.6469020165379105</v>
      </c>
      <c r="AU130" s="19">
        <f t="shared" si="55"/>
        <v>2.3334090749341247</v>
      </c>
      <c r="AV130" s="19">
        <f t="shared" si="56"/>
        <v>5.6102555361832666E-2</v>
      </c>
      <c r="AW130" s="19">
        <f t="shared" si="57"/>
        <v>2.4221999894686959</v>
      </c>
      <c r="AX130" s="19">
        <f t="shared" si="58"/>
        <v>2.2640377876011528</v>
      </c>
      <c r="AY130" s="19">
        <f t="shared" si="59"/>
        <v>0.72093448278658201</v>
      </c>
      <c r="AZ130" s="19">
        <f t="shared" si="60"/>
        <v>0.8141110376052193</v>
      </c>
      <c r="BA130" s="19">
        <f t="shared" si="61"/>
        <v>0.11433183283718709</v>
      </c>
      <c r="BB130" s="19">
        <f t="shared" si="62"/>
        <v>0.48273287311859597</v>
      </c>
      <c r="BC130" s="20">
        <v>0.5</v>
      </c>
      <c r="BD130" s="43">
        <v>22897</v>
      </c>
      <c r="BE130">
        <v>0</v>
      </c>
      <c r="BF130">
        <v>0</v>
      </c>
      <c r="BG130" s="36"/>
      <c r="BH130" s="36"/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</row>
    <row r="131" spans="1:102" x14ac:dyDescent="0.35">
      <c r="A131" t="s">
        <v>3039</v>
      </c>
      <c r="B131" t="s">
        <v>3040</v>
      </c>
      <c r="C131" t="s">
        <v>3041</v>
      </c>
      <c r="D131" t="s">
        <v>3042</v>
      </c>
      <c r="E131" s="19">
        <v>2962</v>
      </c>
      <c r="F131" s="19">
        <v>2475.4802019014601</v>
      </c>
      <c r="G131" s="19">
        <v>0.83574618565208192</v>
      </c>
      <c r="H131" s="19">
        <v>296</v>
      </c>
      <c r="I131" s="19">
        <v>20271734.809999999</v>
      </c>
      <c r="J131" s="19">
        <v>68485.591</v>
      </c>
      <c r="K131" s="19">
        <v>282</v>
      </c>
      <c r="L131" s="19">
        <v>20003500</v>
      </c>
      <c r="M131" s="19">
        <v>70934</v>
      </c>
      <c r="N131" s="19">
        <v>623230.14</v>
      </c>
      <c r="O131" s="19">
        <v>52459.16</v>
      </c>
      <c r="P131" s="19">
        <v>2864214.3</v>
      </c>
      <c r="Q131" s="19">
        <v>0.81</v>
      </c>
      <c r="R131" s="19">
        <v>49501700.68</v>
      </c>
      <c r="S131" s="19">
        <v>2751735.77</v>
      </c>
      <c r="T131" s="19">
        <f t="shared" ref="T131:T170" si="89">IF((100-IFERROR(S131/R131*100,0))=100,50,(100-IFERROR(S131/R131*100,0)))</f>
        <v>94.441128825475332</v>
      </c>
      <c r="U131" s="19">
        <v>19593</v>
      </c>
      <c r="V131" s="19">
        <v>150116570.80000001</v>
      </c>
      <c r="W131" s="19">
        <v>24316415.149999999</v>
      </c>
      <c r="X131" s="49">
        <v>5878</v>
      </c>
      <c r="Y131" s="19">
        <v>67930901</v>
      </c>
      <c r="Z131" s="19">
        <v>13796255</v>
      </c>
      <c r="AA131" s="19">
        <v>98202</v>
      </c>
      <c r="AB131" s="19">
        <v>6991567.7599999411</v>
      </c>
      <c r="AC131" s="19">
        <v>152563</v>
      </c>
      <c r="AD131" s="19">
        <f t="shared" si="76"/>
        <v>20.355200660838438</v>
      </c>
      <c r="AE131" s="19">
        <f t="shared" si="77"/>
        <v>21.871906285904807</v>
      </c>
      <c r="AF131" s="19">
        <f t="shared" si="78"/>
        <v>42.551972889479892</v>
      </c>
      <c r="AG131" s="19">
        <f t="shared" si="79"/>
        <v>14.467253176930598</v>
      </c>
      <c r="AH131" s="19">
        <f t="shared" si="80"/>
        <v>15.17755041001649</v>
      </c>
      <c r="AI131" s="19">
        <f t="shared" si="81"/>
        <v>34.818246053451837</v>
      </c>
      <c r="AJ131" s="19">
        <f t="shared" si="82"/>
        <v>14.156626506024098</v>
      </c>
      <c r="AK131" s="19">
        <f t="shared" si="83"/>
        <v>15.446145029136177</v>
      </c>
      <c r="AL131" s="19">
        <f t="shared" si="84"/>
        <v>36.062940084903019</v>
      </c>
      <c r="AM131" s="19">
        <f t="shared" si="85"/>
        <v>6.6736556979549375</v>
      </c>
      <c r="AN131" s="19">
        <f t="shared" si="86"/>
        <v>19.433400252327075</v>
      </c>
      <c r="AO131" s="19">
        <f t="shared" si="87"/>
        <v>11.63865285517773</v>
      </c>
      <c r="AP131" s="19">
        <f t="shared" si="88"/>
        <v>81</v>
      </c>
      <c r="AQ131" s="19">
        <f t="shared" ref="AQ131:AQ170" si="90">IF(AP131&gt;=50,AP131,50)</f>
        <v>81</v>
      </c>
      <c r="AR131" s="19" t="e">
        <f>(#REF!-MIN(#REF!))/(MAX(#REF!)-MIN(#REF!))*100</f>
        <v>#REF!</v>
      </c>
      <c r="AS131" s="19" t="e">
        <f t="shared" ref="AS131:AS170" si="91">IF(AR131&gt;=50,AR131,50)</f>
        <v>#REF!</v>
      </c>
      <c r="AT131" s="19">
        <f t="shared" ref="AT131:AT170" si="92">(U131-MIN($U$2:$U$170))/(MAX($U$2:$U$170)-MIN($U$2:$U$170))*100</f>
        <v>20.409998013778107</v>
      </c>
      <c r="AU131" s="19">
        <f t="shared" ref="AU131:AU170" si="93">(V131-MIN($V$2:$V$170))/(MAX($V$2:$V$170)-MIN($V$2:$V$170))*100</f>
        <v>27.324496310230295</v>
      </c>
      <c r="AV131" s="19">
        <f t="shared" ref="AV131:AV170" si="94">(W131-MIN($W$2:$W$170))/(MAX($W$2:$W$170)-MIN($W$2:$W$170))*100</f>
        <v>2.3743197822067041</v>
      </c>
      <c r="AW131" s="19">
        <f t="shared" ref="AW131:AW170" si="95">(X131-MIN($X$2:$X$170))/(MAX($X$2:$X$170)-MIN($X$2:$X$170))*100</f>
        <v>15.41519667210784</v>
      </c>
      <c r="AX131" s="19">
        <f t="shared" ref="AX131:AX170" si="96">(Y131-MIN($Y$2:$Y$170))/(MAX($Y$2:$Y$170)-MIN($Y$2:$Y$170))*100</f>
        <v>21.101028298069842</v>
      </c>
      <c r="AY131" s="19">
        <f t="shared" ref="AY131:AY170" si="97">(Z131-MIN($Z$2:$Z$170))/(MAX($Z$2:$Z$170)-MIN($Z$2:$Z$170))*100</f>
        <v>18.309274822797889</v>
      </c>
      <c r="AZ131" s="19">
        <f t="shared" ref="AZ131:AZ170" si="98">(AA131-MIN($AA$2:$AA$170))/(MAX($AA$2:$AA$170)-MIN($AA$2:$AA$170))*100</f>
        <v>4.0554729360351365</v>
      </c>
      <c r="BA131" s="19">
        <f t="shared" ref="BA131:BA170" si="99">(AB131-MIN($AB$2:$AB$170))/(MAX($AB$2:$AB$170)-MIN($AB$2:$AB$170))*100</f>
        <v>1.2679918617279242</v>
      </c>
      <c r="BB131" s="19">
        <f t="shared" ref="BB131:BB170" si="100">(AC131-MIN($AC$2:$AC$170))/(MAX($AC$2:$AC$170)-MIN($AC$2:$AC$170))*100</f>
        <v>2.4710750792131737</v>
      </c>
      <c r="BC131" s="20">
        <v>5.8</v>
      </c>
      <c r="BD131" s="43">
        <v>306588</v>
      </c>
      <c r="BE131">
        <v>1</v>
      </c>
      <c r="BF131">
        <v>0.2</v>
      </c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</row>
    <row r="132" spans="1:102" x14ac:dyDescent="0.35">
      <c r="A132" t="s">
        <v>3039</v>
      </c>
      <c r="B132" t="s">
        <v>3040</v>
      </c>
      <c r="C132" t="s">
        <v>3055</v>
      </c>
      <c r="D132" t="s">
        <v>3056</v>
      </c>
      <c r="E132" s="19">
        <v>748</v>
      </c>
      <c r="F132" s="19">
        <v>519.77652051875498</v>
      </c>
      <c r="G132" s="19">
        <v>0.69488839641544808</v>
      </c>
      <c r="H132" s="19">
        <v>63</v>
      </c>
      <c r="I132" s="19">
        <v>4630415.6310000001</v>
      </c>
      <c r="J132" s="19">
        <v>73498.660999999993</v>
      </c>
      <c r="K132" s="19">
        <v>60</v>
      </c>
      <c r="L132" s="19">
        <v>4590729</v>
      </c>
      <c r="M132" s="19">
        <v>76512</v>
      </c>
      <c r="N132" s="19">
        <v>14309.62</v>
      </c>
      <c r="O132" s="19">
        <v>3327.13</v>
      </c>
      <c r="P132" s="19">
        <v>208822.03</v>
      </c>
      <c r="Q132" s="19">
        <v>0.81</v>
      </c>
      <c r="R132" s="19">
        <v>10603783.439999999</v>
      </c>
      <c r="S132" s="19">
        <v>207205.89</v>
      </c>
      <c r="T132" s="19">
        <f t="shared" si="89"/>
        <v>98.045924917531138</v>
      </c>
      <c r="U132" s="19">
        <v>5781</v>
      </c>
      <c r="V132" s="19">
        <v>37908758.939999998</v>
      </c>
      <c r="W132" s="19">
        <v>1328302.605</v>
      </c>
      <c r="X132" s="49">
        <v>1537</v>
      </c>
      <c r="Y132" s="19">
        <v>18401320</v>
      </c>
      <c r="Z132" s="19">
        <v>1231741</v>
      </c>
      <c r="AA132" s="19"/>
      <c r="AB132" s="19"/>
      <c r="AC132" s="19"/>
      <c r="AD132" s="19">
        <f t="shared" si="76"/>
        <v>5.1146141667240315</v>
      </c>
      <c r="AE132" s="19">
        <f t="shared" si="77"/>
        <v>4.5751856777045523</v>
      </c>
      <c r="AF132" s="19">
        <f t="shared" si="78"/>
        <v>30.139883119291373</v>
      </c>
      <c r="AG132" s="19">
        <f t="shared" si="79"/>
        <v>3.0791788856304985</v>
      </c>
      <c r="AH132" s="19">
        <f t="shared" si="80"/>
        <v>3.4668156089020399</v>
      </c>
      <c r="AI132" s="19">
        <f t="shared" si="81"/>
        <v>37.366903401581858</v>
      </c>
      <c r="AJ132" s="19">
        <f t="shared" si="82"/>
        <v>3.0120481927710845</v>
      </c>
      <c r="AK132" s="19">
        <f t="shared" si="83"/>
        <v>3.5448329504067435</v>
      </c>
      <c r="AL132" s="19">
        <f t="shared" si="84"/>
        <v>38.898802714863109</v>
      </c>
      <c r="AM132" s="19">
        <f t="shared" si="85"/>
        <v>0.15322987596294674</v>
      </c>
      <c r="AN132" s="19">
        <f t="shared" si="86"/>
        <v>1.2325292471615057</v>
      </c>
      <c r="AO132" s="19">
        <f t="shared" si="87"/>
        <v>0.84854234394525219</v>
      </c>
      <c r="AP132" s="19">
        <f t="shared" si="88"/>
        <v>81</v>
      </c>
      <c r="AQ132" s="19">
        <f t="shared" si="90"/>
        <v>81</v>
      </c>
      <c r="AR132" s="19" t="e">
        <f>(#REF!-MIN(#REF!))/(MAX(#REF!)-MIN(#REF!))*100</f>
        <v>#REF!</v>
      </c>
      <c r="AS132" s="19" t="e">
        <f t="shared" si="91"/>
        <v>#REF!</v>
      </c>
      <c r="AT132" s="19">
        <f t="shared" si="92"/>
        <v>5.9712102363604052</v>
      </c>
      <c r="AU132" s="19">
        <f t="shared" si="93"/>
        <v>6.8844703077513962</v>
      </c>
      <c r="AV132" s="19">
        <f t="shared" si="94"/>
        <v>0.12968341709951825</v>
      </c>
      <c r="AW132" s="19">
        <f t="shared" si="95"/>
        <v>3.9860986783213099</v>
      </c>
      <c r="AX132" s="19">
        <f t="shared" si="96"/>
        <v>5.7021318222352022</v>
      </c>
      <c r="AY132" s="19">
        <f t="shared" si="97"/>
        <v>1.6344628622975272</v>
      </c>
      <c r="AZ132" s="19">
        <f t="shared" si="98"/>
        <v>-2.3553105848897319E-3</v>
      </c>
      <c r="BA132" s="19">
        <f t="shared" si="99"/>
        <v>0</v>
      </c>
      <c r="BB132" s="19">
        <f t="shared" si="100"/>
        <v>-1.0532589289620603E-3</v>
      </c>
      <c r="BC132" s="20">
        <v>1</v>
      </c>
      <c r="BD132" s="43">
        <v>45521</v>
      </c>
      <c r="BE132">
        <v>0</v>
      </c>
      <c r="BF132">
        <v>0</v>
      </c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</row>
    <row r="133" spans="1:102" x14ac:dyDescent="0.35">
      <c r="A133" t="s">
        <v>3039</v>
      </c>
      <c r="B133" t="s">
        <v>3040</v>
      </c>
      <c r="C133" t="s">
        <v>3059</v>
      </c>
      <c r="D133" t="s">
        <v>3060</v>
      </c>
      <c r="E133" s="19">
        <v>797</v>
      </c>
      <c r="F133" s="19">
        <v>675.44937666993997</v>
      </c>
      <c r="G133" s="19">
        <v>0.84748980761598502</v>
      </c>
      <c r="H133" s="19">
        <v>51</v>
      </c>
      <c r="I133" s="19">
        <v>4541337.9869999997</v>
      </c>
      <c r="J133" s="19">
        <v>89045.842999999993</v>
      </c>
      <c r="K133" s="19">
        <v>50</v>
      </c>
      <c r="L133" s="19">
        <v>4513919</v>
      </c>
      <c r="M133" s="19">
        <v>90278</v>
      </c>
      <c r="N133" s="19">
        <v>0</v>
      </c>
      <c r="O133" s="19">
        <v>0</v>
      </c>
      <c r="P133" s="19">
        <v>599484.41</v>
      </c>
      <c r="Q133" s="19">
        <v>0.93</v>
      </c>
      <c r="R133" s="19">
        <v>14906340.83</v>
      </c>
      <c r="S133" s="19">
        <v>4571.12</v>
      </c>
      <c r="T133" s="19">
        <f t="shared" si="89"/>
        <v>99.969334392309079</v>
      </c>
      <c r="U133" s="19">
        <v>4144</v>
      </c>
      <c r="V133" s="19">
        <v>23246838.34</v>
      </c>
      <c r="W133" s="19">
        <v>10520555.616</v>
      </c>
      <c r="X133" s="49">
        <v>1165</v>
      </c>
      <c r="Y133" s="19">
        <v>13079917</v>
      </c>
      <c r="Z133" s="19">
        <v>1656545</v>
      </c>
      <c r="AA133" s="19">
        <v>35315</v>
      </c>
      <c r="AB133" s="19">
        <v>1741234.64</v>
      </c>
      <c r="AC133" s="19">
        <v>47424</v>
      </c>
      <c r="AD133" s="19">
        <f t="shared" si="76"/>
        <v>5.4519171198458043</v>
      </c>
      <c r="AE133" s="19">
        <f t="shared" si="77"/>
        <v>5.9519944063274259</v>
      </c>
      <c r="AF133" s="19">
        <f t="shared" si="78"/>
        <v>43.586795960557971</v>
      </c>
      <c r="AG133" s="19">
        <f t="shared" si="79"/>
        <v>2.4926686217008798</v>
      </c>
      <c r="AH133" s="19">
        <f t="shared" si="80"/>
        <v>3.4001227261819791</v>
      </c>
      <c r="AI133" s="19">
        <f t="shared" si="81"/>
        <v>45.271129683483949</v>
      </c>
      <c r="AJ133" s="19">
        <f t="shared" si="82"/>
        <v>2.5100401606425704</v>
      </c>
      <c r="AK133" s="19">
        <f t="shared" si="83"/>
        <v>3.4855224097669577</v>
      </c>
      <c r="AL133" s="19">
        <f t="shared" si="84"/>
        <v>45.897455451333279</v>
      </c>
      <c r="AM133" s="19">
        <f t="shared" si="85"/>
        <v>0</v>
      </c>
      <c r="AN133" s="19">
        <f t="shared" si="86"/>
        <v>0</v>
      </c>
      <c r="AO133" s="19">
        <f t="shared" si="87"/>
        <v>2.4359877471741687</v>
      </c>
      <c r="AP133" s="19">
        <f t="shared" si="88"/>
        <v>93</v>
      </c>
      <c r="AQ133" s="19">
        <f t="shared" si="90"/>
        <v>93</v>
      </c>
      <c r="AR133" s="19" t="e">
        <f>(#REF!-MIN(#REF!))/(MAX(#REF!)-MIN(#REF!))*100</f>
        <v>#REF!</v>
      </c>
      <c r="AS133" s="19" t="e">
        <f t="shared" si="91"/>
        <v>#REF!</v>
      </c>
      <c r="AT133" s="19">
        <f t="shared" si="92"/>
        <v>4.2599232691121589</v>
      </c>
      <c r="AU133" s="19">
        <f t="shared" si="93"/>
        <v>4.2136220544747012</v>
      </c>
      <c r="AV133" s="19">
        <f t="shared" si="94"/>
        <v>1.0272458135496976</v>
      </c>
      <c r="AW133" s="19">
        <f t="shared" si="95"/>
        <v>3.0066873782317942</v>
      </c>
      <c r="AX133" s="19">
        <f t="shared" si="96"/>
        <v>4.0476915413211385</v>
      </c>
      <c r="AY133" s="19">
        <f t="shared" si="97"/>
        <v>2.1982353106443866</v>
      </c>
      <c r="AZ133" s="19">
        <f t="shared" si="98"/>
        <v>1.4569042210884593</v>
      </c>
      <c r="BA133" s="19">
        <f t="shared" si="99"/>
        <v>0.31579059642536744</v>
      </c>
      <c r="BB133" s="19">
        <f t="shared" si="100"/>
        <v>0.76740445564175719</v>
      </c>
      <c r="BC133" s="20">
        <v>1</v>
      </c>
      <c r="BD133" s="43">
        <v>56070</v>
      </c>
      <c r="BE133">
        <v>1</v>
      </c>
      <c r="BF133">
        <v>0.3</v>
      </c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</row>
    <row r="134" spans="1:102" x14ac:dyDescent="0.35">
      <c r="A134" t="s">
        <v>3039</v>
      </c>
      <c r="B134" t="s">
        <v>3040</v>
      </c>
      <c r="C134" t="s">
        <v>3061</v>
      </c>
      <c r="D134" t="s">
        <v>3062</v>
      </c>
      <c r="E134" s="19">
        <v>816</v>
      </c>
      <c r="F134" s="19">
        <v>490.96461975142199</v>
      </c>
      <c r="G134" s="19">
        <v>0.60167232812674298</v>
      </c>
      <c r="H134" s="19">
        <v>72</v>
      </c>
      <c r="I134" s="19">
        <v>3891160.2570000002</v>
      </c>
      <c r="J134" s="19">
        <v>54043.892</v>
      </c>
      <c r="K134" s="19">
        <v>67</v>
      </c>
      <c r="L134" s="19">
        <v>3827907</v>
      </c>
      <c r="M134" s="19">
        <v>57133</v>
      </c>
      <c r="N134" s="19">
        <v>10274.35</v>
      </c>
      <c r="O134" s="19">
        <v>30310.34</v>
      </c>
      <c r="P134" s="19">
        <v>1152929.54</v>
      </c>
      <c r="Q134" s="19">
        <v>0.72</v>
      </c>
      <c r="R134" s="19">
        <v>8593603.2599999998</v>
      </c>
      <c r="S134" s="19">
        <v>545191.26</v>
      </c>
      <c r="T134" s="19">
        <f t="shared" si="89"/>
        <v>93.655847919607126</v>
      </c>
      <c r="U134" s="19">
        <v>7095</v>
      </c>
      <c r="V134" s="19">
        <v>38572577.189999998</v>
      </c>
      <c r="W134" s="19">
        <v>5863159.5350000001</v>
      </c>
      <c r="X134" s="49">
        <v>1884</v>
      </c>
      <c r="Y134" s="19">
        <v>18233410</v>
      </c>
      <c r="Z134" s="19">
        <v>3595697</v>
      </c>
      <c r="AA134" s="19">
        <v>32868</v>
      </c>
      <c r="AB134" s="19">
        <v>1472992.89</v>
      </c>
      <c r="AC134" s="19">
        <v>45435</v>
      </c>
      <c r="AD134" s="19">
        <f t="shared" si="76"/>
        <v>5.5827080608522062</v>
      </c>
      <c r="AE134" s="19">
        <f t="shared" si="77"/>
        <v>4.3203661963547972</v>
      </c>
      <c r="AF134" s="19">
        <f t="shared" si="78"/>
        <v>21.925880798981495</v>
      </c>
      <c r="AG134" s="19">
        <f t="shared" si="79"/>
        <v>3.519061583577713</v>
      </c>
      <c r="AH134" s="19">
        <f t="shared" si="80"/>
        <v>2.9133313703836006</v>
      </c>
      <c r="AI134" s="19">
        <f t="shared" si="81"/>
        <v>27.476050098511628</v>
      </c>
      <c r="AJ134" s="19">
        <f t="shared" si="82"/>
        <v>3.3634538152610443</v>
      </c>
      <c r="AK134" s="19">
        <f t="shared" si="83"/>
        <v>2.9558030684652974</v>
      </c>
      <c r="AL134" s="19">
        <f t="shared" si="84"/>
        <v>29.046493301812447</v>
      </c>
      <c r="AM134" s="19">
        <f t="shared" si="85"/>
        <v>0.11001950967949546</v>
      </c>
      <c r="AN134" s="19">
        <f t="shared" si="86"/>
        <v>11.228410233868011</v>
      </c>
      <c r="AO134" s="19">
        <f t="shared" si="87"/>
        <v>4.6848961973759256</v>
      </c>
      <c r="AP134" s="19">
        <f t="shared" si="88"/>
        <v>72</v>
      </c>
      <c r="AQ134" s="19">
        <f t="shared" si="90"/>
        <v>72</v>
      </c>
      <c r="AR134" s="19" t="e">
        <f>(#REF!-MIN(#REF!))/(MAX(#REF!)-MIN(#REF!))*100</f>
        <v>#REF!</v>
      </c>
      <c r="AS134" s="19" t="e">
        <f t="shared" si="91"/>
        <v>#REF!</v>
      </c>
      <c r="AT134" s="19">
        <f t="shared" si="92"/>
        <v>7.3448394819097</v>
      </c>
      <c r="AU134" s="19">
        <f t="shared" si="93"/>
        <v>7.0053929250451823</v>
      </c>
      <c r="AV134" s="19">
        <f t="shared" si="94"/>
        <v>0.57248204859701046</v>
      </c>
      <c r="AW134" s="19">
        <f t="shared" si="95"/>
        <v>4.8996893265230899</v>
      </c>
      <c r="AX134" s="19">
        <f t="shared" si="96"/>
        <v>5.649928095592383</v>
      </c>
      <c r="AY134" s="19">
        <f t="shared" si="97"/>
        <v>4.7717526757273658</v>
      </c>
      <c r="AZ134" s="19">
        <f t="shared" si="98"/>
        <v>1.3557911508915264</v>
      </c>
      <c r="BA134" s="19">
        <f t="shared" si="99"/>
        <v>0.26714222918481895</v>
      </c>
      <c r="BB134" s="19">
        <f t="shared" si="100"/>
        <v>0.73517473241551801</v>
      </c>
      <c r="BC134" s="20">
        <v>1.1000000000000001</v>
      </c>
      <c r="BD134" s="43">
        <v>49419</v>
      </c>
      <c r="BE134">
        <v>0</v>
      </c>
      <c r="BF134">
        <v>0</v>
      </c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</row>
    <row r="135" spans="1:102" x14ac:dyDescent="0.35">
      <c r="A135" t="s">
        <v>3152</v>
      </c>
      <c r="B135" t="s">
        <v>3153</v>
      </c>
      <c r="C135" t="s">
        <v>3153</v>
      </c>
      <c r="D135" t="s">
        <v>3154</v>
      </c>
      <c r="E135" s="19">
        <v>2728</v>
      </c>
      <c r="F135" s="19">
        <v>1682.16355901674</v>
      </c>
      <c r="G135" s="19">
        <v>0.61662887060731197</v>
      </c>
      <c r="H135" s="19">
        <v>164</v>
      </c>
      <c r="I135" s="19">
        <v>10085371.751</v>
      </c>
      <c r="J135" s="19">
        <v>61496.169000000002</v>
      </c>
      <c r="K135" s="19">
        <v>155</v>
      </c>
      <c r="L135" s="19">
        <v>9755833</v>
      </c>
      <c r="M135" s="19">
        <v>62941</v>
      </c>
      <c r="N135" s="19">
        <v>615588.35</v>
      </c>
      <c r="O135" s="19">
        <v>72112.570000000007</v>
      </c>
      <c r="P135" s="19">
        <v>4038399.56</v>
      </c>
      <c r="Q135" s="19">
        <v>0.95</v>
      </c>
      <c r="R135" s="19">
        <v>31413538.059999999</v>
      </c>
      <c r="S135" s="19">
        <v>588703.44999999995</v>
      </c>
      <c r="T135" s="19">
        <f t="shared" si="89"/>
        <v>98.125956239390888</v>
      </c>
      <c r="U135" s="19">
        <v>13231</v>
      </c>
      <c r="V135" s="19">
        <v>51270407.899999999</v>
      </c>
      <c r="W135" s="19">
        <v>6252876.6799999997</v>
      </c>
      <c r="X135" s="49">
        <v>4793</v>
      </c>
      <c r="Y135" s="19">
        <v>28035331</v>
      </c>
      <c r="Z135" s="19">
        <v>5911961</v>
      </c>
      <c r="AA135" s="19">
        <v>86738</v>
      </c>
      <c r="AB135" s="19">
        <v>7985260.9899999397</v>
      </c>
      <c r="AC135" s="19">
        <v>146670</v>
      </c>
      <c r="AD135" s="19">
        <f t="shared" si="76"/>
        <v>18.744406966338541</v>
      </c>
      <c r="AE135" s="19">
        <f t="shared" si="77"/>
        <v>14.855620303300876</v>
      </c>
      <c r="AF135" s="19">
        <f t="shared" si="78"/>
        <v>23.243819614623355</v>
      </c>
      <c r="AG135" s="19">
        <f t="shared" si="79"/>
        <v>8.0156402737047898</v>
      </c>
      <c r="AH135" s="19">
        <f t="shared" si="80"/>
        <v>7.5509688533933028</v>
      </c>
      <c r="AI135" s="19">
        <f t="shared" si="81"/>
        <v>31.264806396817939</v>
      </c>
      <c r="AJ135" s="19">
        <f t="shared" si="82"/>
        <v>7.7811244979919678</v>
      </c>
      <c r="AK135" s="19">
        <f t="shared" si="83"/>
        <v>7.5331822630056084</v>
      </c>
      <c r="AL135" s="19">
        <f t="shared" si="84"/>
        <v>31.999288238135183</v>
      </c>
      <c r="AM135" s="19">
        <f t="shared" si="85"/>
        <v>6.5918260942453424</v>
      </c>
      <c r="AN135" s="19">
        <f t="shared" si="86"/>
        <v>26.713970182403873</v>
      </c>
      <c r="AO135" s="19">
        <f t="shared" si="87"/>
        <v>16.409921062590357</v>
      </c>
      <c r="AP135" s="19">
        <f t="shared" si="88"/>
        <v>95</v>
      </c>
      <c r="AQ135" s="19">
        <f t="shared" si="90"/>
        <v>95</v>
      </c>
      <c r="AR135" s="19" t="e">
        <f>(#REF!-MIN(#REF!))/(MAX(#REF!)-MIN(#REF!))*100</f>
        <v>#REF!</v>
      </c>
      <c r="AS135" s="19" t="e">
        <f t="shared" si="91"/>
        <v>#REF!</v>
      </c>
      <c r="AT135" s="19">
        <f t="shared" si="92"/>
        <v>13.759290814246439</v>
      </c>
      <c r="AU135" s="19">
        <f t="shared" si="93"/>
        <v>9.3184581705496967</v>
      </c>
      <c r="AV135" s="19">
        <f t="shared" si="94"/>
        <v>0.6105353369676999</v>
      </c>
      <c r="AW135" s="19">
        <f t="shared" si="95"/>
        <v>12.558580380180084</v>
      </c>
      <c r="AX135" s="19">
        <f t="shared" si="96"/>
        <v>8.6973749686703012</v>
      </c>
      <c r="AY135" s="19">
        <f t="shared" si="97"/>
        <v>7.8457487452033847</v>
      </c>
      <c r="AZ135" s="19">
        <f t="shared" si="98"/>
        <v>3.5817662598039806</v>
      </c>
      <c r="BA135" s="19">
        <f t="shared" si="99"/>
        <v>1.448208226918976</v>
      </c>
      <c r="BB135" s="19">
        <f t="shared" si="100"/>
        <v>2.3755850043151208</v>
      </c>
      <c r="BC135" s="20">
        <v>4.2</v>
      </c>
      <c r="BD135" s="43">
        <v>205944</v>
      </c>
      <c r="BE135">
        <v>1</v>
      </c>
      <c r="BF135">
        <v>0.9</v>
      </c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</row>
    <row r="136" spans="1:102" x14ac:dyDescent="0.35">
      <c r="A136" t="s">
        <v>3152</v>
      </c>
      <c r="B136" t="s">
        <v>3153</v>
      </c>
      <c r="C136" t="s">
        <v>3155</v>
      </c>
      <c r="D136" t="s">
        <v>3156</v>
      </c>
      <c r="E136" s="19">
        <v>237</v>
      </c>
      <c r="F136" s="19">
        <v>150.83664169604</v>
      </c>
      <c r="G136" s="19">
        <v>0.63644152614363003</v>
      </c>
      <c r="H136" s="19">
        <v>2</v>
      </c>
      <c r="I136" s="19">
        <v>175136.10699999999</v>
      </c>
      <c r="J136" s="19">
        <v>87568.054000000004</v>
      </c>
      <c r="K136" s="19">
        <v>2</v>
      </c>
      <c r="L136" s="19">
        <v>175136</v>
      </c>
      <c r="M136" s="19">
        <v>87568</v>
      </c>
      <c r="N136" s="19">
        <v>136171.42000000001</v>
      </c>
      <c r="O136" s="19">
        <v>17438.740000000002</v>
      </c>
      <c r="P136" s="19">
        <v>0</v>
      </c>
      <c r="Q136" s="19">
        <v>1</v>
      </c>
      <c r="R136" s="19">
        <v>593464.23</v>
      </c>
      <c r="S136" s="19">
        <v>0</v>
      </c>
      <c r="T136" s="19">
        <f t="shared" si="89"/>
        <v>50</v>
      </c>
      <c r="U136" s="19">
        <v>1266</v>
      </c>
      <c r="V136" s="19">
        <v>1627770.25</v>
      </c>
      <c r="W136" s="19">
        <v>335706.86599999998</v>
      </c>
      <c r="X136" s="49">
        <v>579</v>
      </c>
      <c r="Y136" s="19">
        <v>981430</v>
      </c>
      <c r="Z136" s="19">
        <v>335707</v>
      </c>
      <c r="AA136" s="19"/>
      <c r="AB136" s="19"/>
      <c r="AC136" s="19"/>
      <c r="AD136" s="19">
        <f t="shared" si="76"/>
        <v>1.5970262270255386</v>
      </c>
      <c r="AE136" s="19">
        <f t="shared" si="77"/>
        <v>1.3121913570577772</v>
      </c>
      <c r="AF136" s="19">
        <f t="shared" si="78"/>
        <v>24.989668817818469</v>
      </c>
      <c r="AG136" s="19">
        <f t="shared" si="79"/>
        <v>9.7751710654936458E-2</v>
      </c>
      <c r="AH136" s="19">
        <f t="shared" si="80"/>
        <v>0.13112528935092863</v>
      </c>
      <c r="AI136" s="19">
        <f t="shared" si="81"/>
        <v>44.519818053318062</v>
      </c>
      <c r="AJ136" s="19">
        <f t="shared" si="82"/>
        <v>0.1004016064257028</v>
      </c>
      <c r="AK136" s="19">
        <f t="shared" si="83"/>
        <v>0.13523513664222728</v>
      </c>
      <c r="AL136" s="19">
        <f t="shared" si="84"/>
        <v>44.519687841582147</v>
      </c>
      <c r="AM136" s="19">
        <f t="shared" si="85"/>
        <v>1.4581470225134088</v>
      </c>
      <c r="AN136" s="19">
        <f t="shared" si="86"/>
        <v>6.4601494632446705</v>
      </c>
      <c r="AO136" s="19">
        <f t="shared" si="87"/>
        <v>0</v>
      </c>
      <c r="AP136" s="19">
        <f t="shared" si="88"/>
        <v>100</v>
      </c>
      <c r="AQ136" s="19">
        <f t="shared" si="90"/>
        <v>100</v>
      </c>
      <c r="AR136" s="19" t="e">
        <f>(#REF!-MIN(#REF!))/(MAX(#REF!)-MIN(#REF!))*100</f>
        <v>#REF!</v>
      </c>
      <c r="AS136" s="19" t="e">
        <f t="shared" si="91"/>
        <v>#REF!</v>
      </c>
      <c r="AT136" s="19">
        <f t="shared" si="92"/>
        <v>1.2513197921784673</v>
      </c>
      <c r="AU136" s="19">
        <f t="shared" si="93"/>
        <v>0.27544425219916341</v>
      </c>
      <c r="AV136" s="19">
        <f t="shared" si="94"/>
        <v>3.2763041960044571E-2</v>
      </c>
      <c r="AW136" s="19">
        <f t="shared" si="95"/>
        <v>1.4638512979832552</v>
      </c>
      <c r="AX136" s="19">
        <f t="shared" si="96"/>
        <v>0.28623535562816427</v>
      </c>
      <c r="AY136" s="19">
        <f t="shared" si="97"/>
        <v>0.44530437513161036</v>
      </c>
      <c r="AZ136" s="19">
        <f t="shared" si="98"/>
        <v>-2.3553105848897319E-3</v>
      </c>
      <c r="BA136" s="19">
        <f t="shared" si="99"/>
        <v>0</v>
      </c>
      <c r="BB136" s="19">
        <f t="shared" si="100"/>
        <v>-1.0532589289620603E-3</v>
      </c>
      <c r="BC136" s="20">
        <v>0.3</v>
      </c>
      <c r="BD136" s="43">
        <v>15444</v>
      </c>
      <c r="BE136">
        <v>0</v>
      </c>
      <c r="BF136">
        <v>0</v>
      </c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</row>
    <row r="137" spans="1:102" x14ac:dyDescent="0.35">
      <c r="A137" t="s">
        <v>3152</v>
      </c>
      <c r="B137" t="s">
        <v>3153</v>
      </c>
      <c r="C137" t="s">
        <v>3157</v>
      </c>
      <c r="D137" t="s">
        <v>3158</v>
      </c>
      <c r="E137" s="19">
        <v>165</v>
      </c>
      <c r="F137" s="19">
        <v>92.547446827284503</v>
      </c>
      <c r="G137" s="19">
        <v>0.56089361713505703</v>
      </c>
      <c r="H137" s="19">
        <v>4</v>
      </c>
      <c r="I137" s="19">
        <v>786778.18200000003</v>
      </c>
      <c r="J137" s="19">
        <v>196694.546</v>
      </c>
      <c r="K137" s="19">
        <v>4</v>
      </c>
      <c r="L137" s="19">
        <v>786778</v>
      </c>
      <c r="M137" s="19">
        <v>196695</v>
      </c>
      <c r="N137" s="19">
        <v>0</v>
      </c>
      <c r="O137" s="19">
        <v>0</v>
      </c>
      <c r="P137" s="19">
        <v>0</v>
      </c>
      <c r="Q137" s="19">
        <v>0.5</v>
      </c>
      <c r="R137" s="19">
        <v>1338704.82</v>
      </c>
      <c r="S137" s="19">
        <v>273451.34999999998</v>
      </c>
      <c r="T137" s="19">
        <f t="shared" si="89"/>
        <v>79.57343949803662</v>
      </c>
      <c r="U137" s="19">
        <v>949</v>
      </c>
      <c r="V137" s="19">
        <v>1470594.52</v>
      </c>
      <c r="W137" s="19">
        <v>978558.35400000005</v>
      </c>
      <c r="X137" s="49">
        <v>316</v>
      </c>
      <c r="Y137" s="19">
        <v>1102240</v>
      </c>
      <c r="Z137" s="19">
        <v>499196</v>
      </c>
      <c r="AA137" s="19"/>
      <c r="AB137" s="19"/>
      <c r="AC137" s="19"/>
      <c r="AD137" s="19">
        <f t="shared" si="76"/>
        <v>1.1013973979486473</v>
      </c>
      <c r="AE137" s="19">
        <f t="shared" si="77"/>
        <v>0.7966674933357506</v>
      </c>
      <c r="AF137" s="19">
        <f t="shared" si="78"/>
        <v>18.332547236922853</v>
      </c>
      <c r="AG137" s="19">
        <f t="shared" si="79"/>
        <v>0.19550342130987292</v>
      </c>
      <c r="AH137" s="19">
        <f t="shared" si="80"/>
        <v>0.58906480529310601</v>
      </c>
      <c r="AI137" s="19">
        <f t="shared" si="81"/>
        <v>100</v>
      </c>
      <c r="AJ137" s="19">
        <f t="shared" si="82"/>
        <v>0.20080321285140559</v>
      </c>
      <c r="AK137" s="19">
        <f t="shared" si="83"/>
        <v>0.60752803728016114</v>
      </c>
      <c r="AL137" s="19">
        <f t="shared" si="84"/>
        <v>100</v>
      </c>
      <c r="AM137" s="19">
        <f t="shared" si="85"/>
        <v>0</v>
      </c>
      <c r="AN137" s="19">
        <f t="shared" si="86"/>
        <v>0</v>
      </c>
      <c r="AO137" s="19">
        <f t="shared" si="87"/>
        <v>0</v>
      </c>
      <c r="AP137" s="19">
        <f t="shared" si="88"/>
        <v>50</v>
      </c>
      <c r="AQ137" s="19">
        <f t="shared" si="90"/>
        <v>50</v>
      </c>
      <c r="AR137" s="19" t="e">
        <f>(#REF!-MIN(#REF!))/(MAX(#REF!)-MIN(#REF!))*100</f>
        <v>#REF!</v>
      </c>
      <c r="AS137" s="19" t="e">
        <f t="shared" si="91"/>
        <v>#REF!</v>
      </c>
      <c r="AT137" s="19">
        <f t="shared" si="92"/>
        <v>0.91993435013955815</v>
      </c>
      <c r="AU137" s="19">
        <f t="shared" si="93"/>
        <v>0.24681276964100599</v>
      </c>
      <c r="AV137" s="19">
        <f t="shared" si="94"/>
        <v>9.5533216088234008E-2</v>
      </c>
      <c r="AW137" s="19">
        <f t="shared" si="95"/>
        <v>0.7714180401242694</v>
      </c>
      <c r="AX137" s="19">
        <f t="shared" si="96"/>
        <v>0.32379554987340897</v>
      </c>
      <c r="AY137" s="19">
        <f t="shared" si="97"/>
        <v>0.6622764229649164</v>
      </c>
      <c r="AZ137" s="19">
        <f t="shared" si="98"/>
        <v>-2.3553105848897319E-3</v>
      </c>
      <c r="BA137" s="19">
        <f t="shared" si="99"/>
        <v>0</v>
      </c>
      <c r="BB137" s="19">
        <f t="shared" si="100"/>
        <v>-1.0532589289620603E-3</v>
      </c>
      <c r="BC137" s="20">
        <v>0.1</v>
      </c>
      <c r="BD137" s="43">
        <v>4530</v>
      </c>
      <c r="BE137">
        <v>0</v>
      </c>
      <c r="BF137">
        <v>0</v>
      </c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/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/>
      <c r="CL137" s="36"/>
      <c r="CM137" s="36"/>
      <c r="CN137" s="36"/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</row>
    <row r="138" spans="1:102" x14ac:dyDescent="0.35">
      <c r="A138" t="s">
        <v>3152</v>
      </c>
      <c r="B138" t="s">
        <v>3153</v>
      </c>
      <c r="C138" t="s">
        <v>3159</v>
      </c>
      <c r="D138" t="s">
        <v>3160</v>
      </c>
      <c r="E138" s="19">
        <v>142</v>
      </c>
      <c r="F138" s="19">
        <v>76.403086719179598</v>
      </c>
      <c r="G138" s="19">
        <v>0.53804990647309603</v>
      </c>
      <c r="H138" s="19">
        <v>3</v>
      </c>
      <c r="I138" s="19">
        <v>96222.5</v>
      </c>
      <c r="J138" s="19">
        <v>32074.167000000001</v>
      </c>
      <c r="K138" s="19">
        <v>3</v>
      </c>
      <c r="L138" s="19">
        <v>96223</v>
      </c>
      <c r="M138" s="19">
        <v>32074</v>
      </c>
      <c r="N138" s="19">
        <v>0</v>
      </c>
      <c r="O138" s="19">
        <v>0</v>
      </c>
      <c r="P138" s="19">
        <v>0</v>
      </c>
      <c r="Q138" s="19">
        <v>1</v>
      </c>
      <c r="R138" s="19">
        <v>181122.13</v>
      </c>
      <c r="S138" s="19">
        <v>0</v>
      </c>
      <c r="T138" s="19">
        <f t="shared" si="89"/>
        <v>50</v>
      </c>
      <c r="U138" s="19">
        <v>439</v>
      </c>
      <c r="V138" s="19">
        <v>732281.88</v>
      </c>
      <c r="W138" s="19">
        <v>19937.553</v>
      </c>
      <c r="X138" s="49">
        <v>184</v>
      </c>
      <c r="Y138" s="19">
        <v>409551</v>
      </c>
      <c r="Z138" s="19">
        <v>10139</v>
      </c>
      <c r="AA138" s="19"/>
      <c r="AB138" s="19"/>
      <c r="AC138" s="19"/>
      <c r="AD138" s="19">
        <f t="shared" si="76"/>
        <v>0.94307152199352928</v>
      </c>
      <c r="AE138" s="19">
        <f t="shared" si="77"/>
        <v>0.65388283283409676</v>
      </c>
      <c r="AF138" s="19">
        <f t="shared" si="78"/>
        <v>16.319607881867785</v>
      </c>
      <c r="AG138" s="19">
        <f t="shared" si="79"/>
        <v>0.1466275659824047</v>
      </c>
      <c r="AH138" s="19">
        <f t="shared" si="80"/>
        <v>7.2042272554166856E-2</v>
      </c>
      <c r="AI138" s="19">
        <f t="shared" si="81"/>
        <v>16.306586863877762</v>
      </c>
      <c r="AJ138" s="19">
        <f t="shared" si="82"/>
        <v>0.15060240963855423</v>
      </c>
      <c r="AK138" s="19">
        <f t="shared" si="83"/>
        <v>7.4300718031273055E-2</v>
      </c>
      <c r="AL138" s="19">
        <f t="shared" si="84"/>
        <v>16.306464322936527</v>
      </c>
      <c r="AM138" s="19">
        <f t="shared" si="85"/>
        <v>0</v>
      </c>
      <c r="AN138" s="19">
        <f t="shared" si="86"/>
        <v>0</v>
      </c>
      <c r="AO138" s="19">
        <f t="shared" si="87"/>
        <v>0</v>
      </c>
      <c r="AP138" s="19">
        <f t="shared" si="88"/>
        <v>100</v>
      </c>
      <c r="AQ138" s="19">
        <f t="shared" si="90"/>
        <v>100</v>
      </c>
      <c r="AR138" s="19" t="e">
        <f>(#REF!-MIN(#REF!))/(MAX(#REF!)-MIN(#REF!))*100</f>
        <v>#REF!</v>
      </c>
      <c r="AS138" s="19" t="e">
        <f t="shared" si="91"/>
        <v>#REF!</v>
      </c>
      <c r="AT138" s="19">
        <f t="shared" si="92"/>
        <v>0.3867905790359506</v>
      </c>
      <c r="AU138" s="19">
        <f t="shared" si="93"/>
        <v>0.11232008763070334</v>
      </c>
      <c r="AV138" s="19">
        <f t="shared" si="94"/>
        <v>1.9302677791613689E-3</v>
      </c>
      <c r="AW138" s="19">
        <f t="shared" si="95"/>
        <v>0.4238849981570218</v>
      </c>
      <c r="AX138" s="19">
        <f t="shared" si="96"/>
        <v>0.10843644556462388</v>
      </c>
      <c r="AY138" s="19">
        <f t="shared" si="97"/>
        <v>1.3231540451639323E-2</v>
      </c>
      <c r="AZ138" s="19">
        <f t="shared" si="98"/>
        <v>-2.3553105848897319E-3</v>
      </c>
      <c r="BA138" s="19">
        <f t="shared" si="99"/>
        <v>0</v>
      </c>
      <c r="BB138" s="19">
        <f t="shared" si="100"/>
        <v>-1.0532589289620603E-3</v>
      </c>
      <c r="BC138" s="20">
        <v>0.1</v>
      </c>
      <c r="BD138" s="43">
        <v>3649</v>
      </c>
      <c r="BE138">
        <v>0</v>
      </c>
      <c r="BF138">
        <v>0</v>
      </c>
      <c r="BG138" s="36"/>
      <c r="BH138" s="36"/>
      <c r="BI138" s="36"/>
      <c r="BJ138" s="36"/>
      <c r="BK138" s="36"/>
      <c r="BL138" s="36"/>
      <c r="BM138" s="36"/>
      <c r="BN138" s="36"/>
      <c r="BO138" s="36"/>
      <c r="BP138" s="36"/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</row>
    <row r="139" spans="1:102" x14ac:dyDescent="0.35">
      <c r="A139" t="s">
        <v>3278</v>
      </c>
      <c r="B139" t="s">
        <v>3278</v>
      </c>
      <c r="C139" t="s">
        <v>3278</v>
      </c>
      <c r="D139" t="s">
        <v>3279</v>
      </c>
      <c r="E139" s="19">
        <v>3012</v>
      </c>
      <c r="F139" s="19">
        <v>2575.2735967776498</v>
      </c>
      <c r="G139" s="19">
        <v>0.85500451420240797</v>
      </c>
      <c r="H139" s="19">
        <v>345</v>
      </c>
      <c r="I139" s="19">
        <v>17465731.061999999</v>
      </c>
      <c r="J139" s="19">
        <v>50625.307000000001</v>
      </c>
      <c r="K139" s="19">
        <v>333</v>
      </c>
      <c r="L139" s="19">
        <v>16930530</v>
      </c>
      <c r="M139" s="19">
        <v>50842</v>
      </c>
      <c r="N139" s="19">
        <v>1090024.1100000001</v>
      </c>
      <c r="O139" s="19">
        <v>123753.66</v>
      </c>
      <c r="P139" s="19">
        <v>2821818.73</v>
      </c>
      <c r="Q139" s="19">
        <v>0.83</v>
      </c>
      <c r="R139" s="19">
        <v>47701428</v>
      </c>
      <c r="S139" s="19">
        <v>1947109.7</v>
      </c>
      <c r="T139" s="19">
        <f t="shared" si="89"/>
        <v>95.918131214017322</v>
      </c>
      <c r="U139" s="19">
        <v>28027</v>
      </c>
      <c r="V139" s="19">
        <v>216183265.5</v>
      </c>
      <c r="W139" s="19">
        <v>30989802.631000001</v>
      </c>
      <c r="X139" s="49">
        <v>10902</v>
      </c>
      <c r="Y139" s="19">
        <v>117971362</v>
      </c>
      <c r="Z139" s="19">
        <v>16246243</v>
      </c>
      <c r="AA139" s="19">
        <v>1254979</v>
      </c>
      <c r="AB139" s="19">
        <v>332444372.46801209</v>
      </c>
      <c r="AC139" s="19">
        <v>2729854</v>
      </c>
      <c r="AD139" s="19">
        <f t="shared" si="76"/>
        <v>20.699387347697389</v>
      </c>
      <c r="AE139" s="19">
        <f t="shared" si="77"/>
        <v>22.754503422755764</v>
      </c>
      <c r="AF139" s="19">
        <f t="shared" si="78"/>
        <v>44.248975973837993</v>
      </c>
      <c r="AG139" s="19">
        <f t="shared" si="79"/>
        <v>16.862170087976537</v>
      </c>
      <c r="AH139" s="19">
        <f t="shared" si="80"/>
        <v>13.076681207891937</v>
      </c>
      <c r="AI139" s="19">
        <f t="shared" si="81"/>
        <v>25.738032919326599</v>
      </c>
      <c r="AJ139" s="19">
        <f t="shared" si="82"/>
        <v>16.716867469879517</v>
      </c>
      <c r="AK139" s="19">
        <f t="shared" si="83"/>
        <v>13.073283265435595</v>
      </c>
      <c r="AL139" s="19">
        <f t="shared" si="84"/>
        <v>25.848140522128165</v>
      </c>
      <c r="AM139" s="19">
        <f t="shared" si="85"/>
        <v>11.672165939551254</v>
      </c>
      <c r="AN139" s="19">
        <f t="shared" si="86"/>
        <v>45.844317893584247</v>
      </c>
      <c r="AO139" s="19">
        <f t="shared" si="87"/>
        <v>11.46637966953398</v>
      </c>
      <c r="AP139" s="19">
        <f t="shared" si="88"/>
        <v>83</v>
      </c>
      <c r="AQ139" s="19">
        <f t="shared" si="90"/>
        <v>83</v>
      </c>
      <c r="AR139" s="19" t="e">
        <f>(#REF!-MIN(#REF!))/(MAX(#REF!)-MIN(#REF!))*100</f>
        <v>#REF!</v>
      </c>
      <c r="AS139" s="19" t="e">
        <f t="shared" si="91"/>
        <v>#REF!</v>
      </c>
      <c r="AT139" s="19">
        <f t="shared" si="92"/>
        <v>29.226732455911105</v>
      </c>
      <c r="AU139" s="19">
        <f t="shared" si="93"/>
        <v>39.35935319925612</v>
      </c>
      <c r="AV139" s="19">
        <f t="shared" si="94"/>
        <v>3.0259317050638375</v>
      </c>
      <c r="AW139" s="19">
        <f t="shared" si="95"/>
        <v>28.642514875467327</v>
      </c>
      <c r="AX139" s="19">
        <f t="shared" si="96"/>
        <v>36.658758910449556</v>
      </c>
      <c r="AY139" s="19">
        <f t="shared" si="97"/>
        <v>21.560740753392764</v>
      </c>
      <c r="AZ139" s="19">
        <f t="shared" si="98"/>
        <v>51.854931049315653</v>
      </c>
      <c r="BA139" s="19">
        <f t="shared" si="99"/>
        <v>60.292165253460929</v>
      </c>
      <c r="BB139" s="19">
        <f t="shared" si="100"/>
        <v>44.233455975883288</v>
      </c>
      <c r="BC139" s="20">
        <v>8.5</v>
      </c>
      <c r="BD139" s="43">
        <v>423541</v>
      </c>
      <c r="BE139">
        <v>2</v>
      </c>
      <c r="BF139">
        <v>0.9</v>
      </c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</row>
    <row r="140" spans="1:102" x14ac:dyDescent="0.35">
      <c r="A140" t="s">
        <v>3278</v>
      </c>
      <c r="B140" t="s">
        <v>3278</v>
      </c>
      <c r="C140" t="s">
        <v>857</v>
      </c>
      <c r="D140" t="s">
        <v>3280</v>
      </c>
      <c r="E140" s="19">
        <v>638</v>
      </c>
      <c r="F140" s="19">
        <v>616.76659007205603</v>
      </c>
      <c r="G140" s="19">
        <v>0.96671879321638898</v>
      </c>
      <c r="H140" s="19">
        <v>148</v>
      </c>
      <c r="I140" s="19">
        <v>7015625.1639999999</v>
      </c>
      <c r="J140" s="19">
        <v>47402.873</v>
      </c>
      <c r="K140" s="19">
        <v>144</v>
      </c>
      <c r="L140" s="19">
        <v>6968196</v>
      </c>
      <c r="M140" s="19">
        <v>48390</v>
      </c>
      <c r="N140" s="19">
        <v>203698.94</v>
      </c>
      <c r="O140" s="19">
        <v>55272.34</v>
      </c>
      <c r="P140" s="19">
        <v>807247.29</v>
      </c>
      <c r="Q140" s="19">
        <v>0.83</v>
      </c>
      <c r="R140" s="19">
        <v>15321559.039999999</v>
      </c>
      <c r="S140" s="19">
        <v>165888.14000000001</v>
      </c>
      <c r="T140" s="19">
        <f t="shared" si="89"/>
        <v>98.917289424875662</v>
      </c>
      <c r="U140" s="19">
        <v>12961</v>
      </c>
      <c r="V140" s="19">
        <v>83702409.909999996</v>
      </c>
      <c r="W140" s="19">
        <v>7899958.6220000004</v>
      </c>
      <c r="X140" s="49">
        <v>5007</v>
      </c>
      <c r="Y140" s="19">
        <v>47777048</v>
      </c>
      <c r="Z140" s="19">
        <v>3258194</v>
      </c>
      <c r="AA140" s="19">
        <v>309315</v>
      </c>
      <c r="AB140" s="19">
        <v>19650256.340000041</v>
      </c>
      <c r="AC140" s="19">
        <v>544748</v>
      </c>
      <c r="AD140" s="19">
        <f t="shared" si="76"/>
        <v>4.3574034556343362</v>
      </c>
      <c r="AE140" s="19">
        <f t="shared" si="77"/>
        <v>5.4329895213048616</v>
      </c>
      <c r="AF140" s="19">
        <f t="shared" si="78"/>
        <v>54.093001407206032</v>
      </c>
      <c r="AG140" s="19">
        <f t="shared" si="79"/>
        <v>7.2336265884652988</v>
      </c>
      <c r="AH140" s="19">
        <f t="shared" si="80"/>
        <v>5.2526340533945763</v>
      </c>
      <c r="AI140" s="19">
        <f t="shared" si="81"/>
        <v>24.099739399993329</v>
      </c>
      <c r="AJ140" s="19">
        <f t="shared" si="82"/>
        <v>7.2289156626506017</v>
      </c>
      <c r="AK140" s="19">
        <f t="shared" si="83"/>
        <v>5.38064668720207</v>
      </c>
      <c r="AL140" s="19">
        <f t="shared" si="84"/>
        <v>24.601540456035995</v>
      </c>
      <c r="AM140" s="19">
        <f t="shared" si="85"/>
        <v>2.1812433390952188</v>
      </c>
      <c r="AN140" s="19">
        <f t="shared" si="86"/>
        <v>20.475537658298528</v>
      </c>
      <c r="AO140" s="19">
        <f t="shared" si="87"/>
        <v>3.2802262653995502</v>
      </c>
      <c r="AP140" s="19">
        <f t="shared" si="88"/>
        <v>83</v>
      </c>
      <c r="AQ140" s="19">
        <f t="shared" si="90"/>
        <v>83</v>
      </c>
      <c r="AR140" s="19" t="e">
        <f>(#REF!-MIN(#REF!))/(MAX(#REF!)-MIN(#REF!))*100</f>
        <v>#REF!</v>
      </c>
      <c r="AS140" s="19" t="e">
        <f t="shared" si="91"/>
        <v>#REF!</v>
      </c>
      <c r="AT140" s="19">
        <f t="shared" si="92"/>
        <v>13.477038229544528</v>
      </c>
      <c r="AU140" s="19">
        <f t="shared" si="93"/>
        <v>15.226344202798073</v>
      </c>
      <c r="AV140" s="19">
        <f t="shared" si="94"/>
        <v>0.77136193880755821</v>
      </c>
      <c r="AW140" s="19">
        <f t="shared" si="95"/>
        <v>13.122005160339109</v>
      </c>
      <c r="AX140" s="19">
        <f t="shared" si="96"/>
        <v>14.835134469164055</v>
      </c>
      <c r="AY140" s="19">
        <f t="shared" si="97"/>
        <v>4.323840479433521</v>
      </c>
      <c r="AZ140" s="19">
        <f t="shared" si="98"/>
        <v>12.778923523891732</v>
      </c>
      <c r="BA140" s="19">
        <f t="shared" si="99"/>
        <v>3.5637736735584196</v>
      </c>
      <c r="BB140" s="19">
        <f t="shared" si="100"/>
        <v>8.8260343569821842</v>
      </c>
      <c r="BC140" s="20">
        <v>4.4000000000000004</v>
      </c>
      <c r="BD140" s="43">
        <v>202950</v>
      </c>
      <c r="BE140">
        <v>0</v>
      </c>
      <c r="BF140">
        <v>0</v>
      </c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</row>
    <row r="141" spans="1:102" x14ac:dyDescent="0.35">
      <c r="A141" t="s">
        <v>3278</v>
      </c>
      <c r="B141" t="s">
        <v>3278</v>
      </c>
      <c r="C141" t="s">
        <v>3281</v>
      </c>
      <c r="D141" t="s">
        <v>3282</v>
      </c>
      <c r="E141" s="19">
        <v>249</v>
      </c>
      <c r="F141" s="19">
        <v>169.64882358492699</v>
      </c>
      <c r="G141" s="19">
        <v>0.68132057664629497</v>
      </c>
      <c r="H141" s="19">
        <v>24</v>
      </c>
      <c r="I141" s="19">
        <v>1738064.3959999999</v>
      </c>
      <c r="J141" s="19">
        <v>72419.350000000006</v>
      </c>
      <c r="K141" s="19">
        <v>24</v>
      </c>
      <c r="L141" s="19">
        <v>1738064</v>
      </c>
      <c r="M141" s="19">
        <v>72419</v>
      </c>
      <c r="N141" s="19">
        <v>50483.1</v>
      </c>
      <c r="O141" s="19">
        <v>16171.69</v>
      </c>
      <c r="P141" s="19">
        <v>190005</v>
      </c>
      <c r="Q141" s="19">
        <v>0.75</v>
      </c>
      <c r="R141" s="19">
        <v>2851147.04</v>
      </c>
      <c r="S141" s="19">
        <v>7996.19</v>
      </c>
      <c r="T141" s="19">
        <f t="shared" si="89"/>
        <v>99.719544804676232</v>
      </c>
      <c r="U141" s="19">
        <v>3761</v>
      </c>
      <c r="V141" s="19">
        <v>37614702.869999997</v>
      </c>
      <c r="W141" s="19">
        <v>1141587.1240000001</v>
      </c>
      <c r="X141" s="49">
        <v>1445</v>
      </c>
      <c r="Y141" s="19">
        <v>23189371</v>
      </c>
      <c r="Z141" s="19">
        <v>630397</v>
      </c>
      <c r="AA141" s="19">
        <v>88265</v>
      </c>
      <c r="AB141" s="19">
        <v>5938526.8399999738</v>
      </c>
      <c r="AC141" s="19">
        <v>189187</v>
      </c>
      <c r="AD141" s="19">
        <f t="shared" si="76"/>
        <v>1.6796310318716872</v>
      </c>
      <c r="AE141" s="19">
        <f t="shared" si="77"/>
        <v>1.4785708844167835</v>
      </c>
      <c r="AF141" s="19">
        <f t="shared" si="78"/>
        <v>28.944315604898861</v>
      </c>
      <c r="AG141" s="19">
        <f t="shared" si="79"/>
        <v>1.1730205278592376</v>
      </c>
      <c r="AH141" s="19">
        <f t="shared" si="80"/>
        <v>1.3012976064156034</v>
      </c>
      <c r="AI141" s="19">
        <f t="shared" si="81"/>
        <v>36.81817898499331</v>
      </c>
      <c r="AJ141" s="19">
        <f t="shared" si="82"/>
        <v>1.2048192771084338</v>
      </c>
      <c r="AK141" s="19">
        <f t="shared" si="83"/>
        <v>1.3420845658969951</v>
      </c>
      <c r="AL141" s="19">
        <f t="shared" si="84"/>
        <v>36.817916062940085</v>
      </c>
      <c r="AM141" s="19">
        <f t="shared" si="85"/>
        <v>0.54058173111690144</v>
      </c>
      <c r="AN141" s="19">
        <f t="shared" si="86"/>
        <v>5.9907730990461001</v>
      </c>
      <c r="AO141" s="19">
        <f t="shared" si="87"/>
        <v>0.77207988094607471</v>
      </c>
      <c r="AP141" s="19">
        <f t="shared" si="88"/>
        <v>75</v>
      </c>
      <c r="AQ141" s="19">
        <f t="shared" si="90"/>
        <v>75</v>
      </c>
      <c r="AR141" s="19" t="e">
        <f>(#REF!-MIN(#REF!))/(MAX(#REF!)-MIN(#REF!))*100</f>
        <v>#REF!</v>
      </c>
      <c r="AS141" s="19" t="e">
        <f t="shared" si="91"/>
        <v>#REF!</v>
      </c>
      <c r="AT141" s="19">
        <f t="shared" si="92"/>
        <v>3.8595427508127824</v>
      </c>
      <c r="AU141" s="19">
        <f t="shared" si="93"/>
        <v>6.8309043962755887</v>
      </c>
      <c r="AV141" s="19">
        <f t="shared" si="94"/>
        <v>0.11145189166389752</v>
      </c>
      <c r="AW141" s="19">
        <f t="shared" si="95"/>
        <v>3.7438786793744407</v>
      </c>
      <c r="AX141" s="19">
        <f t="shared" si="96"/>
        <v>7.1907513538645231</v>
      </c>
      <c r="AY141" s="19">
        <f t="shared" si="97"/>
        <v>0.83639792133959356</v>
      </c>
      <c r="AZ141" s="19">
        <f t="shared" si="98"/>
        <v>3.6448637907360264</v>
      </c>
      <c r="BA141" s="19">
        <f t="shared" si="99"/>
        <v>1.077012189862961</v>
      </c>
      <c r="BB141" s="19">
        <f t="shared" si="100"/>
        <v>3.0645297717409656</v>
      </c>
      <c r="BC141" s="20">
        <v>1.4</v>
      </c>
      <c r="BD141" s="43">
        <v>56286</v>
      </c>
      <c r="BE141">
        <v>1</v>
      </c>
      <c r="BF141">
        <v>0.2</v>
      </c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</row>
    <row r="142" spans="1:102" x14ac:dyDescent="0.35">
      <c r="A142" t="s">
        <v>3278</v>
      </c>
      <c r="B142" t="s">
        <v>3278</v>
      </c>
      <c r="C142" t="s">
        <v>3295</v>
      </c>
      <c r="D142" t="s">
        <v>3296</v>
      </c>
      <c r="E142" s="19">
        <v>953</v>
      </c>
      <c r="F142" s="19">
        <v>601.20157113839991</v>
      </c>
      <c r="G142" s="19">
        <v>0.63085159615781794</v>
      </c>
      <c r="H142" s="19">
        <v>94</v>
      </c>
      <c r="I142" s="19">
        <v>3841371.963</v>
      </c>
      <c r="J142" s="19">
        <v>40865.659</v>
      </c>
      <c r="K142" s="19">
        <v>89</v>
      </c>
      <c r="L142" s="19">
        <v>3762044</v>
      </c>
      <c r="M142" s="19">
        <v>42270</v>
      </c>
      <c r="N142" s="19">
        <v>19785.07</v>
      </c>
      <c r="O142" s="19">
        <v>14114.96</v>
      </c>
      <c r="P142" s="19">
        <v>574659.38</v>
      </c>
      <c r="Q142" s="19">
        <v>0.91</v>
      </c>
      <c r="R142" s="19">
        <v>8164746.4500000002</v>
      </c>
      <c r="S142" s="19">
        <v>350532.08</v>
      </c>
      <c r="T142" s="19">
        <f t="shared" si="89"/>
        <v>95.706760985823394</v>
      </c>
      <c r="U142" s="19">
        <v>7901</v>
      </c>
      <c r="V142" s="19">
        <v>62408789.07</v>
      </c>
      <c r="W142" s="19">
        <v>3340485.4440000001</v>
      </c>
      <c r="X142" s="49">
        <v>3483</v>
      </c>
      <c r="Y142" s="19">
        <v>36843877</v>
      </c>
      <c r="Z142" s="19">
        <v>2282664</v>
      </c>
      <c r="AA142" s="19">
        <v>131959</v>
      </c>
      <c r="AB142" s="19">
        <v>6787374.9899999406</v>
      </c>
      <c r="AC142" s="19">
        <v>217307</v>
      </c>
      <c r="AD142" s="19">
        <f t="shared" si="76"/>
        <v>6.5257795828457352</v>
      </c>
      <c r="AE142" s="19">
        <f t="shared" si="77"/>
        <v>5.2953286955265657</v>
      </c>
      <c r="AF142" s="19">
        <f t="shared" si="78"/>
        <v>24.497096038073867</v>
      </c>
      <c r="AG142" s="19">
        <f t="shared" si="79"/>
        <v>4.594330400782014</v>
      </c>
      <c r="AH142" s="19">
        <f t="shared" si="80"/>
        <v>2.8760546227792978</v>
      </c>
      <c r="AI142" s="19">
        <f t="shared" si="81"/>
        <v>20.776203423556034</v>
      </c>
      <c r="AJ142" s="19">
        <f t="shared" si="82"/>
        <v>4.4678714859437747</v>
      </c>
      <c r="AK142" s="19">
        <f t="shared" si="83"/>
        <v>2.9049454960377723</v>
      </c>
      <c r="AL142" s="19">
        <f t="shared" si="84"/>
        <v>21.490124304125676</v>
      </c>
      <c r="AM142" s="19">
        <f t="shared" si="85"/>
        <v>0.21186193777460327</v>
      </c>
      <c r="AN142" s="19">
        <f t="shared" si="86"/>
        <v>5.2288612174801603</v>
      </c>
      <c r="AO142" s="19">
        <f t="shared" si="87"/>
        <v>2.3351119480800251</v>
      </c>
      <c r="AP142" s="19">
        <f t="shared" si="88"/>
        <v>91</v>
      </c>
      <c r="AQ142" s="19">
        <f t="shared" si="90"/>
        <v>91</v>
      </c>
      <c r="AR142" s="19" t="e">
        <f>(#REF!-MIN(#REF!))/(MAX(#REF!)-MIN(#REF!))*100</f>
        <v>#REF!</v>
      </c>
      <c r="AS142" s="19" t="e">
        <f t="shared" si="91"/>
        <v>#REF!</v>
      </c>
      <c r="AT142" s="19">
        <f t="shared" si="92"/>
        <v>8.187415716242068</v>
      </c>
      <c r="AU142" s="19">
        <f t="shared" si="93"/>
        <v>11.34745059956507</v>
      </c>
      <c r="AV142" s="19">
        <f t="shared" si="94"/>
        <v>0.32615969434161829</v>
      </c>
      <c r="AW142" s="19">
        <f t="shared" si="95"/>
        <v>9.1095782212627032</v>
      </c>
      <c r="AX142" s="19">
        <f t="shared" si="96"/>
        <v>11.435978550974529</v>
      </c>
      <c r="AY142" s="19">
        <f t="shared" si="97"/>
        <v>3.029180032413691</v>
      </c>
      <c r="AZ142" s="19">
        <f t="shared" si="98"/>
        <v>5.4503539783881658</v>
      </c>
      <c r="BA142" s="19">
        <f t="shared" si="99"/>
        <v>1.2309594278773961</v>
      </c>
      <c r="BB142" s="19">
        <f t="shared" si="100"/>
        <v>3.5201857883934755</v>
      </c>
      <c r="BC142" s="20">
        <v>2.8</v>
      </c>
      <c r="BD142" s="43">
        <v>119900</v>
      </c>
      <c r="BE142">
        <v>0</v>
      </c>
      <c r="BF142">
        <v>0</v>
      </c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</row>
    <row r="143" spans="1:102" x14ac:dyDescent="0.35">
      <c r="A143" t="s">
        <v>3278</v>
      </c>
      <c r="B143" t="s">
        <v>3367</v>
      </c>
      <c r="C143" t="s">
        <v>3367</v>
      </c>
      <c r="D143" t="s">
        <v>3368</v>
      </c>
      <c r="E143" s="19">
        <v>1468</v>
      </c>
      <c r="F143" s="19">
        <v>1056.89875073131</v>
      </c>
      <c r="G143" s="19">
        <v>0.71995827706492799</v>
      </c>
      <c r="H143" s="19">
        <v>134</v>
      </c>
      <c r="I143" s="19">
        <v>7072503.659</v>
      </c>
      <c r="J143" s="19">
        <v>52779.877999999997</v>
      </c>
      <c r="K143" s="19">
        <v>130</v>
      </c>
      <c r="L143" s="19">
        <v>6992775</v>
      </c>
      <c r="M143" s="19">
        <v>53791</v>
      </c>
      <c r="N143" s="19">
        <v>470952.08</v>
      </c>
      <c r="O143" s="19">
        <v>145984.41</v>
      </c>
      <c r="P143" s="19">
        <v>1670939.45</v>
      </c>
      <c r="Q143" s="19">
        <v>0.83</v>
      </c>
      <c r="R143" s="19">
        <v>18576491.489999998</v>
      </c>
      <c r="S143" s="19">
        <v>765904.09</v>
      </c>
      <c r="T143" s="19">
        <f t="shared" si="89"/>
        <v>95.877025053884381</v>
      </c>
      <c r="U143" s="19">
        <v>13775</v>
      </c>
      <c r="V143" s="19">
        <v>113439309.16</v>
      </c>
      <c r="W143" s="19">
        <v>4080167.747</v>
      </c>
      <c r="X143" s="49">
        <v>5158</v>
      </c>
      <c r="Y143" s="19">
        <v>66519101</v>
      </c>
      <c r="Z143" s="19">
        <v>2757992</v>
      </c>
      <c r="AA143" s="19">
        <v>447202</v>
      </c>
      <c r="AB143" s="19">
        <v>42334680.30000037</v>
      </c>
      <c r="AC143" s="19">
        <v>949030</v>
      </c>
      <c r="AD143" s="19">
        <f t="shared" si="76"/>
        <v>10.070902457492945</v>
      </c>
      <c r="AE143" s="19">
        <f t="shared" si="77"/>
        <v>9.3256257555549595</v>
      </c>
      <c r="AF143" s="19">
        <f t="shared" si="78"/>
        <v>32.34898785418472</v>
      </c>
      <c r="AG143" s="19">
        <f t="shared" si="79"/>
        <v>6.5493646138807424</v>
      </c>
      <c r="AH143" s="19">
        <f t="shared" si="80"/>
        <v>5.2952192703579763</v>
      </c>
      <c r="AI143" s="19">
        <f t="shared" si="81"/>
        <v>26.833422213954012</v>
      </c>
      <c r="AJ143" s="19">
        <f t="shared" si="82"/>
        <v>6.5261044176706831</v>
      </c>
      <c r="AK143" s="19">
        <f t="shared" si="83"/>
        <v>5.3996259057723766</v>
      </c>
      <c r="AL143" s="19">
        <f t="shared" si="84"/>
        <v>27.347416050230049</v>
      </c>
      <c r="AM143" s="19">
        <f t="shared" si="85"/>
        <v>5.0430359997604244</v>
      </c>
      <c r="AN143" s="19">
        <f t="shared" si="86"/>
        <v>54.079658731283899</v>
      </c>
      <c r="AO143" s="19">
        <f t="shared" si="87"/>
        <v>6.7898146450046033</v>
      </c>
      <c r="AP143" s="19">
        <f t="shared" si="88"/>
        <v>83</v>
      </c>
      <c r="AQ143" s="19">
        <f t="shared" si="90"/>
        <v>83</v>
      </c>
      <c r="AR143" s="19" t="e">
        <f>(#REF!-MIN(#REF!))/(MAX(#REF!)-MIN(#REF!))*100</f>
        <v>#REF!</v>
      </c>
      <c r="AS143" s="19" t="e">
        <f t="shared" si="91"/>
        <v>#REF!</v>
      </c>
      <c r="AT143" s="19">
        <f t="shared" si="92"/>
        <v>14.32797750342362</v>
      </c>
      <c r="AU143" s="19">
        <f t="shared" si="93"/>
        <v>20.643284287695788</v>
      </c>
      <c r="AV143" s="19">
        <f t="shared" si="94"/>
        <v>0.39838475382355287</v>
      </c>
      <c r="AW143" s="19">
        <f t="shared" si="95"/>
        <v>13.519561897741037</v>
      </c>
      <c r="AX143" s="19">
        <f t="shared" si="96"/>
        <v>20.662095409770558</v>
      </c>
      <c r="AY143" s="19">
        <f t="shared" si="97"/>
        <v>3.6600046723130704</v>
      </c>
      <c r="AZ143" s="19">
        <f t="shared" si="98"/>
        <v>18.476585113693321</v>
      </c>
      <c r="BA143" s="19">
        <f t="shared" si="99"/>
        <v>7.6778244782761575</v>
      </c>
      <c r="BB143" s="19">
        <f t="shared" si="100"/>
        <v>15.377013223422795</v>
      </c>
      <c r="BC143" s="20">
        <v>5.3</v>
      </c>
      <c r="BD143" s="43">
        <v>236200</v>
      </c>
      <c r="BE143">
        <v>1</v>
      </c>
      <c r="BF143">
        <v>0.3</v>
      </c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</row>
    <row r="144" spans="1:102" x14ac:dyDescent="0.35">
      <c r="A144" t="s">
        <v>3278</v>
      </c>
      <c r="B144" t="s">
        <v>3367</v>
      </c>
      <c r="C144" t="s">
        <v>3369</v>
      </c>
      <c r="D144" t="s">
        <v>3370</v>
      </c>
      <c r="E144" s="19">
        <v>91</v>
      </c>
      <c r="F144" s="19">
        <v>53.924053033960902</v>
      </c>
      <c r="G144" s="19">
        <v>0.59257201136220805</v>
      </c>
      <c r="H144" s="19">
        <v>13</v>
      </c>
      <c r="I144" s="19">
        <v>650365.08400000003</v>
      </c>
      <c r="J144" s="19">
        <v>50028.082999999999</v>
      </c>
      <c r="K144" s="19">
        <v>11</v>
      </c>
      <c r="L144" s="19">
        <v>617106</v>
      </c>
      <c r="M144" s="19">
        <v>56101</v>
      </c>
      <c r="N144" s="19">
        <v>0</v>
      </c>
      <c r="O144" s="19">
        <v>0</v>
      </c>
      <c r="P144" s="19">
        <v>209851.9</v>
      </c>
      <c r="Q144" s="19">
        <v>1</v>
      </c>
      <c r="R144" s="19">
        <v>2100378.0299999998</v>
      </c>
      <c r="S144" s="19">
        <v>0</v>
      </c>
      <c r="T144" s="19">
        <f t="shared" si="89"/>
        <v>50</v>
      </c>
      <c r="U144" s="19">
        <v>2041</v>
      </c>
      <c r="V144" s="19">
        <v>19364691.129999999</v>
      </c>
      <c r="W144" s="19">
        <v>94484.036999999997</v>
      </c>
      <c r="X144" s="49">
        <v>693</v>
      </c>
      <c r="Y144" s="19">
        <v>13837921</v>
      </c>
      <c r="Z144" s="19">
        <v>94484</v>
      </c>
      <c r="AA144" s="19">
        <v>33303</v>
      </c>
      <c r="AB144" s="19">
        <v>1417522.41</v>
      </c>
      <c r="AC144" s="19">
        <v>59806</v>
      </c>
      <c r="AD144" s="19">
        <f t="shared" si="76"/>
        <v>0.59200110139739792</v>
      </c>
      <c r="AE144" s="19">
        <f t="shared" si="77"/>
        <v>0.45507277336708474</v>
      </c>
      <c r="AF144" s="19">
        <f t="shared" si="78"/>
        <v>21.123980178286658</v>
      </c>
      <c r="AG144" s="19">
        <f t="shared" si="79"/>
        <v>0.63538611925708699</v>
      </c>
      <c r="AH144" s="19">
        <f t="shared" si="80"/>
        <v>0.48693162868603107</v>
      </c>
      <c r="AI144" s="19">
        <f t="shared" si="81"/>
        <v>25.43440274139579</v>
      </c>
      <c r="AJ144" s="19">
        <f t="shared" si="82"/>
        <v>0.55220883534136544</v>
      </c>
      <c r="AK144" s="19">
        <f t="shared" si="83"/>
        <v>0.47651204910891143</v>
      </c>
      <c r="AL144" s="19">
        <f t="shared" si="84"/>
        <v>28.521823127176592</v>
      </c>
      <c r="AM144" s="19">
        <f t="shared" si="85"/>
        <v>0</v>
      </c>
      <c r="AN144" s="19">
        <f t="shared" si="86"/>
        <v>0</v>
      </c>
      <c r="AO144" s="19">
        <f t="shared" si="87"/>
        <v>0.85272719122290241</v>
      </c>
      <c r="AP144" s="19">
        <f t="shared" si="88"/>
        <v>100</v>
      </c>
      <c r="AQ144" s="19">
        <f t="shared" si="90"/>
        <v>100</v>
      </c>
      <c r="AR144" s="19" t="e">
        <f>(#REF!-MIN(#REF!))/(MAX(#REF!)-MIN(#REF!))*100</f>
        <v>#REF!</v>
      </c>
      <c r="AS144" s="19" t="e">
        <f t="shared" si="91"/>
        <v>#REF!</v>
      </c>
      <c r="AT144" s="19">
        <f t="shared" si="92"/>
        <v>2.0614892482672826</v>
      </c>
      <c r="AU144" s="19">
        <f t="shared" si="93"/>
        <v>3.5064414348503186</v>
      </c>
      <c r="AV144" s="19">
        <f t="shared" si="94"/>
        <v>9.2092363569307445E-3</v>
      </c>
      <c r="AW144" s="19">
        <f t="shared" si="95"/>
        <v>1.7639934705913327</v>
      </c>
      <c r="AX144" s="19">
        <f t="shared" si="96"/>
        <v>4.2833572765969645</v>
      </c>
      <c r="AY144" s="19">
        <f t="shared" si="97"/>
        <v>0.12516878010996615</v>
      </c>
      <c r="AZ144" s="19">
        <f t="shared" si="98"/>
        <v>1.3737658895656848</v>
      </c>
      <c r="BA144" s="19">
        <f t="shared" si="99"/>
        <v>0.25708209394468762</v>
      </c>
      <c r="BB144" s="19">
        <f t="shared" si="100"/>
        <v>0.96804217961726835</v>
      </c>
      <c r="BC144" s="20">
        <v>0.7</v>
      </c>
      <c r="BD144" s="43">
        <v>27986</v>
      </c>
      <c r="BE144">
        <v>0</v>
      </c>
      <c r="BF144">
        <v>0</v>
      </c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</row>
    <row r="145" spans="1:102" x14ac:dyDescent="0.35">
      <c r="A145" t="s">
        <v>3278</v>
      </c>
      <c r="B145" t="s">
        <v>3382</v>
      </c>
      <c r="C145" t="s">
        <v>3383</v>
      </c>
      <c r="D145" t="s">
        <v>3384</v>
      </c>
      <c r="E145" s="19">
        <v>737</v>
      </c>
      <c r="F145" s="19">
        <v>610.80169268491807</v>
      </c>
      <c r="G145" s="19">
        <v>0.828767561309251</v>
      </c>
      <c r="H145" s="19">
        <v>57</v>
      </c>
      <c r="I145" s="19">
        <v>2491051.0529999998</v>
      </c>
      <c r="J145" s="19">
        <v>43702.65</v>
      </c>
      <c r="K145" s="19">
        <v>55</v>
      </c>
      <c r="L145" s="19">
        <v>2236589</v>
      </c>
      <c r="M145" s="19">
        <v>40665</v>
      </c>
      <c r="N145" s="19">
        <v>133410.60999999999</v>
      </c>
      <c r="O145" s="19">
        <v>34112.050000000003</v>
      </c>
      <c r="P145" s="19">
        <v>1250110.4099999999</v>
      </c>
      <c r="Q145" s="19">
        <v>0.83</v>
      </c>
      <c r="R145" s="19">
        <v>7081805.3899999997</v>
      </c>
      <c r="S145" s="19">
        <v>125481.35</v>
      </c>
      <c r="T145" s="19">
        <f t="shared" si="89"/>
        <v>98.228116375844095</v>
      </c>
      <c r="U145" s="19">
        <v>6549</v>
      </c>
      <c r="V145" s="19">
        <v>93060489.319999993</v>
      </c>
      <c r="W145" s="19">
        <v>1225966.466</v>
      </c>
      <c r="X145" s="49">
        <v>2735</v>
      </c>
      <c r="Y145" s="19">
        <v>53051650</v>
      </c>
      <c r="Z145" s="19">
        <v>746674</v>
      </c>
      <c r="AA145" s="19">
        <v>212401</v>
      </c>
      <c r="AB145" s="19">
        <v>34615196.750000127</v>
      </c>
      <c r="AC145" s="19">
        <v>512588</v>
      </c>
      <c r="AD145" s="19">
        <f t="shared" si="76"/>
        <v>5.0388930956150615</v>
      </c>
      <c r="AE145" s="19">
        <f t="shared" si="77"/>
        <v>5.3802345132000733</v>
      </c>
      <c r="AF145" s="19">
        <f t="shared" si="78"/>
        <v>41.937031307015289</v>
      </c>
      <c r="AG145" s="19">
        <f t="shared" si="79"/>
        <v>2.7859237536656889</v>
      </c>
      <c r="AH145" s="19">
        <f t="shared" si="80"/>
        <v>1.8650625259847786</v>
      </c>
      <c r="AI145" s="19">
        <f t="shared" si="81"/>
        <v>22.218536755970856</v>
      </c>
      <c r="AJ145" s="19">
        <f t="shared" si="82"/>
        <v>2.7610441767068274</v>
      </c>
      <c r="AK145" s="19">
        <f t="shared" si="83"/>
        <v>1.7270316726858126</v>
      </c>
      <c r="AL145" s="19">
        <f t="shared" si="84"/>
        <v>20.674140166247234</v>
      </c>
      <c r="AM145" s="19">
        <f t="shared" si="85"/>
        <v>1.4285837934509131</v>
      </c>
      <c r="AN145" s="19">
        <f t="shared" si="86"/>
        <v>12.636746777443516</v>
      </c>
      <c r="AO145" s="19">
        <f t="shared" si="87"/>
        <v>5.0797878820149398</v>
      </c>
      <c r="AP145" s="19">
        <f t="shared" si="88"/>
        <v>83</v>
      </c>
      <c r="AQ145" s="19">
        <f t="shared" si="90"/>
        <v>83</v>
      </c>
      <c r="AR145" s="19" t="e">
        <f>(#REF!-MIN(#REF!))/(MAX(#REF!)-MIN(#REF!))*100</f>
        <v>#REF!</v>
      </c>
      <c r="AS145" s="19" t="e">
        <f t="shared" si="91"/>
        <v>#REF!</v>
      </c>
      <c r="AT145" s="19">
        <f t="shared" si="92"/>
        <v>6.774062032845837</v>
      </c>
      <c r="AU145" s="19">
        <f t="shared" si="93"/>
        <v>16.931032880911843</v>
      </c>
      <c r="AV145" s="19">
        <f t="shared" si="94"/>
        <v>0.11969097345655262</v>
      </c>
      <c r="AW145" s="19">
        <f t="shared" si="95"/>
        <v>7.1402243167816337</v>
      </c>
      <c r="AX145" s="19">
        <f t="shared" si="96"/>
        <v>16.47502417768451</v>
      </c>
      <c r="AY145" s="19">
        <f t="shared" si="97"/>
        <v>0.99071325023580881</v>
      </c>
      <c r="AZ145" s="19">
        <f t="shared" si="98"/>
        <v>8.7743170322425481</v>
      </c>
      <c r="BA145" s="19">
        <f t="shared" si="99"/>
        <v>6.2778176909368071</v>
      </c>
      <c r="BB145" s="19">
        <f t="shared" si="100"/>
        <v>8.3049142468988002</v>
      </c>
      <c r="BC145" s="20">
        <v>1.5</v>
      </c>
      <c r="BD145" s="43">
        <v>63823</v>
      </c>
      <c r="BE145">
        <v>0</v>
      </c>
      <c r="BF145">
        <v>0</v>
      </c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</row>
    <row r="146" spans="1:102" x14ac:dyDescent="0.35">
      <c r="A146" t="s">
        <v>3278</v>
      </c>
      <c r="B146" t="s">
        <v>3382</v>
      </c>
      <c r="C146" t="s">
        <v>3385</v>
      </c>
      <c r="D146" t="s">
        <v>3386</v>
      </c>
      <c r="E146" s="19">
        <v>77</v>
      </c>
      <c r="F146" s="19">
        <v>51.676796021222899</v>
      </c>
      <c r="G146" s="19">
        <v>0.67112722105484302</v>
      </c>
      <c r="H146" s="19">
        <v>5</v>
      </c>
      <c r="I146" s="19">
        <v>328840.30599999998</v>
      </c>
      <c r="J146" s="19">
        <v>65768.061000000002</v>
      </c>
      <c r="K146" s="19">
        <v>5</v>
      </c>
      <c r="L146" s="19">
        <v>328840</v>
      </c>
      <c r="M146" s="19">
        <v>65768</v>
      </c>
      <c r="N146" s="19">
        <v>0</v>
      </c>
      <c r="O146" s="19">
        <v>0</v>
      </c>
      <c r="P146" s="19">
        <v>20030.25</v>
      </c>
      <c r="Q146" s="19">
        <v>0.8</v>
      </c>
      <c r="R146" s="19">
        <v>262068.66</v>
      </c>
      <c r="S146" s="19">
        <v>92.61</v>
      </c>
      <c r="T146" s="19">
        <f t="shared" si="89"/>
        <v>99.964661932487459</v>
      </c>
      <c r="U146" s="19">
        <v>681</v>
      </c>
      <c r="V146" s="19">
        <v>8947197.0700000003</v>
      </c>
      <c r="W146" s="19">
        <v>111404.815</v>
      </c>
      <c r="X146" s="49">
        <v>264</v>
      </c>
      <c r="Y146" s="19">
        <v>4625221</v>
      </c>
      <c r="Z146" s="19">
        <v>111405</v>
      </c>
      <c r="AA146" s="19">
        <v>1113</v>
      </c>
      <c r="AB146" s="19">
        <v>67019.360000000001</v>
      </c>
      <c r="AC146" s="19">
        <v>1822</v>
      </c>
      <c r="AD146" s="19">
        <f t="shared" si="76"/>
        <v>0.49562882907689132</v>
      </c>
      <c r="AE146" s="19">
        <f t="shared" si="77"/>
        <v>0.43519748394866614</v>
      </c>
      <c r="AF146" s="19">
        <f t="shared" si="78"/>
        <v>28.046098720009333</v>
      </c>
      <c r="AG146" s="19">
        <f t="shared" si="79"/>
        <v>0.24437927663734116</v>
      </c>
      <c r="AH146" s="19">
        <f t="shared" si="80"/>
        <v>0.24620440075499628</v>
      </c>
      <c r="AI146" s="19">
        <f t="shared" si="81"/>
        <v>33.436646992743761</v>
      </c>
      <c r="AJ146" s="19">
        <f t="shared" si="82"/>
        <v>0.25100401606425704</v>
      </c>
      <c r="AK146" s="19">
        <f t="shared" si="83"/>
        <v>0.2539210803799905</v>
      </c>
      <c r="AL146" s="19">
        <f t="shared" si="84"/>
        <v>33.436538803731665</v>
      </c>
      <c r="AM146" s="19">
        <f t="shared" si="85"/>
        <v>0</v>
      </c>
      <c r="AN146" s="19">
        <f t="shared" si="86"/>
        <v>0</v>
      </c>
      <c r="AO146" s="19">
        <f t="shared" si="87"/>
        <v>8.1392347755691249E-2</v>
      </c>
      <c r="AP146" s="19">
        <f t="shared" si="88"/>
        <v>80</v>
      </c>
      <c r="AQ146" s="19">
        <f t="shared" si="90"/>
        <v>80</v>
      </c>
      <c r="AR146" s="19" t="e">
        <f>(#REF!-MIN(#REF!))/(MAX(#REF!)-MIN(#REF!))*100</f>
        <v>#REF!</v>
      </c>
      <c r="AS146" s="19" t="e">
        <f t="shared" si="91"/>
        <v>#REF!</v>
      </c>
      <c r="AT146" s="19">
        <f t="shared" si="92"/>
        <v>0.63977252532432904</v>
      </c>
      <c r="AU146" s="19">
        <f t="shared" si="93"/>
        <v>1.6087674143218389</v>
      </c>
      <c r="AV146" s="19">
        <f t="shared" si="94"/>
        <v>1.0861437839342864E-2</v>
      </c>
      <c r="AW146" s="19">
        <f t="shared" si="95"/>
        <v>0.63451108419777791</v>
      </c>
      <c r="AX146" s="19">
        <f t="shared" si="96"/>
        <v>1.4191009938127064</v>
      </c>
      <c r="AY146" s="19">
        <f t="shared" si="97"/>
        <v>0.14762523908511052</v>
      </c>
      <c r="AZ146" s="19">
        <f t="shared" si="98"/>
        <v>4.363522767795714E-2</v>
      </c>
      <c r="BA146" s="19">
        <f t="shared" si="99"/>
        <v>1.2154641988081754E-2</v>
      </c>
      <c r="BB146" s="19">
        <f t="shared" si="100"/>
        <v>2.8470399049020614E-2</v>
      </c>
      <c r="BC146" s="20">
        <v>0.1</v>
      </c>
      <c r="BD146" s="43">
        <v>5229</v>
      </c>
      <c r="BE146">
        <v>0</v>
      </c>
      <c r="BF146">
        <v>0</v>
      </c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</row>
    <row r="147" spans="1:102" x14ac:dyDescent="0.35">
      <c r="A147" t="s">
        <v>3278</v>
      </c>
      <c r="B147" t="s">
        <v>3382</v>
      </c>
      <c r="C147" t="s">
        <v>3387</v>
      </c>
      <c r="D147" t="s">
        <v>3388</v>
      </c>
      <c r="E147" s="19">
        <v>40</v>
      </c>
      <c r="F147" s="19">
        <v>34.2132907409176</v>
      </c>
      <c r="G147" s="19">
        <v>0.85533226852294109</v>
      </c>
      <c r="H147" s="19">
        <v>2</v>
      </c>
      <c r="I147" s="19">
        <v>160484.91699999999</v>
      </c>
      <c r="J147" s="19">
        <v>80242.459000000003</v>
      </c>
      <c r="K147" s="19">
        <v>2</v>
      </c>
      <c r="L147" s="19">
        <v>160485</v>
      </c>
      <c r="M147" s="19">
        <v>80242</v>
      </c>
      <c r="N147" s="19">
        <v>0</v>
      </c>
      <c r="O147" s="19">
        <v>0</v>
      </c>
      <c r="P147" s="19">
        <v>73800</v>
      </c>
      <c r="Q147" s="19">
        <v>1</v>
      </c>
      <c r="R147" s="19">
        <v>135875.93</v>
      </c>
      <c r="S147" s="19">
        <v>0</v>
      </c>
      <c r="T147" s="19">
        <f t="shared" si="89"/>
        <v>50</v>
      </c>
      <c r="U147" s="19">
        <v>688</v>
      </c>
      <c r="V147" s="19">
        <v>9459730.4600000009</v>
      </c>
      <c r="W147" s="19">
        <v>40214.911</v>
      </c>
      <c r="X147" s="49">
        <v>249</v>
      </c>
      <c r="Y147" s="19">
        <v>6215286</v>
      </c>
      <c r="Z147" s="19">
        <v>40215</v>
      </c>
      <c r="AA147" s="19">
        <v>895</v>
      </c>
      <c r="AB147" s="19">
        <v>44766.739999999802</v>
      </c>
      <c r="AC147" s="19">
        <v>1577</v>
      </c>
      <c r="AD147" s="19">
        <f t="shared" si="76"/>
        <v>0.24093068080126662</v>
      </c>
      <c r="AE147" s="19">
        <f t="shared" si="77"/>
        <v>0.28074598163328995</v>
      </c>
      <c r="AF147" s="19">
        <f t="shared" si="78"/>
        <v>44.277856989726935</v>
      </c>
      <c r="AG147" s="19">
        <f t="shared" si="79"/>
        <v>9.7751710654936458E-2</v>
      </c>
      <c r="AH147" s="19">
        <f t="shared" si="80"/>
        <v>0.12015586927534459</v>
      </c>
      <c r="AI147" s="19">
        <f t="shared" si="81"/>
        <v>40.795467201210549</v>
      </c>
      <c r="AJ147" s="19">
        <f t="shared" si="82"/>
        <v>0.1004016064257028</v>
      </c>
      <c r="AK147" s="19">
        <f t="shared" si="83"/>
        <v>0.12392204289253979</v>
      </c>
      <c r="AL147" s="19">
        <f t="shared" si="84"/>
        <v>40.795139683265965</v>
      </c>
      <c r="AM147" s="19">
        <f t="shared" si="85"/>
        <v>0</v>
      </c>
      <c r="AN147" s="19">
        <f t="shared" si="86"/>
        <v>0</v>
      </c>
      <c r="AO147" s="19">
        <f t="shared" si="87"/>
        <v>0.29988418838357056</v>
      </c>
      <c r="AP147" s="19">
        <f t="shared" si="88"/>
        <v>100</v>
      </c>
      <c r="AQ147" s="19">
        <f t="shared" si="90"/>
        <v>100</v>
      </c>
      <c r="AR147" s="19" t="e">
        <f>(#REF!-MIN(#REF!))/(MAX(#REF!)-MIN(#REF!))*100</f>
        <v>#REF!</v>
      </c>
      <c r="AS147" s="19" t="e">
        <f t="shared" si="91"/>
        <v>#REF!</v>
      </c>
      <c r="AT147" s="19">
        <f t="shared" si="92"/>
        <v>0.64709018492771198</v>
      </c>
      <c r="AU147" s="19">
        <f t="shared" si="93"/>
        <v>1.7021316431137672</v>
      </c>
      <c r="AV147" s="19">
        <f t="shared" si="94"/>
        <v>3.9102169840384291E-3</v>
      </c>
      <c r="AW147" s="19">
        <f t="shared" si="95"/>
        <v>0.59501869306513611</v>
      </c>
      <c r="AX147" s="19">
        <f t="shared" si="96"/>
        <v>1.9134570095611136</v>
      </c>
      <c r="AY147" s="19">
        <f t="shared" si="97"/>
        <v>5.3146466291509362E-2</v>
      </c>
      <c r="AZ147" s="19">
        <f t="shared" si="98"/>
        <v>3.4627197721712202E-2</v>
      </c>
      <c r="BA147" s="19">
        <f t="shared" si="99"/>
        <v>8.1189032195105489E-3</v>
      </c>
      <c r="BB147" s="19">
        <f t="shared" si="100"/>
        <v>2.4500423086009776E-2</v>
      </c>
      <c r="BC147" s="20">
        <v>0.2</v>
      </c>
      <c r="BD147" s="43">
        <v>6950</v>
      </c>
      <c r="BE147">
        <v>0</v>
      </c>
      <c r="BF147">
        <v>0</v>
      </c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</row>
    <row r="148" spans="1:102" x14ac:dyDescent="0.35">
      <c r="A148" t="s">
        <v>3278</v>
      </c>
      <c r="B148" t="s">
        <v>3382</v>
      </c>
      <c r="C148" t="s">
        <v>3389</v>
      </c>
      <c r="D148" t="s">
        <v>3390</v>
      </c>
      <c r="E148" s="19">
        <v>10</v>
      </c>
      <c r="F148" s="19">
        <v>4.5348062627891501</v>
      </c>
      <c r="G148" s="19">
        <v>0.453480626278915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f t="shared" si="89"/>
        <v>50</v>
      </c>
      <c r="U148" s="19">
        <v>117</v>
      </c>
      <c r="V148" s="19">
        <v>1488862.92</v>
      </c>
      <c r="W148" s="19">
        <v>16908.712</v>
      </c>
      <c r="X148" s="49">
        <v>53</v>
      </c>
      <c r="Y148" s="19">
        <v>1034761</v>
      </c>
      <c r="Z148" s="19">
        <v>16909</v>
      </c>
      <c r="AA148" s="19"/>
      <c r="AB148" s="19"/>
      <c r="AC148" s="19"/>
      <c r="AD148" s="19">
        <f t="shared" si="76"/>
        <v>3.4418668685895229E-2</v>
      </c>
      <c r="AE148" s="19">
        <f t="shared" si="77"/>
        <v>1.8262222472976833E-2</v>
      </c>
      <c r="AF148" s="19">
        <f t="shared" si="78"/>
        <v>8.8675421973283992</v>
      </c>
      <c r="AG148" s="19">
        <f t="shared" si="79"/>
        <v>0</v>
      </c>
      <c r="AH148" s="19">
        <f t="shared" si="80"/>
        <v>0</v>
      </c>
      <c r="AI148" s="19">
        <f t="shared" si="81"/>
        <v>0</v>
      </c>
      <c r="AJ148" s="19">
        <f t="shared" si="82"/>
        <v>0</v>
      </c>
      <c r="AK148" s="19">
        <f t="shared" si="83"/>
        <v>0</v>
      </c>
      <c r="AL148" s="19">
        <f t="shared" si="84"/>
        <v>0</v>
      </c>
      <c r="AM148" s="19">
        <f t="shared" si="85"/>
        <v>0</v>
      </c>
      <c r="AN148" s="19">
        <f t="shared" si="86"/>
        <v>0</v>
      </c>
      <c r="AO148" s="19">
        <f t="shared" si="87"/>
        <v>0</v>
      </c>
      <c r="AP148" s="19">
        <f t="shared" si="88"/>
        <v>0</v>
      </c>
      <c r="AQ148" s="19">
        <f t="shared" si="90"/>
        <v>50</v>
      </c>
      <c r="AR148" s="19" t="e">
        <f>(#REF!-MIN(#REF!))/(MAX(#REF!)-MIN(#REF!))*100</f>
        <v>#REF!</v>
      </c>
      <c r="AS148" s="19" t="e">
        <f t="shared" si="91"/>
        <v>#REF!</v>
      </c>
      <c r="AT148" s="19">
        <f t="shared" si="92"/>
        <v>5.0178237280339537E-2</v>
      </c>
      <c r="AU148" s="19">
        <f t="shared" si="93"/>
        <v>0.25014058224900493</v>
      </c>
      <c r="AV148" s="19">
        <f t="shared" si="94"/>
        <v>1.6345215912384136E-3</v>
      </c>
      <c r="AW148" s="19">
        <f t="shared" si="95"/>
        <v>7.8984782265283562E-2</v>
      </c>
      <c r="AX148" s="19">
        <f t="shared" si="96"/>
        <v>0.30281612476394065</v>
      </c>
      <c r="AY148" s="19">
        <f t="shared" si="97"/>
        <v>2.2216247458419488E-2</v>
      </c>
      <c r="AZ148" s="19">
        <f t="shared" si="98"/>
        <v>-2.3553105848897319E-3</v>
      </c>
      <c r="BA148" s="19">
        <f t="shared" si="99"/>
        <v>0</v>
      </c>
      <c r="BB148" s="19">
        <f t="shared" si="100"/>
        <v>-1.0532589289620603E-3</v>
      </c>
      <c r="BC148" s="20">
        <v>0</v>
      </c>
      <c r="BD148" s="43">
        <v>101</v>
      </c>
      <c r="BE148">
        <v>0</v>
      </c>
      <c r="BF148">
        <v>0</v>
      </c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</row>
    <row r="149" spans="1:102" x14ac:dyDescent="0.35">
      <c r="A149" t="s">
        <v>3278</v>
      </c>
      <c r="B149" t="s">
        <v>3382</v>
      </c>
      <c r="C149" t="s">
        <v>3391</v>
      </c>
      <c r="D149" t="s">
        <v>3392</v>
      </c>
      <c r="E149" s="19">
        <v>159</v>
      </c>
      <c r="F149" s="19">
        <v>98.312194160980098</v>
      </c>
      <c r="G149" s="19">
        <v>0.61831568654704394</v>
      </c>
      <c r="H149" s="19">
        <v>1</v>
      </c>
      <c r="I149" s="19">
        <v>12608.916999999999</v>
      </c>
      <c r="J149" s="19">
        <v>12608.916999999999</v>
      </c>
      <c r="K149" s="19">
        <v>1</v>
      </c>
      <c r="L149" s="19">
        <v>12609</v>
      </c>
      <c r="M149" s="19">
        <v>12609</v>
      </c>
      <c r="N149" s="19">
        <v>15860.05</v>
      </c>
      <c r="O149" s="19">
        <v>6610.84</v>
      </c>
      <c r="P149" s="19">
        <v>0</v>
      </c>
      <c r="Q149" s="19">
        <v>0</v>
      </c>
      <c r="R149" s="19">
        <v>157420.87</v>
      </c>
      <c r="S149" s="19">
        <v>157420.87</v>
      </c>
      <c r="T149" s="19">
        <f t="shared" si="89"/>
        <v>0</v>
      </c>
      <c r="U149" s="19">
        <v>960</v>
      </c>
      <c r="V149" s="19">
        <v>6604280.71</v>
      </c>
      <c r="W149" s="19">
        <v>918310.179</v>
      </c>
      <c r="X149" s="49">
        <v>397</v>
      </c>
      <c r="Y149" s="19">
        <v>4620430</v>
      </c>
      <c r="Z149" s="19">
        <v>918310</v>
      </c>
      <c r="AA149" s="19"/>
      <c r="AB149" s="19"/>
      <c r="AC149" s="19"/>
      <c r="AD149" s="19">
        <f t="shared" si="76"/>
        <v>1.060094995525573</v>
      </c>
      <c r="AE149" s="19">
        <f t="shared" si="77"/>
        <v>0.84765232552530967</v>
      </c>
      <c r="AF149" s="19">
        <f t="shared" si="78"/>
        <v>23.392458259196751</v>
      </c>
      <c r="AG149" s="19">
        <f t="shared" si="79"/>
        <v>4.8875855327468229E-2</v>
      </c>
      <c r="AH149" s="19">
        <f t="shared" si="80"/>
        <v>9.4403599483163288E-3</v>
      </c>
      <c r="AI149" s="19">
        <f t="shared" si="81"/>
        <v>6.4104049941476253</v>
      </c>
      <c r="AJ149" s="19">
        <f t="shared" si="82"/>
        <v>5.0200803212851398E-2</v>
      </c>
      <c r="AK149" s="19">
        <f t="shared" si="83"/>
        <v>9.7363182779202674E-3</v>
      </c>
      <c r="AL149" s="19">
        <f t="shared" si="84"/>
        <v>6.410432395332875</v>
      </c>
      <c r="AM149" s="19">
        <f t="shared" si="85"/>
        <v>0.16983214748303121</v>
      </c>
      <c r="AN149" s="19">
        <f t="shared" si="86"/>
        <v>2.448973634425216</v>
      </c>
      <c r="AO149" s="19">
        <f t="shared" si="87"/>
        <v>0</v>
      </c>
      <c r="AP149" s="19">
        <f t="shared" si="88"/>
        <v>0</v>
      </c>
      <c r="AQ149" s="19">
        <f t="shared" si="90"/>
        <v>50</v>
      </c>
      <c r="AR149" s="19" t="e">
        <f>(#REF!-MIN(#REF!))/(MAX(#REF!)-MIN(#REF!))*100</f>
        <v>#REF!</v>
      </c>
      <c r="AS149" s="19" t="e">
        <f t="shared" si="91"/>
        <v>#REF!</v>
      </c>
      <c r="AT149" s="19">
        <f t="shared" si="92"/>
        <v>0.93143352951630276</v>
      </c>
      <c r="AU149" s="19">
        <f t="shared" si="93"/>
        <v>1.1819765293896567</v>
      </c>
      <c r="AV149" s="19">
        <f t="shared" si="94"/>
        <v>8.9650382329193798E-2</v>
      </c>
      <c r="AW149" s="19">
        <f t="shared" si="95"/>
        <v>0.98467695224053498</v>
      </c>
      <c r="AX149" s="19">
        <f t="shared" si="96"/>
        <v>1.4176114574280614</v>
      </c>
      <c r="AY149" s="19">
        <f t="shared" si="97"/>
        <v>1.2184974705926359</v>
      </c>
      <c r="AZ149" s="19">
        <f t="shared" si="98"/>
        <v>-2.3553105848897319E-3</v>
      </c>
      <c r="BA149" s="19">
        <f t="shared" si="99"/>
        <v>0</v>
      </c>
      <c r="BB149" s="19">
        <f t="shared" si="100"/>
        <v>-1.0532589289620603E-3</v>
      </c>
      <c r="BC149" s="20">
        <v>0.2</v>
      </c>
      <c r="BD149" s="43">
        <v>8294</v>
      </c>
      <c r="BE149">
        <v>0</v>
      </c>
      <c r="BF149">
        <v>0</v>
      </c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</row>
    <row r="150" spans="1:102" x14ac:dyDescent="0.35">
      <c r="A150" t="s">
        <v>3278</v>
      </c>
      <c r="B150" t="s">
        <v>3382</v>
      </c>
      <c r="C150" t="s">
        <v>3393</v>
      </c>
      <c r="D150" t="s">
        <v>3394</v>
      </c>
      <c r="E150" s="19">
        <v>300</v>
      </c>
      <c r="F150" s="19">
        <v>175.609045919056</v>
      </c>
      <c r="G150" s="19">
        <v>0.58536348639685298</v>
      </c>
      <c r="H150" s="19">
        <v>5</v>
      </c>
      <c r="I150" s="19">
        <v>123600.917</v>
      </c>
      <c r="J150" s="19">
        <v>24720.183000000001</v>
      </c>
      <c r="K150" s="19">
        <v>5</v>
      </c>
      <c r="L150" s="19">
        <v>123601</v>
      </c>
      <c r="M150" s="19">
        <v>24720</v>
      </c>
      <c r="N150" s="19">
        <v>15316.48</v>
      </c>
      <c r="O150" s="19">
        <v>14042.85</v>
      </c>
      <c r="P150" s="19">
        <v>0</v>
      </c>
      <c r="Q150" s="19">
        <v>1</v>
      </c>
      <c r="R150" s="19">
        <v>481982.43</v>
      </c>
      <c r="S150" s="19">
        <v>0</v>
      </c>
      <c r="T150" s="19">
        <f t="shared" si="89"/>
        <v>50</v>
      </c>
      <c r="U150" s="19">
        <v>1565</v>
      </c>
      <c r="V150" s="19">
        <v>8818214.8200000003</v>
      </c>
      <c r="W150" s="19">
        <v>2720494.5249999999</v>
      </c>
      <c r="X150" s="49">
        <v>673</v>
      </c>
      <c r="Y150" s="19">
        <v>4991776</v>
      </c>
      <c r="Z150" s="19">
        <v>1118419</v>
      </c>
      <c r="AA150" s="19">
        <v>38201</v>
      </c>
      <c r="AB150" s="19">
        <v>2844566.74</v>
      </c>
      <c r="AC150" s="19">
        <v>78092</v>
      </c>
      <c r="AD150" s="19">
        <f t="shared" si="76"/>
        <v>2.0307014524678184</v>
      </c>
      <c r="AE150" s="19">
        <f t="shared" si="77"/>
        <v>1.5312845452119084</v>
      </c>
      <c r="AF150" s="19">
        <f t="shared" si="78"/>
        <v>20.488780240352646</v>
      </c>
      <c r="AG150" s="19">
        <f t="shared" si="79"/>
        <v>0.24437927663734116</v>
      </c>
      <c r="AH150" s="19">
        <f t="shared" si="80"/>
        <v>9.2540631873615387E-2</v>
      </c>
      <c r="AI150" s="19">
        <f t="shared" si="81"/>
        <v>12.567802973042271</v>
      </c>
      <c r="AJ150" s="19">
        <f t="shared" si="82"/>
        <v>0.25100401606425704</v>
      </c>
      <c r="AK150" s="19">
        <f t="shared" si="83"/>
        <v>9.5441246369198429E-2</v>
      </c>
      <c r="AL150" s="19">
        <f t="shared" si="84"/>
        <v>12.567680927324028</v>
      </c>
      <c r="AM150" s="19">
        <f t="shared" si="85"/>
        <v>0.1640115062866068</v>
      </c>
      <c r="AN150" s="19">
        <f t="shared" si="86"/>
        <v>5.2021481993495753</v>
      </c>
      <c r="AO150" s="19">
        <f t="shared" si="87"/>
        <v>0</v>
      </c>
      <c r="AP150" s="19">
        <f t="shared" si="88"/>
        <v>100</v>
      </c>
      <c r="AQ150" s="19">
        <f t="shared" si="90"/>
        <v>100</v>
      </c>
      <c r="AR150" s="19" t="e">
        <f>(#REF!-MIN(#REF!))/(MAX(#REF!)-MIN(#REF!))*100</f>
        <v>#REF!</v>
      </c>
      <c r="AS150" s="19" t="e">
        <f t="shared" si="91"/>
        <v>#REF!</v>
      </c>
      <c r="AT150" s="19">
        <f t="shared" si="92"/>
        <v>1.5638883952372489</v>
      </c>
      <c r="AU150" s="19">
        <f t="shared" si="93"/>
        <v>1.5852717191455743</v>
      </c>
      <c r="AV150" s="19">
        <f t="shared" si="94"/>
        <v>0.26562170279927594</v>
      </c>
      <c r="AW150" s="19">
        <f t="shared" si="95"/>
        <v>1.7113369490811436</v>
      </c>
      <c r="AX150" s="19">
        <f t="shared" si="96"/>
        <v>1.5330640515195659</v>
      </c>
      <c r="AY150" s="19">
        <f t="shared" si="97"/>
        <v>1.4840692186605491</v>
      </c>
      <c r="AZ150" s="19">
        <f t="shared" si="98"/>
        <v>1.5761573149128763</v>
      </c>
      <c r="BA150" s="19">
        <f t="shared" si="99"/>
        <v>0.51589108484331747</v>
      </c>
      <c r="BB150" s="19">
        <f t="shared" si="100"/>
        <v>1.2643482223095797</v>
      </c>
      <c r="BC150" s="20">
        <v>0.4</v>
      </c>
      <c r="BD150" s="43">
        <v>17258</v>
      </c>
      <c r="BE150">
        <v>0</v>
      </c>
      <c r="BF150">
        <v>0</v>
      </c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/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</row>
    <row r="151" spans="1:102" x14ac:dyDescent="0.35">
      <c r="A151" t="s">
        <v>3407</v>
      </c>
      <c r="B151" t="s">
        <v>3407</v>
      </c>
      <c r="C151" t="s">
        <v>3407</v>
      </c>
      <c r="D151" t="s">
        <v>3408</v>
      </c>
      <c r="E151" s="19">
        <v>1244</v>
      </c>
      <c r="F151" s="19">
        <v>787.65052401692697</v>
      </c>
      <c r="G151" s="19">
        <v>0.63315958522261007</v>
      </c>
      <c r="H151" s="19">
        <v>102</v>
      </c>
      <c r="I151" s="19">
        <v>4581931.3339999998</v>
      </c>
      <c r="J151" s="19">
        <v>44920.894999999997</v>
      </c>
      <c r="K151" s="19">
        <v>100</v>
      </c>
      <c r="L151" s="19">
        <v>4567195</v>
      </c>
      <c r="M151" s="19">
        <v>45672</v>
      </c>
      <c r="N151" s="19">
        <v>599803</v>
      </c>
      <c r="O151" s="19">
        <v>98957.91</v>
      </c>
      <c r="P151" s="19">
        <v>1928149.56</v>
      </c>
      <c r="Q151" s="19">
        <v>0.91</v>
      </c>
      <c r="R151" s="19">
        <v>14433676.24</v>
      </c>
      <c r="S151" s="19">
        <v>129150</v>
      </c>
      <c r="T151" s="19">
        <f t="shared" si="89"/>
        <v>99.105217563062084</v>
      </c>
      <c r="U151" s="19">
        <v>13763</v>
      </c>
      <c r="V151" s="19">
        <v>27557687.469999999</v>
      </c>
      <c r="W151" s="19">
        <v>3604689.952</v>
      </c>
      <c r="X151" s="49">
        <v>4818</v>
      </c>
      <c r="Y151" s="19">
        <v>14211955</v>
      </c>
      <c r="Z151" s="19">
        <v>3472634</v>
      </c>
      <c r="AA151" s="19">
        <v>493398</v>
      </c>
      <c r="AB151" s="19">
        <v>87284617.719998002</v>
      </c>
      <c r="AC151" s="19">
        <v>1045224</v>
      </c>
      <c r="AD151" s="19">
        <f t="shared" si="76"/>
        <v>8.5289461003648377</v>
      </c>
      <c r="AE151" s="19">
        <f t="shared" si="77"/>
        <v>6.9443287338919362</v>
      </c>
      <c r="AF151" s="19">
        <f t="shared" si="78"/>
        <v>24.700471141545695</v>
      </c>
      <c r="AG151" s="19">
        <f t="shared" si="79"/>
        <v>4.9853372434017595</v>
      </c>
      <c r="AH151" s="19">
        <f t="shared" si="80"/>
        <v>3.4305151704487549</v>
      </c>
      <c r="AI151" s="19">
        <f t="shared" si="81"/>
        <v>22.837895566255302</v>
      </c>
      <c r="AJ151" s="19">
        <f t="shared" si="82"/>
        <v>5.0200803212851408</v>
      </c>
      <c r="AK151" s="19">
        <f t="shared" si="83"/>
        <v>3.526660651703232</v>
      </c>
      <c r="AL151" s="19">
        <f t="shared" si="84"/>
        <v>23.219705635628767</v>
      </c>
      <c r="AM151" s="19">
        <f t="shared" si="85"/>
        <v>6.4227938472302775</v>
      </c>
      <c r="AN151" s="19">
        <f t="shared" si="86"/>
        <v>36.658777478780827</v>
      </c>
      <c r="AO151" s="19">
        <f t="shared" si="87"/>
        <v>7.8349805675167836</v>
      </c>
      <c r="AP151" s="19">
        <f t="shared" si="88"/>
        <v>91</v>
      </c>
      <c r="AQ151" s="19">
        <f t="shared" si="90"/>
        <v>91</v>
      </c>
      <c r="AR151" s="19" t="e">
        <f>(#REF!-MIN(#REF!))/(MAX(#REF!)-MIN(#REF!))*100</f>
        <v>#REF!</v>
      </c>
      <c r="AS151" s="19" t="e">
        <f t="shared" si="91"/>
        <v>#REF!</v>
      </c>
      <c r="AT151" s="19">
        <f t="shared" si="92"/>
        <v>14.315432944103534</v>
      </c>
      <c r="AU151" s="19">
        <f t="shared" si="93"/>
        <v>4.9988959747958805</v>
      </c>
      <c r="AV151" s="19">
        <f t="shared" si="94"/>
        <v>0.35195750811694027</v>
      </c>
      <c r="AW151" s="19">
        <f t="shared" si="95"/>
        <v>12.624401032067823</v>
      </c>
      <c r="AX151" s="19">
        <f t="shared" si="96"/>
        <v>4.3996455780151074</v>
      </c>
      <c r="AY151" s="19">
        <f t="shared" si="97"/>
        <v>4.6084314056571456</v>
      </c>
      <c r="AZ151" s="19">
        <f t="shared" si="98"/>
        <v>20.385461039650622</v>
      </c>
      <c r="BA151" s="19">
        <f t="shared" si="99"/>
        <v>15.829952411559173</v>
      </c>
      <c r="BB151" s="19">
        <f t="shared" si="100"/>
        <v>16.93573921438551</v>
      </c>
      <c r="BC151" s="20">
        <v>5.5</v>
      </c>
      <c r="BD151" s="43">
        <v>232723</v>
      </c>
      <c r="BE151">
        <v>1</v>
      </c>
      <c r="BF151">
        <v>0.6</v>
      </c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</row>
    <row r="152" spans="1:102" x14ac:dyDescent="0.35">
      <c r="A152" t="s">
        <v>3407</v>
      </c>
      <c r="B152" t="s">
        <v>3587</v>
      </c>
      <c r="C152" t="s">
        <v>3588</v>
      </c>
      <c r="D152" t="s">
        <v>3589</v>
      </c>
      <c r="E152" s="19">
        <v>3670</v>
      </c>
      <c r="F152" s="19">
        <v>2661.8495013673801</v>
      </c>
      <c r="G152" s="19">
        <v>0.72529959165323898</v>
      </c>
      <c r="H152" s="19">
        <v>429</v>
      </c>
      <c r="I152" s="19">
        <v>26972420.010000002</v>
      </c>
      <c r="J152" s="19">
        <v>62872.773999999998</v>
      </c>
      <c r="K152" s="19">
        <v>414</v>
      </c>
      <c r="L152" s="19">
        <v>25359182</v>
      </c>
      <c r="M152" s="19">
        <v>61254</v>
      </c>
      <c r="N152" s="19">
        <v>1751279.72</v>
      </c>
      <c r="O152" s="19">
        <v>269943.28999999998</v>
      </c>
      <c r="P152" s="19">
        <v>7235345.6900000004</v>
      </c>
      <c r="Q152" s="19">
        <v>0.95</v>
      </c>
      <c r="R152" s="19">
        <v>80291077.519999996</v>
      </c>
      <c r="S152" s="19">
        <v>1385040.84</v>
      </c>
      <c r="T152" s="19">
        <f t="shared" si="89"/>
        <v>98.274975398536668</v>
      </c>
      <c r="U152" s="19">
        <v>30559</v>
      </c>
      <c r="V152" s="19">
        <v>36695789.890000001</v>
      </c>
      <c r="W152" s="19">
        <v>5053925.3099999996</v>
      </c>
      <c r="X152" s="49">
        <v>11893</v>
      </c>
      <c r="Y152" s="19">
        <v>18462524</v>
      </c>
      <c r="Z152" s="19">
        <v>3683531</v>
      </c>
      <c r="AA152" s="19">
        <v>667643</v>
      </c>
      <c r="AB152" s="19">
        <v>92303571.279996797</v>
      </c>
      <c r="AC152" s="19">
        <v>1304534</v>
      </c>
      <c r="AD152" s="19">
        <f t="shared" si="76"/>
        <v>25.228884146761203</v>
      </c>
      <c r="AE152" s="19">
        <f t="shared" si="77"/>
        <v>23.520201850051269</v>
      </c>
      <c r="AF152" s="19">
        <f t="shared" si="78"/>
        <v>32.819653172164102</v>
      </c>
      <c r="AG152" s="19">
        <f t="shared" si="79"/>
        <v>20.967741935483872</v>
      </c>
      <c r="AH152" s="19">
        <f t="shared" si="80"/>
        <v>20.194387319035403</v>
      </c>
      <c r="AI152" s="19">
        <f t="shared" si="81"/>
        <v>31.964675827869677</v>
      </c>
      <c r="AJ152" s="19">
        <f t="shared" si="82"/>
        <v>20.783132530120483</v>
      </c>
      <c r="AK152" s="19">
        <f t="shared" si="83"/>
        <v>19.581653360274935</v>
      </c>
      <c r="AL152" s="19">
        <f t="shared" si="84"/>
        <v>31.141615191031804</v>
      </c>
      <c r="AM152" s="19">
        <f t="shared" si="85"/>
        <v>18.753004920607541</v>
      </c>
      <c r="AN152" s="19">
        <f t="shared" si="86"/>
        <v>100</v>
      </c>
      <c r="AO152" s="19">
        <f t="shared" si="87"/>
        <v>29.400620188620803</v>
      </c>
      <c r="AP152" s="19">
        <f t="shared" si="88"/>
        <v>95</v>
      </c>
      <c r="AQ152" s="19">
        <f t="shared" si="90"/>
        <v>95</v>
      </c>
      <c r="AR152" s="19" t="e">
        <f>(#REF!-MIN(#REF!))/(MAX(#REF!)-MIN(#REF!))*100</f>
        <v>#REF!</v>
      </c>
      <c r="AS152" s="19" t="e">
        <f t="shared" si="91"/>
        <v>#REF!</v>
      </c>
      <c r="AT152" s="19">
        <f t="shared" si="92"/>
        <v>31.873634472449012</v>
      </c>
      <c r="AU152" s="19">
        <f t="shared" si="93"/>
        <v>6.6635131523517703</v>
      </c>
      <c r="AV152" s="19">
        <f t="shared" si="94"/>
        <v>0.49346570631277131</v>
      </c>
      <c r="AW152" s="19">
        <f t="shared" si="95"/>
        <v>31.251645516297195</v>
      </c>
      <c r="AX152" s="19">
        <f t="shared" si="96"/>
        <v>5.7211603308734444</v>
      </c>
      <c r="AY152" s="19">
        <f t="shared" si="97"/>
        <v>4.8883202909760408</v>
      </c>
      <c r="AZ152" s="19">
        <f t="shared" si="98"/>
        <v>27.585480212705203</v>
      </c>
      <c r="BA152" s="19">
        <f t="shared" si="99"/>
        <v>16.74019064237179</v>
      </c>
      <c r="BB152" s="19">
        <f t="shared" si="100"/>
        <v>21.137594181603227</v>
      </c>
      <c r="BC152" s="20">
        <v>10.6</v>
      </c>
      <c r="BD152" s="43">
        <v>536477</v>
      </c>
      <c r="BE152">
        <v>6</v>
      </c>
      <c r="BF152">
        <v>2.1</v>
      </c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</row>
    <row r="153" spans="1:102" x14ac:dyDescent="0.35">
      <c r="A153" t="s">
        <v>3632</v>
      </c>
      <c r="B153" t="s">
        <v>3662</v>
      </c>
      <c r="C153" t="s">
        <v>3749</v>
      </c>
      <c r="D153" t="s">
        <v>3750</v>
      </c>
      <c r="E153" s="19">
        <v>3086</v>
      </c>
      <c r="F153" s="19">
        <v>2486.1891026243302</v>
      </c>
      <c r="G153" s="19">
        <v>0.80563483558792504</v>
      </c>
      <c r="H153" s="19">
        <v>336</v>
      </c>
      <c r="I153" s="19">
        <v>18765781.594999999</v>
      </c>
      <c r="J153" s="19">
        <v>55850.54</v>
      </c>
      <c r="K153" s="19">
        <v>318</v>
      </c>
      <c r="L153" s="19">
        <v>18228216</v>
      </c>
      <c r="M153" s="19">
        <v>57321</v>
      </c>
      <c r="N153" s="19">
        <v>952245.3</v>
      </c>
      <c r="O153" s="19">
        <v>103663.24</v>
      </c>
      <c r="P153" s="19">
        <v>4158987.45</v>
      </c>
      <c r="Q153" s="19">
        <v>0.86</v>
      </c>
      <c r="R153" s="19">
        <v>61023966.880000003</v>
      </c>
      <c r="S153" s="19">
        <v>2641598.2200000002</v>
      </c>
      <c r="T153" s="19">
        <f t="shared" si="89"/>
        <v>95.671211894181596</v>
      </c>
      <c r="U153" s="19">
        <v>15949</v>
      </c>
      <c r="V153" s="19">
        <v>97208566.659999996</v>
      </c>
      <c r="W153" s="19">
        <v>27988383.522999998</v>
      </c>
      <c r="X153" s="49">
        <v>6108</v>
      </c>
      <c r="Y153" s="19">
        <v>52240219</v>
      </c>
      <c r="Z153" s="19">
        <v>12130519</v>
      </c>
      <c r="AA153" s="19">
        <v>545794</v>
      </c>
      <c r="AB153" s="19">
        <v>116057508.7859952</v>
      </c>
      <c r="AC153" s="19">
        <v>1194069</v>
      </c>
      <c r="AD153" s="19">
        <f t="shared" si="76"/>
        <v>21.208783644248641</v>
      </c>
      <c r="AE153" s="19">
        <f t="shared" si="77"/>
        <v>21.966618417189174</v>
      </c>
      <c r="AF153" s="19">
        <f t="shared" si="78"/>
        <v>39.898624557638506</v>
      </c>
      <c r="AG153" s="19">
        <f t="shared" si="79"/>
        <v>16.422287390029325</v>
      </c>
      <c r="AH153" s="19">
        <f t="shared" si="80"/>
        <v>14.050035619101125</v>
      </c>
      <c r="AI153" s="19">
        <f t="shared" si="81"/>
        <v>28.39455446822608</v>
      </c>
      <c r="AJ153" s="19">
        <f t="shared" si="82"/>
        <v>15.963855421686745</v>
      </c>
      <c r="AK153" s="19">
        <f t="shared" si="83"/>
        <v>14.075320216883073</v>
      </c>
      <c r="AL153" s="19">
        <f t="shared" si="84"/>
        <v>29.142072752230614</v>
      </c>
      <c r="AM153" s="19">
        <f t="shared" si="85"/>
        <v>10.19680670802572</v>
      </c>
      <c r="AN153" s="19">
        <f t="shared" si="86"/>
        <v>38.40185840514873</v>
      </c>
      <c r="AO153" s="19">
        <f t="shared" si="87"/>
        <v>16.899926503261593</v>
      </c>
      <c r="AP153" s="19">
        <f t="shared" si="88"/>
        <v>86</v>
      </c>
      <c r="AQ153" s="19">
        <f t="shared" si="90"/>
        <v>86</v>
      </c>
      <c r="AR153" s="19" t="e">
        <f>(#REF!-MIN(#REF!))/(MAX(#REF!)-MIN(#REF!))*100</f>
        <v>#REF!</v>
      </c>
      <c r="AS153" s="19" t="e">
        <f t="shared" si="91"/>
        <v>#REF!</v>
      </c>
      <c r="AT153" s="19">
        <f t="shared" si="92"/>
        <v>16.600633500245664</v>
      </c>
      <c r="AU153" s="19">
        <f t="shared" si="93"/>
        <v>17.686655927867619</v>
      </c>
      <c r="AV153" s="19">
        <f t="shared" si="94"/>
        <v>2.7328630825940161</v>
      </c>
      <c r="AW153" s="19">
        <f t="shared" si="95"/>
        <v>16.020746669475013</v>
      </c>
      <c r="AX153" s="19">
        <f t="shared" si="96"/>
        <v>16.222747826582669</v>
      </c>
      <c r="AY153" s="19">
        <f t="shared" si="97"/>
        <v>16.098617524327288</v>
      </c>
      <c r="AZ153" s="19">
        <f t="shared" si="98"/>
        <v>22.550528643262595</v>
      </c>
      <c r="BA153" s="19">
        <f t="shared" si="99"/>
        <v>21.0482085970744</v>
      </c>
      <c r="BB153" s="19">
        <f t="shared" si="100"/>
        <v>19.347621141791013</v>
      </c>
      <c r="BC153" s="20">
        <v>6</v>
      </c>
      <c r="BD153" s="43">
        <v>318465</v>
      </c>
      <c r="BE153">
        <v>2</v>
      </c>
      <c r="BF153">
        <v>1.2</v>
      </c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</row>
    <row r="154" spans="1:102" x14ac:dyDescent="0.35">
      <c r="A154" t="s">
        <v>3632</v>
      </c>
      <c r="B154" t="s">
        <v>3662</v>
      </c>
      <c r="C154" t="s">
        <v>3753</v>
      </c>
      <c r="D154" t="s">
        <v>3754</v>
      </c>
      <c r="E154" s="19">
        <v>18</v>
      </c>
      <c r="F154" s="19">
        <v>8.7793832347535687</v>
      </c>
      <c r="G154" s="19">
        <v>0.48774351304186503</v>
      </c>
      <c r="H154" s="19">
        <v>2</v>
      </c>
      <c r="I154" s="19">
        <v>60534.165999999997</v>
      </c>
      <c r="J154" s="19">
        <v>30267.082999999999</v>
      </c>
      <c r="K154" s="19">
        <v>2</v>
      </c>
      <c r="L154" s="19">
        <v>60534</v>
      </c>
      <c r="M154" s="19">
        <v>30267</v>
      </c>
      <c r="N154" s="19">
        <v>0</v>
      </c>
      <c r="O154" s="19">
        <v>0</v>
      </c>
      <c r="P154" s="19">
        <v>0</v>
      </c>
      <c r="Q154" s="19">
        <v>1</v>
      </c>
      <c r="R154" s="19">
        <v>5662</v>
      </c>
      <c r="S154" s="19">
        <v>0</v>
      </c>
      <c r="T154" s="19">
        <f t="shared" si="89"/>
        <v>50</v>
      </c>
      <c r="U154" s="19">
        <v>231</v>
      </c>
      <c r="V154" s="19">
        <v>527157.93000000005</v>
      </c>
      <c r="W154" s="19">
        <v>415204.30099999998</v>
      </c>
      <c r="X154" s="49">
        <v>97</v>
      </c>
      <c r="Y154" s="19">
        <v>286437</v>
      </c>
      <c r="Z154" s="19">
        <v>12483</v>
      </c>
      <c r="AA154" s="19"/>
      <c r="AB154" s="19"/>
      <c r="AC154" s="19"/>
      <c r="AD154" s="19">
        <f t="shared" si="76"/>
        <v>8.9488538583327601E-2</v>
      </c>
      <c r="AE154" s="19">
        <f t="shared" si="77"/>
        <v>5.5802297016458967E-2</v>
      </c>
      <c r="AF154" s="19">
        <f t="shared" si="78"/>
        <v>11.886715141844096</v>
      </c>
      <c r="AG154" s="19">
        <f t="shared" si="79"/>
        <v>9.7751710654936458E-2</v>
      </c>
      <c r="AH154" s="19">
        <f t="shared" si="80"/>
        <v>4.5322236335692594E-2</v>
      </c>
      <c r="AI154" s="19">
        <f t="shared" si="81"/>
        <v>15.387860830670922</v>
      </c>
      <c r="AJ154" s="19">
        <f t="shared" si="82"/>
        <v>0.1004016064257028</v>
      </c>
      <c r="AK154" s="19">
        <f t="shared" si="83"/>
        <v>4.674266719292771E-2</v>
      </c>
      <c r="AL154" s="19">
        <f t="shared" si="84"/>
        <v>15.387783115991763</v>
      </c>
      <c r="AM154" s="19">
        <f t="shared" si="85"/>
        <v>0</v>
      </c>
      <c r="AN154" s="19">
        <f t="shared" si="86"/>
        <v>0</v>
      </c>
      <c r="AO154" s="19">
        <f t="shared" si="87"/>
        <v>0</v>
      </c>
      <c r="AP154" s="19">
        <f t="shared" si="88"/>
        <v>100</v>
      </c>
      <c r="AQ154" s="19">
        <f t="shared" si="90"/>
        <v>100</v>
      </c>
      <c r="AR154" s="19" t="e">
        <f>(#REF!-MIN(#REF!))/(MAX(#REF!)-MIN(#REF!))*100</f>
        <v>#REF!</v>
      </c>
      <c r="AS154" s="19" t="e">
        <f t="shared" si="91"/>
        <v>#REF!</v>
      </c>
      <c r="AT154" s="19">
        <f t="shared" si="92"/>
        <v>0.16935155082114595</v>
      </c>
      <c r="AU154" s="19">
        <f t="shared" si="93"/>
        <v>7.4954250063507963E-2</v>
      </c>
      <c r="AV154" s="19">
        <f t="shared" si="94"/>
        <v>4.0525437989054648E-2</v>
      </c>
      <c r="AW154" s="19">
        <f t="shared" si="95"/>
        <v>0.19482912958769943</v>
      </c>
      <c r="AX154" s="19">
        <f t="shared" si="96"/>
        <v>7.0159930753688871E-2</v>
      </c>
      <c r="AY154" s="19">
        <f t="shared" si="97"/>
        <v>1.6342345949998657E-2</v>
      </c>
      <c r="AZ154" s="19">
        <f t="shared" si="98"/>
        <v>-2.3553105848897319E-3</v>
      </c>
      <c r="BA154" s="19">
        <f t="shared" si="99"/>
        <v>0</v>
      </c>
      <c r="BB154" s="19">
        <f t="shared" si="100"/>
        <v>-1.0532589289620603E-3</v>
      </c>
      <c r="BC154" s="20">
        <v>0.1</v>
      </c>
      <c r="BD154" s="43">
        <v>2537</v>
      </c>
      <c r="BE154">
        <v>0</v>
      </c>
      <c r="BF154">
        <v>0</v>
      </c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/>
      <c r="CL154" s="36"/>
      <c r="CM154" s="36"/>
      <c r="CN154" s="36"/>
      <c r="CO154" s="36"/>
      <c r="CP154" s="36"/>
      <c r="CQ154" s="36"/>
      <c r="CR154" s="36"/>
      <c r="CS154" s="36"/>
      <c r="CT154" s="36"/>
      <c r="CU154" s="36"/>
      <c r="CV154" s="36"/>
      <c r="CW154" s="36"/>
      <c r="CX154" s="36"/>
    </row>
    <row r="155" spans="1:102" x14ac:dyDescent="0.35">
      <c r="A155" t="s">
        <v>3632</v>
      </c>
      <c r="B155" t="s">
        <v>3662</v>
      </c>
      <c r="C155" t="s">
        <v>3763</v>
      </c>
      <c r="D155" t="s">
        <v>3764</v>
      </c>
      <c r="E155" s="19">
        <v>32</v>
      </c>
      <c r="F155" s="19">
        <v>19.429995144831</v>
      </c>
      <c r="G155" s="19">
        <v>0.60718734827597098</v>
      </c>
      <c r="H155" s="19">
        <v>1</v>
      </c>
      <c r="I155" s="19">
        <v>15924.833000000001</v>
      </c>
      <c r="J155" s="19">
        <v>15924.833000000001</v>
      </c>
      <c r="K155" s="19">
        <v>1</v>
      </c>
      <c r="L155" s="19">
        <v>15925</v>
      </c>
      <c r="M155" s="19">
        <v>15925</v>
      </c>
      <c r="N155" s="19">
        <v>0</v>
      </c>
      <c r="O155" s="19">
        <v>0</v>
      </c>
      <c r="P155" s="19">
        <v>0</v>
      </c>
      <c r="Q155" s="19">
        <v>1</v>
      </c>
      <c r="R155" s="19">
        <v>98588.14</v>
      </c>
      <c r="S155" s="19">
        <v>0</v>
      </c>
      <c r="T155" s="19">
        <f t="shared" si="89"/>
        <v>50</v>
      </c>
      <c r="U155" s="19">
        <v>270</v>
      </c>
      <c r="V155" s="19">
        <v>416490.51</v>
      </c>
      <c r="W155" s="19">
        <v>21969.116999999998</v>
      </c>
      <c r="X155" s="49">
        <v>104</v>
      </c>
      <c r="Y155" s="19">
        <v>63370</v>
      </c>
      <c r="Z155" s="19">
        <v>21969</v>
      </c>
      <c r="AA155" s="19"/>
      <c r="AB155" s="19"/>
      <c r="AC155" s="19"/>
      <c r="AD155" s="19">
        <f t="shared" si="76"/>
        <v>0.18586081090383424</v>
      </c>
      <c r="AE155" s="19">
        <f t="shared" si="77"/>
        <v>0.1499989078162777</v>
      </c>
      <c r="AF155" s="19">
        <f t="shared" si="78"/>
        <v>22.411852682734541</v>
      </c>
      <c r="AG155" s="19">
        <f t="shared" si="79"/>
        <v>4.8875855327468229E-2</v>
      </c>
      <c r="AH155" s="19">
        <f t="shared" si="80"/>
        <v>1.1923003033236412E-2</v>
      </c>
      <c r="AI155" s="19">
        <f t="shared" si="81"/>
        <v>8.0962249964978703</v>
      </c>
      <c r="AJ155" s="19">
        <f t="shared" si="82"/>
        <v>5.0200803212851398E-2</v>
      </c>
      <c r="AK155" s="19">
        <f t="shared" si="83"/>
        <v>1.2296841032269034E-2</v>
      </c>
      <c r="AL155" s="19">
        <f t="shared" si="84"/>
        <v>8.096291212282976</v>
      </c>
      <c r="AM155" s="19">
        <f t="shared" si="85"/>
        <v>0</v>
      </c>
      <c r="AN155" s="19">
        <f t="shared" si="86"/>
        <v>0</v>
      </c>
      <c r="AO155" s="19">
        <f t="shared" si="87"/>
        <v>0</v>
      </c>
      <c r="AP155" s="19">
        <f t="shared" si="88"/>
        <v>100</v>
      </c>
      <c r="AQ155" s="19">
        <f t="shared" si="90"/>
        <v>100</v>
      </c>
      <c r="AR155" s="19" t="e">
        <f>(#REF!-MIN(#REF!))/(MAX(#REF!)-MIN(#REF!))*100</f>
        <v>#REF!</v>
      </c>
      <c r="AS155" s="19" t="e">
        <f t="shared" si="91"/>
        <v>#REF!</v>
      </c>
      <c r="AT155" s="19">
        <f t="shared" si="92"/>
        <v>0.2101213686114218</v>
      </c>
      <c r="AU155" s="19">
        <f t="shared" si="93"/>
        <v>5.4794825287899869E-2</v>
      </c>
      <c r="AV155" s="19">
        <f t="shared" si="94"/>
        <v>2.128636497929211E-3</v>
      </c>
      <c r="AW155" s="19">
        <f t="shared" si="95"/>
        <v>0.2132589121162656</v>
      </c>
      <c r="AX155" s="19">
        <f t="shared" si="96"/>
        <v>8.0772605454139412E-4</v>
      </c>
      <c r="AY155" s="19">
        <f t="shared" si="97"/>
        <v>2.8931552843103031E-2</v>
      </c>
      <c r="AZ155" s="19">
        <f t="shared" si="98"/>
        <v>-2.3553105848897319E-3</v>
      </c>
      <c r="BA155" s="19">
        <f t="shared" si="99"/>
        <v>0</v>
      </c>
      <c r="BB155" s="19">
        <f t="shared" si="100"/>
        <v>-1.0532589289620603E-3</v>
      </c>
      <c r="BC155" s="20">
        <v>0.1</v>
      </c>
      <c r="BD155" s="43">
        <v>2125</v>
      </c>
      <c r="BE155">
        <v>0</v>
      </c>
      <c r="BF155">
        <v>0</v>
      </c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</row>
    <row r="156" spans="1:102" x14ac:dyDescent="0.35">
      <c r="A156" t="s">
        <v>3632</v>
      </c>
      <c r="B156" t="s">
        <v>3662</v>
      </c>
      <c r="C156" t="s">
        <v>3765</v>
      </c>
      <c r="D156" t="s">
        <v>3766</v>
      </c>
      <c r="E156" s="19">
        <v>378</v>
      </c>
      <c r="F156" s="19">
        <v>280.13188260027101</v>
      </c>
      <c r="G156" s="19">
        <v>0.741089636508653</v>
      </c>
      <c r="H156" s="19">
        <v>58</v>
      </c>
      <c r="I156" s="19">
        <v>4025576.0759999999</v>
      </c>
      <c r="J156" s="19">
        <v>69406.483999999997</v>
      </c>
      <c r="K156" s="19">
        <v>58</v>
      </c>
      <c r="L156" s="19">
        <v>4025576</v>
      </c>
      <c r="M156" s="19">
        <v>69406</v>
      </c>
      <c r="N156" s="19">
        <v>4682.13</v>
      </c>
      <c r="O156" s="19">
        <v>1670.56</v>
      </c>
      <c r="P156" s="19">
        <v>39013.019999999997</v>
      </c>
      <c r="Q156" s="19">
        <v>0.9</v>
      </c>
      <c r="R156" s="19">
        <v>8385468.7800000003</v>
      </c>
      <c r="S156" s="19">
        <v>269087.65000000002</v>
      </c>
      <c r="T156" s="19">
        <f t="shared" si="89"/>
        <v>96.791024365366482</v>
      </c>
      <c r="U156" s="19">
        <v>3970</v>
      </c>
      <c r="V156" s="19">
        <v>22016855.559999999</v>
      </c>
      <c r="W156" s="19">
        <v>5197646.1109999996</v>
      </c>
      <c r="X156" s="49">
        <v>1377</v>
      </c>
      <c r="Y156" s="19">
        <v>10783799</v>
      </c>
      <c r="Z156" s="19">
        <v>980099</v>
      </c>
      <c r="AA156" s="19">
        <v>34236</v>
      </c>
      <c r="AB156" s="19">
        <v>1515510.3</v>
      </c>
      <c r="AC156" s="19">
        <v>57784</v>
      </c>
      <c r="AD156" s="19">
        <f t="shared" si="76"/>
        <v>2.5676326839677839</v>
      </c>
      <c r="AE156" s="19">
        <f t="shared" si="77"/>
        <v>2.4557100195114265</v>
      </c>
      <c r="AF156" s="19">
        <f t="shared" si="78"/>
        <v>34.211038450059192</v>
      </c>
      <c r="AG156" s="19">
        <f t="shared" si="79"/>
        <v>2.8347996089931571</v>
      </c>
      <c r="AH156" s="19">
        <f t="shared" si="80"/>
        <v>3.0139691740988388</v>
      </c>
      <c r="AI156" s="19">
        <f t="shared" si="81"/>
        <v>35.286430361927778</v>
      </c>
      <c r="AJ156" s="19">
        <f t="shared" si="82"/>
        <v>2.9116465863453818</v>
      </c>
      <c r="AK156" s="19">
        <f t="shared" si="83"/>
        <v>3.1084375595175793</v>
      </c>
      <c r="AL156" s="19">
        <f t="shared" si="84"/>
        <v>35.286102849589469</v>
      </c>
      <c r="AM156" s="19">
        <f t="shared" si="85"/>
        <v>5.0137054592811814E-2</v>
      </c>
      <c r="AN156" s="19">
        <f t="shared" si="86"/>
        <v>0.61885590858731854</v>
      </c>
      <c r="AO156" s="19">
        <f t="shared" si="87"/>
        <v>0.15852829050260167</v>
      </c>
      <c r="AP156" s="19">
        <f t="shared" si="88"/>
        <v>90</v>
      </c>
      <c r="AQ156" s="19">
        <f t="shared" si="90"/>
        <v>90</v>
      </c>
      <c r="AR156" s="19" t="e">
        <f>(#REF!-MIN(#REF!))/(MAX(#REF!)-MIN(#REF!))*100</f>
        <v>#REF!</v>
      </c>
      <c r="AS156" s="19" t="e">
        <f t="shared" si="91"/>
        <v>#REF!</v>
      </c>
      <c r="AT156" s="19">
        <f t="shared" si="92"/>
        <v>4.0780271589709285</v>
      </c>
      <c r="AU156" s="19">
        <f t="shared" si="93"/>
        <v>3.9895656399608064</v>
      </c>
      <c r="AV156" s="19">
        <f t="shared" si="94"/>
        <v>0.50749908707491231</v>
      </c>
      <c r="AW156" s="19">
        <f t="shared" si="95"/>
        <v>3.5648465062397978</v>
      </c>
      <c r="AX156" s="19">
        <f t="shared" si="96"/>
        <v>3.3338215132605238</v>
      </c>
      <c r="AY156" s="19">
        <f t="shared" si="97"/>
        <v>1.3004998430065118</v>
      </c>
      <c r="AZ156" s="19">
        <f t="shared" si="98"/>
        <v>1.4123186049288801</v>
      </c>
      <c r="BA156" s="19">
        <f t="shared" si="99"/>
        <v>0.27485319355109294</v>
      </c>
      <c r="BB156" s="19">
        <f t="shared" si="100"/>
        <v>0.935277724934787</v>
      </c>
      <c r="BC156" s="20">
        <v>0.9</v>
      </c>
      <c r="BD156" s="43">
        <v>40593</v>
      </c>
      <c r="BE156">
        <v>0</v>
      </c>
      <c r="BF156">
        <v>0</v>
      </c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</row>
    <row r="157" spans="1:102" x14ac:dyDescent="0.35">
      <c r="A157" t="s">
        <v>3632</v>
      </c>
      <c r="B157" t="s">
        <v>3662</v>
      </c>
      <c r="C157" t="s">
        <v>3767</v>
      </c>
      <c r="D157" t="s">
        <v>3768</v>
      </c>
      <c r="E157" s="19">
        <v>430</v>
      </c>
      <c r="F157" s="19">
        <v>314.882233601265</v>
      </c>
      <c r="G157" s="19">
        <v>0.73228426418898807</v>
      </c>
      <c r="H157" s="19">
        <v>83</v>
      </c>
      <c r="I157" s="19">
        <v>6214576.4790000003</v>
      </c>
      <c r="J157" s="19">
        <v>74874.414999999994</v>
      </c>
      <c r="K157" s="19">
        <v>74</v>
      </c>
      <c r="L157" s="19">
        <v>5890582</v>
      </c>
      <c r="M157" s="19">
        <v>79602</v>
      </c>
      <c r="N157" s="19">
        <v>0</v>
      </c>
      <c r="O157" s="19">
        <v>0</v>
      </c>
      <c r="P157" s="19">
        <v>1037845.33</v>
      </c>
      <c r="Q157" s="19">
        <v>0.92</v>
      </c>
      <c r="R157" s="19">
        <v>15030596.92</v>
      </c>
      <c r="S157" s="19">
        <v>3775.44</v>
      </c>
      <c r="T157" s="19">
        <f t="shared" si="89"/>
        <v>99.974881636304303</v>
      </c>
      <c r="U157" s="19">
        <v>3859</v>
      </c>
      <c r="V157" s="19">
        <v>22948926.640000001</v>
      </c>
      <c r="W157" s="19">
        <v>3275664.517</v>
      </c>
      <c r="X157" s="49">
        <v>1469</v>
      </c>
      <c r="Y157" s="19">
        <v>11200431</v>
      </c>
      <c r="Z157" s="19">
        <v>1242315</v>
      </c>
      <c r="AA157" s="19">
        <v>39060</v>
      </c>
      <c r="AB157" s="19">
        <v>1703898.659999999</v>
      </c>
      <c r="AC157" s="19">
        <v>58756</v>
      </c>
      <c r="AD157" s="19">
        <f t="shared" si="76"/>
        <v>2.9255868383010948</v>
      </c>
      <c r="AE157" s="19">
        <f t="shared" si="77"/>
        <v>2.7630506038867262</v>
      </c>
      <c r="AF157" s="19">
        <f t="shared" si="78"/>
        <v>33.435127708566533</v>
      </c>
      <c r="AG157" s="19">
        <f t="shared" si="79"/>
        <v>4.0566959921798631</v>
      </c>
      <c r="AH157" s="19">
        <f t="shared" si="80"/>
        <v>4.6528848503087392</v>
      </c>
      <c r="AI157" s="19">
        <f t="shared" si="81"/>
        <v>38.066340182101435</v>
      </c>
      <c r="AJ157" s="19">
        <f t="shared" si="82"/>
        <v>3.7148594377510036</v>
      </c>
      <c r="AK157" s="19">
        <f t="shared" si="83"/>
        <v>4.5485431988411547</v>
      </c>
      <c r="AL157" s="19">
        <f t="shared" si="84"/>
        <v>40.469762830778613</v>
      </c>
      <c r="AM157" s="19">
        <f t="shared" si="85"/>
        <v>0</v>
      </c>
      <c r="AN157" s="19">
        <f t="shared" si="86"/>
        <v>0</v>
      </c>
      <c r="AO157" s="19">
        <f t="shared" si="87"/>
        <v>4.217254802909606</v>
      </c>
      <c r="AP157" s="19">
        <f t="shared" si="88"/>
        <v>92</v>
      </c>
      <c r="AQ157" s="19">
        <f t="shared" si="90"/>
        <v>92</v>
      </c>
      <c r="AR157" s="19" t="e">
        <f>(#REF!-MIN(#REF!))/(MAX(#REF!)-MIN(#REF!))*100</f>
        <v>#REF!</v>
      </c>
      <c r="AS157" s="19" t="e">
        <f t="shared" si="91"/>
        <v>#REF!</v>
      </c>
      <c r="AT157" s="19">
        <f t="shared" si="92"/>
        <v>3.9619899852601428</v>
      </c>
      <c r="AU157" s="19">
        <f t="shared" si="93"/>
        <v>4.15935379281356</v>
      </c>
      <c r="AV157" s="19">
        <f t="shared" si="94"/>
        <v>0.31983036174942142</v>
      </c>
      <c r="AW157" s="19">
        <f t="shared" si="95"/>
        <v>3.8070665051866674</v>
      </c>
      <c r="AX157" s="19">
        <f t="shared" si="96"/>
        <v>3.4633536616653311</v>
      </c>
      <c r="AY157" s="19">
        <f t="shared" si="97"/>
        <v>1.6484959925618836</v>
      </c>
      <c r="AZ157" s="19">
        <f t="shared" si="98"/>
        <v>1.6116522586395479</v>
      </c>
      <c r="BA157" s="19">
        <f t="shared" si="99"/>
        <v>0.30901933704338902</v>
      </c>
      <c r="BB157" s="19">
        <f t="shared" si="100"/>
        <v>0.95102799691865059</v>
      </c>
      <c r="BC157" s="20">
        <v>1.1000000000000001</v>
      </c>
      <c r="BD157" s="43">
        <v>52943</v>
      </c>
      <c r="BE157">
        <v>0</v>
      </c>
      <c r="BF157">
        <v>0</v>
      </c>
      <c r="BG157" s="36"/>
      <c r="BH157" s="36"/>
      <c r="BI157" s="36"/>
      <c r="BJ157" s="36"/>
      <c r="BK157" s="36"/>
      <c r="BL157" s="36"/>
      <c r="BM157" s="36"/>
      <c r="BN157" s="36"/>
      <c r="BO157" s="36"/>
      <c r="BP157" s="36"/>
      <c r="BQ157" s="36"/>
      <c r="BR157" s="36"/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</row>
    <row r="158" spans="1:102" x14ac:dyDescent="0.35">
      <c r="A158" t="s">
        <v>3632</v>
      </c>
      <c r="B158" t="s">
        <v>3662</v>
      </c>
      <c r="C158" t="s">
        <v>3771</v>
      </c>
      <c r="D158" t="s">
        <v>3772</v>
      </c>
      <c r="E158" s="19">
        <v>7</v>
      </c>
      <c r="F158" s="19">
        <v>2.4699353239767201</v>
      </c>
      <c r="G158" s="19">
        <v>0.35284790342524602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f t="shared" si="89"/>
        <v>50</v>
      </c>
      <c r="U158" s="19">
        <v>69</v>
      </c>
      <c r="V158" s="19">
        <v>115688.18</v>
      </c>
      <c r="W158" s="19">
        <v>3568.6</v>
      </c>
      <c r="X158" s="49">
        <v>23</v>
      </c>
      <c r="Y158" s="19">
        <v>60772</v>
      </c>
      <c r="Z158" s="19">
        <v>2901</v>
      </c>
      <c r="AA158" s="19"/>
      <c r="AB158" s="19"/>
      <c r="AC158" s="19"/>
      <c r="AD158" s="19">
        <f t="shared" si="76"/>
        <v>1.3767467474358093E-2</v>
      </c>
      <c r="AE158" s="19">
        <f t="shared" si="77"/>
        <v>0</v>
      </c>
      <c r="AF158" s="19">
        <f t="shared" si="78"/>
        <v>0</v>
      </c>
      <c r="AG158" s="19">
        <f t="shared" si="79"/>
        <v>0</v>
      </c>
      <c r="AH158" s="19">
        <f t="shared" si="80"/>
        <v>0</v>
      </c>
      <c r="AI158" s="19">
        <f t="shared" si="81"/>
        <v>0</v>
      </c>
      <c r="AJ158" s="19">
        <f t="shared" si="82"/>
        <v>0</v>
      </c>
      <c r="AK158" s="19">
        <f t="shared" si="83"/>
        <v>0</v>
      </c>
      <c r="AL158" s="19">
        <f t="shared" si="84"/>
        <v>0</v>
      </c>
      <c r="AM158" s="19">
        <f t="shared" si="85"/>
        <v>0</v>
      </c>
      <c r="AN158" s="19">
        <f t="shared" si="86"/>
        <v>0</v>
      </c>
      <c r="AO158" s="19">
        <f t="shared" si="87"/>
        <v>0</v>
      </c>
      <c r="AP158" s="19">
        <f t="shared" si="88"/>
        <v>0</v>
      </c>
      <c r="AQ158" s="19">
        <f t="shared" si="90"/>
        <v>50</v>
      </c>
      <c r="AR158" s="19" t="e">
        <f>(#REF!-MIN(#REF!))/(MAX(#REF!)-MIN(#REF!))*100</f>
        <v>#REF!</v>
      </c>
      <c r="AS158" s="19" t="e">
        <f t="shared" si="91"/>
        <v>#REF!</v>
      </c>
      <c r="AT158" s="19">
        <f t="shared" si="92"/>
        <v>0</v>
      </c>
      <c r="AU158" s="19">
        <f t="shared" si="93"/>
        <v>0</v>
      </c>
      <c r="AV158" s="19">
        <f t="shared" si="94"/>
        <v>3.3194833946809311E-4</v>
      </c>
      <c r="AW158" s="19">
        <f t="shared" si="95"/>
        <v>0</v>
      </c>
      <c r="AX158" s="19">
        <f t="shared" si="96"/>
        <v>0</v>
      </c>
      <c r="AY158" s="19">
        <f t="shared" si="97"/>
        <v>3.6257340535485088E-3</v>
      </c>
      <c r="AZ158" s="19">
        <f t="shared" si="98"/>
        <v>-2.3553105848897319E-3</v>
      </c>
      <c r="BA158" s="19">
        <f t="shared" si="99"/>
        <v>0</v>
      </c>
      <c r="BB158" s="19">
        <f t="shared" si="100"/>
        <v>-1.0532589289620603E-3</v>
      </c>
      <c r="BC158" s="20">
        <v>0</v>
      </c>
      <c r="BD158" s="43">
        <v>433</v>
      </c>
      <c r="BE158">
        <v>0</v>
      </c>
      <c r="BF158">
        <v>0</v>
      </c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</row>
    <row r="159" spans="1:102" x14ac:dyDescent="0.35">
      <c r="A159" t="s">
        <v>3789</v>
      </c>
      <c r="B159" t="s">
        <v>3789</v>
      </c>
      <c r="C159" t="s">
        <v>3789</v>
      </c>
      <c r="D159" t="s">
        <v>3790</v>
      </c>
      <c r="E159" s="19">
        <v>5351</v>
      </c>
      <c r="F159" s="19">
        <v>3224.8803507756902</v>
      </c>
      <c r="G159" s="19">
        <v>0.60266872561683704</v>
      </c>
      <c r="H159" s="19">
        <v>225</v>
      </c>
      <c r="I159" s="19">
        <v>9175586.4450000003</v>
      </c>
      <c r="J159" s="19">
        <v>40780.383999999998</v>
      </c>
      <c r="K159" s="19">
        <v>220</v>
      </c>
      <c r="L159" s="19">
        <v>8742299</v>
      </c>
      <c r="M159" s="19">
        <v>39738</v>
      </c>
      <c r="N159" s="19">
        <v>927523.86</v>
      </c>
      <c r="O159" s="19">
        <v>79946.62</v>
      </c>
      <c r="P159" s="19">
        <v>1099185.98</v>
      </c>
      <c r="Q159" s="19">
        <v>0.89</v>
      </c>
      <c r="R159" s="19">
        <v>32879754.780000001</v>
      </c>
      <c r="S159" s="19">
        <v>918113.59</v>
      </c>
      <c r="T159" s="19">
        <f t="shared" si="89"/>
        <v>97.207662903378861</v>
      </c>
      <c r="U159" s="19">
        <v>22326</v>
      </c>
      <c r="V159" s="19">
        <v>90039806.640000001</v>
      </c>
      <c r="W159" s="19">
        <v>10181614.726</v>
      </c>
      <c r="X159" s="49">
        <v>8205</v>
      </c>
      <c r="Y159" s="19">
        <v>52489129</v>
      </c>
      <c r="Z159" s="19">
        <v>7912041</v>
      </c>
      <c r="AA159" s="19">
        <v>578468</v>
      </c>
      <c r="AB159" s="19">
        <v>85813949.901997089</v>
      </c>
      <c r="AC159" s="19">
        <v>1299708</v>
      </c>
      <c r="AD159" s="19">
        <f t="shared" si="76"/>
        <v>36.800440558959181</v>
      </c>
      <c r="AE159" s="19">
        <f t="shared" si="77"/>
        <v>28.499784078545066</v>
      </c>
      <c r="AF159" s="19">
        <f t="shared" si="78"/>
        <v>22.013681233454179</v>
      </c>
      <c r="AG159" s="19">
        <f t="shared" si="79"/>
        <v>10.997067448680351</v>
      </c>
      <c r="AH159" s="19">
        <f t="shared" si="80"/>
        <v>6.8698079920497701</v>
      </c>
      <c r="AI159" s="19">
        <f t="shared" si="81"/>
        <v>20.732849399901511</v>
      </c>
      <c r="AJ159" s="19">
        <f t="shared" si="82"/>
        <v>11.04417670682731</v>
      </c>
      <c r="AK159" s="19">
        <f t="shared" si="83"/>
        <v>6.750559564179877</v>
      </c>
      <c r="AL159" s="19">
        <f t="shared" si="84"/>
        <v>20.202852131472586</v>
      </c>
      <c r="AM159" s="19">
        <f t="shared" si="85"/>
        <v>9.9320852699424282</v>
      </c>
      <c r="AN159" s="19">
        <f t="shared" si="86"/>
        <v>29.616079732895013</v>
      </c>
      <c r="AO159" s="19">
        <f t="shared" si="87"/>
        <v>4.4665107790636798</v>
      </c>
      <c r="AP159" s="19">
        <f t="shared" si="88"/>
        <v>89</v>
      </c>
      <c r="AQ159" s="19">
        <f t="shared" si="90"/>
        <v>89</v>
      </c>
      <c r="AR159" s="19" t="e">
        <f>(#REF!-MIN(#REF!))/(MAX(#REF!)-MIN(#REF!))*100</f>
        <v>#REF!</v>
      </c>
      <c r="AS159" s="19" t="e">
        <f t="shared" si="91"/>
        <v>#REF!</v>
      </c>
      <c r="AT159" s="19">
        <f t="shared" si="92"/>
        <v>23.26702139892744</v>
      </c>
      <c r="AU159" s="19">
        <f t="shared" si="93"/>
        <v>16.380778567054687</v>
      </c>
      <c r="AV159" s="19">
        <f t="shared" si="94"/>
        <v>0.99415048891934743</v>
      </c>
      <c r="AW159" s="19">
        <f t="shared" si="95"/>
        <v>21.541782949818337</v>
      </c>
      <c r="AX159" s="19">
        <f t="shared" si="96"/>
        <v>16.300134698113038</v>
      </c>
      <c r="AY159" s="19">
        <f t="shared" si="97"/>
        <v>10.50012581907648</v>
      </c>
      <c r="AZ159" s="19">
        <f t="shared" si="98"/>
        <v>23.900658784502717</v>
      </c>
      <c r="BA159" s="19">
        <f t="shared" si="99"/>
        <v>15.563231857808816</v>
      </c>
      <c r="BB159" s="19">
        <f t="shared" si="100"/>
        <v>21.059393757123676</v>
      </c>
      <c r="BC159" s="20">
        <v>6.8</v>
      </c>
      <c r="BD159" s="43">
        <v>304586</v>
      </c>
      <c r="BE159">
        <v>4</v>
      </c>
      <c r="BF159">
        <v>1.8</v>
      </c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</row>
    <row r="160" spans="1:102" x14ac:dyDescent="0.35">
      <c r="A160" t="s">
        <v>3789</v>
      </c>
      <c r="B160" t="s">
        <v>3789</v>
      </c>
      <c r="C160" t="s">
        <v>3791</v>
      </c>
      <c r="D160" t="s">
        <v>3792</v>
      </c>
      <c r="E160" s="19">
        <v>601</v>
      </c>
      <c r="F160" s="19">
        <v>294.545102859927</v>
      </c>
      <c r="G160" s="19">
        <v>0.49009168529106001</v>
      </c>
      <c r="H160" s="19">
        <v>36</v>
      </c>
      <c r="I160" s="19">
        <v>1658085.8870000001</v>
      </c>
      <c r="J160" s="19">
        <v>46057.940999999999</v>
      </c>
      <c r="K160" s="19">
        <v>34</v>
      </c>
      <c r="L160" s="19">
        <v>1608875</v>
      </c>
      <c r="M160" s="19">
        <v>47320</v>
      </c>
      <c r="N160" s="19">
        <v>50235.05</v>
      </c>
      <c r="O160" s="19">
        <v>7373.4</v>
      </c>
      <c r="P160" s="19">
        <v>162886.57999999999</v>
      </c>
      <c r="Q160" s="19">
        <v>0.93</v>
      </c>
      <c r="R160" s="19">
        <v>3798051.4</v>
      </c>
      <c r="S160" s="19">
        <v>346136.86</v>
      </c>
      <c r="T160" s="19">
        <f t="shared" si="89"/>
        <v>90.886461936771056</v>
      </c>
      <c r="U160" s="19">
        <v>3758</v>
      </c>
      <c r="V160" s="19">
        <v>11605145.85</v>
      </c>
      <c r="W160" s="19">
        <v>44962.983</v>
      </c>
      <c r="X160" s="49">
        <v>1404</v>
      </c>
      <c r="Y160" s="19">
        <v>6279383</v>
      </c>
      <c r="Z160" s="19">
        <v>44963</v>
      </c>
      <c r="AA160" s="19">
        <v>49817</v>
      </c>
      <c r="AB160" s="19">
        <v>2926191.310000001</v>
      </c>
      <c r="AC160" s="19">
        <v>71334</v>
      </c>
      <c r="AD160" s="19">
        <f t="shared" si="76"/>
        <v>4.1027053073587112</v>
      </c>
      <c r="AE160" s="19">
        <f t="shared" si="77"/>
        <v>2.5831840567436224</v>
      </c>
      <c r="AF160" s="19">
        <f t="shared" si="78"/>
        <v>12.093631102337486</v>
      </c>
      <c r="AG160" s="19">
        <f t="shared" si="79"/>
        <v>1.7595307917888565</v>
      </c>
      <c r="AH160" s="19">
        <f t="shared" si="80"/>
        <v>1.2414172921039417</v>
      </c>
      <c r="AI160" s="19">
        <f t="shared" si="81"/>
        <v>23.41597260149755</v>
      </c>
      <c r="AJ160" s="19">
        <f t="shared" si="82"/>
        <v>1.7068273092369479</v>
      </c>
      <c r="AK160" s="19">
        <f t="shared" si="83"/>
        <v>1.2423284217137736</v>
      </c>
      <c r="AL160" s="19">
        <f t="shared" si="84"/>
        <v>24.057551030783699</v>
      </c>
      <c r="AM160" s="19">
        <f t="shared" si="85"/>
        <v>0.53792556898732657</v>
      </c>
      <c r="AN160" s="19">
        <f t="shared" si="86"/>
        <v>2.7314625971995823</v>
      </c>
      <c r="AO160" s="19">
        <f t="shared" si="87"/>
        <v>0.66188495720698548</v>
      </c>
      <c r="AP160" s="19">
        <f t="shared" si="88"/>
        <v>93</v>
      </c>
      <c r="AQ160" s="19">
        <f t="shared" si="90"/>
        <v>93</v>
      </c>
      <c r="AR160" s="19" t="e">
        <f>(#REF!-MIN(#REF!))/(MAX(#REF!)-MIN(#REF!))*100</f>
        <v>#REF!</v>
      </c>
      <c r="AS160" s="19" t="e">
        <f t="shared" si="91"/>
        <v>#REF!</v>
      </c>
      <c r="AT160" s="19">
        <f t="shared" si="92"/>
        <v>3.8564066109827619</v>
      </c>
      <c r="AU160" s="19">
        <f t="shared" si="93"/>
        <v>2.0929453095671535</v>
      </c>
      <c r="AV160" s="19">
        <f t="shared" si="94"/>
        <v>4.3738346496681934E-3</v>
      </c>
      <c r="AW160" s="19">
        <f t="shared" si="95"/>
        <v>3.6359328102785535</v>
      </c>
      <c r="AX160" s="19">
        <f t="shared" si="96"/>
        <v>1.9333849606457711</v>
      </c>
      <c r="AY160" s="19">
        <f t="shared" si="97"/>
        <v>5.9447705415319144E-2</v>
      </c>
      <c r="AZ160" s="19">
        <f t="shared" si="98"/>
        <v>2.0561448193704051</v>
      </c>
      <c r="BA160" s="19">
        <f t="shared" si="99"/>
        <v>0.53069453008333656</v>
      </c>
      <c r="BB160" s="19">
        <f t="shared" si="100"/>
        <v>1.1548417016645705</v>
      </c>
      <c r="BC160" s="20">
        <v>1.6</v>
      </c>
      <c r="BD160" s="43">
        <v>66564</v>
      </c>
      <c r="BE160">
        <v>0</v>
      </c>
      <c r="BF160">
        <v>0</v>
      </c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</row>
    <row r="161" spans="1:102" x14ac:dyDescent="0.35">
      <c r="A161" t="s">
        <v>3789</v>
      </c>
      <c r="B161" t="s">
        <v>3789</v>
      </c>
      <c r="C161" t="s">
        <v>3795</v>
      </c>
      <c r="D161" t="s">
        <v>3796</v>
      </c>
      <c r="E161" s="19">
        <v>435</v>
      </c>
      <c r="F161" s="19">
        <v>194.71205852237497</v>
      </c>
      <c r="G161" s="19">
        <v>0.44761392763764496</v>
      </c>
      <c r="H161" s="19">
        <v>21</v>
      </c>
      <c r="I161" s="19">
        <v>585450.81799999997</v>
      </c>
      <c r="J161" s="19">
        <v>27878.61</v>
      </c>
      <c r="K161" s="19">
        <v>21</v>
      </c>
      <c r="L161" s="19">
        <v>585451</v>
      </c>
      <c r="M161" s="19">
        <v>27879</v>
      </c>
      <c r="N161" s="19">
        <v>113895.21</v>
      </c>
      <c r="O161" s="19">
        <v>20772.990000000002</v>
      </c>
      <c r="P161" s="19">
        <v>0</v>
      </c>
      <c r="Q161" s="19">
        <v>0.86</v>
      </c>
      <c r="R161" s="19">
        <v>2725123.47</v>
      </c>
      <c r="S161" s="19">
        <v>251842.17</v>
      </c>
      <c r="T161" s="19">
        <f t="shared" si="89"/>
        <v>90.758504237607994</v>
      </c>
      <c r="U161" s="19">
        <v>2599</v>
      </c>
      <c r="V161" s="19">
        <v>5319878.28</v>
      </c>
      <c r="W161" s="19">
        <v>102852.82</v>
      </c>
      <c r="X161" s="49">
        <v>978</v>
      </c>
      <c r="Y161" s="19">
        <v>2496517</v>
      </c>
      <c r="Z161" s="19">
        <v>84887</v>
      </c>
      <c r="AA161" s="19">
        <v>37722</v>
      </c>
      <c r="AB161" s="19">
        <v>2060805.46</v>
      </c>
      <c r="AC161" s="19">
        <v>65296</v>
      </c>
      <c r="AD161" s="19">
        <f t="shared" si="76"/>
        <v>2.9600055069869899</v>
      </c>
      <c r="AE161" s="19">
        <f t="shared" si="77"/>
        <v>1.7002362503807231</v>
      </c>
      <c r="AF161" s="19">
        <f t="shared" si="78"/>
        <v>8.3505811504120917</v>
      </c>
      <c r="AG161" s="19">
        <f t="shared" si="79"/>
        <v>1.0263929618768328</v>
      </c>
      <c r="AH161" s="19">
        <f t="shared" si="80"/>
        <v>0.43832998932075073</v>
      </c>
      <c r="AI161" s="19">
        <f t="shared" si="81"/>
        <v>14.173555173207497</v>
      </c>
      <c r="AJ161" s="19">
        <f t="shared" si="82"/>
        <v>1.0542168674698795</v>
      </c>
      <c r="AK161" s="19">
        <f t="shared" si="83"/>
        <v>0.45206894060803382</v>
      </c>
      <c r="AL161" s="19">
        <f t="shared" si="84"/>
        <v>14.173720735148326</v>
      </c>
      <c r="AM161" s="19">
        <f t="shared" si="85"/>
        <v>1.2196095284901884</v>
      </c>
      <c r="AN161" s="19">
        <f t="shared" si="86"/>
        <v>7.6953163014350174</v>
      </c>
      <c r="AO161" s="19">
        <f t="shared" si="87"/>
        <v>0</v>
      </c>
      <c r="AP161" s="19">
        <f t="shared" si="88"/>
        <v>86</v>
      </c>
      <c r="AQ161" s="19">
        <f t="shared" si="90"/>
        <v>86</v>
      </c>
      <c r="AR161" s="19" t="e">
        <f>(#REF!-MIN(#REF!))/(MAX(#REF!)-MIN(#REF!))*100</f>
        <v>#REF!</v>
      </c>
      <c r="AS161" s="19" t="e">
        <f t="shared" si="91"/>
        <v>#REF!</v>
      </c>
      <c r="AT161" s="19">
        <f t="shared" si="92"/>
        <v>2.6448112566512298</v>
      </c>
      <c r="AU161" s="19">
        <f t="shared" si="93"/>
        <v>0.94800690970218948</v>
      </c>
      <c r="AV161" s="19">
        <f t="shared" si="94"/>
        <v>1.0026392381233254E-2</v>
      </c>
      <c r="AW161" s="19">
        <f t="shared" si="95"/>
        <v>2.5143489021115264</v>
      </c>
      <c r="AX161" s="19">
        <f t="shared" si="96"/>
        <v>0.75728048449535335</v>
      </c>
      <c r="AY161" s="19">
        <f t="shared" si="97"/>
        <v>0.11243226118174325</v>
      </c>
      <c r="AZ161" s="19">
        <f t="shared" si="98"/>
        <v>1.5563644417521363</v>
      </c>
      <c r="BA161" s="19">
        <f t="shared" si="99"/>
        <v>0.37374801211745579</v>
      </c>
      <c r="BB161" s="19">
        <f t="shared" si="100"/>
        <v>1.0570020491557564</v>
      </c>
      <c r="BC161" s="20">
        <v>1</v>
      </c>
      <c r="BD161" s="43">
        <v>39977</v>
      </c>
      <c r="BE161">
        <v>0</v>
      </c>
      <c r="BF161">
        <v>0</v>
      </c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/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</row>
    <row r="162" spans="1:102" x14ac:dyDescent="0.35">
      <c r="A162" t="s">
        <v>3789</v>
      </c>
      <c r="B162" t="s">
        <v>3789</v>
      </c>
      <c r="C162" t="s">
        <v>3799</v>
      </c>
      <c r="D162" t="s">
        <v>3800</v>
      </c>
      <c r="E162" s="19">
        <v>12</v>
      </c>
      <c r="F162" s="19">
        <v>4.8200861209685995</v>
      </c>
      <c r="G162" s="19">
        <v>0.40167384341404999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f t="shared" si="89"/>
        <v>50</v>
      </c>
      <c r="U162" s="19">
        <v>125</v>
      </c>
      <c r="V162" s="19">
        <v>219273.60000000001</v>
      </c>
      <c r="W162" s="19">
        <v>4008.4650000000001</v>
      </c>
      <c r="X162" s="49">
        <v>36</v>
      </c>
      <c r="Y162" s="19">
        <v>119831</v>
      </c>
      <c r="Z162" s="19">
        <v>4008</v>
      </c>
      <c r="AA162" s="19"/>
      <c r="AB162" s="19"/>
      <c r="AC162" s="19"/>
      <c r="AD162" s="19">
        <f t="shared" ref="AD162:AD170" si="101">(E162-MIN($E$2:$E$170))/(MAX($E$2:$E$170)-MIN($E$2:$E$170))*100</f>
        <v>4.8186136160253322E-2</v>
      </c>
      <c r="AE162" s="19">
        <f t="shared" ref="AE162:AE170" si="102">(F162-MIN($F$2:$F$170))/(MAX($F$2:$F$170)-MIN($F$2:$F$170))*100</f>
        <v>2.078530715551332E-2</v>
      </c>
      <c r="AF162" s="19">
        <f t="shared" ref="AF162:AF170" si="103">(G162-MIN($G$2:$G$170))/(MAX($G$2:$G$170)-MIN($G$2:$G$170))*100</f>
        <v>4.302438321226024</v>
      </c>
      <c r="AG162" s="19">
        <f t="shared" ref="AG162:AG170" si="104">(H162-MIN($H$2:$H$170))/(MAX($H$2:$H$170)-MIN($H$2:$H$170))*100</f>
        <v>0</v>
      </c>
      <c r="AH162" s="19">
        <f t="shared" ref="AH162:AH170" si="105">(I162-MIN($I$2:$I$170))/(MAX($I$2:$I$170)-MIN($I$2:$I$170))*100</f>
        <v>0</v>
      </c>
      <c r="AI162" s="19">
        <f t="shared" ref="AI162:AI170" si="106">(J162-MIN($J$2:$J$170))/(MAX($J$2:$J$170)-MIN($J$2:$J$170))*100</f>
        <v>0</v>
      </c>
      <c r="AJ162" s="19">
        <f t="shared" ref="AJ162:AJ170" si="107">(K162-MIN($K$2:$K$170))/(MAX($K$2:$K$170)-MIN($K$2:$K$170))*100</f>
        <v>0</v>
      </c>
      <c r="AK162" s="19">
        <f t="shared" ref="AK162:AK170" si="108">(L162-MIN($L$2:$L$170))/(MAX($L$2:$L$170)-MIN($L$2:$L$170))*100</f>
        <v>0</v>
      </c>
      <c r="AL162" s="19">
        <f t="shared" ref="AL162:AL170" si="109">(M162-MIN($M$2:$M$170))/(MAX($M$2:$M$170)-MIN($M$2:$M$170))*100</f>
        <v>0</v>
      </c>
      <c r="AM162" s="19">
        <f t="shared" ref="AM162:AM170" si="110">(N162-MIN($N$2:$N$170))/(MAX($N$2:$N$170)-MIN($N$2:$N$170))*100</f>
        <v>0</v>
      </c>
      <c r="AN162" s="19">
        <f t="shared" ref="AN162:AN170" si="111">(O162-MIN($O$2:$O$170))/(MAX($O$2:$O$170)-MIN($O$2:$O$170))*100</f>
        <v>0</v>
      </c>
      <c r="AO162" s="19">
        <f t="shared" ref="AO162:AO170" si="112">(P162-MIN($P$2:$P$170))/(MAX($P$2:$P$170)-MIN($P$2:$P$170))*100</f>
        <v>0</v>
      </c>
      <c r="AP162" s="19">
        <f t="shared" ref="AP162:AP170" si="113">(Q162-MIN($Q$2:$Q$170))/(MAX($Q$2:$Q$170)-MIN($Q$2:$Q$170))*100</f>
        <v>0</v>
      </c>
      <c r="AQ162" s="19">
        <f t="shared" si="90"/>
        <v>50</v>
      </c>
      <c r="AR162" s="19" t="e">
        <f>(#REF!-MIN(#REF!))/(MAX(#REF!)-MIN(#REF!))*100</f>
        <v>#REF!</v>
      </c>
      <c r="AS162" s="19" t="e">
        <f t="shared" si="91"/>
        <v>#REF!</v>
      </c>
      <c r="AT162" s="19">
        <f t="shared" si="92"/>
        <v>5.8541276827062796E-2</v>
      </c>
      <c r="AU162" s="19">
        <f t="shared" si="93"/>
        <v>1.886935181410905E-2</v>
      </c>
      <c r="AV162" s="19">
        <f t="shared" si="94"/>
        <v>3.7489823249672372E-4</v>
      </c>
      <c r="AW162" s="19">
        <f t="shared" si="95"/>
        <v>3.4226738981622873E-2</v>
      </c>
      <c r="AX162" s="19">
        <f t="shared" si="96"/>
        <v>1.8361621653256426E-2</v>
      </c>
      <c r="AY162" s="19">
        <f t="shared" si="97"/>
        <v>5.0948729983794749E-3</v>
      </c>
      <c r="AZ162" s="19">
        <f t="shared" si="98"/>
        <v>-2.3553105848897319E-3</v>
      </c>
      <c r="BA162" s="19">
        <f t="shared" si="99"/>
        <v>0</v>
      </c>
      <c r="BB162" s="19">
        <f t="shared" si="100"/>
        <v>-1.0532589289620603E-3</v>
      </c>
      <c r="BC162" s="20">
        <v>0</v>
      </c>
      <c r="BD162" s="43">
        <v>1063</v>
      </c>
      <c r="BE162">
        <v>0</v>
      </c>
      <c r="BF162">
        <v>0</v>
      </c>
      <c r="BG162" s="36"/>
      <c r="BH162" s="36"/>
      <c r="BI162" s="36"/>
      <c r="BJ162" s="36"/>
      <c r="BK162" s="36"/>
      <c r="BL162" s="36"/>
      <c r="BM162" s="36"/>
      <c r="BN162" s="36"/>
      <c r="BO162" s="36"/>
      <c r="BP162" s="36"/>
      <c r="BQ162" s="36"/>
      <c r="BR162" s="36"/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</row>
    <row r="163" spans="1:102" x14ac:dyDescent="0.35">
      <c r="A163" t="s">
        <v>3789</v>
      </c>
      <c r="B163" t="s">
        <v>3789</v>
      </c>
      <c r="C163" t="s">
        <v>3803</v>
      </c>
      <c r="D163" t="s">
        <v>3804</v>
      </c>
      <c r="E163" s="19">
        <v>206</v>
      </c>
      <c r="F163" s="19">
        <v>119.52311826819501</v>
      </c>
      <c r="G163" s="19">
        <v>0.58020931198153003</v>
      </c>
      <c r="H163" s="19">
        <v>16</v>
      </c>
      <c r="I163" s="19">
        <v>1364142.952</v>
      </c>
      <c r="J163" s="19">
        <v>85258.934999999998</v>
      </c>
      <c r="K163" s="19">
        <v>16</v>
      </c>
      <c r="L163" s="19">
        <v>1364143</v>
      </c>
      <c r="M163" s="19">
        <v>85259</v>
      </c>
      <c r="N163" s="19">
        <v>0</v>
      </c>
      <c r="O163" s="19">
        <v>0</v>
      </c>
      <c r="P163" s="19">
        <v>52591.92</v>
      </c>
      <c r="Q163" s="19">
        <v>0.93</v>
      </c>
      <c r="R163" s="19">
        <v>3755524.79</v>
      </c>
      <c r="S163" s="19">
        <v>858947.56</v>
      </c>
      <c r="T163" s="19">
        <f t="shared" si="89"/>
        <v>77.12842790208289</v>
      </c>
      <c r="U163" s="19">
        <v>1547</v>
      </c>
      <c r="V163" s="19">
        <v>4696697.3899999997</v>
      </c>
      <c r="W163" s="19">
        <v>215490.52799999999</v>
      </c>
      <c r="X163" s="49">
        <v>566</v>
      </c>
      <c r="Y163" s="19">
        <v>2497643</v>
      </c>
      <c r="Z163" s="19">
        <v>211201</v>
      </c>
      <c r="AA163" s="19"/>
      <c r="AB163" s="19"/>
      <c r="AC163" s="19"/>
      <c r="AD163" s="19">
        <f t="shared" si="101"/>
        <v>1.3836304811729883</v>
      </c>
      <c r="AE163" s="19">
        <f t="shared" si="102"/>
        <v>1.035246914427882</v>
      </c>
      <c r="AF163" s="19">
        <f t="shared" si="103"/>
        <v>20.034605317681354</v>
      </c>
      <c r="AG163" s="19">
        <f t="shared" si="104"/>
        <v>0.78201368523949166</v>
      </c>
      <c r="AH163" s="19">
        <f t="shared" si="105"/>
        <v>1.0213407295677182</v>
      </c>
      <c r="AI163" s="19">
        <f t="shared" si="106"/>
        <v>43.345856168274231</v>
      </c>
      <c r="AJ163" s="19">
        <f t="shared" si="107"/>
        <v>0.80321285140562237</v>
      </c>
      <c r="AK163" s="19">
        <f t="shared" si="108"/>
        <v>1.0533531941150756</v>
      </c>
      <c r="AL163" s="19">
        <f t="shared" si="109"/>
        <v>43.345789165967616</v>
      </c>
      <c r="AM163" s="19">
        <f t="shared" si="110"/>
        <v>0</v>
      </c>
      <c r="AN163" s="19">
        <f t="shared" si="111"/>
        <v>0</v>
      </c>
      <c r="AO163" s="19">
        <f t="shared" si="112"/>
        <v>0.21370576212376247</v>
      </c>
      <c r="AP163" s="19">
        <f t="shared" si="113"/>
        <v>93</v>
      </c>
      <c r="AQ163" s="19">
        <f t="shared" si="90"/>
        <v>93</v>
      </c>
      <c r="AR163" s="19" t="e">
        <f>(#REF!-MIN(#REF!))/(MAX(#REF!)-MIN(#REF!))*100</f>
        <v>#REF!</v>
      </c>
      <c r="AS163" s="19" t="e">
        <f t="shared" si="91"/>
        <v>#REF!</v>
      </c>
      <c r="AT163" s="19">
        <f t="shared" si="92"/>
        <v>1.5450715562571218</v>
      </c>
      <c r="AU163" s="19">
        <f t="shared" si="93"/>
        <v>0.83448688480641153</v>
      </c>
      <c r="AV163" s="19">
        <f t="shared" si="94"/>
        <v>2.102471575224512E-2</v>
      </c>
      <c r="AW163" s="19">
        <f t="shared" si="95"/>
        <v>1.4296245590016323</v>
      </c>
      <c r="AX163" s="19">
        <f t="shared" si="96"/>
        <v>0.7576305612995925</v>
      </c>
      <c r="AY163" s="19">
        <f t="shared" si="97"/>
        <v>0.28006804860484952</v>
      </c>
      <c r="AZ163" s="19">
        <f t="shared" si="98"/>
        <v>-2.3553105848897319E-3</v>
      </c>
      <c r="BA163" s="19">
        <f t="shared" si="99"/>
        <v>0</v>
      </c>
      <c r="BB163" s="19">
        <f t="shared" si="100"/>
        <v>-1.0532589289620603E-3</v>
      </c>
      <c r="BC163" s="20">
        <v>0.4</v>
      </c>
      <c r="BD163" s="43">
        <v>17783</v>
      </c>
      <c r="BE163">
        <v>0</v>
      </c>
      <c r="BF163">
        <v>0</v>
      </c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</row>
    <row r="164" spans="1:102" x14ac:dyDescent="0.35">
      <c r="A164" t="s">
        <v>3789</v>
      </c>
      <c r="B164" t="s">
        <v>3789</v>
      </c>
      <c r="C164" t="s">
        <v>3807</v>
      </c>
      <c r="D164" t="s">
        <v>3808</v>
      </c>
      <c r="E164" s="19">
        <v>1000</v>
      </c>
      <c r="F164" s="19">
        <v>445.82445447085001</v>
      </c>
      <c r="G164" s="19">
        <v>0.44582445447085001</v>
      </c>
      <c r="H164" s="19">
        <v>59</v>
      </c>
      <c r="I164" s="19">
        <v>2933492.58</v>
      </c>
      <c r="J164" s="19">
        <v>49720.213000000003</v>
      </c>
      <c r="K164" s="19">
        <v>53</v>
      </c>
      <c r="L164" s="19">
        <v>2774342</v>
      </c>
      <c r="M164" s="19">
        <v>52346</v>
      </c>
      <c r="N164" s="19">
        <v>266395.12</v>
      </c>
      <c r="O164" s="19">
        <v>59046.76</v>
      </c>
      <c r="P164" s="19">
        <v>1321713.1100000001</v>
      </c>
      <c r="Q164" s="19">
        <v>0.96</v>
      </c>
      <c r="R164" s="19">
        <v>9545756.6400000006</v>
      </c>
      <c r="S164" s="19">
        <v>344080.29</v>
      </c>
      <c r="T164" s="19">
        <f t="shared" si="89"/>
        <v>96.39546341923085</v>
      </c>
      <c r="U164" s="19">
        <v>7681</v>
      </c>
      <c r="V164" s="19">
        <v>24819248.850000001</v>
      </c>
      <c r="W164" s="19">
        <v>573046.43200000003</v>
      </c>
      <c r="X164" s="49">
        <v>2977</v>
      </c>
      <c r="Y164" s="19">
        <v>15221916</v>
      </c>
      <c r="Z164" s="19">
        <v>572382</v>
      </c>
      <c r="AA164" s="19">
        <v>98806</v>
      </c>
      <c r="AB164" s="19">
        <v>6429327.4499999406</v>
      </c>
      <c r="AC164" s="19">
        <v>162430</v>
      </c>
      <c r="AD164" s="19">
        <f t="shared" si="101"/>
        <v>6.8493150684931505</v>
      </c>
      <c r="AE164" s="19">
        <f t="shared" si="102"/>
        <v>3.9211355590662196</v>
      </c>
      <c r="AF164" s="19">
        <f t="shared" si="103"/>
        <v>8.1928965686223769</v>
      </c>
      <c r="AG164" s="19">
        <f t="shared" si="104"/>
        <v>2.8836754643206253</v>
      </c>
      <c r="AH164" s="19">
        <f t="shared" si="105"/>
        <v>2.1963207356282171</v>
      </c>
      <c r="AI164" s="19">
        <f t="shared" si="106"/>
        <v>25.277880862034678</v>
      </c>
      <c r="AJ164" s="19">
        <f t="shared" si="107"/>
        <v>2.6606425702811247</v>
      </c>
      <c r="AK164" s="19">
        <f t="shared" si="108"/>
        <v>2.1422695474503826</v>
      </c>
      <c r="AL164" s="19">
        <f t="shared" si="109"/>
        <v>26.612776125473449</v>
      </c>
      <c r="AM164" s="19">
        <f t="shared" si="110"/>
        <v>2.8526048347010127</v>
      </c>
      <c r="AN164" s="19">
        <f t="shared" si="111"/>
        <v>21.873764671090733</v>
      </c>
      <c r="AO164" s="19">
        <f t="shared" si="112"/>
        <v>5.370743404719172</v>
      </c>
      <c r="AP164" s="19">
        <f t="shared" si="113"/>
        <v>96</v>
      </c>
      <c r="AQ164" s="19">
        <f t="shared" si="90"/>
        <v>96</v>
      </c>
      <c r="AR164" s="19" t="e">
        <f>(#REF!-MIN(#REF!))/(MAX(#REF!)-MIN(#REF!))*100</f>
        <v>#REF!</v>
      </c>
      <c r="AS164" s="19" t="e">
        <f t="shared" si="91"/>
        <v>#REF!</v>
      </c>
      <c r="AT164" s="19">
        <f t="shared" si="92"/>
        <v>7.957432128707179</v>
      </c>
      <c r="AU164" s="19">
        <f t="shared" si="93"/>
        <v>4.5000558702510203</v>
      </c>
      <c r="AV164" s="19">
        <f t="shared" si="94"/>
        <v>5.5937672747130671E-2</v>
      </c>
      <c r="AW164" s="19">
        <f t="shared" si="95"/>
        <v>7.7773682270549207</v>
      </c>
      <c r="AX164" s="19">
        <f t="shared" si="96"/>
        <v>4.7136455063333065</v>
      </c>
      <c r="AY164" s="19">
        <f t="shared" si="97"/>
        <v>0.75940415811974848</v>
      </c>
      <c r="AZ164" s="19">
        <f t="shared" si="98"/>
        <v>4.0804309639873013</v>
      </c>
      <c r="BA164" s="19">
        <f t="shared" si="99"/>
        <v>1.1660238680121067</v>
      </c>
      <c r="BB164" s="19">
        <f t="shared" si="100"/>
        <v>2.630959784629614</v>
      </c>
      <c r="BC164" s="20">
        <v>2.2999999999999998</v>
      </c>
      <c r="BD164" s="43">
        <v>88034</v>
      </c>
      <c r="BE164">
        <v>0</v>
      </c>
      <c r="BF164">
        <v>0</v>
      </c>
      <c r="BG164" s="36"/>
      <c r="BH164" s="36"/>
      <c r="BI164" s="36"/>
      <c r="BJ164" s="36"/>
      <c r="BK164" s="36"/>
      <c r="BL164" s="36"/>
      <c r="BM164" s="36"/>
      <c r="BN164" s="36"/>
      <c r="BO164" s="36"/>
      <c r="BP164" s="36"/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/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</row>
    <row r="165" spans="1:102" x14ac:dyDescent="0.35">
      <c r="A165" t="s">
        <v>3846</v>
      </c>
      <c r="B165" t="s">
        <v>3846</v>
      </c>
      <c r="C165" t="s">
        <v>3846</v>
      </c>
      <c r="D165" t="s">
        <v>3847</v>
      </c>
      <c r="E165" s="19">
        <v>926</v>
      </c>
      <c r="F165" s="19">
        <v>715.089980785168</v>
      </c>
      <c r="G165" s="19">
        <v>0.77223540041594796</v>
      </c>
      <c r="H165" s="19">
        <v>76</v>
      </c>
      <c r="I165" s="19">
        <v>3335710.9879999999</v>
      </c>
      <c r="J165" s="19">
        <v>43890.934000000001</v>
      </c>
      <c r="K165" s="19">
        <v>71</v>
      </c>
      <c r="L165" s="19">
        <v>3124673</v>
      </c>
      <c r="M165" s="19">
        <v>44009</v>
      </c>
      <c r="N165" s="19">
        <v>296443.11</v>
      </c>
      <c r="O165" s="19">
        <v>73061.03</v>
      </c>
      <c r="P165" s="19">
        <v>442913.72</v>
      </c>
      <c r="Q165" s="19">
        <v>0.82</v>
      </c>
      <c r="R165" s="19">
        <v>10114443.300000001</v>
      </c>
      <c r="S165" s="19">
        <v>305414.23</v>
      </c>
      <c r="T165" s="19">
        <f t="shared" si="89"/>
        <v>96.980414829158221</v>
      </c>
      <c r="U165" s="19">
        <v>10281</v>
      </c>
      <c r="V165" s="19">
        <v>58883151.75</v>
      </c>
      <c r="W165" s="19">
        <v>1919144.3219999999</v>
      </c>
      <c r="X165" s="49">
        <v>3483</v>
      </c>
      <c r="Y165" s="19">
        <v>33864167</v>
      </c>
      <c r="Z165" s="19">
        <v>1757854</v>
      </c>
      <c r="AA165" s="19">
        <v>394304</v>
      </c>
      <c r="AB165" s="19">
        <v>76165444.720998302</v>
      </c>
      <c r="AC165" s="19">
        <v>1037612</v>
      </c>
      <c r="AD165" s="19">
        <f t="shared" si="101"/>
        <v>6.3399187719419006</v>
      </c>
      <c r="AE165" s="19">
        <f t="shared" si="102"/>
        <v>6.302585582612684</v>
      </c>
      <c r="AF165" s="19">
        <f t="shared" si="103"/>
        <v>36.955537136809141</v>
      </c>
      <c r="AG165" s="19">
        <f t="shared" si="104"/>
        <v>3.7145650048875858</v>
      </c>
      <c r="AH165" s="19">
        <f t="shared" si="105"/>
        <v>2.497463692581519</v>
      </c>
      <c r="AI165" s="19">
        <f t="shared" si="106"/>
        <v>22.314260813312028</v>
      </c>
      <c r="AJ165" s="19">
        <f t="shared" si="107"/>
        <v>3.5642570281124497</v>
      </c>
      <c r="AK165" s="19">
        <f t="shared" si="108"/>
        <v>2.4127853788899958</v>
      </c>
      <c r="AL165" s="19">
        <f t="shared" si="109"/>
        <v>22.374234220493658</v>
      </c>
      <c r="AM165" s="19">
        <f t="shared" si="110"/>
        <v>3.1743638877461575</v>
      </c>
      <c r="AN165" s="19">
        <f t="shared" si="111"/>
        <v>27.065325461507122</v>
      </c>
      <c r="AO165" s="19">
        <f t="shared" si="112"/>
        <v>1.7997672282675883</v>
      </c>
      <c r="AP165" s="19">
        <f t="shared" si="113"/>
        <v>82</v>
      </c>
      <c r="AQ165" s="19">
        <f t="shared" si="90"/>
        <v>82</v>
      </c>
      <c r="AR165" s="19" t="e">
        <f>(#REF!-MIN(#REF!))/(MAX(#REF!)-MIN(#REF!))*100</f>
        <v>#REF!</v>
      </c>
      <c r="AS165" s="19" t="e">
        <f t="shared" si="91"/>
        <v>#REF!</v>
      </c>
      <c r="AT165" s="19">
        <f t="shared" si="92"/>
        <v>10.675419981392237</v>
      </c>
      <c r="AU165" s="19">
        <f t="shared" si="93"/>
        <v>10.705212618968645</v>
      </c>
      <c r="AV165" s="19">
        <f t="shared" si="94"/>
        <v>0.18737518285037924</v>
      </c>
      <c r="AW165" s="19">
        <f t="shared" si="95"/>
        <v>9.1095782212627032</v>
      </c>
      <c r="AX165" s="19">
        <f t="shared" si="96"/>
        <v>10.509577703408118</v>
      </c>
      <c r="AY165" s="19">
        <f t="shared" si="97"/>
        <v>2.3326860761022732</v>
      </c>
      <c r="AZ165" s="19">
        <f t="shared" si="98"/>
        <v>16.290774248438986</v>
      </c>
      <c r="BA165" s="19">
        <f t="shared" si="99"/>
        <v>13.81337739493134</v>
      </c>
      <c r="BB165" s="19">
        <f t="shared" si="100"/>
        <v>16.812394491812288</v>
      </c>
      <c r="BC165" s="20">
        <v>3.5</v>
      </c>
      <c r="BD165" s="43">
        <v>150553</v>
      </c>
      <c r="BE165">
        <v>2</v>
      </c>
      <c r="BF165">
        <v>0.2</v>
      </c>
      <c r="BG165" s="36"/>
      <c r="BH165" s="36"/>
      <c r="BI165" s="36"/>
      <c r="BJ165" s="36"/>
      <c r="BK165" s="36"/>
      <c r="BL165" s="36"/>
      <c r="BM165" s="36"/>
      <c r="BN165" s="36"/>
      <c r="BO165" s="36"/>
      <c r="BP165" s="36"/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/>
      <c r="CK165" s="36"/>
      <c r="CL165" s="36"/>
      <c r="CM165" s="36"/>
      <c r="CN165" s="36"/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</row>
    <row r="166" spans="1:102" x14ac:dyDescent="0.35">
      <c r="A166" t="s">
        <v>3846</v>
      </c>
      <c r="B166" t="s">
        <v>3846</v>
      </c>
      <c r="C166" t="s">
        <v>3848</v>
      </c>
      <c r="D166" t="s">
        <v>3849</v>
      </c>
      <c r="E166" s="19">
        <v>92</v>
      </c>
      <c r="F166" s="19">
        <v>89.398979481649405</v>
      </c>
      <c r="G166" s="19">
        <v>0.97172803784401507</v>
      </c>
      <c r="H166" s="19">
        <v>11</v>
      </c>
      <c r="I166" s="19">
        <v>963121.75</v>
      </c>
      <c r="J166" s="19">
        <v>87556.523000000001</v>
      </c>
      <c r="K166" s="19">
        <v>9</v>
      </c>
      <c r="L166" s="19">
        <v>933982</v>
      </c>
      <c r="M166" s="19">
        <v>103776</v>
      </c>
      <c r="N166" s="19">
        <v>9047.81</v>
      </c>
      <c r="O166" s="19">
        <v>2069.9699999999998</v>
      </c>
      <c r="P166" s="19">
        <v>146884.85</v>
      </c>
      <c r="Q166" s="19">
        <v>0.88</v>
      </c>
      <c r="R166" s="19">
        <v>1144364.1200000001</v>
      </c>
      <c r="S166" s="19">
        <v>0</v>
      </c>
      <c r="T166" s="19">
        <f t="shared" si="89"/>
        <v>50</v>
      </c>
      <c r="U166" s="19">
        <v>1276</v>
      </c>
      <c r="V166" s="19">
        <v>6885250.71</v>
      </c>
      <c r="W166" s="19">
        <v>39931.550000000003</v>
      </c>
      <c r="X166" s="49">
        <v>443</v>
      </c>
      <c r="Y166" s="19">
        <v>4768191</v>
      </c>
      <c r="Z166" s="19">
        <v>39932</v>
      </c>
      <c r="AA166" s="19">
        <v>20612</v>
      </c>
      <c r="AB166" s="19">
        <v>938235.22999999905</v>
      </c>
      <c r="AC166" s="19">
        <v>38880</v>
      </c>
      <c r="AD166" s="19">
        <f t="shared" si="101"/>
        <v>0.59888483513457702</v>
      </c>
      <c r="AE166" s="19">
        <f t="shared" si="102"/>
        <v>0.76882167981097904</v>
      </c>
      <c r="AF166" s="19">
        <f t="shared" si="103"/>
        <v>54.53440542423543</v>
      </c>
      <c r="AG166" s="19">
        <f t="shared" si="104"/>
        <v>0.53763440860215062</v>
      </c>
      <c r="AH166" s="19">
        <f t="shared" si="105"/>
        <v>0.7210941268034623</v>
      </c>
      <c r="AI166" s="19">
        <f t="shared" si="106"/>
        <v>44.513955664027414</v>
      </c>
      <c r="AJ166" s="19">
        <f t="shared" si="107"/>
        <v>0.45180722891566261</v>
      </c>
      <c r="AK166" s="19">
        <f t="shared" si="108"/>
        <v>0.72119486222924312</v>
      </c>
      <c r="AL166" s="19">
        <f t="shared" si="109"/>
        <v>52.759856630824373</v>
      </c>
      <c r="AM166" s="19">
        <f t="shared" si="110"/>
        <v>9.6885508073331711E-2</v>
      </c>
      <c r="AN166" s="19">
        <f t="shared" si="111"/>
        <v>0.76681661544541446</v>
      </c>
      <c r="AO166" s="19">
        <f t="shared" si="112"/>
        <v>0.59686238520450541</v>
      </c>
      <c r="AP166" s="19">
        <f t="shared" si="113"/>
        <v>88</v>
      </c>
      <c r="AQ166" s="19">
        <f t="shared" si="90"/>
        <v>88</v>
      </c>
      <c r="AR166" s="19" t="e">
        <f>(#REF!-MIN(#REF!))/(MAX(#REF!)-MIN(#REF!))*100</f>
        <v>#REF!</v>
      </c>
      <c r="AS166" s="19" t="e">
        <f t="shared" si="91"/>
        <v>#REF!</v>
      </c>
      <c r="AT166" s="19">
        <f t="shared" si="92"/>
        <v>1.2617735916118713</v>
      </c>
      <c r="AU166" s="19">
        <f t="shared" si="93"/>
        <v>1.2331586530824528</v>
      </c>
      <c r="AV166" s="19">
        <f t="shared" si="94"/>
        <v>3.8825486661716161E-3</v>
      </c>
      <c r="AW166" s="19">
        <f t="shared" si="95"/>
        <v>1.1057869517139698</v>
      </c>
      <c r="AX166" s="19">
        <f t="shared" si="96"/>
        <v>1.4635507990543475</v>
      </c>
      <c r="AY166" s="19">
        <f t="shared" si="97"/>
        <v>5.2770886958729626E-2</v>
      </c>
      <c r="AZ166" s="19">
        <f t="shared" si="98"/>
        <v>0.84935805390190267</v>
      </c>
      <c r="BA166" s="19">
        <f t="shared" si="99"/>
        <v>0.17015849332574243</v>
      </c>
      <c r="BB166" s="19">
        <f t="shared" si="100"/>
        <v>0.6289576204255749</v>
      </c>
      <c r="BC166" s="20">
        <v>0.3</v>
      </c>
      <c r="BD166" s="43">
        <v>13757</v>
      </c>
      <c r="BE166">
        <v>0</v>
      </c>
      <c r="BF166">
        <v>0</v>
      </c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</row>
    <row r="167" spans="1:102" x14ac:dyDescent="0.35">
      <c r="A167" t="s">
        <v>3846</v>
      </c>
      <c r="B167" t="s">
        <v>3846</v>
      </c>
      <c r="C167" t="s">
        <v>3856</v>
      </c>
      <c r="D167" t="s">
        <v>3857</v>
      </c>
      <c r="E167" s="19">
        <v>16</v>
      </c>
      <c r="F167" s="19">
        <v>7.9063434126698402</v>
      </c>
      <c r="G167" s="19">
        <v>0.49414646329186501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f t="shared" si="89"/>
        <v>50</v>
      </c>
      <c r="U167" s="19">
        <v>209</v>
      </c>
      <c r="V167" s="19">
        <v>1972105.9</v>
      </c>
      <c r="W167" s="19">
        <v>774.53099999999995</v>
      </c>
      <c r="X167" s="49">
        <v>71</v>
      </c>
      <c r="Y167" s="19">
        <v>1158458</v>
      </c>
      <c r="Z167" s="19">
        <v>775</v>
      </c>
      <c r="AA167" s="19"/>
      <c r="AB167" s="19"/>
      <c r="AC167" s="19"/>
      <c r="AD167" s="19">
        <f t="shared" si="101"/>
        <v>7.5721071108969501E-2</v>
      </c>
      <c r="AE167" s="19">
        <f t="shared" si="102"/>
        <v>4.8080919782184546E-2</v>
      </c>
      <c r="AF167" s="19">
        <f t="shared" si="103"/>
        <v>12.450929543672727</v>
      </c>
      <c r="AG167" s="19">
        <f t="shared" si="104"/>
        <v>0</v>
      </c>
      <c r="AH167" s="19">
        <f t="shared" si="105"/>
        <v>0</v>
      </c>
      <c r="AI167" s="19">
        <f t="shared" si="106"/>
        <v>0</v>
      </c>
      <c r="AJ167" s="19">
        <f t="shared" si="107"/>
        <v>0</v>
      </c>
      <c r="AK167" s="19">
        <f t="shared" si="108"/>
        <v>0</v>
      </c>
      <c r="AL167" s="19">
        <f t="shared" si="109"/>
        <v>0</v>
      </c>
      <c r="AM167" s="19">
        <f t="shared" si="110"/>
        <v>0</v>
      </c>
      <c r="AN167" s="19">
        <f t="shared" si="111"/>
        <v>0</v>
      </c>
      <c r="AO167" s="19">
        <f t="shared" si="112"/>
        <v>0</v>
      </c>
      <c r="AP167" s="19">
        <f t="shared" si="113"/>
        <v>0</v>
      </c>
      <c r="AQ167" s="19">
        <f t="shared" si="90"/>
        <v>50</v>
      </c>
      <c r="AR167" s="19" t="e">
        <f>(#REF!-MIN(#REF!))/(MAX(#REF!)-MIN(#REF!))*100</f>
        <v>#REF!</v>
      </c>
      <c r="AS167" s="19" t="e">
        <f t="shared" si="91"/>
        <v>#REF!</v>
      </c>
      <c r="AT167" s="19">
        <f t="shared" si="92"/>
        <v>0.14635319206765698</v>
      </c>
      <c r="AU167" s="19">
        <f t="shared" si="93"/>
        <v>0.33816920443655279</v>
      </c>
      <c r="AV167" s="19">
        <f t="shared" si="94"/>
        <v>5.9126076581496017E-5</v>
      </c>
      <c r="AW167" s="19">
        <f t="shared" si="95"/>
        <v>0.12637565162445369</v>
      </c>
      <c r="AX167" s="19">
        <f t="shared" si="96"/>
        <v>0.34127389603746139</v>
      </c>
      <c r="AY167" s="19">
        <f t="shared" si="97"/>
        <v>8.0424408362020361E-4</v>
      </c>
      <c r="AZ167" s="19">
        <f t="shared" si="98"/>
        <v>-2.3553105848897319E-3</v>
      </c>
      <c r="BA167" s="19">
        <f t="shared" si="99"/>
        <v>0</v>
      </c>
      <c r="BB167" s="19">
        <f t="shared" si="100"/>
        <v>-1.0532589289620603E-3</v>
      </c>
      <c r="BC167" s="20">
        <v>0.1</v>
      </c>
      <c r="BD167" s="43">
        <v>1774</v>
      </c>
      <c r="BE167">
        <v>0</v>
      </c>
      <c r="BF167">
        <v>0</v>
      </c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</row>
    <row r="168" spans="1:102" x14ac:dyDescent="0.35">
      <c r="A168" t="s">
        <v>3118</v>
      </c>
      <c r="B168" t="s">
        <v>3873</v>
      </c>
      <c r="C168" t="s">
        <v>3874</v>
      </c>
      <c r="D168" t="s">
        <v>3875</v>
      </c>
      <c r="E168" s="19">
        <v>3886</v>
      </c>
      <c r="F168" s="19">
        <v>2738.17328731206</v>
      </c>
      <c r="G168" s="19">
        <v>0.70462513826867301</v>
      </c>
      <c r="H168" s="19">
        <v>316</v>
      </c>
      <c r="I168" s="19">
        <v>16050557.318</v>
      </c>
      <c r="J168" s="19">
        <v>50792.902999999998</v>
      </c>
      <c r="K168" s="19">
        <v>291</v>
      </c>
      <c r="L168" s="19">
        <v>14698674</v>
      </c>
      <c r="M168" s="19">
        <v>50511</v>
      </c>
      <c r="N168" s="19">
        <v>739032.83</v>
      </c>
      <c r="O168" s="19">
        <v>101050.56</v>
      </c>
      <c r="P168" s="19">
        <v>3368044.86</v>
      </c>
      <c r="Q168" s="19">
        <v>0.9</v>
      </c>
      <c r="R168" s="19">
        <v>51884552.439999998</v>
      </c>
      <c r="S168" s="19">
        <v>3594522.5</v>
      </c>
      <c r="T168" s="19">
        <f t="shared" si="89"/>
        <v>93.072075731679959</v>
      </c>
      <c r="U168" s="19">
        <v>19034</v>
      </c>
      <c r="V168" s="19">
        <v>115280468.76000001</v>
      </c>
      <c r="W168" s="19">
        <v>12071511.870999999</v>
      </c>
      <c r="X168" s="49">
        <v>6042</v>
      </c>
      <c r="Y168" s="19">
        <v>57096605</v>
      </c>
      <c r="Z168" s="19">
        <v>5040536</v>
      </c>
      <c r="AA168" s="19">
        <v>203929</v>
      </c>
      <c r="AB168" s="19">
        <v>38899836.140000157</v>
      </c>
      <c r="AC168" s="19">
        <v>342285</v>
      </c>
      <c r="AD168" s="19">
        <f t="shared" si="101"/>
        <v>26.715770633991877</v>
      </c>
      <c r="AE168" s="19">
        <f t="shared" si="102"/>
        <v>24.195228038227103</v>
      </c>
      <c r="AF168" s="19">
        <f t="shared" si="103"/>
        <v>30.997864169585672</v>
      </c>
      <c r="AG168" s="19">
        <f t="shared" si="104"/>
        <v>15.444770283479961</v>
      </c>
      <c r="AH168" s="19">
        <f t="shared" si="105"/>
        <v>12.017133466181335</v>
      </c>
      <c r="AI168" s="19">
        <f t="shared" si="106"/>
        <v>25.823239145634467</v>
      </c>
      <c r="AJ168" s="19">
        <f t="shared" si="107"/>
        <v>14.60843373493976</v>
      </c>
      <c r="AK168" s="19">
        <f t="shared" si="108"/>
        <v>11.349906283400065</v>
      </c>
      <c r="AL168" s="19">
        <f t="shared" si="109"/>
        <v>25.679859681232365</v>
      </c>
      <c r="AM168" s="19">
        <f t="shared" si="110"/>
        <v>7.9136908508713351</v>
      </c>
      <c r="AN168" s="19">
        <f t="shared" si="111"/>
        <v>37.433995858907998</v>
      </c>
      <c r="AO168" s="19">
        <f t="shared" si="112"/>
        <v>13.685953919790736</v>
      </c>
      <c r="AP168" s="19">
        <f t="shared" si="113"/>
        <v>90</v>
      </c>
      <c r="AQ168" s="19">
        <f t="shared" si="90"/>
        <v>90</v>
      </c>
      <c r="AR168" s="19" t="e">
        <f>(#REF!-MIN(#REF!))/(MAX(#REF!)-MIN(#REF!))*100</f>
        <v>#REF!</v>
      </c>
      <c r="AS168" s="19" t="e">
        <f t="shared" si="91"/>
        <v>#REF!</v>
      </c>
      <c r="AT168" s="19">
        <f t="shared" si="92"/>
        <v>19.82563062545082</v>
      </c>
      <c r="AU168" s="19">
        <f t="shared" si="93"/>
        <v>20.978674038862742</v>
      </c>
      <c r="AV168" s="19">
        <f t="shared" si="94"/>
        <v>1.1786863810973212</v>
      </c>
      <c r="AW168" s="19">
        <f t="shared" si="95"/>
        <v>15.84698014849139</v>
      </c>
      <c r="AX168" s="19">
        <f t="shared" si="96"/>
        <v>17.73261291630941</v>
      </c>
      <c r="AY168" s="19">
        <f t="shared" si="97"/>
        <v>6.6892497343638864</v>
      </c>
      <c r="AZ168" s="19">
        <f t="shared" si="98"/>
        <v>8.4242435010989389</v>
      </c>
      <c r="BA168" s="19">
        <f t="shared" si="99"/>
        <v>7.0548805849048088</v>
      </c>
      <c r="BB168" s="19">
        <f t="shared" si="100"/>
        <v>5.5453272410676355</v>
      </c>
      <c r="BC168" s="20">
        <v>4.9000000000000004</v>
      </c>
      <c r="BD168" s="43">
        <v>255448</v>
      </c>
      <c r="BE168">
        <v>1</v>
      </c>
      <c r="BF168">
        <v>0.5</v>
      </c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</row>
    <row r="169" spans="1:102" x14ac:dyDescent="0.35">
      <c r="A169" t="s">
        <v>3118</v>
      </c>
      <c r="B169" t="s">
        <v>3873</v>
      </c>
      <c r="C169" t="s">
        <v>3882</v>
      </c>
      <c r="D169" t="s">
        <v>3883</v>
      </c>
      <c r="E169" s="19">
        <v>846</v>
      </c>
      <c r="F169" s="19">
        <v>559.08351124445801</v>
      </c>
      <c r="G169" s="19">
        <v>0.66085521423694804</v>
      </c>
      <c r="H169" s="19">
        <v>106</v>
      </c>
      <c r="I169" s="19">
        <v>4778047.0130000003</v>
      </c>
      <c r="J169" s="19">
        <v>45075.915000000001</v>
      </c>
      <c r="K169" s="19">
        <v>95</v>
      </c>
      <c r="L169" s="19">
        <v>4593865</v>
      </c>
      <c r="M169" s="19">
        <v>48356</v>
      </c>
      <c r="N169" s="19">
        <v>47472.38</v>
      </c>
      <c r="O169" s="19">
        <v>2572.41</v>
      </c>
      <c r="P169" s="19">
        <v>343939.99</v>
      </c>
      <c r="Q169" s="19">
        <v>0.74</v>
      </c>
      <c r="R169" s="19">
        <v>14972127.66</v>
      </c>
      <c r="S169" s="19">
        <v>1125414.06</v>
      </c>
      <c r="T169" s="19">
        <f t="shared" si="89"/>
        <v>92.483272347411983</v>
      </c>
      <c r="U169" s="19">
        <v>8809</v>
      </c>
      <c r="V169" s="19">
        <v>48953854.359999999</v>
      </c>
      <c r="W169" s="19">
        <v>42983722.622000001</v>
      </c>
      <c r="X169" s="49">
        <v>2681</v>
      </c>
      <c r="Y169" s="19">
        <v>22283338</v>
      </c>
      <c r="Z169" s="19">
        <v>3858681</v>
      </c>
      <c r="AA169" s="19">
        <v>105116</v>
      </c>
      <c r="AB169" s="19">
        <v>15890986.850000041</v>
      </c>
      <c r="AC169" s="19">
        <v>148961</v>
      </c>
      <c r="AD169" s="19">
        <f t="shared" si="101"/>
        <v>5.789220072967578</v>
      </c>
      <c r="AE169" s="19">
        <f t="shared" si="102"/>
        <v>4.9228262957612303</v>
      </c>
      <c r="AF169" s="19">
        <f t="shared" si="103"/>
        <v>27.140951255785595</v>
      </c>
      <c r="AG169" s="19">
        <f t="shared" si="104"/>
        <v>5.1808406647116323</v>
      </c>
      <c r="AH169" s="19">
        <f t="shared" si="105"/>
        <v>3.577347971494909</v>
      </c>
      <c r="AI169" s="19">
        <f t="shared" si="106"/>
        <v>22.916708122654299</v>
      </c>
      <c r="AJ169" s="19">
        <f t="shared" si="107"/>
        <v>4.7690763052208842</v>
      </c>
      <c r="AK169" s="19">
        <f t="shared" si="108"/>
        <v>3.5472544821792518</v>
      </c>
      <c r="AL169" s="19">
        <f t="shared" si="109"/>
        <v>24.584254810747606</v>
      </c>
      <c r="AM169" s="19">
        <f t="shared" si="110"/>
        <v>0.50834242272442398</v>
      </c>
      <c r="AN169" s="19">
        <f t="shared" si="111"/>
        <v>0.95294459810429077</v>
      </c>
      <c r="AO169" s="19">
        <f t="shared" si="112"/>
        <v>1.3975903083171186</v>
      </c>
      <c r="AP169" s="19">
        <f t="shared" si="113"/>
        <v>74</v>
      </c>
      <c r="AQ169" s="19">
        <f t="shared" si="90"/>
        <v>74</v>
      </c>
      <c r="AR169" s="19" t="e">
        <f>(#REF!-MIN(#REF!))/(MAX(#REF!)-MIN(#REF!))*100</f>
        <v>#REF!</v>
      </c>
      <c r="AS169" s="19" t="e">
        <f t="shared" si="91"/>
        <v>#REF!</v>
      </c>
      <c r="AT169" s="19">
        <f t="shared" si="92"/>
        <v>9.136620704795158</v>
      </c>
      <c r="AU169" s="19">
        <f t="shared" si="93"/>
        <v>8.8964695958788624</v>
      </c>
      <c r="AV169" s="19">
        <f t="shared" si="94"/>
        <v>4.1970582566362626</v>
      </c>
      <c r="AW169" s="19">
        <f t="shared" si="95"/>
        <v>6.9980517087041232</v>
      </c>
      <c r="AX169" s="19">
        <f t="shared" si="96"/>
        <v>6.9090629549521667</v>
      </c>
      <c r="AY169" s="19">
        <f t="shared" si="97"/>
        <v>5.1207680653095036</v>
      </c>
      <c r="AZ169" s="19">
        <f t="shared" si="98"/>
        <v>4.3411679778584276</v>
      </c>
      <c r="BA169" s="19">
        <f t="shared" si="99"/>
        <v>2.8819919497748931</v>
      </c>
      <c r="BB169" s="19">
        <f t="shared" si="100"/>
        <v>2.4127083305651529</v>
      </c>
      <c r="BC169" s="20">
        <v>1.8</v>
      </c>
      <c r="BD169" s="43">
        <v>83739</v>
      </c>
      <c r="BE169">
        <v>0</v>
      </c>
      <c r="BF169">
        <v>0</v>
      </c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</row>
    <row r="170" spans="1:102" x14ac:dyDescent="0.35">
      <c r="A170" t="s">
        <v>3118</v>
      </c>
      <c r="B170" t="s">
        <v>3873</v>
      </c>
      <c r="C170" t="s">
        <v>3886</v>
      </c>
      <c r="D170" t="s">
        <v>3887</v>
      </c>
      <c r="E170" s="19">
        <v>580</v>
      </c>
      <c r="F170" s="19">
        <v>346.22562975961699</v>
      </c>
      <c r="G170" s="19">
        <v>0.59694074096485794</v>
      </c>
      <c r="H170" s="19">
        <v>64</v>
      </c>
      <c r="I170" s="19">
        <v>2594339.4369999999</v>
      </c>
      <c r="J170" s="19">
        <v>40536.553999999996</v>
      </c>
      <c r="K170" s="19">
        <v>60</v>
      </c>
      <c r="L170" s="19">
        <v>2567007</v>
      </c>
      <c r="M170" s="19">
        <v>42783</v>
      </c>
      <c r="N170" s="19">
        <v>7202.78</v>
      </c>
      <c r="O170" s="19">
        <v>1760.91</v>
      </c>
      <c r="P170" s="19">
        <v>318253.56</v>
      </c>
      <c r="Q170" s="19">
        <v>0.87</v>
      </c>
      <c r="R170" s="19">
        <v>8541393.5600000005</v>
      </c>
      <c r="S170" s="19">
        <v>397421.27</v>
      </c>
      <c r="T170" s="19">
        <f t="shared" si="89"/>
        <v>95.347114411620666</v>
      </c>
      <c r="U170" s="19">
        <v>4571</v>
      </c>
      <c r="V170" s="19">
        <v>22521798.879999999</v>
      </c>
      <c r="W170" s="19">
        <v>395038.24400000001</v>
      </c>
      <c r="X170" s="49">
        <v>1454</v>
      </c>
      <c r="Y170" s="19">
        <v>11441399</v>
      </c>
      <c r="Z170" s="19">
        <v>395038</v>
      </c>
      <c r="AA170" s="19"/>
      <c r="AB170" s="19">
        <v>0</v>
      </c>
      <c r="AC170" s="19"/>
      <c r="AD170" s="19">
        <f t="shared" si="101"/>
        <v>3.9581468988779509</v>
      </c>
      <c r="AE170" s="19">
        <f t="shared" si="102"/>
        <v>3.040259248235063</v>
      </c>
      <c r="AF170" s="19">
        <f t="shared" si="103"/>
        <v>21.508943369201681</v>
      </c>
      <c r="AG170" s="19">
        <f t="shared" si="104"/>
        <v>3.1280547409579667</v>
      </c>
      <c r="AH170" s="19">
        <f t="shared" si="105"/>
        <v>1.9423950616371204</v>
      </c>
      <c r="AI170" s="19">
        <f t="shared" si="106"/>
        <v>20.608885616991127</v>
      </c>
      <c r="AJ170" s="19">
        <f t="shared" si="107"/>
        <v>3.0120481927710845</v>
      </c>
      <c r="AK170" s="19">
        <f t="shared" si="108"/>
        <v>1.9821712406732708</v>
      </c>
      <c r="AL170" s="19">
        <f t="shared" si="109"/>
        <v>21.750934187447569</v>
      </c>
      <c r="AM170" s="19">
        <f t="shared" si="110"/>
        <v>7.7128609004878765E-2</v>
      </c>
      <c r="AN170" s="19">
        <f t="shared" si="111"/>
        <v>0.65232590148842018</v>
      </c>
      <c r="AO170" s="19">
        <f t="shared" si="112"/>
        <v>1.2932142349699454</v>
      </c>
      <c r="AP170" s="19">
        <f t="shared" si="113"/>
        <v>87</v>
      </c>
      <c r="AQ170" s="19">
        <f t="shared" si="90"/>
        <v>87</v>
      </c>
      <c r="AR170" s="19" t="e">
        <f>(#REF!-MIN(#REF!))/(MAX(#REF!)-MIN(#REF!))*100</f>
        <v>#REF!</v>
      </c>
      <c r="AS170" s="19" t="e">
        <f t="shared" si="91"/>
        <v>#REF!</v>
      </c>
      <c r="AT170" s="19">
        <f t="shared" si="92"/>
        <v>4.7063005049185129</v>
      </c>
      <c r="AU170" s="19">
        <f t="shared" si="93"/>
        <v>4.0815472446235495</v>
      </c>
      <c r="AV170" s="19">
        <f t="shared" si="94"/>
        <v>3.8556356586898835E-2</v>
      </c>
      <c r="AW170" s="19">
        <f t="shared" si="95"/>
        <v>3.767574114054026</v>
      </c>
      <c r="AX170" s="19">
        <f t="shared" si="96"/>
        <v>3.5382713413846272</v>
      </c>
      <c r="AY170" s="19">
        <f t="shared" si="97"/>
        <v>0.52404464860565381</v>
      </c>
      <c r="AZ170" s="19">
        <f t="shared" si="98"/>
        <v>-2.3553105848897319E-3</v>
      </c>
      <c r="BA170" s="19">
        <f t="shared" si="99"/>
        <v>0</v>
      </c>
      <c r="BB170" s="19">
        <f t="shared" si="100"/>
        <v>-1.0532589289620603E-3</v>
      </c>
      <c r="BC170" s="20">
        <v>1.1000000000000001</v>
      </c>
      <c r="BD170" s="43">
        <v>50109</v>
      </c>
      <c r="BE170">
        <v>0</v>
      </c>
      <c r="BF170">
        <v>0</v>
      </c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3A96-E20A-48A0-9EBB-8BC6BC372F35}">
  <dimension ref="B2:P173"/>
  <sheetViews>
    <sheetView showGridLines="0" topLeftCell="G126" zoomScale="84" workbookViewId="0">
      <selection activeCell="P3" sqref="P3:P171"/>
    </sheetView>
  </sheetViews>
  <sheetFormatPr baseColWidth="10" defaultColWidth="11.453125" defaultRowHeight="14.5" x14ac:dyDescent="0.35"/>
  <cols>
    <col min="1" max="1" width="3.6328125" customWidth="1"/>
    <col min="2" max="2" width="15.08984375" bestFit="1" customWidth="1"/>
    <col min="3" max="3" width="19.36328125" bestFit="1" customWidth="1"/>
    <col min="4" max="4" width="38.6328125" bestFit="1" customWidth="1"/>
    <col min="5" max="5" width="7.453125" bestFit="1" customWidth="1"/>
    <col min="6" max="6" width="24.6328125" bestFit="1" customWidth="1"/>
    <col min="7" max="7" width="37.6328125" bestFit="1" customWidth="1"/>
    <col min="8" max="8" width="39.36328125" bestFit="1" customWidth="1"/>
    <col min="9" max="9" width="15.453125" bestFit="1" customWidth="1"/>
    <col min="10" max="10" width="18" bestFit="1" customWidth="1"/>
    <col min="13" max="13" width="22.36328125" bestFit="1" customWidth="1"/>
    <col min="14" max="14" width="24" bestFit="1" customWidth="1"/>
    <col min="15" max="15" width="11.36328125" bestFit="1" customWidth="1"/>
    <col min="16" max="16" width="27.6328125" bestFit="1" customWidth="1"/>
    <col min="18" max="18" width="15.08984375" bestFit="1" customWidth="1"/>
    <col min="19" max="19" width="19.36328125" bestFit="1" customWidth="1"/>
    <col min="20" max="20" width="38.6328125" bestFit="1" customWidth="1"/>
    <col min="21" max="21" width="9.08984375" bestFit="1" customWidth="1"/>
  </cols>
  <sheetData>
    <row r="2" spans="2:16" x14ac:dyDescent="0.35">
      <c r="B2" s="14" t="s">
        <v>4010</v>
      </c>
      <c r="C2" s="15" t="s">
        <v>4011</v>
      </c>
      <c r="D2" s="15" t="s">
        <v>4012</v>
      </c>
      <c r="E2" s="15" t="s">
        <v>4013</v>
      </c>
      <c r="F2" s="15" t="s">
        <v>4014</v>
      </c>
      <c r="G2" s="15" t="s">
        <v>4272</v>
      </c>
      <c r="H2" s="15" t="s">
        <v>4273</v>
      </c>
      <c r="I2" s="15" t="s">
        <v>4015</v>
      </c>
      <c r="J2" s="15" t="s">
        <v>4016</v>
      </c>
      <c r="K2" s="15" t="s">
        <v>4017</v>
      </c>
      <c r="L2" s="15" t="s">
        <v>4018</v>
      </c>
      <c r="M2" s="15" t="s">
        <v>4019</v>
      </c>
      <c r="N2" s="15" t="s">
        <v>4020</v>
      </c>
      <c r="O2" s="15" t="s">
        <v>4021</v>
      </c>
      <c r="P2" s="34" t="s">
        <v>4022</v>
      </c>
    </row>
    <row r="3" spans="2:16" x14ac:dyDescent="0.35">
      <c r="B3" s="18" t="s">
        <v>250</v>
      </c>
      <c r="C3" s="13" t="s">
        <v>251</v>
      </c>
      <c r="D3" s="13" t="s">
        <v>251</v>
      </c>
      <c r="E3" s="13" t="s">
        <v>252</v>
      </c>
      <c r="F3" s="13">
        <v>8.6390858401597015</v>
      </c>
      <c r="G3" s="13">
        <v>7.6143092980427278</v>
      </c>
      <c r="H3" s="13">
        <v>29.289785623060528</v>
      </c>
      <c r="I3" s="13">
        <v>8.5532746823069399</v>
      </c>
      <c r="J3" s="13">
        <v>6.3857731736158705</v>
      </c>
      <c r="K3" s="13">
        <v>24.778348455071043</v>
      </c>
      <c r="L3" s="13">
        <v>8.5843373493975896</v>
      </c>
      <c r="M3" s="13">
        <v>6.5586593485855609</v>
      </c>
      <c r="N3" s="13">
        <v>25.252802562342712</v>
      </c>
      <c r="O3" s="13">
        <f>SUMPRODUCT(F3:N3,$F$173:$N$173)</f>
        <v>13.961819592509185</v>
      </c>
      <c r="P3" s="30">
        <f>(O3-MIN($O$3:$O$171))/(MAX($O$3:$O$171)-MIN($O$3:$O$171))*100</f>
        <v>17.854288531435696</v>
      </c>
    </row>
    <row r="4" spans="2:16" x14ac:dyDescent="0.35">
      <c r="B4" s="18" t="s">
        <v>250</v>
      </c>
      <c r="C4" s="13" t="s">
        <v>251</v>
      </c>
      <c r="D4" s="13" t="s">
        <v>259</v>
      </c>
      <c r="E4" s="13" t="s">
        <v>260</v>
      </c>
      <c r="F4" s="13">
        <v>2.6227025538652167</v>
      </c>
      <c r="G4" s="13">
        <v>2.2287588487188459</v>
      </c>
      <c r="H4" s="13">
        <v>26.999615695049545</v>
      </c>
      <c r="I4" s="13">
        <v>4.838709677419355</v>
      </c>
      <c r="J4" s="13">
        <v>3.5178292959522128</v>
      </c>
      <c r="K4" s="13">
        <v>24.128841884614332</v>
      </c>
      <c r="L4" s="13">
        <v>4.6686746987951802</v>
      </c>
      <c r="M4" s="13">
        <v>3.5761592011972065</v>
      </c>
      <c r="N4" s="13">
        <v>25.317877932840183</v>
      </c>
      <c r="O4" s="13">
        <f t="shared" ref="O4:O67" si="0">SUMPRODUCT(F4:N4,$F$173:$N$173)</f>
        <v>10.877685532050229</v>
      </c>
      <c r="P4" s="30">
        <f t="shared" ref="P4:P67" si="1">(O4-MIN($O$3:$O$171))/(MAX($O$3:$O$171)-MIN($O$3:$O$171))*100</f>
        <v>13.909884806122811</v>
      </c>
    </row>
    <row r="5" spans="2:16" x14ac:dyDescent="0.35">
      <c r="B5" s="18" t="s">
        <v>250</v>
      </c>
      <c r="C5" s="13" t="s">
        <v>530</v>
      </c>
      <c r="D5" s="13" t="s">
        <v>531</v>
      </c>
      <c r="E5" s="13" t="s">
        <v>532</v>
      </c>
      <c r="F5" s="13">
        <v>25.118744406966336</v>
      </c>
      <c r="G5" s="13">
        <v>21.795861200340013</v>
      </c>
      <c r="H5" s="13">
        <v>28.397776332496633</v>
      </c>
      <c r="I5" s="13">
        <v>11.925708699902248</v>
      </c>
      <c r="J5" s="13">
        <v>6.7610584249800096</v>
      </c>
      <c r="K5" s="13">
        <v>18.815760656627457</v>
      </c>
      <c r="L5" s="13">
        <v>11.546184738955825</v>
      </c>
      <c r="M5" s="13">
        <v>6.8305859384908532</v>
      </c>
      <c r="N5" s="13">
        <v>19.553623630493913</v>
      </c>
      <c r="O5" s="13">
        <f t="shared" si="0"/>
        <v>16.749478225472586</v>
      </c>
      <c r="P5" s="30">
        <f t="shared" si="1"/>
        <v>21.419519770159859</v>
      </c>
    </row>
    <row r="6" spans="2:16" x14ac:dyDescent="0.35">
      <c r="B6" s="18" t="s">
        <v>250</v>
      </c>
      <c r="C6" s="13" t="s">
        <v>530</v>
      </c>
      <c r="D6" s="13" t="s">
        <v>530</v>
      </c>
      <c r="E6" s="13" t="s">
        <v>545</v>
      </c>
      <c r="F6" s="13">
        <v>1.4731190197563158</v>
      </c>
      <c r="G6" s="13">
        <v>1.3632665643472501</v>
      </c>
      <c r="H6" s="13">
        <v>31.922780931498636</v>
      </c>
      <c r="I6" s="13">
        <v>0.48875855327468232</v>
      </c>
      <c r="J6" s="13">
        <v>0.31405407097540355</v>
      </c>
      <c r="K6" s="13">
        <v>21.32560401547687</v>
      </c>
      <c r="L6" s="13">
        <v>0.45180722891566261</v>
      </c>
      <c r="M6" s="13">
        <v>0.30812601895350522</v>
      </c>
      <c r="N6" s="13">
        <v>22.541498258725436</v>
      </c>
      <c r="O6" s="13">
        <f t="shared" si="0"/>
        <v>8.9098905179915278</v>
      </c>
      <c r="P6" s="30">
        <f t="shared" si="1"/>
        <v>11.393204975755703</v>
      </c>
    </row>
    <row r="7" spans="2:16" x14ac:dyDescent="0.35">
      <c r="B7" s="18" t="s">
        <v>250</v>
      </c>
      <c r="C7" s="13" t="s">
        <v>530</v>
      </c>
      <c r="D7" s="13" t="s">
        <v>546</v>
      </c>
      <c r="E7" s="13" t="s">
        <v>547</v>
      </c>
      <c r="F7" s="13">
        <v>8.7974117161148211</v>
      </c>
      <c r="G7" s="13">
        <v>6.9957048649675748</v>
      </c>
      <c r="H7" s="13">
        <v>23.403480813521789</v>
      </c>
      <c r="I7" s="13">
        <v>9.3841642228739008</v>
      </c>
      <c r="J7" s="13">
        <v>6.0139261630596161</v>
      </c>
      <c r="K7" s="13">
        <v>21.269328433743148</v>
      </c>
      <c r="L7" s="13">
        <v>9.1365461847389557</v>
      </c>
      <c r="M7" s="13">
        <v>5.7933811799492689</v>
      </c>
      <c r="N7" s="13">
        <v>20.958336510841658</v>
      </c>
      <c r="O7" s="13">
        <f t="shared" si="0"/>
        <v>12.416920009978968</v>
      </c>
      <c r="P7" s="30">
        <f t="shared" si="1"/>
        <v>15.87846402150512</v>
      </c>
    </row>
    <row r="8" spans="2:16" x14ac:dyDescent="0.35">
      <c r="B8" s="18" t="s">
        <v>757</v>
      </c>
      <c r="C8" s="13" t="s">
        <v>757</v>
      </c>
      <c r="D8" s="13" t="s">
        <v>757</v>
      </c>
      <c r="E8" s="13" t="s">
        <v>758</v>
      </c>
      <c r="F8" s="13">
        <v>38.879328147587252</v>
      </c>
      <c r="G8" s="13">
        <v>38.04464454587724</v>
      </c>
      <c r="H8" s="13">
        <v>35.999238407237073</v>
      </c>
      <c r="I8" s="13">
        <v>19.794721407624632</v>
      </c>
      <c r="J8" s="13">
        <v>15.16667779525894</v>
      </c>
      <c r="K8" s="13">
        <v>25.429179922457024</v>
      </c>
      <c r="L8" s="13">
        <v>19.979919678714857</v>
      </c>
      <c r="M8" s="13">
        <v>15.282192811301481</v>
      </c>
      <c r="N8" s="13">
        <v>25.28127303693536</v>
      </c>
      <c r="O8" s="13">
        <f t="shared" si="0"/>
        <v>25.98413063922154</v>
      </c>
      <c r="P8" s="30">
        <f t="shared" si="1"/>
        <v>33.230030165852739</v>
      </c>
    </row>
    <row r="9" spans="2:16" x14ac:dyDescent="0.35">
      <c r="B9" s="18" t="s">
        <v>757</v>
      </c>
      <c r="C9" s="13" t="s">
        <v>757</v>
      </c>
      <c r="D9" s="13" t="s">
        <v>759</v>
      </c>
      <c r="E9" s="13" t="s">
        <v>760</v>
      </c>
      <c r="F9" s="13">
        <v>2.7328422936600814</v>
      </c>
      <c r="G9" s="13">
        <v>1.8262909877784912</v>
      </c>
      <c r="H9" s="13">
        <v>14.712604985319985</v>
      </c>
      <c r="I9" s="13">
        <v>3.3235581622678394</v>
      </c>
      <c r="J9" s="13">
        <v>2.3456711734850506</v>
      </c>
      <c r="K9" s="13">
        <v>23.423680491883083</v>
      </c>
      <c r="L9" s="13">
        <v>3.3132530120481931</v>
      </c>
      <c r="M9" s="13">
        <v>2.3924502260746232</v>
      </c>
      <c r="N9" s="13">
        <v>23.866900531279391</v>
      </c>
      <c r="O9" s="13">
        <f t="shared" si="0"/>
        <v>8.6596946515329698</v>
      </c>
      <c r="P9" s="30">
        <f t="shared" si="1"/>
        <v>11.073220990503724</v>
      </c>
    </row>
    <row r="10" spans="2:16" x14ac:dyDescent="0.35">
      <c r="B10" s="18" t="s">
        <v>757</v>
      </c>
      <c r="C10" s="13" t="s">
        <v>757</v>
      </c>
      <c r="D10" s="13" t="s">
        <v>761</v>
      </c>
      <c r="E10" s="13" t="s">
        <v>762</v>
      </c>
      <c r="F10" s="13">
        <v>7.2279204240379977</v>
      </c>
      <c r="G10" s="13">
        <v>7.3171080967322766</v>
      </c>
      <c r="H10" s="13">
        <v>38.216044792999007</v>
      </c>
      <c r="I10" s="13">
        <v>5.8162267839687187</v>
      </c>
      <c r="J10" s="13">
        <v>4.6574983094894131</v>
      </c>
      <c r="K10" s="13">
        <v>26.576798423277069</v>
      </c>
      <c r="L10" s="13">
        <v>5.8232931726907635</v>
      </c>
      <c r="M10" s="13">
        <v>4.7785423869021697</v>
      </c>
      <c r="N10" s="13">
        <v>27.122702661480975</v>
      </c>
      <c r="O10" s="13">
        <f t="shared" si="0"/>
        <v>14.170681672397599</v>
      </c>
      <c r="P10" s="30">
        <f t="shared" si="1"/>
        <v>18.121409334175979</v>
      </c>
    </row>
    <row r="11" spans="2:16" x14ac:dyDescent="0.35">
      <c r="B11" s="18" t="s">
        <v>757</v>
      </c>
      <c r="C11" s="13" t="s">
        <v>757</v>
      </c>
      <c r="D11" s="13" t="s">
        <v>763</v>
      </c>
      <c r="E11" s="13" t="s">
        <v>764</v>
      </c>
      <c r="F11" s="13">
        <v>14.414538445652921</v>
      </c>
      <c r="G11" s="13">
        <v>14.545788393029667</v>
      </c>
      <c r="H11" s="13">
        <v>38.055831544257792</v>
      </c>
      <c r="I11" s="13">
        <v>13.000977517106548</v>
      </c>
      <c r="J11" s="13">
        <v>11.939898659749067</v>
      </c>
      <c r="K11" s="13">
        <v>30.480067301916954</v>
      </c>
      <c r="L11" s="13">
        <v>13.052208835341366</v>
      </c>
      <c r="M11" s="13">
        <v>12.163451386996799</v>
      </c>
      <c r="N11" s="13">
        <v>30.802003101248125</v>
      </c>
      <c r="O11" s="13">
        <f t="shared" si="0"/>
        <v>19.828307242811025</v>
      </c>
      <c r="P11" s="30">
        <f t="shared" si="1"/>
        <v>25.357138695772953</v>
      </c>
    </row>
    <row r="12" spans="2:16" x14ac:dyDescent="0.35">
      <c r="B12" s="18" t="s">
        <v>757</v>
      </c>
      <c r="C12" s="13" t="s">
        <v>757</v>
      </c>
      <c r="D12" s="13" t="s">
        <v>765</v>
      </c>
      <c r="E12" s="13" t="s">
        <v>766</v>
      </c>
      <c r="F12" s="13">
        <v>0.12390720726922283</v>
      </c>
      <c r="G12" s="13">
        <v>0.13650336322658083</v>
      </c>
      <c r="H12" s="13">
        <v>37.502129285523331</v>
      </c>
      <c r="I12" s="13">
        <v>0.34213098729227759</v>
      </c>
      <c r="J12" s="13">
        <v>0.23234648779178321</v>
      </c>
      <c r="K12" s="13">
        <v>22.53901793494569</v>
      </c>
      <c r="L12" s="13">
        <v>0.35140562248995982</v>
      </c>
      <c r="M12" s="13">
        <v>0.23962894658619036</v>
      </c>
      <c r="N12" s="13">
        <v>22.538956252065383</v>
      </c>
      <c r="O12" s="13">
        <f t="shared" si="0"/>
        <v>9.3340028985767134</v>
      </c>
      <c r="P12" s="30">
        <f t="shared" si="1"/>
        <v>11.935616693644056</v>
      </c>
    </row>
    <row r="13" spans="2:16" x14ac:dyDescent="0.35">
      <c r="B13" s="18" t="s">
        <v>757</v>
      </c>
      <c r="C13" s="13" t="s">
        <v>757</v>
      </c>
      <c r="D13" s="13" t="s">
        <v>769</v>
      </c>
      <c r="E13" s="13" t="s">
        <v>770</v>
      </c>
      <c r="F13" s="13">
        <v>3.3936807324292695</v>
      </c>
      <c r="G13" s="13">
        <v>2.7406591130879985</v>
      </c>
      <c r="H13" s="13">
        <v>24.176187727640102</v>
      </c>
      <c r="I13" s="13">
        <v>2.1016617790811338</v>
      </c>
      <c r="J13" s="13">
        <v>1.1365108850043888</v>
      </c>
      <c r="K13" s="13">
        <v>17.947421378933406</v>
      </c>
      <c r="L13" s="13">
        <v>2.1084337349397591</v>
      </c>
      <c r="M13" s="13">
        <v>1.1690979342426715</v>
      </c>
      <c r="N13" s="13">
        <v>18.327359617682198</v>
      </c>
      <c r="O13" s="13">
        <f t="shared" si="0"/>
        <v>8.1223347670045474</v>
      </c>
      <c r="P13" s="30">
        <f t="shared" si="1"/>
        <v>10.385973196206418</v>
      </c>
    </row>
    <row r="14" spans="2:16" x14ac:dyDescent="0.35">
      <c r="B14" s="18" t="s">
        <v>757</v>
      </c>
      <c r="C14" s="13" t="s">
        <v>757</v>
      </c>
      <c r="D14" s="13" t="s">
        <v>773</v>
      </c>
      <c r="E14" s="13" t="s">
        <v>774</v>
      </c>
      <c r="F14" s="13">
        <v>4.7635437461278993</v>
      </c>
      <c r="G14" s="13">
        <v>4.8119267864280042</v>
      </c>
      <c r="H14" s="13">
        <v>38.004388177731251</v>
      </c>
      <c r="I14" s="13">
        <v>2.9814271749755621</v>
      </c>
      <c r="J14" s="13">
        <v>2.8851573654117657</v>
      </c>
      <c r="K14" s="13">
        <v>32.117119302331851</v>
      </c>
      <c r="L14" s="13">
        <v>3.0120481927710845</v>
      </c>
      <c r="M14" s="13">
        <v>2.9731746246789839</v>
      </c>
      <c r="N14" s="13">
        <v>32.625638679173342</v>
      </c>
      <c r="O14" s="13">
        <f t="shared" si="0"/>
        <v>13.797158227736638</v>
      </c>
      <c r="P14" s="30">
        <f t="shared" si="1"/>
        <v>17.643697523427669</v>
      </c>
    </row>
    <row r="15" spans="2:16" x14ac:dyDescent="0.35">
      <c r="B15" s="18" t="s">
        <v>757</v>
      </c>
      <c r="C15" s="13" t="s">
        <v>757</v>
      </c>
      <c r="D15" s="13" t="s">
        <v>775</v>
      </c>
      <c r="E15" s="13" t="s">
        <v>776</v>
      </c>
      <c r="F15" s="13">
        <v>7.675363116954637</v>
      </c>
      <c r="G15" s="13">
        <v>5.0617377292525152</v>
      </c>
      <c r="H15" s="13">
        <v>14.130353652942592</v>
      </c>
      <c r="I15" s="13">
        <v>4.9853372434017595</v>
      </c>
      <c r="J15" s="13">
        <v>4.9546999467470227</v>
      </c>
      <c r="K15" s="13">
        <v>32.984818501271505</v>
      </c>
      <c r="L15" s="13">
        <v>5.070281124497992</v>
      </c>
      <c r="M15" s="13">
        <v>5.1072298051025982</v>
      </c>
      <c r="N15" s="13">
        <v>33.293169628104422</v>
      </c>
      <c r="O15" s="13">
        <f t="shared" si="0"/>
        <v>12.584776749808336</v>
      </c>
      <c r="P15" s="30">
        <f t="shared" si="1"/>
        <v>16.093141703124221</v>
      </c>
    </row>
    <row r="16" spans="2:16" x14ac:dyDescent="0.35">
      <c r="B16" s="18" t="s">
        <v>757</v>
      </c>
      <c r="C16" s="13" t="s">
        <v>757</v>
      </c>
      <c r="D16" s="13" t="s">
        <v>779</v>
      </c>
      <c r="E16" s="13" t="s">
        <v>780</v>
      </c>
      <c r="F16" s="13">
        <v>7.9231775314930823</v>
      </c>
      <c r="G16" s="13">
        <v>7.2613671665587978</v>
      </c>
      <c r="H16" s="13">
        <v>31.680147377497391</v>
      </c>
      <c r="I16" s="13">
        <v>7.2336265884652988</v>
      </c>
      <c r="J16" s="13">
        <v>5.3230150609795404</v>
      </c>
      <c r="K16" s="13">
        <v>24.422656335371904</v>
      </c>
      <c r="L16" s="13">
        <v>7.1285140562248994</v>
      </c>
      <c r="M16" s="13">
        <v>5.4330524647328726</v>
      </c>
      <c r="N16" s="13">
        <v>25.19128600116932</v>
      </c>
      <c r="O16" s="13">
        <f t="shared" si="0"/>
        <v>13.510760286943677</v>
      </c>
      <c r="P16" s="30">
        <f t="shared" si="1"/>
        <v>17.277413476612406</v>
      </c>
    </row>
    <row r="17" spans="2:16" x14ac:dyDescent="0.35">
      <c r="B17" s="18" t="s">
        <v>757</v>
      </c>
      <c r="C17" s="13" t="s">
        <v>757</v>
      </c>
      <c r="D17" s="13" t="s">
        <v>787</v>
      </c>
      <c r="E17" s="13" t="s">
        <v>788</v>
      </c>
      <c r="F17" s="13">
        <v>0</v>
      </c>
      <c r="G17" s="13">
        <v>3.9687233407101974E-3</v>
      </c>
      <c r="H17" s="13">
        <v>20.345202044170357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f t="shared" si="0"/>
        <v>2.2610189741678965</v>
      </c>
      <c r="P17" s="30">
        <f t="shared" si="1"/>
        <v>2.8897374959140381</v>
      </c>
    </row>
    <row r="18" spans="2:16" x14ac:dyDescent="0.35">
      <c r="B18" s="18" t="s">
        <v>757</v>
      </c>
      <c r="C18" s="13" t="s">
        <v>757</v>
      </c>
      <c r="D18" s="13" t="s">
        <v>789</v>
      </c>
      <c r="E18" s="13" t="s">
        <v>790</v>
      </c>
      <c r="F18" s="13">
        <v>1.0187925931024988</v>
      </c>
      <c r="G18" s="13">
        <v>1.033130474068537</v>
      </c>
      <c r="H18" s="13">
        <v>37.607379398697432</v>
      </c>
      <c r="I18" s="13">
        <v>1.9550342130987293</v>
      </c>
      <c r="J18" s="13">
        <v>2.4560779759933844</v>
      </c>
      <c r="K18" s="13">
        <v>41.694529242310566</v>
      </c>
      <c r="L18" s="13">
        <v>1.957831325301205</v>
      </c>
      <c r="M18" s="13">
        <v>2.5300219555560122</v>
      </c>
      <c r="N18" s="13">
        <v>42.712321106281301</v>
      </c>
      <c r="O18" s="13">
        <f t="shared" si="0"/>
        <v>14.773902031601072</v>
      </c>
      <c r="P18" s="30">
        <f t="shared" si="1"/>
        <v>18.892888324837198</v>
      </c>
    </row>
    <row r="19" spans="2:16" x14ac:dyDescent="0.35">
      <c r="B19" s="18" t="s">
        <v>757</v>
      </c>
      <c r="C19" s="13" t="s">
        <v>757</v>
      </c>
      <c r="D19" s="13" t="s">
        <v>799</v>
      </c>
      <c r="E19" s="13" t="s">
        <v>800</v>
      </c>
      <c r="F19" s="13">
        <v>2.4850278791216356</v>
      </c>
      <c r="G19" s="13">
        <v>2.1336402856771257</v>
      </c>
      <c r="H19" s="13">
        <v>27.584701669585275</v>
      </c>
      <c r="I19" s="13">
        <v>3.0791788856304985</v>
      </c>
      <c r="J19" s="13">
        <v>2.6292953933915126</v>
      </c>
      <c r="K19" s="13">
        <v>28.339732409255515</v>
      </c>
      <c r="L19" s="13">
        <v>3.0120481927710845</v>
      </c>
      <c r="M19" s="13">
        <v>2.584429975397438</v>
      </c>
      <c r="N19" s="13">
        <v>28.360151503596942</v>
      </c>
      <c r="O19" s="13">
        <f t="shared" si="0"/>
        <v>11.134245132714113</v>
      </c>
      <c r="P19" s="30">
        <f t="shared" si="1"/>
        <v>14.238007587034874</v>
      </c>
    </row>
    <row r="20" spans="2:16" x14ac:dyDescent="0.35">
      <c r="B20" s="18" t="s">
        <v>757</v>
      </c>
      <c r="C20" s="13" t="s">
        <v>757</v>
      </c>
      <c r="D20" s="13" t="s">
        <v>801</v>
      </c>
      <c r="E20" s="13" t="s">
        <v>802</v>
      </c>
      <c r="F20" s="13">
        <v>0.77097817856405315</v>
      </c>
      <c r="G20" s="13">
        <v>0.58218942771411319</v>
      </c>
      <c r="H20" s="13">
        <v>20.345183385934124</v>
      </c>
      <c r="I20" s="13">
        <v>0.63538611925708699</v>
      </c>
      <c r="J20" s="13">
        <v>0.83821556260622787</v>
      </c>
      <c r="K20" s="13">
        <v>43.783379738449888</v>
      </c>
      <c r="L20" s="13">
        <v>0.65261044176706828</v>
      </c>
      <c r="M20" s="13">
        <v>0.86448838712972853</v>
      </c>
      <c r="N20" s="13">
        <v>43.783522712829509</v>
      </c>
      <c r="O20" s="13">
        <f t="shared" si="0"/>
        <v>12.472883772694644</v>
      </c>
      <c r="P20" s="30">
        <f t="shared" si="1"/>
        <v>15.95003797705016</v>
      </c>
    </row>
    <row r="21" spans="2:16" x14ac:dyDescent="0.35">
      <c r="B21" s="18" t="s">
        <v>757</v>
      </c>
      <c r="C21" s="13" t="s">
        <v>757</v>
      </c>
      <c r="D21" s="13" t="s">
        <v>803</v>
      </c>
      <c r="E21" s="13" t="s">
        <v>804</v>
      </c>
      <c r="F21" s="13">
        <v>0.2065120121153714</v>
      </c>
      <c r="G21" s="13">
        <v>0.15759542563317536</v>
      </c>
      <c r="H21" s="13">
        <v>19.98825898063695</v>
      </c>
      <c r="I21" s="13">
        <v>0.68426197458455518</v>
      </c>
      <c r="J21" s="13">
        <v>0.85737027710889746</v>
      </c>
      <c r="K21" s="13">
        <v>41.585056964416289</v>
      </c>
      <c r="L21" s="13">
        <v>0.70281124497991965</v>
      </c>
      <c r="M21" s="13">
        <v>0.88424363868197775</v>
      </c>
      <c r="N21" s="13">
        <v>41.585195353211823</v>
      </c>
      <c r="O21" s="13">
        <f t="shared" si="0"/>
        <v>11.850145096818773</v>
      </c>
      <c r="P21" s="30">
        <f t="shared" si="1"/>
        <v>15.153596348745694</v>
      </c>
    </row>
    <row r="22" spans="2:16" x14ac:dyDescent="0.35">
      <c r="B22" s="18" t="s">
        <v>757</v>
      </c>
      <c r="C22" s="13" t="s">
        <v>757</v>
      </c>
      <c r="D22" s="13" t="s">
        <v>807</v>
      </c>
      <c r="E22" s="13" t="s">
        <v>808</v>
      </c>
      <c r="F22" s="13">
        <v>3.6827975493907892</v>
      </c>
      <c r="G22" s="13">
        <v>4.6359987073278566</v>
      </c>
      <c r="H22" s="13">
        <v>54.847612424796111</v>
      </c>
      <c r="I22" s="13">
        <v>5.0342130987292277</v>
      </c>
      <c r="J22" s="13">
        <v>5.2382876006471006</v>
      </c>
      <c r="K22" s="13">
        <v>34.534170561089169</v>
      </c>
      <c r="L22" s="13">
        <v>5.0200803212851408</v>
      </c>
      <c r="M22" s="13">
        <v>5.1538319369694428</v>
      </c>
      <c r="N22" s="13">
        <v>33.933246905106891</v>
      </c>
      <c r="O22" s="13">
        <f t="shared" si="0"/>
        <v>16.897804345037969</v>
      </c>
      <c r="P22" s="30">
        <f t="shared" si="1"/>
        <v>21.609219078654846</v>
      </c>
    </row>
    <row r="23" spans="2:16" x14ac:dyDescent="0.35">
      <c r="B23" s="18" t="s">
        <v>757</v>
      </c>
      <c r="C23" s="13" t="s">
        <v>757</v>
      </c>
      <c r="D23" s="13" t="s">
        <v>811</v>
      </c>
      <c r="E23" s="13" t="s">
        <v>812</v>
      </c>
      <c r="F23" s="13">
        <v>1.0669787292627522</v>
      </c>
      <c r="G23" s="13">
        <v>0.68904091800773903</v>
      </c>
      <c r="H23" s="13">
        <v>13.17509497902857</v>
      </c>
      <c r="I23" s="13">
        <v>0.39100684261974583</v>
      </c>
      <c r="J23" s="13">
        <v>0.21691145981578588</v>
      </c>
      <c r="K23" s="13">
        <v>18.411510505227735</v>
      </c>
      <c r="L23" s="13">
        <v>0.40160642570281119</v>
      </c>
      <c r="M23" s="13">
        <v>0.22370984613273615</v>
      </c>
      <c r="N23" s="13">
        <v>18.411245837464094</v>
      </c>
      <c r="O23" s="13">
        <f t="shared" si="0"/>
        <v>5.887456171473552</v>
      </c>
      <c r="P23" s="30">
        <f t="shared" si="1"/>
        <v>7.5277111086878667</v>
      </c>
    </row>
    <row r="24" spans="2:16" x14ac:dyDescent="0.35">
      <c r="B24" s="18" t="s">
        <v>757</v>
      </c>
      <c r="C24" s="13" t="s">
        <v>757</v>
      </c>
      <c r="D24" s="13" t="s">
        <v>813</v>
      </c>
      <c r="E24" s="13" t="s">
        <v>814</v>
      </c>
      <c r="F24" s="13">
        <v>15.832587595511804</v>
      </c>
      <c r="G24" s="13">
        <v>11.45316159899096</v>
      </c>
      <c r="H24" s="13">
        <v>18.508207622804569</v>
      </c>
      <c r="I24" s="13">
        <v>10.557184750733137</v>
      </c>
      <c r="J24" s="13">
        <v>8.7558957403554167</v>
      </c>
      <c r="K24" s="13">
        <v>27.526040300070143</v>
      </c>
      <c r="L24" s="13">
        <v>10.491967871485944</v>
      </c>
      <c r="M24" s="13">
        <v>8.9444642613839687</v>
      </c>
      <c r="N24" s="13">
        <v>28.177127024072803</v>
      </c>
      <c r="O24" s="13">
        <f t="shared" si="0"/>
        <v>15.58295964060097</v>
      </c>
      <c r="P24" s="30">
        <f t="shared" si="1"/>
        <v>19.92761956037144</v>
      </c>
    </row>
    <row r="25" spans="2:16" x14ac:dyDescent="0.35">
      <c r="B25" s="18" t="s">
        <v>976</v>
      </c>
      <c r="C25" s="13" t="s">
        <v>977</v>
      </c>
      <c r="D25" s="13" t="s">
        <v>976</v>
      </c>
      <c r="E25" s="13" t="s">
        <v>979</v>
      </c>
      <c r="F25" s="13">
        <v>14.696771528877264</v>
      </c>
      <c r="G25" s="13">
        <v>12.009358411613913</v>
      </c>
      <c r="H25" s="13">
        <v>24.922051528036643</v>
      </c>
      <c r="I25" s="13">
        <v>11.534701857282501</v>
      </c>
      <c r="J25" s="13">
        <v>8.8072230210222049</v>
      </c>
      <c r="K25" s="13">
        <v>25.34100920113972</v>
      </c>
      <c r="L25" s="13">
        <v>11.39558232931727</v>
      </c>
      <c r="M25" s="13">
        <v>8.9460232768969465</v>
      </c>
      <c r="N25" s="13">
        <v>25.947787183202419</v>
      </c>
      <c r="O25" s="13">
        <f t="shared" si="0"/>
        <v>15.955612037487652</v>
      </c>
      <c r="P25" s="30">
        <f t="shared" si="1"/>
        <v>20.404217358557901</v>
      </c>
    </row>
    <row r="26" spans="2:16" x14ac:dyDescent="0.35">
      <c r="B26" s="18" t="s">
        <v>976</v>
      </c>
      <c r="C26" s="13" t="s">
        <v>977</v>
      </c>
      <c r="D26" s="13" t="s">
        <v>4006</v>
      </c>
      <c r="E26" s="13" t="s">
        <v>985</v>
      </c>
      <c r="F26" s="13">
        <v>0.49562882907689132</v>
      </c>
      <c r="G26" s="13">
        <v>0.44538198763075176</v>
      </c>
      <c r="H26" s="13">
        <v>29.363907714263444</v>
      </c>
      <c r="I26" s="13">
        <v>0.1466275659824047</v>
      </c>
      <c r="J26" s="13">
        <v>3.8880878141736033E-2</v>
      </c>
      <c r="K26" s="13">
        <v>8.8005887056980203</v>
      </c>
      <c r="L26" s="13">
        <v>0.15060240963855423</v>
      </c>
      <c r="M26" s="13">
        <v>4.0099670433077758E-2</v>
      </c>
      <c r="N26" s="13">
        <v>8.8004270571188901</v>
      </c>
      <c r="O26" s="13">
        <f t="shared" si="0"/>
        <v>5.3646827575537532</v>
      </c>
      <c r="P26" s="30">
        <f t="shared" si="1"/>
        <v>6.8591184467161836</v>
      </c>
    </row>
    <row r="27" spans="2:16" x14ac:dyDescent="0.35">
      <c r="B27" s="18" t="s">
        <v>976</v>
      </c>
      <c r="C27" s="13" t="s">
        <v>977</v>
      </c>
      <c r="D27" s="13" t="s">
        <v>1005</v>
      </c>
      <c r="E27" s="13" t="s">
        <v>1006</v>
      </c>
      <c r="F27" s="13">
        <v>1.7966545054037311</v>
      </c>
      <c r="G27" s="13">
        <v>1.6990809791745942</v>
      </c>
      <c r="H27" s="13">
        <v>33.366826470398351</v>
      </c>
      <c r="I27" s="13">
        <v>0.43988269794721413</v>
      </c>
      <c r="J27" s="13">
        <v>0.46030207047913496</v>
      </c>
      <c r="K27" s="13">
        <v>34.729404240827293</v>
      </c>
      <c r="L27" s="13">
        <v>0.40160642570281119</v>
      </c>
      <c r="M27" s="13">
        <v>0.4687177437161501</v>
      </c>
      <c r="N27" s="13">
        <v>38.575459467703801</v>
      </c>
      <c r="O27" s="13">
        <f t="shared" si="0"/>
        <v>12.437548289039231</v>
      </c>
      <c r="P27" s="30">
        <f t="shared" si="1"/>
        <v>15.904846227718291</v>
      </c>
    </row>
    <row r="28" spans="2:16" x14ac:dyDescent="0.35">
      <c r="B28" s="18" t="s">
        <v>976</v>
      </c>
      <c r="C28" s="13" t="s">
        <v>977</v>
      </c>
      <c r="D28" s="13" t="s">
        <v>1007</v>
      </c>
      <c r="E28" s="13" t="s">
        <v>1008</v>
      </c>
      <c r="F28" s="13">
        <v>1.4455840848075996</v>
      </c>
      <c r="G28" s="13">
        <v>1.1537993867613527</v>
      </c>
      <c r="H28" s="13">
        <v>23.388246393733585</v>
      </c>
      <c r="I28" s="13">
        <v>0.43988269794721413</v>
      </c>
      <c r="J28" s="13">
        <v>0.45740658842977872</v>
      </c>
      <c r="K28" s="13">
        <v>34.510942667418959</v>
      </c>
      <c r="L28" s="13">
        <v>0.40160642570281119</v>
      </c>
      <c r="M28" s="13">
        <v>0.16815978372385487</v>
      </c>
      <c r="N28" s="13">
        <v>13.839701060016777</v>
      </c>
      <c r="O28" s="13">
        <f t="shared" si="0"/>
        <v>8.4228143431713267</v>
      </c>
      <c r="P28" s="30">
        <f t="shared" si="1"/>
        <v>10.770266724431425</v>
      </c>
    </row>
    <row r="29" spans="2:16" x14ac:dyDescent="0.35">
      <c r="B29" s="18" t="s">
        <v>1231</v>
      </c>
      <c r="C29" s="13" t="s">
        <v>1231</v>
      </c>
      <c r="D29" s="13" t="s">
        <v>1231</v>
      </c>
      <c r="E29" s="13" t="s">
        <v>1232</v>
      </c>
      <c r="F29" s="13">
        <v>31.906105871824881</v>
      </c>
      <c r="G29" s="13">
        <v>29.192402250896304</v>
      </c>
      <c r="H29" s="13">
        <v>31.638477048812174</v>
      </c>
      <c r="I29" s="13">
        <v>22.482893450635384</v>
      </c>
      <c r="J29" s="13">
        <v>15.466965918959662</v>
      </c>
      <c r="K29" s="13">
        <v>22.832013349266937</v>
      </c>
      <c r="L29" s="13">
        <v>22.740963855421686</v>
      </c>
      <c r="M29" s="13">
        <v>15.912303794442224</v>
      </c>
      <c r="N29" s="13">
        <v>23.127684994534686</v>
      </c>
      <c r="O29" s="13">
        <f t="shared" si="0"/>
        <v>23.922201170532659</v>
      </c>
      <c r="P29" s="30">
        <f t="shared" si="1"/>
        <v>30.592958586539311</v>
      </c>
    </row>
    <row r="30" spans="2:16" x14ac:dyDescent="0.35">
      <c r="B30" s="18" t="s">
        <v>1231</v>
      </c>
      <c r="C30" s="13" t="s">
        <v>1231</v>
      </c>
      <c r="D30" s="13" t="s">
        <v>1241</v>
      </c>
      <c r="E30" s="13" t="s">
        <v>1242</v>
      </c>
      <c r="F30" s="13">
        <v>0.2065120121153714</v>
      </c>
      <c r="G30" s="13">
        <v>0.15810182592492747</v>
      </c>
      <c r="H30" s="13">
        <v>20.132413819791598</v>
      </c>
      <c r="I30" s="13">
        <v>4.8875855327468229E-2</v>
      </c>
      <c r="J30" s="13">
        <v>2.8552488855926351E-3</v>
      </c>
      <c r="K30" s="13">
        <v>1.9388351520433107</v>
      </c>
      <c r="L30" s="13">
        <v>5.0200803212851398E-2</v>
      </c>
      <c r="M30" s="13">
        <v>2.9450644707738837E-3</v>
      </c>
      <c r="N30" s="13">
        <v>1.9390426802918224</v>
      </c>
      <c r="O30" s="13">
        <f t="shared" si="0"/>
        <v>2.7199758291181908</v>
      </c>
      <c r="P30" s="30">
        <f t="shared" si="1"/>
        <v>3.4767129946880542</v>
      </c>
    </row>
    <row r="31" spans="2:16" x14ac:dyDescent="0.35">
      <c r="B31" s="18" t="s">
        <v>1231</v>
      </c>
      <c r="C31" s="13" t="s">
        <v>1231</v>
      </c>
      <c r="D31" s="13" t="s">
        <v>1243</v>
      </c>
      <c r="E31" s="13" t="s">
        <v>1244</v>
      </c>
      <c r="F31" s="13">
        <v>6.8837337371790458E-2</v>
      </c>
      <c r="G31" s="13">
        <v>4.4881077397427832E-2</v>
      </c>
      <c r="H31" s="13">
        <v>13.228405586133507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f t="shared" si="0"/>
        <v>1.4824582223225249</v>
      </c>
      <c r="P31" s="30">
        <f t="shared" si="1"/>
        <v>1.8940097260568844</v>
      </c>
    </row>
    <row r="32" spans="2:16" x14ac:dyDescent="0.35">
      <c r="B32" s="18" t="s">
        <v>1231</v>
      </c>
      <c r="C32" s="13" t="s">
        <v>1231</v>
      </c>
      <c r="D32" s="13" t="s">
        <v>1245</v>
      </c>
      <c r="E32" s="13" t="s">
        <v>1246</v>
      </c>
      <c r="F32" s="13">
        <v>1.8792593102498794</v>
      </c>
      <c r="G32" s="13">
        <v>1.2926811293355407</v>
      </c>
      <c r="H32" s="13">
        <v>16.019369166796295</v>
      </c>
      <c r="I32" s="13">
        <v>1.6617790811339197</v>
      </c>
      <c r="J32" s="13">
        <v>0.72188888995173728</v>
      </c>
      <c r="K32" s="13">
        <v>14.417446531537278</v>
      </c>
      <c r="L32" s="13">
        <v>1.6064257028112447</v>
      </c>
      <c r="M32" s="13">
        <v>0.72291371737133614</v>
      </c>
      <c r="N32" s="13">
        <v>14.873789369328147</v>
      </c>
      <c r="O32" s="13">
        <f t="shared" si="0"/>
        <v>5.9106169887239304</v>
      </c>
      <c r="P32" s="30">
        <f t="shared" si="1"/>
        <v>7.5573322639466269</v>
      </c>
    </row>
    <row r="33" spans="2:16" x14ac:dyDescent="0.35">
      <c r="B33" s="18" t="s">
        <v>1231</v>
      </c>
      <c r="C33" s="13" t="s">
        <v>1231</v>
      </c>
      <c r="D33" s="13" t="s">
        <v>1247</v>
      </c>
      <c r="E33" s="13" t="s">
        <v>1248</v>
      </c>
      <c r="F33" s="13">
        <v>8.9488538583327601E-2</v>
      </c>
      <c r="G33" s="13">
        <v>3.6950820636264224E-2</v>
      </c>
      <c r="H33" s="13">
        <v>1.4521059953931843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f t="shared" si="0"/>
        <v>0.17539392829030845</v>
      </c>
      <c r="P33" s="30">
        <f t="shared" si="1"/>
        <v>0.22236083870698881</v>
      </c>
    </row>
    <row r="34" spans="2:16" x14ac:dyDescent="0.35">
      <c r="B34" s="18" t="s">
        <v>1482</v>
      </c>
      <c r="C34" s="13" t="s">
        <v>1482</v>
      </c>
      <c r="D34" s="13" t="s">
        <v>1482</v>
      </c>
      <c r="E34" s="13" t="s">
        <v>1483</v>
      </c>
      <c r="F34" s="13">
        <v>36.779789357747646</v>
      </c>
      <c r="G34" s="13">
        <v>32.936908577144706</v>
      </c>
      <c r="H34" s="13">
        <v>30.309816603865503</v>
      </c>
      <c r="I34" s="13">
        <v>31.182795698924732</v>
      </c>
      <c r="J34" s="13">
        <v>28.769723672472725</v>
      </c>
      <c r="K34" s="13">
        <v>30.620475363866976</v>
      </c>
      <c r="L34" s="13">
        <v>30.773092369477911</v>
      </c>
      <c r="M34" s="13">
        <v>28.998652212170818</v>
      </c>
      <c r="N34" s="13">
        <v>31.146699204351911</v>
      </c>
      <c r="O34" s="13">
        <f t="shared" si="0"/>
        <v>31.279772562224768</v>
      </c>
      <c r="P34" s="30">
        <f t="shared" si="1"/>
        <v>40.002806355065673</v>
      </c>
    </row>
    <row r="35" spans="2:16" x14ac:dyDescent="0.35">
      <c r="B35" s="18" t="s">
        <v>1482</v>
      </c>
      <c r="C35" s="13" t="s">
        <v>1482</v>
      </c>
      <c r="D35" s="13" t="s">
        <v>1484</v>
      </c>
      <c r="E35" s="13" t="s">
        <v>1485</v>
      </c>
      <c r="F35" s="13">
        <v>7.0214084119226268</v>
      </c>
      <c r="G35" s="13">
        <v>8.5482547955849775</v>
      </c>
      <c r="H35" s="13">
        <v>52.211688491966676</v>
      </c>
      <c r="I35" s="13">
        <v>6.5493646138807424</v>
      </c>
      <c r="J35" s="13">
        <v>6.2279428543419675</v>
      </c>
      <c r="K35" s="13">
        <v>31.559981332680167</v>
      </c>
      <c r="L35" s="13">
        <v>6.475903614457831</v>
      </c>
      <c r="M35" s="13">
        <v>6.2408178600014113</v>
      </c>
      <c r="N35" s="13">
        <v>31.852360253183864</v>
      </c>
      <c r="O35" s="13">
        <f t="shared" si="0"/>
        <v>17.409746914224474</v>
      </c>
      <c r="P35" s="30">
        <f t="shared" si="1"/>
        <v>22.263959805698661</v>
      </c>
    </row>
    <row r="36" spans="2:16" x14ac:dyDescent="0.35">
      <c r="B36" s="18" t="s">
        <v>1482</v>
      </c>
      <c r="C36" s="13" t="s">
        <v>1482</v>
      </c>
      <c r="D36" s="13" t="s">
        <v>1486</v>
      </c>
      <c r="E36" s="13" t="s">
        <v>1487</v>
      </c>
      <c r="F36" s="13">
        <v>2.5814001514421423</v>
      </c>
      <c r="G36" s="13">
        <v>2.5200699834765778</v>
      </c>
      <c r="H36" s="13">
        <v>35.554805040599518</v>
      </c>
      <c r="I36" s="13">
        <v>2.1505376344086025</v>
      </c>
      <c r="J36" s="13">
        <v>2.0425955025537101</v>
      </c>
      <c r="K36" s="13">
        <v>31.52293251689856</v>
      </c>
      <c r="L36" s="13">
        <v>2.1586345381526106</v>
      </c>
      <c r="M36" s="13">
        <v>2.0965878447521695</v>
      </c>
      <c r="N36" s="13">
        <v>32.102493708533515</v>
      </c>
      <c r="O36" s="13">
        <f t="shared" si="0"/>
        <v>12.525561880090823</v>
      </c>
      <c r="P36" s="30">
        <f t="shared" si="1"/>
        <v>16.017409796492082</v>
      </c>
    </row>
    <row r="37" spans="2:16" x14ac:dyDescent="0.35">
      <c r="B37" s="18" t="s">
        <v>1482</v>
      </c>
      <c r="C37" s="13" t="s">
        <v>1482</v>
      </c>
      <c r="D37" s="13" t="s">
        <v>1488</v>
      </c>
      <c r="E37" s="13" t="s">
        <v>1489</v>
      </c>
      <c r="F37" s="13">
        <v>2.7603772286087973</v>
      </c>
      <c r="G37" s="13">
        <v>2.429166352899613</v>
      </c>
      <c r="H37" s="13">
        <v>29.055980522454796</v>
      </c>
      <c r="I37" s="13">
        <v>3.7145650048875858</v>
      </c>
      <c r="J37" s="13">
        <v>4.6549423524563958</v>
      </c>
      <c r="K37" s="13">
        <v>41.590833942086022</v>
      </c>
      <c r="L37" s="13">
        <v>3.6646586345381524</v>
      </c>
      <c r="M37" s="13">
        <v>4.7556173687918379</v>
      </c>
      <c r="N37" s="13">
        <v>42.891786776481354</v>
      </c>
      <c r="O37" s="13">
        <f t="shared" si="0"/>
        <v>15.057547575911617</v>
      </c>
      <c r="P37" s="30">
        <f t="shared" si="1"/>
        <v>19.255652238374864</v>
      </c>
    </row>
    <row r="38" spans="2:16" x14ac:dyDescent="0.35">
      <c r="B38" s="18" t="s">
        <v>1482</v>
      </c>
      <c r="C38" s="13" t="s">
        <v>1482</v>
      </c>
      <c r="D38" s="13" t="s">
        <v>1490</v>
      </c>
      <c r="E38" s="13" t="s">
        <v>1491</v>
      </c>
      <c r="F38" s="13">
        <v>1.2253046052178702</v>
      </c>
      <c r="G38" s="13">
        <v>1.0259728981606007</v>
      </c>
      <c r="H38" s="13">
        <v>25.955462713170753</v>
      </c>
      <c r="I38" s="13">
        <v>0.39100684261974583</v>
      </c>
      <c r="J38" s="13">
        <v>0.60167303292964336</v>
      </c>
      <c r="K38" s="13">
        <v>51.070190324443466</v>
      </c>
      <c r="L38" s="13">
        <v>0.30120481927710846</v>
      </c>
      <c r="M38" s="13">
        <v>0.58307566271382749</v>
      </c>
      <c r="N38" s="13">
        <v>63.983324436310021</v>
      </c>
      <c r="O38" s="13">
        <f t="shared" si="0"/>
        <v>16.126357259427003</v>
      </c>
      <c r="P38" s="30">
        <f t="shared" si="1"/>
        <v>20.62258921798243</v>
      </c>
    </row>
    <row r="39" spans="2:16" x14ac:dyDescent="0.35">
      <c r="B39" s="18" t="s">
        <v>1482</v>
      </c>
      <c r="C39" s="13" t="s">
        <v>1482</v>
      </c>
      <c r="D39" s="13" t="s">
        <v>4007</v>
      </c>
      <c r="E39" s="13" t="s">
        <v>1493</v>
      </c>
      <c r="F39" s="13">
        <v>11.371928133819784</v>
      </c>
      <c r="G39" s="13">
        <v>8.1858997946163505</v>
      </c>
      <c r="H39" s="13">
        <v>18.25977787428646</v>
      </c>
      <c r="I39" s="13">
        <v>10.997067448680351</v>
      </c>
      <c r="J39" s="13">
        <v>9.7250320857717814</v>
      </c>
      <c r="K39" s="13">
        <v>29.349819897904034</v>
      </c>
      <c r="L39" s="13">
        <v>10.893574297188755</v>
      </c>
      <c r="M39" s="13">
        <v>9.9046409899617238</v>
      </c>
      <c r="N39" s="13">
        <v>30.052111136531177</v>
      </c>
      <c r="O39" s="13">
        <f t="shared" si="0"/>
        <v>15.4155390731956</v>
      </c>
      <c r="P39" s="30">
        <f t="shared" si="1"/>
        <v>19.713499714469062</v>
      </c>
    </row>
    <row r="40" spans="2:16" x14ac:dyDescent="0.35">
      <c r="B40" s="18" t="s">
        <v>1482</v>
      </c>
      <c r="C40" s="13" t="s">
        <v>1482</v>
      </c>
      <c r="D40" s="13" t="s">
        <v>1494</v>
      </c>
      <c r="E40" s="13" t="s">
        <v>1495</v>
      </c>
      <c r="F40" s="13">
        <v>0.87423418462173885</v>
      </c>
      <c r="G40" s="13">
        <v>0.5729798704898883</v>
      </c>
      <c r="H40" s="13">
        <v>13.804891757568091</v>
      </c>
      <c r="I40" s="13">
        <v>1.0263929618768328</v>
      </c>
      <c r="J40" s="13">
        <v>0.91640446560781652</v>
      </c>
      <c r="K40" s="13">
        <v>29.632262909821605</v>
      </c>
      <c r="L40" s="13">
        <v>1.0040160642570282</v>
      </c>
      <c r="M40" s="13">
        <v>0.94271251170950765</v>
      </c>
      <c r="N40" s="13">
        <v>31.034342509977375</v>
      </c>
      <c r="O40" s="13">
        <f t="shared" si="0"/>
        <v>8.8675819151033188</v>
      </c>
      <c r="P40" s="30">
        <f t="shared" si="1"/>
        <v>11.339095067569611</v>
      </c>
    </row>
    <row r="41" spans="2:16" x14ac:dyDescent="0.35">
      <c r="B41" s="18" t="s">
        <v>1496</v>
      </c>
      <c r="C41" s="13" t="s">
        <v>1496</v>
      </c>
      <c r="D41" s="13" t="s">
        <v>1496</v>
      </c>
      <c r="E41" s="13" t="s">
        <v>1497</v>
      </c>
      <c r="F41" s="13">
        <v>14.545329386659326</v>
      </c>
      <c r="G41" s="13">
        <v>13.679787343126797</v>
      </c>
      <c r="H41" s="13">
        <v>33.361760093536205</v>
      </c>
      <c r="I41" s="13">
        <v>13.245356793743889</v>
      </c>
      <c r="J41" s="13">
        <v>9.8594937478689548</v>
      </c>
      <c r="K41" s="13">
        <v>24.704851246866806</v>
      </c>
      <c r="L41" s="13">
        <v>13.303212851405622</v>
      </c>
      <c r="M41" s="13">
        <v>9.7970102344851213</v>
      </c>
      <c r="N41" s="13">
        <v>24.34123897404611</v>
      </c>
      <c r="O41" s="13">
        <f t="shared" si="0"/>
        <v>17.426448963526539</v>
      </c>
      <c r="P41" s="30">
        <f t="shared" si="1"/>
        <v>22.285320623417988</v>
      </c>
    </row>
    <row r="42" spans="2:16" x14ac:dyDescent="0.35">
      <c r="B42" s="18" t="s">
        <v>1496</v>
      </c>
      <c r="C42" s="13" t="s">
        <v>1496</v>
      </c>
      <c r="D42" s="13" t="s">
        <v>1502</v>
      </c>
      <c r="E42" s="13" t="s">
        <v>1503</v>
      </c>
      <c r="F42" s="13">
        <v>3.8067047566600118</v>
      </c>
      <c r="G42" s="13">
        <v>2.8352264150586235</v>
      </c>
      <c r="H42" s="13">
        <v>19.921884562876695</v>
      </c>
      <c r="I42" s="13">
        <v>4.3499511241446731</v>
      </c>
      <c r="J42" s="13">
        <v>3.7063796486531775</v>
      </c>
      <c r="K42" s="13">
        <v>28.278528882036209</v>
      </c>
      <c r="L42" s="13">
        <v>4.3172690763052213</v>
      </c>
      <c r="M42" s="13">
        <v>3.7679304640472608</v>
      </c>
      <c r="N42" s="13">
        <v>28.846691578331935</v>
      </c>
      <c r="O42" s="13">
        <f t="shared" si="0"/>
        <v>11.0922851675682</v>
      </c>
      <c r="P42" s="30">
        <f t="shared" si="1"/>
        <v>14.184343563490154</v>
      </c>
    </row>
    <row r="43" spans="2:16" x14ac:dyDescent="0.35">
      <c r="B43" s="18" t="s">
        <v>1496</v>
      </c>
      <c r="C43" s="13" t="s">
        <v>1496</v>
      </c>
      <c r="D43" s="13" t="s">
        <v>1504</v>
      </c>
      <c r="E43" s="13" t="s">
        <v>1505</v>
      </c>
      <c r="F43" s="13">
        <v>4.8461485509740481</v>
      </c>
      <c r="G43" s="13">
        <v>3.7147313812628582</v>
      </c>
      <c r="H43" s="13">
        <v>21.416448741750894</v>
      </c>
      <c r="I43" s="13">
        <v>6.5982404692082106</v>
      </c>
      <c r="J43" s="13">
        <v>4.4609396165559785</v>
      </c>
      <c r="K43" s="13">
        <v>22.438276453277968</v>
      </c>
      <c r="L43" s="13">
        <v>6.475903614457831</v>
      </c>
      <c r="M43" s="13">
        <v>4.5516921167519611</v>
      </c>
      <c r="N43" s="13">
        <v>23.231398866265028</v>
      </c>
      <c r="O43" s="13">
        <f t="shared" si="0"/>
        <v>10.859308867833864</v>
      </c>
      <c r="P43" s="30">
        <f t="shared" si="1"/>
        <v>13.886382266553221</v>
      </c>
    </row>
    <row r="44" spans="2:16" x14ac:dyDescent="0.35">
      <c r="B44" s="18" t="s">
        <v>1496</v>
      </c>
      <c r="C44" s="13" t="s">
        <v>1496</v>
      </c>
      <c r="D44" s="13" t="s">
        <v>1506</v>
      </c>
      <c r="E44" s="13" t="s">
        <v>1507</v>
      </c>
      <c r="F44" s="13">
        <v>5.2247539065188962</v>
      </c>
      <c r="G44" s="13">
        <v>3.8353622292650997</v>
      </c>
      <c r="H44" s="13">
        <v>19.209518716004268</v>
      </c>
      <c r="I44" s="13">
        <v>4.0566959921798631</v>
      </c>
      <c r="J44" s="13">
        <v>2.8803105168952325</v>
      </c>
      <c r="K44" s="13">
        <v>23.564494767434986</v>
      </c>
      <c r="L44" s="13">
        <v>4.0662650602409638</v>
      </c>
      <c r="M44" s="13">
        <v>2.9450698759787333</v>
      </c>
      <c r="N44" s="13">
        <v>23.939093520425022</v>
      </c>
      <c r="O44" s="13">
        <f t="shared" si="0"/>
        <v>9.9690627316603404</v>
      </c>
      <c r="P44" s="30">
        <f t="shared" si="1"/>
        <v>12.747816268081124</v>
      </c>
    </row>
    <row r="45" spans="2:16" x14ac:dyDescent="0.35">
      <c r="B45" s="18" t="s">
        <v>1496</v>
      </c>
      <c r="C45" s="13" t="s">
        <v>1496</v>
      </c>
      <c r="D45" s="13" t="s">
        <v>1510</v>
      </c>
      <c r="E45" s="13" t="s">
        <v>1511</v>
      </c>
      <c r="F45" s="13">
        <v>14.091002960005508</v>
      </c>
      <c r="G45" s="13">
        <v>13.270309893524775</v>
      </c>
      <c r="H45" s="13">
        <v>33.44665980811655</v>
      </c>
      <c r="I45" s="13">
        <v>11.632453567937437</v>
      </c>
      <c r="J45" s="13">
        <v>10.844911315206218</v>
      </c>
      <c r="K45" s="13">
        <v>30.941827436333696</v>
      </c>
      <c r="L45" s="13">
        <v>11.696787148594376</v>
      </c>
      <c r="M45" s="13">
        <v>11.122326310595193</v>
      </c>
      <c r="N45" s="13">
        <v>31.429370344950303</v>
      </c>
      <c r="O45" s="13">
        <f t="shared" si="0"/>
        <v>18.719516531696005</v>
      </c>
      <c r="P45" s="30">
        <f t="shared" si="1"/>
        <v>23.939068623013672</v>
      </c>
    </row>
    <row r="46" spans="2:16" x14ac:dyDescent="0.35">
      <c r="B46" s="18" t="s">
        <v>1937</v>
      </c>
      <c r="C46" s="13" t="s">
        <v>1937</v>
      </c>
      <c r="D46" s="13" t="s">
        <v>4008</v>
      </c>
      <c r="E46" s="13" t="s">
        <v>1939</v>
      </c>
      <c r="F46" s="13">
        <v>13.62290906587733</v>
      </c>
      <c r="G46" s="13">
        <v>13.266677823510308</v>
      </c>
      <c r="H46" s="13">
        <v>35.640437873023117</v>
      </c>
      <c r="I46" s="13">
        <v>4.7898338220918868</v>
      </c>
      <c r="J46" s="13">
        <v>3.4846501250355626</v>
      </c>
      <c r="K46" s="13">
        <v>24.145156012612574</v>
      </c>
      <c r="L46" s="13">
        <v>4.5682730923694779</v>
      </c>
      <c r="M46" s="13">
        <v>3.4375566219338349</v>
      </c>
      <c r="N46" s="13">
        <v>24.871501563334096</v>
      </c>
      <c r="O46" s="13">
        <f t="shared" si="0"/>
        <v>14.202999555532021</v>
      </c>
      <c r="P46" s="30">
        <f t="shared" si="1"/>
        <v>18.162741771784308</v>
      </c>
    </row>
    <row r="47" spans="2:16" x14ac:dyDescent="0.35">
      <c r="B47" s="18" t="s">
        <v>1937</v>
      </c>
      <c r="C47" s="13" t="s">
        <v>1937</v>
      </c>
      <c r="D47" s="13" t="s">
        <v>4009</v>
      </c>
      <c r="E47" s="13" t="s">
        <v>1941</v>
      </c>
      <c r="F47" s="13">
        <v>3.8273559578715499</v>
      </c>
      <c r="G47" s="13">
        <v>3.3246217546702983</v>
      </c>
      <c r="H47" s="13">
        <v>28.340693126687182</v>
      </c>
      <c r="I47" s="13">
        <v>2.4437927663734116</v>
      </c>
      <c r="J47" s="13">
        <v>1.7765102721659383</v>
      </c>
      <c r="K47" s="13">
        <v>24.126516959956785</v>
      </c>
      <c r="L47" s="13">
        <v>2.3092369477911645</v>
      </c>
      <c r="M47" s="13">
        <v>1.5035040591737117</v>
      </c>
      <c r="N47" s="13">
        <v>21.519611581382343</v>
      </c>
      <c r="O47" s="13">
        <f t="shared" si="0"/>
        <v>9.9079826028969311</v>
      </c>
      <c r="P47" s="30">
        <f t="shared" si="1"/>
        <v>12.669698818348369</v>
      </c>
    </row>
    <row r="48" spans="2:16" x14ac:dyDescent="0.35">
      <c r="B48" s="18" t="s">
        <v>1937</v>
      </c>
      <c r="C48" s="13" t="s">
        <v>1937</v>
      </c>
      <c r="D48" s="13" t="s">
        <v>1958</v>
      </c>
      <c r="E48" s="13" t="s">
        <v>1959</v>
      </c>
      <c r="F48" s="13">
        <v>1.5832587595511805</v>
      </c>
      <c r="G48" s="13">
        <v>1.3104618368504803</v>
      </c>
      <c r="H48" s="13">
        <v>25.393634872269001</v>
      </c>
      <c r="I48" s="13">
        <v>0.39100684261974583</v>
      </c>
      <c r="J48" s="13">
        <v>0.29946087274251959</v>
      </c>
      <c r="K48" s="13">
        <v>25.418330104587643</v>
      </c>
      <c r="L48" s="13">
        <v>0.40160642570281119</v>
      </c>
      <c r="M48" s="13">
        <v>0.30884722771483264</v>
      </c>
      <c r="N48" s="13">
        <v>25.418032995246449</v>
      </c>
      <c r="O48" s="13">
        <f t="shared" si="0"/>
        <v>8.9471822152538518</v>
      </c>
      <c r="P48" s="30">
        <f t="shared" si="1"/>
        <v>11.440898593063267</v>
      </c>
    </row>
    <row r="49" spans="2:16" x14ac:dyDescent="0.35">
      <c r="B49" s="18" t="s">
        <v>2111</v>
      </c>
      <c r="C49" s="13" t="s">
        <v>2111</v>
      </c>
      <c r="D49" s="13" t="s">
        <v>2111</v>
      </c>
      <c r="E49" s="13" t="s">
        <v>2112</v>
      </c>
      <c r="F49" s="13">
        <v>18.338266675844977</v>
      </c>
      <c r="G49" s="13">
        <v>17.577747888956576</v>
      </c>
      <c r="H49" s="13">
        <v>34.606579711122585</v>
      </c>
      <c r="I49" s="13">
        <v>10.508308895405669</v>
      </c>
      <c r="J49" s="13">
        <v>9.320831555274367</v>
      </c>
      <c r="K49" s="13">
        <v>29.438326164874955</v>
      </c>
      <c r="L49" s="13">
        <v>10.692771084337348</v>
      </c>
      <c r="M49" s="13">
        <v>9.5941521243169312</v>
      </c>
      <c r="N49" s="13">
        <v>29.656574900226239</v>
      </c>
      <c r="O49" s="13">
        <f t="shared" si="0"/>
        <v>18.859284333373292</v>
      </c>
      <c r="P49" s="30">
        <f t="shared" si="1"/>
        <v>24.117822408292593</v>
      </c>
    </row>
    <row r="50" spans="2:16" x14ac:dyDescent="0.35">
      <c r="B50" s="18" t="s">
        <v>2111</v>
      </c>
      <c r="C50" s="13" t="s">
        <v>2111</v>
      </c>
      <c r="D50" s="13" t="s">
        <v>2113</v>
      </c>
      <c r="E50" s="13" t="s">
        <v>2114</v>
      </c>
      <c r="F50" s="13">
        <v>1.4318166173332416</v>
      </c>
      <c r="G50" s="13">
        <v>1.1142864152198249</v>
      </c>
      <c r="H50" s="13">
        <v>22.051538492424108</v>
      </c>
      <c r="I50" s="13">
        <v>1.0263929618768328</v>
      </c>
      <c r="J50" s="13">
        <v>1.157190877176367</v>
      </c>
      <c r="K50" s="13">
        <v>37.4181768110642</v>
      </c>
      <c r="L50" s="13">
        <v>1.0040160642570282</v>
      </c>
      <c r="M50" s="13">
        <v>1.1810457534760967</v>
      </c>
      <c r="N50" s="13">
        <v>38.880500266910701</v>
      </c>
      <c r="O50" s="13">
        <f t="shared" si="0"/>
        <v>11.696107139970934</v>
      </c>
      <c r="P50" s="30">
        <f t="shared" si="1"/>
        <v>14.956591977690636</v>
      </c>
    </row>
    <row r="51" spans="2:16" x14ac:dyDescent="0.35">
      <c r="B51" s="18" t="s">
        <v>2111</v>
      </c>
      <c r="C51" s="13" t="s">
        <v>2111</v>
      </c>
      <c r="D51" s="13" t="s">
        <v>2115</v>
      </c>
      <c r="E51" s="13" t="s">
        <v>2116</v>
      </c>
      <c r="F51" s="13">
        <v>0.23404694706408757</v>
      </c>
      <c r="G51" s="13">
        <v>0.18931460253357263</v>
      </c>
      <c r="H51" s="13">
        <v>22.852512482858963</v>
      </c>
      <c r="I51" s="13">
        <v>0.5865102639296188</v>
      </c>
      <c r="J51" s="13">
        <v>0.53340693744756673</v>
      </c>
      <c r="K51" s="13">
        <v>30.183828788013265</v>
      </c>
      <c r="L51" s="13">
        <v>0.60240963855421692</v>
      </c>
      <c r="M51" s="13">
        <v>0.55012553395219588</v>
      </c>
      <c r="N51" s="13">
        <v>30.183787081522151</v>
      </c>
      <c r="O51" s="13">
        <f t="shared" si="0"/>
        <v>9.5462158084306257</v>
      </c>
      <c r="P51" s="30">
        <f t="shared" si="1"/>
        <v>12.207022986554259</v>
      </c>
    </row>
    <row r="52" spans="2:16" x14ac:dyDescent="0.35">
      <c r="B52" s="18" t="s">
        <v>2111</v>
      </c>
      <c r="C52" s="13" t="s">
        <v>2111</v>
      </c>
      <c r="D52" s="13" t="s">
        <v>2121</v>
      </c>
      <c r="E52" s="13" t="s">
        <v>2122</v>
      </c>
      <c r="F52" s="13">
        <v>1.5075376884422109</v>
      </c>
      <c r="G52" s="13">
        <v>1.069297224463458</v>
      </c>
      <c r="H52" s="13">
        <v>17.440725329863511</v>
      </c>
      <c r="I52" s="13">
        <v>1.466275659824047</v>
      </c>
      <c r="J52" s="13">
        <v>1.2194656071687788</v>
      </c>
      <c r="K52" s="13">
        <v>27.602296608671601</v>
      </c>
      <c r="L52" s="13">
        <v>1.5060240963855422</v>
      </c>
      <c r="M52" s="13">
        <v>1.2576876973792595</v>
      </c>
      <c r="N52" s="13">
        <v>27.602125117567809</v>
      </c>
      <c r="O52" s="13">
        <f t="shared" si="0"/>
        <v>8.9634927810851348</v>
      </c>
      <c r="P52" s="30">
        <f t="shared" si="1"/>
        <v>11.461758729284874</v>
      </c>
    </row>
    <row r="53" spans="2:16" x14ac:dyDescent="0.35">
      <c r="B53" s="18" t="s">
        <v>2111</v>
      </c>
      <c r="C53" s="13" t="s">
        <v>2111</v>
      </c>
      <c r="D53" s="13" t="s">
        <v>2045</v>
      </c>
      <c r="E53" s="13" t="s">
        <v>2124</v>
      </c>
      <c r="F53" s="13">
        <v>0</v>
      </c>
      <c r="G53" s="13">
        <v>1.6588408693196884E-2</v>
      </c>
      <c r="H53" s="13">
        <v>45.491950955244697</v>
      </c>
      <c r="I53" s="13">
        <v>0.1466275659824047</v>
      </c>
      <c r="J53" s="13">
        <v>0.35943188743116222</v>
      </c>
      <c r="K53" s="13">
        <v>81.356501364303213</v>
      </c>
      <c r="L53" s="13">
        <v>0.15060240963855423</v>
      </c>
      <c r="M53" s="13">
        <v>0.3706974424616909</v>
      </c>
      <c r="N53" s="13">
        <v>81.356414753806646</v>
      </c>
      <c r="O53" s="13">
        <f t="shared" si="0"/>
        <v>23.249868309729059</v>
      </c>
      <c r="P53" s="30">
        <f t="shared" si="1"/>
        <v>29.733089271906032</v>
      </c>
    </row>
    <row r="54" spans="2:16" x14ac:dyDescent="0.35">
      <c r="B54" s="18" t="s">
        <v>2111</v>
      </c>
      <c r="C54" s="13" t="s">
        <v>2111</v>
      </c>
      <c r="D54" s="13" t="s">
        <v>2125</v>
      </c>
      <c r="E54" s="13" t="s">
        <v>2126</v>
      </c>
      <c r="F54" s="13">
        <v>0.2065120121153714</v>
      </c>
      <c r="G54" s="13">
        <v>0.16559163398403262</v>
      </c>
      <c r="H54" s="13">
        <v>22.264505948576616</v>
      </c>
      <c r="I54" s="13">
        <v>0.2932551319648094</v>
      </c>
      <c r="J54" s="13">
        <v>0.12349393933595731</v>
      </c>
      <c r="K54" s="13">
        <v>13.976271106164784</v>
      </c>
      <c r="L54" s="13">
        <v>0.30120481927710846</v>
      </c>
      <c r="M54" s="13">
        <v>0.12736438620945378</v>
      </c>
      <c r="N54" s="13">
        <v>13.976461018327868</v>
      </c>
      <c r="O54" s="13">
        <f t="shared" si="0"/>
        <v>5.7149622217728888</v>
      </c>
      <c r="P54" s="30">
        <f t="shared" si="1"/>
        <v>7.3071027419776406</v>
      </c>
    </row>
    <row r="55" spans="2:16" x14ac:dyDescent="0.35">
      <c r="B55" s="18" t="s">
        <v>2111</v>
      </c>
      <c r="C55" s="13" t="s">
        <v>2111</v>
      </c>
      <c r="D55" s="13" t="s">
        <v>2129</v>
      </c>
      <c r="E55" s="13" t="s">
        <v>2130</v>
      </c>
      <c r="F55" s="13">
        <v>3.4418668685895229E-2</v>
      </c>
      <c r="G55" s="13">
        <v>4.4273903667847885E-2</v>
      </c>
      <c r="H55" s="13">
        <v>34.783767423714238</v>
      </c>
      <c r="I55" s="13">
        <v>4.8875855327468229E-2</v>
      </c>
      <c r="J55" s="13">
        <v>8.0156363632716918E-3</v>
      </c>
      <c r="K55" s="13">
        <v>5.4429572236334396</v>
      </c>
      <c r="L55" s="13">
        <v>5.0200803212851398E-2</v>
      </c>
      <c r="M55" s="13">
        <v>8.2668747310186679E-3</v>
      </c>
      <c r="N55" s="13">
        <v>5.4429446605150105</v>
      </c>
      <c r="O55" s="13">
        <f t="shared" si="0"/>
        <v>5.095969005539005</v>
      </c>
      <c r="P55" s="30">
        <f t="shared" si="1"/>
        <v>6.515451309130067</v>
      </c>
    </row>
    <row r="56" spans="2:16" x14ac:dyDescent="0.35">
      <c r="B56" s="18" t="s">
        <v>2111</v>
      </c>
      <c r="C56" s="13" t="s">
        <v>2111</v>
      </c>
      <c r="D56" s="13" t="s">
        <v>1506</v>
      </c>
      <c r="E56" s="13" t="s">
        <v>2132</v>
      </c>
      <c r="F56" s="13">
        <v>0.302884284435878</v>
      </c>
      <c r="G56" s="13">
        <v>0.36104016700811603</v>
      </c>
      <c r="H56" s="13">
        <v>46.760809527270212</v>
      </c>
      <c r="I56" s="13">
        <v>0.43988269794721413</v>
      </c>
      <c r="J56" s="13">
        <v>0.2689558007736953</v>
      </c>
      <c r="K56" s="13">
        <v>20.29248894374529</v>
      </c>
      <c r="L56" s="13">
        <v>0.45180722891566261</v>
      </c>
      <c r="M56" s="13">
        <v>0.27738584680313599</v>
      </c>
      <c r="N56" s="13">
        <v>20.292330765906609</v>
      </c>
      <c r="O56" s="13">
        <f t="shared" si="0"/>
        <v>9.9386205847561992</v>
      </c>
      <c r="P56" s="30">
        <f t="shared" si="1"/>
        <v>12.70888277320012</v>
      </c>
    </row>
    <row r="57" spans="2:16" x14ac:dyDescent="0.35">
      <c r="B57" s="18" t="s">
        <v>2111</v>
      </c>
      <c r="C57" s="13" t="s">
        <v>2111</v>
      </c>
      <c r="D57" s="13" t="s">
        <v>2133</v>
      </c>
      <c r="E57" s="13" t="s">
        <v>2134</v>
      </c>
      <c r="F57" s="13">
        <v>0.46121016039099605</v>
      </c>
      <c r="G57" s="13">
        <v>0.47778873207329053</v>
      </c>
      <c r="H57" s="13">
        <v>38.046668652239553</v>
      </c>
      <c r="I57" s="13">
        <v>1.1730205278592376</v>
      </c>
      <c r="J57" s="13">
        <v>1.1355460961781159</v>
      </c>
      <c r="K57" s="13">
        <v>32.128499384014439</v>
      </c>
      <c r="L57" s="13">
        <v>1.1546184738955823</v>
      </c>
      <c r="M57" s="13">
        <v>1.1609159984449997</v>
      </c>
      <c r="N57" s="13">
        <v>33.232669869595064</v>
      </c>
      <c r="O57" s="13">
        <f t="shared" si="0"/>
        <v>12.107881988299031</v>
      </c>
      <c r="P57" s="30">
        <f t="shared" si="1"/>
        <v>15.483224806840024</v>
      </c>
    </row>
    <row r="58" spans="2:16" x14ac:dyDescent="0.35">
      <c r="B58" s="18" t="s">
        <v>2111</v>
      </c>
      <c r="C58" s="13" t="s">
        <v>2139</v>
      </c>
      <c r="D58" s="13" t="s">
        <v>2140</v>
      </c>
      <c r="E58" s="13" t="s">
        <v>2141</v>
      </c>
      <c r="F58" s="13">
        <v>9.1553658704481311</v>
      </c>
      <c r="G58" s="13">
        <v>8.2445845621131681</v>
      </c>
      <c r="H58" s="13">
        <v>30.601376333104614</v>
      </c>
      <c r="I58" s="13">
        <v>4.838709677419355</v>
      </c>
      <c r="J58" s="13">
        <v>4.4552787204949622</v>
      </c>
      <c r="K58" s="13">
        <v>30.55882139202782</v>
      </c>
      <c r="L58" s="13">
        <v>4.8694779116465865</v>
      </c>
      <c r="M58" s="13">
        <v>4.5887023265275761</v>
      </c>
      <c r="N58" s="13">
        <v>31.146699204351911</v>
      </c>
      <c r="O58" s="13">
        <f t="shared" si="0"/>
        <v>14.273223999792679</v>
      </c>
      <c r="P58" s="30">
        <f t="shared" si="1"/>
        <v>18.252554196964212</v>
      </c>
    </row>
    <row r="59" spans="2:16" x14ac:dyDescent="0.35">
      <c r="B59" s="18" t="s">
        <v>2111</v>
      </c>
      <c r="C59" s="13" t="s">
        <v>2139</v>
      </c>
      <c r="D59" s="13" t="s">
        <v>2150</v>
      </c>
      <c r="E59" s="13" t="s">
        <v>2151</v>
      </c>
      <c r="F59" s="13">
        <v>0.39925655675638466</v>
      </c>
      <c r="G59" s="13">
        <v>0.64999266801981348</v>
      </c>
      <c r="H59" s="13">
        <v>75.157300917633577</v>
      </c>
      <c r="I59" s="13">
        <v>0.97751710654936463</v>
      </c>
      <c r="J59" s="13">
        <v>0.64624723429721276</v>
      </c>
      <c r="K59" s="13">
        <v>21.941464508121133</v>
      </c>
      <c r="L59" s="13">
        <v>0.9538152610441768</v>
      </c>
      <c r="M59" s="13">
        <v>0.66303871891085431</v>
      </c>
      <c r="N59" s="13">
        <v>22.976181397595262</v>
      </c>
      <c r="O59" s="13">
        <f t="shared" si="0"/>
        <v>13.81831270765864</v>
      </c>
      <c r="P59" s="30">
        <f t="shared" si="1"/>
        <v>17.670752705782153</v>
      </c>
    </row>
    <row r="60" spans="2:16" x14ac:dyDescent="0.35">
      <c r="B60" s="18" t="s">
        <v>2111</v>
      </c>
      <c r="C60" s="13" t="s">
        <v>2139</v>
      </c>
      <c r="D60" s="13" t="s">
        <v>2158</v>
      </c>
      <c r="E60" s="13" t="s">
        <v>2159</v>
      </c>
      <c r="F60" s="13">
        <v>0.46121016039099605</v>
      </c>
      <c r="G60" s="13">
        <v>0.35894606152840436</v>
      </c>
      <c r="H60" s="13">
        <v>21.60131455839327</v>
      </c>
      <c r="I60" s="13">
        <v>1.1730205278592376</v>
      </c>
      <c r="J60" s="13">
        <v>1.1297213437687892</v>
      </c>
      <c r="K60" s="13">
        <v>31.963697153046631</v>
      </c>
      <c r="L60" s="13">
        <v>1.1546184738955823</v>
      </c>
      <c r="M60" s="13">
        <v>1.1589724412155982</v>
      </c>
      <c r="N60" s="13">
        <v>33.177254124405806</v>
      </c>
      <c r="O60" s="13">
        <f t="shared" si="0"/>
        <v>10.242083871611591</v>
      </c>
      <c r="P60" s="30">
        <f t="shared" si="1"/>
        <v>13.096992270291816</v>
      </c>
    </row>
    <row r="61" spans="2:16" x14ac:dyDescent="0.35">
      <c r="B61" s="18" t="s">
        <v>2199</v>
      </c>
      <c r="C61" s="13" t="s">
        <v>2200</v>
      </c>
      <c r="D61" s="13" t="s">
        <v>2200</v>
      </c>
      <c r="E61" s="13" t="s">
        <v>2201</v>
      </c>
      <c r="F61" s="13">
        <v>27.238934398017484</v>
      </c>
      <c r="G61" s="13">
        <v>22.366833224769977</v>
      </c>
      <c r="H61" s="13">
        <v>25.208945322206837</v>
      </c>
      <c r="I61" s="13">
        <v>12.805474095796676</v>
      </c>
      <c r="J61" s="13">
        <v>7.3589437245749751</v>
      </c>
      <c r="K61" s="13">
        <v>19.072652883827292</v>
      </c>
      <c r="L61" s="13">
        <v>12.5</v>
      </c>
      <c r="M61" s="13">
        <v>7.3717836183761678</v>
      </c>
      <c r="N61" s="13">
        <v>19.492615470652535</v>
      </c>
      <c r="O61" s="13">
        <f t="shared" si="0"/>
        <v>17.046242526469104</v>
      </c>
      <c r="P61" s="30">
        <f t="shared" si="1"/>
        <v>21.799061706873317</v>
      </c>
    </row>
    <row r="62" spans="2:16" x14ac:dyDescent="0.35">
      <c r="B62" s="18" t="s">
        <v>2199</v>
      </c>
      <c r="C62" s="13" t="s">
        <v>2200</v>
      </c>
      <c r="D62" s="13" t="s">
        <v>2208</v>
      </c>
      <c r="E62" s="13" t="s">
        <v>2209</v>
      </c>
      <c r="F62" s="13">
        <v>3.7447511530254012</v>
      </c>
      <c r="G62" s="13">
        <v>3.1051338874282024</v>
      </c>
      <c r="H62" s="13">
        <v>25.656486893640785</v>
      </c>
      <c r="I62" s="13">
        <v>3.5679374389051812</v>
      </c>
      <c r="J62" s="13">
        <v>2.3042069431921828</v>
      </c>
      <c r="K62" s="13">
        <v>21.433620228595458</v>
      </c>
      <c r="L62" s="13">
        <v>3.6646586345381524</v>
      </c>
      <c r="M62" s="13">
        <v>2.3764291989011528</v>
      </c>
      <c r="N62" s="13">
        <v>21.433691756272403</v>
      </c>
      <c r="O62" s="13">
        <f t="shared" si="0"/>
        <v>9.6985462371665463</v>
      </c>
      <c r="P62" s="30">
        <f t="shared" si="1"/>
        <v>12.401843541953546</v>
      </c>
    </row>
    <row r="63" spans="2:16" x14ac:dyDescent="0.35">
      <c r="B63" s="18" t="s">
        <v>2199</v>
      </c>
      <c r="C63" s="13" t="s">
        <v>2200</v>
      </c>
      <c r="D63" s="13" t="s">
        <v>2218</v>
      </c>
      <c r="E63" s="13" t="s">
        <v>2219</v>
      </c>
      <c r="F63" s="13">
        <v>11.227369725339024</v>
      </c>
      <c r="G63" s="13">
        <v>10.017599758634546</v>
      </c>
      <c r="H63" s="13">
        <v>30.04839207985221</v>
      </c>
      <c r="I63" s="13">
        <v>10.019550342130987</v>
      </c>
      <c r="J63" s="13">
        <v>7.6511184722104773</v>
      </c>
      <c r="K63" s="13">
        <v>25.343581209414928</v>
      </c>
      <c r="L63" s="13">
        <v>9.8895582329317264</v>
      </c>
      <c r="M63" s="13">
        <v>7.6171127395620566</v>
      </c>
      <c r="N63" s="13">
        <v>25.457688299143342</v>
      </c>
      <c r="O63" s="13">
        <f t="shared" si="0"/>
        <v>15.252441206579922</v>
      </c>
      <c r="P63" s="30">
        <f t="shared" si="1"/>
        <v>19.504908317318925</v>
      </c>
    </row>
    <row r="64" spans="2:16" x14ac:dyDescent="0.35">
      <c r="B64" s="18" t="s">
        <v>2199</v>
      </c>
      <c r="C64" s="13" t="s">
        <v>2200</v>
      </c>
      <c r="D64" s="13" t="s">
        <v>3513</v>
      </c>
      <c r="E64" s="13" t="s">
        <v>2225</v>
      </c>
      <c r="F64" s="13">
        <v>0.49562882907689132</v>
      </c>
      <c r="G64" s="13">
        <v>0.28571779668758723</v>
      </c>
      <c r="H64" s="13">
        <v>8.7043926850424853</v>
      </c>
      <c r="I64" s="13">
        <v>0.1466275659824047</v>
      </c>
      <c r="J64" s="13">
        <v>0.13091083027378539</v>
      </c>
      <c r="K64" s="13">
        <v>29.631336092054124</v>
      </c>
      <c r="L64" s="13">
        <v>0.15060240963855423</v>
      </c>
      <c r="M64" s="13">
        <v>0.13501429541552531</v>
      </c>
      <c r="N64" s="13">
        <v>29.631154833625661</v>
      </c>
      <c r="O64" s="13">
        <f t="shared" si="0"/>
        <v>7.7012650375330018</v>
      </c>
      <c r="P64" s="30">
        <f t="shared" si="1"/>
        <v>9.8474528280947631</v>
      </c>
    </row>
    <row r="65" spans="2:16" x14ac:dyDescent="0.35">
      <c r="B65" s="18" t="s">
        <v>2199</v>
      </c>
      <c r="C65" s="13" t="s">
        <v>2200</v>
      </c>
      <c r="D65" s="13" t="s">
        <v>2228</v>
      </c>
      <c r="E65" s="13" t="s">
        <v>2229</v>
      </c>
      <c r="F65" s="13">
        <v>0.17209334342947613</v>
      </c>
      <c r="G65" s="13">
        <v>0.11139367970693292</v>
      </c>
      <c r="H65" s="13">
        <v>13.157604420916396</v>
      </c>
      <c r="I65" s="13">
        <v>9.7751710654936458E-2</v>
      </c>
      <c r="J65" s="13">
        <v>4.6156793906566441E-2</v>
      </c>
      <c r="K65" s="13">
        <v>15.67121083265827</v>
      </c>
      <c r="L65" s="13">
        <v>0.1004016064257028</v>
      </c>
      <c r="M65" s="13">
        <v>4.7603639108216869E-2</v>
      </c>
      <c r="N65" s="13">
        <v>15.670962657922164</v>
      </c>
      <c r="O65" s="13">
        <f t="shared" si="0"/>
        <v>5.0083531871920739</v>
      </c>
      <c r="P65" s="30">
        <f t="shared" si="1"/>
        <v>6.4033964653686573</v>
      </c>
    </row>
    <row r="66" spans="2:16" x14ac:dyDescent="0.35">
      <c r="B66" s="18" t="s">
        <v>2199</v>
      </c>
      <c r="C66" s="13" t="s">
        <v>2200</v>
      </c>
      <c r="D66" s="13" t="s">
        <v>2234</v>
      </c>
      <c r="E66" s="13" t="s">
        <v>2235</v>
      </c>
      <c r="F66" s="13">
        <v>0.72967577614097889</v>
      </c>
      <c r="G66" s="13">
        <v>0.72156636726984213</v>
      </c>
      <c r="H66" s="13">
        <v>35.635985073156313</v>
      </c>
      <c r="I66" s="13">
        <v>0.78201368523949166</v>
      </c>
      <c r="J66" s="13">
        <v>0.55227392609341441</v>
      </c>
      <c r="K66" s="13">
        <v>23.438589395356189</v>
      </c>
      <c r="L66" s="13">
        <v>0.80321285140562237</v>
      </c>
      <c r="M66" s="13">
        <v>0.56958427140985224</v>
      </c>
      <c r="N66" s="13">
        <v>23.438318208393703</v>
      </c>
      <c r="O66" s="13">
        <f t="shared" si="0"/>
        <v>9.6301355060517118</v>
      </c>
      <c r="P66" s="30">
        <f t="shared" si="1"/>
        <v>12.314350736073191</v>
      </c>
    </row>
    <row r="67" spans="2:16" x14ac:dyDescent="0.35">
      <c r="B67" s="18" t="s">
        <v>2199</v>
      </c>
      <c r="C67" s="13" t="s">
        <v>2200</v>
      </c>
      <c r="D67" s="13" t="s">
        <v>2248</v>
      </c>
      <c r="E67" s="13" t="s">
        <v>2249</v>
      </c>
      <c r="F67" s="13">
        <v>0.61265230260893511</v>
      </c>
      <c r="G67" s="13">
        <v>0.42663094993740686</v>
      </c>
      <c r="H67" s="13">
        <v>16.44288376317898</v>
      </c>
      <c r="I67" s="13">
        <v>0.19550342130987292</v>
      </c>
      <c r="J67" s="13">
        <v>6.8386951452724887E-2</v>
      </c>
      <c r="K67" s="13">
        <v>11.609410359553133</v>
      </c>
      <c r="L67" s="13">
        <v>0.20080321285140559</v>
      </c>
      <c r="M67" s="13">
        <v>7.0530201562791425E-2</v>
      </c>
      <c r="N67" s="13">
        <v>11.609344416482372</v>
      </c>
      <c r="O67" s="13">
        <f t="shared" si="0"/>
        <v>4.5817939532152909</v>
      </c>
      <c r="P67" s="30">
        <f t="shared" si="1"/>
        <v>5.8578553836316809</v>
      </c>
    </row>
    <row r="68" spans="2:16" x14ac:dyDescent="0.35">
      <c r="B68" s="18" t="s">
        <v>2199</v>
      </c>
      <c r="C68" s="13" t="s">
        <v>2200</v>
      </c>
      <c r="D68" s="13" t="s">
        <v>2250</v>
      </c>
      <c r="E68" s="13" t="s">
        <v>2251</v>
      </c>
      <c r="F68" s="13">
        <v>0.66083843876918835</v>
      </c>
      <c r="G68" s="13">
        <v>0.40224918799200504</v>
      </c>
      <c r="H68" s="13">
        <v>10.743195403478268</v>
      </c>
      <c r="I68" s="13">
        <v>0.19550342130987292</v>
      </c>
      <c r="J68" s="13">
        <v>9.2198597946623148E-2</v>
      </c>
      <c r="K68" s="13">
        <v>15.651690210057986</v>
      </c>
      <c r="L68" s="13">
        <v>0.20080321285140559</v>
      </c>
      <c r="M68" s="13">
        <v>9.5088363709748075E-2</v>
      </c>
      <c r="N68" s="13">
        <v>15.651643407305727</v>
      </c>
      <c r="O68" s="13">
        <f t="shared" ref="O68:O131" si="2">SUMPRODUCT(F68:N68,$F$173:$N$173)</f>
        <v>4.8548011381578693</v>
      </c>
      <c r="P68" s="30">
        <f t="shared" ref="P68:P131" si="3">(O68-MIN($O$3:$O$171))/(MAX($O$3:$O$171)-MIN($O$3:$O$171))*100</f>
        <v>6.2070135383081482</v>
      </c>
    </row>
    <row r="69" spans="2:16" x14ac:dyDescent="0.35">
      <c r="B69" s="18" t="s">
        <v>263</v>
      </c>
      <c r="C69" s="13" t="s">
        <v>2449</v>
      </c>
      <c r="D69" s="13" t="s">
        <v>2449</v>
      </c>
      <c r="E69" s="13" t="s">
        <v>2450</v>
      </c>
      <c r="F69" s="13">
        <v>58.807737316720591</v>
      </c>
      <c r="G69" s="13">
        <v>60.893219440972935</v>
      </c>
      <c r="H69" s="13">
        <v>39.90863546010079</v>
      </c>
      <c r="I69" s="13">
        <v>54.838709677419352</v>
      </c>
      <c r="J69" s="13">
        <v>53.352140110918668</v>
      </c>
      <c r="K69" s="13">
        <v>32.28909712626195</v>
      </c>
      <c r="L69" s="13">
        <v>54.518072289156628</v>
      </c>
      <c r="M69" s="13">
        <v>54.138822879969581</v>
      </c>
      <c r="N69" s="13">
        <v>32.822389994661791</v>
      </c>
      <c r="O69" s="13">
        <f t="shared" si="2"/>
        <v>49.063202699575811</v>
      </c>
      <c r="P69" s="30">
        <f t="shared" si="3"/>
        <v>62.746638726661885</v>
      </c>
    </row>
    <row r="70" spans="2:16" x14ac:dyDescent="0.35">
      <c r="B70" s="18" t="s">
        <v>263</v>
      </c>
      <c r="C70" s="13" t="s">
        <v>2449</v>
      </c>
      <c r="D70" s="13" t="s">
        <v>2451</v>
      </c>
      <c r="E70" s="13" t="s">
        <v>2452</v>
      </c>
      <c r="F70" s="13">
        <v>4.0682866386728165</v>
      </c>
      <c r="G70" s="13">
        <v>3.1820323635463956</v>
      </c>
      <c r="H70" s="13">
        <v>22.466846078241399</v>
      </c>
      <c r="I70" s="13">
        <v>5.5229716520039096</v>
      </c>
      <c r="J70" s="13">
        <v>3.1442846910111717</v>
      </c>
      <c r="K70" s="13">
        <v>18.894714548922977</v>
      </c>
      <c r="L70" s="13">
        <v>5.4718875502008029</v>
      </c>
      <c r="M70" s="13">
        <v>3.1276800887812617</v>
      </c>
      <c r="N70" s="13">
        <v>18.892701898878975</v>
      </c>
      <c r="O70" s="13">
        <f t="shared" si="2"/>
        <v>9.4190450566955235</v>
      </c>
      <c r="P70" s="30">
        <f t="shared" si="3"/>
        <v>12.044379995989791</v>
      </c>
    </row>
    <row r="71" spans="2:16" x14ac:dyDescent="0.35">
      <c r="B71" s="18" t="s">
        <v>263</v>
      </c>
      <c r="C71" s="13" t="s">
        <v>2449</v>
      </c>
      <c r="D71" s="13" t="s">
        <v>2453</v>
      </c>
      <c r="E71" s="13" t="s">
        <v>2454</v>
      </c>
      <c r="F71" s="13">
        <v>1.032560060576857</v>
      </c>
      <c r="G71" s="13">
        <v>0.66076226244689695</v>
      </c>
      <c r="H71" s="13">
        <v>12.78533831446105</v>
      </c>
      <c r="I71" s="13">
        <v>2.541544477028348</v>
      </c>
      <c r="J71" s="13">
        <v>1.370566769018807</v>
      </c>
      <c r="K71" s="13">
        <v>17.897557769598755</v>
      </c>
      <c r="L71" s="13">
        <v>2.6104417670682731</v>
      </c>
      <c r="M71" s="13">
        <v>1.413525158390841</v>
      </c>
      <c r="N71" s="13">
        <v>17.897760492132488</v>
      </c>
      <c r="O71" s="13">
        <f t="shared" si="2"/>
        <v>6.4677841189691456</v>
      </c>
      <c r="P71" s="30">
        <f t="shared" si="3"/>
        <v>8.2699122170483008</v>
      </c>
    </row>
    <row r="72" spans="2:16" x14ac:dyDescent="0.35">
      <c r="B72" s="18" t="s">
        <v>263</v>
      </c>
      <c r="C72" s="13" t="s">
        <v>2449</v>
      </c>
      <c r="D72" s="13" t="s">
        <v>2455</v>
      </c>
      <c r="E72" s="13" t="s">
        <v>2456</v>
      </c>
      <c r="F72" s="13">
        <v>3.276657258897226</v>
      </c>
      <c r="G72" s="13">
        <v>3.2090969476486446</v>
      </c>
      <c r="H72" s="13">
        <v>35.83263402281753</v>
      </c>
      <c r="I72" s="13">
        <v>4.3499511241446731</v>
      </c>
      <c r="J72" s="13">
        <v>4.3237665460404724</v>
      </c>
      <c r="K72" s="13">
        <v>32.98899960347655</v>
      </c>
      <c r="L72" s="13">
        <v>4.3172690763052213</v>
      </c>
      <c r="M72" s="13">
        <v>4.1409807149626605</v>
      </c>
      <c r="N72" s="13">
        <v>31.702890261572485</v>
      </c>
      <c r="O72" s="13">
        <f t="shared" si="2"/>
        <v>13.793582839540605</v>
      </c>
      <c r="P72" s="30">
        <f t="shared" si="3"/>
        <v>17.639124838115222</v>
      </c>
    </row>
    <row r="73" spans="2:16" x14ac:dyDescent="0.35">
      <c r="B73" s="18" t="s">
        <v>263</v>
      </c>
      <c r="C73" s="13" t="s">
        <v>2449</v>
      </c>
      <c r="D73" s="13" t="s">
        <v>2457</v>
      </c>
      <c r="E73" s="13" t="s">
        <v>2458</v>
      </c>
      <c r="F73" s="13">
        <v>5.995732085082949</v>
      </c>
      <c r="G73" s="13">
        <v>4.5749739593482568</v>
      </c>
      <c r="H73" s="13">
        <v>21.190320068062114</v>
      </c>
      <c r="I73" s="13">
        <v>6.3538611925708697</v>
      </c>
      <c r="J73" s="13">
        <v>4.657267289056362</v>
      </c>
      <c r="K73" s="13">
        <v>24.326785349706643</v>
      </c>
      <c r="L73" s="13">
        <v>6.475903614457831</v>
      </c>
      <c r="M73" s="13">
        <v>4.7737317545862492</v>
      </c>
      <c r="N73" s="13">
        <v>24.36462543531864</v>
      </c>
      <c r="O73" s="13">
        <f t="shared" si="2"/>
        <v>11.412577860909989</v>
      </c>
      <c r="P73" s="30">
        <f t="shared" si="3"/>
        <v>14.593976759726718</v>
      </c>
    </row>
    <row r="74" spans="2:16" x14ac:dyDescent="0.35">
      <c r="B74" s="18" t="s">
        <v>263</v>
      </c>
      <c r="C74" s="13" t="s">
        <v>2449</v>
      </c>
      <c r="D74" s="13" t="s">
        <v>2459</v>
      </c>
      <c r="E74" s="13" t="s">
        <v>2460</v>
      </c>
      <c r="F74" s="13">
        <v>1.060094995525573</v>
      </c>
      <c r="G74" s="13">
        <v>0.78230517270590338</v>
      </c>
      <c r="H74" s="13">
        <v>19.297656617267979</v>
      </c>
      <c r="I74" s="13">
        <v>1.1241446725317694</v>
      </c>
      <c r="J74" s="13">
        <v>0.96161183112110382</v>
      </c>
      <c r="K74" s="13">
        <v>28.390227962904476</v>
      </c>
      <c r="L74" s="13">
        <v>1.1044176706827309</v>
      </c>
      <c r="M74" s="13">
        <v>0.98940653205879125</v>
      </c>
      <c r="N74" s="13">
        <v>29.610310379013193</v>
      </c>
      <c r="O74" s="13">
        <f t="shared" si="2"/>
        <v>9.2577973148679451</v>
      </c>
      <c r="P74" s="30">
        <f t="shared" si="3"/>
        <v>11.838154786224319</v>
      </c>
    </row>
    <row r="75" spans="2:16" x14ac:dyDescent="0.35">
      <c r="B75" s="18" t="s">
        <v>263</v>
      </c>
      <c r="C75" s="13" t="s">
        <v>2449</v>
      </c>
      <c r="D75" s="13" t="s">
        <v>2461</v>
      </c>
      <c r="E75" s="13" t="s">
        <v>2462</v>
      </c>
      <c r="F75" s="13">
        <v>1.0187925931024988</v>
      </c>
      <c r="G75" s="13">
        <v>0.94823894805550946</v>
      </c>
      <c r="H75" s="13">
        <v>32.079275043387263</v>
      </c>
      <c r="I75" s="13">
        <v>2.3949169110459434</v>
      </c>
      <c r="J75" s="13">
        <v>2.2873259141820648</v>
      </c>
      <c r="K75" s="13">
        <v>31.69778281498461</v>
      </c>
      <c r="L75" s="13">
        <v>2.3594377510040161</v>
      </c>
      <c r="M75" s="13">
        <v>2.0344326220173836</v>
      </c>
      <c r="N75" s="13">
        <v>28.499453468568088</v>
      </c>
      <c r="O75" s="13">
        <f t="shared" si="2"/>
        <v>11.479961785149708</v>
      </c>
      <c r="P75" s="30">
        <f t="shared" si="3"/>
        <v>14.680156347444703</v>
      </c>
    </row>
    <row r="76" spans="2:16" x14ac:dyDescent="0.35">
      <c r="B76" s="18" t="s">
        <v>263</v>
      </c>
      <c r="C76" s="13" t="s">
        <v>2449</v>
      </c>
      <c r="D76" s="13" t="s">
        <v>2469</v>
      </c>
      <c r="E76" s="13" t="s">
        <v>2470</v>
      </c>
      <c r="F76" s="13">
        <v>5.6102429958009221</v>
      </c>
      <c r="G76" s="13">
        <v>6.0289155580376335</v>
      </c>
      <c r="H76" s="13">
        <v>42.42676132138876</v>
      </c>
      <c r="I76" s="13">
        <v>7.7712609970674489</v>
      </c>
      <c r="J76" s="13">
        <v>6.9413564157521011</v>
      </c>
      <c r="K76" s="13">
        <v>29.64450015812843</v>
      </c>
      <c r="L76" s="13">
        <v>7.7309236947791167</v>
      </c>
      <c r="M76" s="13">
        <v>6.9040519384589629</v>
      </c>
      <c r="N76" s="13">
        <v>29.51727293525509</v>
      </c>
      <c r="O76" s="13">
        <f t="shared" si="2"/>
        <v>15.841698446074274</v>
      </c>
      <c r="P76" s="30">
        <f t="shared" si="3"/>
        <v>20.258529400276398</v>
      </c>
    </row>
    <row r="77" spans="2:16" x14ac:dyDescent="0.35">
      <c r="B77" s="18" t="s">
        <v>2619</v>
      </c>
      <c r="C77" s="13" t="s">
        <v>2620</v>
      </c>
      <c r="D77" s="13" t="s">
        <v>2620</v>
      </c>
      <c r="E77" s="13" t="s">
        <v>2621</v>
      </c>
      <c r="F77" s="13">
        <v>34.576994561850348</v>
      </c>
      <c r="G77" s="13">
        <v>37.91526190097855</v>
      </c>
      <c r="H77" s="13">
        <v>44.082586918539164</v>
      </c>
      <c r="I77" s="13">
        <v>29.423264907135877</v>
      </c>
      <c r="J77" s="13">
        <v>21.789160165538497</v>
      </c>
      <c r="K77" s="13">
        <v>24.577681477756887</v>
      </c>
      <c r="L77" s="13">
        <v>29.317269076305219</v>
      </c>
      <c r="M77" s="13">
        <v>22.141882689217592</v>
      </c>
      <c r="N77" s="13">
        <v>24.963013803096164</v>
      </c>
      <c r="O77" s="13">
        <f t="shared" si="2"/>
        <v>29.865235055602032</v>
      </c>
      <c r="P77" s="30">
        <f t="shared" si="3"/>
        <v>38.193706328497044</v>
      </c>
    </row>
    <row r="78" spans="2:16" x14ac:dyDescent="0.35">
      <c r="B78" s="18" t="s">
        <v>2619</v>
      </c>
      <c r="C78" s="13" t="s">
        <v>2620</v>
      </c>
      <c r="D78" s="13" t="s">
        <v>2628</v>
      </c>
      <c r="E78" s="13" t="s">
        <v>2629</v>
      </c>
      <c r="F78" s="13">
        <v>11.268672127762098</v>
      </c>
      <c r="G78" s="13">
        <v>11.273673024999052</v>
      </c>
      <c r="H78" s="13">
        <v>37.446561689871423</v>
      </c>
      <c r="I78" s="13">
        <v>10.361681329423265</v>
      </c>
      <c r="J78" s="13">
        <v>8.5319905097841104</v>
      </c>
      <c r="K78" s="13">
        <v>27.3282244440067</v>
      </c>
      <c r="L78" s="13">
        <v>10.240963855421686</v>
      </c>
      <c r="M78" s="13">
        <v>8.564645921825063</v>
      </c>
      <c r="N78" s="13">
        <v>27.642288822796719</v>
      </c>
      <c r="O78" s="13">
        <f t="shared" si="2"/>
        <v>16.962077969543344</v>
      </c>
      <c r="P78" s="30">
        <f t="shared" si="3"/>
        <v>21.691420798479125</v>
      </c>
    </row>
    <row r="79" spans="2:16" x14ac:dyDescent="0.35">
      <c r="B79" s="18" t="s">
        <v>2619</v>
      </c>
      <c r="C79" s="13" t="s">
        <v>2620</v>
      </c>
      <c r="D79" s="13" t="s">
        <v>2630</v>
      </c>
      <c r="E79" s="13" t="s">
        <v>2631</v>
      </c>
      <c r="F79" s="13">
        <v>4.9562882907689128</v>
      </c>
      <c r="G79" s="13">
        <v>4.2039059923042013</v>
      </c>
      <c r="H79" s="13">
        <v>26.980112428330528</v>
      </c>
      <c r="I79" s="13">
        <v>4.3010752688172049</v>
      </c>
      <c r="J79" s="13">
        <v>3.2963223189237905</v>
      </c>
      <c r="K79" s="13">
        <v>25.435712894652401</v>
      </c>
      <c r="L79" s="13">
        <v>3.9658634538152611</v>
      </c>
      <c r="M79" s="13">
        <v>2.9159126566771016</v>
      </c>
      <c r="N79" s="13">
        <v>24.302092071481226</v>
      </c>
      <c r="O79" s="13">
        <f t="shared" si="2"/>
        <v>11.150809486196737</v>
      </c>
      <c r="P79" s="30">
        <f t="shared" si="3"/>
        <v>14.259192300897325</v>
      </c>
    </row>
    <row r="80" spans="2:16" x14ac:dyDescent="0.35">
      <c r="B80" s="18" t="s">
        <v>2619</v>
      </c>
      <c r="C80" s="13" t="s">
        <v>2620</v>
      </c>
      <c r="D80" s="13" t="s">
        <v>2634</v>
      </c>
      <c r="E80" s="13" t="s">
        <v>2635</v>
      </c>
      <c r="F80" s="13">
        <v>0.63330350382047218</v>
      </c>
      <c r="G80" s="13">
        <v>0.57154506639012603</v>
      </c>
      <c r="H80" s="13">
        <v>29.857501515847488</v>
      </c>
      <c r="I80" s="13">
        <v>0.92864125122189645</v>
      </c>
      <c r="J80" s="13">
        <v>0.30323079812736581</v>
      </c>
      <c r="K80" s="13">
        <v>10.837188134336984</v>
      </c>
      <c r="L80" s="13">
        <v>0.9538152610441768</v>
      </c>
      <c r="M80" s="13">
        <v>0.31273511434575729</v>
      </c>
      <c r="N80" s="13">
        <v>10.837082793156918</v>
      </c>
      <c r="O80" s="13">
        <f t="shared" si="2"/>
        <v>6.1372270486990192</v>
      </c>
      <c r="P80" s="30">
        <f t="shared" si="3"/>
        <v>7.8471515607855276</v>
      </c>
    </row>
    <row r="81" spans="2:16" x14ac:dyDescent="0.35">
      <c r="B81" s="18" t="s">
        <v>2619</v>
      </c>
      <c r="C81" s="13" t="s">
        <v>2620</v>
      </c>
      <c r="D81" s="13" t="s">
        <v>2642</v>
      </c>
      <c r="E81" s="13" t="s">
        <v>2643</v>
      </c>
      <c r="F81" s="13">
        <v>0.9361877882563503</v>
      </c>
      <c r="G81" s="13">
        <v>0.70683314596865643</v>
      </c>
      <c r="H81" s="13">
        <v>20.397422154492169</v>
      </c>
      <c r="I81" s="13">
        <v>1.6617790811339197</v>
      </c>
      <c r="J81" s="13">
        <v>0.92522359502035301</v>
      </c>
      <c r="K81" s="13">
        <v>18.478414241338449</v>
      </c>
      <c r="L81" s="13">
        <v>1.5562248995983934</v>
      </c>
      <c r="M81" s="13">
        <v>0.92306613642636659</v>
      </c>
      <c r="N81" s="13">
        <v>19.604972165027075</v>
      </c>
      <c r="O81" s="13">
        <f t="shared" si="2"/>
        <v>7.2433470230290808</v>
      </c>
      <c r="P81" s="30">
        <f t="shared" si="3"/>
        <v>9.2618059376258195</v>
      </c>
    </row>
    <row r="82" spans="2:16" x14ac:dyDescent="0.35">
      <c r="B82" s="18" t="s">
        <v>2619</v>
      </c>
      <c r="C82" s="13" t="s">
        <v>2620</v>
      </c>
      <c r="D82" s="13" t="s">
        <v>2654</v>
      </c>
      <c r="E82" s="13" t="s">
        <v>2655</v>
      </c>
      <c r="F82" s="13">
        <v>0.36483788807048945</v>
      </c>
      <c r="G82" s="13">
        <v>0.33509821840972093</v>
      </c>
      <c r="H82" s="13">
        <v>30.223832734465628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f t="shared" si="2"/>
        <v>3.4359743156606486</v>
      </c>
      <c r="P82" s="30">
        <f t="shared" si="3"/>
        <v>4.3924277600884221</v>
      </c>
    </row>
    <row r="83" spans="2:16" x14ac:dyDescent="0.35">
      <c r="B83" s="18" t="s">
        <v>2619</v>
      </c>
      <c r="C83" s="13" t="s">
        <v>2619</v>
      </c>
      <c r="D83" s="13" t="s">
        <v>2619</v>
      </c>
      <c r="E83" s="13" t="s">
        <v>2672</v>
      </c>
      <c r="F83" s="13">
        <v>2.5400977490190679</v>
      </c>
      <c r="G83" s="13">
        <v>2.7038327615338202</v>
      </c>
      <c r="H83" s="13">
        <v>41.519420708293971</v>
      </c>
      <c r="I83" s="13">
        <v>2.4437927663734116</v>
      </c>
      <c r="J83" s="13">
        <v>2.3648683927226331</v>
      </c>
      <c r="K83" s="13">
        <v>32.116920008549705</v>
      </c>
      <c r="L83" s="13">
        <v>2.4598393574297188</v>
      </c>
      <c r="M83" s="13">
        <v>2.3928069695946803</v>
      </c>
      <c r="N83" s="13">
        <v>32.151808637738633</v>
      </c>
      <c r="O83" s="13">
        <f t="shared" si="2"/>
        <v>13.410376372361739</v>
      </c>
      <c r="P83" s="30">
        <f t="shared" si="3"/>
        <v>17.149029081227347</v>
      </c>
    </row>
    <row r="84" spans="2:16" x14ac:dyDescent="0.35">
      <c r="B84" s="18" t="s">
        <v>2695</v>
      </c>
      <c r="C84" s="13" t="s">
        <v>2696</v>
      </c>
      <c r="D84" s="13" t="s">
        <v>2697</v>
      </c>
      <c r="E84" s="13" t="s">
        <v>2698</v>
      </c>
      <c r="F84" s="13">
        <v>100</v>
      </c>
      <c r="G84" s="13">
        <v>100</v>
      </c>
      <c r="H84" s="13">
        <v>37.483892545570257</v>
      </c>
      <c r="I84" s="13">
        <v>100</v>
      </c>
      <c r="J84" s="13">
        <v>100</v>
      </c>
      <c r="K84" s="13">
        <v>33.188779926821148</v>
      </c>
      <c r="L84" s="13">
        <v>100</v>
      </c>
      <c r="M84" s="13">
        <v>100</v>
      </c>
      <c r="N84" s="13">
        <v>33.052187396730979</v>
      </c>
      <c r="O84" s="13">
        <f t="shared" si="2"/>
        <v>78.191651096569174</v>
      </c>
      <c r="P84" s="30">
        <f t="shared" si="3"/>
        <v>100</v>
      </c>
    </row>
    <row r="85" spans="2:16" x14ac:dyDescent="0.35">
      <c r="B85" s="18" t="s">
        <v>2695</v>
      </c>
      <c r="C85" s="13" t="s">
        <v>2696</v>
      </c>
      <c r="D85" s="13" t="s">
        <v>2699</v>
      </c>
      <c r="E85" s="13" t="s">
        <v>2700</v>
      </c>
      <c r="F85" s="13">
        <v>2.1683761272113995</v>
      </c>
      <c r="G85" s="13">
        <v>1.6839983848170321</v>
      </c>
      <c r="H85" s="13">
        <v>22.019762784764175</v>
      </c>
      <c r="I85" s="13">
        <v>3.1280547409579667</v>
      </c>
      <c r="J85" s="13">
        <v>4.1456456428342028</v>
      </c>
      <c r="K85" s="13">
        <v>43.985458041119252</v>
      </c>
      <c r="L85" s="13">
        <v>3.2128514056224895</v>
      </c>
      <c r="M85" s="13">
        <v>4.275584986981757</v>
      </c>
      <c r="N85" s="13">
        <v>43.985358041638065</v>
      </c>
      <c r="O85" s="13">
        <f t="shared" si="2"/>
        <v>14.289454461771815</v>
      </c>
      <c r="P85" s="30">
        <f t="shared" si="3"/>
        <v>18.273311885650589</v>
      </c>
    </row>
    <row r="86" spans="2:16" x14ac:dyDescent="0.35">
      <c r="B86" s="18" t="s">
        <v>2695</v>
      </c>
      <c r="C86" s="13" t="s">
        <v>2696</v>
      </c>
      <c r="D86" s="13" t="s">
        <v>2701</v>
      </c>
      <c r="E86" s="13" t="s">
        <v>2702</v>
      </c>
      <c r="F86" s="13">
        <v>53.087354581124799</v>
      </c>
      <c r="G86" s="13">
        <v>45.624427282915555</v>
      </c>
      <c r="H86" s="13">
        <v>27.841006135904088</v>
      </c>
      <c r="I86" s="13">
        <v>56.304985337243409</v>
      </c>
      <c r="J86" s="13">
        <v>64.644179694919686</v>
      </c>
      <c r="K86" s="13">
        <v>38.104289378720239</v>
      </c>
      <c r="L86" s="13">
        <v>56.475903614457835</v>
      </c>
      <c r="M86" s="13">
        <v>64.952025525230511</v>
      </c>
      <c r="N86" s="13">
        <v>38.013167594499095</v>
      </c>
      <c r="O86" s="13">
        <f t="shared" si="2"/>
        <v>49.449704349446129</v>
      </c>
      <c r="P86" s="30">
        <f t="shared" si="3"/>
        <v>63.240948804532223</v>
      </c>
    </row>
    <row r="87" spans="2:16" x14ac:dyDescent="0.35">
      <c r="B87" s="18" t="s">
        <v>2695</v>
      </c>
      <c r="C87" s="13" t="s">
        <v>2696</v>
      </c>
      <c r="D87" s="13" t="s">
        <v>2703</v>
      </c>
      <c r="E87" s="13" t="s">
        <v>2704</v>
      </c>
      <c r="F87" s="13">
        <v>3.3523783300061956</v>
      </c>
      <c r="G87" s="13">
        <v>3.8827331666539977</v>
      </c>
      <c r="H87" s="13">
        <v>47.977894698651241</v>
      </c>
      <c r="I87" s="13">
        <v>5.7184750733137824</v>
      </c>
      <c r="J87" s="13">
        <v>6.2182465570562311</v>
      </c>
      <c r="K87" s="13">
        <v>36.089344337997048</v>
      </c>
      <c r="L87" s="13">
        <v>5.7228915662650603</v>
      </c>
      <c r="M87" s="13">
        <v>6.194289856658215</v>
      </c>
      <c r="N87" s="13">
        <v>35.775184930984523</v>
      </c>
      <c r="O87" s="13">
        <f t="shared" si="2"/>
        <v>16.770159835287366</v>
      </c>
      <c r="P87" s="30">
        <f t="shared" si="3"/>
        <v>21.445970182885024</v>
      </c>
    </row>
    <row r="88" spans="2:16" x14ac:dyDescent="0.35">
      <c r="B88" s="18" t="s">
        <v>2695</v>
      </c>
      <c r="C88" s="13" t="s">
        <v>2696</v>
      </c>
      <c r="D88" s="13" t="s">
        <v>2705</v>
      </c>
      <c r="E88" s="13" t="s">
        <v>2706</v>
      </c>
      <c r="F88" s="13">
        <v>13.733048805672196</v>
      </c>
      <c r="G88" s="13">
        <v>15.808703953342585</v>
      </c>
      <c r="H88" s="13">
        <v>47.770064538287414</v>
      </c>
      <c r="I88" s="13">
        <v>12.707722385141739</v>
      </c>
      <c r="J88" s="13">
        <v>11.725202373376757</v>
      </c>
      <c r="K88" s="13">
        <v>30.622730637381274</v>
      </c>
      <c r="L88" s="13">
        <v>12.700803212851405</v>
      </c>
      <c r="M88" s="13">
        <v>11.76254657114846</v>
      </c>
      <c r="N88" s="13">
        <v>30.610844200411808</v>
      </c>
      <c r="O88" s="13">
        <f t="shared" si="2"/>
        <v>20.826851853068181</v>
      </c>
      <c r="P88" s="30">
        <f t="shared" si="3"/>
        <v>26.634211288396671</v>
      </c>
    </row>
    <row r="89" spans="2:16" x14ac:dyDescent="0.35">
      <c r="B89" s="18" t="s">
        <v>2695</v>
      </c>
      <c r="C89" s="13" t="s">
        <v>2696</v>
      </c>
      <c r="D89" s="13" t="s">
        <v>2707</v>
      </c>
      <c r="E89" s="13" t="s">
        <v>2708</v>
      </c>
      <c r="F89" s="13">
        <v>11.371928133819784</v>
      </c>
      <c r="G89" s="13">
        <v>8.8389485739468885</v>
      </c>
      <c r="H89" s="13">
        <v>22.186466248332064</v>
      </c>
      <c r="I89" s="13">
        <v>19.843597262952102</v>
      </c>
      <c r="J89" s="13">
        <v>20.069720623068893</v>
      </c>
      <c r="K89" s="13">
        <v>33.566974958217706</v>
      </c>
      <c r="L89" s="13">
        <v>19.578313253012048</v>
      </c>
      <c r="M89" s="13">
        <v>19.336084865731429</v>
      </c>
      <c r="N89" s="13">
        <v>32.643432725793744</v>
      </c>
      <c r="O89" s="13">
        <f t="shared" si="2"/>
        <v>20.82616296054163</v>
      </c>
      <c r="P89" s="30">
        <f t="shared" si="3"/>
        <v>26.633330240363478</v>
      </c>
    </row>
    <row r="90" spans="2:16" x14ac:dyDescent="0.35">
      <c r="B90" s="18" t="s">
        <v>2695</v>
      </c>
      <c r="C90" s="13" t="s">
        <v>2696</v>
      </c>
      <c r="D90" s="13" t="s">
        <v>2709</v>
      </c>
      <c r="E90" s="13" t="s">
        <v>2710</v>
      </c>
      <c r="F90" s="13">
        <v>2.3886556068011289</v>
      </c>
      <c r="G90" s="13">
        <v>2.0459015577093074</v>
      </c>
      <c r="H90" s="13">
        <v>27.435012042409713</v>
      </c>
      <c r="I90" s="13">
        <v>3.0791788856304985</v>
      </c>
      <c r="J90" s="13">
        <v>2.0830395593122599</v>
      </c>
      <c r="K90" s="13">
        <v>22.451940279015158</v>
      </c>
      <c r="L90" s="13">
        <v>3.0120481927710845</v>
      </c>
      <c r="M90" s="13">
        <v>2.1343424284527512</v>
      </c>
      <c r="N90" s="13">
        <v>23.421032563105314</v>
      </c>
      <c r="O90" s="13">
        <f t="shared" si="2"/>
        <v>9.7834612350230241</v>
      </c>
      <c r="P90" s="30">
        <f t="shared" si="3"/>
        <v>12.510444214723973</v>
      </c>
    </row>
    <row r="91" spans="2:16" x14ac:dyDescent="0.35">
      <c r="B91" s="18" t="s">
        <v>2695</v>
      </c>
      <c r="C91" s="13" t="s">
        <v>2696</v>
      </c>
      <c r="D91" s="13" t="s">
        <v>2711</v>
      </c>
      <c r="E91" s="13" t="s">
        <v>2712</v>
      </c>
      <c r="F91" s="13">
        <v>21.890273284229366</v>
      </c>
      <c r="G91" s="13">
        <v>21.68043179609576</v>
      </c>
      <c r="H91" s="13">
        <v>36.796754396014954</v>
      </c>
      <c r="I91" s="13">
        <v>25.024437927663733</v>
      </c>
      <c r="J91" s="13">
        <v>24.985893560382042</v>
      </c>
      <c r="K91" s="13">
        <v>33.137660054895477</v>
      </c>
      <c r="L91" s="13">
        <v>24.899598393574294</v>
      </c>
      <c r="M91" s="13">
        <v>25.51523088274601</v>
      </c>
      <c r="N91" s="13">
        <v>33.869696738605455</v>
      </c>
      <c r="O91" s="13">
        <f t="shared" si="2"/>
        <v>27.53333078157857</v>
      </c>
      <c r="P91" s="30">
        <f t="shared" si="3"/>
        <v>35.211354807706655</v>
      </c>
    </row>
    <row r="92" spans="2:16" x14ac:dyDescent="0.35">
      <c r="B92" s="18" t="s">
        <v>2695</v>
      </c>
      <c r="C92" s="13" t="s">
        <v>2696</v>
      </c>
      <c r="D92" s="13" t="s">
        <v>2713</v>
      </c>
      <c r="E92" s="13" t="s">
        <v>2714</v>
      </c>
      <c r="F92" s="13">
        <v>1.486886487230674</v>
      </c>
      <c r="G92" s="13">
        <v>1.5210280417457511</v>
      </c>
      <c r="H92" s="13">
        <v>38.464841411357206</v>
      </c>
      <c r="I92" s="13">
        <v>1.7106549364613879</v>
      </c>
      <c r="J92" s="13">
        <v>1.3073439830094897</v>
      </c>
      <c r="K92" s="13">
        <v>25.364058137128008</v>
      </c>
      <c r="L92" s="13">
        <v>1.7570281124497993</v>
      </c>
      <c r="M92" s="13">
        <v>1.3483206279489013</v>
      </c>
      <c r="N92" s="13">
        <v>25.36414245405323</v>
      </c>
      <c r="O92" s="13">
        <f t="shared" si="2"/>
        <v>10.924922687931605</v>
      </c>
      <c r="P92" s="30">
        <f t="shared" si="3"/>
        <v>13.970298008006763</v>
      </c>
    </row>
    <row r="93" spans="2:16" x14ac:dyDescent="0.35">
      <c r="B93" s="18" t="s">
        <v>2695</v>
      </c>
      <c r="C93" s="13" t="s">
        <v>2696</v>
      </c>
      <c r="D93" s="13" t="s">
        <v>2715</v>
      </c>
      <c r="E93" s="13" t="s">
        <v>2716</v>
      </c>
      <c r="F93" s="13">
        <v>35.575135953741309</v>
      </c>
      <c r="G93" s="13">
        <v>32.908491175670498</v>
      </c>
      <c r="H93" s="13">
        <v>32.332283904625626</v>
      </c>
      <c r="I93" s="13">
        <v>29.863147605083089</v>
      </c>
      <c r="J93" s="13">
        <v>29.108993451513555</v>
      </c>
      <c r="K93" s="13">
        <v>32.350641283159931</v>
      </c>
      <c r="L93" s="13">
        <v>29.819277108433734</v>
      </c>
      <c r="M93" s="13">
        <v>29.388078689435499</v>
      </c>
      <c r="N93" s="13">
        <v>32.57429014464018</v>
      </c>
      <c r="O93" s="13">
        <f t="shared" si="2"/>
        <v>31.546704368478157</v>
      </c>
      <c r="P93" s="30">
        <f t="shared" si="3"/>
        <v>40.344194501738414</v>
      </c>
    </row>
    <row r="94" spans="2:16" x14ac:dyDescent="0.35">
      <c r="B94" s="18" t="s">
        <v>2695</v>
      </c>
      <c r="C94" s="13" t="s">
        <v>2696</v>
      </c>
      <c r="D94" s="13" t="s">
        <v>2717</v>
      </c>
      <c r="E94" s="13" t="s">
        <v>2718</v>
      </c>
      <c r="F94" s="13">
        <v>10.187925931024989</v>
      </c>
      <c r="G94" s="13">
        <v>6.7873844586131495</v>
      </c>
      <c r="H94" s="13">
        <v>14.592916070655487</v>
      </c>
      <c r="I94" s="13">
        <v>9.8729227761485827</v>
      </c>
      <c r="J94" s="13">
        <v>9.9222080148995051</v>
      </c>
      <c r="K94" s="13">
        <v>33.354456610098374</v>
      </c>
      <c r="L94" s="13">
        <v>9.738955823293173</v>
      </c>
      <c r="M94" s="13">
        <v>9.7879989858291356</v>
      </c>
      <c r="N94" s="13">
        <v>33.218943033630751</v>
      </c>
      <c r="O94" s="13">
        <f t="shared" si="2"/>
        <v>15.27374574491035</v>
      </c>
      <c r="P94" s="30">
        <f t="shared" si="3"/>
        <v>19.532155414464924</v>
      </c>
    </row>
    <row r="95" spans="2:16" x14ac:dyDescent="0.35">
      <c r="B95" s="18" t="s">
        <v>2695</v>
      </c>
      <c r="C95" s="13" t="s">
        <v>2696</v>
      </c>
      <c r="D95" s="13" t="s">
        <v>2719</v>
      </c>
      <c r="E95" s="13" t="s">
        <v>2720</v>
      </c>
      <c r="F95" s="13">
        <v>18.778825635024436</v>
      </c>
      <c r="G95" s="13">
        <v>19.993128469662572</v>
      </c>
      <c r="H95" s="13">
        <v>41.873482476225377</v>
      </c>
      <c r="I95" s="13">
        <v>11.094819159335287</v>
      </c>
      <c r="J95" s="13">
        <v>9.9983243031418194</v>
      </c>
      <c r="K95" s="13">
        <v>29.908751003192531</v>
      </c>
      <c r="L95" s="13">
        <v>11.295180722891567</v>
      </c>
      <c r="M95" s="13">
        <v>10.129033436249721</v>
      </c>
      <c r="N95" s="13">
        <v>29.639797656269863</v>
      </c>
      <c r="O95" s="13">
        <f t="shared" si="2"/>
        <v>20.30126031799924</v>
      </c>
      <c r="P95" s="30">
        <f t="shared" si="3"/>
        <v>25.962014435640423</v>
      </c>
    </row>
    <row r="96" spans="2:16" x14ac:dyDescent="0.35">
      <c r="B96" s="18" t="s">
        <v>2695</v>
      </c>
      <c r="C96" s="13" t="s">
        <v>2696</v>
      </c>
      <c r="D96" s="13" t="s">
        <v>2721</v>
      </c>
      <c r="E96" s="13" t="s">
        <v>2722</v>
      </c>
      <c r="F96" s="13">
        <v>11.144764920492875</v>
      </c>
      <c r="G96" s="13">
        <v>14.68236215881498</v>
      </c>
      <c r="H96" s="13">
        <v>59.118667211594946</v>
      </c>
      <c r="I96" s="13">
        <v>15.689149560117302</v>
      </c>
      <c r="J96" s="13">
        <v>14.935941553427515</v>
      </c>
      <c r="K96" s="13">
        <v>31.595445966254704</v>
      </c>
      <c r="L96" s="13">
        <v>15.361445783132529</v>
      </c>
      <c r="M96" s="13">
        <v>15.1735566877229</v>
      </c>
      <c r="N96" s="13">
        <v>32.648008337781846</v>
      </c>
      <c r="O96" s="13">
        <f t="shared" si="2"/>
        <v>23.372149131037734</v>
      </c>
      <c r="P96" s="30">
        <f t="shared" si="3"/>
        <v>29.889478364484091</v>
      </c>
    </row>
    <row r="97" spans="2:16" x14ac:dyDescent="0.35">
      <c r="B97" s="18" t="s">
        <v>2695</v>
      </c>
      <c r="C97" s="13" t="s">
        <v>2696</v>
      </c>
      <c r="D97" s="13" t="s">
        <v>2723</v>
      </c>
      <c r="E97" s="13" t="s">
        <v>2724</v>
      </c>
      <c r="F97" s="13">
        <v>9.4100640187237552</v>
      </c>
      <c r="G97" s="13">
        <v>13.615024150073287</v>
      </c>
      <c r="H97" s="13">
        <v>67.937128760548433</v>
      </c>
      <c r="I97" s="13">
        <v>20.087976539589441</v>
      </c>
      <c r="J97" s="13">
        <v>20.827716330355976</v>
      </c>
      <c r="K97" s="13">
        <v>34.410956671874374</v>
      </c>
      <c r="L97" s="13">
        <v>19.879518072289155</v>
      </c>
      <c r="M97" s="13">
        <v>20.523860871417089</v>
      </c>
      <c r="N97" s="13">
        <v>34.123897404611199</v>
      </c>
      <c r="O97" s="13">
        <f t="shared" si="2"/>
        <v>26.75734920216474</v>
      </c>
      <c r="P97" s="30">
        <f t="shared" si="3"/>
        <v>34.21892562900922</v>
      </c>
    </row>
    <row r="98" spans="2:16" x14ac:dyDescent="0.35">
      <c r="B98" s="18" t="s">
        <v>2695</v>
      </c>
      <c r="C98" s="13" t="s">
        <v>2696</v>
      </c>
      <c r="D98" s="13" t="s">
        <v>2725</v>
      </c>
      <c r="E98" s="13" t="s">
        <v>2726</v>
      </c>
      <c r="F98" s="13">
        <v>89.275142837475045</v>
      </c>
      <c r="G98" s="13">
        <v>83.760077102854865</v>
      </c>
      <c r="H98" s="13">
        <v>33.247596850633563</v>
      </c>
      <c r="I98" s="13">
        <v>62.316715542521997</v>
      </c>
      <c r="J98" s="13">
        <v>61.645041223272592</v>
      </c>
      <c r="K98" s="13">
        <v>32.831057755917648</v>
      </c>
      <c r="L98" s="13">
        <v>62.449799196787147</v>
      </c>
      <c r="M98" s="13">
        <v>61.550542468289116</v>
      </c>
      <c r="N98" s="13">
        <v>32.576323749968225</v>
      </c>
      <c r="O98" s="13">
        <f t="shared" si="2"/>
        <v>57.739144080857798</v>
      </c>
      <c r="P98" s="30">
        <f t="shared" si="3"/>
        <v>73.842594620301711</v>
      </c>
    </row>
    <row r="99" spans="2:16" x14ac:dyDescent="0.35">
      <c r="B99" s="18" t="s">
        <v>2695</v>
      </c>
      <c r="C99" s="13" t="s">
        <v>2696</v>
      </c>
      <c r="D99" s="13" t="s">
        <v>2727</v>
      </c>
      <c r="E99" s="13" t="s">
        <v>2728</v>
      </c>
      <c r="F99" s="13">
        <v>12.920768224685069</v>
      </c>
      <c r="G99" s="13">
        <v>16.113742727961792</v>
      </c>
      <c r="H99" s="13">
        <v>54.329544844033492</v>
      </c>
      <c r="I99" s="13">
        <v>16.275659824046919</v>
      </c>
      <c r="J99" s="13">
        <v>15.930813566101376</v>
      </c>
      <c r="K99" s="13">
        <v>32.485580967761045</v>
      </c>
      <c r="L99" s="13">
        <v>15.863453815261044</v>
      </c>
      <c r="M99" s="13">
        <v>14.940439468635933</v>
      </c>
      <c r="N99" s="13">
        <v>31.129413559063522</v>
      </c>
      <c r="O99" s="13">
        <f t="shared" si="2"/>
        <v>23.332157444172239</v>
      </c>
      <c r="P99" s="30">
        <f t="shared" si="3"/>
        <v>29.838331638835484</v>
      </c>
    </row>
    <row r="100" spans="2:16" x14ac:dyDescent="0.35">
      <c r="B100" s="18" t="s">
        <v>2695</v>
      </c>
      <c r="C100" s="13" t="s">
        <v>2696</v>
      </c>
      <c r="D100" s="13" t="s">
        <v>2729</v>
      </c>
      <c r="E100" s="13" t="s">
        <v>2730</v>
      </c>
      <c r="F100" s="13">
        <v>36.965650168651479</v>
      </c>
      <c r="G100" s="13">
        <v>37.207689671510948</v>
      </c>
      <c r="H100" s="13">
        <v>37.917859378145224</v>
      </c>
      <c r="I100" s="13">
        <v>35.483870967741936</v>
      </c>
      <c r="J100" s="13">
        <v>35.696428429603507</v>
      </c>
      <c r="K100" s="13">
        <v>33.387589201380294</v>
      </c>
      <c r="L100" s="13">
        <v>35.140562248995984</v>
      </c>
      <c r="M100" s="13">
        <v>35.605899719319297</v>
      </c>
      <c r="N100" s="13">
        <v>33.489920943592871</v>
      </c>
      <c r="O100" s="13">
        <f t="shared" si="2"/>
        <v>35.655052303215726</v>
      </c>
      <c r="P100" s="30">
        <f t="shared" si="3"/>
        <v>45.598500112645894</v>
      </c>
    </row>
    <row r="101" spans="2:16" x14ac:dyDescent="0.35">
      <c r="B101" s="18" t="s">
        <v>2695</v>
      </c>
      <c r="C101" s="13" t="s">
        <v>2696</v>
      </c>
      <c r="D101" s="13" t="s">
        <v>2731</v>
      </c>
      <c r="E101" s="13" t="s">
        <v>2732</v>
      </c>
      <c r="F101" s="13">
        <v>16.982171129620706</v>
      </c>
      <c r="G101" s="13">
        <v>13.994128901823199</v>
      </c>
      <c r="H101" s="13">
        <v>25.398643164121083</v>
      </c>
      <c r="I101" s="13">
        <v>17.350928641251222</v>
      </c>
      <c r="J101" s="13">
        <v>19.602589403359115</v>
      </c>
      <c r="K101" s="13">
        <v>37.495746323337301</v>
      </c>
      <c r="L101" s="13">
        <v>17.419678714859437</v>
      </c>
      <c r="M101" s="13">
        <v>19.611070029409333</v>
      </c>
      <c r="N101" s="13">
        <v>37.210401891252957</v>
      </c>
      <c r="O101" s="13">
        <f t="shared" si="2"/>
        <v>22.785039799892704</v>
      </c>
      <c r="P101" s="30">
        <f t="shared" si="3"/>
        <v>29.13860431441449</v>
      </c>
    </row>
    <row r="102" spans="2:16" x14ac:dyDescent="0.35">
      <c r="B102" s="18" t="s">
        <v>2695</v>
      </c>
      <c r="C102" s="13" t="s">
        <v>2696</v>
      </c>
      <c r="D102" s="13" t="s">
        <v>2733</v>
      </c>
      <c r="E102" s="13" t="s">
        <v>2734</v>
      </c>
      <c r="F102" s="13">
        <v>7.7442004543264265</v>
      </c>
      <c r="G102" s="13">
        <v>8.0034346987583458</v>
      </c>
      <c r="H102" s="13">
        <v>39.667337363205959</v>
      </c>
      <c r="I102" s="13">
        <v>7.4780058651026398</v>
      </c>
      <c r="J102" s="13">
        <v>9.6489475680799472</v>
      </c>
      <c r="K102" s="13">
        <v>42.823822374820708</v>
      </c>
      <c r="L102" s="13">
        <v>7.3293172690763049</v>
      </c>
      <c r="M102" s="13">
        <v>9.2742473918245736</v>
      </c>
      <c r="N102" s="13">
        <v>41.823127176593204</v>
      </c>
      <c r="O102" s="13">
        <f t="shared" si="2"/>
        <v>19.310271129087567</v>
      </c>
      <c r="P102" s="30">
        <f t="shared" si="3"/>
        <v>24.694604727806158</v>
      </c>
    </row>
    <row r="103" spans="2:16" x14ac:dyDescent="0.35">
      <c r="B103" s="18" t="s">
        <v>2695</v>
      </c>
      <c r="C103" s="13" t="s">
        <v>2696</v>
      </c>
      <c r="D103" s="13" t="s">
        <v>2735</v>
      </c>
      <c r="E103" s="13" t="s">
        <v>2736</v>
      </c>
      <c r="F103" s="13">
        <v>7.2967577614097889</v>
      </c>
      <c r="G103" s="13">
        <v>9.1150952237334213</v>
      </c>
      <c r="H103" s="13">
        <v>54.385816974073421</v>
      </c>
      <c r="I103" s="13">
        <v>14.12512218963832</v>
      </c>
      <c r="J103" s="13">
        <v>17.902249530596233</v>
      </c>
      <c r="K103" s="13">
        <v>42.063623360456575</v>
      </c>
      <c r="L103" s="13">
        <v>13.95582329317269</v>
      </c>
      <c r="M103" s="13">
        <v>17.407506231139454</v>
      </c>
      <c r="N103" s="13">
        <v>41.227280815475737</v>
      </c>
      <c r="O103" s="13">
        <f t="shared" si="2"/>
        <v>24.16436393107729</v>
      </c>
      <c r="P103" s="30">
        <f t="shared" si="3"/>
        <v>30.902668759994654</v>
      </c>
    </row>
    <row r="104" spans="2:16" x14ac:dyDescent="0.35">
      <c r="B104" s="18" t="s">
        <v>2695</v>
      </c>
      <c r="C104" s="13" t="s">
        <v>2696</v>
      </c>
      <c r="D104" s="13" t="s">
        <v>2737</v>
      </c>
      <c r="E104" s="13" t="s">
        <v>2738</v>
      </c>
      <c r="F104" s="13">
        <v>6.4156398430508705</v>
      </c>
      <c r="G104" s="13">
        <v>7.4431416830356127</v>
      </c>
      <c r="H104" s="13">
        <v>48.284438323181</v>
      </c>
      <c r="I104" s="13">
        <v>11.534701857282501</v>
      </c>
      <c r="J104" s="13">
        <v>12.137473367908925</v>
      </c>
      <c r="K104" s="13">
        <v>34.923133049149214</v>
      </c>
      <c r="L104" s="13">
        <v>11.244979919678714</v>
      </c>
      <c r="M104" s="13">
        <v>12.19589805953532</v>
      </c>
      <c r="N104" s="13">
        <v>35.84737792013015</v>
      </c>
      <c r="O104" s="13">
        <f t="shared" si="2"/>
        <v>20.002976002550255</v>
      </c>
      <c r="P104" s="30">
        <f t="shared" si="3"/>
        <v>25.58052850085447</v>
      </c>
    </row>
    <row r="105" spans="2:16" x14ac:dyDescent="0.35">
      <c r="B105" s="18" t="s">
        <v>2695</v>
      </c>
      <c r="C105" s="13" t="s">
        <v>2696</v>
      </c>
      <c r="D105" s="13" t="s">
        <v>2739</v>
      </c>
      <c r="E105" s="13" t="s">
        <v>2740</v>
      </c>
      <c r="F105" s="13">
        <v>23.542369381152337</v>
      </c>
      <c r="G105" s="13">
        <v>40.696519978400254</v>
      </c>
      <c r="H105" s="13">
        <v>87.357247994302284</v>
      </c>
      <c r="I105" s="13">
        <v>37.341153470185731</v>
      </c>
      <c r="J105" s="13">
        <v>48.325700012077768</v>
      </c>
      <c r="K105" s="13">
        <v>42.951833550077183</v>
      </c>
      <c r="L105" s="13">
        <v>37.148594377510044</v>
      </c>
      <c r="M105" s="13">
        <v>48.181171347271636</v>
      </c>
      <c r="N105" s="13">
        <v>42.868400315208824</v>
      </c>
      <c r="O105" s="13">
        <f t="shared" si="2"/>
        <v>45.379221158465114</v>
      </c>
      <c r="P105" s="30">
        <f t="shared" si="3"/>
        <v>58.035069699542966</v>
      </c>
    </row>
    <row r="106" spans="2:16" x14ac:dyDescent="0.35">
      <c r="B106" s="18" t="s">
        <v>2695</v>
      </c>
      <c r="C106" s="13" t="s">
        <v>2696</v>
      </c>
      <c r="D106" s="13" t="s">
        <v>2741</v>
      </c>
      <c r="E106" s="13" t="s">
        <v>2742</v>
      </c>
      <c r="F106" s="13">
        <v>5.3280099125765821</v>
      </c>
      <c r="G106" s="13">
        <v>3.764401065742621</v>
      </c>
      <c r="H106" s="13">
        <v>17.333352518612731</v>
      </c>
      <c r="I106" s="13">
        <v>7.1358748778103624</v>
      </c>
      <c r="J106" s="13">
        <v>6.8729188915187454</v>
      </c>
      <c r="K106" s="13">
        <v>31.965778044501551</v>
      </c>
      <c r="L106" s="13">
        <v>7.0783132530120492</v>
      </c>
      <c r="M106" s="13">
        <v>6.9461384077602366</v>
      </c>
      <c r="N106" s="13">
        <v>32.434988179669034</v>
      </c>
      <c r="O106" s="13">
        <f t="shared" si="2"/>
        <v>13.206641683467101</v>
      </c>
      <c r="P106" s="30">
        <f t="shared" si="3"/>
        <v>16.888465872852453</v>
      </c>
    </row>
    <row r="107" spans="2:16" x14ac:dyDescent="0.35">
      <c r="B107" s="18" t="s">
        <v>2695</v>
      </c>
      <c r="C107" s="13" t="s">
        <v>2696</v>
      </c>
      <c r="D107" s="13" t="s">
        <v>2743</v>
      </c>
      <c r="E107" s="13" t="s">
        <v>2744</v>
      </c>
      <c r="F107" s="13">
        <v>0.89488538583327604</v>
      </c>
      <c r="G107" s="13">
        <v>0.65331871653217832</v>
      </c>
      <c r="H107" s="13">
        <v>18.736365350252132</v>
      </c>
      <c r="I107" s="13">
        <v>0.68426197458455518</v>
      </c>
      <c r="J107" s="13">
        <v>0.32812757880133459</v>
      </c>
      <c r="K107" s="13">
        <v>15.915182010181411</v>
      </c>
      <c r="L107" s="13">
        <v>0.65261044176706828</v>
      </c>
      <c r="M107" s="13">
        <v>0.33242781995617848</v>
      </c>
      <c r="N107" s="13">
        <v>16.836218510892497</v>
      </c>
      <c r="O107" s="13">
        <f t="shared" si="2"/>
        <v>6.1148219765334026</v>
      </c>
      <c r="P107" s="30">
        <f t="shared" si="3"/>
        <v>7.8184969535656279</v>
      </c>
    </row>
    <row r="108" spans="2:16" x14ac:dyDescent="0.35">
      <c r="B108" s="18" t="s">
        <v>2695</v>
      </c>
      <c r="C108" s="13" t="s">
        <v>2696</v>
      </c>
      <c r="D108" s="13" t="s">
        <v>2745</v>
      </c>
      <c r="E108" s="13" t="s">
        <v>2746</v>
      </c>
      <c r="F108" s="13">
        <v>19.783850760652577</v>
      </c>
      <c r="G108" s="13">
        <v>17.112074867850822</v>
      </c>
      <c r="H108" s="13">
        <v>28.202832951396768</v>
      </c>
      <c r="I108" s="13">
        <v>22.58064516129032</v>
      </c>
      <c r="J108" s="13">
        <v>25.066933710440679</v>
      </c>
      <c r="K108" s="13">
        <v>36.843098842201755</v>
      </c>
      <c r="L108" s="13">
        <v>22.590361445783135</v>
      </c>
      <c r="M108" s="13">
        <v>25.47015842385153</v>
      </c>
      <c r="N108" s="13">
        <v>37.265817636442208</v>
      </c>
      <c r="O108" s="13">
        <f t="shared" si="2"/>
        <v>26.10175264443442</v>
      </c>
      <c r="P108" s="30">
        <f t="shared" si="3"/>
        <v>33.38046094040584</v>
      </c>
    </row>
    <row r="109" spans="2:16" x14ac:dyDescent="0.35">
      <c r="B109" s="18" t="s">
        <v>2695</v>
      </c>
      <c r="C109" s="13" t="s">
        <v>2696</v>
      </c>
      <c r="D109" s="13" t="s">
        <v>2747</v>
      </c>
      <c r="E109" s="13" t="s">
        <v>2748</v>
      </c>
      <c r="F109" s="13">
        <v>0.9224203207819921</v>
      </c>
      <c r="G109" s="13">
        <v>1.1484275846733845</v>
      </c>
      <c r="H109" s="13">
        <v>52.791079028868651</v>
      </c>
      <c r="I109" s="13">
        <v>0.83088954056695985</v>
      </c>
      <c r="J109" s="13">
        <v>0.97016314948268689</v>
      </c>
      <c r="K109" s="13">
        <v>38.751879271731305</v>
      </c>
      <c r="L109" s="13">
        <v>0.85341365461847396</v>
      </c>
      <c r="M109" s="13">
        <v>1.0005713687611824</v>
      </c>
      <c r="N109" s="13">
        <v>38.751874729911798</v>
      </c>
      <c r="O109" s="13">
        <f t="shared" si="2"/>
        <v>15.113413183266267</v>
      </c>
      <c r="P109" s="30">
        <f t="shared" si="3"/>
        <v>19.327100659697305</v>
      </c>
    </row>
    <row r="110" spans="2:16" x14ac:dyDescent="0.35">
      <c r="B110" s="18" t="s">
        <v>2695</v>
      </c>
      <c r="C110" s="13" t="s">
        <v>2696</v>
      </c>
      <c r="D110" s="13" t="s">
        <v>2749</v>
      </c>
      <c r="E110" s="13" t="s">
        <v>2750</v>
      </c>
      <c r="F110" s="13">
        <v>0.34418668685895226</v>
      </c>
      <c r="G110" s="13">
        <v>0.19943163347028481</v>
      </c>
      <c r="H110" s="13">
        <v>8.9922123738682131</v>
      </c>
      <c r="I110" s="13">
        <v>4.8875855327468229E-2</v>
      </c>
      <c r="J110" s="13">
        <v>1.2780644678494E-2</v>
      </c>
      <c r="K110" s="13">
        <v>8.6786000665214171</v>
      </c>
      <c r="L110" s="13">
        <v>5.0200803212851398E-2</v>
      </c>
      <c r="M110" s="13">
        <v>1.3180978111198267E-2</v>
      </c>
      <c r="N110" s="13">
        <v>8.6784107374361312</v>
      </c>
      <c r="O110" s="13">
        <f t="shared" si="2"/>
        <v>3.0019866421650017</v>
      </c>
      <c r="P110" s="30">
        <f t="shared" si="3"/>
        <v>3.8373861949298176</v>
      </c>
    </row>
    <row r="111" spans="2:16" x14ac:dyDescent="0.35">
      <c r="B111" s="18" t="s">
        <v>2695</v>
      </c>
      <c r="C111" s="13" t="s">
        <v>2696</v>
      </c>
      <c r="D111" s="13" t="s">
        <v>2751</v>
      </c>
      <c r="E111" s="13" t="s">
        <v>2752</v>
      </c>
      <c r="F111" s="13">
        <v>9.4789013560955464</v>
      </c>
      <c r="G111" s="13">
        <v>7.2634029404483771</v>
      </c>
      <c r="H111" s="13">
        <v>21.429590533390446</v>
      </c>
      <c r="I111" s="13">
        <v>10.166177908113392</v>
      </c>
      <c r="J111" s="13">
        <v>6.7498751500322651</v>
      </c>
      <c r="K111" s="13">
        <v>22.035825029942622</v>
      </c>
      <c r="L111" s="13">
        <v>9.8895582329317264</v>
      </c>
      <c r="M111" s="13">
        <v>6.7934884732655281</v>
      </c>
      <c r="N111" s="13">
        <v>22.704695086301125</v>
      </c>
      <c r="O111" s="13">
        <f t="shared" si="2"/>
        <v>12.945723856724557</v>
      </c>
      <c r="P111" s="30">
        <f t="shared" si="3"/>
        <v>16.554769208690363</v>
      </c>
    </row>
    <row r="112" spans="2:16" x14ac:dyDescent="0.35">
      <c r="B112" s="18" t="s">
        <v>2695</v>
      </c>
      <c r="C112" s="13" t="s">
        <v>2696</v>
      </c>
      <c r="D112" s="13" t="s">
        <v>2753</v>
      </c>
      <c r="E112" s="13" t="s">
        <v>2754</v>
      </c>
      <c r="F112" s="13">
        <v>0.50251256281407031</v>
      </c>
      <c r="G112" s="13">
        <v>0.52878861204371985</v>
      </c>
      <c r="H112" s="13">
        <v>39.242745219151821</v>
      </c>
      <c r="I112" s="13">
        <v>0.34213098729227759</v>
      </c>
      <c r="J112" s="13">
        <v>0.24847256005550619</v>
      </c>
      <c r="K112" s="13">
        <v>24.103344482159663</v>
      </c>
      <c r="L112" s="13">
        <v>0.35140562248995982</v>
      </c>
      <c r="M112" s="13">
        <v>0.2562607619076373</v>
      </c>
      <c r="N112" s="13">
        <v>24.103307150664737</v>
      </c>
      <c r="O112" s="13">
        <f t="shared" si="2"/>
        <v>9.9643297731754874</v>
      </c>
      <c r="P112" s="30">
        <f t="shared" si="3"/>
        <v>12.741763126838418</v>
      </c>
    </row>
    <row r="113" spans="2:16" x14ac:dyDescent="0.35">
      <c r="B113" s="18" t="s">
        <v>2695</v>
      </c>
      <c r="C113" s="13" t="s">
        <v>2696</v>
      </c>
      <c r="D113" s="13" t="s">
        <v>2755</v>
      </c>
      <c r="E113" s="13" t="s">
        <v>2756</v>
      </c>
      <c r="F113" s="13">
        <v>12.060301507537687</v>
      </c>
      <c r="G113" s="13">
        <v>17.412562693994023</v>
      </c>
      <c r="H113" s="13">
        <v>67.771921435406483</v>
      </c>
      <c r="I113" s="13">
        <v>20.087976539589441</v>
      </c>
      <c r="J113" s="13">
        <v>22.686605187158825</v>
      </c>
      <c r="K113" s="13">
        <v>37.482159774780946</v>
      </c>
      <c r="L113" s="13">
        <v>19.829317269076306</v>
      </c>
      <c r="M113" s="13">
        <v>22.675004220885857</v>
      </c>
      <c r="N113" s="13">
        <v>37.795571824398181</v>
      </c>
      <c r="O113" s="13">
        <f t="shared" si="2"/>
        <v>28.644602272536414</v>
      </c>
      <c r="P113" s="30">
        <f t="shared" si="3"/>
        <v>36.632597634004497</v>
      </c>
    </row>
    <row r="114" spans="2:16" x14ac:dyDescent="0.35">
      <c r="B114" s="18" t="s">
        <v>2695</v>
      </c>
      <c r="C114" s="13" t="s">
        <v>2696</v>
      </c>
      <c r="D114" s="13" t="s">
        <v>2757</v>
      </c>
      <c r="E114" s="13" t="s">
        <v>2758</v>
      </c>
      <c r="F114" s="13">
        <v>13.705513870723479</v>
      </c>
      <c r="G114" s="13">
        <v>26.240536218606429</v>
      </c>
      <c r="H114" s="13">
        <v>100</v>
      </c>
      <c r="I114" s="13">
        <v>26.392961876832842</v>
      </c>
      <c r="J114" s="13">
        <v>39.857495085403713</v>
      </c>
      <c r="K114" s="13">
        <v>50.120241768167787</v>
      </c>
      <c r="L114" s="13">
        <v>26.154618473895582</v>
      </c>
      <c r="M114" s="13">
        <v>39.813114270161634</v>
      </c>
      <c r="N114" s="13">
        <v>50.312921019853071</v>
      </c>
      <c r="O114" s="13">
        <f t="shared" si="2"/>
        <v>41.399711398182731</v>
      </c>
      <c r="P114" s="30">
        <f t="shared" si="3"/>
        <v>52.945539602708926</v>
      </c>
    </row>
    <row r="115" spans="2:16" x14ac:dyDescent="0.35">
      <c r="B115" s="18" t="s">
        <v>2695</v>
      </c>
      <c r="C115" s="13" t="s">
        <v>2696</v>
      </c>
      <c r="D115" s="13" t="s">
        <v>2759</v>
      </c>
      <c r="E115" s="13" t="s">
        <v>2760</v>
      </c>
      <c r="F115" s="13">
        <v>59.778343773662833</v>
      </c>
      <c r="G115" s="13">
        <v>52.091786972769448</v>
      </c>
      <c r="H115" s="13">
        <v>28.664251231547048</v>
      </c>
      <c r="I115" s="13">
        <v>55.278592375366564</v>
      </c>
      <c r="J115" s="13">
        <v>48.513127093809068</v>
      </c>
      <c r="K115" s="13">
        <v>29.126853878297165</v>
      </c>
      <c r="L115" s="13">
        <v>54.819277108433738</v>
      </c>
      <c r="M115" s="13">
        <v>49.101365775578756</v>
      </c>
      <c r="N115" s="13">
        <v>29.604717964361065</v>
      </c>
      <c r="O115" s="13">
        <f t="shared" si="2"/>
        <v>45.219812908202854</v>
      </c>
      <c r="P115" s="30">
        <f t="shared" si="3"/>
        <v>57.831197077972654</v>
      </c>
    </row>
    <row r="116" spans="2:16" x14ac:dyDescent="0.35">
      <c r="B116" s="18" t="s">
        <v>2695</v>
      </c>
      <c r="C116" s="13" t="s">
        <v>2696</v>
      </c>
      <c r="D116" s="13" t="s">
        <v>2761</v>
      </c>
      <c r="E116" s="13" t="s">
        <v>2762</v>
      </c>
      <c r="F116" s="13">
        <v>28.698285950299439</v>
      </c>
      <c r="G116" s="13">
        <v>22.457117081962494</v>
      </c>
      <c r="H116" s="13">
        <v>22.564882224932749</v>
      </c>
      <c r="I116" s="13">
        <v>21.603128054740957</v>
      </c>
      <c r="J116" s="13">
        <v>17.338029472472893</v>
      </c>
      <c r="K116" s="13">
        <v>26.636329814655866</v>
      </c>
      <c r="L116" s="13">
        <v>21.335341365461847</v>
      </c>
      <c r="M116" s="13">
        <v>17.279760391902059</v>
      </c>
      <c r="N116" s="13">
        <v>26.769363735732988</v>
      </c>
      <c r="O116" s="13">
        <f t="shared" si="2"/>
        <v>22.742470899129028</v>
      </c>
      <c r="P116" s="30">
        <f t="shared" si="3"/>
        <v>29.084161502440963</v>
      </c>
    </row>
    <row r="117" spans="2:16" x14ac:dyDescent="0.35">
      <c r="B117" s="18" t="s">
        <v>2695</v>
      </c>
      <c r="C117" s="13" t="s">
        <v>2696</v>
      </c>
      <c r="D117" s="13" t="s">
        <v>2763</v>
      </c>
      <c r="E117" s="13" t="s">
        <v>2764</v>
      </c>
      <c r="F117" s="13">
        <v>8.852481586012253</v>
      </c>
      <c r="G117" s="13">
        <v>11.104217011898745</v>
      </c>
      <c r="H117" s="13">
        <v>54.773259631586967</v>
      </c>
      <c r="I117" s="13">
        <v>10.75268817204301</v>
      </c>
      <c r="J117" s="13">
        <v>14.595823817990075</v>
      </c>
      <c r="K117" s="13">
        <v>45.050835319043365</v>
      </c>
      <c r="L117" s="13">
        <v>10.341365461847388</v>
      </c>
      <c r="M117" s="13">
        <v>14.493473813577806</v>
      </c>
      <c r="N117" s="13">
        <v>46.322987366226897</v>
      </c>
      <c r="O117" s="13">
        <f t="shared" si="2"/>
        <v>24.031903575580721</v>
      </c>
      <c r="P117" s="30">
        <f t="shared" si="3"/>
        <v>30.733260715650701</v>
      </c>
    </row>
    <row r="118" spans="2:16" x14ac:dyDescent="0.35">
      <c r="B118" s="18" t="s">
        <v>2695</v>
      </c>
      <c r="C118" s="13" t="s">
        <v>2696</v>
      </c>
      <c r="D118" s="13" t="s">
        <v>2765</v>
      </c>
      <c r="E118" s="13" t="s">
        <v>2766</v>
      </c>
      <c r="F118" s="13">
        <v>36.731603221587392</v>
      </c>
      <c r="G118" s="13">
        <v>31.970915077993222</v>
      </c>
      <c r="H118" s="13">
        <v>28.588290407953416</v>
      </c>
      <c r="I118" s="13">
        <v>55.034213098729225</v>
      </c>
      <c r="J118" s="13">
        <v>53.653283162957507</v>
      </c>
      <c r="K118" s="13">
        <v>32.355999845567659</v>
      </c>
      <c r="L118" s="13">
        <v>54.869477911646591</v>
      </c>
      <c r="M118" s="13">
        <v>53.670788508580827</v>
      </c>
      <c r="N118" s="13">
        <v>32.330257505274659</v>
      </c>
      <c r="O118" s="13">
        <f t="shared" si="2"/>
        <v>42.133869860032277</v>
      </c>
      <c r="P118" s="30">
        <f t="shared" si="3"/>
        <v>53.884479776878393</v>
      </c>
    </row>
    <row r="119" spans="2:16" x14ac:dyDescent="0.35">
      <c r="B119" s="18" t="s">
        <v>2695</v>
      </c>
      <c r="C119" s="13" t="s">
        <v>2696</v>
      </c>
      <c r="D119" s="13" t="s">
        <v>2767</v>
      </c>
      <c r="E119" s="13" t="s">
        <v>2768</v>
      </c>
      <c r="F119" s="13">
        <v>11.447649204928753</v>
      </c>
      <c r="G119" s="13">
        <v>16.891953097388271</v>
      </c>
      <c r="H119" s="13">
        <v>69.937339092928013</v>
      </c>
      <c r="I119" s="13">
        <v>23.949169110459433</v>
      </c>
      <c r="J119" s="13">
        <v>26.105576778083289</v>
      </c>
      <c r="K119" s="13">
        <v>36.177131215422719</v>
      </c>
      <c r="L119" s="13">
        <v>23.544176706827312</v>
      </c>
      <c r="M119" s="13">
        <v>25.870345119627032</v>
      </c>
      <c r="N119" s="13">
        <v>36.318157553572789</v>
      </c>
      <c r="O119" s="13">
        <f t="shared" si="2"/>
        <v>30.026833097693068</v>
      </c>
      <c r="P119" s="30">
        <f t="shared" si="3"/>
        <v>38.400379549158629</v>
      </c>
    </row>
    <row r="120" spans="2:16" x14ac:dyDescent="0.35">
      <c r="B120" s="18" t="s">
        <v>2695</v>
      </c>
      <c r="C120" s="13" t="s">
        <v>2696</v>
      </c>
      <c r="D120" s="13" t="s">
        <v>2769</v>
      </c>
      <c r="E120" s="13" t="s">
        <v>2770</v>
      </c>
      <c r="F120" s="13">
        <v>18.744406966338541</v>
      </c>
      <c r="G120" s="13">
        <v>19.515594909012442</v>
      </c>
      <c r="H120" s="13">
        <v>40.263151488917885</v>
      </c>
      <c r="I120" s="13">
        <v>20.967741935483872</v>
      </c>
      <c r="J120" s="13">
        <v>25.004286240629391</v>
      </c>
      <c r="K120" s="13">
        <v>39.5780216498733</v>
      </c>
      <c r="L120" s="13">
        <v>21.134538152610443</v>
      </c>
      <c r="M120" s="13">
        <v>25.547026614186247</v>
      </c>
      <c r="N120" s="13">
        <v>39.953227077454947</v>
      </c>
      <c r="O120" s="13">
        <f t="shared" si="2"/>
        <v>27.856443892723007</v>
      </c>
      <c r="P120" s="30">
        <f t="shared" si="3"/>
        <v>35.624595131995903</v>
      </c>
    </row>
    <row r="121" spans="2:16" x14ac:dyDescent="0.35">
      <c r="B121" s="18" t="s">
        <v>2695</v>
      </c>
      <c r="C121" s="13" t="s">
        <v>2696</v>
      </c>
      <c r="D121" s="13" t="s">
        <v>2771</v>
      </c>
      <c r="E121" s="13" t="s">
        <v>2772</v>
      </c>
      <c r="F121" s="13">
        <v>3.4418668685895229E-2</v>
      </c>
      <c r="G121" s="13">
        <v>1.6906619688065446E-2</v>
      </c>
      <c r="H121" s="13">
        <v>7.516914114964905</v>
      </c>
      <c r="I121" s="13">
        <v>4.8875855327468229E-2</v>
      </c>
      <c r="J121" s="13">
        <v>4.9885594419923615E-2</v>
      </c>
      <c r="K121" s="13">
        <v>33.874435440624772</v>
      </c>
      <c r="L121" s="13">
        <v>5.0200803212851398E-2</v>
      </c>
      <c r="M121" s="13">
        <v>5.1449056272468034E-2</v>
      </c>
      <c r="N121" s="13">
        <v>33.874272350593557</v>
      </c>
      <c r="O121" s="13">
        <f t="shared" si="2"/>
        <v>8.39081761153221</v>
      </c>
      <c r="P121" s="30">
        <f t="shared" si="3"/>
        <v>10.72934501837031</v>
      </c>
    </row>
    <row r="122" spans="2:16" x14ac:dyDescent="0.35">
      <c r="B122" s="18" t="s">
        <v>2695</v>
      </c>
      <c r="C122" s="13" t="s">
        <v>2696</v>
      </c>
      <c r="D122" s="13" t="s">
        <v>2773</v>
      </c>
      <c r="E122" s="13" t="s">
        <v>2774</v>
      </c>
      <c r="F122" s="13">
        <v>0.55069869897432366</v>
      </c>
      <c r="G122" s="13">
        <v>0.33933193587937721</v>
      </c>
      <c r="H122" s="13">
        <v>11.243228921021942</v>
      </c>
      <c r="I122" s="13">
        <v>0.87976539589442826</v>
      </c>
      <c r="J122" s="13">
        <v>0.29411706600203957</v>
      </c>
      <c r="K122" s="13">
        <v>11.095442880251495</v>
      </c>
      <c r="L122" s="13">
        <v>0.90361445783132521</v>
      </c>
      <c r="M122" s="13">
        <v>0.30333546311273935</v>
      </c>
      <c r="N122" s="13">
        <v>11.095350669818755</v>
      </c>
      <c r="O122" s="13">
        <f t="shared" si="2"/>
        <v>4.0783206098651581</v>
      </c>
      <c r="P122" s="30">
        <f t="shared" si="3"/>
        <v>5.2139462369551994</v>
      </c>
    </row>
    <row r="123" spans="2:16" x14ac:dyDescent="0.35">
      <c r="B123" s="18" t="s">
        <v>2695</v>
      </c>
      <c r="C123" s="13" t="s">
        <v>2696</v>
      </c>
      <c r="D123" s="13" t="s">
        <v>2775</v>
      </c>
      <c r="E123" s="13" t="s">
        <v>2776</v>
      </c>
      <c r="F123" s="13">
        <v>31.472430646382598</v>
      </c>
      <c r="G123" s="13">
        <v>45.027808266958161</v>
      </c>
      <c r="H123" s="13">
        <v>66.972751903400678</v>
      </c>
      <c r="I123" s="13">
        <v>58.748778103616814</v>
      </c>
      <c r="J123" s="13">
        <v>67.50547058317126</v>
      </c>
      <c r="K123" s="13">
        <v>38.135673065383315</v>
      </c>
      <c r="L123" s="13">
        <v>58.23293172690763</v>
      </c>
      <c r="M123" s="13">
        <v>67.480710078672374</v>
      </c>
      <c r="N123" s="13">
        <v>38.301431149749611</v>
      </c>
      <c r="O123" s="13">
        <f t="shared" si="2"/>
        <v>52.430887280471374</v>
      </c>
      <c r="P123" s="30">
        <f t="shared" si="3"/>
        <v>67.053684836254959</v>
      </c>
    </row>
    <row r="124" spans="2:16" x14ac:dyDescent="0.35">
      <c r="B124" s="18" t="s">
        <v>2695</v>
      </c>
      <c r="C124" s="13" t="s">
        <v>2696</v>
      </c>
      <c r="D124" s="13" t="s">
        <v>2777</v>
      </c>
      <c r="E124" s="13" t="s">
        <v>2778</v>
      </c>
      <c r="F124" s="13">
        <v>16.486542300543817</v>
      </c>
      <c r="G124" s="13">
        <v>20.640742916224582</v>
      </c>
      <c r="H124" s="13">
        <v>54.685963337454091</v>
      </c>
      <c r="I124" s="13">
        <v>19.452590420332356</v>
      </c>
      <c r="J124" s="13">
        <v>19.761874639995693</v>
      </c>
      <c r="K124" s="13">
        <v>33.716461055305516</v>
      </c>
      <c r="L124" s="13">
        <v>19.528112449799199</v>
      </c>
      <c r="M124" s="13">
        <v>19.618961628489384</v>
      </c>
      <c r="N124" s="13">
        <v>33.206233000330457</v>
      </c>
      <c r="O124" s="13">
        <f t="shared" si="2"/>
        <v>26.344164638719455</v>
      </c>
      <c r="P124" s="30">
        <f t="shared" si="3"/>
        <v>33.690489867350784</v>
      </c>
    </row>
    <row r="125" spans="2:16" x14ac:dyDescent="0.35">
      <c r="B125" s="18" t="s">
        <v>2695</v>
      </c>
      <c r="C125" s="13" t="s">
        <v>2696</v>
      </c>
      <c r="D125" s="13" t="s">
        <v>2779</v>
      </c>
      <c r="E125" s="13" t="s">
        <v>2780</v>
      </c>
      <c r="F125" s="13">
        <v>33.585736903696564</v>
      </c>
      <c r="G125" s="13">
        <v>24.657520592286179</v>
      </c>
      <c r="H125" s="13">
        <v>19.253406223722092</v>
      </c>
      <c r="I125" s="13">
        <v>27.614858260019549</v>
      </c>
      <c r="J125" s="13">
        <v>25.113503028106855</v>
      </c>
      <c r="K125" s="13">
        <v>30.182538462454367</v>
      </c>
      <c r="L125" s="13">
        <v>27.761044176706829</v>
      </c>
      <c r="M125" s="13">
        <v>25.335369602695433</v>
      </c>
      <c r="N125" s="13">
        <v>30.164467830905718</v>
      </c>
      <c r="O125" s="13">
        <f t="shared" si="2"/>
        <v>27.074271675621507</v>
      </c>
      <c r="P125" s="30">
        <f t="shared" si="3"/>
        <v>34.624248536649695</v>
      </c>
    </row>
    <row r="126" spans="2:16" x14ac:dyDescent="0.35">
      <c r="B126" s="18" t="s">
        <v>2695</v>
      </c>
      <c r="C126" s="13" t="s">
        <v>2696</v>
      </c>
      <c r="D126" s="13" t="s">
        <v>2781</v>
      </c>
      <c r="E126" s="13" t="s">
        <v>2782</v>
      </c>
      <c r="F126" s="13">
        <v>17.691195704550147</v>
      </c>
      <c r="G126" s="13">
        <v>13.163533526142171</v>
      </c>
      <c r="H126" s="13">
        <v>19.925233103788919</v>
      </c>
      <c r="I126" s="13">
        <v>17.546432062561095</v>
      </c>
      <c r="J126" s="13">
        <v>14.480671839614828</v>
      </c>
      <c r="K126" s="13">
        <v>27.389946033379086</v>
      </c>
      <c r="L126" s="13">
        <v>17.570281124497992</v>
      </c>
      <c r="M126" s="13">
        <v>14.728506019525685</v>
      </c>
      <c r="N126" s="13">
        <v>27.706347390630164</v>
      </c>
      <c r="O126" s="13">
        <f t="shared" si="2"/>
        <v>18.911349644965565</v>
      </c>
      <c r="P126" s="30">
        <f t="shared" si="3"/>
        <v>24.184410502382629</v>
      </c>
    </row>
    <row r="127" spans="2:16" x14ac:dyDescent="0.35">
      <c r="B127" s="18" t="s">
        <v>2695</v>
      </c>
      <c r="C127" s="13" t="s">
        <v>2937</v>
      </c>
      <c r="D127" s="13" t="s">
        <v>2938</v>
      </c>
      <c r="E127" s="13" t="s">
        <v>2939</v>
      </c>
      <c r="F127" s="13">
        <v>8.3224340882494676</v>
      </c>
      <c r="G127" s="13">
        <v>7.7764065454502376</v>
      </c>
      <c r="H127" s="13">
        <v>32.908068734870298</v>
      </c>
      <c r="I127" s="13">
        <v>2.4926686217008798</v>
      </c>
      <c r="J127" s="13">
        <v>1.3460359239321387</v>
      </c>
      <c r="K127" s="13">
        <v>17.921872627825682</v>
      </c>
      <c r="L127" s="13">
        <v>2.4096385542168677</v>
      </c>
      <c r="M127" s="13">
        <v>1.3153836261133323</v>
      </c>
      <c r="N127" s="13">
        <v>18.042654871755765</v>
      </c>
      <c r="O127" s="13">
        <f t="shared" si="2"/>
        <v>10.281684843790519</v>
      </c>
      <c r="P127" s="30">
        <f t="shared" si="3"/>
        <v>13.147639297666927</v>
      </c>
    </row>
    <row r="128" spans="2:16" x14ac:dyDescent="0.35">
      <c r="B128" s="18" t="s">
        <v>2695</v>
      </c>
      <c r="C128" s="13" t="s">
        <v>2937</v>
      </c>
      <c r="D128" s="13" t="s">
        <v>2942</v>
      </c>
      <c r="E128" s="13" t="s">
        <v>2943</v>
      </c>
      <c r="F128" s="13">
        <v>4.8186136160253322E-2</v>
      </c>
      <c r="G128" s="13">
        <v>4.9393678616310013E-2</v>
      </c>
      <c r="H128" s="13">
        <v>28.055260261223928</v>
      </c>
      <c r="I128" s="13">
        <v>9.7751710654936458E-2</v>
      </c>
      <c r="J128" s="13">
        <v>5.8511549691443274E-2</v>
      </c>
      <c r="K128" s="13">
        <v>19.865912804720065</v>
      </c>
      <c r="L128" s="13">
        <v>0.1004016064257028</v>
      </c>
      <c r="M128" s="13">
        <v>6.0345251282375195E-2</v>
      </c>
      <c r="N128" s="13">
        <v>19.865782048348969</v>
      </c>
      <c r="O128" s="13">
        <f t="shared" si="2"/>
        <v>7.5779494496804425</v>
      </c>
      <c r="P128" s="30">
        <f t="shared" si="3"/>
        <v>9.689740337463796</v>
      </c>
    </row>
    <row r="129" spans="2:16" x14ac:dyDescent="0.35">
      <c r="B129" s="18" t="s">
        <v>2695</v>
      </c>
      <c r="C129" s="13" t="s">
        <v>2937</v>
      </c>
      <c r="D129" s="13" t="s">
        <v>2946</v>
      </c>
      <c r="E129" s="13" t="s">
        <v>2947</v>
      </c>
      <c r="F129" s="13">
        <v>1.032560060576857</v>
      </c>
      <c r="G129" s="13">
        <v>0.72410028600142962</v>
      </c>
      <c r="H129" s="13">
        <v>16.856666689501594</v>
      </c>
      <c r="I129" s="13">
        <v>0.39100684261974583</v>
      </c>
      <c r="J129" s="13">
        <v>0.50329524335257603</v>
      </c>
      <c r="K129" s="13">
        <v>42.719853554048214</v>
      </c>
      <c r="L129" s="13">
        <v>0.40160642570281119</v>
      </c>
      <c r="M129" s="13">
        <v>0.51907031557632166</v>
      </c>
      <c r="N129" s="13">
        <v>42.719947126261474</v>
      </c>
      <c r="O129" s="13">
        <f t="shared" si="2"/>
        <v>11.763122949293447</v>
      </c>
      <c r="P129" s="30">
        <f t="shared" si="3"/>
        <v>15.0423007707472</v>
      </c>
    </row>
    <row r="130" spans="2:16" x14ac:dyDescent="0.35">
      <c r="B130" s="18" t="s">
        <v>2695</v>
      </c>
      <c r="C130" s="13" t="s">
        <v>2937</v>
      </c>
      <c r="D130" s="13" t="s">
        <v>2937</v>
      </c>
      <c r="E130" s="13" t="s">
        <v>2948</v>
      </c>
      <c r="F130" s="13">
        <v>1.8723755765127006</v>
      </c>
      <c r="G130" s="13">
        <v>1.2813067154362454</v>
      </c>
      <c r="H130" s="13">
        <v>15.780325304703352</v>
      </c>
      <c r="I130" s="13">
        <v>0.83088954056695985</v>
      </c>
      <c r="J130" s="13">
        <v>1.0722156987906468</v>
      </c>
      <c r="K130" s="13">
        <v>42.828232766555715</v>
      </c>
      <c r="L130" s="13">
        <v>0.85341365461847396</v>
      </c>
      <c r="M130" s="13">
        <v>1.1058230619319491</v>
      </c>
      <c r="N130" s="13">
        <v>42.828236609979918</v>
      </c>
      <c r="O130" s="13">
        <f t="shared" si="2"/>
        <v>12.050313214343994</v>
      </c>
      <c r="P130" s="30">
        <f t="shared" si="3"/>
        <v>15.409598147946946</v>
      </c>
    </row>
    <row r="131" spans="2:16" x14ac:dyDescent="0.35">
      <c r="B131" s="18" t="s">
        <v>2695</v>
      </c>
      <c r="C131" s="13" t="s">
        <v>2937</v>
      </c>
      <c r="D131" s="13" t="s">
        <v>2955</v>
      </c>
      <c r="E131" s="13" t="s">
        <v>2956</v>
      </c>
      <c r="F131" s="13">
        <v>1.4042816823845254</v>
      </c>
      <c r="G131" s="13">
        <v>1.2624907523858908</v>
      </c>
      <c r="H131" s="13">
        <v>30.133737806000944</v>
      </c>
      <c r="I131" s="13">
        <v>1.4173998044965785</v>
      </c>
      <c r="J131" s="13">
        <v>1.0244033360629681</v>
      </c>
      <c r="K131" s="13">
        <v>23.986666615555265</v>
      </c>
      <c r="L131" s="13">
        <v>1.4056224899598393</v>
      </c>
      <c r="M131" s="13">
        <v>1.0536327204229989</v>
      </c>
      <c r="N131" s="13">
        <v>24.775413711583923</v>
      </c>
      <c r="O131" s="13">
        <f t="shared" si="2"/>
        <v>9.6070721020947687</v>
      </c>
      <c r="P131" s="30">
        <f t="shared" si="3"/>
        <v>12.284854165981608</v>
      </c>
    </row>
    <row r="132" spans="2:16" x14ac:dyDescent="0.35">
      <c r="B132" s="18" t="s">
        <v>3039</v>
      </c>
      <c r="C132" s="13" t="s">
        <v>3040</v>
      </c>
      <c r="D132" s="13" t="s">
        <v>3041</v>
      </c>
      <c r="E132" s="13" t="s">
        <v>3042</v>
      </c>
      <c r="F132" s="13">
        <v>20.355200660838438</v>
      </c>
      <c r="G132" s="13">
        <v>21.871906285904807</v>
      </c>
      <c r="H132" s="13">
        <v>42.551972889479892</v>
      </c>
      <c r="I132" s="13">
        <v>14.467253176930598</v>
      </c>
      <c r="J132" s="13">
        <v>15.17755041001649</v>
      </c>
      <c r="K132" s="13">
        <v>34.818246053451837</v>
      </c>
      <c r="L132" s="13">
        <v>14.156626506024098</v>
      </c>
      <c r="M132" s="13">
        <v>15.446145029136177</v>
      </c>
      <c r="N132" s="13">
        <v>36.062940084903019</v>
      </c>
      <c r="O132" s="13">
        <f t="shared" ref="O132:O171" si="4">SUMPRODUCT(F132:N132,$F$173:$N$173)</f>
        <v>23.878649010742819</v>
      </c>
      <c r="P132" s="30">
        <f t="shared" ref="P132:P171" si="5">(O132-MIN($O$3:$O$171))/(MAX($O$3:$O$171)-MIN($O$3:$O$171))*100</f>
        <v>30.537258251225445</v>
      </c>
    </row>
    <row r="133" spans="2:16" x14ac:dyDescent="0.35">
      <c r="B133" s="18" t="s">
        <v>3039</v>
      </c>
      <c r="C133" s="13" t="s">
        <v>3040</v>
      </c>
      <c r="D133" s="13" t="s">
        <v>3055</v>
      </c>
      <c r="E133" s="13" t="s">
        <v>3056</v>
      </c>
      <c r="F133" s="13">
        <v>5.1146141667240315</v>
      </c>
      <c r="G133" s="13">
        <v>4.5751856777045523</v>
      </c>
      <c r="H133" s="13">
        <v>30.139883119291373</v>
      </c>
      <c r="I133" s="13">
        <v>3.0791788856304985</v>
      </c>
      <c r="J133" s="13">
        <v>3.4668156089020399</v>
      </c>
      <c r="K133" s="13">
        <v>37.366903401581858</v>
      </c>
      <c r="L133" s="13">
        <v>3.0120481927710845</v>
      </c>
      <c r="M133" s="13">
        <v>3.5448329504067435</v>
      </c>
      <c r="N133" s="13">
        <v>38.898802714863109</v>
      </c>
      <c r="O133" s="13">
        <f t="shared" si="4"/>
        <v>14.355362746430586</v>
      </c>
      <c r="P133" s="30">
        <f t="shared" si="5"/>
        <v>18.357604227825348</v>
      </c>
    </row>
    <row r="134" spans="2:16" x14ac:dyDescent="0.35">
      <c r="B134" s="18" t="s">
        <v>3039</v>
      </c>
      <c r="C134" s="13" t="s">
        <v>3040</v>
      </c>
      <c r="D134" s="13" t="s">
        <v>3059</v>
      </c>
      <c r="E134" s="13" t="s">
        <v>3060</v>
      </c>
      <c r="F134" s="13">
        <v>5.4519171198458043</v>
      </c>
      <c r="G134" s="13">
        <v>5.9519944063274259</v>
      </c>
      <c r="H134" s="13">
        <v>43.586795960557971</v>
      </c>
      <c r="I134" s="13">
        <v>2.4926686217008798</v>
      </c>
      <c r="J134" s="13">
        <v>3.4001227261819791</v>
      </c>
      <c r="K134" s="13">
        <v>45.271129683483949</v>
      </c>
      <c r="L134" s="13">
        <v>2.5100401606425704</v>
      </c>
      <c r="M134" s="13">
        <v>3.4855224097669577</v>
      </c>
      <c r="N134" s="13">
        <v>45.897455451333279</v>
      </c>
      <c r="O134" s="13">
        <f t="shared" si="4"/>
        <v>17.560849615537865</v>
      </c>
      <c r="P134" s="30">
        <f t="shared" si="5"/>
        <v>22.457210178828255</v>
      </c>
    </row>
    <row r="135" spans="2:16" x14ac:dyDescent="0.35">
      <c r="B135" s="18" t="s">
        <v>3039</v>
      </c>
      <c r="C135" s="13" t="s">
        <v>3040</v>
      </c>
      <c r="D135" s="13" t="s">
        <v>3061</v>
      </c>
      <c r="E135" s="13" t="s">
        <v>3062</v>
      </c>
      <c r="F135" s="13">
        <v>5.5827080608522062</v>
      </c>
      <c r="G135" s="13">
        <v>4.3203661963547972</v>
      </c>
      <c r="H135" s="13">
        <v>21.925880798981495</v>
      </c>
      <c r="I135" s="13">
        <v>3.519061583577713</v>
      </c>
      <c r="J135" s="13">
        <v>2.9133313703836006</v>
      </c>
      <c r="K135" s="13">
        <v>27.476050098511628</v>
      </c>
      <c r="L135" s="13">
        <v>3.3634538152610443</v>
      </c>
      <c r="M135" s="13">
        <v>2.9558030684652974</v>
      </c>
      <c r="N135" s="13">
        <v>29.046493301812447</v>
      </c>
      <c r="O135" s="13">
        <f t="shared" si="4"/>
        <v>11.233683143800025</v>
      </c>
      <c r="P135" s="30">
        <f t="shared" si="5"/>
        <v>14.365182234334936</v>
      </c>
    </row>
    <row r="136" spans="2:16" x14ac:dyDescent="0.35">
      <c r="B136" s="18" t="s">
        <v>3152</v>
      </c>
      <c r="C136" s="13" t="s">
        <v>3153</v>
      </c>
      <c r="D136" s="13" t="s">
        <v>3153</v>
      </c>
      <c r="E136" s="13" t="s">
        <v>3154</v>
      </c>
      <c r="F136" s="13">
        <v>18.744406966338541</v>
      </c>
      <c r="G136" s="13">
        <v>14.855620303300876</v>
      </c>
      <c r="H136" s="13">
        <v>23.243819614623355</v>
      </c>
      <c r="I136" s="13">
        <v>8.0156402737047898</v>
      </c>
      <c r="J136" s="13">
        <v>7.5509688533933028</v>
      </c>
      <c r="K136" s="13">
        <v>31.264806396817939</v>
      </c>
      <c r="L136" s="13">
        <v>7.7811244979919678</v>
      </c>
      <c r="M136" s="13">
        <v>7.5331822630056084</v>
      </c>
      <c r="N136" s="13">
        <v>31.999288238135183</v>
      </c>
      <c r="O136" s="13">
        <f t="shared" si="4"/>
        <v>16.776539711923508</v>
      </c>
      <c r="P136" s="30">
        <f t="shared" si="5"/>
        <v>21.454129623647756</v>
      </c>
    </row>
    <row r="137" spans="2:16" x14ac:dyDescent="0.35">
      <c r="B137" s="18" t="s">
        <v>3152</v>
      </c>
      <c r="C137" s="13" t="s">
        <v>3153</v>
      </c>
      <c r="D137" s="13" t="s">
        <v>3155</v>
      </c>
      <c r="E137" s="13" t="s">
        <v>3156</v>
      </c>
      <c r="F137" s="13">
        <v>1.5970262270255386</v>
      </c>
      <c r="G137" s="13">
        <v>1.3121913570577772</v>
      </c>
      <c r="H137" s="13">
        <v>24.989668817818469</v>
      </c>
      <c r="I137" s="13">
        <v>9.7751710654936458E-2</v>
      </c>
      <c r="J137" s="13">
        <v>0.13112528935092863</v>
      </c>
      <c r="K137" s="13">
        <v>44.519818053318062</v>
      </c>
      <c r="L137" s="13">
        <v>0.1004016064257028</v>
      </c>
      <c r="M137" s="13">
        <v>0.13523513664222728</v>
      </c>
      <c r="N137" s="13">
        <v>44.519687841582147</v>
      </c>
      <c r="O137" s="13">
        <f t="shared" si="4"/>
        <v>13.044767337763975</v>
      </c>
      <c r="P137" s="30">
        <f t="shared" si="5"/>
        <v>16.68143927812363</v>
      </c>
    </row>
    <row r="138" spans="2:16" x14ac:dyDescent="0.35">
      <c r="B138" s="18" t="s">
        <v>3152</v>
      </c>
      <c r="C138" s="13" t="s">
        <v>3153</v>
      </c>
      <c r="D138" s="13" t="s">
        <v>3157</v>
      </c>
      <c r="E138" s="13" t="s">
        <v>3158</v>
      </c>
      <c r="F138" s="13">
        <v>1.1013973979486473</v>
      </c>
      <c r="G138" s="13">
        <v>0.7966674933357506</v>
      </c>
      <c r="H138" s="13">
        <v>18.332547236922853</v>
      </c>
      <c r="I138" s="13">
        <v>0.19550342130987292</v>
      </c>
      <c r="J138" s="13">
        <v>0.58906480529310601</v>
      </c>
      <c r="K138" s="13">
        <v>100</v>
      </c>
      <c r="L138" s="13">
        <v>0.20080321285140559</v>
      </c>
      <c r="M138" s="13">
        <v>0.60752803728016114</v>
      </c>
      <c r="N138" s="13">
        <v>100</v>
      </c>
      <c r="O138" s="13">
        <f t="shared" si="4"/>
        <v>24.647056844993536</v>
      </c>
      <c r="P138" s="30">
        <f t="shared" si="5"/>
        <v>31.520001110181163</v>
      </c>
    </row>
    <row r="139" spans="2:16" x14ac:dyDescent="0.35">
      <c r="B139" s="18" t="s">
        <v>3152</v>
      </c>
      <c r="C139" s="13" t="s">
        <v>3153</v>
      </c>
      <c r="D139" s="13" t="s">
        <v>3159</v>
      </c>
      <c r="E139" s="13" t="s">
        <v>3160</v>
      </c>
      <c r="F139" s="13">
        <v>0.94307152199352928</v>
      </c>
      <c r="G139" s="13">
        <v>0.65388283283409676</v>
      </c>
      <c r="H139" s="13">
        <v>16.319607881867785</v>
      </c>
      <c r="I139" s="13">
        <v>0.1466275659824047</v>
      </c>
      <c r="J139" s="13">
        <v>7.2042272554166856E-2</v>
      </c>
      <c r="K139" s="13">
        <v>16.306586863877762</v>
      </c>
      <c r="L139" s="13">
        <v>0.15060240963855423</v>
      </c>
      <c r="M139" s="13">
        <v>7.4300718031273055E-2</v>
      </c>
      <c r="N139" s="13">
        <v>16.306464322936527</v>
      </c>
      <c r="O139" s="13">
        <f t="shared" si="4"/>
        <v>5.6636873766351226</v>
      </c>
      <c r="P139" s="30">
        <f t="shared" si="5"/>
        <v>7.2415256022646703</v>
      </c>
    </row>
    <row r="140" spans="2:16" x14ac:dyDescent="0.35">
      <c r="B140" s="18" t="s">
        <v>3278</v>
      </c>
      <c r="C140" s="13" t="s">
        <v>3278</v>
      </c>
      <c r="D140" s="13" t="s">
        <v>3278</v>
      </c>
      <c r="E140" s="13" t="s">
        <v>3279</v>
      </c>
      <c r="F140" s="13">
        <v>20.699387347697389</v>
      </c>
      <c r="G140" s="13">
        <v>22.754503422755764</v>
      </c>
      <c r="H140" s="13">
        <v>44.248975973837993</v>
      </c>
      <c r="I140" s="13">
        <v>16.862170087976537</v>
      </c>
      <c r="J140" s="13">
        <v>13.076681207891937</v>
      </c>
      <c r="K140" s="13">
        <v>25.738032919326599</v>
      </c>
      <c r="L140" s="13">
        <v>16.716867469879517</v>
      </c>
      <c r="M140" s="13">
        <v>13.073283265435595</v>
      </c>
      <c r="N140" s="13">
        <v>25.848140522128165</v>
      </c>
      <c r="O140" s="13">
        <f t="shared" si="4"/>
        <v>22.113115801881055</v>
      </c>
      <c r="P140" s="30">
        <f t="shared" si="5"/>
        <v>28.279257908282624</v>
      </c>
    </row>
    <row r="141" spans="2:16" x14ac:dyDescent="0.35">
      <c r="B141" s="18" t="s">
        <v>3278</v>
      </c>
      <c r="C141" s="13" t="s">
        <v>3278</v>
      </c>
      <c r="D141" s="13" t="s">
        <v>857</v>
      </c>
      <c r="E141" s="13" t="s">
        <v>3280</v>
      </c>
      <c r="F141" s="13">
        <v>4.3574034556343362</v>
      </c>
      <c r="G141" s="13">
        <v>5.4329895213048616</v>
      </c>
      <c r="H141" s="13">
        <v>54.093001407206032</v>
      </c>
      <c r="I141" s="13">
        <v>7.2336265884652988</v>
      </c>
      <c r="J141" s="13">
        <v>5.2526340533945763</v>
      </c>
      <c r="K141" s="13">
        <v>24.099739399993329</v>
      </c>
      <c r="L141" s="13">
        <v>7.2289156626506017</v>
      </c>
      <c r="M141" s="13">
        <v>5.38064668720207</v>
      </c>
      <c r="N141" s="13">
        <v>24.601540456035995</v>
      </c>
      <c r="O141" s="13">
        <f t="shared" si="4"/>
        <v>15.297833025765232</v>
      </c>
      <c r="P141" s="30">
        <f t="shared" si="5"/>
        <v>19.562961455471623</v>
      </c>
    </row>
    <row r="142" spans="2:16" x14ac:dyDescent="0.35">
      <c r="B142" s="18" t="s">
        <v>3278</v>
      </c>
      <c r="C142" s="13" t="s">
        <v>3278</v>
      </c>
      <c r="D142" s="13" t="s">
        <v>3281</v>
      </c>
      <c r="E142" s="13" t="s">
        <v>3282</v>
      </c>
      <c r="F142" s="13">
        <v>1.6796310318716872</v>
      </c>
      <c r="G142" s="13">
        <v>1.4785708844167835</v>
      </c>
      <c r="H142" s="13">
        <v>28.944315604898861</v>
      </c>
      <c r="I142" s="13">
        <v>1.1730205278592376</v>
      </c>
      <c r="J142" s="13">
        <v>1.3012976064156034</v>
      </c>
      <c r="K142" s="13">
        <v>36.81817898499331</v>
      </c>
      <c r="L142" s="13">
        <v>1.2048192771084338</v>
      </c>
      <c r="M142" s="13">
        <v>1.3420845658969951</v>
      </c>
      <c r="N142" s="13">
        <v>36.817916062940085</v>
      </c>
      <c r="O142" s="13">
        <f t="shared" si="4"/>
        <v>12.306648282933445</v>
      </c>
      <c r="P142" s="30">
        <f t="shared" si="5"/>
        <v>15.737433767168408</v>
      </c>
    </row>
    <row r="143" spans="2:16" x14ac:dyDescent="0.35">
      <c r="B143" s="18" t="s">
        <v>3278</v>
      </c>
      <c r="C143" s="13" t="s">
        <v>3278</v>
      </c>
      <c r="D143" s="13" t="s">
        <v>3295</v>
      </c>
      <c r="E143" s="13" t="s">
        <v>3296</v>
      </c>
      <c r="F143" s="13">
        <v>6.5257795828457352</v>
      </c>
      <c r="G143" s="13">
        <v>5.2953286955265657</v>
      </c>
      <c r="H143" s="13">
        <v>24.497096038073867</v>
      </c>
      <c r="I143" s="13">
        <v>4.594330400782014</v>
      </c>
      <c r="J143" s="13">
        <v>2.8760546227792978</v>
      </c>
      <c r="K143" s="13">
        <v>20.776203423556034</v>
      </c>
      <c r="L143" s="13">
        <v>4.4678714859437747</v>
      </c>
      <c r="M143" s="13">
        <v>2.9049454960377723</v>
      </c>
      <c r="N143" s="13">
        <v>21.490124304125676</v>
      </c>
      <c r="O143" s="13">
        <f t="shared" si="4"/>
        <v>10.380859338852304</v>
      </c>
      <c r="P143" s="30">
        <f t="shared" si="5"/>
        <v>13.274476925380007</v>
      </c>
    </row>
    <row r="144" spans="2:16" x14ac:dyDescent="0.35">
      <c r="B144" s="18" t="s">
        <v>3278</v>
      </c>
      <c r="C144" s="13" t="s">
        <v>3367</v>
      </c>
      <c r="D144" s="13" t="s">
        <v>3367</v>
      </c>
      <c r="E144" s="13" t="s">
        <v>3368</v>
      </c>
      <c r="F144" s="13">
        <v>10.070902457492945</v>
      </c>
      <c r="G144" s="13">
        <v>9.3256257555549595</v>
      </c>
      <c r="H144" s="13">
        <v>32.34898785418472</v>
      </c>
      <c r="I144" s="13">
        <v>6.5493646138807424</v>
      </c>
      <c r="J144" s="13">
        <v>5.2952192703579763</v>
      </c>
      <c r="K144" s="13">
        <v>26.833422213954012</v>
      </c>
      <c r="L144" s="13">
        <v>6.5261044176706831</v>
      </c>
      <c r="M144" s="13">
        <v>5.3996259057723766</v>
      </c>
      <c r="N144" s="13">
        <v>27.347416050230049</v>
      </c>
      <c r="O144" s="13">
        <f t="shared" si="4"/>
        <v>14.410740948788717</v>
      </c>
      <c r="P144" s="30">
        <f t="shared" si="5"/>
        <v>18.428429290355229</v>
      </c>
    </row>
    <row r="145" spans="2:16" x14ac:dyDescent="0.35">
      <c r="B145" s="18" t="s">
        <v>3278</v>
      </c>
      <c r="C145" s="13" t="s">
        <v>3367</v>
      </c>
      <c r="D145" s="13" t="s">
        <v>3369</v>
      </c>
      <c r="E145" s="13" t="s">
        <v>3370</v>
      </c>
      <c r="F145" s="13">
        <v>0.59200110139739792</v>
      </c>
      <c r="G145" s="13">
        <v>0.45507277336708474</v>
      </c>
      <c r="H145" s="13">
        <v>21.123980178286658</v>
      </c>
      <c r="I145" s="13">
        <v>0.63538611925708699</v>
      </c>
      <c r="J145" s="13">
        <v>0.48693162868603107</v>
      </c>
      <c r="K145" s="13">
        <v>25.43440274139579</v>
      </c>
      <c r="L145" s="13">
        <v>0.55220883534136544</v>
      </c>
      <c r="M145" s="13">
        <v>0.47651204910891143</v>
      </c>
      <c r="N145" s="13">
        <v>28.521823127176592</v>
      </c>
      <c r="O145" s="13">
        <f t="shared" si="4"/>
        <v>8.6975909504463242</v>
      </c>
      <c r="P145" s="30">
        <f t="shared" si="5"/>
        <v>11.121687853382948</v>
      </c>
    </row>
    <row r="146" spans="2:16" x14ac:dyDescent="0.35">
      <c r="B146" s="18" t="s">
        <v>3278</v>
      </c>
      <c r="C146" s="13" t="s">
        <v>3382</v>
      </c>
      <c r="D146" s="13" t="s">
        <v>3383</v>
      </c>
      <c r="E146" s="13" t="s">
        <v>3384</v>
      </c>
      <c r="F146" s="13">
        <v>5.0388930956150615</v>
      </c>
      <c r="G146" s="13">
        <v>5.3802345132000733</v>
      </c>
      <c r="H146" s="13">
        <v>41.937031307015289</v>
      </c>
      <c r="I146" s="13">
        <v>2.7859237536656889</v>
      </c>
      <c r="J146" s="13">
        <v>1.8650625259847786</v>
      </c>
      <c r="K146" s="13">
        <v>22.218536755970856</v>
      </c>
      <c r="L146" s="13">
        <v>2.7610441767068274</v>
      </c>
      <c r="M146" s="13">
        <v>1.7270316726858126</v>
      </c>
      <c r="N146" s="13">
        <v>20.674140166247234</v>
      </c>
      <c r="O146" s="13">
        <f t="shared" si="4"/>
        <v>11.598655329676847</v>
      </c>
      <c r="P146" s="30">
        <f t="shared" si="5"/>
        <v>14.831957549994817</v>
      </c>
    </row>
    <row r="147" spans="2:16" x14ac:dyDescent="0.35">
      <c r="B147" s="18" t="s">
        <v>3278</v>
      </c>
      <c r="C147" s="13" t="s">
        <v>3382</v>
      </c>
      <c r="D147" s="13" t="s">
        <v>3385</v>
      </c>
      <c r="E147" s="13" t="s">
        <v>3386</v>
      </c>
      <c r="F147" s="13">
        <v>0.49562882907689132</v>
      </c>
      <c r="G147" s="13">
        <v>0.43519748394866614</v>
      </c>
      <c r="H147" s="13">
        <v>28.046098720009333</v>
      </c>
      <c r="I147" s="13">
        <v>0.24437927663734116</v>
      </c>
      <c r="J147" s="13">
        <v>0.24620440075499628</v>
      </c>
      <c r="K147" s="13">
        <v>33.436646992743761</v>
      </c>
      <c r="L147" s="13">
        <v>0.25100401606425704</v>
      </c>
      <c r="M147" s="13">
        <v>0.2539210803799905</v>
      </c>
      <c r="N147" s="13">
        <v>33.436538803731665</v>
      </c>
      <c r="O147" s="13">
        <f t="shared" si="4"/>
        <v>10.760624400371876</v>
      </c>
      <c r="P147" s="30">
        <f t="shared" si="5"/>
        <v>13.760171351769038</v>
      </c>
    </row>
    <row r="148" spans="2:16" x14ac:dyDescent="0.35">
      <c r="B148" s="18" t="s">
        <v>3278</v>
      </c>
      <c r="C148" s="13" t="s">
        <v>3382</v>
      </c>
      <c r="D148" s="13" t="s">
        <v>3387</v>
      </c>
      <c r="E148" s="13" t="s">
        <v>3388</v>
      </c>
      <c r="F148" s="13">
        <v>0.24093068080126662</v>
      </c>
      <c r="G148" s="13">
        <v>0.28074598163328995</v>
      </c>
      <c r="H148" s="13">
        <v>44.277856989726935</v>
      </c>
      <c r="I148" s="13">
        <v>9.7751710654936458E-2</v>
      </c>
      <c r="J148" s="13">
        <v>0.12015586927534459</v>
      </c>
      <c r="K148" s="13">
        <v>40.795467201210549</v>
      </c>
      <c r="L148" s="13">
        <v>0.1004016064257028</v>
      </c>
      <c r="M148" s="13">
        <v>0.12392204289253979</v>
      </c>
      <c r="N148" s="13">
        <v>40.795139683265965</v>
      </c>
      <c r="O148" s="13">
        <f t="shared" si="4"/>
        <v>14.092485751765167</v>
      </c>
      <c r="P148" s="30">
        <f t="shared" si="5"/>
        <v>18.021401917312613</v>
      </c>
    </row>
    <row r="149" spans="2:16" x14ac:dyDescent="0.35">
      <c r="B149" s="18" t="s">
        <v>3278</v>
      </c>
      <c r="C149" s="13" t="s">
        <v>3382</v>
      </c>
      <c r="D149" s="13" t="s">
        <v>3389</v>
      </c>
      <c r="E149" s="13" t="s">
        <v>3390</v>
      </c>
      <c r="F149" s="13">
        <v>3.4418668685895229E-2</v>
      </c>
      <c r="G149" s="13">
        <v>1.8262222472976833E-2</v>
      </c>
      <c r="H149" s="13">
        <v>8.8675421973283992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f t="shared" si="4"/>
        <v>0.99113589872080787</v>
      </c>
      <c r="P149" s="30">
        <f t="shared" si="5"/>
        <v>1.2656409309417975</v>
      </c>
    </row>
    <row r="150" spans="2:16" x14ac:dyDescent="0.35">
      <c r="B150" s="18" t="s">
        <v>3278</v>
      </c>
      <c r="C150" s="13" t="s">
        <v>3382</v>
      </c>
      <c r="D150" s="13" t="s">
        <v>3391</v>
      </c>
      <c r="E150" s="13" t="s">
        <v>3392</v>
      </c>
      <c r="F150" s="13">
        <v>1.060094995525573</v>
      </c>
      <c r="G150" s="13">
        <v>0.84765232552530967</v>
      </c>
      <c r="H150" s="13">
        <v>23.392458259196751</v>
      </c>
      <c r="I150" s="13">
        <v>4.8875855327468229E-2</v>
      </c>
      <c r="J150" s="13">
        <v>9.4403599483163288E-3</v>
      </c>
      <c r="K150" s="13">
        <v>6.4104049941476253</v>
      </c>
      <c r="L150" s="13">
        <v>5.0200803212851398E-2</v>
      </c>
      <c r="M150" s="13">
        <v>9.7363182779202674E-3</v>
      </c>
      <c r="N150" s="13">
        <v>6.410432395332875</v>
      </c>
      <c r="O150" s="13">
        <f t="shared" si="4"/>
        <v>4.2488107007216325</v>
      </c>
      <c r="P150" s="30">
        <f t="shared" si="5"/>
        <v>5.4319918005787002</v>
      </c>
    </row>
    <row r="151" spans="2:16" x14ac:dyDescent="0.35">
      <c r="B151" s="18" t="s">
        <v>3278</v>
      </c>
      <c r="C151" s="13" t="s">
        <v>3382</v>
      </c>
      <c r="D151" s="13" t="s">
        <v>3393</v>
      </c>
      <c r="E151" s="13" t="s">
        <v>3394</v>
      </c>
      <c r="F151" s="13">
        <v>2.0307014524678184</v>
      </c>
      <c r="G151" s="13">
        <v>1.5312845452119084</v>
      </c>
      <c r="H151" s="13">
        <v>20.488780240352646</v>
      </c>
      <c r="I151" s="13">
        <v>0.24437927663734116</v>
      </c>
      <c r="J151" s="13">
        <v>9.2540631873615387E-2</v>
      </c>
      <c r="K151" s="13">
        <v>12.567802973042271</v>
      </c>
      <c r="L151" s="13">
        <v>0.25100401606425704</v>
      </c>
      <c r="M151" s="13">
        <v>9.5441246369198429E-2</v>
      </c>
      <c r="N151" s="13">
        <v>12.567680927324028</v>
      </c>
      <c r="O151" s="13">
        <f t="shared" si="4"/>
        <v>5.5410683677047867</v>
      </c>
      <c r="P151" s="30">
        <f t="shared" si="5"/>
        <v>7.0847039900591948</v>
      </c>
    </row>
    <row r="152" spans="2:16" x14ac:dyDescent="0.35">
      <c r="B152" s="18" t="s">
        <v>3407</v>
      </c>
      <c r="C152" s="13" t="s">
        <v>3407</v>
      </c>
      <c r="D152" s="13" t="s">
        <v>3407</v>
      </c>
      <c r="E152" s="13" t="s">
        <v>3408</v>
      </c>
      <c r="F152" s="13">
        <v>8.5289461003648377</v>
      </c>
      <c r="G152" s="13">
        <v>6.9443287338919362</v>
      </c>
      <c r="H152" s="13">
        <v>24.700471141545695</v>
      </c>
      <c r="I152" s="13">
        <v>4.9853372434017595</v>
      </c>
      <c r="J152" s="13">
        <v>3.4305151704487549</v>
      </c>
      <c r="K152" s="13">
        <v>22.837895566255302</v>
      </c>
      <c r="L152" s="13">
        <v>5.0200803212851408</v>
      </c>
      <c r="M152" s="13">
        <v>3.526660651703232</v>
      </c>
      <c r="N152" s="13">
        <v>23.219705635628767</v>
      </c>
      <c r="O152" s="13">
        <f t="shared" si="4"/>
        <v>11.46599339605838</v>
      </c>
      <c r="P152" s="30">
        <f t="shared" si="5"/>
        <v>14.662291700549213</v>
      </c>
    </row>
    <row r="153" spans="2:16" x14ac:dyDescent="0.35">
      <c r="B153" s="18" t="s">
        <v>3407</v>
      </c>
      <c r="C153" s="13" t="s">
        <v>3587</v>
      </c>
      <c r="D153" s="13" t="s">
        <v>3588</v>
      </c>
      <c r="E153" s="13" t="s">
        <v>3589</v>
      </c>
      <c r="F153" s="13">
        <v>25.228884146761203</v>
      </c>
      <c r="G153" s="13">
        <v>23.520201850051269</v>
      </c>
      <c r="H153" s="13">
        <v>32.819653172164102</v>
      </c>
      <c r="I153" s="13">
        <v>20.967741935483872</v>
      </c>
      <c r="J153" s="13">
        <v>20.194387319035403</v>
      </c>
      <c r="K153" s="13">
        <v>31.964675827869677</v>
      </c>
      <c r="L153" s="13">
        <v>20.783132530120483</v>
      </c>
      <c r="M153" s="13">
        <v>19.581653360274935</v>
      </c>
      <c r="N153" s="13">
        <v>31.141615191031804</v>
      </c>
      <c r="O153" s="13">
        <f t="shared" si="4"/>
        <v>25.133549481421415</v>
      </c>
      <c r="P153" s="30">
        <f t="shared" si="5"/>
        <v>32.142193054450232</v>
      </c>
    </row>
    <row r="154" spans="2:16" x14ac:dyDescent="0.35">
      <c r="B154" s="18" t="s">
        <v>3632</v>
      </c>
      <c r="C154" s="13" t="s">
        <v>3662</v>
      </c>
      <c r="D154" s="13" t="s">
        <v>3749</v>
      </c>
      <c r="E154" s="13" t="s">
        <v>3750</v>
      </c>
      <c r="F154" s="13">
        <v>21.208783644248641</v>
      </c>
      <c r="G154" s="13">
        <v>21.966618417189174</v>
      </c>
      <c r="H154" s="13">
        <v>39.898624557638506</v>
      </c>
      <c r="I154" s="13">
        <v>16.422287390029325</v>
      </c>
      <c r="J154" s="13">
        <v>14.050035619101125</v>
      </c>
      <c r="K154" s="13">
        <v>28.39455446822608</v>
      </c>
      <c r="L154" s="13">
        <v>15.963855421686745</v>
      </c>
      <c r="M154" s="13">
        <v>14.075320216883073</v>
      </c>
      <c r="N154" s="13">
        <v>29.142072752230614</v>
      </c>
      <c r="O154" s="13">
        <f t="shared" si="4"/>
        <v>22.346905831914807</v>
      </c>
      <c r="P154" s="30">
        <f t="shared" si="5"/>
        <v>28.578259912517463</v>
      </c>
    </row>
    <row r="155" spans="2:16" x14ac:dyDescent="0.35">
      <c r="B155" s="18" t="s">
        <v>3632</v>
      </c>
      <c r="C155" s="13" t="s">
        <v>3662</v>
      </c>
      <c r="D155" s="13" t="s">
        <v>3753</v>
      </c>
      <c r="E155" s="13" t="s">
        <v>3754</v>
      </c>
      <c r="F155" s="13">
        <v>8.9488538583327601E-2</v>
      </c>
      <c r="G155" s="13">
        <v>5.5802297016458967E-2</v>
      </c>
      <c r="H155" s="13">
        <v>11.886715141844096</v>
      </c>
      <c r="I155" s="13">
        <v>9.7751710654936458E-2</v>
      </c>
      <c r="J155" s="13">
        <v>4.5322236335692594E-2</v>
      </c>
      <c r="K155" s="13">
        <v>15.387860830670922</v>
      </c>
      <c r="L155" s="13">
        <v>0.1004016064257028</v>
      </c>
      <c r="M155" s="13">
        <v>4.674266719292771E-2</v>
      </c>
      <c r="N155" s="13">
        <v>15.387783115991763</v>
      </c>
      <c r="O155" s="13">
        <f t="shared" si="4"/>
        <v>4.7886520160795358</v>
      </c>
      <c r="P155" s="30">
        <f t="shared" si="5"/>
        <v>6.1224131809834974</v>
      </c>
    </row>
    <row r="156" spans="2:16" x14ac:dyDescent="0.35">
      <c r="B156" s="18" t="s">
        <v>3632</v>
      </c>
      <c r="C156" s="13" t="s">
        <v>3662</v>
      </c>
      <c r="D156" s="13" t="s">
        <v>3763</v>
      </c>
      <c r="E156" s="13" t="s">
        <v>3764</v>
      </c>
      <c r="F156" s="13">
        <v>0.18586081090383424</v>
      </c>
      <c r="G156" s="13">
        <v>0.1499989078162777</v>
      </c>
      <c r="H156" s="13">
        <v>22.411852682734541</v>
      </c>
      <c r="I156" s="13">
        <v>4.8875855327468229E-2</v>
      </c>
      <c r="J156" s="13">
        <v>1.1923003033236412E-2</v>
      </c>
      <c r="K156" s="13">
        <v>8.0962249964978703</v>
      </c>
      <c r="L156" s="13">
        <v>5.0200803212851398E-2</v>
      </c>
      <c r="M156" s="13">
        <v>1.2296841032269034E-2</v>
      </c>
      <c r="N156" s="13">
        <v>8.096291212282976</v>
      </c>
      <c r="O156" s="13">
        <f t="shared" si="4"/>
        <v>4.3403916792045916</v>
      </c>
      <c r="P156" s="30">
        <f t="shared" si="5"/>
        <v>5.54911782221546</v>
      </c>
    </row>
    <row r="157" spans="2:16" x14ac:dyDescent="0.35">
      <c r="B157" s="18" t="s">
        <v>3632</v>
      </c>
      <c r="C157" s="13" t="s">
        <v>3662</v>
      </c>
      <c r="D157" s="13" t="s">
        <v>3765</v>
      </c>
      <c r="E157" s="13" t="s">
        <v>3766</v>
      </c>
      <c r="F157" s="13">
        <v>2.5676326839677839</v>
      </c>
      <c r="G157" s="13">
        <v>2.4557100195114265</v>
      </c>
      <c r="H157" s="13">
        <v>34.211038450059192</v>
      </c>
      <c r="I157" s="13">
        <v>2.8347996089931571</v>
      </c>
      <c r="J157" s="13">
        <v>3.0139691740988388</v>
      </c>
      <c r="K157" s="13">
        <v>35.286430361927778</v>
      </c>
      <c r="L157" s="13">
        <v>2.9116465863453818</v>
      </c>
      <c r="M157" s="13">
        <v>3.1084375595175793</v>
      </c>
      <c r="N157" s="13">
        <v>35.286102849589469</v>
      </c>
      <c r="O157" s="13">
        <f t="shared" si="4"/>
        <v>13.519529699334509</v>
      </c>
      <c r="P157" s="30">
        <f t="shared" si="5"/>
        <v>17.288628975752559</v>
      </c>
    </row>
    <row r="158" spans="2:16" x14ac:dyDescent="0.35">
      <c r="B158" s="18" t="s">
        <v>3632</v>
      </c>
      <c r="C158" s="13" t="s">
        <v>3662</v>
      </c>
      <c r="D158" s="13" t="s">
        <v>3767</v>
      </c>
      <c r="E158" s="13" t="s">
        <v>3768</v>
      </c>
      <c r="F158" s="13">
        <v>2.9255868383010948</v>
      </c>
      <c r="G158" s="13">
        <v>2.7630506038867262</v>
      </c>
      <c r="H158" s="13">
        <v>33.435127708566533</v>
      </c>
      <c r="I158" s="13">
        <v>4.0566959921798631</v>
      </c>
      <c r="J158" s="13">
        <v>4.6528848503087392</v>
      </c>
      <c r="K158" s="13">
        <v>38.066340182101435</v>
      </c>
      <c r="L158" s="13">
        <v>3.7148594377510036</v>
      </c>
      <c r="M158" s="13">
        <v>4.5485431988411547</v>
      </c>
      <c r="N158" s="13">
        <v>40.469762830778613</v>
      </c>
      <c r="O158" s="13">
        <f t="shared" si="4"/>
        <v>14.959205738079461</v>
      </c>
      <c r="P158" s="30">
        <f t="shared" si="5"/>
        <v>19.129879524253113</v>
      </c>
    </row>
    <row r="159" spans="2:16" x14ac:dyDescent="0.35">
      <c r="B159" s="18" t="s">
        <v>3632</v>
      </c>
      <c r="C159" s="13" t="s">
        <v>3662</v>
      </c>
      <c r="D159" s="13" t="s">
        <v>3771</v>
      </c>
      <c r="E159" s="13" t="s">
        <v>3772</v>
      </c>
      <c r="F159" s="13">
        <v>1.3767467474358093E-2</v>
      </c>
      <c r="G159" s="13">
        <v>0</v>
      </c>
      <c r="H159" s="13">
        <v>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f t="shared" si="4"/>
        <v>1.5297186082620102E-3</v>
      </c>
      <c r="P159" s="30">
        <f t="shared" si="5"/>
        <v>0</v>
      </c>
    </row>
    <row r="160" spans="2:16" x14ac:dyDescent="0.35">
      <c r="B160" s="18" t="s">
        <v>3789</v>
      </c>
      <c r="C160" s="13" t="s">
        <v>3789</v>
      </c>
      <c r="D160" s="13" t="s">
        <v>3789</v>
      </c>
      <c r="E160" s="13" t="s">
        <v>3790</v>
      </c>
      <c r="F160" s="13">
        <v>36.800440558959181</v>
      </c>
      <c r="G160" s="13">
        <v>28.499784078545066</v>
      </c>
      <c r="H160" s="13">
        <v>22.013681233454179</v>
      </c>
      <c r="I160" s="13">
        <v>10.997067448680351</v>
      </c>
      <c r="J160" s="13">
        <v>6.8698079920497701</v>
      </c>
      <c r="K160" s="13">
        <v>20.732849399901511</v>
      </c>
      <c r="L160" s="13">
        <v>11.04417670682731</v>
      </c>
      <c r="M160" s="13">
        <v>6.750559564179877</v>
      </c>
      <c r="N160" s="13">
        <v>20.202852131472586</v>
      </c>
      <c r="O160" s="13">
        <f t="shared" si="4"/>
        <v>18.212357679341089</v>
      </c>
      <c r="P160" s="30">
        <f t="shared" si="5"/>
        <v>23.290445953784939</v>
      </c>
    </row>
    <row r="161" spans="2:16" x14ac:dyDescent="0.35">
      <c r="B161" s="18" t="s">
        <v>3789</v>
      </c>
      <c r="C161" s="13" t="s">
        <v>3789</v>
      </c>
      <c r="D161" s="13" t="s">
        <v>3791</v>
      </c>
      <c r="E161" s="13" t="s">
        <v>3792</v>
      </c>
      <c r="F161" s="13">
        <v>4.1027053073587112</v>
      </c>
      <c r="G161" s="13">
        <v>2.5831840567436224</v>
      </c>
      <c r="H161" s="13">
        <v>12.093631102337486</v>
      </c>
      <c r="I161" s="13">
        <v>1.7595307917888565</v>
      </c>
      <c r="J161" s="13">
        <v>1.2414172921039417</v>
      </c>
      <c r="K161" s="13">
        <v>23.41597260149755</v>
      </c>
      <c r="L161" s="13">
        <v>1.7068273092369479</v>
      </c>
      <c r="M161" s="13">
        <v>1.2423284217137736</v>
      </c>
      <c r="N161" s="13">
        <v>24.057551030783699</v>
      </c>
      <c r="O161" s="13">
        <f t="shared" si="4"/>
        <v>8.0225719903960666</v>
      </c>
      <c r="P161" s="30">
        <f t="shared" si="5"/>
        <v>10.258383195257014</v>
      </c>
    </row>
    <row r="162" spans="2:16" x14ac:dyDescent="0.35">
      <c r="B162" s="18" t="s">
        <v>3789</v>
      </c>
      <c r="C162" s="13" t="s">
        <v>3789</v>
      </c>
      <c r="D162" s="13" t="s">
        <v>3795</v>
      </c>
      <c r="E162" s="13" t="s">
        <v>3796</v>
      </c>
      <c r="F162" s="13">
        <v>2.9600055069869899</v>
      </c>
      <c r="G162" s="13">
        <v>1.7002362503807231</v>
      </c>
      <c r="H162" s="13">
        <v>8.3505811504120917</v>
      </c>
      <c r="I162" s="13">
        <v>1.0263929618768328</v>
      </c>
      <c r="J162" s="13">
        <v>0.43832998932075073</v>
      </c>
      <c r="K162" s="13">
        <v>14.173555173207497</v>
      </c>
      <c r="L162" s="13">
        <v>1.0542168674698795</v>
      </c>
      <c r="M162" s="13">
        <v>0.45206894060803382</v>
      </c>
      <c r="N162" s="13">
        <v>14.173720735148326</v>
      </c>
      <c r="O162" s="13">
        <f t="shared" si="4"/>
        <v>4.9254563972679026</v>
      </c>
      <c r="P162" s="30">
        <f t="shared" si="5"/>
        <v>6.2973769472207595</v>
      </c>
    </row>
    <row r="163" spans="2:16" x14ac:dyDescent="0.35">
      <c r="B163" s="18" t="s">
        <v>3789</v>
      </c>
      <c r="C163" s="13" t="s">
        <v>3789</v>
      </c>
      <c r="D163" s="13" t="s">
        <v>3799</v>
      </c>
      <c r="E163" s="13" t="s">
        <v>3800</v>
      </c>
      <c r="F163" s="13">
        <v>4.8186136160253322E-2</v>
      </c>
      <c r="G163" s="13">
        <v>2.078530715551332E-2</v>
      </c>
      <c r="H163" s="13">
        <v>4.302438321226024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f t="shared" si="4"/>
        <v>0.48571219606019894</v>
      </c>
      <c r="P163" s="30">
        <f t="shared" si="5"/>
        <v>0.61923740354802836</v>
      </c>
    </row>
    <row r="164" spans="2:16" x14ac:dyDescent="0.35">
      <c r="B164" s="18" t="s">
        <v>3789</v>
      </c>
      <c r="C164" s="13" t="s">
        <v>3789</v>
      </c>
      <c r="D164" s="13" t="s">
        <v>3803</v>
      </c>
      <c r="E164" s="13" t="s">
        <v>3804</v>
      </c>
      <c r="F164" s="13">
        <v>1.3836304811729883</v>
      </c>
      <c r="G164" s="13">
        <v>1.035246914427882</v>
      </c>
      <c r="H164" s="13">
        <v>20.034605317681354</v>
      </c>
      <c r="I164" s="13">
        <v>0.78201368523949166</v>
      </c>
      <c r="J164" s="13">
        <v>1.0213407295677182</v>
      </c>
      <c r="K164" s="13">
        <v>43.345856168274231</v>
      </c>
      <c r="L164" s="13">
        <v>0.80321285140562237</v>
      </c>
      <c r="M164" s="13">
        <v>1.0533531941150756</v>
      </c>
      <c r="N164" s="13">
        <v>43.345789165967616</v>
      </c>
      <c r="O164" s="13">
        <f t="shared" si="4"/>
        <v>12.533894278650219</v>
      </c>
      <c r="P164" s="30">
        <f t="shared" si="5"/>
        <v>16.028066383810984</v>
      </c>
    </row>
    <row r="165" spans="2:16" x14ac:dyDescent="0.35">
      <c r="B165" s="18" t="s">
        <v>3789</v>
      </c>
      <c r="C165" s="13" t="s">
        <v>3789</v>
      </c>
      <c r="D165" s="13" t="s">
        <v>3807</v>
      </c>
      <c r="E165" s="13" t="s">
        <v>3808</v>
      </c>
      <c r="F165" s="13">
        <v>6.8493150684931505</v>
      </c>
      <c r="G165" s="13">
        <v>3.9211355590662196</v>
      </c>
      <c r="H165" s="13">
        <v>8.1928965686223769</v>
      </c>
      <c r="I165" s="13">
        <v>2.8836754643206253</v>
      </c>
      <c r="J165" s="13">
        <v>2.1963207356282171</v>
      </c>
      <c r="K165" s="13">
        <v>25.277880862034678</v>
      </c>
      <c r="L165" s="13">
        <v>2.6606425702811247</v>
      </c>
      <c r="M165" s="13">
        <v>2.1422695474503826</v>
      </c>
      <c r="N165" s="13">
        <v>26.612776125473449</v>
      </c>
      <c r="O165" s="13">
        <f t="shared" si="4"/>
        <v>8.9707680557078024</v>
      </c>
      <c r="P165" s="30">
        <f t="shared" si="5"/>
        <v>11.471063324922346</v>
      </c>
    </row>
    <row r="166" spans="2:16" x14ac:dyDescent="0.35">
      <c r="B166" s="18" t="s">
        <v>3846</v>
      </c>
      <c r="C166" s="13" t="s">
        <v>3846</v>
      </c>
      <c r="D166" s="13" t="s">
        <v>3846</v>
      </c>
      <c r="E166" s="13" t="s">
        <v>3847</v>
      </c>
      <c r="F166" s="13">
        <v>6.3399187719419006</v>
      </c>
      <c r="G166" s="13">
        <v>6.302585582612684</v>
      </c>
      <c r="H166" s="13">
        <v>36.955537136809141</v>
      </c>
      <c r="I166" s="13">
        <v>3.7145650048875858</v>
      </c>
      <c r="J166" s="13">
        <v>2.497463692581519</v>
      </c>
      <c r="K166" s="13">
        <v>22.314260813312028</v>
      </c>
      <c r="L166" s="13">
        <v>3.5642570281124497</v>
      </c>
      <c r="M166" s="13">
        <v>2.4127853788899958</v>
      </c>
      <c r="N166" s="13">
        <v>22.374234220493658</v>
      </c>
      <c r="O166" s="13">
        <f t="shared" si="4"/>
        <v>11.830623069960106</v>
      </c>
      <c r="P166" s="30">
        <f t="shared" si="5"/>
        <v>15.128628966019301</v>
      </c>
    </row>
    <row r="167" spans="2:16" x14ac:dyDescent="0.35">
      <c r="B167" s="18" t="s">
        <v>3846</v>
      </c>
      <c r="C167" s="13" t="s">
        <v>3846</v>
      </c>
      <c r="D167" s="13" t="s">
        <v>3848</v>
      </c>
      <c r="E167" s="13" t="s">
        <v>3849</v>
      </c>
      <c r="F167" s="13">
        <v>0.59888483513457702</v>
      </c>
      <c r="G167" s="13">
        <v>0.76882167981097904</v>
      </c>
      <c r="H167" s="13">
        <v>54.53440542423543</v>
      </c>
      <c r="I167" s="13">
        <v>0.53763440860215062</v>
      </c>
      <c r="J167" s="13">
        <v>0.7210941268034623</v>
      </c>
      <c r="K167" s="13">
        <v>44.513955664027414</v>
      </c>
      <c r="L167" s="13">
        <v>0.45180722891566261</v>
      </c>
      <c r="M167" s="13">
        <v>0.72119486222924312</v>
      </c>
      <c r="N167" s="13">
        <v>52.759856630824373</v>
      </c>
      <c r="O167" s="13">
        <f t="shared" si="4"/>
        <v>17.289739428953698</v>
      </c>
      <c r="P167" s="30">
        <f t="shared" si="5"/>
        <v>22.110478159736413</v>
      </c>
    </row>
    <row r="168" spans="2:16" x14ac:dyDescent="0.35">
      <c r="B168" s="18" t="s">
        <v>3846</v>
      </c>
      <c r="C168" s="13" t="s">
        <v>3846</v>
      </c>
      <c r="D168" s="13" t="s">
        <v>3856</v>
      </c>
      <c r="E168" s="13" t="s">
        <v>3857</v>
      </c>
      <c r="F168" s="13">
        <v>7.5721071108969501E-2</v>
      </c>
      <c r="G168" s="13">
        <v>4.8080919782184546E-2</v>
      </c>
      <c r="H168" s="13">
        <v>12.450929543672727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f t="shared" si="4"/>
        <v>1.3971923927293199</v>
      </c>
      <c r="P168" s="30">
        <f t="shared" si="5"/>
        <v>1.7849603626711428</v>
      </c>
    </row>
    <row r="169" spans="2:16" x14ac:dyDescent="0.35">
      <c r="B169" s="18" t="s">
        <v>3118</v>
      </c>
      <c r="C169" s="13" t="s">
        <v>3873</v>
      </c>
      <c r="D169" s="13" t="s">
        <v>3874</v>
      </c>
      <c r="E169" s="13" t="s">
        <v>3875</v>
      </c>
      <c r="F169" s="13">
        <v>26.715770633991877</v>
      </c>
      <c r="G169" s="13">
        <v>24.195228038227103</v>
      </c>
      <c r="H169" s="13">
        <v>30.997864169585672</v>
      </c>
      <c r="I169" s="13">
        <v>15.444770283479961</v>
      </c>
      <c r="J169" s="13">
        <v>12.017133466181335</v>
      </c>
      <c r="K169" s="13">
        <v>25.823239145634467</v>
      </c>
      <c r="L169" s="13">
        <v>14.60843373493976</v>
      </c>
      <c r="M169" s="13">
        <v>11.349906283400065</v>
      </c>
      <c r="N169" s="13">
        <v>25.679859681232365</v>
      </c>
      <c r="O169" s="13">
        <f t="shared" si="4"/>
        <v>20.759133937408066</v>
      </c>
      <c r="P169" s="30">
        <f t="shared" si="5"/>
        <v>26.54760454771548</v>
      </c>
    </row>
    <row r="170" spans="2:16" x14ac:dyDescent="0.35">
      <c r="B170" s="18" t="s">
        <v>3118</v>
      </c>
      <c r="C170" s="13" t="s">
        <v>3873</v>
      </c>
      <c r="D170" s="13" t="s">
        <v>3882</v>
      </c>
      <c r="E170" s="13" t="s">
        <v>3883</v>
      </c>
      <c r="F170" s="13">
        <v>5.789220072967578</v>
      </c>
      <c r="G170" s="13">
        <v>4.9228262957612303</v>
      </c>
      <c r="H170" s="13">
        <v>27.140951255785595</v>
      </c>
      <c r="I170" s="13">
        <v>5.1808406647116323</v>
      </c>
      <c r="J170" s="13">
        <v>3.577347971494909</v>
      </c>
      <c r="K170" s="13">
        <v>22.916708122654299</v>
      </c>
      <c r="L170" s="13">
        <v>4.7690763052208842</v>
      </c>
      <c r="M170" s="13">
        <v>3.5472544821792518</v>
      </c>
      <c r="N170" s="13">
        <v>24.584254810747606</v>
      </c>
      <c r="O170" s="13">
        <f t="shared" si="4"/>
        <v>11.380942220169221</v>
      </c>
      <c r="P170" s="30">
        <f t="shared" si="5"/>
        <v>14.553516865070915</v>
      </c>
    </row>
    <row r="171" spans="2:16" x14ac:dyDescent="0.35">
      <c r="B171" s="18" t="s">
        <v>3118</v>
      </c>
      <c r="C171" s="13" t="s">
        <v>3873</v>
      </c>
      <c r="D171" s="13" t="s">
        <v>3886</v>
      </c>
      <c r="E171" s="13" t="s">
        <v>3887</v>
      </c>
      <c r="F171" s="13">
        <v>3.9581468988779509</v>
      </c>
      <c r="G171" s="13">
        <v>3.040259248235063</v>
      </c>
      <c r="H171" s="13">
        <v>21.508943369201681</v>
      </c>
      <c r="I171" s="13">
        <v>3.1280547409579667</v>
      </c>
      <c r="J171" s="13">
        <v>1.9423950616371204</v>
      </c>
      <c r="K171" s="13">
        <v>20.608885616991127</v>
      </c>
      <c r="L171" s="13">
        <v>3.0120481927710845</v>
      </c>
      <c r="M171" s="13">
        <v>1.9821712406732708</v>
      </c>
      <c r="N171" s="13">
        <v>21.750934187447569</v>
      </c>
      <c r="O171" s="13">
        <f t="shared" si="4"/>
        <v>8.9924265063103128</v>
      </c>
      <c r="P171" s="30">
        <f t="shared" si="5"/>
        <v>11.498763052484879</v>
      </c>
    </row>
    <row r="173" spans="2:16" x14ac:dyDescent="0.35">
      <c r="F173" s="1">
        <f>1/9</f>
        <v>0.1111111111111111</v>
      </c>
      <c r="G173" s="1">
        <f t="shared" ref="G173:N173" si="6">1/9</f>
        <v>0.1111111111111111</v>
      </c>
      <c r="H173" s="1">
        <f t="shared" si="6"/>
        <v>0.1111111111111111</v>
      </c>
      <c r="I173" s="1">
        <f t="shared" si="6"/>
        <v>0.1111111111111111</v>
      </c>
      <c r="J173" s="1">
        <f t="shared" si="6"/>
        <v>0.1111111111111111</v>
      </c>
      <c r="K173" s="1">
        <f t="shared" si="6"/>
        <v>0.1111111111111111</v>
      </c>
      <c r="L173" s="1">
        <f t="shared" si="6"/>
        <v>0.1111111111111111</v>
      </c>
      <c r="M173" s="1">
        <f t="shared" si="6"/>
        <v>0.1111111111111111</v>
      </c>
      <c r="N173" s="1">
        <f t="shared" si="6"/>
        <v>0.1111111111111111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5A84-4BC3-4EC7-8D09-22A9D22D6D22}">
  <dimension ref="B2:J173"/>
  <sheetViews>
    <sheetView showGridLines="0" workbookViewId="0">
      <selection activeCell="J2" sqref="J2"/>
    </sheetView>
  </sheetViews>
  <sheetFormatPr baseColWidth="10" defaultColWidth="11.453125" defaultRowHeight="14.5" x14ac:dyDescent="0.35"/>
  <cols>
    <col min="1" max="1" width="4.453125" customWidth="1"/>
    <col min="2" max="2" width="14.08984375" bestFit="1" customWidth="1"/>
    <col min="3" max="3" width="19.6328125" bestFit="1" customWidth="1"/>
    <col min="4" max="4" width="39.08984375" bestFit="1" customWidth="1"/>
    <col min="5" max="5" width="7" bestFit="1" customWidth="1"/>
    <col min="6" max="6" width="19.6328125" bestFit="1" customWidth="1"/>
    <col min="7" max="7" width="21.453125" bestFit="1" customWidth="1"/>
    <col min="8" max="8" width="36" bestFit="1" customWidth="1"/>
    <col min="9" max="9" width="11" bestFit="1" customWidth="1"/>
    <col min="10" max="10" width="22.453125" bestFit="1" customWidth="1"/>
  </cols>
  <sheetData>
    <row r="2" spans="2:10" x14ac:dyDescent="0.35">
      <c r="B2" s="14" t="s">
        <v>4010</v>
      </c>
      <c r="C2" s="15" t="s">
        <v>4011</v>
      </c>
      <c r="D2" s="15" t="s">
        <v>4012</v>
      </c>
      <c r="E2" s="15" t="s">
        <v>4013</v>
      </c>
      <c r="F2" s="15" t="s">
        <v>4023</v>
      </c>
      <c r="G2" s="15" t="s">
        <v>4024</v>
      </c>
      <c r="H2" s="15" t="s">
        <v>4025</v>
      </c>
      <c r="I2" s="15" t="s">
        <v>4021</v>
      </c>
      <c r="J2" s="33" t="s">
        <v>4022</v>
      </c>
    </row>
    <row r="3" spans="2:10" x14ac:dyDescent="0.35">
      <c r="B3" s="18" t="s">
        <v>250</v>
      </c>
      <c r="C3" s="13" t="s">
        <v>251</v>
      </c>
      <c r="D3" s="13" t="s">
        <v>251</v>
      </c>
      <c r="E3" s="13" t="s">
        <v>252</v>
      </c>
      <c r="F3" s="13">
        <v>6.4324178170506991</v>
      </c>
      <c r="G3" s="13">
        <v>23.771507711860519</v>
      </c>
      <c r="H3" s="13">
        <v>2.1982418381676503</v>
      </c>
      <c r="I3" s="13">
        <f>SUMPRODUCT(F3:H3,$F$173:$H$173)</f>
        <v>10.800722455692958</v>
      </c>
      <c r="J3" s="30">
        <f>(I3-MIN($I$3:$I$171))/(MAX($I$3:$I$171)-MIN($I$3:$I$171))*100</f>
        <v>12.498541824060851</v>
      </c>
    </row>
    <row r="4" spans="2:10" x14ac:dyDescent="0.35">
      <c r="B4" s="18" t="s">
        <v>250</v>
      </c>
      <c r="C4" s="13" t="s">
        <v>251</v>
      </c>
      <c r="D4" s="13" t="s">
        <v>259</v>
      </c>
      <c r="E4" s="13" t="s">
        <v>260</v>
      </c>
      <c r="F4" s="13">
        <v>2.25589065042356E-3</v>
      </c>
      <c r="G4" s="13">
        <v>0.27624320648977796</v>
      </c>
      <c r="H4" s="13">
        <v>3.6552916229844508</v>
      </c>
      <c r="I4" s="13">
        <f t="shared" ref="I4:I67" si="0">SUMPRODUCT(F4:H4,$F$173:$H$173)</f>
        <v>1.3112635733748841</v>
      </c>
      <c r="J4" s="30">
        <f t="shared" ref="J4:J67" si="1">(I4-MIN($I$3:$I$171))/(MAX($I$3:$I$171)-MIN($I$3:$I$171))*100</f>
        <v>1.5173876267466766</v>
      </c>
    </row>
    <row r="5" spans="2:10" x14ac:dyDescent="0.35">
      <c r="B5" s="18" t="s">
        <v>250</v>
      </c>
      <c r="C5" s="13" t="s">
        <v>530</v>
      </c>
      <c r="D5" s="13" t="s">
        <v>531</v>
      </c>
      <c r="E5" s="13" t="s">
        <v>532</v>
      </c>
      <c r="F5" s="13">
        <v>7.4295414017383212</v>
      </c>
      <c r="G5" s="13">
        <v>32.341092827311989</v>
      </c>
      <c r="H5" s="13">
        <v>16.784963136484208</v>
      </c>
      <c r="I5" s="13">
        <f t="shared" si="0"/>
        <v>18.851865788511503</v>
      </c>
      <c r="J5" s="30">
        <f t="shared" si="1"/>
        <v>21.815284485446565</v>
      </c>
    </row>
    <row r="6" spans="2:10" x14ac:dyDescent="0.35">
      <c r="B6" s="18" t="s">
        <v>250</v>
      </c>
      <c r="C6" s="13" t="s">
        <v>530</v>
      </c>
      <c r="D6" s="13" t="s">
        <v>530</v>
      </c>
      <c r="E6" s="13" t="s">
        <v>545</v>
      </c>
      <c r="F6" s="13">
        <v>0.35031764138602445</v>
      </c>
      <c r="G6" s="13">
        <v>5.0911545161948641</v>
      </c>
      <c r="H6" s="13">
        <v>0.11200662245712198</v>
      </c>
      <c r="I6" s="13">
        <f t="shared" si="0"/>
        <v>1.8511595933460034</v>
      </c>
      <c r="J6" s="30">
        <f t="shared" si="1"/>
        <v>2.1421525916769868</v>
      </c>
    </row>
    <row r="7" spans="2:10" x14ac:dyDescent="0.35">
      <c r="B7" s="18" t="s">
        <v>250</v>
      </c>
      <c r="C7" s="13" t="s">
        <v>530</v>
      </c>
      <c r="D7" s="13" t="s">
        <v>546</v>
      </c>
      <c r="E7" s="13" t="s">
        <v>547</v>
      </c>
      <c r="F7" s="13">
        <v>0.96467760857048779</v>
      </c>
      <c r="G7" s="13">
        <v>15.850318042726681</v>
      </c>
      <c r="H7" s="13">
        <v>4.0100447842414573</v>
      </c>
      <c r="I7" s="13">
        <f t="shared" si="0"/>
        <v>6.941680145179542</v>
      </c>
      <c r="J7" s="30">
        <f t="shared" si="1"/>
        <v>8.032877428310222</v>
      </c>
    </row>
    <row r="8" spans="2:10" x14ac:dyDescent="0.35">
      <c r="B8" s="18" t="s">
        <v>757</v>
      </c>
      <c r="C8" s="13" t="s">
        <v>757</v>
      </c>
      <c r="D8" s="13" t="s">
        <v>757</v>
      </c>
      <c r="E8" s="13" t="s">
        <v>758</v>
      </c>
      <c r="F8" s="13">
        <v>22.857367679808714</v>
      </c>
      <c r="G8" s="13">
        <v>35.152535186186704</v>
      </c>
      <c r="H8" s="13">
        <v>16.003180986176076</v>
      </c>
      <c r="I8" s="13">
        <f t="shared" si="0"/>
        <v>24.671027950723829</v>
      </c>
      <c r="J8" s="30">
        <f t="shared" si="1"/>
        <v>28.549189737040848</v>
      </c>
    </row>
    <row r="9" spans="2:10" x14ac:dyDescent="0.35">
      <c r="B9" s="18" t="s">
        <v>757</v>
      </c>
      <c r="C9" s="13" t="s">
        <v>757</v>
      </c>
      <c r="D9" s="13" t="s">
        <v>759</v>
      </c>
      <c r="E9" s="13" t="s">
        <v>760</v>
      </c>
      <c r="F9" s="13">
        <v>1.1737338981307395</v>
      </c>
      <c r="G9" s="13">
        <v>6.5678906113947129</v>
      </c>
      <c r="H9" s="13">
        <v>2.9743757632474179</v>
      </c>
      <c r="I9" s="13">
        <f t="shared" si="0"/>
        <v>3.5720000909242899</v>
      </c>
      <c r="J9" s="30">
        <f t="shared" si="1"/>
        <v>4.1335005797167348</v>
      </c>
    </row>
    <row r="10" spans="2:10" x14ac:dyDescent="0.35">
      <c r="B10" s="18" t="s">
        <v>757</v>
      </c>
      <c r="C10" s="13" t="s">
        <v>757</v>
      </c>
      <c r="D10" s="13" t="s">
        <v>761</v>
      </c>
      <c r="E10" s="13" t="s">
        <v>762</v>
      </c>
      <c r="F10" s="13">
        <v>3.1567085745658341</v>
      </c>
      <c r="G10" s="13">
        <v>10.485557911070877</v>
      </c>
      <c r="H10" s="13">
        <v>6.6079337469779791</v>
      </c>
      <c r="I10" s="13">
        <f t="shared" si="0"/>
        <v>6.7500667442048972</v>
      </c>
      <c r="J10" s="30">
        <f t="shared" si="1"/>
        <v>7.8111433622830155</v>
      </c>
    </row>
    <row r="11" spans="2:10" x14ac:dyDescent="0.35">
      <c r="B11" s="18" t="s">
        <v>757</v>
      </c>
      <c r="C11" s="13" t="s">
        <v>757</v>
      </c>
      <c r="D11" s="13" t="s">
        <v>763</v>
      </c>
      <c r="E11" s="13" t="s">
        <v>764</v>
      </c>
      <c r="F11" s="13">
        <v>6.6909971546062623</v>
      </c>
      <c r="G11" s="13">
        <v>32.606318904981862</v>
      </c>
      <c r="H11" s="13">
        <v>14.193388239397574</v>
      </c>
      <c r="I11" s="13">
        <f t="shared" si="0"/>
        <v>17.830234766328566</v>
      </c>
      <c r="J11" s="30">
        <f t="shared" si="1"/>
        <v>20.633058193465409</v>
      </c>
    </row>
    <row r="12" spans="2:10" x14ac:dyDescent="0.35">
      <c r="B12" s="18" t="s">
        <v>757</v>
      </c>
      <c r="C12" s="13" t="s">
        <v>757</v>
      </c>
      <c r="D12" s="13" t="s">
        <v>765</v>
      </c>
      <c r="E12" s="13" t="s">
        <v>766</v>
      </c>
      <c r="F12" s="13">
        <v>0</v>
      </c>
      <c r="G12" s="13">
        <v>0</v>
      </c>
      <c r="H12" s="13">
        <v>1.2190414161933762</v>
      </c>
      <c r="I12" s="13">
        <f t="shared" si="0"/>
        <v>0.40634713873112538</v>
      </c>
      <c r="J12" s="30">
        <f t="shared" si="1"/>
        <v>0.47022286975270511</v>
      </c>
    </row>
    <row r="13" spans="2:10" x14ac:dyDescent="0.35">
      <c r="B13" s="18" t="s">
        <v>757</v>
      </c>
      <c r="C13" s="13" t="s">
        <v>757</v>
      </c>
      <c r="D13" s="13" t="s">
        <v>769</v>
      </c>
      <c r="E13" s="13" t="s">
        <v>770</v>
      </c>
      <c r="F13" s="13">
        <v>1.2956143148161763</v>
      </c>
      <c r="G13" s="13">
        <v>9.2448417591709742</v>
      </c>
      <c r="H13" s="13">
        <v>1.3016333007026017</v>
      </c>
      <c r="I13" s="13">
        <f t="shared" si="0"/>
        <v>3.9473631248965839</v>
      </c>
      <c r="J13" s="30">
        <f t="shared" si="1"/>
        <v>4.5678687989312055</v>
      </c>
    </row>
    <row r="14" spans="2:10" x14ac:dyDescent="0.35">
      <c r="B14" s="18" t="s">
        <v>757</v>
      </c>
      <c r="C14" s="13" t="s">
        <v>757</v>
      </c>
      <c r="D14" s="13" t="s">
        <v>773</v>
      </c>
      <c r="E14" s="13" t="s">
        <v>774</v>
      </c>
      <c r="F14" s="13">
        <v>2.0906956769385636E-2</v>
      </c>
      <c r="G14" s="13">
        <v>2.4227310854809544E-3</v>
      </c>
      <c r="H14" s="13">
        <v>1.9203649638359053</v>
      </c>
      <c r="I14" s="13">
        <f t="shared" si="0"/>
        <v>0.6478982172302572</v>
      </c>
      <c r="J14" s="30">
        <f t="shared" si="1"/>
        <v>0.74974456560714309</v>
      </c>
    </row>
    <row r="15" spans="2:10" x14ac:dyDescent="0.35">
      <c r="B15" s="18" t="s">
        <v>757</v>
      </c>
      <c r="C15" s="13" t="s">
        <v>757</v>
      </c>
      <c r="D15" s="13" t="s">
        <v>775</v>
      </c>
      <c r="E15" s="13" t="s">
        <v>776</v>
      </c>
      <c r="F15" s="13">
        <v>3.9962955634884771</v>
      </c>
      <c r="G15" s="13">
        <v>16.729936128436456</v>
      </c>
      <c r="H15" s="13">
        <v>6.8586255913814735</v>
      </c>
      <c r="I15" s="13">
        <f t="shared" si="0"/>
        <v>9.1949524277688006</v>
      </c>
      <c r="J15" s="30">
        <f t="shared" si="1"/>
        <v>10.640352806042445</v>
      </c>
    </row>
    <row r="16" spans="2:10" x14ac:dyDescent="0.35">
      <c r="B16" s="18" t="s">
        <v>757</v>
      </c>
      <c r="C16" s="13" t="s">
        <v>757</v>
      </c>
      <c r="D16" s="13" t="s">
        <v>779</v>
      </c>
      <c r="E16" s="13" t="s">
        <v>780</v>
      </c>
      <c r="F16" s="13">
        <v>4.0610077255104651</v>
      </c>
      <c r="G16" s="13">
        <v>17.166601918499254</v>
      </c>
      <c r="H16" s="13">
        <v>8.1266654020656102</v>
      </c>
      <c r="I16" s="13">
        <f t="shared" si="0"/>
        <v>9.784758348691776</v>
      </c>
      <c r="J16" s="30">
        <f t="shared" si="1"/>
        <v>11.322873257889531</v>
      </c>
    </row>
    <row r="17" spans="2:10" x14ac:dyDescent="0.35">
      <c r="B17" s="18" t="s">
        <v>757</v>
      </c>
      <c r="C17" s="13" t="s">
        <v>757</v>
      </c>
      <c r="D17" s="13" t="s">
        <v>787</v>
      </c>
      <c r="E17" s="13" t="s">
        <v>788</v>
      </c>
      <c r="F17" s="13">
        <v>0</v>
      </c>
      <c r="G17" s="13">
        <v>0</v>
      </c>
      <c r="H17" s="13">
        <v>0</v>
      </c>
      <c r="I17" s="13">
        <f t="shared" si="0"/>
        <v>0</v>
      </c>
      <c r="J17" s="30">
        <f t="shared" si="1"/>
        <v>0</v>
      </c>
    </row>
    <row r="18" spans="2:10" x14ac:dyDescent="0.35">
      <c r="B18" s="18" t="s">
        <v>757</v>
      </c>
      <c r="C18" s="13" t="s">
        <v>757</v>
      </c>
      <c r="D18" s="13" t="s">
        <v>789</v>
      </c>
      <c r="E18" s="13" t="s">
        <v>790</v>
      </c>
      <c r="F18" s="13">
        <v>0</v>
      </c>
      <c r="G18" s="13">
        <v>0</v>
      </c>
      <c r="H18" s="13">
        <v>1.5450383656755138</v>
      </c>
      <c r="I18" s="13">
        <f t="shared" si="0"/>
        <v>0.51501278855850452</v>
      </c>
      <c r="J18" s="30">
        <f t="shared" si="1"/>
        <v>0.59597021441207787</v>
      </c>
    </row>
    <row r="19" spans="2:10" x14ac:dyDescent="0.35">
      <c r="B19" s="18" t="s">
        <v>757</v>
      </c>
      <c r="C19" s="13" t="s">
        <v>757</v>
      </c>
      <c r="D19" s="13" t="s">
        <v>799</v>
      </c>
      <c r="E19" s="13" t="s">
        <v>800</v>
      </c>
      <c r="F19" s="13">
        <v>0.79062922534103919</v>
      </c>
      <c r="G19" s="13">
        <v>3.2601551236928326</v>
      </c>
      <c r="H19" s="13">
        <v>5.4358068958785219</v>
      </c>
      <c r="I19" s="13">
        <f t="shared" si="0"/>
        <v>3.1621970816374647</v>
      </c>
      <c r="J19" s="30">
        <f t="shared" si="1"/>
        <v>3.6592785938996979</v>
      </c>
    </row>
    <row r="20" spans="2:10" x14ac:dyDescent="0.35">
      <c r="B20" s="18" t="s">
        <v>757</v>
      </c>
      <c r="C20" s="13" t="s">
        <v>757</v>
      </c>
      <c r="D20" s="13" t="s">
        <v>801</v>
      </c>
      <c r="E20" s="13" t="s">
        <v>802</v>
      </c>
      <c r="F20" s="13">
        <v>0</v>
      </c>
      <c r="G20" s="13">
        <v>0</v>
      </c>
      <c r="H20" s="13">
        <v>0.23835754271973589</v>
      </c>
      <c r="I20" s="13">
        <f t="shared" si="0"/>
        <v>7.9452514239911953E-2</v>
      </c>
      <c r="J20" s="30">
        <f t="shared" si="1"/>
        <v>9.1942050758920077E-2</v>
      </c>
    </row>
    <row r="21" spans="2:10" x14ac:dyDescent="0.35">
      <c r="B21" s="18" t="s">
        <v>757</v>
      </c>
      <c r="C21" s="13" t="s">
        <v>757</v>
      </c>
      <c r="D21" s="13" t="s">
        <v>803</v>
      </c>
      <c r="E21" s="13" t="s">
        <v>804</v>
      </c>
      <c r="F21" s="13">
        <v>0</v>
      </c>
      <c r="G21" s="13">
        <v>0</v>
      </c>
      <c r="H21" s="13">
        <v>0.93986744116008702</v>
      </c>
      <c r="I21" s="13">
        <f t="shared" si="0"/>
        <v>0.3132891470533623</v>
      </c>
      <c r="J21" s="30">
        <f t="shared" si="1"/>
        <v>0.36253662877957699</v>
      </c>
    </row>
    <row r="22" spans="2:10" x14ac:dyDescent="0.35">
      <c r="B22" s="18" t="s">
        <v>757</v>
      </c>
      <c r="C22" s="13" t="s">
        <v>757</v>
      </c>
      <c r="D22" s="13" t="s">
        <v>807</v>
      </c>
      <c r="E22" s="13" t="s">
        <v>808</v>
      </c>
      <c r="F22" s="13">
        <v>0.9220249238984386</v>
      </c>
      <c r="G22" s="13">
        <v>1.3751147509538022</v>
      </c>
      <c r="H22" s="13">
        <v>4.8321463636777588</v>
      </c>
      <c r="I22" s="13">
        <f t="shared" si="0"/>
        <v>2.3764286795099996</v>
      </c>
      <c r="J22" s="30">
        <f t="shared" si="1"/>
        <v>2.7499913422085802</v>
      </c>
    </row>
    <row r="23" spans="2:10" x14ac:dyDescent="0.35">
      <c r="B23" s="18" t="s">
        <v>757</v>
      </c>
      <c r="C23" s="13" t="s">
        <v>757</v>
      </c>
      <c r="D23" s="13" t="s">
        <v>811</v>
      </c>
      <c r="E23" s="13" t="s">
        <v>812</v>
      </c>
      <c r="F23" s="13">
        <v>0.97690377133228412</v>
      </c>
      <c r="G23" s="13">
        <v>5.4722308526357528</v>
      </c>
      <c r="H23" s="13">
        <v>0.28728742708290561</v>
      </c>
      <c r="I23" s="13">
        <f t="shared" si="0"/>
        <v>2.2454740170169809</v>
      </c>
      <c r="J23" s="30">
        <f t="shared" si="1"/>
        <v>2.59845126394631</v>
      </c>
    </row>
    <row r="24" spans="2:10" x14ac:dyDescent="0.35">
      <c r="B24" s="18" t="s">
        <v>757</v>
      </c>
      <c r="C24" s="13" t="s">
        <v>757</v>
      </c>
      <c r="D24" s="13" t="s">
        <v>813</v>
      </c>
      <c r="E24" s="13" t="s">
        <v>814</v>
      </c>
      <c r="F24" s="13">
        <v>6.6651687218652871</v>
      </c>
      <c r="G24" s="13">
        <v>22.234069978179491</v>
      </c>
      <c r="H24" s="13">
        <v>8.5554177906015205</v>
      </c>
      <c r="I24" s="13">
        <f t="shared" si="0"/>
        <v>12.4848854968821</v>
      </c>
      <c r="J24" s="30">
        <f t="shared" si="1"/>
        <v>14.447446843626924</v>
      </c>
    </row>
    <row r="25" spans="2:10" x14ac:dyDescent="0.35">
      <c r="B25" s="18" t="s">
        <v>976</v>
      </c>
      <c r="C25" s="13" t="s">
        <v>977</v>
      </c>
      <c r="D25" s="13" t="s">
        <v>976</v>
      </c>
      <c r="E25" s="13" t="s">
        <v>979</v>
      </c>
      <c r="F25" s="13">
        <v>6.9286363400584294</v>
      </c>
      <c r="G25" s="13">
        <v>30.506225955829464</v>
      </c>
      <c r="H25" s="13">
        <v>19.376625520109812</v>
      </c>
      <c r="I25" s="13">
        <f t="shared" si="0"/>
        <v>18.937162605332567</v>
      </c>
      <c r="J25" s="30">
        <f t="shared" si="1"/>
        <v>21.913989533823713</v>
      </c>
    </row>
    <row r="26" spans="2:10" x14ac:dyDescent="0.35">
      <c r="B26" s="18" t="s">
        <v>976</v>
      </c>
      <c r="C26" s="13" t="s">
        <v>977</v>
      </c>
      <c r="D26" s="13" t="s">
        <v>4006</v>
      </c>
      <c r="E26" s="13" t="s">
        <v>985</v>
      </c>
      <c r="F26" s="13">
        <v>0</v>
      </c>
      <c r="G26" s="13">
        <v>0</v>
      </c>
      <c r="H26" s="13">
        <v>0</v>
      </c>
      <c r="I26" s="13">
        <f t="shared" si="0"/>
        <v>0</v>
      </c>
      <c r="J26" s="30">
        <f t="shared" si="1"/>
        <v>0</v>
      </c>
    </row>
    <row r="27" spans="2:10" x14ac:dyDescent="0.35">
      <c r="B27" s="18" t="s">
        <v>976</v>
      </c>
      <c r="C27" s="13" t="s">
        <v>977</v>
      </c>
      <c r="D27" s="13" t="s">
        <v>1005</v>
      </c>
      <c r="E27" s="13" t="s">
        <v>1006</v>
      </c>
      <c r="F27" s="13">
        <v>0</v>
      </c>
      <c r="G27" s="13">
        <v>0</v>
      </c>
      <c r="H27" s="13">
        <v>0</v>
      </c>
      <c r="I27" s="13">
        <f t="shared" si="0"/>
        <v>0</v>
      </c>
      <c r="J27" s="30">
        <f t="shared" si="1"/>
        <v>0</v>
      </c>
    </row>
    <row r="28" spans="2:10" x14ac:dyDescent="0.35">
      <c r="B28" s="18" t="s">
        <v>976</v>
      </c>
      <c r="C28" s="13" t="s">
        <v>977</v>
      </c>
      <c r="D28" s="13" t="s">
        <v>1007</v>
      </c>
      <c r="E28" s="13" t="s">
        <v>1008</v>
      </c>
      <c r="F28" s="13">
        <v>0</v>
      </c>
      <c r="G28" s="13">
        <v>0</v>
      </c>
      <c r="H28" s="13">
        <v>0.60952070809668812</v>
      </c>
      <c r="I28" s="13">
        <f t="shared" si="0"/>
        <v>0.20317356936556269</v>
      </c>
      <c r="J28" s="30">
        <f t="shared" si="1"/>
        <v>0.23511143487635255</v>
      </c>
    </row>
    <row r="29" spans="2:10" x14ac:dyDescent="0.35">
      <c r="B29" s="18" t="s">
        <v>1231</v>
      </c>
      <c r="C29" s="13" t="s">
        <v>1231</v>
      </c>
      <c r="D29" s="13" t="s">
        <v>1231</v>
      </c>
      <c r="E29" s="13" t="s">
        <v>1232</v>
      </c>
      <c r="F29" s="13">
        <v>9.2755806137780219</v>
      </c>
      <c r="G29" s="13">
        <v>41.250182584645842</v>
      </c>
      <c r="H29" s="13">
        <v>23.252536210993398</v>
      </c>
      <c r="I29" s="13">
        <f t="shared" si="0"/>
        <v>24.592766469805753</v>
      </c>
      <c r="J29" s="30">
        <f t="shared" si="1"/>
        <v>28.458625944064952</v>
      </c>
    </row>
    <row r="30" spans="2:10" x14ac:dyDescent="0.35">
      <c r="B30" s="18" t="s">
        <v>1231</v>
      </c>
      <c r="C30" s="13" t="s">
        <v>1231</v>
      </c>
      <c r="D30" s="13" t="s">
        <v>1241</v>
      </c>
      <c r="E30" s="13" t="s">
        <v>1242</v>
      </c>
      <c r="F30" s="13">
        <v>0</v>
      </c>
      <c r="G30" s="13">
        <v>0</v>
      </c>
      <c r="H30" s="13">
        <v>0</v>
      </c>
      <c r="I30" s="13">
        <f t="shared" si="0"/>
        <v>0</v>
      </c>
      <c r="J30" s="30">
        <f t="shared" si="1"/>
        <v>0</v>
      </c>
    </row>
    <row r="31" spans="2:10" x14ac:dyDescent="0.35">
      <c r="B31" s="18" t="s">
        <v>1231</v>
      </c>
      <c r="C31" s="13" t="s">
        <v>1231</v>
      </c>
      <c r="D31" s="13" t="s">
        <v>1243</v>
      </c>
      <c r="E31" s="13" t="s">
        <v>1244</v>
      </c>
      <c r="F31" s="13">
        <v>0</v>
      </c>
      <c r="G31" s="13">
        <v>0</v>
      </c>
      <c r="H31" s="13">
        <v>0</v>
      </c>
      <c r="I31" s="13">
        <f t="shared" si="0"/>
        <v>0</v>
      </c>
      <c r="J31" s="30">
        <f t="shared" si="1"/>
        <v>0</v>
      </c>
    </row>
    <row r="32" spans="2:10" x14ac:dyDescent="0.35">
      <c r="B32" s="18" t="s">
        <v>1231</v>
      </c>
      <c r="C32" s="13" t="s">
        <v>1231</v>
      </c>
      <c r="D32" s="13" t="s">
        <v>1245</v>
      </c>
      <c r="E32" s="13" t="s">
        <v>1246</v>
      </c>
      <c r="F32" s="13">
        <v>0.10186909144404004</v>
      </c>
      <c r="G32" s="13">
        <v>0.52864436823008265</v>
      </c>
      <c r="H32" s="13">
        <v>0.48764094730567431</v>
      </c>
      <c r="I32" s="13">
        <f t="shared" si="0"/>
        <v>0.37271813565993228</v>
      </c>
      <c r="J32" s="30">
        <f t="shared" si="1"/>
        <v>0.43130755616039684</v>
      </c>
    </row>
    <row r="33" spans="2:10" x14ac:dyDescent="0.35">
      <c r="B33" s="18" t="s">
        <v>1231</v>
      </c>
      <c r="C33" s="13" t="s">
        <v>1231</v>
      </c>
      <c r="D33" s="13" t="s">
        <v>1247</v>
      </c>
      <c r="E33" s="13" t="s">
        <v>1248</v>
      </c>
      <c r="F33" s="13">
        <v>0</v>
      </c>
      <c r="G33" s="13">
        <v>0</v>
      </c>
      <c r="H33" s="13">
        <v>0</v>
      </c>
      <c r="I33" s="13">
        <f t="shared" si="0"/>
        <v>0</v>
      </c>
      <c r="J33" s="30">
        <f t="shared" si="1"/>
        <v>0</v>
      </c>
    </row>
    <row r="34" spans="2:10" x14ac:dyDescent="0.35">
      <c r="B34" s="18" t="s">
        <v>1482</v>
      </c>
      <c r="C34" s="13" t="s">
        <v>1482</v>
      </c>
      <c r="D34" s="13" t="s">
        <v>1482</v>
      </c>
      <c r="E34" s="13" t="s">
        <v>1483</v>
      </c>
      <c r="F34" s="13">
        <v>8.2395895762312268</v>
      </c>
      <c r="G34" s="13">
        <v>6.4233565501850398</v>
      </c>
      <c r="H34" s="13">
        <v>25.038387309435578</v>
      </c>
      <c r="I34" s="13">
        <f t="shared" si="0"/>
        <v>13.233777811950613</v>
      </c>
      <c r="J34" s="30">
        <f t="shared" si="1"/>
        <v>15.31406127243006</v>
      </c>
    </row>
    <row r="35" spans="2:10" x14ac:dyDescent="0.35">
      <c r="B35" s="18" t="s">
        <v>1482</v>
      </c>
      <c r="C35" s="13" t="s">
        <v>1482</v>
      </c>
      <c r="D35" s="13" t="s">
        <v>1484</v>
      </c>
      <c r="E35" s="13" t="s">
        <v>1485</v>
      </c>
      <c r="F35" s="13">
        <v>0.99699444413014182</v>
      </c>
      <c r="G35" s="13">
        <v>3.3065018952684473</v>
      </c>
      <c r="H35" s="13">
        <v>4.3721494153935332</v>
      </c>
      <c r="I35" s="13">
        <f t="shared" si="0"/>
        <v>2.8918819182640405</v>
      </c>
      <c r="J35" s="30">
        <f t="shared" si="1"/>
        <v>3.3464712433766053</v>
      </c>
    </row>
    <row r="36" spans="2:10" x14ac:dyDescent="0.35">
      <c r="B36" s="18" t="s">
        <v>1482</v>
      </c>
      <c r="C36" s="13" t="s">
        <v>1482</v>
      </c>
      <c r="D36" s="13" t="s">
        <v>1486</v>
      </c>
      <c r="E36" s="13" t="s">
        <v>1487</v>
      </c>
      <c r="F36" s="13">
        <v>3.7769436875435346E-2</v>
      </c>
      <c r="G36" s="13">
        <v>1.7596288464884608E-3</v>
      </c>
      <c r="H36" s="13">
        <v>3.3213188918632985</v>
      </c>
      <c r="I36" s="13">
        <f t="shared" si="0"/>
        <v>1.1202826525284073</v>
      </c>
      <c r="J36" s="30">
        <f t="shared" si="1"/>
        <v>1.2963854635497887</v>
      </c>
    </row>
    <row r="37" spans="2:10" x14ac:dyDescent="0.35">
      <c r="B37" s="18" t="s">
        <v>1482</v>
      </c>
      <c r="C37" s="13" t="s">
        <v>1482</v>
      </c>
      <c r="D37" s="13" t="s">
        <v>1488</v>
      </c>
      <c r="E37" s="13" t="s">
        <v>1489</v>
      </c>
      <c r="F37" s="13">
        <v>0.65344490302227853</v>
      </c>
      <c r="G37" s="13">
        <v>0.13886620408308725</v>
      </c>
      <c r="H37" s="13">
        <v>5.76776207282116</v>
      </c>
      <c r="I37" s="13">
        <f t="shared" si="0"/>
        <v>2.1866910599755087</v>
      </c>
      <c r="J37" s="30">
        <f t="shared" si="1"/>
        <v>2.5304279210506175</v>
      </c>
    </row>
    <row r="38" spans="2:10" x14ac:dyDescent="0.35">
      <c r="B38" s="18" t="s">
        <v>1482</v>
      </c>
      <c r="C38" s="13" t="s">
        <v>1482</v>
      </c>
      <c r="D38" s="13" t="s">
        <v>1490</v>
      </c>
      <c r="E38" s="13" t="s">
        <v>1491</v>
      </c>
      <c r="F38" s="13">
        <v>1.2503932750270999E-3</v>
      </c>
      <c r="G38" s="13">
        <v>1.3187955144208254E-2</v>
      </c>
      <c r="H38" s="13">
        <v>0</v>
      </c>
      <c r="I38" s="13">
        <f t="shared" si="0"/>
        <v>4.8127828064117844E-3</v>
      </c>
      <c r="J38" s="30">
        <f t="shared" si="1"/>
        <v>5.5693281114128339E-3</v>
      </c>
    </row>
    <row r="39" spans="2:10" x14ac:dyDescent="0.35">
      <c r="B39" s="18" t="s">
        <v>1482</v>
      </c>
      <c r="C39" s="13" t="s">
        <v>1482</v>
      </c>
      <c r="D39" s="13" t="s">
        <v>4007</v>
      </c>
      <c r="E39" s="13" t="s">
        <v>1493</v>
      </c>
      <c r="F39" s="13">
        <v>3.7804601442326344</v>
      </c>
      <c r="G39" s="13">
        <v>37.779294310297544</v>
      </c>
      <c r="H39" s="13">
        <v>7.2740730774580529</v>
      </c>
      <c r="I39" s="13">
        <f t="shared" si="0"/>
        <v>16.277942510662744</v>
      </c>
      <c r="J39" s="30">
        <f t="shared" si="1"/>
        <v>18.836753385134859</v>
      </c>
    </row>
    <row r="40" spans="2:10" x14ac:dyDescent="0.35">
      <c r="B40" s="18" t="s">
        <v>1482</v>
      </c>
      <c r="C40" s="13" t="s">
        <v>1482</v>
      </c>
      <c r="D40" s="13" t="s">
        <v>1494</v>
      </c>
      <c r="E40" s="13" t="s">
        <v>1495</v>
      </c>
      <c r="F40" s="13">
        <v>0</v>
      </c>
      <c r="G40" s="13">
        <v>0</v>
      </c>
      <c r="H40" s="13">
        <v>0</v>
      </c>
      <c r="I40" s="13">
        <f t="shared" si="0"/>
        <v>0</v>
      </c>
      <c r="J40" s="30">
        <f t="shared" si="1"/>
        <v>0</v>
      </c>
    </row>
    <row r="41" spans="2:10" x14ac:dyDescent="0.35">
      <c r="B41" s="18" t="s">
        <v>1496</v>
      </c>
      <c r="C41" s="13" t="s">
        <v>1496</v>
      </c>
      <c r="D41" s="13" t="s">
        <v>1496</v>
      </c>
      <c r="E41" s="13" t="s">
        <v>1497</v>
      </c>
      <c r="F41" s="13">
        <v>11.946897912473622</v>
      </c>
      <c r="G41" s="13">
        <v>21.711726933460728</v>
      </c>
      <c r="H41" s="13">
        <v>9.609067550580269</v>
      </c>
      <c r="I41" s="13">
        <f t="shared" si="0"/>
        <v>14.422564132171539</v>
      </c>
      <c r="J41" s="30">
        <f t="shared" si="1"/>
        <v>16.689718836459129</v>
      </c>
    </row>
    <row r="42" spans="2:10" x14ac:dyDescent="0.35">
      <c r="B42" s="18" t="s">
        <v>1496</v>
      </c>
      <c r="C42" s="13" t="s">
        <v>1496</v>
      </c>
      <c r="D42" s="13" t="s">
        <v>1502</v>
      </c>
      <c r="E42" s="13" t="s">
        <v>1503</v>
      </c>
      <c r="F42" s="13">
        <v>2.9650121597131993</v>
      </c>
      <c r="G42" s="13">
        <v>15.063993626216826</v>
      </c>
      <c r="H42" s="13">
        <v>2.3168065377314679</v>
      </c>
      <c r="I42" s="13">
        <f t="shared" si="0"/>
        <v>6.7819374412204976</v>
      </c>
      <c r="J42" s="30">
        <f t="shared" si="1"/>
        <v>7.8480239729315642</v>
      </c>
    </row>
    <row r="43" spans="2:10" x14ac:dyDescent="0.35">
      <c r="B43" s="18" t="s">
        <v>1496</v>
      </c>
      <c r="C43" s="13" t="s">
        <v>1496</v>
      </c>
      <c r="D43" s="13" t="s">
        <v>1504</v>
      </c>
      <c r="E43" s="13" t="s">
        <v>1505</v>
      </c>
      <c r="F43" s="13">
        <v>4.7431320050567374</v>
      </c>
      <c r="G43" s="13">
        <v>20.153825642415487</v>
      </c>
      <c r="H43" s="13">
        <v>7.5748732129270362</v>
      </c>
      <c r="I43" s="13">
        <f t="shared" si="0"/>
        <v>10.823943620133086</v>
      </c>
      <c r="J43" s="30">
        <f t="shared" si="1"/>
        <v>12.525413239019334</v>
      </c>
    </row>
    <row r="44" spans="2:10" x14ac:dyDescent="0.35">
      <c r="B44" s="18" t="s">
        <v>1496</v>
      </c>
      <c r="C44" s="13" t="s">
        <v>1496</v>
      </c>
      <c r="D44" s="13" t="s">
        <v>1506</v>
      </c>
      <c r="E44" s="13" t="s">
        <v>1507</v>
      </c>
      <c r="F44" s="13">
        <v>2.5338499593839563</v>
      </c>
      <c r="G44" s="13">
        <v>11.978467773731291</v>
      </c>
      <c r="H44" s="13">
        <v>3.8486526810092201</v>
      </c>
      <c r="I44" s="13">
        <f t="shared" si="0"/>
        <v>6.1203234713748227</v>
      </c>
      <c r="J44" s="30">
        <f t="shared" si="1"/>
        <v>7.0824076072281317</v>
      </c>
    </row>
    <row r="45" spans="2:10" x14ac:dyDescent="0.35">
      <c r="B45" s="18" t="s">
        <v>1496</v>
      </c>
      <c r="C45" s="13" t="s">
        <v>1496</v>
      </c>
      <c r="D45" s="13" t="s">
        <v>1510</v>
      </c>
      <c r="E45" s="13" t="s">
        <v>1511</v>
      </c>
      <c r="F45" s="13">
        <v>6.8556427988542223</v>
      </c>
      <c r="G45" s="13">
        <v>19.775386897003443</v>
      </c>
      <c r="H45" s="13">
        <v>8.4830489093126342</v>
      </c>
      <c r="I45" s="13">
        <f t="shared" si="0"/>
        <v>11.704692868390099</v>
      </c>
      <c r="J45" s="30">
        <f t="shared" si="1"/>
        <v>13.544611849205653</v>
      </c>
    </row>
    <row r="46" spans="2:10" x14ac:dyDescent="0.35">
      <c r="B46" s="18" t="s">
        <v>1937</v>
      </c>
      <c r="C46" s="13" t="s">
        <v>1937</v>
      </c>
      <c r="D46" s="13" t="s">
        <v>4008</v>
      </c>
      <c r="E46" s="13" t="s">
        <v>1939</v>
      </c>
      <c r="F46" s="13">
        <v>8.1260951575710081</v>
      </c>
      <c r="G46" s="13">
        <v>31.478270862002166</v>
      </c>
      <c r="H46" s="13">
        <v>3.823288898956763</v>
      </c>
      <c r="I46" s="13">
        <f t="shared" si="0"/>
        <v>14.475884972843311</v>
      </c>
      <c r="J46" s="30">
        <f t="shared" si="1"/>
        <v>16.751421445702547</v>
      </c>
    </row>
    <row r="47" spans="2:10" x14ac:dyDescent="0.35">
      <c r="B47" s="18" t="s">
        <v>1937</v>
      </c>
      <c r="C47" s="13" t="s">
        <v>1937</v>
      </c>
      <c r="D47" s="13" t="s">
        <v>4009</v>
      </c>
      <c r="E47" s="13" t="s">
        <v>1941</v>
      </c>
      <c r="F47" s="13">
        <v>5.7793719005269008E-2</v>
      </c>
      <c r="G47" s="13">
        <v>1.4662338893476479E-2</v>
      </c>
      <c r="H47" s="13">
        <v>1.9037176123522268</v>
      </c>
      <c r="I47" s="13">
        <f t="shared" si="0"/>
        <v>0.65872455675032415</v>
      </c>
      <c r="J47" s="30">
        <f t="shared" si="1"/>
        <v>0.76227275136954242</v>
      </c>
    </row>
    <row r="48" spans="2:10" x14ac:dyDescent="0.35">
      <c r="B48" s="18" t="s">
        <v>1937</v>
      </c>
      <c r="C48" s="13" t="s">
        <v>1937</v>
      </c>
      <c r="D48" s="13" t="s">
        <v>1958</v>
      </c>
      <c r="E48" s="13" t="s">
        <v>1959</v>
      </c>
      <c r="F48" s="13">
        <v>0.19466900347254998</v>
      </c>
      <c r="G48" s="13">
        <v>1.2088205637561875</v>
      </c>
      <c r="H48" s="13">
        <v>0</v>
      </c>
      <c r="I48" s="13">
        <f t="shared" si="0"/>
        <v>0.46782985574291247</v>
      </c>
      <c r="J48" s="30">
        <f t="shared" si="1"/>
        <v>0.54137036133774064</v>
      </c>
    </row>
    <row r="49" spans="2:10" x14ac:dyDescent="0.35">
      <c r="B49" s="18" t="s">
        <v>2111</v>
      </c>
      <c r="C49" s="13" t="s">
        <v>2111</v>
      </c>
      <c r="D49" s="13" t="s">
        <v>2111</v>
      </c>
      <c r="E49" s="13" t="s">
        <v>2112</v>
      </c>
      <c r="F49" s="13">
        <v>10.05909961273713</v>
      </c>
      <c r="G49" s="13">
        <v>39.428266581473473</v>
      </c>
      <c r="H49" s="13">
        <v>13.514426543685412</v>
      </c>
      <c r="I49" s="13">
        <f t="shared" si="0"/>
        <v>21.000597579298674</v>
      </c>
      <c r="J49" s="30">
        <f t="shared" si="1"/>
        <v>24.301786130684849</v>
      </c>
    </row>
    <row r="50" spans="2:10" x14ac:dyDescent="0.35">
      <c r="B50" s="18" t="s">
        <v>2111</v>
      </c>
      <c r="C50" s="13" t="s">
        <v>2111</v>
      </c>
      <c r="D50" s="13" t="s">
        <v>2113</v>
      </c>
      <c r="E50" s="13" t="s">
        <v>2114</v>
      </c>
      <c r="F50" s="13">
        <v>0.18690900519776504</v>
      </c>
      <c r="G50" s="13">
        <v>1.026293337389494</v>
      </c>
      <c r="H50" s="13">
        <v>0.43417838251410051</v>
      </c>
      <c r="I50" s="13">
        <f t="shared" si="0"/>
        <v>0.54912690836711975</v>
      </c>
      <c r="J50" s="30">
        <f t="shared" si="1"/>
        <v>0.63544690265845172</v>
      </c>
    </row>
    <row r="51" spans="2:10" x14ac:dyDescent="0.35">
      <c r="B51" s="18" t="s">
        <v>2111</v>
      </c>
      <c r="C51" s="13" t="s">
        <v>2111</v>
      </c>
      <c r="D51" s="13" t="s">
        <v>2115</v>
      </c>
      <c r="E51" s="13" t="s">
        <v>2116</v>
      </c>
      <c r="F51" s="13">
        <v>0.1199508040438346</v>
      </c>
      <c r="G51" s="13">
        <v>1.2372080076522742</v>
      </c>
      <c r="H51" s="13">
        <v>7.4181799048335162E-2</v>
      </c>
      <c r="I51" s="13">
        <f t="shared" si="0"/>
        <v>0.47711353691481467</v>
      </c>
      <c r="J51" s="30">
        <f t="shared" si="1"/>
        <v>0.55211339060122344</v>
      </c>
    </row>
    <row r="52" spans="2:10" x14ac:dyDescent="0.35">
      <c r="B52" s="18" t="s">
        <v>2111</v>
      </c>
      <c r="C52" s="13" t="s">
        <v>2111</v>
      </c>
      <c r="D52" s="13" t="s">
        <v>2121</v>
      </c>
      <c r="E52" s="13" t="s">
        <v>2122</v>
      </c>
      <c r="F52" s="13">
        <v>1.4917125380405276</v>
      </c>
      <c r="G52" s="13">
        <v>9.2415188390124463</v>
      </c>
      <c r="H52" s="13">
        <v>1.1274346391419729</v>
      </c>
      <c r="I52" s="13">
        <f t="shared" si="0"/>
        <v>3.9535553387316487</v>
      </c>
      <c r="J52" s="30">
        <f t="shared" si="1"/>
        <v>4.5750343977065251</v>
      </c>
    </row>
    <row r="53" spans="2:10" x14ac:dyDescent="0.35">
      <c r="B53" s="18" t="s">
        <v>2111</v>
      </c>
      <c r="C53" s="13" t="s">
        <v>2111</v>
      </c>
      <c r="D53" s="13" t="s">
        <v>2045</v>
      </c>
      <c r="E53" s="13" t="s">
        <v>2124</v>
      </c>
      <c r="F53" s="13">
        <v>0</v>
      </c>
      <c r="G53" s="13">
        <v>0</v>
      </c>
      <c r="H53" s="13">
        <v>0</v>
      </c>
      <c r="I53" s="13">
        <f t="shared" si="0"/>
        <v>0</v>
      </c>
      <c r="J53" s="30">
        <f t="shared" si="1"/>
        <v>0</v>
      </c>
    </row>
    <row r="54" spans="2:10" x14ac:dyDescent="0.35">
      <c r="B54" s="18" t="s">
        <v>2111</v>
      </c>
      <c r="C54" s="13" t="s">
        <v>2111</v>
      </c>
      <c r="D54" s="13" t="s">
        <v>2125</v>
      </c>
      <c r="E54" s="13" t="s">
        <v>2126</v>
      </c>
      <c r="F54" s="13">
        <v>0.41115323088574363</v>
      </c>
      <c r="G54" s="13">
        <v>2.2081897275535169</v>
      </c>
      <c r="H54" s="13">
        <v>0</v>
      </c>
      <c r="I54" s="13">
        <f t="shared" si="0"/>
        <v>0.87311431947975349</v>
      </c>
      <c r="J54" s="30">
        <f t="shared" si="1"/>
        <v>1.0103635089199214</v>
      </c>
    </row>
    <row r="55" spans="2:10" x14ac:dyDescent="0.35">
      <c r="B55" s="18" t="s">
        <v>2111</v>
      </c>
      <c r="C55" s="13" t="s">
        <v>2111</v>
      </c>
      <c r="D55" s="13" t="s">
        <v>2129</v>
      </c>
      <c r="E55" s="13" t="s">
        <v>2130</v>
      </c>
      <c r="F55" s="13">
        <v>0</v>
      </c>
      <c r="G55" s="13">
        <v>0</v>
      </c>
      <c r="H55" s="13">
        <v>0</v>
      </c>
      <c r="I55" s="13">
        <f t="shared" si="0"/>
        <v>0</v>
      </c>
      <c r="J55" s="30">
        <f t="shared" si="1"/>
        <v>0</v>
      </c>
    </row>
    <row r="56" spans="2:10" x14ac:dyDescent="0.35">
      <c r="B56" s="18" t="s">
        <v>2111</v>
      </c>
      <c r="C56" s="13" t="s">
        <v>2111</v>
      </c>
      <c r="D56" s="13" t="s">
        <v>1506</v>
      </c>
      <c r="E56" s="13" t="s">
        <v>2132</v>
      </c>
      <c r="F56" s="13">
        <v>0.53216210943078079</v>
      </c>
      <c r="G56" s="13">
        <v>3.262918667102265</v>
      </c>
      <c r="H56" s="13">
        <v>0</v>
      </c>
      <c r="I56" s="13">
        <f t="shared" si="0"/>
        <v>1.2650269255110151</v>
      </c>
      <c r="J56" s="30">
        <f t="shared" si="1"/>
        <v>1.4638828098696963</v>
      </c>
    </row>
    <row r="57" spans="2:10" x14ac:dyDescent="0.35">
      <c r="B57" s="18" t="s">
        <v>2111</v>
      </c>
      <c r="C57" s="13" t="s">
        <v>2111</v>
      </c>
      <c r="D57" s="13" t="s">
        <v>2133</v>
      </c>
      <c r="E57" s="13" t="s">
        <v>2134</v>
      </c>
      <c r="F57" s="13">
        <v>7.9438790088670386E-2</v>
      </c>
      <c r="G57" s="13">
        <v>0.41603553101838536</v>
      </c>
      <c r="H57" s="13">
        <v>2.0054411734819051</v>
      </c>
      <c r="I57" s="13">
        <f t="shared" si="0"/>
        <v>0.83363849819632019</v>
      </c>
      <c r="J57" s="30">
        <f t="shared" si="1"/>
        <v>0.9646822866337138</v>
      </c>
    </row>
    <row r="58" spans="2:10" x14ac:dyDescent="0.35">
      <c r="B58" s="18" t="s">
        <v>2111</v>
      </c>
      <c r="C58" s="13" t="s">
        <v>2139</v>
      </c>
      <c r="D58" s="13" t="s">
        <v>2140</v>
      </c>
      <c r="E58" s="13" t="s">
        <v>2141</v>
      </c>
      <c r="F58" s="13">
        <v>4.7771987701274377</v>
      </c>
      <c r="G58" s="13">
        <v>20.894092236928728</v>
      </c>
      <c r="H58" s="13">
        <v>6.3262441174435207</v>
      </c>
      <c r="I58" s="13">
        <f t="shared" si="0"/>
        <v>10.665845041499896</v>
      </c>
      <c r="J58" s="30">
        <f t="shared" si="1"/>
        <v>12.342462357216981</v>
      </c>
    </row>
    <row r="59" spans="2:10" x14ac:dyDescent="0.35">
      <c r="B59" s="18" t="s">
        <v>2111</v>
      </c>
      <c r="C59" s="13" t="s">
        <v>2139</v>
      </c>
      <c r="D59" s="13" t="s">
        <v>2150</v>
      </c>
      <c r="E59" s="13" t="s">
        <v>2151</v>
      </c>
      <c r="F59" s="13">
        <v>0.10456904999816641</v>
      </c>
      <c r="G59" s="13">
        <v>0.55291613286627728</v>
      </c>
      <c r="H59" s="13">
        <v>0.33300180526786821</v>
      </c>
      <c r="I59" s="13">
        <f t="shared" si="0"/>
        <v>0.33016232937743728</v>
      </c>
      <c r="J59" s="30">
        <f t="shared" si="1"/>
        <v>0.38206219068967839</v>
      </c>
    </row>
    <row r="60" spans="2:10" x14ac:dyDescent="0.35">
      <c r="B60" s="18" t="s">
        <v>2111</v>
      </c>
      <c r="C60" s="13" t="s">
        <v>2139</v>
      </c>
      <c r="D60" s="13" t="s">
        <v>2158</v>
      </c>
      <c r="E60" s="13" t="s">
        <v>2159</v>
      </c>
      <c r="F60" s="13">
        <v>0</v>
      </c>
      <c r="G60" s="13">
        <v>0</v>
      </c>
      <c r="H60" s="13">
        <v>0.33117690026782676</v>
      </c>
      <c r="I60" s="13">
        <f t="shared" si="0"/>
        <v>0.11039230008927559</v>
      </c>
      <c r="J60" s="30">
        <f t="shared" si="1"/>
        <v>0.12774541567752609</v>
      </c>
    </row>
    <row r="61" spans="2:10" x14ac:dyDescent="0.35">
      <c r="B61" s="18" t="s">
        <v>2199</v>
      </c>
      <c r="C61" s="13" t="s">
        <v>2200</v>
      </c>
      <c r="D61" s="13" t="s">
        <v>2200</v>
      </c>
      <c r="E61" s="13" t="s">
        <v>2201</v>
      </c>
      <c r="F61" s="13">
        <v>12.423103396932394</v>
      </c>
      <c r="G61" s="13">
        <v>42.087147267116734</v>
      </c>
      <c r="H61" s="13">
        <v>16.716937455952934</v>
      </c>
      <c r="I61" s="13">
        <f t="shared" si="0"/>
        <v>23.742396040000685</v>
      </c>
      <c r="J61" s="30">
        <f t="shared" si="1"/>
        <v>27.474581550140069</v>
      </c>
    </row>
    <row r="62" spans="2:10" x14ac:dyDescent="0.35">
      <c r="B62" s="18" t="s">
        <v>2199</v>
      </c>
      <c r="C62" s="13" t="s">
        <v>2200</v>
      </c>
      <c r="D62" s="13" t="s">
        <v>2208</v>
      </c>
      <c r="E62" s="13" t="s">
        <v>2209</v>
      </c>
      <c r="F62" s="13">
        <v>2.926906593310461</v>
      </c>
      <c r="G62" s="13">
        <v>15.652891390632456</v>
      </c>
      <c r="H62" s="13">
        <v>3.1547878789063843</v>
      </c>
      <c r="I62" s="13">
        <f t="shared" si="0"/>
        <v>7.2448619542831008</v>
      </c>
      <c r="J62" s="30">
        <f t="shared" si="1"/>
        <v>8.3837178963363144</v>
      </c>
    </row>
    <row r="63" spans="2:10" x14ac:dyDescent="0.35">
      <c r="B63" s="18" t="s">
        <v>2199</v>
      </c>
      <c r="C63" s="13" t="s">
        <v>2200</v>
      </c>
      <c r="D63" s="13" t="s">
        <v>2218</v>
      </c>
      <c r="E63" s="13" t="s">
        <v>2219</v>
      </c>
      <c r="F63" s="13">
        <v>6.4246161639858164</v>
      </c>
      <c r="G63" s="13">
        <v>24.357127009899003</v>
      </c>
      <c r="H63" s="13">
        <v>7.9570210792358793</v>
      </c>
      <c r="I63" s="13">
        <f t="shared" si="0"/>
        <v>12.912921417706897</v>
      </c>
      <c r="J63" s="30">
        <f t="shared" si="1"/>
        <v>14.942767863176803</v>
      </c>
    </row>
    <row r="64" spans="2:10" x14ac:dyDescent="0.35">
      <c r="B64" s="18" t="s">
        <v>2199</v>
      </c>
      <c r="C64" s="13" t="s">
        <v>2200</v>
      </c>
      <c r="D64" s="13" t="s">
        <v>3513</v>
      </c>
      <c r="E64" s="13" t="s">
        <v>2225</v>
      </c>
      <c r="F64" s="13">
        <v>0</v>
      </c>
      <c r="G64" s="13">
        <v>0</v>
      </c>
      <c r="H64" s="13">
        <v>0</v>
      </c>
      <c r="I64" s="13">
        <f t="shared" si="0"/>
        <v>0</v>
      </c>
      <c r="J64" s="30">
        <f t="shared" si="1"/>
        <v>0</v>
      </c>
    </row>
    <row r="65" spans="2:10" x14ac:dyDescent="0.35">
      <c r="B65" s="18" t="s">
        <v>2199</v>
      </c>
      <c r="C65" s="13" t="s">
        <v>2200</v>
      </c>
      <c r="D65" s="13" t="s">
        <v>2228</v>
      </c>
      <c r="E65" s="13" t="s">
        <v>2229</v>
      </c>
      <c r="F65" s="13">
        <v>0.24982015972701668</v>
      </c>
      <c r="G65" s="13">
        <v>1.6781006114284229</v>
      </c>
      <c r="H65" s="13">
        <v>0</v>
      </c>
      <c r="I65" s="13">
        <f t="shared" si="0"/>
        <v>0.64264025705181316</v>
      </c>
      <c r="J65" s="30">
        <f t="shared" si="1"/>
        <v>0.74366008047486465</v>
      </c>
    </row>
    <row r="66" spans="2:10" x14ac:dyDescent="0.35">
      <c r="B66" s="18" t="s">
        <v>2199</v>
      </c>
      <c r="C66" s="13" t="s">
        <v>2200</v>
      </c>
      <c r="D66" s="13" t="s">
        <v>2234</v>
      </c>
      <c r="E66" s="13" t="s">
        <v>2235</v>
      </c>
      <c r="F66" s="13">
        <v>0.26095601638910182</v>
      </c>
      <c r="G66" s="13">
        <v>1.6298349182896898</v>
      </c>
      <c r="H66" s="13">
        <v>0</v>
      </c>
      <c r="I66" s="13">
        <f t="shared" si="0"/>
        <v>0.63026364489293052</v>
      </c>
      <c r="J66" s="30">
        <f t="shared" si="1"/>
        <v>0.72933792699461863</v>
      </c>
    </row>
    <row r="67" spans="2:10" x14ac:dyDescent="0.35">
      <c r="B67" s="18" t="s">
        <v>2199</v>
      </c>
      <c r="C67" s="13" t="s">
        <v>2200</v>
      </c>
      <c r="D67" s="13" t="s">
        <v>2248</v>
      </c>
      <c r="E67" s="13" t="s">
        <v>2249</v>
      </c>
      <c r="F67" s="13">
        <v>0.216696570469148</v>
      </c>
      <c r="G67" s="13">
        <v>1.2070794573186094</v>
      </c>
      <c r="H67" s="13">
        <v>0</v>
      </c>
      <c r="I67" s="13">
        <f t="shared" si="0"/>
        <v>0.47459200926258577</v>
      </c>
      <c r="J67" s="30">
        <f t="shared" si="1"/>
        <v>0.54919549145594015</v>
      </c>
    </row>
    <row r="68" spans="2:10" x14ac:dyDescent="0.35">
      <c r="B68" s="18" t="s">
        <v>2199</v>
      </c>
      <c r="C68" s="13" t="s">
        <v>2200</v>
      </c>
      <c r="D68" s="13" t="s">
        <v>2250</v>
      </c>
      <c r="E68" s="13" t="s">
        <v>2251</v>
      </c>
      <c r="F68" s="13">
        <v>0</v>
      </c>
      <c r="G68" s="13">
        <v>0</v>
      </c>
      <c r="H68" s="13">
        <v>0</v>
      </c>
      <c r="I68" s="13">
        <f t="shared" ref="I68:I131" si="2">SUMPRODUCT(F68:H68,$F$173:$H$173)</f>
        <v>0</v>
      </c>
      <c r="J68" s="30">
        <f t="shared" ref="J68:J131" si="3">(I68-MIN($I$3:$I$171))/(MAX($I$3:$I$171)-MIN($I$3:$I$171))*100</f>
        <v>0</v>
      </c>
    </row>
    <row r="69" spans="2:10" x14ac:dyDescent="0.35">
      <c r="B69" s="18" t="s">
        <v>263</v>
      </c>
      <c r="C69" s="13" t="s">
        <v>2449</v>
      </c>
      <c r="D69" s="13" t="s">
        <v>2449</v>
      </c>
      <c r="E69" s="13" t="s">
        <v>2450</v>
      </c>
      <c r="F69" s="13">
        <v>32.274627906621063</v>
      </c>
      <c r="G69" s="13">
        <v>64.089368548482923</v>
      </c>
      <c r="H69" s="13">
        <v>53.454290426057263</v>
      </c>
      <c r="I69" s="13">
        <f t="shared" si="2"/>
        <v>49.939428960387076</v>
      </c>
      <c r="J69" s="30">
        <f t="shared" si="3"/>
        <v>57.789656580066961</v>
      </c>
    </row>
    <row r="70" spans="2:10" x14ac:dyDescent="0.35">
      <c r="B70" s="18" t="s">
        <v>263</v>
      </c>
      <c r="C70" s="13" t="s">
        <v>2449</v>
      </c>
      <c r="D70" s="13" t="s">
        <v>2451</v>
      </c>
      <c r="E70" s="13" t="s">
        <v>2452</v>
      </c>
      <c r="F70" s="13">
        <v>2.3174411175034866</v>
      </c>
      <c r="G70" s="13">
        <v>26.133070394155755</v>
      </c>
      <c r="H70" s="13">
        <v>5.7940609815439803</v>
      </c>
      <c r="I70" s="13">
        <f t="shared" si="2"/>
        <v>11.414857497734406</v>
      </c>
      <c r="J70" s="30">
        <f t="shared" si="3"/>
        <v>13.209215812774502</v>
      </c>
    </row>
    <row r="71" spans="2:10" x14ac:dyDescent="0.35">
      <c r="B71" s="18" t="s">
        <v>263</v>
      </c>
      <c r="C71" s="13" t="s">
        <v>2449</v>
      </c>
      <c r="D71" s="13" t="s">
        <v>2453</v>
      </c>
      <c r="E71" s="13" t="s">
        <v>2454</v>
      </c>
      <c r="F71" s="13">
        <v>0</v>
      </c>
      <c r="G71" s="13">
        <v>0</v>
      </c>
      <c r="H71" s="13">
        <v>1.13363350537803</v>
      </c>
      <c r="I71" s="13">
        <f t="shared" si="2"/>
        <v>0.37787783512600998</v>
      </c>
      <c r="J71" s="30">
        <f t="shared" si="3"/>
        <v>0.43727833448943032</v>
      </c>
    </row>
    <row r="72" spans="2:10" x14ac:dyDescent="0.35">
      <c r="B72" s="18" t="s">
        <v>263</v>
      </c>
      <c r="C72" s="13" t="s">
        <v>2449</v>
      </c>
      <c r="D72" s="13" t="s">
        <v>2455</v>
      </c>
      <c r="E72" s="13" t="s">
        <v>2456</v>
      </c>
      <c r="F72" s="13">
        <v>0.59391024937066272</v>
      </c>
      <c r="G72" s="13">
        <v>3.9527154018164339</v>
      </c>
      <c r="H72" s="13">
        <v>3.3608531364152996</v>
      </c>
      <c r="I72" s="13">
        <f t="shared" si="2"/>
        <v>2.635826262534132</v>
      </c>
      <c r="J72" s="30">
        <f t="shared" si="3"/>
        <v>3.0501649235395716</v>
      </c>
    </row>
    <row r="73" spans="2:10" x14ac:dyDescent="0.35">
      <c r="B73" s="18" t="s">
        <v>263</v>
      </c>
      <c r="C73" s="13" t="s">
        <v>2449</v>
      </c>
      <c r="D73" s="13" t="s">
        <v>2457</v>
      </c>
      <c r="E73" s="13" t="s">
        <v>2458</v>
      </c>
      <c r="F73" s="13">
        <v>2.6265366860316575</v>
      </c>
      <c r="G73" s="13">
        <v>21.166808776761965</v>
      </c>
      <c r="H73" s="13">
        <v>5.2808645782405081</v>
      </c>
      <c r="I73" s="13">
        <f t="shared" si="2"/>
        <v>9.6914033470113754</v>
      </c>
      <c r="J73" s="30">
        <f t="shared" si="3"/>
        <v>11.214843318431848</v>
      </c>
    </row>
    <row r="74" spans="2:10" x14ac:dyDescent="0.35">
      <c r="B74" s="18" t="s">
        <v>263</v>
      </c>
      <c r="C74" s="13" t="s">
        <v>2449</v>
      </c>
      <c r="D74" s="13" t="s">
        <v>2459</v>
      </c>
      <c r="E74" s="13" t="s">
        <v>2460</v>
      </c>
      <c r="F74" s="13">
        <v>0.17968687841569747</v>
      </c>
      <c r="G74" s="13">
        <v>0.95989791040925665</v>
      </c>
      <c r="H74" s="13">
        <v>0.27513110544591141</v>
      </c>
      <c r="I74" s="13">
        <f t="shared" si="2"/>
        <v>0.47157196475695512</v>
      </c>
      <c r="J74" s="30">
        <f t="shared" si="3"/>
        <v>0.54570071110962592</v>
      </c>
    </row>
    <row r="75" spans="2:10" x14ac:dyDescent="0.35">
      <c r="B75" s="18" t="s">
        <v>263</v>
      </c>
      <c r="C75" s="13" t="s">
        <v>2449</v>
      </c>
      <c r="D75" s="13" t="s">
        <v>2461</v>
      </c>
      <c r="E75" s="13" t="s">
        <v>2462</v>
      </c>
      <c r="F75" s="13">
        <v>5.8969904646520848E-4</v>
      </c>
      <c r="G75" s="13">
        <v>3.1653240945533416</v>
      </c>
      <c r="H75" s="13">
        <v>0</v>
      </c>
      <c r="I75" s="13">
        <f t="shared" si="2"/>
        <v>1.0553045978666022</v>
      </c>
      <c r="J75" s="30">
        <f t="shared" si="3"/>
        <v>1.2211931847769353</v>
      </c>
    </row>
    <row r="76" spans="2:10" x14ac:dyDescent="0.35">
      <c r="B76" s="18" t="s">
        <v>263</v>
      </c>
      <c r="C76" s="13" t="s">
        <v>2449</v>
      </c>
      <c r="D76" s="13" t="s">
        <v>2469</v>
      </c>
      <c r="E76" s="13" t="s">
        <v>2470</v>
      </c>
      <c r="F76" s="13">
        <v>0.10802339928814664</v>
      </c>
      <c r="G76" s="13">
        <v>0.69838001900325075</v>
      </c>
      <c r="H76" s="13">
        <v>7.470312373535883</v>
      </c>
      <c r="I76" s="13">
        <f t="shared" si="2"/>
        <v>2.7589052639424265</v>
      </c>
      <c r="J76" s="30">
        <f t="shared" si="3"/>
        <v>3.1925913263173213</v>
      </c>
    </row>
    <row r="77" spans="2:10" x14ac:dyDescent="0.35">
      <c r="B77" s="18" t="s">
        <v>2619</v>
      </c>
      <c r="C77" s="13" t="s">
        <v>2620</v>
      </c>
      <c r="D77" s="13" t="s">
        <v>2620</v>
      </c>
      <c r="E77" s="13" t="s">
        <v>2621</v>
      </c>
      <c r="F77" s="13">
        <v>18.950953944325647</v>
      </c>
      <c r="G77" s="13">
        <v>60.574233943729439</v>
      </c>
      <c r="H77" s="13">
        <v>27.05559686494113</v>
      </c>
      <c r="I77" s="13">
        <f t="shared" si="2"/>
        <v>35.526928250998736</v>
      </c>
      <c r="J77" s="30">
        <f t="shared" si="3"/>
        <v>41.111583085950905</v>
      </c>
    </row>
    <row r="78" spans="2:10" x14ac:dyDescent="0.35">
      <c r="B78" s="18" t="s">
        <v>2619</v>
      </c>
      <c r="C78" s="13" t="s">
        <v>2620</v>
      </c>
      <c r="D78" s="13" t="s">
        <v>2628</v>
      </c>
      <c r="E78" s="13" t="s">
        <v>2629</v>
      </c>
      <c r="F78" s="13">
        <v>2.7707740530924698</v>
      </c>
      <c r="G78" s="13">
        <v>29.65350981682116</v>
      </c>
      <c r="H78" s="13">
        <v>6.9837494651892627</v>
      </c>
      <c r="I78" s="13">
        <f t="shared" si="2"/>
        <v>13.136011111700963</v>
      </c>
      <c r="J78" s="30">
        <f t="shared" si="3"/>
        <v>15.200926137527432</v>
      </c>
    </row>
    <row r="79" spans="2:10" x14ac:dyDescent="0.35">
      <c r="B79" s="18" t="s">
        <v>2619</v>
      </c>
      <c r="C79" s="13" t="s">
        <v>2620</v>
      </c>
      <c r="D79" s="13" t="s">
        <v>2630</v>
      </c>
      <c r="E79" s="13" t="s">
        <v>2631</v>
      </c>
      <c r="F79" s="13">
        <v>0.76308844877365722</v>
      </c>
      <c r="G79" s="13">
        <v>10.832923463294829</v>
      </c>
      <c r="H79" s="13">
        <v>6.5220320024849325</v>
      </c>
      <c r="I79" s="13">
        <f t="shared" si="2"/>
        <v>6.039347971517806</v>
      </c>
      <c r="J79" s="30">
        <f t="shared" si="3"/>
        <v>6.988703165155953</v>
      </c>
    </row>
    <row r="80" spans="2:10" x14ac:dyDescent="0.35">
      <c r="B80" s="18" t="s">
        <v>2619</v>
      </c>
      <c r="C80" s="13" t="s">
        <v>2620</v>
      </c>
      <c r="D80" s="13" t="s">
        <v>2634</v>
      </c>
      <c r="E80" s="13" t="s">
        <v>2635</v>
      </c>
      <c r="F80" s="13">
        <v>9.4842174642307722E-2</v>
      </c>
      <c r="G80" s="13">
        <v>0.50330941732243095</v>
      </c>
      <c r="H80" s="13">
        <v>0</v>
      </c>
      <c r="I80" s="13">
        <f t="shared" si="2"/>
        <v>0.1993838639882462</v>
      </c>
      <c r="J80" s="30">
        <f t="shared" si="3"/>
        <v>0.23072600683174133</v>
      </c>
    </row>
    <row r="81" spans="2:10" x14ac:dyDescent="0.35">
      <c r="B81" s="18" t="s">
        <v>2619</v>
      </c>
      <c r="C81" s="13" t="s">
        <v>2620</v>
      </c>
      <c r="D81" s="13" t="s">
        <v>2642</v>
      </c>
      <c r="E81" s="13" t="s">
        <v>2643</v>
      </c>
      <c r="F81" s="13">
        <v>0.19360321908731881</v>
      </c>
      <c r="G81" s="13">
        <v>2.20823047685312</v>
      </c>
      <c r="H81" s="13">
        <v>0.39009325318188037</v>
      </c>
      <c r="I81" s="13">
        <f t="shared" si="2"/>
        <v>0.93064231637410622</v>
      </c>
      <c r="J81" s="30">
        <f t="shared" si="3"/>
        <v>1.0769346182311808</v>
      </c>
    </row>
    <row r="82" spans="2:10" x14ac:dyDescent="0.35">
      <c r="B82" s="18" t="s">
        <v>2619</v>
      </c>
      <c r="C82" s="13" t="s">
        <v>2620</v>
      </c>
      <c r="D82" s="13" t="s">
        <v>2654</v>
      </c>
      <c r="E82" s="13" t="s">
        <v>2655</v>
      </c>
      <c r="F82" s="13">
        <v>0.15857079104203611</v>
      </c>
      <c r="G82" s="13">
        <v>2.4757125839282765</v>
      </c>
      <c r="H82" s="13">
        <v>0</v>
      </c>
      <c r="I82" s="13">
        <f t="shared" si="2"/>
        <v>0.87809445832343758</v>
      </c>
      <c r="J82" s="30">
        <f t="shared" si="3"/>
        <v>1.0161265005978166</v>
      </c>
    </row>
    <row r="83" spans="2:10" x14ac:dyDescent="0.35">
      <c r="B83" s="18" t="s">
        <v>2619</v>
      </c>
      <c r="C83" s="13" t="s">
        <v>2619</v>
      </c>
      <c r="D83" s="13" t="s">
        <v>2619</v>
      </c>
      <c r="E83" s="13" t="s">
        <v>2672</v>
      </c>
      <c r="F83" s="13">
        <v>2.4326936038856712</v>
      </c>
      <c r="G83" s="13">
        <v>22.625411433638526</v>
      </c>
      <c r="H83" s="13">
        <v>1.91258987704871</v>
      </c>
      <c r="I83" s="13">
        <f t="shared" si="2"/>
        <v>8.9902316381909682</v>
      </c>
      <c r="J83" s="30">
        <f t="shared" si="3"/>
        <v>10.403450935700926</v>
      </c>
    </row>
    <row r="84" spans="2:10" x14ac:dyDescent="0.35">
      <c r="B84" s="18" t="s">
        <v>2695</v>
      </c>
      <c r="C84" s="13" t="s">
        <v>2696</v>
      </c>
      <c r="D84" s="13" t="s">
        <v>2697</v>
      </c>
      <c r="E84" s="13" t="s">
        <v>2698</v>
      </c>
      <c r="F84" s="13">
        <v>100</v>
      </c>
      <c r="G84" s="13">
        <v>59.247581223448819</v>
      </c>
      <c r="H84" s="13">
        <v>100</v>
      </c>
      <c r="I84" s="13">
        <f t="shared" si="2"/>
        <v>86.415860407816268</v>
      </c>
      <c r="J84" s="30">
        <f t="shared" si="3"/>
        <v>100</v>
      </c>
    </row>
    <row r="85" spans="2:10" x14ac:dyDescent="0.35">
      <c r="B85" s="18" t="s">
        <v>2695</v>
      </c>
      <c r="C85" s="13" t="s">
        <v>2696</v>
      </c>
      <c r="D85" s="13" t="s">
        <v>2699</v>
      </c>
      <c r="E85" s="13" t="s">
        <v>2700</v>
      </c>
      <c r="F85" s="13">
        <v>0.24455366644514781</v>
      </c>
      <c r="G85" s="13">
        <v>3.169847266809263</v>
      </c>
      <c r="H85" s="13">
        <v>2.5592715998683535</v>
      </c>
      <c r="I85" s="13">
        <f t="shared" si="2"/>
        <v>1.9912241777075879</v>
      </c>
      <c r="J85" s="30">
        <f t="shared" si="3"/>
        <v>2.3042346258089013</v>
      </c>
    </row>
    <row r="86" spans="2:10" x14ac:dyDescent="0.35">
      <c r="B86" s="18" t="s">
        <v>2695</v>
      </c>
      <c r="C86" s="13" t="s">
        <v>2696</v>
      </c>
      <c r="D86" s="13" t="s">
        <v>2701</v>
      </c>
      <c r="E86" s="13" t="s">
        <v>2702</v>
      </c>
      <c r="F86" s="13">
        <v>12.792864937511652</v>
      </c>
      <c r="G86" s="13">
        <v>76.616518232403564</v>
      </c>
      <c r="H86" s="13">
        <v>64.719982070403873</v>
      </c>
      <c r="I86" s="13">
        <f t="shared" si="2"/>
        <v>51.376455080106361</v>
      </c>
      <c r="J86" s="30">
        <f t="shared" si="3"/>
        <v>59.452575994324519</v>
      </c>
    </row>
    <row r="87" spans="2:10" x14ac:dyDescent="0.35">
      <c r="B87" s="18" t="s">
        <v>2695</v>
      </c>
      <c r="C87" s="13" t="s">
        <v>2696</v>
      </c>
      <c r="D87" s="13" t="s">
        <v>2703</v>
      </c>
      <c r="E87" s="13" t="s">
        <v>2704</v>
      </c>
      <c r="F87" s="13">
        <v>0.36666473716110681</v>
      </c>
      <c r="G87" s="13">
        <v>0.14114446037906705</v>
      </c>
      <c r="H87" s="13">
        <v>8.0727148549951337</v>
      </c>
      <c r="I87" s="13">
        <f t="shared" si="2"/>
        <v>2.8601746841784355</v>
      </c>
      <c r="J87" s="30">
        <f t="shared" si="3"/>
        <v>3.3097797912103344</v>
      </c>
    </row>
    <row r="88" spans="2:10" x14ac:dyDescent="0.35">
      <c r="B88" s="18" t="s">
        <v>2695</v>
      </c>
      <c r="C88" s="13" t="s">
        <v>2696</v>
      </c>
      <c r="D88" s="13" t="s">
        <v>2705</v>
      </c>
      <c r="E88" s="13" t="s">
        <v>2706</v>
      </c>
      <c r="F88" s="13">
        <v>1.1838559050430639</v>
      </c>
      <c r="G88" s="13">
        <v>0.205469082043121</v>
      </c>
      <c r="H88" s="13">
        <v>9.0291742218891766</v>
      </c>
      <c r="I88" s="13">
        <f t="shared" si="2"/>
        <v>3.4728330696584537</v>
      </c>
      <c r="J88" s="30">
        <f t="shared" si="3"/>
        <v>4.0187450003614584</v>
      </c>
    </row>
    <row r="89" spans="2:10" x14ac:dyDescent="0.35">
      <c r="B89" s="18" t="s">
        <v>2695</v>
      </c>
      <c r="C89" s="13" t="s">
        <v>2696</v>
      </c>
      <c r="D89" s="13" t="s">
        <v>2707</v>
      </c>
      <c r="E89" s="13" t="s">
        <v>2708</v>
      </c>
      <c r="F89" s="13">
        <v>3.1169772934502871</v>
      </c>
      <c r="G89" s="13">
        <v>25.05399189585339</v>
      </c>
      <c r="H89" s="13">
        <v>14.599269501134144</v>
      </c>
      <c r="I89" s="13">
        <f t="shared" si="2"/>
        <v>14.256746230145939</v>
      </c>
      <c r="J89" s="30">
        <f t="shared" si="3"/>
        <v>16.497835192365248</v>
      </c>
    </row>
    <row r="90" spans="2:10" x14ac:dyDescent="0.35">
      <c r="B90" s="18" t="s">
        <v>2695</v>
      </c>
      <c r="C90" s="13" t="s">
        <v>2696</v>
      </c>
      <c r="D90" s="13" t="s">
        <v>2709</v>
      </c>
      <c r="E90" s="13" t="s">
        <v>2710</v>
      </c>
      <c r="F90" s="13">
        <v>0.2307277027474173</v>
      </c>
      <c r="G90" s="13">
        <v>1.1816815302206625</v>
      </c>
      <c r="H90" s="13">
        <v>0.73467416397617524</v>
      </c>
      <c r="I90" s="13">
        <f t="shared" si="2"/>
        <v>0.71569446564808503</v>
      </c>
      <c r="J90" s="30">
        <f t="shared" si="3"/>
        <v>0.8281980440518194</v>
      </c>
    </row>
    <row r="91" spans="2:10" x14ac:dyDescent="0.35">
      <c r="B91" s="18" t="s">
        <v>2695</v>
      </c>
      <c r="C91" s="13" t="s">
        <v>2696</v>
      </c>
      <c r="D91" s="13" t="s">
        <v>2711</v>
      </c>
      <c r="E91" s="13" t="s">
        <v>2712</v>
      </c>
      <c r="F91" s="13">
        <v>3.8906817171227126</v>
      </c>
      <c r="G91" s="13">
        <v>21.631736058340252</v>
      </c>
      <c r="H91" s="13">
        <v>20.492219691245726</v>
      </c>
      <c r="I91" s="13">
        <f t="shared" si="2"/>
        <v>15.338212488902895</v>
      </c>
      <c r="J91" s="30">
        <f t="shared" si="3"/>
        <v>17.749302519836466</v>
      </c>
    </row>
    <row r="92" spans="2:10" x14ac:dyDescent="0.35">
      <c r="B92" s="18" t="s">
        <v>2695</v>
      </c>
      <c r="C92" s="13" t="s">
        <v>2696</v>
      </c>
      <c r="D92" s="13" t="s">
        <v>2713</v>
      </c>
      <c r="E92" s="13" t="s">
        <v>2714</v>
      </c>
      <c r="F92" s="13">
        <v>0</v>
      </c>
      <c r="G92" s="13">
        <v>0</v>
      </c>
      <c r="H92" s="13">
        <v>1.8863966185819603</v>
      </c>
      <c r="I92" s="13">
        <f t="shared" si="2"/>
        <v>0.62879887286065339</v>
      </c>
      <c r="J92" s="30">
        <f t="shared" si="3"/>
        <v>0.72764290014958743</v>
      </c>
    </row>
    <row r="93" spans="2:10" x14ac:dyDescent="0.35">
      <c r="B93" s="18" t="s">
        <v>2695</v>
      </c>
      <c r="C93" s="13" t="s">
        <v>2696</v>
      </c>
      <c r="D93" s="13" t="s">
        <v>2715</v>
      </c>
      <c r="E93" s="13" t="s">
        <v>2716</v>
      </c>
      <c r="F93" s="13">
        <v>6.0990687737578408</v>
      </c>
      <c r="G93" s="13">
        <v>39.280754116910998</v>
      </c>
      <c r="H93" s="13">
        <v>24.189023290941098</v>
      </c>
      <c r="I93" s="13">
        <f t="shared" si="2"/>
        <v>23.189615393869978</v>
      </c>
      <c r="J93" s="30">
        <f t="shared" si="3"/>
        <v>26.834906560477283</v>
      </c>
    </row>
    <row r="94" spans="2:10" x14ac:dyDescent="0.35">
      <c r="B94" s="18" t="s">
        <v>2695</v>
      </c>
      <c r="C94" s="13" t="s">
        <v>2696</v>
      </c>
      <c r="D94" s="13" t="s">
        <v>2717</v>
      </c>
      <c r="E94" s="13" t="s">
        <v>2718</v>
      </c>
      <c r="F94" s="13">
        <v>1.2833689844260312</v>
      </c>
      <c r="G94" s="13">
        <v>14.772421274112798</v>
      </c>
      <c r="H94" s="13">
        <v>5.7763850435480322</v>
      </c>
      <c r="I94" s="13">
        <f t="shared" si="2"/>
        <v>7.2773917673622872</v>
      </c>
      <c r="J94" s="30">
        <f t="shared" si="3"/>
        <v>8.4213612327859781</v>
      </c>
    </row>
    <row r="95" spans="2:10" x14ac:dyDescent="0.35">
      <c r="B95" s="18" t="s">
        <v>2695</v>
      </c>
      <c r="C95" s="13" t="s">
        <v>2696</v>
      </c>
      <c r="D95" s="13" t="s">
        <v>2719</v>
      </c>
      <c r="E95" s="13" t="s">
        <v>2720</v>
      </c>
      <c r="F95" s="13">
        <v>3.2800600799566157</v>
      </c>
      <c r="G95" s="13">
        <v>16.672372186024703</v>
      </c>
      <c r="H95" s="13">
        <v>8.461775173750361</v>
      </c>
      <c r="I95" s="13">
        <f t="shared" si="2"/>
        <v>9.4714024799105587</v>
      </c>
      <c r="J95" s="30">
        <f t="shared" si="3"/>
        <v>10.960259419061313</v>
      </c>
    </row>
    <row r="96" spans="2:10" x14ac:dyDescent="0.35">
      <c r="B96" s="18" t="s">
        <v>2695</v>
      </c>
      <c r="C96" s="13" t="s">
        <v>2696</v>
      </c>
      <c r="D96" s="13" t="s">
        <v>2721</v>
      </c>
      <c r="E96" s="13" t="s">
        <v>2722</v>
      </c>
      <c r="F96" s="13">
        <v>1.9593765418128368</v>
      </c>
      <c r="G96" s="13">
        <v>1.176128512029323</v>
      </c>
      <c r="H96" s="13">
        <v>12.872798763403736</v>
      </c>
      <c r="I96" s="13">
        <f t="shared" si="2"/>
        <v>5.3361012724152985</v>
      </c>
      <c r="J96" s="30">
        <f t="shared" si="3"/>
        <v>6.1749096140835871</v>
      </c>
    </row>
    <row r="97" spans="2:10" x14ac:dyDescent="0.35">
      <c r="B97" s="18" t="s">
        <v>2695</v>
      </c>
      <c r="C97" s="13" t="s">
        <v>2696</v>
      </c>
      <c r="D97" s="13" t="s">
        <v>2723</v>
      </c>
      <c r="E97" s="13" t="s">
        <v>2724</v>
      </c>
      <c r="F97" s="13">
        <v>3.6701009713289898</v>
      </c>
      <c r="G97" s="13">
        <v>3.0609095710436072</v>
      </c>
      <c r="H97" s="13">
        <v>12.755162485782495</v>
      </c>
      <c r="I97" s="13">
        <f t="shared" si="2"/>
        <v>6.4953910093850302</v>
      </c>
      <c r="J97" s="30">
        <f t="shared" si="3"/>
        <v>7.5164338799981749</v>
      </c>
    </row>
    <row r="98" spans="2:10" x14ac:dyDescent="0.35">
      <c r="B98" s="18" t="s">
        <v>2695</v>
      </c>
      <c r="C98" s="13" t="s">
        <v>2696</v>
      </c>
      <c r="D98" s="13" t="s">
        <v>2725</v>
      </c>
      <c r="E98" s="13" t="s">
        <v>2726</v>
      </c>
      <c r="F98" s="13">
        <v>11.039341978017243</v>
      </c>
      <c r="G98" s="13">
        <v>9.9566616380796145</v>
      </c>
      <c r="H98" s="13">
        <v>59.388963405775343</v>
      </c>
      <c r="I98" s="13">
        <f t="shared" si="2"/>
        <v>26.794989007290731</v>
      </c>
      <c r="J98" s="30">
        <f t="shared" si="3"/>
        <v>31.007026812947338</v>
      </c>
    </row>
    <row r="99" spans="2:10" x14ac:dyDescent="0.35">
      <c r="B99" s="18" t="s">
        <v>2695</v>
      </c>
      <c r="C99" s="13" t="s">
        <v>2696</v>
      </c>
      <c r="D99" s="13" t="s">
        <v>2727</v>
      </c>
      <c r="E99" s="13" t="s">
        <v>2728</v>
      </c>
      <c r="F99" s="13">
        <v>1.4555671025703387</v>
      </c>
      <c r="G99" s="13">
        <v>1.0069188976692105</v>
      </c>
      <c r="H99" s="13">
        <v>5.4254316343853004</v>
      </c>
      <c r="I99" s="13">
        <f t="shared" si="2"/>
        <v>2.629305878208283</v>
      </c>
      <c r="J99" s="30">
        <f t="shared" si="3"/>
        <v>3.0426195675191861</v>
      </c>
    </row>
    <row r="100" spans="2:10" x14ac:dyDescent="0.35">
      <c r="B100" s="18" t="s">
        <v>2695</v>
      </c>
      <c r="C100" s="13" t="s">
        <v>2696</v>
      </c>
      <c r="D100" s="13" t="s">
        <v>2729</v>
      </c>
      <c r="E100" s="13" t="s">
        <v>2730</v>
      </c>
      <c r="F100" s="13">
        <v>10.893346221989297</v>
      </c>
      <c r="G100" s="13">
        <v>45.55985814650181</v>
      </c>
      <c r="H100" s="13">
        <v>31.21726654878</v>
      </c>
      <c r="I100" s="13">
        <f t="shared" si="2"/>
        <v>29.223490305757032</v>
      </c>
      <c r="J100" s="30">
        <f t="shared" si="3"/>
        <v>33.817276328494188</v>
      </c>
    </row>
    <row r="101" spans="2:10" x14ac:dyDescent="0.35">
      <c r="B101" s="18" t="s">
        <v>2695</v>
      </c>
      <c r="C101" s="13" t="s">
        <v>2696</v>
      </c>
      <c r="D101" s="13" t="s">
        <v>2731</v>
      </c>
      <c r="E101" s="13" t="s">
        <v>2732</v>
      </c>
      <c r="F101" s="13">
        <v>1.9333156346520557</v>
      </c>
      <c r="G101" s="13">
        <v>13.840551472866766</v>
      </c>
      <c r="H101" s="13">
        <v>17.467750793681091</v>
      </c>
      <c r="I101" s="13">
        <f t="shared" si="2"/>
        <v>11.08053930039997</v>
      </c>
      <c r="J101" s="30">
        <f t="shared" si="3"/>
        <v>12.82234447254053</v>
      </c>
    </row>
    <row r="102" spans="2:10" x14ac:dyDescent="0.35">
      <c r="B102" s="18" t="s">
        <v>2695</v>
      </c>
      <c r="C102" s="13" t="s">
        <v>2696</v>
      </c>
      <c r="D102" s="13" t="s">
        <v>2733</v>
      </c>
      <c r="E102" s="13" t="s">
        <v>2734</v>
      </c>
      <c r="F102" s="13">
        <v>4.6183138013112375</v>
      </c>
      <c r="G102" s="13">
        <v>13.922783559465399</v>
      </c>
      <c r="H102" s="13">
        <v>13.701388690777726</v>
      </c>
      <c r="I102" s="13">
        <f t="shared" si="2"/>
        <v>10.74749535051812</v>
      </c>
      <c r="J102" s="30">
        <f t="shared" si="3"/>
        <v>12.436947685064089</v>
      </c>
    </row>
    <row r="103" spans="2:10" x14ac:dyDescent="0.35">
      <c r="B103" s="18" t="s">
        <v>2695</v>
      </c>
      <c r="C103" s="13" t="s">
        <v>2696</v>
      </c>
      <c r="D103" s="13" t="s">
        <v>2735</v>
      </c>
      <c r="E103" s="13" t="s">
        <v>2736</v>
      </c>
      <c r="F103" s="13">
        <v>1.952150560088755</v>
      </c>
      <c r="G103" s="13">
        <v>4.2513262693064169</v>
      </c>
      <c r="H103" s="13">
        <v>10.361947488586585</v>
      </c>
      <c r="I103" s="13">
        <f t="shared" si="2"/>
        <v>5.5218081059939186</v>
      </c>
      <c r="J103" s="30">
        <f t="shared" si="3"/>
        <v>6.3898086299612595</v>
      </c>
    </row>
    <row r="104" spans="2:10" x14ac:dyDescent="0.35">
      <c r="B104" s="18" t="s">
        <v>2695</v>
      </c>
      <c r="C104" s="13" t="s">
        <v>2696</v>
      </c>
      <c r="D104" s="13" t="s">
        <v>2737</v>
      </c>
      <c r="E104" s="13" t="s">
        <v>2738</v>
      </c>
      <c r="F104" s="13">
        <v>0.56004030050613662</v>
      </c>
      <c r="G104" s="13">
        <v>6.6254656672518147E-2</v>
      </c>
      <c r="H104" s="13">
        <v>10.681084566942092</v>
      </c>
      <c r="I104" s="13">
        <f t="shared" si="2"/>
        <v>3.769126508040249</v>
      </c>
      <c r="J104" s="30">
        <f t="shared" si="3"/>
        <v>4.3616142803564957</v>
      </c>
    </row>
    <row r="105" spans="2:10" x14ac:dyDescent="0.35">
      <c r="B105" s="18" t="s">
        <v>2695</v>
      </c>
      <c r="C105" s="13" t="s">
        <v>2696</v>
      </c>
      <c r="D105" s="13" t="s">
        <v>2739</v>
      </c>
      <c r="E105" s="13" t="s">
        <v>2740</v>
      </c>
      <c r="F105" s="13">
        <v>26.081374654161245</v>
      </c>
      <c r="G105" s="13">
        <v>7.1723990620400313</v>
      </c>
      <c r="H105" s="13">
        <v>24.980261382975787</v>
      </c>
      <c r="I105" s="13">
        <f t="shared" si="2"/>
        <v>19.411345033059021</v>
      </c>
      <c r="J105" s="30">
        <f t="shared" si="3"/>
        <v>22.462711059581462</v>
      </c>
    </row>
    <row r="106" spans="2:10" x14ac:dyDescent="0.35">
      <c r="B106" s="18" t="s">
        <v>2695</v>
      </c>
      <c r="C106" s="13" t="s">
        <v>2696</v>
      </c>
      <c r="D106" s="13" t="s">
        <v>2741</v>
      </c>
      <c r="E106" s="13" t="s">
        <v>2742</v>
      </c>
      <c r="F106" s="13">
        <v>2.2246946392545639</v>
      </c>
      <c r="G106" s="13">
        <v>22.157257548428046</v>
      </c>
      <c r="H106" s="13">
        <v>5.4842253110981707</v>
      </c>
      <c r="I106" s="13">
        <f t="shared" si="2"/>
        <v>9.955392499593593</v>
      </c>
      <c r="J106" s="30">
        <f t="shared" si="3"/>
        <v>11.520330241013411</v>
      </c>
    </row>
    <row r="107" spans="2:10" x14ac:dyDescent="0.35">
      <c r="B107" s="18" t="s">
        <v>2695</v>
      </c>
      <c r="C107" s="13" t="s">
        <v>2696</v>
      </c>
      <c r="D107" s="13" t="s">
        <v>2743</v>
      </c>
      <c r="E107" s="13" t="s">
        <v>2744</v>
      </c>
      <c r="F107" s="13">
        <v>0</v>
      </c>
      <c r="G107" s="13">
        <v>0</v>
      </c>
      <c r="H107" s="13">
        <v>0.2136883704662248</v>
      </c>
      <c r="I107" s="13">
        <f t="shared" si="2"/>
        <v>7.1229456822074932E-2</v>
      </c>
      <c r="J107" s="30">
        <f t="shared" si="3"/>
        <v>8.2426369981073833E-2</v>
      </c>
    </row>
    <row r="108" spans="2:10" x14ac:dyDescent="0.35">
      <c r="B108" s="18" t="s">
        <v>2695</v>
      </c>
      <c r="C108" s="13" t="s">
        <v>2696</v>
      </c>
      <c r="D108" s="13" t="s">
        <v>2745</v>
      </c>
      <c r="E108" s="13" t="s">
        <v>2746</v>
      </c>
      <c r="F108" s="13">
        <v>5.0132896609522497</v>
      </c>
      <c r="G108" s="13">
        <v>37.711828288082287</v>
      </c>
      <c r="H108" s="13">
        <v>21.240435414254829</v>
      </c>
      <c r="I108" s="13">
        <f t="shared" si="2"/>
        <v>21.321851121096454</v>
      </c>
      <c r="J108" s="30">
        <f t="shared" si="3"/>
        <v>24.673539117094649</v>
      </c>
    </row>
    <row r="109" spans="2:10" x14ac:dyDescent="0.35">
      <c r="B109" s="18" t="s">
        <v>2695</v>
      </c>
      <c r="C109" s="13" t="s">
        <v>2696</v>
      </c>
      <c r="D109" s="13" t="s">
        <v>2747</v>
      </c>
      <c r="E109" s="13" t="s">
        <v>2748</v>
      </c>
      <c r="F109" s="13">
        <v>0</v>
      </c>
      <c r="G109" s="13">
        <v>0</v>
      </c>
      <c r="H109" s="13">
        <v>0.69984643515852762</v>
      </c>
      <c r="I109" s="13">
        <f t="shared" si="2"/>
        <v>0.23328214505284253</v>
      </c>
      <c r="J109" s="30">
        <f t="shared" si="3"/>
        <v>0.26995292756668809</v>
      </c>
    </row>
    <row r="110" spans="2:10" x14ac:dyDescent="0.35">
      <c r="B110" s="18" t="s">
        <v>2695</v>
      </c>
      <c r="C110" s="13" t="s">
        <v>2696</v>
      </c>
      <c r="D110" s="13" t="s">
        <v>2749</v>
      </c>
      <c r="E110" s="13" t="s">
        <v>2750</v>
      </c>
      <c r="F110" s="13">
        <v>0</v>
      </c>
      <c r="G110" s="13">
        <v>0</v>
      </c>
      <c r="H110" s="13">
        <v>0</v>
      </c>
      <c r="I110" s="13">
        <f t="shared" si="2"/>
        <v>0</v>
      </c>
      <c r="J110" s="30">
        <f t="shared" si="3"/>
        <v>0</v>
      </c>
    </row>
    <row r="111" spans="2:10" x14ac:dyDescent="0.35">
      <c r="B111" s="18" t="s">
        <v>2695</v>
      </c>
      <c r="C111" s="13" t="s">
        <v>2696</v>
      </c>
      <c r="D111" s="13" t="s">
        <v>2751</v>
      </c>
      <c r="E111" s="13" t="s">
        <v>2752</v>
      </c>
      <c r="F111" s="13">
        <v>1.923734711684127</v>
      </c>
      <c r="G111" s="13">
        <v>6.8534394761210784</v>
      </c>
      <c r="H111" s="13">
        <v>7.2556345884215601</v>
      </c>
      <c r="I111" s="13">
        <f t="shared" si="2"/>
        <v>5.3442695920755883</v>
      </c>
      <c r="J111" s="30">
        <f t="shared" si="3"/>
        <v>6.1843619526030915</v>
      </c>
    </row>
    <row r="112" spans="2:10" x14ac:dyDescent="0.35">
      <c r="B112" s="18" t="s">
        <v>2695</v>
      </c>
      <c r="C112" s="13" t="s">
        <v>2696</v>
      </c>
      <c r="D112" s="13" t="s">
        <v>2753</v>
      </c>
      <c r="E112" s="13" t="s">
        <v>2754</v>
      </c>
      <c r="F112" s="13">
        <v>0</v>
      </c>
      <c r="G112" s="13">
        <v>0</v>
      </c>
      <c r="H112" s="13">
        <v>0</v>
      </c>
      <c r="I112" s="13">
        <f t="shared" si="2"/>
        <v>0</v>
      </c>
      <c r="J112" s="30">
        <f t="shared" si="3"/>
        <v>0</v>
      </c>
    </row>
    <row r="113" spans="2:10" x14ac:dyDescent="0.35">
      <c r="B113" s="18" t="s">
        <v>2695</v>
      </c>
      <c r="C113" s="13" t="s">
        <v>2696</v>
      </c>
      <c r="D113" s="13" t="s">
        <v>2755</v>
      </c>
      <c r="E113" s="13" t="s">
        <v>2756</v>
      </c>
      <c r="F113" s="13">
        <v>3.6435079750885127</v>
      </c>
      <c r="G113" s="13">
        <v>5.0532798944548691</v>
      </c>
      <c r="H113" s="13">
        <v>14.668327303397794</v>
      </c>
      <c r="I113" s="13">
        <f t="shared" si="2"/>
        <v>7.7883717243137243</v>
      </c>
      <c r="J113" s="30">
        <f t="shared" si="3"/>
        <v>9.0126646747004671</v>
      </c>
    </row>
    <row r="114" spans="2:10" x14ac:dyDescent="0.35">
      <c r="B114" s="18" t="s">
        <v>2695</v>
      </c>
      <c r="C114" s="13" t="s">
        <v>2696</v>
      </c>
      <c r="D114" s="13" t="s">
        <v>2757</v>
      </c>
      <c r="E114" s="13" t="s">
        <v>2758</v>
      </c>
      <c r="F114" s="13">
        <v>51.472008912129084</v>
      </c>
      <c r="G114" s="13">
        <v>42.148452736128391</v>
      </c>
      <c r="H114" s="13">
        <v>20.871015356198892</v>
      </c>
      <c r="I114" s="13">
        <f t="shared" si="2"/>
        <v>38.163825668152121</v>
      </c>
      <c r="J114" s="30">
        <f t="shared" si="3"/>
        <v>44.162987544240465</v>
      </c>
    </row>
    <row r="115" spans="2:10" x14ac:dyDescent="0.35">
      <c r="B115" s="18" t="s">
        <v>2695</v>
      </c>
      <c r="C115" s="13" t="s">
        <v>2696</v>
      </c>
      <c r="D115" s="13" t="s">
        <v>2759</v>
      </c>
      <c r="E115" s="13" t="s">
        <v>2760</v>
      </c>
      <c r="F115" s="13">
        <v>13.893512882911565</v>
      </c>
      <c r="G115" s="13">
        <v>84.956447704256703</v>
      </c>
      <c r="H115" s="13">
        <v>37.753277827435703</v>
      </c>
      <c r="I115" s="13">
        <f t="shared" si="2"/>
        <v>45.534412804867991</v>
      </c>
      <c r="J115" s="30">
        <f t="shared" si="3"/>
        <v>52.692193990756621</v>
      </c>
    </row>
    <row r="116" spans="2:10" x14ac:dyDescent="0.35">
      <c r="B116" s="18" t="s">
        <v>2695</v>
      </c>
      <c r="C116" s="13" t="s">
        <v>2696</v>
      </c>
      <c r="D116" s="13" t="s">
        <v>2761</v>
      </c>
      <c r="E116" s="13" t="s">
        <v>2762</v>
      </c>
      <c r="F116" s="13">
        <v>6.9879425883956969</v>
      </c>
      <c r="G116" s="13">
        <v>33.768292592121853</v>
      </c>
      <c r="H116" s="13">
        <v>16.885931379552414</v>
      </c>
      <c r="I116" s="13">
        <f t="shared" si="2"/>
        <v>19.214055520023319</v>
      </c>
      <c r="J116" s="30">
        <f t="shared" si="3"/>
        <v>22.234408625161844</v>
      </c>
    </row>
    <row r="117" spans="2:10" x14ac:dyDescent="0.35">
      <c r="B117" s="18" t="s">
        <v>2695</v>
      </c>
      <c r="C117" s="13" t="s">
        <v>2696</v>
      </c>
      <c r="D117" s="13" t="s">
        <v>2763</v>
      </c>
      <c r="E117" s="13" t="s">
        <v>2764</v>
      </c>
      <c r="F117" s="13">
        <v>1.4624615592811907</v>
      </c>
      <c r="G117" s="13">
        <v>3.4950970627941897</v>
      </c>
      <c r="H117" s="13">
        <v>12.066005337185999</v>
      </c>
      <c r="I117" s="13">
        <f t="shared" si="2"/>
        <v>5.6745213197537927</v>
      </c>
      <c r="J117" s="30">
        <f t="shared" si="3"/>
        <v>6.5665275945577877</v>
      </c>
    </row>
    <row r="118" spans="2:10" x14ac:dyDescent="0.35">
      <c r="B118" s="18" t="s">
        <v>2695</v>
      </c>
      <c r="C118" s="13" t="s">
        <v>2696</v>
      </c>
      <c r="D118" s="13" t="s">
        <v>2765</v>
      </c>
      <c r="E118" s="13" t="s">
        <v>2766</v>
      </c>
      <c r="F118" s="13">
        <v>7.1421760342630343</v>
      </c>
      <c r="G118" s="13">
        <v>25.471216565523818</v>
      </c>
      <c r="H118" s="13">
        <v>42.189686898078747</v>
      </c>
      <c r="I118" s="13">
        <f t="shared" si="2"/>
        <v>24.934359832621865</v>
      </c>
      <c r="J118" s="30">
        <f t="shared" si="3"/>
        <v>28.853916069285084</v>
      </c>
    </row>
    <row r="119" spans="2:10" x14ac:dyDescent="0.35">
      <c r="B119" s="18" t="s">
        <v>2695</v>
      </c>
      <c r="C119" s="13" t="s">
        <v>2696</v>
      </c>
      <c r="D119" s="13" t="s">
        <v>2767</v>
      </c>
      <c r="E119" s="13" t="s">
        <v>2768</v>
      </c>
      <c r="F119" s="13">
        <v>1.6194032089952948</v>
      </c>
      <c r="G119" s="13">
        <v>0.53305270155075912</v>
      </c>
      <c r="H119" s="13">
        <v>15.360407428867322</v>
      </c>
      <c r="I119" s="13">
        <f t="shared" si="2"/>
        <v>5.837621113137792</v>
      </c>
      <c r="J119" s="30">
        <f t="shared" si="3"/>
        <v>6.7552658569719943</v>
      </c>
    </row>
    <row r="120" spans="2:10" x14ac:dyDescent="0.35">
      <c r="B120" s="18" t="s">
        <v>2695</v>
      </c>
      <c r="C120" s="13" t="s">
        <v>2696</v>
      </c>
      <c r="D120" s="13" t="s">
        <v>2769</v>
      </c>
      <c r="E120" s="13" t="s">
        <v>2770</v>
      </c>
      <c r="F120" s="13">
        <v>5.4293697218957133</v>
      </c>
      <c r="G120" s="13">
        <v>14.773951225088796</v>
      </c>
      <c r="H120" s="13">
        <v>23.520577249658587</v>
      </c>
      <c r="I120" s="13">
        <f t="shared" si="2"/>
        <v>14.574632732214365</v>
      </c>
      <c r="J120" s="30">
        <f t="shared" si="3"/>
        <v>16.865691857297179</v>
      </c>
    </row>
    <row r="121" spans="2:10" x14ac:dyDescent="0.35">
      <c r="B121" s="18" t="s">
        <v>2695</v>
      </c>
      <c r="C121" s="13" t="s">
        <v>2696</v>
      </c>
      <c r="D121" s="13" t="s">
        <v>2771</v>
      </c>
      <c r="E121" s="13" t="s">
        <v>2772</v>
      </c>
      <c r="F121" s="13">
        <v>0</v>
      </c>
      <c r="G121" s="13">
        <v>0</v>
      </c>
      <c r="H121" s="13">
        <v>0</v>
      </c>
      <c r="I121" s="13">
        <f t="shared" si="2"/>
        <v>0</v>
      </c>
      <c r="J121" s="30">
        <f t="shared" si="3"/>
        <v>0</v>
      </c>
    </row>
    <row r="122" spans="2:10" x14ac:dyDescent="0.35">
      <c r="B122" s="18" t="s">
        <v>2695</v>
      </c>
      <c r="C122" s="13" t="s">
        <v>2696</v>
      </c>
      <c r="D122" s="13" t="s">
        <v>2773</v>
      </c>
      <c r="E122" s="13" t="s">
        <v>2774</v>
      </c>
      <c r="F122" s="13">
        <v>0</v>
      </c>
      <c r="G122" s="13">
        <v>0</v>
      </c>
      <c r="H122" s="13">
        <v>0.34006042078005272</v>
      </c>
      <c r="I122" s="13">
        <f t="shared" si="2"/>
        <v>0.11335347359335091</v>
      </c>
      <c r="J122" s="30">
        <f t="shared" si="3"/>
        <v>0.13117207079627496</v>
      </c>
    </row>
    <row r="123" spans="2:10" x14ac:dyDescent="0.35">
      <c r="B123" s="18" t="s">
        <v>2695</v>
      </c>
      <c r="C123" s="13" t="s">
        <v>2696</v>
      </c>
      <c r="D123" s="13" t="s">
        <v>2775</v>
      </c>
      <c r="E123" s="13" t="s">
        <v>2776</v>
      </c>
      <c r="F123" s="13">
        <v>8.900641564828387</v>
      </c>
      <c r="G123" s="13">
        <v>6.0425284140235531</v>
      </c>
      <c r="H123" s="13">
        <v>35.452471045752915</v>
      </c>
      <c r="I123" s="13">
        <f t="shared" si="2"/>
        <v>16.798547008201616</v>
      </c>
      <c r="J123" s="30">
        <f t="shared" si="3"/>
        <v>19.439194297117936</v>
      </c>
    </row>
    <row r="124" spans="2:10" x14ac:dyDescent="0.35">
      <c r="B124" s="18" t="s">
        <v>2695</v>
      </c>
      <c r="C124" s="13" t="s">
        <v>2696</v>
      </c>
      <c r="D124" s="13" t="s">
        <v>2777</v>
      </c>
      <c r="E124" s="13" t="s">
        <v>2778</v>
      </c>
      <c r="F124" s="13">
        <v>1.2477116274475417</v>
      </c>
      <c r="G124" s="13">
        <v>4.0452089029514315</v>
      </c>
      <c r="H124" s="13">
        <v>12.267501343024025</v>
      </c>
      <c r="I124" s="13">
        <f t="shared" si="2"/>
        <v>5.8534739578076653</v>
      </c>
      <c r="J124" s="30">
        <f t="shared" si="3"/>
        <v>6.7736106892690522</v>
      </c>
    </row>
    <row r="125" spans="2:10" x14ac:dyDescent="0.35">
      <c r="B125" s="18" t="s">
        <v>2695</v>
      </c>
      <c r="C125" s="13" t="s">
        <v>2696</v>
      </c>
      <c r="D125" s="13" t="s">
        <v>2779</v>
      </c>
      <c r="E125" s="13" t="s">
        <v>2780</v>
      </c>
      <c r="F125" s="13">
        <v>7.4622994139951677</v>
      </c>
      <c r="G125" s="13">
        <v>42.352695634701647</v>
      </c>
      <c r="H125" s="13">
        <v>35.707650222244133</v>
      </c>
      <c r="I125" s="13">
        <f t="shared" si="2"/>
        <v>28.50754842364698</v>
      </c>
      <c r="J125" s="30">
        <f t="shared" si="3"/>
        <v>32.988791975354196</v>
      </c>
    </row>
    <row r="126" spans="2:10" x14ac:dyDescent="0.35">
      <c r="B126" s="18" t="s">
        <v>2695</v>
      </c>
      <c r="C126" s="13" t="s">
        <v>2696</v>
      </c>
      <c r="D126" s="13" t="s">
        <v>2781</v>
      </c>
      <c r="E126" s="13" t="s">
        <v>2782</v>
      </c>
      <c r="F126" s="13">
        <v>4.3071601220743201</v>
      </c>
      <c r="G126" s="13">
        <v>38.40816343314183</v>
      </c>
      <c r="H126" s="13">
        <v>8.6903096401036954</v>
      </c>
      <c r="I126" s="13">
        <f t="shared" si="2"/>
        <v>17.135211065106613</v>
      </c>
      <c r="J126" s="30">
        <f t="shared" si="3"/>
        <v>19.828780254274644</v>
      </c>
    </row>
    <row r="127" spans="2:10" x14ac:dyDescent="0.35">
      <c r="B127" s="18" t="s">
        <v>2695</v>
      </c>
      <c r="C127" s="13" t="s">
        <v>2937</v>
      </c>
      <c r="D127" s="13" t="s">
        <v>2938</v>
      </c>
      <c r="E127" s="13" t="s">
        <v>2939</v>
      </c>
      <c r="F127" s="13">
        <v>4.4939702908421078</v>
      </c>
      <c r="G127" s="13">
        <v>18.714745604530492</v>
      </c>
      <c r="H127" s="13">
        <v>2.0428883378599552</v>
      </c>
      <c r="I127" s="13">
        <f t="shared" si="2"/>
        <v>8.4172014110775173</v>
      </c>
      <c r="J127" s="30">
        <f t="shared" si="3"/>
        <v>9.7403432325441344</v>
      </c>
    </row>
    <row r="128" spans="2:10" x14ac:dyDescent="0.35">
      <c r="B128" s="18" t="s">
        <v>2695</v>
      </c>
      <c r="C128" s="13" t="s">
        <v>2937</v>
      </c>
      <c r="D128" s="13" t="s">
        <v>2942</v>
      </c>
      <c r="E128" s="13" t="s">
        <v>2943</v>
      </c>
      <c r="F128" s="13">
        <v>0</v>
      </c>
      <c r="G128" s="13">
        <v>0</v>
      </c>
      <c r="H128" s="13">
        <v>0</v>
      </c>
      <c r="I128" s="13">
        <f t="shared" si="2"/>
        <v>0</v>
      </c>
      <c r="J128" s="30">
        <f t="shared" si="3"/>
        <v>0</v>
      </c>
    </row>
    <row r="129" spans="2:10" x14ac:dyDescent="0.35">
      <c r="B129" s="18" t="s">
        <v>2695</v>
      </c>
      <c r="C129" s="13" t="s">
        <v>2937</v>
      </c>
      <c r="D129" s="13" t="s">
        <v>2946</v>
      </c>
      <c r="E129" s="13" t="s">
        <v>2947</v>
      </c>
      <c r="F129" s="13">
        <v>0</v>
      </c>
      <c r="G129" s="13">
        <v>0</v>
      </c>
      <c r="H129" s="13">
        <v>0</v>
      </c>
      <c r="I129" s="13">
        <f t="shared" si="2"/>
        <v>0</v>
      </c>
      <c r="J129" s="30">
        <f t="shared" si="3"/>
        <v>0</v>
      </c>
    </row>
    <row r="130" spans="2:10" x14ac:dyDescent="0.35">
      <c r="B130" s="18" t="s">
        <v>2695</v>
      </c>
      <c r="C130" s="13" t="s">
        <v>2937</v>
      </c>
      <c r="D130" s="13" t="s">
        <v>2937</v>
      </c>
      <c r="E130" s="13" t="s">
        <v>2948</v>
      </c>
      <c r="F130" s="13">
        <v>0.42946217090093664</v>
      </c>
      <c r="G130" s="13">
        <v>3.1107867137575456</v>
      </c>
      <c r="H130" s="13">
        <v>0.91539282791660048</v>
      </c>
      <c r="I130" s="13">
        <f t="shared" si="2"/>
        <v>1.4852139041916943</v>
      </c>
      <c r="J130" s="30">
        <f t="shared" si="3"/>
        <v>1.7186820766264772</v>
      </c>
    </row>
    <row r="131" spans="2:10" x14ac:dyDescent="0.35">
      <c r="B131" s="18" t="s">
        <v>2695</v>
      </c>
      <c r="C131" s="13" t="s">
        <v>2937</v>
      </c>
      <c r="D131" s="13" t="s">
        <v>2955</v>
      </c>
      <c r="E131" s="13" t="s">
        <v>2956</v>
      </c>
      <c r="F131" s="13">
        <v>0</v>
      </c>
      <c r="G131" s="13">
        <v>0</v>
      </c>
      <c r="H131" s="13">
        <v>0.36571242485801286</v>
      </c>
      <c r="I131" s="13">
        <f t="shared" si="2"/>
        <v>0.12190414161933762</v>
      </c>
      <c r="J131" s="30">
        <f t="shared" si="3"/>
        <v>0.14106686092581155</v>
      </c>
    </row>
    <row r="132" spans="2:10" x14ac:dyDescent="0.35">
      <c r="B132" s="18" t="s">
        <v>3039</v>
      </c>
      <c r="C132" s="13" t="s">
        <v>3040</v>
      </c>
      <c r="D132" s="13" t="s">
        <v>3041</v>
      </c>
      <c r="E132" s="13" t="s">
        <v>3042</v>
      </c>
      <c r="F132" s="13">
        <v>6.6736556979549375</v>
      </c>
      <c r="G132" s="13">
        <v>19.433400252327075</v>
      </c>
      <c r="H132" s="13">
        <v>11.63865285517773</v>
      </c>
      <c r="I132" s="13">
        <f t="shared" ref="I132:I171" si="4">SUMPRODUCT(F132:H132,$F$173:$H$173)</f>
        <v>12.581902935153249</v>
      </c>
      <c r="J132" s="30">
        <f t="shared" ref="J132:J171" si="5">(I132-MIN($I$3:$I$171))/(MAX($I$3:$I$171)-MIN($I$3:$I$171))*100</f>
        <v>14.55971493632808</v>
      </c>
    </row>
    <row r="133" spans="2:10" x14ac:dyDescent="0.35">
      <c r="B133" s="18" t="s">
        <v>3039</v>
      </c>
      <c r="C133" s="13" t="s">
        <v>3040</v>
      </c>
      <c r="D133" s="13" t="s">
        <v>3055</v>
      </c>
      <c r="E133" s="13" t="s">
        <v>3056</v>
      </c>
      <c r="F133" s="13">
        <v>0.15322987596294674</v>
      </c>
      <c r="G133" s="13">
        <v>1.2325292471615057</v>
      </c>
      <c r="H133" s="13">
        <v>0.84854234394525219</v>
      </c>
      <c r="I133" s="13">
        <f t="shared" si="4"/>
        <v>0.74476715568990148</v>
      </c>
      <c r="J133" s="30">
        <f t="shared" si="5"/>
        <v>0.86184081507164823</v>
      </c>
    </row>
    <row r="134" spans="2:10" x14ac:dyDescent="0.35">
      <c r="B134" s="18" t="s">
        <v>3039</v>
      </c>
      <c r="C134" s="13" t="s">
        <v>3040</v>
      </c>
      <c r="D134" s="13" t="s">
        <v>3059</v>
      </c>
      <c r="E134" s="13" t="s">
        <v>3060</v>
      </c>
      <c r="F134" s="13">
        <v>0</v>
      </c>
      <c r="G134" s="13">
        <v>0</v>
      </c>
      <c r="H134" s="13">
        <v>2.4359877471741687</v>
      </c>
      <c r="I134" s="13">
        <f t="shared" si="4"/>
        <v>0.81199591572472285</v>
      </c>
      <c r="J134" s="30">
        <f t="shared" si="5"/>
        <v>0.93963759880735764</v>
      </c>
    </row>
    <row r="135" spans="2:10" x14ac:dyDescent="0.35">
      <c r="B135" s="18" t="s">
        <v>3039</v>
      </c>
      <c r="C135" s="13" t="s">
        <v>3040</v>
      </c>
      <c r="D135" s="13" t="s">
        <v>3061</v>
      </c>
      <c r="E135" s="13" t="s">
        <v>3062</v>
      </c>
      <c r="F135" s="13">
        <v>0.11001950967949546</v>
      </c>
      <c r="G135" s="13">
        <v>11.228410233868011</v>
      </c>
      <c r="H135" s="13">
        <v>4.6848961973759256</v>
      </c>
      <c r="I135" s="13">
        <f t="shared" si="4"/>
        <v>5.3411086469744777</v>
      </c>
      <c r="J135" s="30">
        <f t="shared" si="5"/>
        <v>6.1807041227947748</v>
      </c>
    </row>
    <row r="136" spans="2:10" x14ac:dyDescent="0.35">
      <c r="B136" s="18" t="s">
        <v>3152</v>
      </c>
      <c r="C136" s="13" t="s">
        <v>3153</v>
      </c>
      <c r="D136" s="13" t="s">
        <v>3153</v>
      </c>
      <c r="E136" s="13" t="s">
        <v>3154</v>
      </c>
      <c r="F136" s="13">
        <v>6.5918260942453424</v>
      </c>
      <c r="G136" s="13">
        <v>26.713970182403873</v>
      </c>
      <c r="H136" s="13">
        <v>16.409921062590357</v>
      </c>
      <c r="I136" s="13">
        <f t="shared" si="4"/>
        <v>16.571905779746523</v>
      </c>
      <c r="J136" s="30">
        <f t="shared" si="5"/>
        <v>19.176926204911805</v>
      </c>
    </row>
    <row r="137" spans="2:10" x14ac:dyDescent="0.35">
      <c r="B137" s="18" t="s">
        <v>3152</v>
      </c>
      <c r="C137" s="13" t="s">
        <v>3153</v>
      </c>
      <c r="D137" s="13" t="s">
        <v>3155</v>
      </c>
      <c r="E137" s="13" t="s">
        <v>3156</v>
      </c>
      <c r="F137" s="13">
        <v>1.4581470225134088</v>
      </c>
      <c r="G137" s="13">
        <v>6.4601494632446705</v>
      </c>
      <c r="H137" s="13">
        <v>0</v>
      </c>
      <c r="I137" s="13">
        <f t="shared" si="4"/>
        <v>2.6394321619193595</v>
      </c>
      <c r="J137" s="30">
        <f t="shared" si="5"/>
        <v>3.0543376522125376</v>
      </c>
    </row>
    <row r="138" spans="2:10" x14ac:dyDescent="0.35">
      <c r="B138" s="18" t="s">
        <v>3152</v>
      </c>
      <c r="C138" s="13" t="s">
        <v>3153</v>
      </c>
      <c r="D138" s="13" t="s">
        <v>3157</v>
      </c>
      <c r="E138" s="13" t="s">
        <v>3158</v>
      </c>
      <c r="F138" s="13">
        <v>0</v>
      </c>
      <c r="G138" s="13">
        <v>0</v>
      </c>
      <c r="H138" s="13">
        <v>0</v>
      </c>
      <c r="I138" s="13">
        <f t="shared" si="4"/>
        <v>0</v>
      </c>
      <c r="J138" s="30">
        <f t="shared" si="5"/>
        <v>0</v>
      </c>
    </row>
    <row r="139" spans="2:10" x14ac:dyDescent="0.35">
      <c r="B139" s="18" t="s">
        <v>3152</v>
      </c>
      <c r="C139" s="13" t="s">
        <v>3153</v>
      </c>
      <c r="D139" s="13" t="s">
        <v>3159</v>
      </c>
      <c r="E139" s="13" t="s">
        <v>3160</v>
      </c>
      <c r="F139" s="13">
        <v>0</v>
      </c>
      <c r="G139" s="13">
        <v>0</v>
      </c>
      <c r="H139" s="13">
        <v>0</v>
      </c>
      <c r="I139" s="13">
        <f t="shared" si="4"/>
        <v>0</v>
      </c>
      <c r="J139" s="30">
        <f t="shared" si="5"/>
        <v>0</v>
      </c>
    </row>
    <row r="140" spans="2:10" x14ac:dyDescent="0.35">
      <c r="B140" s="18" t="s">
        <v>3278</v>
      </c>
      <c r="C140" s="13" t="s">
        <v>3278</v>
      </c>
      <c r="D140" s="13" t="s">
        <v>3278</v>
      </c>
      <c r="E140" s="13" t="s">
        <v>3279</v>
      </c>
      <c r="F140" s="13">
        <v>11.672165939551254</v>
      </c>
      <c r="G140" s="13">
        <v>45.844317893584247</v>
      </c>
      <c r="H140" s="13">
        <v>11.46637966953398</v>
      </c>
      <c r="I140" s="13">
        <f t="shared" si="4"/>
        <v>22.994287834223158</v>
      </c>
      <c r="J140" s="30">
        <f t="shared" si="5"/>
        <v>26.608874488673536</v>
      </c>
    </row>
    <row r="141" spans="2:10" x14ac:dyDescent="0.35">
      <c r="B141" s="18" t="s">
        <v>3278</v>
      </c>
      <c r="C141" s="13" t="s">
        <v>3278</v>
      </c>
      <c r="D141" s="13" t="s">
        <v>857</v>
      </c>
      <c r="E141" s="13" t="s">
        <v>3280</v>
      </c>
      <c r="F141" s="13">
        <v>2.1812433390952188</v>
      </c>
      <c r="G141" s="13">
        <v>20.475537658298528</v>
      </c>
      <c r="H141" s="13">
        <v>3.2802262653995502</v>
      </c>
      <c r="I141" s="13">
        <f t="shared" si="4"/>
        <v>8.6456690875977653</v>
      </c>
      <c r="J141" s="30">
        <f t="shared" si="5"/>
        <v>10.004724881285529</v>
      </c>
    </row>
    <row r="142" spans="2:10" x14ac:dyDescent="0.35">
      <c r="B142" s="18" t="s">
        <v>3278</v>
      </c>
      <c r="C142" s="13" t="s">
        <v>3278</v>
      </c>
      <c r="D142" s="13" t="s">
        <v>3281</v>
      </c>
      <c r="E142" s="13" t="s">
        <v>3282</v>
      </c>
      <c r="F142" s="13">
        <v>0.54058173111690144</v>
      </c>
      <c r="G142" s="13">
        <v>5.9907730990461001</v>
      </c>
      <c r="H142" s="13">
        <v>0.77207988094607471</v>
      </c>
      <c r="I142" s="13">
        <f t="shared" si="4"/>
        <v>2.4344782370363589</v>
      </c>
      <c r="J142" s="30">
        <f t="shared" si="5"/>
        <v>2.8171659988658306</v>
      </c>
    </row>
    <row r="143" spans="2:10" x14ac:dyDescent="0.35">
      <c r="B143" s="18" t="s">
        <v>3278</v>
      </c>
      <c r="C143" s="13" t="s">
        <v>3278</v>
      </c>
      <c r="D143" s="13" t="s">
        <v>3295</v>
      </c>
      <c r="E143" s="13" t="s">
        <v>3296</v>
      </c>
      <c r="F143" s="13">
        <v>0.21186193777460327</v>
      </c>
      <c r="G143" s="13">
        <v>5.2288612174801603</v>
      </c>
      <c r="H143" s="13">
        <v>2.3351119480800251</v>
      </c>
      <c r="I143" s="13">
        <f t="shared" si="4"/>
        <v>2.5919450344449295</v>
      </c>
      <c r="J143" s="30">
        <f t="shared" si="5"/>
        <v>2.9993857866055449</v>
      </c>
    </row>
    <row r="144" spans="2:10" x14ac:dyDescent="0.35">
      <c r="B144" s="18" t="s">
        <v>3278</v>
      </c>
      <c r="C144" s="13" t="s">
        <v>3367</v>
      </c>
      <c r="D144" s="13" t="s">
        <v>3367</v>
      </c>
      <c r="E144" s="13" t="s">
        <v>3368</v>
      </c>
      <c r="F144" s="13">
        <v>5.0430359997604244</v>
      </c>
      <c r="G144" s="13">
        <v>54.079658731283899</v>
      </c>
      <c r="H144" s="13">
        <v>6.7898146450046033</v>
      </c>
      <c r="I144" s="13">
        <f t="shared" si="4"/>
        <v>21.970836458682975</v>
      </c>
      <c r="J144" s="30">
        <f t="shared" si="5"/>
        <v>25.424541692922524</v>
      </c>
    </row>
    <row r="145" spans="2:10" x14ac:dyDescent="0.35">
      <c r="B145" s="18" t="s">
        <v>3278</v>
      </c>
      <c r="C145" s="13" t="s">
        <v>3367</v>
      </c>
      <c r="D145" s="13" t="s">
        <v>3369</v>
      </c>
      <c r="E145" s="13" t="s">
        <v>3370</v>
      </c>
      <c r="F145" s="13">
        <v>0</v>
      </c>
      <c r="G145" s="13">
        <v>0</v>
      </c>
      <c r="H145" s="13">
        <v>0.85272719122290241</v>
      </c>
      <c r="I145" s="13">
        <f t="shared" si="4"/>
        <v>0.28424239707430077</v>
      </c>
      <c r="J145" s="30">
        <f t="shared" si="5"/>
        <v>0.32892387547019231</v>
      </c>
    </row>
    <row r="146" spans="2:10" x14ac:dyDescent="0.35">
      <c r="B146" s="18" t="s">
        <v>3278</v>
      </c>
      <c r="C146" s="13" t="s">
        <v>3382</v>
      </c>
      <c r="D146" s="13" t="s">
        <v>3383</v>
      </c>
      <c r="E146" s="13" t="s">
        <v>3384</v>
      </c>
      <c r="F146" s="13">
        <v>1.4285837934509131</v>
      </c>
      <c r="G146" s="13">
        <v>12.636746777443516</v>
      </c>
      <c r="H146" s="13">
        <v>5.0797878820149398</v>
      </c>
      <c r="I146" s="13">
        <f t="shared" si="4"/>
        <v>6.381706150969789</v>
      </c>
      <c r="J146" s="30">
        <f t="shared" si="5"/>
        <v>7.3848783323490084</v>
      </c>
    </row>
    <row r="147" spans="2:10" x14ac:dyDescent="0.35">
      <c r="B147" s="18" t="s">
        <v>3278</v>
      </c>
      <c r="C147" s="13" t="s">
        <v>3382</v>
      </c>
      <c r="D147" s="13" t="s">
        <v>3385</v>
      </c>
      <c r="E147" s="13" t="s">
        <v>3386</v>
      </c>
      <c r="F147" s="13">
        <v>0</v>
      </c>
      <c r="G147" s="13">
        <v>0</v>
      </c>
      <c r="H147" s="13">
        <v>8.1392347755691249E-2</v>
      </c>
      <c r="I147" s="13">
        <f t="shared" si="4"/>
        <v>2.7130782585230415E-2</v>
      </c>
      <c r="J147" s="30">
        <f t="shared" si="5"/>
        <v>3.139560545621374E-2</v>
      </c>
    </row>
    <row r="148" spans="2:10" x14ac:dyDescent="0.35">
      <c r="B148" s="18" t="s">
        <v>3278</v>
      </c>
      <c r="C148" s="13" t="s">
        <v>3382</v>
      </c>
      <c r="D148" s="13" t="s">
        <v>3387</v>
      </c>
      <c r="E148" s="13" t="s">
        <v>3388</v>
      </c>
      <c r="F148" s="13">
        <v>0</v>
      </c>
      <c r="G148" s="13">
        <v>0</v>
      </c>
      <c r="H148" s="13">
        <v>0.29988418838357056</v>
      </c>
      <c r="I148" s="13">
        <f t="shared" si="4"/>
        <v>9.9961396127856844E-2</v>
      </c>
      <c r="J148" s="30">
        <f t="shared" si="5"/>
        <v>0.11567482595916545</v>
      </c>
    </row>
    <row r="149" spans="2:10" x14ac:dyDescent="0.35">
      <c r="B149" s="18" t="s">
        <v>3278</v>
      </c>
      <c r="C149" s="13" t="s">
        <v>3382</v>
      </c>
      <c r="D149" s="13" t="s">
        <v>3389</v>
      </c>
      <c r="E149" s="13" t="s">
        <v>3390</v>
      </c>
      <c r="F149" s="13">
        <v>0</v>
      </c>
      <c r="G149" s="13">
        <v>0</v>
      </c>
      <c r="H149" s="13">
        <v>0</v>
      </c>
      <c r="I149" s="13">
        <f t="shared" si="4"/>
        <v>0</v>
      </c>
      <c r="J149" s="30">
        <f t="shared" si="5"/>
        <v>0</v>
      </c>
    </row>
    <row r="150" spans="2:10" x14ac:dyDescent="0.35">
      <c r="B150" s="18" t="s">
        <v>3278</v>
      </c>
      <c r="C150" s="13" t="s">
        <v>3382</v>
      </c>
      <c r="D150" s="13" t="s">
        <v>3391</v>
      </c>
      <c r="E150" s="13" t="s">
        <v>3392</v>
      </c>
      <c r="F150" s="13">
        <v>0.16983214748303121</v>
      </c>
      <c r="G150" s="13">
        <v>2.448973634425216</v>
      </c>
      <c r="H150" s="13">
        <v>0</v>
      </c>
      <c r="I150" s="13">
        <f t="shared" si="4"/>
        <v>0.8729352606360824</v>
      </c>
      <c r="J150" s="30">
        <f t="shared" si="5"/>
        <v>1.0101563029246028</v>
      </c>
    </row>
    <row r="151" spans="2:10" x14ac:dyDescent="0.35">
      <c r="B151" s="18" t="s">
        <v>3278</v>
      </c>
      <c r="C151" s="13" t="s">
        <v>3382</v>
      </c>
      <c r="D151" s="13" t="s">
        <v>3393</v>
      </c>
      <c r="E151" s="13" t="s">
        <v>3394</v>
      </c>
      <c r="F151" s="13">
        <v>0.1640115062866068</v>
      </c>
      <c r="G151" s="13">
        <v>5.2021481993495753</v>
      </c>
      <c r="H151" s="13">
        <v>0</v>
      </c>
      <c r="I151" s="13">
        <f t="shared" si="4"/>
        <v>1.7887199018787272</v>
      </c>
      <c r="J151" s="30">
        <f t="shared" si="5"/>
        <v>2.0698976940544798</v>
      </c>
    </row>
    <row r="152" spans="2:10" x14ac:dyDescent="0.35">
      <c r="B152" s="18" t="s">
        <v>3407</v>
      </c>
      <c r="C152" s="13" t="s">
        <v>3407</v>
      </c>
      <c r="D152" s="13" t="s">
        <v>3407</v>
      </c>
      <c r="E152" s="13" t="s">
        <v>3408</v>
      </c>
      <c r="F152" s="13">
        <v>6.4227938472302775</v>
      </c>
      <c r="G152" s="13">
        <v>36.658777478780827</v>
      </c>
      <c r="H152" s="13">
        <v>7.8349805675167836</v>
      </c>
      <c r="I152" s="13">
        <f t="shared" si="4"/>
        <v>16.972183964509295</v>
      </c>
      <c r="J152" s="30">
        <f t="shared" si="5"/>
        <v>19.640126111588387</v>
      </c>
    </row>
    <row r="153" spans="2:10" x14ac:dyDescent="0.35">
      <c r="B153" s="18" t="s">
        <v>3407</v>
      </c>
      <c r="C153" s="13" t="s">
        <v>3587</v>
      </c>
      <c r="D153" s="13" t="s">
        <v>3588</v>
      </c>
      <c r="E153" s="13" t="s">
        <v>3589</v>
      </c>
      <c r="F153" s="13">
        <v>18.753004920607541</v>
      </c>
      <c r="G153" s="13">
        <v>100</v>
      </c>
      <c r="H153" s="13">
        <v>29.400620188620803</v>
      </c>
      <c r="I153" s="13">
        <f t="shared" si="4"/>
        <v>49.38454170307611</v>
      </c>
      <c r="J153" s="30">
        <f t="shared" si="5"/>
        <v>57.147543830518067</v>
      </c>
    </row>
    <row r="154" spans="2:10" x14ac:dyDescent="0.35">
      <c r="B154" s="18" t="s">
        <v>3632</v>
      </c>
      <c r="C154" s="13" t="s">
        <v>3662</v>
      </c>
      <c r="D154" s="13" t="s">
        <v>3749</v>
      </c>
      <c r="E154" s="13" t="s">
        <v>3750</v>
      </c>
      <c r="F154" s="13">
        <v>10.19680670802572</v>
      </c>
      <c r="G154" s="13">
        <v>38.40185840514873</v>
      </c>
      <c r="H154" s="13">
        <v>16.899926503261593</v>
      </c>
      <c r="I154" s="13">
        <f t="shared" si="4"/>
        <v>21.832863872145346</v>
      </c>
      <c r="J154" s="30">
        <f t="shared" si="5"/>
        <v>25.264880508174141</v>
      </c>
    </row>
    <row r="155" spans="2:10" x14ac:dyDescent="0.35">
      <c r="B155" s="18" t="s">
        <v>3632</v>
      </c>
      <c r="C155" s="13" t="s">
        <v>3662</v>
      </c>
      <c r="D155" s="13" t="s">
        <v>3753</v>
      </c>
      <c r="E155" s="13" t="s">
        <v>3754</v>
      </c>
      <c r="F155" s="13">
        <v>0</v>
      </c>
      <c r="G155" s="13">
        <v>0</v>
      </c>
      <c r="H155" s="13">
        <v>0</v>
      </c>
      <c r="I155" s="13">
        <f t="shared" si="4"/>
        <v>0</v>
      </c>
      <c r="J155" s="30">
        <f t="shared" si="5"/>
        <v>0</v>
      </c>
    </row>
    <row r="156" spans="2:10" x14ac:dyDescent="0.35">
      <c r="B156" s="18" t="s">
        <v>3632</v>
      </c>
      <c r="C156" s="13" t="s">
        <v>3662</v>
      </c>
      <c r="D156" s="13" t="s">
        <v>3763</v>
      </c>
      <c r="E156" s="13" t="s">
        <v>3764</v>
      </c>
      <c r="F156" s="13">
        <v>0</v>
      </c>
      <c r="G156" s="13">
        <v>0</v>
      </c>
      <c r="H156" s="13">
        <v>0</v>
      </c>
      <c r="I156" s="13">
        <f t="shared" si="4"/>
        <v>0</v>
      </c>
      <c r="J156" s="30">
        <f t="shared" si="5"/>
        <v>0</v>
      </c>
    </row>
    <row r="157" spans="2:10" x14ac:dyDescent="0.35">
      <c r="B157" s="18" t="s">
        <v>3632</v>
      </c>
      <c r="C157" s="13" t="s">
        <v>3662</v>
      </c>
      <c r="D157" s="13" t="s">
        <v>3765</v>
      </c>
      <c r="E157" s="13" t="s">
        <v>3766</v>
      </c>
      <c r="F157" s="13">
        <v>5.0137054592811814E-2</v>
      </c>
      <c r="G157" s="13">
        <v>0.61885590858731854</v>
      </c>
      <c r="H157" s="13">
        <v>0.15852829050260167</v>
      </c>
      <c r="I157" s="13">
        <f t="shared" si="4"/>
        <v>0.27584041789424402</v>
      </c>
      <c r="J157" s="30">
        <f t="shared" si="5"/>
        <v>0.31920114732699506</v>
      </c>
    </row>
    <row r="158" spans="2:10" x14ac:dyDescent="0.35">
      <c r="B158" s="18" t="s">
        <v>3632</v>
      </c>
      <c r="C158" s="13" t="s">
        <v>3662</v>
      </c>
      <c r="D158" s="13" t="s">
        <v>3767</v>
      </c>
      <c r="E158" s="13" t="s">
        <v>3768</v>
      </c>
      <c r="F158" s="13">
        <v>0</v>
      </c>
      <c r="G158" s="13">
        <v>0</v>
      </c>
      <c r="H158" s="13">
        <v>4.217254802909606</v>
      </c>
      <c r="I158" s="13">
        <f t="shared" si="4"/>
        <v>1.4057516009698685</v>
      </c>
      <c r="J158" s="30">
        <f t="shared" si="5"/>
        <v>1.6267286981068108</v>
      </c>
    </row>
    <row r="159" spans="2:10" x14ac:dyDescent="0.35">
      <c r="B159" s="18" t="s">
        <v>3632</v>
      </c>
      <c r="C159" s="13" t="s">
        <v>3662</v>
      </c>
      <c r="D159" s="13" t="s">
        <v>3771</v>
      </c>
      <c r="E159" s="13" t="s">
        <v>3772</v>
      </c>
      <c r="F159" s="13">
        <v>0</v>
      </c>
      <c r="G159" s="13">
        <v>0</v>
      </c>
      <c r="H159" s="13">
        <v>0</v>
      </c>
      <c r="I159" s="13">
        <f t="shared" si="4"/>
        <v>0</v>
      </c>
      <c r="J159" s="30">
        <f t="shared" si="5"/>
        <v>0</v>
      </c>
    </row>
    <row r="160" spans="2:10" x14ac:dyDescent="0.35">
      <c r="B160" s="18" t="s">
        <v>3789</v>
      </c>
      <c r="C160" s="13" t="s">
        <v>3789</v>
      </c>
      <c r="D160" s="13" t="s">
        <v>3789</v>
      </c>
      <c r="E160" s="13" t="s">
        <v>3790</v>
      </c>
      <c r="F160" s="13">
        <v>9.9320852699424282</v>
      </c>
      <c r="G160" s="13">
        <v>29.616079732895013</v>
      </c>
      <c r="H160" s="13">
        <v>4.4665107790636798</v>
      </c>
      <c r="I160" s="13">
        <f t="shared" si="4"/>
        <v>14.67155859396704</v>
      </c>
      <c r="J160" s="30">
        <f t="shared" si="5"/>
        <v>16.977853978110719</v>
      </c>
    </row>
    <row r="161" spans="2:10" x14ac:dyDescent="0.35">
      <c r="B161" s="18" t="s">
        <v>3789</v>
      </c>
      <c r="C161" s="13" t="s">
        <v>3789</v>
      </c>
      <c r="D161" s="13" t="s">
        <v>3791</v>
      </c>
      <c r="E161" s="13" t="s">
        <v>3792</v>
      </c>
      <c r="F161" s="13">
        <v>0.53792556898732657</v>
      </c>
      <c r="G161" s="13">
        <v>2.7314625971995823</v>
      </c>
      <c r="H161" s="13">
        <v>0.66188495720698548</v>
      </c>
      <c r="I161" s="13">
        <f t="shared" si="4"/>
        <v>1.3104243744646316</v>
      </c>
      <c r="J161" s="30">
        <f t="shared" si="5"/>
        <v>1.5164165099791154</v>
      </c>
    </row>
    <row r="162" spans="2:10" x14ac:dyDescent="0.35">
      <c r="B162" s="18" t="s">
        <v>3789</v>
      </c>
      <c r="C162" s="13" t="s">
        <v>3789</v>
      </c>
      <c r="D162" s="13" t="s">
        <v>3795</v>
      </c>
      <c r="E162" s="13" t="s">
        <v>3796</v>
      </c>
      <c r="F162" s="13">
        <v>1.2196095284901884</v>
      </c>
      <c r="G162" s="13">
        <v>7.6953163014350174</v>
      </c>
      <c r="H162" s="13">
        <v>0</v>
      </c>
      <c r="I162" s="13">
        <f t="shared" si="4"/>
        <v>2.971641943308402</v>
      </c>
      <c r="J162" s="30">
        <f t="shared" si="5"/>
        <v>3.4387691440952413</v>
      </c>
    </row>
    <row r="163" spans="2:10" x14ac:dyDescent="0.35">
      <c r="B163" s="18" t="s">
        <v>3789</v>
      </c>
      <c r="C163" s="13" t="s">
        <v>3789</v>
      </c>
      <c r="D163" s="13" t="s">
        <v>3799</v>
      </c>
      <c r="E163" s="13" t="s">
        <v>3800</v>
      </c>
      <c r="F163" s="13">
        <v>0</v>
      </c>
      <c r="G163" s="13">
        <v>0</v>
      </c>
      <c r="H163" s="13">
        <v>0</v>
      </c>
      <c r="I163" s="13">
        <f t="shared" si="4"/>
        <v>0</v>
      </c>
      <c r="J163" s="30">
        <f t="shared" si="5"/>
        <v>0</v>
      </c>
    </row>
    <row r="164" spans="2:10" x14ac:dyDescent="0.35">
      <c r="B164" s="18" t="s">
        <v>3789</v>
      </c>
      <c r="C164" s="13" t="s">
        <v>3789</v>
      </c>
      <c r="D164" s="13" t="s">
        <v>3803</v>
      </c>
      <c r="E164" s="13" t="s">
        <v>3804</v>
      </c>
      <c r="F164" s="13">
        <v>0</v>
      </c>
      <c r="G164" s="13">
        <v>0</v>
      </c>
      <c r="H164" s="13">
        <v>0.21370576212376247</v>
      </c>
      <c r="I164" s="13">
        <f t="shared" si="4"/>
        <v>7.1235254041254151E-2</v>
      </c>
      <c r="J164" s="30">
        <f t="shared" si="5"/>
        <v>8.2433078494015627E-2</v>
      </c>
    </row>
    <row r="165" spans="2:10" x14ac:dyDescent="0.35">
      <c r="B165" s="18" t="s">
        <v>3789</v>
      </c>
      <c r="C165" s="13" t="s">
        <v>3789</v>
      </c>
      <c r="D165" s="13" t="s">
        <v>3807</v>
      </c>
      <c r="E165" s="13" t="s">
        <v>3808</v>
      </c>
      <c r="F165" s="13">
        <v>2.8526048347010127</v>
      </c>
      <c r="G165" s="13">
        <v>21.873764671090733</v>
      </c>
      <c r="H165" s="13">
        <v>5.370743404719172</v>
      </c>
      <c r="I165" s="13">
        <f t="shared" si="4"/>
        <v>10.032370970170305</v>
      </c>
      <c r="J165" s="30">
        <f t="shared" si="5"/>
        <v>11.609409340860861</v>
      </c>
    </row>
    <row r="166" spans="2:10" x14ac:dyDescent="0.35">
      <c r="B166" s="18" t="s">
        <v>3846</v>
      </c>
      <c r="C166" s="13" t="s">
        <v>3846</v>
      </c>
      <c r="D166" s="13" t="s">
        <v>3846</v>
      </c>
      <c r="E166" s="13" t="s">
        <v>3847</v>
      </c>
      <c r="F166" s="13">
        <v>3.1743638877461575</v>
      </c>
      <c r="G166" s="13">
        <v>27.065325461507122</v>
      </c>
      <c r="H166" s="13">
        <v>1.7997672282675883</v>
      </c>
      <c r="I166" s="13">
        <f t="shared" si="4"/>
        <v>10.679818859173622</v>
      </c>
      <c r="J166" s="30">
        <f t="shared" si="5"/>
        <v>12.358632788903687</v>
      </c>
    </row>
    <row r="167" spans="2:10" x14ac:dyDescent="0.35">
      <c r="B167" s="18" t="s">
        <v>3846</v>
      </c>
      <c r="C167" s="13" t="s">
        <v>3846</v>
      </c>
      <c r="D167" s="13" t="s">
        <v>3848</v>
      </c>
      <c r="E167" s="13" t="s">
        <v>3849</v>
      </c>
      <c r="F167" s="13">
        <v>9.6885508073331711E-2</v>
      </c>
      <c r="G167" s="13">
        <v>0.76681661544541446</v>
      </c>
      <c r="H167" s="13">
        <v>0.59686238520450541</v>
      </c>
      <c r="I167" s="13">
        <f t="shared" si="4"/>
        <v>0.48685483624108378</v>
      </c>
      <c r="J167" s="30">
        <f t="shared" si="5"/>
        <v>0.56338597329645745</v>
      </c>
    </row>
    <row r="168" spans="2:10" x14ac:dyDescent="0.35">
      <c r="B168" s="18" t="s">
        <v>3846</v>
      </c>
      <c r="C168" s="13" t="s">
        <v>3846</v>
      </c>
      <c r="D168" s="13" t="s">
        <v>3856</v>
      </c>
      <c r="E168" s="13" t="s">
        <v>3857</v>
      </c>
      <c r="F168" s="13">
        <v>0</v>
      </c>
      <c r="G168" s="13">
        <v>0</v>
      </c>
      <c r="H168" s="13">
        <v>0</v>
      </c>
      <c r="I168" s="13">
        <f t="shared" si="4"/>
        <v>0</v>
      </c>
      <c r="J168" s="30">
        <f t="shared" si="5"/>
        <v>0</v>
      </c>
    </row>
    <row r="169" spans="2:10" x14ac:dyDescent="0.35">
      <c r="B169" s="18" t="s">
        <v>3118</v>
      </c>
      <c r="C169" s="13" t="s">
        <v>3873</v>
      </c>
      <c r="D169" s="13" t="s">
        <v>3874</v>
      </c>
      <c r="E169" s="13" t="s">
        <v>3875</v>
      </c>
      <c r="F169" s="13">
        <v>7.9136908508713351</v>
      </c>
      <c r="G169" s="13">
        <v>37.433995858907998</v>
      </c>
      <c r="H169" s="13">
        <v>13.685953919790736</v>
      </c>
      <c r="I169" s="13">
        <f t="shared" si="4"/>
        <v>19.677880209856689</v>
      </c>
      <c r="J169" s="30">
        <f t="shared" si="5"/>
        <v>22.771144228608335</v>
      </c>
    </row>
    <row r="170" spans="2:10" x14ac:dyDescent="0.35">
      <c r="B170" s="18" t="s">
        <v>3118</v>
      </c>
      <c r="C170" s="13" t="s">
        <v>3873</v>
      </c>
      <c r="D170" s="13" t="s">
        <v>3882</v>
      </c>
      <c r="E170" s="13" t="s">
        <v>3883</v>
      </c>
      <c r="F170" s="13">
        <v>0.50834242272442398</v>
      </c>
      <c r="G170" s="13">
        <v>0.95294459810429077</v>
      </c>
      <c r="H170" s="13">
        <v>1.3975903083171186</v>
      </c>
      <c r="I170" s="13">
        <f t="shared" si="4"/>
        <v>0.95295910971527775</v>
      </c>
      <c r="J170" s="30">
        <f t="shared" si="5"/>
        <v>1.1027594994923906</v>
      </c>
    </row>
    <row r="171" spans="2:10" x14ac:dyDescent="0.35">
      <c r="B171" s="18" t="s">
        <v>3118</v>
      </c>
      <c r="C171" s="13" t="s">
        <v>3873</v>
      </c>
      <c r="D171" s="13" t="s">
        <v>3886</v>
      </c>
      <c r="E171" s="13" t="s">
        <v>3887</v>
      </c>
      <c r="F171" s="13">
        <v>7.7128609004878765E-2</v>
      </c>
      <c r="G171" s="13">
        <v>0.65232590148842018</v>
      </c>
      <c r="H171" s="13">
        <v>1.2932142349699454</v>
      </c>
      <c r="I171" s="13">
        <f t="shared" si="4"/>
        <v>0.67422291515441479</v>
      </c>
      <c r="J171" s="30">
        <f t="shared" si="5"/>
        <v>0.78020737393876793</v>
      </c>
    </row>
    <row r="173" spans="2:10" x14ac:dyDescent="0.35">
      <c r="F173" s="1">
        <f>1/3</f>
        <v>0.33333333333333331</v>
      </c>
      <c r="G173" s="1">
        <f t="shared" ref="G173:H173" si="6">1/3</f>
        <v>0.33333333333333331</v>
      </c>
      <c r="H173" s="1">
        <f t="shared" si="6"/>
        <v>0.33333333333333331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3F4E-44B4-49E5-A4CE-AFB833EF5043}">
  <dimension ref="B2:N173"/>
  <sheetViews>
    <sheetView showGridLines="0" workbookViewId="0">
      <selection activeCell="I3" sqref="I3:I171"/>
    </sheetView>
  </sheetViews>
  <sheetFormatPr baseColWidth="10" defaultColWidth="11.453125" defaultRowHeight="14.5" x14ac:dyDescent="0.35"/>
  <cols>
    <col min="1" max="1" width="5" customWidth="1"/>
    <col min="2" max="2" width="13.08984375" bestFit="1" customWidth="1"/>
    <col min="4" max="4" width="38.6328125" bestFit="1" customWidth="1"/>
    <col min="6" max="6" width="28.6328125" bestFit="1" customWidth="1"/>
    <col min="7" max="7" width="28.08984375" bestFit="1" customWidth="1"/>
    <col min="8" max="8" width="11" bestFit="1" customWidth="1"/>
    <col min="9" max="9" width="23.6328125" bestFit="1" customWidth="1"/>
  </cols>
  <sheetData>
    <row r="2" spans="2:14" x14ac:dyDescent="0.35">
      <c r="B2" s="14" t="s">
        <v>4010</v>
      </c>
      <c r="C2" s="15" t="s">
        <v>4011</v>
      </c>
      <c r="D2" s="15" t="s">
        <v>4012</v>
      </c>
      <c r="E2" s="15" t="s">
        <v>4013</v>
      </c>
      <c r="F2" s="15" t="s">
        <v>4026</v>
      </c>
      <c r="G2" s="15" t="s">
        <v>4027</v>
      </c>
      <c r="H2" s="15" t="s">
        <v>4021</v>
      </c>
      <c r="I2" s="31" t="s">
        <v>4022</v>
      </c>
    </row>
    <row r="3" spans="2:14" x14ac:dyDescent="0.35">
      <c r="B3" s="18" t="s">
        <v>250</v>
      </c>
      <c r="C3" s="13" t="s">
        <v>251</v>
      </c>
      <c r="D3" s="13" t="s">
        <v>251</v>
      </c>
      <c r="E3" s="13" t="s">
        <v>252</v>
      </c>
      <c r="F3" s="13">
        <v>88</v>
      </c>
      <c r="G3" s="13">
        <v>98.354236131510234</v>
      </c>
      <c r="H3" s="13">
        <f t="shared" ref="H3:H34" si="0">SUMPRODUCT(F3:G3,$F$173:$G$173)</f>
        <v>93.17711806575511</v>
      </c>
      <c r="I3" s="30">
        <f>(H3-MIN($H$3:$H$171))/(MAX($H$3:$H$171)-MIN($H$3:$H$171))*100</f>
        <v>90.65145946377686</v>
      </c>
      <c r="N3" s="1"/>
    </row>
    <row r="4" spans="2:14" x14ac:dyDescent="0.35">
      <c r="B4" s="18" t="s">
        <v>250</v>
      </c>
      <c r="C4" s="13" t="s">
        <v>251</v>
      </c>
      <c r="D4" s="13" t="s">
        <v>259</v>
      </c>
      <c r="E4" s="13" t="s">
        <v>260</v>
      </c>
      <c r="F4" s="13">
        <v>92</v>
      </c>
      <c r="G4" s="13">
        <v>97.561734562284258</v>
      </c>
      <c r="H4" s="13">
        <f t="shared" si="0"/>
        <v>94.780867281142122</v>
      </c>
      <c r="I4" s="30">
        <f t="shared" ref="I4:I67" si="1">(H4-MIN($H$3:$H$171))/(MAX($H$3:$H$171)-MIN($H$3:$H$171))*100</f>
        <v>94.018571802477084</v>
      </c>
      <c r="N4" s="1"/>
    </row>
    <row r="5" spans="2:14" x14ac:dyDescent="0.35">
      <c r="B5" s="18" t="s">
        <v>250</v>
      </c>
      <c r="C5" s="13" t="s">
        <v>530</v>
      </c>
      <c r="D5" s="13" t="s">
        <v>531</v>
      </c>
      <c r="E5" s="13" t="s">
        <v>532</v>
      </c>
      <c r="F5" s="13">
        <v>90</v>
      </c>
      <c r="G5" s="13">
        <v>97.670166676083156</v>
      </c>
      <c r="H5" s="13">
        <f t="shared" si="0"/>
        <v>93.835083338041585</v>
      </c>
      <c r="I5" s="30">
        <f t="shared" si="1"/>
        <v>92.032874316857502</v>
      </c>
      <c r="N5" s="1"/>
    </row>
    <row r="6" spans="2:14" x14ac:dyDescent="0.35">
      <c r="B6" s="18" t="s">
        <v>250</v>
      </c>
      <c r="C6" s="13" t="s">
        <v>530</v>
      </c>
      <c r="D6" s="13" t="s">
        <v>530</v>
      </c>
      <c r="E6" s="13" t="s">
        <v>545</v>
      </c>
      <c r="F6" s="13">
        <v>100</v>
      </c>
      <c r="G6" s="13">
        <v>50.005744218111204</v>
      </c>
      <c r="H6" s="13">
        <f t="shared" si="0"/>
        <v>75.002872109055602</v>
      </c>
      <c r="I6" s="30">
        <f t="shared" si="1"/>
        <v>52.494167026624872</v>
      </c>
      <c r="N6" s="1"/>
    </row>
    <row r="7" spans="2:14" x14ac:dyDescent="0.35">
      <c r="B7" s="18" t="s">
        <v>250</v>
      </c>
      <c r="C7" s="13" t="s">
        <v>530</v>
      </c>
      <c r="D7" s="13" t="s">
        <v>546</v>
      </c>
      <c r="E7" s="13" t="s">
        <v>547</v>
      </c>
      <c r="F7" s="13">
        <v>86</v>
      </c>
      <c r="G7" s="13">
        <v>96.560899159730965</v>
      </c>
      <c r="H7" s="13">
        <f t="shared" si="0"/>
        <v>91.28044957986549</v>
      </c>
      <c r="I7" s="30">
        <f t="shared" si="1"/>
        <v>86.6693556535364</v>
      </c>
      <c r="N7" s="1"/>
    </row>
    <row r="8" spans="2:14" x14ac:dyDescent="0.35">
      <c r="B8" s="18" t="s">
        <v>757</v>
      </c>
      <c r="C8" s="13" t="s">
        <v>757</v>
      </c>
      <c r="D8" s="13" t="s">
        <v>757</v>
      </c>
      <c r="E8" s="13" t="s">
        <v>758</v>
      </c>
      <c r="F8" s="13">
        <v>91</v>
      </c>
      <c r="G8" s="13">
        <v>98.459859607714321</v>
      </c>
      <c r="H8" s="13">
        <f t="shared" si="0"/>
        <v>94.729929803857161</v>
      </c>
      <c r="I8" s="30">
        <f t="shared" si="1"/>
        <v>93.911627271110888</v>
      </c>
      <c r="N8" s="1"/>
    </row>
    <row r="9" spans="2:14" x14ac:dyDescent="0.35">
      <c r="B9" s="18" t="s">
        <v>757</v>
      </c>
      <c r="C9" s="13" t="s">
        <v>757</v>
      </c>
      <c r="D9" s="13" t="s">
        <v>759</v>
      </c>
      <c r="E9" s="13" t="s">
        <v>760</v>
      </c>
      <c r="F9" s="13">
        <v>88</v>
      </c>
      <c r="G9" s="13">
        <v>96.736584867431702</v>
      </c>
      <c r="H9" s="13">
        <f t="shared" si="0"/>
        <v>92.368292433715851</v>
      </c>
      <c r="I9" s="30">
        <f t="shared" si="1"/>
        <v>88.953309441711738</v>
      </c>
      <c r="N9" s="1"/>
    </row>
    <row r="10" spans="2:14" x14ac:dyDescent="0.35">
      <c r="B10" s="18" t="s">
        <v>757</v>
      </c>
      <c r="C10" s="13" t="s">
        <v>757</v>
      </c>
      <c r="D10" s="13" t="s">
        <v>761</v>
      </c>
      <c r="E10" s="13" t="s">
        <v>762</v>
      </c>
      <c r="F10" s="13">
        <v>87</v>
      </c>
      <c r="G10" s="13">
        <v>97.850002258225629</v>
      </c>
      <c r="H10" s="13">
        <f t="shared" si="0"/>
        <v>92.425001129112815</v>
      </c>
      <c r="I10" s="30">
        <f t="shared" si="1"/>
        <v>89.072370792545598</v>
      </c>
      <c r="N10" s="1"/>
    </row>
    <row r="11" spans="2:14" x14ac:dyDescent="0.35">
      <c r="B11" s="18" t="s">
        <v>757</v>
      </c>
      <c r="C11" s="13" t="s">
        <v>757</v>
      </c>
      <c r="D11" s="13" t="s">
        <v>763</v>
      </c>
      <c r="E11" s="13" t="s">
        <v>764</v>
      </c>
      <c r="F11" s="13">
        <v>93</v>
      </c>
      <c r="G11" s="13">
        <v>99.153039720869614</v>
      </c>
      <c r="H11" s="13">
        <f t="shared" si="0"/>
        <v>96.076519860434814</v>
      </c>
      <c r="I11" s="30">
        <f t="shared" si="1"/>
        <v>96.738827403881928</v>
      </c>
      <c r="N11" s="1"/>
    </row>
    <row r="12" spans="2:14" x14ac:dyDescent="0.35">
      <c r="B12" s="18" t="s">
        <v>757</v>
      </c>
      <c r="C12" s="13" t="s">
        <v>757</v>
      </c>
      <c r="D12" s="13" t="s">
        <v>765</v>
      </c>
      <c r="E12" s="13" t="s">
        <v>766</v>
      </c>
      <c r="F12" s="13">
        <v>100</v>
      </c>
      <c r="G12" s="13">
        <v>50.005744218111204</v>
      </c>
      <c r="H12" s="13">
        <f t="shared" si="0"/>
        <v>75.002872109055602</v>
      </c>
      <c r="I12" s="30">
        <f t="shared" si="1"/>
        <v>52.494167026624872</v>
      </c>
      <c r="N12" s="1"/>
    </row>
    <row r="13" spans="2:14" x14ac:dyDescent="0.35">
      <c r="B13" s="18" t="s">
        <v>757</v>
      </c>
      <c r="C13" s="13" t="s">
        <v>757</v>
      </c>
      <c r="D13" s="13" t="s">
        <v>769</v>
      </c>
      <c r="E13" s="13" t="s">
        <v>770</v>
      </c>
      <c r="F13" s="13">
        <v>89</v>
      </c>
      <c r="G13" s="13">
        <v>99.1701684076437</v>
      </c>
      <c r="H13" s="13">
        <f t="shared" si="0"/>
        <v>94.08508420382185</v>
      </c>
      <c r="I13" s="30">
        <f t="shared" si="1"/>
        <v>92.557757504190079</v>
      </c>
      <c r="N13" s="1"/>
    </row>
    <row r="14" spans="2:14" x14ac:dyDescent="0.35">
      <c r="B14" s="18" t="s">
        <v>757</v>
      </c>
      <c r="C14" s="13" t="s">
        <v>757</v>
      </c>
      <c r="D14" s="13" t="s">
        <v>773</v>
      </c>
      <c r="E14" s="13" t="s">
        <v>774</v>
      </c>
      <c r="F14" s="13">
        <v>87</v>
      </c>
      <c r="G14" s="13">
        <v>96.849270583029039</v>
      </c>
      <c r="H14" s="13">
        <f t="shared" si="0"/>
        <v>91.92463529151452</v>
      </c>
      <c r="I14" s="30">
        <f t="shared" si="1"/>
        <v>88.021839967977286</v>
      </c>
      <c r="N14" s="1"/>
    </row>
    <row r="15" spans="2:14" x14ac:dyDescent="0.35">
      <c r="B15" s="18" t="s">
        <v>757</v>
      </c>
      <c r="C15" s="13" t="s">
        <v>757</v>
      </c>
      <c r="D15" s="13" t="s">
        <v>775</v>
      </c>
      <c r="E15" s="13" t="s">
        <v>776</v>
      </c>
      <c r="F15" s="13">
        <v>88</v>
      </c>
      <c r="G15" s="13">
        <v>93.945525998414254</v>
      </c>
      <c r="H15" s="13">
        <f t="shared" si="0"/>
        <v>90.972762999207134</v>
      </c>
      <c r="I15" s="30">
        <f t="shared" si="1"/>
        <v>86.023359838076431</v>
      </c>
      <c r="N15" s="1"/>
    </row>
    <row r="16" spans="2:14" x14ac:dyDescent="0.35">
      <c r="B16" s="18" t="s">
        <v>757</v>
      </c>
      <c r="C16" s="13" t="s">
        <v>757</v>
      </c>
      <c r="D16" s="13" t="s">
        <v>779</v>
      </c>
      <c r="E16" s="13" t="s">
        <v>780</v>
      </c>
      <c r="F16" s="13">
        <v>93</v>
      </c>
      <c r="G16" s="13">
        <v>99.086447880539637</v>
      </c>
      <c r="H16" s="13">
        <f t="shared" si="0"/>
        <v>96.043223940269826</v>
      </c>
      <c r="I16" s="30">
        <f t="shared" si="1"/>
        <v>96.668921771168129</v>
      </c>
      <c r="N16" s="1"/>
    </row>
    <row r="17" spans="2:14" x14ac:dyDescent="0.35">
      <c r="B17" s="18" t="s">
        <v>757</v>
      </c>
      <c r="C17" s="13" t="s">
        <v>757</v>
      </c>
      <c r="D17" s="13" t="s">
        <v>787</v>
      </c>
      <c r="E17" s="13" t="s">
        <v>788</v>
      </c>
      <c r="F17" s="13">
        <v>50</v>
      </c>
      <c r="G17" s="13">
        <v>50.005744218111204</v>
      </c>
      <c r="H17" s="13">
        <f t="shared" si="0"/>
        <v>50.002872109055602</v>
      </c>
      <c r="I17" s="30">
        <f t="shared" si="1"/>
        <v>6.0300661390352995E-3</v>
      </c>
      <c r="N17" s="1"/>
    </row>
    <row r="18" spans="2:14" x14ac:dyDescent="0.35">
      <c r="B18" s="18" t="s">
        <v>757</v>
      </c>
      <c r="C18" s="13" t="s">
        <v>757</v>
      </c>
      <c r="D18" s="13" t="s">
        <v>789</v>
      </c>
      <c r="E18" s="13" t="s">
        <v>790</v>
      </c>
      <c r="F18" s="13">
        <v>81</v>
      </c>
      <c r="G18" s="13">
        <v>93.851026890484661</v>
      </c>
      <c r="H18" s="13">
        <f t="shared" si="0"/>
        <v>87.425513445242331</v>
      </c>
      <c r="I18" s="30">
        <f t="shared" si="1"/>
        <v>78.575819021215352</v>
      </c>
      <c r="N18" s="1"/>
    </row>
    <row r="19" spans="2:14" x14ac:dyDescent="0.35">
      <c r="B19" s="18" t="s">
        <v>757</v>
      </c>
      <c r="C19" s="13" t="s">
        <v>757</v>
      </c>
      <c r="D19" s="13" t="s">
        <v>799</v>
      </c>
      <c r="E19" s="13" t="s">
        <v>800</v>
      </c>
      <c r="F19" s="13">
        <v>94</v>
      </c>
      <c r="G19" s="13">
        <v>99.957603727402542</v>
      </c>
      <c r="H19" s="13">
        <f t="shared" si="0"/>
        <v>96.978801863701278</v>
      </c>
      <c r="I19" s="30">
        <f t="shared" si="1"/>
        <v>98.633191458459208</v>
      </c>
      <c r="N19" s="1"/>
    </row>
    <row r="20" spans="2:14" x14ac:dyDescent="0.35">
      <c r="B20" s="18" t="s">
        <v>757</v>
      </c>
      <c r="C20" s="13" t="s">
        <v>757</v>
      </c>
      <c r="D20" s="13" t="s">
        <v>801</v>
      </c>
      <c r="E20" s="13" t="s">
        <v>802</v>
      </c>
      <c r="F20" s="13">
        <v>91</v>
      </c>
      <c r="G20" s="13">
        <v>97.822811619905679</v>
      </c>
      <c r="H20" s="13">
        <f t="shared" si="0"/>
        <v>94.411405809952839</v>
      </c>
      <c r="I20" s="30">
        <f t="shared" si="1"/>
        <v>93.242878030420854</v>
      </c>
      <c r="N20" s="1"/>
    </row>
    <row r="21" spans="2:14" x14ac:dyDescent="0.35">
      <c r="B21" s="18" t="s">
        <v>757</v>
      </c>
      <c r="C21" s="13" t="s">
        <v>757</v>
      </c>
      <c r="D21" s="13" t="s">
        <v>803</v>
      </c>
      <c r="E21" s="13" t="s">
        <v>804</v>
      </c>
      <c r="F21" s="13">
        <v>100</v>
      </c>
      <c r="G21" s="13">
        <v>50.005744218111204</v>
      </c>
      <c r="H21" s="13">
        <f t="shared" si="0"/>
        <v>75.002872109055602</v>
      </c>
      <c r="I21" s="30">
        <f t="shared" si="1"/>
        <v>52.494167026624872</v>
      </c>
      <c r="N21" s="1"/>
    </row>
    <row r="22" spans="2:14" x14ac:dyDescent="0.35">
      <c r="B22" s="18" t="s">
        <v>757</v>
      </c>
      <c r="C22" s="13" t="s">
        <v>757</v>
      </c>
      <c r="D22" s="13" t="s">
        <v>807</v>
      </c>
      <c r="E22" s="13" t="s">
        <v>808</v>
      </c>
      <c r="F22" s="13">
        <v>86</v>
      </c>
      <c r="G22" s="13">
        <v>96.520073969063375</v>
      </c>
      <c r="H22" s="13">
        <f t="shared" si="0"/>
        <v>91.260036984531695</v>
      </c>
      <c r="I22" s="30">
        <f t="shared" si="1"/>
        <v>86.626498889552423</v>
      </c>
      <c r="N22" s="1"/>
    </row>
    <row r="23" spans="2:14" x14ac:dyDescent="0.35">
      <c r="B23" s="18" t="s">
        <v>757</v>
      </c>
      <c r="C23" s="13" t="s">
        <v>757</v>
      </c>
      <c r="D23" s="13" t="s">
        <v>811</v>
      </c>
      <c r="E23" s="13" t="s">
        <v>812</v>
      </c>
      <c r="F23" s="13">
        <v>100</v>
      </c>
      <c r="G23" s="13">
        <v>50.005744218111204</v>
      </c>
      <c r="H23" s="13">
        <f t="shared" si="0"/>
        <v>75.002872109055602</v>
      </c>
      <c r="I23" s="30">
        <f t="shared" si="1"/>
        <v>52.494167026624872</v>
      </c>
      <c r="N23" s="1"/>
    </row>
    <row r="24" spans="2:14" x14ac:dyDescent="0.35">
      <c r="B24" s="18" t="s">
        <v>757</v>
      </c>
      <c r="C24" s="13" t="s">
        <v>757</v>
      </c>
      <c r="D24" s="13" t="s">
        <v>813</v>
      </c>
      <c r="E24" s="13" t="s">
        <v>814</v>
      </c>
      <c r="F24" s="13">
        <v>89</v>
      </c>
      <c r="G24" s="13">
        <v>95.142255888136972</v>
      </c>
      <c r="H24" s="13">
        <f t="shared" si="0"/>
        <v>92.071127944068479</v>
      </c>
      <c r="I24" s="30">
        <f t="shared" si="1"/>
        <v>88.329405024415578</v>
      </c>
      <c r="N24" s="1"/>
    </row>
    <row r="25" spans="2:14" x14ac:dyDescent="0.35">
      <c r="B25" s="18" t="s">
        <v>976</v>
      </c>
      <c r="C25" s="13" t="s">
        <v>977</v>
      </c>
      <c r="D25" s="13" t="s">
        <v>976</v>
      </c>
      <c r="E25" s="13" t="s">
        <v>979</v>
      </c>
      <c r="F25" s="13">
        <v>87</v>
      </c>
      <c r="G25" s="13">
        <v>98.908129923029037</v>
      </c>
      <c r="H25" s="13">
        <f t="shared" si="0"/>
        <v>92.954064961514518</v>
      </c>
      <c r="I25" s="30">
        <f t="shared" si="1"/>
        <v>90.183153788383194</v>
      </c>
      <c r="N25" s="1"/>
    </row>
    <row r="26" spans="2:14" x14ac:dyDescent="0.35">
      <c r="B26" s="18" t="s">
        <v>976</v>
      </c>
      <c r="C26" s="13" t="s">
        <v>977</v>
      </c>
      <c r="D26" s="13" t="s">
        <v>4006</v>
      </c>
      <c r="E26" s="13" t="s">
        <v>985</v>
      </c>
      <c r="F26" s="13">
        <v>100</v>
      </c>
      <c r="G26" s="13">
        <v>50.005744218111204</v>
      </c>
      <c r="H26" s="13">
        <f t="shared" si="0"/>
        <v>75.002872109055602</v>
      </c>
      <c r="I26" s="30">
        <f t="shared" si="1"/>
        <v>52.494167026624872</v>
      </c>
      <c r="N26" s="1"/>
    </row>
    <row r="27" spans="2:14" x14ac:dyDescent="0.35">
      <c r="B27" s="18" t="s">
        <v>976</v>
      </c>
      <c r="C27" s="13" t="s">
        <v>977</v>
      </c>
      <c r="D27" s="13" t="s">
        <v>1005</v>
      </c>
      <c r="E27" s="13" t="s">
        <v>1006</v>
      </c>
      <c r="F27" s="13">
        <v>83</v>
      </c>
      <c r="G27" s="13">
        <v>94.745393958127295</v>
      </c>
      <c r="H27" s="13">
        <f t="shared" si="0"/>
        <v>88.872696979063647</v>
      </c>
      <c r="I27" s="30">
        <f t="shared" si="1"/>
        <v>81.614217722422282</v>
      </c>
      <c r="N27" s="1"/>
    </row>
    <row r="28" spans="2:14" x14ac:dyDescent="0.35">
      <c r="B28" s="18" t="s">
        <v>976</v>
      </c>
      <c r="C28" s="13" t="s">
        <v>977</v>
      </c>
      <c r="D28" s="13" t="s">
        <v>1007</v>
      </c>
      <c r="E28" s="13" t="s">
        <v>1008</v>
      </c>
      <c r="F28" s="13">
        <v>67</v>
      </c>
      <c r="G28" s="13">
        <v>68.503917094478098</v>
      </c>
      <c r="H28" s="13">
        <f t="shared" si="0"/>
        <v>67.751958547239042</v>
      </c>
      <c r="I28" s="30">
        <f t="shared" si="1"/>
        <v>37.270689261774002</v>
      </c>
      <c r="N28" s="1"/>
    </row>
    <row r="29" spans="2:14" x14ac:dyDescent="0.35">
      <c r="B29" s="18" t="s">
        <v>1231</v>
      </c>
      <c r="C29" s="13" t="s">
        <v>1231</v>
      </c>
      <c r="D29" s="13" t="s">
        <v>1231</v>
      </c>
      <c r="E29" s="13" t="s">
        <v>1232</v>
      </c>
      <c r="F29" s="13">
        <v>86</v>
      </c>
      <c r="G29" s="13">
        <v>93.894170702322143</v>
      </c>
      <c r="H29" s="13">
        <f t="shared" si="0"/>
        <v>89.947085351161064</v>
      </c>
      <c r="I29" s="30">
        <f t="shared" si="1"/>
        <v>83.869923483358377</v>
      </c>
      <c r="N29" s="1"/>
    </row>
    <row r="30" spans="2:14" x14ac:dyDescent="0.35">
      <c r="B30" s="18" t="s">
        <v>1231</v>
      </c>
      <c r="C30" s="13" t="s">
        <v>1231</v>
      </c>
      <c r="D30" s="13" t="s">
        <v>1241</v>
      </c>
      <c r="E30" s="13" t="s">
        <v>1242</v>
      </c>
      <c r="F30" s="13">
        <v>50</v>
      </c>
      <c r="G30" s="13">
        <v>50.005744218111204</v>
      </c>
      <c r="H30" s="13">
        <f t="shared" si="0"/>
        <v>50.002872109055602</v>
      </c>
      <c r="I30" s="30">
        <f t="shared" si="1"/>
        <v>6.0300661390352995E-3</v>
      </c>
      <c r="N30" s="1"/>
    </row>
    <row r="31" spans="2:14" x14ac:dyDescent="0.35">
      <c r="B31" s="18" t="s">
        <v>1231</v>
      </c>
      <c r="C31" s="13" t="s">
        <v>1231</v>
      </c>
      <c r="D31" s="13" t="s">
        <v>1243</v>
      </c>
      <c r="E31" s="13" t="s">
        <v>1244</v>
      </c>
      <c r="F31" s="13">
        <v>50</v>
      </c>
      <c r="G31" s="13">
        <v>50.005744218111204</v>
      </c>
      <c r="H31" s="13">
        <f t="shared" si="0"/>
        <v>50.002872109055602</v>
      </c>
      <c r="I31" s="30">
        <f t="shared" si="1"/>
        <v>6.0300661390352995E-3</v>
      </c>
      <c r="N31" s="1"/>
    </row>
    <row r="32" spans="2:14" x14ac:dyDescent="0.35">
      <c r="B32" s="18" t="s">
        <v>1231</v>
      </c>
      <c r="C32" s="13" t="s">
        <v>1231</v>
      </c>
      <c r="D32" s="13" t="s">
        <v>1245</v>
      </c>
      <c r="E32" s="13" t="s">
        <v>1246</v>
      </c>
      <c r="F32" s="13">
        <v>93</v>
      </c>
      <c r="G32" s="13">
        <v>98.692630493007172</v>
      </c>
      <c r="H32" s="13">
        <f t="shared" si="0"/>
        <v>95.846315246503593</v>
      </c>
      <c r="I32" s="30">
        <f t="shared" si="1"/>
        <v>96.255506951683628</v>
      </c>
      <c r="N32" s="1"/>
    </row>
    <row r="33" spans="2:14" x14ac:dyDescent="0.35">
      <c r="B33" s="18" t="s">
        <v>1231</v>
      </c>
      <c r="C33" s="13" t="s">
        <v>1231</v>
      </c>
      <c r="D33" s="13" t="s">
        <v>1247</v>
      </c>
      <c r="E33" s="13" t="s">
        <v>1248</v>
      </c>
      <c r="F33" s="13">
        <v>50</v>
      </c>
      <c r="G33" s="13">
        <v>50.005744218111204</v>
      </c>
      <c r="H33" s="13">
        <f t="shared" si="0"/>
        <v>50.002872109055602</v>
      </c>
      <c r="I33" s="30">
        <f t="shared" si="1"/>
        <v>6.0300661390352995E-3</v>
      </c>
      <c r="N33" s="1"/>
    </row>
    <row r="34" spans="2:14" x14ac:dyDescent="0.35">
      <c r="B34" s="18" t="s">
        <v>1482</v>
      </c>
      <c r="C34" s="13" t="s">
        <v>1482</v>
      </c>
      <c r="D34" s="13" t="s">
        <v>1482</v>
      </c>
      <c r="E34" s="13" t="s">
        <v>1483</v>
      </c>
      <c r="F34" s="13">
        <v>84</v>
      </c>
      <c r="G34" s="13">
        <v>95.591189326486656</v>
      </c>
      <c r="H34" s="13">
        <f t="shared" si="0"/>
        <v>89.795594663243321</v>
      </c>
      <c r="I34" s="30">
        <f t="shared" si="1"/>
        <v>83.551864924331795</v>
      </c>
      <c r="N34" s="1"/>
    </row>
    <row r="35" spans="2:14" x14ac:dyDescent="0.35">
      <c r="B35" s="18" t="s">
        <v>1482</v>
      </c>
      <c r="C35" s="13" t="s">
        <v>1482</v>
      </c>
      <c r="D35" s="13" t="s">
        <v>1484</v>
      </c>
      <c r="E35" s="13" t="s">
        <v>1485</v>
      </c>
      <c r="F35" s="13">
        <v>86</v>
      </c>
      <c r="G35" s="13">
        <v>96.492086715230386</v>
      </c>
      <c r="H35" s="13">
        <f t="shared" ref="H35:H66" si="2">SUMPRODUCT(F35:G35,$F$173:$G$173)</f>
        <v>91.246043357615193</v>
      </c>
      <c r="I35" s="30">
        <f t="shared" si="1"/>
        <v>86.597118913305735</v>
      </c>
      <c r="N35" s="1"/>
    </row>
    <row r="36" spans="2:14" x14ac:dyDescent="0.35">
      <c r="B36" s="18" t="s">
        <v>1482</v>
      </c>
      <c r="C36" s="13" t="s">
        <v>1482</v>
      </c>
      <c r="D36" s="13" t="s">
        <v>1486</v>
      </c>
      <c r="E36" s="13" t="s">
        <v>1487</v>
      </c>
      <c r="F36" s="13">
        <v>82</v>
      </c>
      <c r="G36" s="13">
        <v>99.950361728824859</v>
      </c>
      <c r="H36" s="13">
        <f t="shared" si="2"/>
        <v>90.975180864412437</v>
      </c>
      <c r="I36" s="30">
        <f t="shared" si="1"/>
        <v>86.02843620767834</v>
      </c>
      <c r="N36" s="1"/>
    </row>
    <row r="37" spans="2:14" x14ac:dyDescent="0.35">
      <c r="B37" s="18" t="s">
        <v>1482</v>
      </c>
      <c r="C37" s="13" t="s">
        <v>1482</v>
      </c>
      <c r="D37" s="13" t="s">
        <v>1488</v>
      </c>
      <c r="E37" s="13" t="s">
        <v>1489</v>
      </c>
      <c r="F37" s="13">
        <v>85</v>
      </c>
      <c r="G37" s="13">
        <v>88.955348751904566</v>
      </c>
      <c r="H37" s="13">
        <f t="shared" si="2"/>
        <v>86.97767437595229</v>
      </c>
      <c r="I37" s="30">
        <f t="shared" si="1"/>
        <v>77.635569485009256</v>
      </c>
      <c r="N37" s="1"/>
    </row>
    <row r="38" spans="2:14" x14ac:dyDescent="0.35">
      <c r="B38" s="18" t="s">
        <v>1482</v>
      </c>
      <c r="C38" s="13" t="s">
        <v>1482</v>
      </c>
      <c r="D38" s="13" t="s">
        <v>1490</v>
      </c>
      <c r="E38" s="13" t="s">
        <v>1491</v>
      </c>
      <c r="F38" s="13">
        <v>60</v>
      </c>
      <c r="G38" s="13">
        <v>50.005744218111204</v>
      </c>
      <c r="H38" s="13">
        <f t="shared" si="2"/>
        <v>55.002872109055602</v>
      </c>
      <c r="I38" s="30">
        <f t="shared" si="1"/>
        <v>10.503657458236203</v>
      </c>
      <c r="N38" s="1"/>
    </row>
    <row r="39" spans="2:14" x14ac:dyDescent="0.35">
      <c r="B39" s="18" t="s">
        <v>1482</v>
      </c>
      <c r="C39" s="13" t="s">
        <v>1482</v>
      </c>
      <c r="D39" s="13" t="s">
        <v>4007</v>
      </c>
      <c r="E39" s="13" t="s">
        <v>1493</v>
      </c>
      <c r="F39" s="13">
        <v>87</v>
      </c>
      <c r="G39" s="13">
        <v>98.146061773388368</v>
      </c>
      <c r="H39" s="13">
        <f t="shared" si="2"/>
        <v>92.573030886694184</v>
      </c>
      <c r="I39" s="30">
        <f t="shared" si="1"/>
        <v>89.383163040151942</v>
      </c>
      <c r="N39" s="1"/>
    </row>
    <row r="40" spans="2:14" x14ac:dyDescent="0.35">
      <c r="B40" s="18" t="s">
        <v>1482</v>
      </c>
      <c r="C40" s="13" t="s">
        <v>1482</v>
      </c>
      <c r="D40" s="13" t="s">
        <v>1494</v>
      </c>
      <c r="E40" s="13" t="s">
        <v>1495</v>
      </c>
      <c r="F40" s="13">
        <v>89</v>
      </c>
      <c r="G40" s="13">
        <v>50.005744218111204</v>
      </c>
      <c r="H40" s="13">
        <f t="shared" si="2"/>
        <v>69.502872109055602</v>
      </c>
      <c r="I40" s="30">
        <f t="shared" si="1"/>
        <v>40.946776895317996</v>
      </c>
      <c r="N40" s="1"/>
    </row>
    <row r="41" spans="2:14" x14ac:dyDescent="0.35">
      <c r="B41" s="18" t="s">
        <v>1496</v>
      </c>
      <c r="C41" s="13" t="s">
        <v>1496</v>
      </c>
      <c r="D41" s="13" t="s">
        <v>1496</v>
      </c>
      <c r="E41" s="13" t="s">
        <v>1497</v>
      </c>
      <c r="F41" s="13">
        <v>92</v>
      </c>
      <c r="G41" s="13">
        <v>98.494375129017797</v>
      </c>
      <c r="H41" s="13">
        <f t="shared" si="2"/>
        <v>95.247187564508891</v>
      </c>
      <c r="I41" s="30">
        <f t="shared" si="1"/>
        <v>94.997623118509381</v>
      </c>
      <c r="N41" s="1"/>
    </row>
    <row r="42" spans="2:14" x14ac:dyDescent="0.35">
      <c r="B42" s="18" t="s">
        <v>1496</v>
      </c>
      <c r="C42" s="13" t="s">
        <v>1496</v>
      </c>
      <c r="D42" s="13" t="s">
        <v>1502</v>
      </c>
      <c r="E42" s="13" t="s">
        <v>1503</v>
      </c>
      <c r="F42" s="13">
        <v>91</v>
      </c>
      <c r="G42" s="13">
        <v>97.738567088136918</v>
      </c>
      <c r="H42" s="13">
        <f t="shared" si="2"/>
        <v>94.369283544068452</v>
      </c>
      <c r="I42" s="30">
        <f t="shared" si="1"/>
        <v>93.15444125998782</v>
      </c>
      <c r="N42" s="1"/>
    </row>
    <row r="43" spans="2:14" x14ac:dyDescent="0.35">
      <c r="B43" s="18" t="s">
        <v>1496</v>
      </c>
      <c r="C43" s="13" t="s">
        <v>1496</v>
      </c>
      <c r="D43" s="13" t="s">
        <v>1504</v>
      </c>
      <c r="E43" s="13" t="s">
        <v>1505</v>
      </c>
      <c r="F43" s="13">
        <v>93</v>
      </c>
      <c r="G43" s="13">
        <v>99.57314468909766</v>
      </c>
      <c r="H43" s="13">
        <f t="shared" si="2"/>
        <v>96.28657234454883</v>
      </c>
      <c r="I43" s="30">
        <f t="shared" si="1"/>
        <v>97.179837946084604</v>
      </c>
      <c r="N43" s="1"/>
    </row>
    <row r="44" spans="2:14" x14ac:dyDescent="0.35">
      <c r="B44" s="18" t="s">
        <v>1496</v>
      </c>
      <c r="C44" s="13" t="s">
        <v>1496</v>
      </c>
      <c r="D44" s="13" t="s">
        <v>1506</v>
      </c>
      <c r="E44" s="13" t="s">
        <v>1507</v>
      </c>
      <c r="F44" s="13">
        <v>89</v>
      </c>
      <c r="G44" s="13">
        <v>90.700762874768827</v>
      </c>
      <c r="H44" s="13">
        <f t="shared" si="2"/>
        <v>89.850381437384414</v>
      </c>
      <c r="I44" s="30">
        <f t="shared" si="1"/>
        <v>83.66689115252143</v>
      </c>
      <c r="N44" s="1"/>
    </row>
    <row r="45" spans="2:14" x14ac:dyDescent="0.35">
      <c r="B45" s="18" t="s">
        <v>1496</v>
      </c>
      <c r="C45" s="13" t="s">
        <v>1496</v>
      </c>
      <c r="D45" s="13" t="s">
        <v>1510</v>
      </c>
      <c r="E45" s="13" t="s">
        <v>1511</v>
      </c>
      <c r="F45" s="13">
        <v>91</v>
      </c>
      <c r="G45" s="13">
        <v>97.98724648915254</v>
      </c>
      <c r="H45" s="13">
        <f t="shared" si="2"/>
        <v>94.49362324457627</v>
      </c>
      <c r="I45" s="30">
        <f t="shared" si="1"/>
        <v>93.415495629183027</v>
      </c>
      <c r="N45" s="1"/>
    </row>
    <row r="46" spans="2:14" x14ac:dyDescent="0.35">
      <c r="B46" s="18" t="s">
        <v>1937</v>
      </c>
      <c r="C46" s="13" t="s">
        <v>1937</v>
      </c>
      <c r="D46" s="13" t="s">
        <v>4008</v>
      </c>
      <c r="E46" s="13" t="s">
        <v>1939</v>
      </c>
      <c r="F46" s="13">
        <v>80</v>
      </c>
      <c r="G46" s="13">
        <v>95.321746637002619</v>
      </c>
      <c r="H46" s="13">
        <f t="shared" si="2"/>
        <v>87.660873318501302</v>
      </c>
      <c r="I46" s="30">
        <f t="shared" si="1"/>
        <v>79.069963071720125</v>
      </c>
      <c r="N46" s="1"/>
    </row>
    <row r="47" spans="2:14" x14ac:dyDescent="0.35">
      <c r="B47" s="18" t="s">
        <v>1937</v>
      </c>
      <c r="C47" s="13" t="s">
        <v>1937</v>
      </c>
      <c r="D47" s="13" t="s">
        <v>4009</v>
      </c>
      <c r="E47" s="13" t="s">
        <v>1941</v>
      </c>
      <c r="F47" s="13">
        <v>83</v>
      </c>
      <c r="G47" s="13">
        <v>92.112847587676214</v>
      </c>
      <c r="H47" s="13">
        <f t="shared" si="2"/>
        <v>87.556423793838107</v>
      </c>
      <c r="I47" s="30">
        <f t="shared" si="1"/>
        <v>78.85066863348095</v>
      </c>
      <c r="N47" s="1"/>
    </row>
    <row r="48" spans="2:14" x14ac:dyDescent="0.35">
      <c r="B48" s="18" t="s">
        <v>1937</v>
      </c>
      <c r="C48" s="13" t="s">
        <v>1937</v>
      </c>
      <c r="D48" s="13" t="s">
        <v>1958</v>
      </c>
      <c r="E48" s="13" t="s">
        <v>1959</v>
      </c>
      <c r="F48" s="13">
        <v>83</v>
      </c>
      <c r="G48" s="13">
        <v>50.005744218111204</v>
      </c>
      <c r="H48" s="13">
        <f t="shared" si="2"/>
        <v>66.502872109055602</v>
      </c>
      <c r="I48" s="30">
        <f t="shared" si="1"/>
        <v>34.648200460059691</v>
      </c>
      <c r="N48" s="1"/>
    </row>
    <row r="49" spans="2:14" x14ac:dyDescent="0.35">
      <c r="B49" s="18" t="s">
        <v>2111</v>
      </c>
      <c r="C49" s="13" t="s">
        <v>2111</v>
      </c>
      <c r="D49" s="13" t="s">
        <v>2111</v>
      </c>
      <c r="E49" s="13" t="s">
        <v>2112</v>
      </c>
      <c r="F49" s="13">
        <v>90</v>
      </c>
      <c r="G49" s="13">
        <v>99.125964554252306</v>
      </c>
      <c r="H49" s="13">
        <f t="shared" si="2"/>
        <v>94.562982277126153</v>
      </c>
      <c r="I49" s="30">
        <f t="shared" si="1"/>
        <v>93.561116685180025</v>
      </c>
      <c r="N49" s="1"/>
    </row>
    <row r="50" spans="2:14" x14ac:dyDescent="0.35">
      <c r="B50" s="18" t="s">
        <v>2111</v>
      </c>
      <c r="C50" s="13" t="s">
        <v>2111</v>
      </c>
      <c r="D50" s="13" t="s">
        <v>2113</v>
      </c>
      <c r="E50" s="13" t="s">
        <v>2114</v>
      </c>
      <c r="F50" s="13">
        <v>76</v>
      </c>
      <c r="G50" s="13">
        <v>95.019335234191374</v>
      </c>
      <c r="H50" s="13">
        <f t="shared" si="2"/>
        <v>85.509667617095687</v>
      </c>
      <c r="I50" s="30">
        <f t="shared" si="1"/>
        <v>74.5534518922979</v>
      </c>
      <c r="N50" s="1"/>
    </row>
    <row r="51" spans="2:14" x14ac:dyDescent="0.35">
      <c r="B51" s="18" t="s">
        <v>2111</v>
      </c>
      <c r="C51" s="13" t="s">
        <v>2111</v>
      </c>
      <c r="D51" s="13" t="s">
        <v>2115</v>
      </c>
      <c r="E51" s="13" t="s">
        <v>2116</v>
      </c>
      <c r="F51" s="13">
        <v>71</v>
      </c>
      <c r="G51" s="13">
        <v>98.423451100139246</v>
      </c>
      <c r="H51" s="13">
        <f t="shared" si="2"/>
        <v>84.711725550069616</v>
      </c>
      <c r="I51" s="30">
        <f t="shared" si="1"/>
        <v>72.878152192273987</v>
      </c>
      <c r="N51" s="1"/>
    </row>
    <row r="52" spans="2:14" x14ac:dyDescent="0.35">
      <c r="B52" s="18" t="s">
        <v>2111</v>
      </c>
      <c r="C52" s="13" t="s">
        <v>2111</v>
      </c>
      <c r="D52" s="13" t="s">
        <v>2121</v>
      </c>
      <c r="E52" s="13" t="s">
        <v>2122</v>
      </c>
      <c r="F52" s="13">
        <v>96</v>
      </c>
      <c r="G52" s="13">
        <v>99.259620355054778</v>
      </c>
      <c r="H52" s="13">
        <f t="shared" si="2"/>
        <v>97.629810177527389</v>
      </c>
      <c r="I52" s="30">
        <f t="shared" si="1"/>
        <v>100</v>
      </c>
      <c r="N52" s="1"/>
    </row>
    <row r="53" spans="2:14" x14ac:dyDescent="0.35">
      <c r="B53" s="18" t="s">
        <v>2111</v>
      </c>
      <c r="C53" s="13" t="s">
        <v>2111</v>
      </c>
      <c r="D53" s="13" t="s">
        <v>2045</v>
      </c>
      <c r="E53" s="13" t="s">
        <v>2124</v>
      </c>
      <c r="F53" s="13">
        <v>100</v>
      </c>
      <c r="G53" s="13">
        <v>50.005744218111204</v>
      </c>
      <c r="H53" s="13">
        <f t="shared" si="2"/>
        <v>75.002872109055602</v>
      </c>
      <c r="I53" s="30">
        <f t="shared" si="1"/>
        <v>52.494167026624872</v>
      </c>
      <c r="N53" s="1"/>
    </row>
    <row r="54" spans="2:14" x14ac:dyDescent="0.35">
      <c r="B54" s="18" t="s">
        <v>2111</v>
      </c>
      <c r="C54" s="13" t="s">
        <v>2111</v>
      </c>
      <c r="D54" s="13" t="s">
        <v>2125</v>
      </c>
      <c r="E54" s="13" t="s">
        <v>2126</v>
      </c>
      <c r="F54" s="13">
        <v>100</v>
      </c>
      <c r="G54" s="13">
        <v>50.005744218111204</v>
      </c>
      <c r="H54" s="13">
        <f t="shared" si="2"/>
        <v>75.002872109055602</v>
      </c>
      <c r="I54" s="30">
        <f t="shared" si="1"/>
        <v>52.494167026624872</v>
      </c>
      <c r="N54" s="1"/>
    </row>
    <row r="55" spans="2:14" x14ac:dyDescent="0.35">
      <c r="B55" s="18" t="s">
        <v>2111</v>
      </c>
      <c r="C55" s="13" t="s">
        <v>2111</v>
      </c>
      <c r="D55" s="13" t="s">
        <v>2129</v>
      </c>
      <c r="E55" s="13" t="s">
        <v>2130</v>
      </c>
      <c r="F55" s="13">
        <v>100</v>
      </c>
      <c r="G55" s="13">
        <v>50.005744218111204</v>
      </c>
      <c r="H55" s="13">
        <f t="shared" si="2"/>
        <v>75.002872109055602</v>
      </c>
      <c r="I55" s="30">
        <f t="shared" si="1"/>
        <v>52.494167026624872</v>
      </c>
      <c r="N55" s="1"/>
    </row>
    <row r="56" spans="2:14" x14ac:dyDescent="0.35">
      <c r="B56" s="18" t="s">
        <v>2111</v>
      </c>
      <c r="C56" s="13" t="s">
        <v>2111</v>
      </c>
      <c r="D56" s="13" t="s">
        <v>1506</v>
      </c>
      <c r="E56" s="13" t="s">
        <v>2132</v>
      </c>
      <c r="F56" s="13">
        <v>100</v>
      </c>
      <c r="G56" s="13">
        <v>50.005744218111204</v>
      </c>
      <c r="H56" s="13">
        <f t="shared" si="2"/>
        <v>75.002872109055602</v>
      </c>
      <c r="I56" s="30">
        <f t="shared" si="1"/>
        <v>52.494167026624872</v>
      </c>
      <c r="N56" s="1"/>
    </row>
    <row r="57" spans="2:14" x14ac:dyDescent="0.35">
      <c r="B57" s="18" t="s">
        <v>2111</v>
      </c>
      <c r="C57" s="13" t="s">
        <v>2111</v>
      </c>
      <c r="D57" s="13" t="s">
        <v>2133</v>
      </c>
      <c r="E57" s="13" t="s">
        <v>2134</v>
      </c>
      <c r="F57" s="13">
        <v>89</v>
      </c>
      <c r="G57" s="13">
        <v>50.005744218111204</v>
      </c>
      <c r="H57" s="13">
        <f t="shared" si="2"/>
        <v>69.502872109055602</v>
      </c>
      <c r="I57" s="30">
        <f t="shared" si="1"/>
        <v>40.946776895317996</v>
      </c>
      <c r="N57" s="1"/>
    </row>
    <row r="58" spans="2:14" x14ac:dyDescent="0.35">
      <c r="B58" s="18" t="s">
        <v>2111</v>
      </c>
      <c r="C58" s="13" t="s">
        <v>2139</v>
      </c>
      <c r="D58" s="13" t="s">
        <v>2140</v>
      </c>
      <c r="E58" s="13" t="s">
        <v>2141</v>
      </c>
      <c r="F58" s="13">
        <v>88</v>
      </c>
      <c r="G58" s="13">
        <v>93.370821328883693</v>
      </c>
      <c r="H58" s="13">
        <f t="shared" si="2"/>
        <v>90.685410664441847</v>
      </c>
      <c r="I58" s="30">
        <f t="shared" si="1"/>
        <v>85.420056289953394</v>
      </c>
      <c r="N58" s="1"/>
    </row>
    <row r="59" spans="2:14" x14ac:dyDescent="0.35">
      <c r="B59" s="18" t="s">
        <v>2111</v>
      </c>
      <c r="C59" s="13" t="s">
        <v>2139</v>
      </c>
      <c r="D59" s="13" t="s">
        <v>2150</v>
      </c>
      <c r="E59" s="13" t="s">
        <v>2151</v>
      </c>
      <c r="F59" s="13">
        <v>71</v>
      </c>
      <c r="G59" s="13">
        <v>69.831148884984941</v>
      </c>
      <c r="H59" s="13">
        <f t="shared" si="2"/>
        <v>70.415574442492471</v>
      </c>
      <c r="I59" s="30">
        <f t="shared" si="1"/>
        <v>42.86301869858157</v>
      </c>
      <c r="N59" s="1"/>
    </row>
    <row r="60" spans="2:14" x14ac:dyDescent="0.35">
      <c r="B60" s="18" t="s">
        <v>2111</v>
      </c>
      <c r="C60" s="13" t="s">
        <v>2139</v>
      </c>
      <c r="D60" s="13" t="s">
        <v>2158</v>
      </c>
      <c r="E60" s="13" t="s">
        <v>2159</v>
      </c>
      <c r="F60" s="13">
        <v>88</v>
      </c>
      <c r="G60" s="13">
        <v>50.005744218111204</v>
      </c>
      <c r="H60" s="13">
        <f t="shared" si="2"/>
        <v>69.002872109055602</v>
      </c>
      <c r="I60" s="30">
        <f t="shared" si="1"/>
        <v>39.897014156108277</v>
      </c>
      <c r="N60" s="1"/>
    </row>
    <row r="61" spans="2:14" x14ac:dyDescent="0.35">
      <c r="B61" s="18" t="s">
        <v>2199</v>
      </c>
      <c r="C61" s="13" t="s">
        <v>2200</v>
      </c>
      <c r="D61" s="13" t="s">
        <v>2200</v>
      </c>
      <c r="E61" s="13" t="s">
        <v>2201</v>
      </c>
      <c r="F61" s="13">
        <v>86</v>
      </c>
      <c r="G61" s="13">
        <v>93.043131813932575</v>
      </c>
      <c r="H61" s="13">
        <f t="shared" si="2"/>
        <v>89.521565906966288</v>
      </c>
      <c r="I61" s="30">
        <f t="shared" si="1"/>
        <v>82.976534568708573</v>
      </c>
      <c r="N61" s="1"/>
    </row>
    <row r="62" spans="2:14" x14ac:dyDescent="0.35">
      <c r="B62" s="18" t="s">
        <v>2199</v>
      </c>
      <c r="C62" s="13" t="s">
        <v>2200</v>
      </c>
      <c r="D62" s="13" t="s">
        <v>2208</v>
      </c>
      <c r="E62" s="13" t="s">
        <v>2209</v>
      </c>
      <c r="F62" s="13">
        <v>95</v>
      </c>
      <c r="G62" s="13">
        <v>97.625054848343112</v>
      </c>
      <c r="H62" s="13">
        <f t="shared" si="2"/>
        <v>96.312527424171549</v>
      </c>
      <c r="I62" s="30">
        <f t="shared" si="1"/>
        <v>97.234331297046907</v>
      </c>
      <c r="N62" s="1"/>
    </row>
    <row r="63" spans="2:14" x14ac:dyDescent="0.35">
      <c r="B63" s="18" t="s">
        <v>2199</v>
      </c>
      <c r="C63" s="13" t="s">
        <v>2200</v>
      </c>
      <c r="D63" s="13" t="s">
        <v>2218</v>
      </c>
      <c r="E63" s="13" t="s">
        <v>2219</v>
      </c>
      <c r="F63" s="13">
        <v>86</v>
      </c>
      <c r="G63" s="13">
        <v>96.003493367958654</v>
      </c>
      <c r="H63" s="13">
        <f t="shared" si="2"/>
        <v>91.00174668397932</v>
      </c>
      <c r="I63" s="30">
        <f t="shared" si="1"/>
        <v>86.08421182271411</v>
      </c>
      <c r="N63" s="1"/>
    </row>
    <row r="64" spans="2:14" x14ac:dyDescent="0.35">
      <c r="B64" s="18" t="s">
        <v>2199</v>
      </c>
      <c r="C64" s="13" t="s">
        <v>2200</v>
      </c>
      <c r="D64" s="13" t="s">
        <v>3513</v>
      </c>
      <c r="E64" s="13" t="s">
        <v>2225</v>
      </c>
      <c r="F64" s="13">
        <v>100</v>
      </c>
      <c r="G64" s="13">
        <v>50.005744218111204</v>
      </c>
      <c r="H64" s="13">
        <f t="shared" si="2"/>
        <v>75.002872109055602</v>
      </c>
      <c r="I64" s="30">
        <f t="shared" si="1"/>
        <v>52.494167026624872</v>
      </c>
      <c r="N64" s="1"/>
    </row>
    <row r="65" spans="2:14" x14ac:dyDescent="0.35">
      <c r="B65" s="18" t="s">
        <v>2199</v>
      </c>
      <c r="C65" s="13" t="s">
        <v>2200</v>
      </c>
      <c r="D65" s="13" t="s">
        <v>2228</v>
      </c>
      <c r="E65" s="13" t="s">
        <v>2229</v>
      </c>
      <c r="F65" s="13">
        <v>100</v>
      </c>
      <c r="G65" s="13">
        <v>50.005744218111204</v>
      </c>
      <c r="H65" s="13">
        <f t="shared" si="2"/>
        <v>75.002872109055602</v>
      </c>
      <c r="I65" s="30">
        <f t="shared" si="1"/>
        <v>52.494167026624872</v>
      </c>
      <c r="N65" s="1"/>
    </row>
    <row r="66" spans="2:14" x14ac:dyDescent="0.35">
      <c r="B66" s="18" t="s">
        <v>2199</v>
      </c>
      <c r="C66" s="13" t="s">
        <v>2200</v>
      </c>
      <c r="D66" s="13" t="s">
        <v>2234</v>
      </c>
      <c r="E66" s="13" t="s">
        <v>2235</v>
      </c>
      <c r="F66" s="13">
        <v>85</v>
      </c>
      <c r="G66" s="13">
        <v>99.991494990731127</v>
      </c>
      <c r="H66" s="13">
        <f t="shared" si="2"/>
        <v>92.495747495365563</v>
      </c>
      <c r="I66" s="30">
        <f t="shared" si="1"/>
        <v>89.220904590998828</v>
      </c>
      <c r="N66" s="1"/>
    </row>
    <row r="67" spans="2:14" x14ac:dyDescent="0.35">
      <c r="B67" s="18" t="s">
        <v>2199</v>
      </c>
      <c r="C67" s="13" t="s">
        <v>2200</v>
      </c>
      <c r="D67" s="13" t="s">
        <v>2248</v>
      </c>
      <c r="E67" s="13" t="s">
        <v>2249</v>
      </c>
      <c r="F67" s="13">
        <v>75</v>
      </c>
      <c r="G67" s="13">
        <v>63.200815591092926</v>
      </c>
      <c r="H67" s="13">
        <f t="shared" ref="H67:H98" si="3">SUMPRODUCT(F67:G67,$F$173:$G$173)</f>
        <v>69.10040779554646</v>
      </c>
      <c r="I67" s="30">
        <f t="shared" si="1"/>
        <v>40.101792814950961</v>
      </c>
      <c r="N67" s="1"/>
    </row>
    <row r="68" spans="2:14" x14ac:dyDescent="0.35">
      <c r="B68" s="18" t="s">
        <v>2199</v>
      </c>
      <c r="C68" s="13" t="s">
        <v>2200</v>
      </c>
      <c r="D68" s="13" t="s">
        <v>2250</v>
      </c>
      <c r="E68" s="13" t="s">
        <v>2251</v>
      </c>
      <c r="F68" s="13">
        <v>100</v>
      </c>
      <c r="G68" s="13">
        <v>50.005744218111204</v>
      </c>
      <c r="H68" s="13">
        <f t="shared" si="3"/>
        <v>75.002872109055602</v>
      </c>
      <c r="I68" s="30">
        <f t="shared" ref="I68:I131" si="4">(H68-MIN($H$3:$H$171))/(MAX($H$3:$H$171)-MIN($H$3:$H$171))*100</f>
        <v>52.494167026624872</v>
      </c>
      <c r="N68" s="1"/>
    </row>
    <row r="69" spans="2:14" x14ac:dyDescent="0.35">
      <c r="B69" s="18" t="s">
        <v>263</v>
      </c>
      <c r="C69" s="13" t="s">
        <v>2449</v>
      </c>
      <c r="D69" s="13" t="s">
        <v>2449</v>
      </c>
      <c r="E69" s="13" t="s">
        <v>2450</v>
      </c>
      <c r="F69" s="13">
        <v>89</v>
      </c>
      <c r="G69" s="13">
        <v>96.914449588266052</v>
      </c>
      <c r="H69" s="13">
        <f t="shared" si="3"/>
        <v>92.957224794133026</v>
      </c>
      <c r="I69" s="30">
        <f t="shared" si="4"/>
        <v>90.189787937473298</v>
      </c>
      <c r="N69" s="1"/>
    </row>
    <row r="70" spans="2:14" x14ac:dyDescent="0.35">
      <c r="B70" s="18" t="s">
        <v>263</v>
      </c>
      <c r="C70" s="13" t="s">
        <v>2449</v>
      </c>
      <c r="D70" s="13" t="s">
        <v>2451</v>
      </c>
      <c r="E70" s="13" t="s">
        <v>2452</v>
      </c>
      <c r="F70" s="13">
        <v>95</v>
      </c>
      <c r="G70" s="13">
        <v>98.541465675039731</v>
      </c>
      <c r="H70" s="13">
        <f t="shared" si="3"/>
        <v>96.770732837519859</v>
      </c>
      <c r="I70" s="30">
        <f t="shared" si="4"/>
        <v>98.196345236721399</v>
      </c>
      <c r="N70" s="1"/>
    </row>
    <row r="71" spans="2:14" x14ac:dyDescent="0.35">
      <c r="B71" s="18" t="s">
        <v>263</v>
      </c>
      <c r="C71" s="13" t="s">
        <v>2449</v>
      </c>
      <c r="D71" s="13" t="s">
        <v>2453</v>
      </c>
      <c r="E71" s="13" t="s">
        <v>2454</v>
      </c>
      <c r="F71" s="13">
        <v>88</v>
      </c>
      <c r="G71" s="13">
        <v>99.243653703986851</v>
      </c>
      <c r="H71" s="13">
        <f t="shared" si="3"/>
        <v>93.621826851993433</v>
      </c>
      <c r="I71" s="30">
        <f t="shared" si="4"/>
        <v>91.585136890961209</v>
      </c>
      <c r="N71" s="1"/>
    </row>
    <row r="72" spans="2:14" x14ac:dyDescent="0.35">
      <c r="B72" s="18" t="s">
        <v>263</v>
      </c>
      <c r="C72" s="13" t="s">
        <v>2449</v>
      </c>
      <c r="D72" s="13" t="s">
        <v>2455</v>
      </c>
      <c r="E72" s="13" t="s">
        <v>2456</v>
      </c>
      <c r="F72" s="13">
        <v>87</v>
      </c>
      <c r="G72" s="13">
        <v>95.141011874868127</v>
      </c>
      <c r="H72" s="13">
        <f t="shared" si="3"/>
        <v>91.070505937434064</v>
      </c>
      <c r="I72" s="30">
        <f t="shared" si="4"/>
        <v>86.228573627219447</v>
      </c>
      <c r="N72" s="1"/>
    </row>
    <row r="73" spans="2:14" x14ac:dyDescent="0.35">
      <c r="B73" s="18" t="s">
        <v>263</v>
      </c>
      <c r="C73" s="13" t="s">
        <v>2449</v>
      </c>
      <c r="D73" s="13" t="s">
        <v>2457</v>
      </c>
      <c r="E73" s="13" t="s">
        <v>2458</v>
      </c>
      <c r="F73" s="13">
        <v>86</v>
      </c>
      <c r="G73" s="13">
        <v>92.440131156419724</v>
      </c>
      <c r="H73" s="13">
        <f t="shared" si="3"/>
        <v>89.220065578209869</v>
      </c>
      <c r="I73" s="30">
        <f t="shared" si="4"/>
        <v>82.343526946732638</v>
      </c>
      <c r="N73" s="1"/>
    </row>
    <row r="74" spans="2:14" x14ac:dyDescent="0.35">
      <c r="B74" s="18" t="s">
        <v>263</v>
      </c>
      <c r="C74" s="13" t="s">
        <v>2449</v>
      </c>
      <c r="D74" s="13" t="s">
        <v>2459</v>
      </c>
      <c r="E74" s="13" t="s">
        <v>2460</v>
      </c>
      <c r="F74" s="13">
        <v>81</v>
      </c>
      <c r="G74" s="13">
        <v>92.118025725486604</v>
      </c>
      <c r="H74" s="13">
        <f t="shared" si="3"/>
        <v>86.559012862743302</v>
      </c>
      <c r="I74" s="30">
        <f t="shared" si="4"/>
        <v>76.756578971193363</v>
      </c>
      <c r="N74" s="1"/>
    </row>
    <row r="75" spans="2:14" x14ac:dyDescent="0.35">
      <c r="B75" s="18" t="s">
        <v>263</v>
      </c>
      <c r="C75" s="13" t="s">
        <v>2449</v>
      </c>
      <c r="D75" s="13" t="s">
        <v>2461</v>
      </c>
      <c r="E75" s="13" t="s">
        <v>2462</v>
      </c>
      <c r="F75" s="13">
        <v>79</v>
      </c>
      <c r="G75" s="13">
        <v>89.943701064137628</v>
      </c>
      <c r="H75" s="13">
        <f t="shared" si="3"/>
        <v>84.471850532068814</v>
      </c>
      <c r="I75" s="30">
        <f t="shared" si="4"/>
        <v>72.374528480344978</v>
      </c>
      <c r="N75" s="1"/>
    </row>
    <row r="76" spans="2:14" x14ac:dyDescent="0.35">
      <c r="B76" s="18" t="s">
        <v>263</v>
      </c>
      <c r="C76" s="13" t="s">
        <v>2449</v>
      </c>
      <c r="D76" s="13" t="s">
        <v>2469</v>
      </c>
      <c r="E76" s="13" t="s">
        <v>2470</v>
      </c>
      <c r="F76" s="13">
        <v>87</v>
      </c>
      <c r="G76" s="13">
        <v>99.038934644316157</v>
      </c>
      <c r="H76" s="13">
        <f t="shared" si="3"/>
        <v>93.019467322158079</v>
      </c>
      <c r="I76" s="30">
        <f t="shared" si="4"/>
        <v>90.320467710903131</v>
      </c>
      <c r="N76" s="1"/>
    </row>
    <row r="77" spans="2:14" x14ac:dyDescent="0.35">
      <c r="B77" s="18" t="s">
        <v>2619</v>
      </c>
      <c r="C77" s="13" t="s">
        <v>2620</v>
      </c>
      <c r="D77" s="13" t="s">
        <v>2620</v>
      </c>
      <c r="E77" s="13" t="s">
        <v>2621</v>
      </c>
      <c r="F77" s="13">
        <v>89</v>
      </c>
      <c r="G77" s="13">
        <v>97.123334897533596</v>
      </c>
      <c r="H77" s="13">
        <f t="shared" si="3"/>
        <v>93.061667448766798</v>
      </c>
      <c r="I77" s="30">
        <f t="shared" si="4"/>
        <v>90.409067951910657</v>
      </c>
      <c r="N77" s="1"/>
    </row>
    <row r="78" spans="2:14" x14ac:dyDescent="0.35">
      <c r="B78" s="18" t="s">
        <v>2619</v>
      </c>
      <c r="C78" s="13" t="s">
        <v>2620</v>
      </c>
      <c r="D78" s="13" t="s">
        <v>2628</v>
      </c>
      <c r="E78" s="13" t="s">
        <v>2629</v>
      </c>
      <c r="F78" s="13">
        <v>87</v>
      </c>
      <c r="G78" s="13">
        <v>94.851170032609332</v>
      </c>
      <c r="H78" s="13">
        <f t="shared" si="3"/>
        <v>90.925585016304666</v>
      </c>
      <c r="I78" s="30">
        <f t="shared" si="4"/>
        <v>85.924308460952261</v>
      </c>
      <c r="N78" s="1"/>
    </row>
    <row r="79" spans="2:14" x14ac:dyDescent="0.35">
      <c r="B79" s="18" t="s">
        <v>2619</v>
      </c>
      <c r="C79" s="13" t="s">
        <v>2620</v>
      </c>
      <c r="D79" s="13" t="s">
        <v>2630</v>
      </c>
      <c r="E79" s="13" t="s">
        <v>2631</v>
      </c>
      <c r="F79" s="13">
        <v>87</v>
      </c>
      <c r="G79" s="13">
        <v>96.996714896167674</v>
      </c>
      <c r="H79" s="13">
        <f t="shared" si="3"/>
        <v>91.998357448083837</v>
      </c>
      <c r="I79" s="30">
        <f t="shared" si="4"/>
        <v>88.176621514018606</v>
      </c>
      <c r="N79" s="1"/>
    </row>
    <row r="80" spans="2:14" x14ac:dyDescent="0.35">
      <c r="B80" s="18" t="s">
        <v>2619</v>
      </c>
      <c r="C80" s="13" t="s">
        <v>2620</v>
      </c>
      <c r="D80" s="13" t="s">
        <v>2634</v>
      </c>
      <c r="E80" s="13" t="s">
        <v>2635</v>
      </c>
      <c r="F80" s="13">
        <v>91</v>
      </c>
      <c r="G80" s="13">
        <v>99.985924766214424</v>
      </c>
      <c r="H80" s="13">
        <f t="shared" si="3"/>
        <v>95.492962383107212</v>
      </c>
      <c r="I80" s="30">
        <f t="shared" si="4"/>
        <v>95.513633612110468</v>
      </c>
      <c r="N80" s="1"/>
    </row>
    <row r="81" spans="2:14" x14ac:dyDescent="0.35">
      <c r="B81" s="18" t="s">
        <v>2619</v>
      </c>
      <c r="C81" s="13" t="s">
        <v>2620</v>
      </c>
      <c r="D81" s="13" t="s">
        <v>2642</v>
      </c>
      <c r="E81" s="13" t="s">
        <v>2643</v>
      </c>
      <c r="F81" s="13">
        <v>83</v>
      </c>
      <c r="G81" s="13">
        <v>99.673640038233501</v>
      </c>
      <c r="H81" s="13">
        <f t="shared" si="3"/>
        <v>91.336820019116743</v>
      </c>
      <c r="I81" s="30">
        <f t="shared" si="4"/>
        <v>86.787706826974102</v>
      </c>
      <c r="N81" s="1"/>
    </row>
    <row r="82" spans="2:14" x14ac:dyDescent="0.35">
      <c r="B82" s="18" t="s">
        <v>2619</v>
      </c>
      <c r="C82" s="13" t="s">
        <v>2620</v>
      </c>
      <c r="D82" s="13" t="s">
        <v>2654</v>
      </c>
      <c r="E82" s="13" t="s">
        <v>2655</v>
      </c>
      <c r="F82" s="13">
        <v>50</v>
      </c>
      <c r="G82" s="13">
        <v>50.005744218111204</v>
      </c>
      <c r="H82" s="13">
        <f t="shared" si="3"/>
        <v>50.002872109055602</v>
      </c>
      <c r="I82" s="30">
        <f t="shared" si="4"/>
        <v>6.0300661390352995E-3</v>
      </c>
      <c r="N82" s="1"/>
    </row>
    <row r="83" spans="2:14" x14ac:dyDescent="0.35">
      <c r="B83" s="18" t="s">
        <v>2619</v>
      </c>
      <c r="C83" s="13" t="s">
        <v>2619</v>
      </c>
      <c r="D83" s="13" t="s">
        <v>2619</v>
      </c>
      <c r="E83" s="13" t="s">
        <v>2672</v>
      </c>
      <c r="F83" s="13">
        <v>90</v>
      </c>
      <c r="G83" s="13">
        <v>98.5561255710317</v>
      </c>
      <c r="H83" s="13">
        <f t="shared" si="3"/>
        <v>94.278062785515857</v>
      </c>
      <c r="I83" s="30">
        <f t="shared" si="4"/>
        <v>92.962920953245899</v>
      </c>
      <c r="N83" s="1"/>
    </row>
    <row r="84" spans="2:14" x14ac:dyDescent="0.35">
      <c r="B84" s="18" t="s">
        <v>2695</v>
      </c>
      <c r="C84" s="13" t="s">
        <v>2696</v>
      </c>
      <c r="D84" s="13" t="s">
        <v>2697</v>
      </c>
      <c r="E84" s="13" t="s">
        <v>2698</v>
      </c>
      <c r="F84" s="13">
        <v>87</v>
      </c>
      <c r="G84" s="13">
        <v>95.824805353652138</v>
      </c>
      <c r="H84" s="13">
        <f t="shared" si="3"/>
        <v>91.412402676826076</v>
      </c>
      <c r="I84" s="30">
        <f t="shared" si="4"/>
        <v>86.946394542561507</v>
      </c>
      <c r="N84" s="1"/>
    </row>
    <row r="85" spans="2:14" x14ac:dyDescent="0.35">
      <c r="B85" s="18" t="s">
        <v>2695</v>
      </c>
      <c r="C85" s="13" t="s">
        <v>2696</v>
      </c>
      <c r="D85" s="13" t="s">
        <v>2699</v>
      </c>
      <c r="E85" s="13" t="s">
        <v>2700</v>
      </c>
      <c r="F85" s="13">
        <v>94</v>
      </c>
      <c r="G85" s="13">
        <v>96.04739178659365</v>
      </c>
      <c r="H85" s="13">
        <f t="shared" si="3"/>
        <v>95.023695893296832</v>
      </c>
      <c r="I85" s="30">
        <f t="shared" si="4"/>
        <v>94.528396660585116</v>
      </c>
      <c r="N85" s="1"/>
    </row>
    <row r="86" spans="2:14" x14ac:dyDescent="0.35">
      <c r="B86" s="18" t="s">
        <v>2695</v>
      </c>
      <c r="C86" s="13" t="s">
        <v>2696</v>
      </c>
      <c r="D86" s="13" t="s">
        <v>2701</v>
      </c>
      <c r="E86" s="13" t="s">
        <v>2702</v>
      </c>
      <c r="F86" s="13">
        <v>84</v>
      </c>
      <c r="G86" s="13">
        <v>96.821790919214877</v>
      </c>
      <c r="H86" s="13">
        <f t="shared" si="3"/>
        <v>90.410895459607445</v>
      </c>
      <c r="I86" s="30">
        <f t="shared" si="4"/>
        <v>84.843704623190035</v>
      </c>
      <c r="N86" s="1"/>
    </row>
    <row r="87" spans="2:14" x14ac:dyDescent="0.35">
      <c r="B87" s="18" t="s">
        <v>2695</v>
      </c>
      <c r="C87" s="13" t="s">
        <v>2696</v>
      </c>
      <c r="D87" s="13" t="s">
        <v>2703</v>
      </c>
      <c r="E87" s="13" t="s">
        <v>2704</v>
      </c>
      <c r="F87" s="13">
        <v>85</v>
      </c>
      <c r="G87" s="13">
        <v>99.368434561056716</v>
      </c>
      <c r="H87" s="13">
        <f t="shared" si="3"/>
        <v>92.184217280528358</v>
      </c>
      <c r="I87" s="30">
        <f t="shared" si="4"/>
        <v>88.566838967650639</v>
      </c>
      <c r="N87" s="1"/>
    </row>
    <row r="88" spans="2:14" x14ac:dyDescent="0.35">
      <c r="B88" s="18" t="s">
        <v>2695</v>
      </c>
      <c r="C88" s="13" t="s">
        <v>2696</v>
      </c>
      <c r="D88" s="13" t="s">
        <v>2705</v>
      </c>
      <c r="E88" s="13" t="s">
        <v>2706</v>
      </c>
      <c r="F88" s="13">
        <v>83</v>
      </c>
      <c r="G88" s="13">
        <v>98.220192100306733</v>
      </c>
      <c r="H88" s="13">
        <f t="shared" si="3"/>
        <v>90.610096050153373</v>
      </c>
      <c r="I88" s="30">
        <f t="shared" si="4"/>
        <v>85.261931338357414</v>
      </c>
      <c r="N88" s="1"/>
    </row>
    <row r="89" spans="2:14" x14ac:dyDescent="0.35">
      <c r="B89" s="18" t="s">
        <v>2695</v>
      </c>
      <c r="C89" s="13" t="s">
        <v>2696</v>
      </c>
      <c r="D89" s="13" t="s">
        <v>2707</v>
      </c>
      <c r="E89" s="13" t="s">
        <v>2708</v>
      </c>
      <c r="F89" s="13">
        <v>82</v>
      </c>
      <c r="G89" s="13">
        <v>95.226382128857594</v>
      </c>
      <c r="H89" s="13">
        <f t="shared" si="3"/>
        <v>88.613191064428804</v>
      </c>
      <c r="I89" s="30">
        <f t="shared" si="4"/>
        <v>81.069378442845888</v>
      </c>
      <c r="N89" s="1"/>
    </row>
    <row r="90" spans="2:14" x14ac:dyDescent="0.35">
      <c r="B90" s="18" t="s">
        <v>2695</v>
      </c>
      <c r="C90" s="13" t="s">
        <v>2696</v>
      </c>
      <c r="D90" s="13" t="s">
        <v>2709</v>
      </c>
      <c r="E90" s="13" t="s">
        <v>2710</v>
      </c>
      <c r="F90" s="13">
        <v>93</v>
      </c>
      <c r="G90" s="13">
        <v>99.126275090062293</v>
      </c>
      <c r="H90" s="13">
        <f t="shared" si="3"/>
        <v>96.06313754503114</v>
      </c>
      <c r="I90" s="30">
        <f t="shared" si="4"/>
        <v>96.710730891731671</v>
      </c>
      <c r="N90" s="1"/>
    </row>
    <row r="91" spans="2:14" x14ac:dyDescent="0.35">
      <c r="B91" s="18" t="s">
        <v>2695</v>
      </c>
      <c r="C91" s="13" t="s">
        <v>2696</v>
      </c>
      <c r="D91" s="13" t="s">
        <v>2711</v>
      </c>
      <c r="E91" s="13" t="s">
        <v>2712</v>
      </c>
      <c r="F91" s="13">
        <v>81</v>
      </c>
      <c r="G91" s="13">
        <v>93.674039700348715</v>
      </c>
      <c r="H91" s="13">
        <f t="shared" si="3"/>
        <v>87.337019850174357</v>
      </c>
      <c r="I91" s="30">
        <f t="shared" si="4"/>
        <v>78.390024463693209</v>
      </c>
      <c r="N91" s="1"/>
    </row>
    <row r="92" spans="2:14" x14ac:dyDescent="0.35">
      <c r="B92" s="18" t="s">
        <v>2695</v>
      </c>
      <c r="C92" s="13" t="s">
        <v>2696</v>
      </c>
      <c r="D92" s="13" t="s">
        <v>2713</v>
      </c>
      <c r="E92" s="13" t="s">
        <v>2714</v>
      </c>
      <c r="F92" s="13">
        <v>92</v>
      </c>
      <c r="G92" s="13">
        <v>99.763578566920955</v>
      </c>
      <c r="H92" s="13">
        <f t="shared" si="3"/>
        <v>95.881789283460478</v>
      </c>
      <c r="I92" s="30">
        <f t="shared" si="4"/>
        <v>96.329985596097004</v>
      </c>
      <c r="N92" s="1"/>
    </row>
    <row r="93" spans="2:14" x14ac:dyDescent="0.35">
      <c r="B93" s="18" t="s">
        <v>2695</v>
      </c>
      <c r="C93" s="13" t="s">
        <v>2696</v>
      </c>
      <c r="D93" s="13" t="s">
        <v>2715</v>
      </c>
      <c r="E93" s="13" t="s">
        <v>2716</v>
      </c>
      <c r="F93" s="13">
        <v>86</v>
      </c>
      <c r="G93" s="13">
        <v>92.574336211675345</v>
      </c>
      <c r="H93" s="13">
        <f t="shared" si="3"/>
        <v>89.287168105837679</v>
      </c>
      <c r="I93" s="30">
        <f t="shared" si="4"/>
        <v>82.484410413153569</v>
      </c>
      <c r="N93" s="1"/>
    </row>
    <row r="94" spans="2:14" x14ac:dyDescent="0.35">
      <c r="B94" s="18" t="s">
        <v>2695</v>
      </c>
      <c r="C94" s="13" t="s">
        <v>2696</v>
      </c>
      <c r="D94" s="13" t="s">
        <v>2717</v>
      </c>
      <c r="E94" s="13" t="s">
        <v>2718</v>
      </c>
      <c r="F94" s="13">
        <v>86</v>
      </c>
      <c r="G94" s="13">
        <v>96.53047441093068</v>
      </c>
      <c r="H94" s="13">
        <f t="shared" si="3"/>
        <v>91.26523720546534</v>
      </c>
      <c r="I94" s="30">
        <f t="shared" si="4"/>
        <v>86.63741688589603</v>
      </c>
      <c r="N94" s="1"/>
    </row>
    <row r="95" spans="2:14" x14ac:dyDescent="0.35">
      <c r="B95" s="18" t="s">
        <v>2695</v>
      </c>
      <c r="C95" s="13" t="s">
        <v>2696</v>
      </c>
      <c r="D95" s="13" t="s">
        <v>2719</v>
      </c>
      <c r="E95" s="13" t="s">
        <v>2720</v>
      </c>
      <c r="F95" s="13">
        <v>84</v>
      </c>
      <c r="G95" s="13">
        <v>95.170641337132949</v>
      </c>
      <c r="H95" s="13">
        <f t="shared" si="3"/>
        <v>89.585320668566482</v>
      </c>
      <c r="I95" s="30">
        <f t="shared" si="4"/>
        <v>83.110389315058725</v>
      </c>
      <c r="N95" s="1"/>
    </row>
    <row r="96" spans="2:14" x14ac:dyDescent="0.35">
      <c r="B96" s="18" t="s">
        <v>2695</v>
      </c>
      <c r="C96" s="13" t="s">
        <v>2696</v>
      </c>
      <c r="D96" s="13" t="s">
        <v>2721</v>
      </c>
      <c r="E96" s="13" t="s">
        <v>2722</v>
      </c>
      <c r="F96" s="13">
        <v>83</v>
      </c>
      <c r="G96" s="13">
        <v>96.572165517173062</v>
      </c>
      <c r="H96" s="13">
        <f t="shared" si="3"/>
        <v>89.786082758586531</v>
      </c>
      <c r="I96" s="30">
        <f t="shared" si="4"/>
        <v>83.531894438156556</v>
      </c>
      <c r="N96" s="1"/>
    </row>
    <row r="97" spans="2:14" x14ac:dyDescent="0.35">
      <c r="B97" s="18" t="s">
        <v>2695</v>
      </c>
      <c r="C97" s="13" t="s">
        <v>2696</v>
      </c>
      <c r="D97" s="13" t="s">
        <v>2723</v>
      </c>
      <c r="E97" s="13" t="s">
        <v>2724</v>
      </c>
      <c r="F97" s="13">
        <v>86</v>
      </c>
      <c r="G97" s="13">
        <v>94.487546730119945</v>
      </c>
      <c r="H97" s="13">
        <f t="shared" si="3"/>
        <v>90.24377336505998</v>
      </c>
      <c r="I97" s="30">
        <f t="shared" si="4"/>
        <v>84.492827527680817</v>
      </c>
      <c r="N97" s="1"/>
    </row>
    <row r="98" spans="2:14" x14ac:dyDescent="0.35">
      <c r="B98" s="18" t="s">
        <v>2695</v>
      </c>
      <c r="C98" s="13" t="s">
        <v>2696</v>
      </c>
      <c r="D98" s="13" t="s">
        <v>2725</v>
      </c>
      <c r="E98" s="13" t="s">
        <v>2726</v>
      </c>
      <c r="F98" s="13">
        <v>88</v>
      </c>
      <c r="G98" s="13">
        <v>95.954111001865698</v>
      </c>
      <c r="H98" s="13">
        <f t="shared" si="3"/>
        <v>91.977055500932849</v>
      </c>
      <c r="I98" s="30">
        <f t="shared" si="4"/>
        <v>88.131897533235161</v>
      </c>
      <c r="N98" s="1"/>
    </row>
    <row r="99" spans="2:14" x14ac:dyDescent="0.35">
      <c r="B99" s="18" t="s">
        <v>2695</v>
      </c>
      <c r="C99" s="13" t="s">
        <v>2696</v>
      </c>
      <c r="D99" s="13" t="s">
        <v>2727</v>
      </c>
      <c r="E99" s="13" t="s">
        <v>2728</v>
      </c>
      <c r="F99" s="13">
        <v>89</v>
      </c>
      <c r="G99" s="13">
        <v>97.747188509779633</v>
      </c>
      <c r="H99" s="13">
        <f t="shared" ref="H99:H130" si="5">SUMPRODUCT(F99:G99,$F$173:$G$173)</f>
        <v>93.373594254889809</v>
      </c>
      <c r="I99" s="30">
        <f t="shared" si="4"/>
        <v>91.063966228767924</v>
      </c>
      <c r="N99" s="1"/>
    </row>
    <row r="100" spans="2:14" x14ac:dyDescent="0.35">
      <c r="B100" s="18" t="s">
        <v>2695</v>
      </c>
      <c r="C100" s="13" t="s">
        <v>2696</v>
      </c>
      <c r="D100" s="13" t="s">
        <v>2729</v>
      </c>
      <c r="E100" s="13" t="s">
        <v>2730</v>
      </c>
      <c r="F100" s="13">
        <v>84</v>
      </c>
      <c r="G100" s="13">
        <v>95.640787615200935</v>
      </c>
      <c r="H100" s="13">
        <f t="shared" si="5"/>
        <v>89.820393807600468</v>
      </c>
      <c r="I100" s="30">
        <f t="shared" si="4"/>
        <v>83.603931359752622</v>
      </c>
      <c r="N100" s="1"/>
    </row>
    <row r="101" spans="2:14" x14ac:dyDescent="0.35">
      <c r="B101" s="18" t="s">
        <v>2695</v>
      </c>
      <c r="C101" s="13" t="s">
        <v>2696</v>
      </c>
      <c r="D101" s="13" t="s">
        <v>2731</v>
      </c>
      <c r="E101" s="13" t="s">
        <v>2732</v>
      </c>
      <c r="F101" s="13">
        <v>86</v>
      </c>
      <c r="G101" s="13">
        <v>96.05165703679566</v>
      </c>
      <c r="H101" s="13">
        <f t="shared" si="5"/>
        <v>91.02582851839783</v>
      </c>
      <c r="I101" s="30">
        <f t="shared" si="4"/>
        <v>86.134772247642843</v>
      </c>
      <c r="N101" s="1"/>
    </row>
    <row r="102" spans="2:14" x14ac:dyDescent="0.35">
      <c r="B102" s="18" t="s">
        <v>2695</v>
      </c>
      <c r="C102" s="13" t="s">
        <v>2696</v>
      </c>
      <c r="D102" s="13" t="s">
        <v>2733</v>
      </c>
      <c r="E102" s="13" t="s">
        <v>2734</v>
      </c>
      <c r="F102" s="13">
        <v>89</v>
      </c>
      <c r="G102" s="13">
        <v>96.301526733274073</v>
      </c>
      <c r="H102" s="13">
        <f t="shared" si="5"/>
        <v>92.650763366637037</v>
      </c>
      <c r="I102" s="30">
        <f t="shared" si="4"/>
        <v>89.546364362292678</v>
      </c>
      <c r="N102" s="1"/>
    </row>
    <row r="103" spans="2:14" x14ac:dyDescent="0.35">
      <c r="B103" s="18" t="s">
        <v>2695</v>
      </c>
      <c r="C103" s="13" t="s">
        <v>2696</v>
      </c>
      <c r="D103" s="13" t="s">
        <v>2735</v>
      </c>
      <c r="E103" s="13" t="s">
        <v>2736</v>
      </c>
      <c r="F103" s="13">
        <v>83</v>
      </c>
      <c r="G103" s="13">
        <v>98.23472030889684</v>
      </c>
      <c r="H103" s="13">
        <f t="shared" si="5"/>
        <v>90.61736015444842</v>
      </c>
      <c r="I103" s="30">
        <f t="shared" si="4"/>
        <v>85.277182510402767</v>
      </c>
      <c r="N103" s="1"/>
    </row>
    <row r="104" spans="2:14" x14ac:dyDescent="0.35">
      <c r="B104" s="18" t="s">
        <v>2695</v>
      </c>
      <c r="C104" s="13" t="s">
        <v>2696</v>
      </c>
      <c r="D104" s="13" t="s">
        <v>2737</v>
      </c>
      <c r="E104" s="13" t="s">
        <v>2738</v>
      </c>
      <c r="F104" s="13">
        <v>82</v>
      </c>
      <c r="G104" s="13">
        <v>97.497438249378703</v>
      </c>
      <c r="H104" s="13">
        <f t="shared" si="5"/>
        <v>89.748719124689359</v>
      </c>
      <c r="I104" s="30">
        <f t="shared" si="4"/>
        <v>83.453448536823117</v>
      </c>
      <c r="N104" s="1"/>
    </row>
    <row r="105" spans="2:14" x14ac:dyDescent="0.35">
      <c r="B105" s="18" t="s">
        <v>2695</v>
      </c>
      <c r="C105" s="13" t="s">
        <v>2696</v>
      </c>
      <c r="D105" s="13" t="s">
        <v>2739</v>
      </c>
      <c r="E105" s="13" t="s">
        <v>2740</v>
      </c>
      <c r="F105" s="13">
        <v>87</v>
      </c>
      <c r="G105" s="13">
        <v>96.863333876362574</v>
      </c>
      <c r="H105" s="13">
        <f t="shared" si="5"/>
        <v>91.93166693818128</v>
      </c>
      <c r="I105" s="30">
        <f t="shared" si="4"/>
        <v>88.036603089309395</v>
      </c>
      <c r="N105" s="1"/>
    </row>
    <row r="106" spans="2:14" x14ac:dyDescent="0.35">
      <c r="B106" s="18" t="s">
        <v>2695</v>
      </c>
      <c r="C106" s="13" t="s">
        <v>2696</v>
      </c>
      <c r="D106" s="13" t="s">
        <v>2741</v>
      </c>
      <c r="E106" s="13" t="s">
        <v>2742</v>
      </c>
      <c r="F106" s="13">
        <v>88</v>
      </c>
      <c r="G106" s="13">
        <v>86.053569500616007</v>
      </c>
      <c r="H106" s="13">
        <f t="shared" si="5"/>
        <v>87.026784750307996</v>
      </c>
      <c r="I106" s="30">
        <f t="shared" si="4"/>
        <v>77.738677967223779</v>
      </c>
      <c r="N106" s="1"/>
    </row>
    <row r="107" spans="2:14" x14ac:dyDescent="0.35">
      <c r="B107" s="18" t="s">
        <v>2695</v>
      </c>
      <c r="C107" s="13" t="s">
        <v>2696</v>
      </c>
      <c r="D107" s="13" t="s">
        <v>2743</v>
      </c>
      <c r="E107" s="13" t="s">
        <v>2744</v>
      </c>
      <c r="F107" s="13">
        <v>90</v>
      </c>
      <c r="G107" s="13">
        <v>96.532418587816494</v>
      </c>
      <c r="H107" s="13">
        <f t="shared" si="5"/>
        <v>93.266209293908247</v>
      </c>
      <c r="I107" s="30">
        <f t="shared" si="4"/>
        <v>90.83850876718806</v>
      </c>
      <c r="N107" s="1"/>
    </row>
    <row r="108" spans="2:14" x14ac:dyDescent="0.35">
      <c r="B108" s="18" t="s">
        <v>2695</v>
      </c>
      <c r="C108" s="13" t="s">
        <v>2696</v>
      </c>
      <c r="D108" s="13" t="s">
        <v>2745</v>
      </c>
      <c r="E108" s="13" t="s">
        <v>2746</v>
      </c>
      <c r="F108" s="13">
        <v>86</v>
      </c>
      <c r="G108" s="13">
        <v>96.099162180887006</v>
      </c>
      <c r="H108" s="13">
        <f t="shared" si="5"/>
        <v>91.049581090443496</v>
      </c>
      <c r="I108" s="30">
        <f t="shared" si="4"/>
        <v>86.184641377830715</v>
      </c>
      <c r="N108" s="1"/>
    </row>
    <row r="109" spans="2:14" x14ac:dyDescent="0.35">
      <c r="B109" s="18" t="s">
        <v>2695</v>
      </c>
      <c r="C109" s="13" t="s">
        <v>2696</v>
      </c>
      <c r="D109" s="13" t="s">
        <v>2747</v>
      </c>
      <c r="E109" s="13" t="s">
        <v>2748</v>
      </c>
      <c r="F109" s="13">
        <v>86</v>
      </c>
      <c r="G109" s="13">
        <v>79.947397063695362</v>
      </c>
      <c r="H109" s="13">
        <f t="shared" si="5"/>
        <v>82.973698531847674</v>
      </c>
      <c r="I109" s="30">
        <f t="shared" si="4"/>
        <v>69.229120185335674</v>
      </c>
      <c r="N109" s="1"/>
    </row>
    <row r="110" spans="2:14" x14ac:dyDescent="0.35">
      <c r="B110" s="18" t="s">
        <v>2695</v>
      </c>
      <c r="C110" s="13" t="s">
        <v>2696</v>
      </c>
      <c r="D110" s="13" t="s">
        <v>2749</v>
      </c>
      <c r="E110" s="13" t="s">
        <v>2750</v>
      </c>
      <c r="F110" s="13">
        <v>100</v>
      </c>
      <c r="G110" s="13">
        <v>50.005744218111204</v>
      </c>
      <c r="H110" s="13">
        <f t="shared" si="5"/>
        <v>75.002872109055602</v>
      </c>
      <c r="I110" s="30">
        <f t="shared" si="4"/>
        <v>52.494167026624872</v>
      </c>
      <c r="N110" s="1"/>
    </row>
    <row r="111" spans="2:14" x14ac:dyDescent="0.35">
      <c r="B111" s="18" t="s">
        <v>2695</v>
      </c>
      <c r="C111" s="13" t="s">
        <v>2696</v>
      </c>
      <c r="D111" s="13" t="s">
        <v>2751</v>
      </c>
      <c r="E111" s="13" t="s">
        <v>2752</v>
      </c>
      <c r="F111" s="13">
        <v>84</v>
      </c>
      <c r="G111" s="13">
        <v>93.202810562263736</v>
      </c>
      <c r="H111" s="13">
        <f t="shared" si="5"/>
        <v>88.601405281131861</v>
      </c>
      <c r="I111" s="30">
        <f t="shared" si="4"/>
        <v>81.044633890530832</v>
      </c>
      <c r="N111" s="1"/>
    </row>
    <row r="112" spans="2:14" x14ac:dyDescent="0.35">
      <c r="B112" s="18" t="s">
        <v>2695</v>
      </c>
      <c r="C112" s="13" t="s">
        <v>2696</v>
      </c>
      <c r="D112" s="13" t="s">
        <v>2753</v>
      </c>
      <c r="E112" s="13" t="s">
        <v>2754</v>
      </c>
      <c r="F112" s="13">
        <v>67</v>
      </c>
      <c r="G112" s="13">
        <v>99.958045689810433</v>
      </c>
      <c r="H112" s="13">
        <f t="shared" si="5"/>
        <v>83.479022844905217</v>
      </c>
      <c r="I112" s="30">
        <f t="shared" si="4"/>
        <v>70.290061455464766</v>
      </c>
      <c r="N112" s="1"/>
    </row>
    <row r="113" spans="2:14" x14ac:dyDescent="0.35">
      <c r="B113" s="18" t="s">
        <v>2695</v>
      </c>
      <c r="C113" s="13" t="s">
        <v>2696</v>
      </c>
      <c r="D113" s="13" t="s">
        <v>2755</v>
      </c>
      <c r="E113" s="13" t="s">
        <v>2756</v>
      </c>
      <c r="F113" s="13">
        <v>86</v>
      </c>
      <c r="G113" s="13">
        <v>94.748402358967482</v>
      </c>
      <c r="H113" s="13">
        <f t="shared" si="5"/>
        <v>90.374201179483748</v>
      </c>
      <c r="I113" s="30">
        <f t="shared" si="4"/>
        <v>84.766664047158073</v>
      </c>
      <c r="N113" s="1"/>
    </row>
    <row r="114" spans="2:14" x14ac:dyDescent="0.35">
      <c r="B114" s="18" t="s">
        <v>2695</v>
      </c>
      <c r="C114" s="13" t="s">
        <v>2696</v>
      </c>
      <c r="D114" s="13" t="s">
        <v>2757</v>
      </c>
      <c r="E114" s="13" t="s">
        <v>2758</v>
      </c>
      <c r="F114" s="13">
        <v>86</v>
      </c>
      <c r="G114" s="13">
        <v>94.842709599989789</v>
      </c>
      <c r="H114" s="13">
        <f t="shared" si="5"/>
        <v>90.421354799994901</v>
      </c>
      <c r="I114" s="30">
        <f t="shared" si="4"/>
        <v>84.865664274820958</v>
      </c>
      <c r="N114" s="1"/>
    </row>
    <row r="115" spans="2:14" x14ac:dyDescent="0.35">
      <c r="B115" s="18" t="s">
        <v>2695</v>
      </c>
      <c r="C115" s="13" t="s">
        <v>2696</v>
      </c>
      <c r="D115" s="13" t="s">
        <v>2759</v>
      </c>
      <c r="E115" s="13" t="s">
        <v>2760</v>
      </c>
      <c r="F115" s="13">
        <v>84</v>
      </c>
      <c r="G115" s="13">
        <v>94.530018474100132</v>
      </c>
      <c r="H115" s="13">
        <f t="shared" si="5"/>
        <v>89.265009237050066</v>
      </c>
      <c r="I115" s="30">
        <f t="shared" si="4"/>
        <v>82.437887303561013</v>
      </c>
      <c r="N115" s="1"/>
    </row>
    <row r="116" spans="2:14" x14ac:dyDescent="0.35">
      <c r="B116" s="18" t="s">
        <v>2695</v>
      </c>
      <c r="C116" s="13" t="s">
        <v>2696</v>
      </c>
      <c r="D116" s="13" t="s">
        <v>2761</v>
      </c>
      <c r="E116" s="13" t="s">
        <v>2762</v>
      </c>
      <c r="F116" s="13">
        <v>83</v>
      </c>
      <c r="G116" s="13">
        <v>92.415973712338769</v>
      </c>
      <c r="H116" s="13">
        <f t="shared" si="5"/>
        <v>87.707986856169384</v>
      </c>
      <c r="I116" s="30">
        <f t="shared" si="4"/>
        <v>79.168879144432736</v>
      </c>
      <c r="N116" s="1"/>
    </row>
    <row r="117" spans="2:14" x14ac:dyDescent="0.35">
      <c r="B117" s="18" t="s">
        <v>2695</v>
      </c>
      <c r="C117" s="13" t="s">
        <v>2696</v>
      </c>
      <c r="D117" s="13" t="s">
        <v>2763</v>
      </c>
      <c r="E117" s="13" t="s">
        <v>2764</v>
      </c>
      <c r="F117" s="13">
        <v>83</v>
      </c>
      <c r="G117" s="13">
        <v>87.579342779513112</v>
      </c>
      <c r="H117" s="13">
        <f t="shared" si="5"/>
        <v>85.289671389756563</v>
      </c>
      <c r="I117" s="30">
        <f t="shared" si="4"/>
        <v>74.091564207843248</v>
      </c>
      <c r="N117" s="1"/>
    </row>
    <row r="118" spans="2:14" x14ac:dyDescent="0.35">
      <c r="B118" s="18" t="s">
        <v>2695</v>
      </c>
      <c r="C118" s="13" t="s">
        <v>2696</v>
      </c>
      <c r="D118" s="13" t="s">
        <v>2765</v>
      </c>
      <c r="E118" s="13" t="s">
        <v>2766</v>
      </c>
      <c r="F118" s="13">
        <v>85</v>
      </c>
      <c r="G118" s="13">
        <v>94.890803503119031</v>
      </c>
      <c r="H118" s="13">
        <f t="shared" si="5"/>
        <v>89.945401751559515</v>
      </c>
      <c r="I118" s="30">
        <f t="shared" si="4"/>
        <v>83.866388723099476</v>
      </c>
      <c r="N118" s="1"/>
    </row>
    <row r="119" spans="2:14" x14ac:dyDescent="0.35">
      <c r="B119" s="18" t="s">
        <v>2695</v>
      </c>
      <c r="C119" s="13" t="s">
        <v>2696</v>
      </c>
      <c r="D119" s="13" t="s">
        <v>2767</v>
      </c>
      <c r="E119" s="13" t="s">
        <v>2768</v>
      </c>
      <c r="F119" s="13">
        <v>84</v>
      </c>
      <c r="G119" s="13">
        <v>90.304723320220447</v>
      </c>
      <c r="H119" s="13">
        <f t="shared" si="5"/>
        <v>87.152361660110216</v>
      </c>
      <c r="I119" s="30">
        <f t="shared" si="4"/>
        <v>78.002329888854732</v>
      </c>
      <c r="N119" s="1"/>
    </row>
    <row r="120" spans="2:14" x14ac:dyDescent="0.35">
      <c r="B120" s="18" t="s">
        <v>2695</v>
      </c>
      <c r="C120" s="13" t="s">
        <v>2696</v>
      </c>
      <c r="D120" s="13" t="s">
        <v>2769</v>
      </c>
      <c r="E120" s="13" t="s">
        <v>2770</v>
      </c>
      <c r="F120" s="13">
        <v>89</v>
      </c>
      <c r="G120" s="13">
        <v>97.914520906473967</v>
      </c>
      <c r="H120" s="13">
        <f t="shared" si="5"/>
        <v>93.457260453236984</v>
      </c>
      <c r="I120" s="30">
        <f t="shared" si="4"/>
        <v>91.239625543880308</v>
      </c>
      <c r="N120" s="1"/>
    </row>
    <row r="121" spans="2:14" x14ac:dyDescent="0.35">
      <c r="B121" s="18" t="s">
        <v>2695</v>
      </c>
      <c r="C121" s="13" t="s">
        <v>2696</v>
      </c>
      <c r="D121" s="13" t="s">
        <v>2771</v>
      </c>
      <c r="E121" s="13" t="s">
        <v>2772</v>
      </c>
      <c r="F121" s="13">
        <v>100</v>
      </c>
      <c r="G121" s="13">
        <v>50.005744218111204</v>
      </c>
      <c r="H121" s="13">
        <f t="shared" si="5"/>
        <v>75.002872109055602</v>
      </c>
      <c r="I121" s="30">
        <f t="shared" si="4"/>
        <v>52.494167026624872</v>
      </c>
      <c r="N121" s="1"/>
    </row>
    <row r="122" spans="2:14" x14ac:dyDescent="0.35">
      <c r="B122" s="18" t="s">
        <v>2695</v>
      </c>
      <c r="C122" s="13" t="s">
        <v>2696</v>
      </c>
      <c r="D122" s="13" t="s">
        <v>2773</v>
      </c>
      <c r="E122" s="13" t="s">
        <v>2774</v>
      </c>
      <c r="F122" s="13">
        <v>80</v>
      </c>
      <c r="G122" s="13">
        <v>82.360339004124071</v>
      </c>
      <c r="H122" s="13">
        <f t="shared" si="5"/>
        <v>81.180169502062029</v>
      </c>
      <c r="I122" s="30">
        <f t="shared" si="4"/>
        <v>65.46356029101581</v>
      </c>
      <c r="N122" s="1"/>
    </row>
    <row r="123" spans="2:14" x14ac:dyDescent="0.35">
      <c r="B123" s="18" t="s">
        <v>2695</v>
      </c>
      <c r="C123" s="13" t="s">
        <v>2696</v>
      </c>
      <c r="D123" s="13" t="s">
        <v>2775</v>
      </c>
      <c r="E123" s="13" t="s">
        <v>2776</v>
      </c>
      <c r="F123" s="13">
        <v>86</v>
      </c>
      <c r="G123" s="13">
        <v>96.088252326748616</v>
      </c>
      <c r="H123" s="13">
        <f t="shared" si="5"/>
        <v>91.044126163374301</v>
      </c>
      <c r="I123" s="30">
        <f t="shared" si="4"/>
        <v>86.173188619466018</v>
      </c>
      <c r="N123" s="1"/>
    </row>
    <row r="124" spans="2:14" x14ac:dyDescent="0.35">
      <c r="B124" s="18" t="s">
        <v>2695</v>
      </c>
      <c r="C124" s="13" t="s">
        <v>2696</v>
      </c>
      <c r="D124" s="13" t="s">
        <v>2777</v>
      </c>
      <c r="E124" s="13" t="s">
        <v>2778</v>
      </c>
      <c r="F124" s="13">
        <v>82</v>
      </c>
      <c r="G124" s="13">
        <v>93.943317681365343</v>
      </c>
      <c r="H124" s="13">
        <f t="shared" si="5"/>
        <v>87.971658840682665</v>
      </c>
      <c r="I124" s="30">
        <f t="shared" si="4"/>
        <v>79.722465193863783</v>
      </c>
      <c r="N124" s="1"/>
    </row>
    <row r="125" spans="2:14" x14ac:dyDescent="0.35">
      <c r="B125" s="18" t="s">
        <v>2695</v>
      </c>
      <c r="C125" s="13" t="s">
        <v>2696</v>
      </c>
      <c r="D125" s="13" t="s">
        <v>2779</v>
      </c>
      <c r="E125" s="13" t="s">
        <v>2780</v>
      </c>
      <c r="F125" s="13">
        <v>88</v>
      </c>
      <c r="G125" s="13">
        <v>88.810736794833815</v>
      </c>
      <c r="H125" s="13">
        <f t="shared" si="5"/>
        <v>88.405368397416908</v>
      </c>
      <c r="I125" s="30">
        <f t="shared" si="4"/>
        <v>80.633049458461329</v>
      </c>
      <c r="N125" s="1"/>
    </row>
    <row r="126" spans="2:14" x14ac:dyDescent="0.35">
      <c r="B126" s="18" t="s">
        <v>2695</v>
      </c>
      <c r="C126" s="13" t="s">
        <v>2696</v>
      </c>
      <c r="D126" s="13" t="s">
        <v>2781</v>
      </c>
      <c r="E126" s="13" t="s">
        <v>2782</v>
      </c>
      <c r="F126" s="13">
        <v>87</v>
      </c>
      <c r="G126" s="13">
        <v>95.283922455521221</v>
      </c>
      <c r="H126" s="13">
        <f t="shared" si="5"/>
        <v>91.141961227760618</v>
      </c>
      <c r="I126" s="30">
        <f t="shared" si="4"/>
        <v>86.378595829827901</v>
      </c>
      <c r="N126" s="1"/>
    </row>
    <row r="127" spans="2:14" x14ac:dyDescent="0.35">
      <c r="B127" s="18" t="s">
        <v>2695</v>
      </c>
      <c r="C127" s="13" t="s">
        <v>2937</v>
      </c>
      <c r="D127" s="13" t="s">
        <v>2938</v>
      </c>
      <c r="E127" s="13" t="s">
        <v>2939</v>
      </c>
      <c r="F127" s="13">
        <v>97</v>
      </c>
      <c r="G127" s="13">
        <v>97.453893757286764</v>
      </c>
      <c r="H127" s="13">
        <f t="shared" si="5"/>
        <v>97.226946878643389</v>
      </c>
      <c r="I127" s="30">
        <f t="shared" si="4"/>
        <v>99.154178239672945</v>
      </c>
      <c r="N127" s="1"/>
    </row>
    <row r="128" spans="2:14" x14ac:dyDescent="0.35">
      <c r="B128" s="18" t="s">
        <v>2695</v>
      </c>
      <c r="C128" s="13" t="s">
        <v>2937</v>
      </c>
      <c r="D128" s="13" t="s">
        <v>2942</v>
      </c>
      <c r="E128" s="13" t="s">
        <v>2943</v>
      </c>
      <c r="F128" s="13">
        <v>50</v>
      </c>
      <c r="G128" s="13">
        <v>50</v>
      </c>
      <c r="H128" s="13">
        <f t="shared" si="5"/>
        <v>50</v>
      </c>
      <c r="I128" s="30">
        <f t="shared" si="4"/>
        <v>0</v>
      </c>
      <c r="N128" s="1"/>
    </row>
    <row r="129" spans="2:14" x14ac:dyDescent="0.35">
      <c r="B129" s="18" t="s">
        <v>2695</v>
      </c>
      <c r="C129" s="13" t="s">
        <v>2937</v>
      </c>
      <c r="D129" s="13" t="s">
        <v>2946</v>
      </c>
      <c r="E129" s="13" t="s">
        <v>2947</v>
      </c>
      <c r="F129" s="13">
        <v>83</v>
      </c>
      <c r="G129" s="13">
        <v>50.005744218111204</v>
      </c>
      <c r="H129" s="13">
        <f t="shared" si="5"/>
        <v>66.502872109055602</v>
      </c>
      <c r="I129" s="30">
        <f t="shared" si="4"/>
        <v>34.648200460059691</v>
      </c>
      <c r="N129" s="1"/>
    </row>
    <row r="130" spans="2:14" x14ac:dyDescent="0.35">
      <c r="B130" s="18" t="s">
        <v>2695</v>
      </c>
      <c r="C130" s="13" t="s">
        <v>2937</v>
      </c>
      <c r="D130" s="13" t="s">
        <v>2937</v>
      </c>
      <c r="E130" s="13" t="s">
        <v>2948</v>
      </c>
      <c r="F130" s="13">
        <v>85</v>
      </c>
      <c r="G130" s="13">
        <v>100</v>
      </c>
      <c r="H130" s="13">
        <f t="shared" si="5"/>
        <v>92.5</v>
      </c>
      <c r="I130" s="30">
        <f t="shared" si="4"/>
        <v>89.229832832825934</v>
      </c>
      <c r="N130" s="1"/>
    </row>
    <row r="131" spans="2:14" x14ac:dyDescent="0.35">
      <c r="B131" s="18" t="s">
        <v>2695</v>
      </c>
      <c r="C131" s="13" t="s">
        <v>2937</v>
      </c>
      <c r="D131" s="13" t="s">
        <v>2955</v>
      </c>
      <c r="E131" s="13" t="s">
        <v>2956</v>
      </c>
      <c r="F131" s="13">
        <v>88</v>
      </c>
      <c r="G131" s="13">
        <v>95.343716384983253</v>
      </c>
      <c r="H131" s="13">
        <f t="shared" ref="H131:H162" si="6">SUMPRODUCT(F131:G131,$F$173:$G$173)</f>
        <v>91.671858192491626</v>
      </c>
      <c r="I131" s="30">
        <f t="shared" si="4"/>
        <v>87.491128008217771</v>
      </c>
      <c r="N131" s="1"/>
    </row>
    <row r="132" spans="2:14" x14ac:dyDescent="0.35">
      <c r="B132" s="18" t="s">
        <v>3039</v>
      </c>
      <c r="C132" s="13" t="s">
        <v>3040</v>
      </c>
      <c r="D132" s="13" t="s">
        <v>3041</v>
      </c>
      <c r="E132" s="13" t="s">
        <v>3042</v>
      </c>
      <c r="F132" s="13">
        <v>81</v>
      </c>
      <c r="G132" s="13">
        <v>94.451978634328171</v>
      </c>
      <c r="H132" s="13">
        <f t="shared" si="6"/>
        <v>87.725989317164078</v>
      </c>
      <c r="I132" s="30">
        <f t="shared" ref="I132:I171" si="7">(H132-MIN($H$3:$H$171))/(MAX($H$3:$H$171)-MIN($H$3:$H$171))*100</f>
        <v>79.206675769965358</v>
      </c>
      <c r="N132" s="1"/>
    </row>
    <row r="133" spans="2:14" x14ac:dyDescent="0.35">
      <c r="B133" s="18" t="s">
        <v>3039</v>
      </c>
      <c r="C133" s="13" t="s">
        <v>3040</v>
      </c>
      <c r="D133" s="13" t="s">
        <v>3055</v>
      </c>
      <c r="E133" s="13" t="s">
        <v>3056</v>
      </c>
      <c r="F133" s="13">
        <v>81</v>
      </c>
      <c r="G133" s="13">
        <v>98.057188861083958</v>
      </c>
      <c r="H133" s="13">
        <f t="shared" si="6"/>
        <v>89.528594430541972</v>
      </c>
      <c r="I133" s="30">
        <f t="shared" si="7"/>
        <v>82.991291133031396</v>
      </c>
      <c r="N133" s="1"/>
    </row>
    <row r="134" spans="2:14" x14ac:dyDescent="0.35">
      <c r="B134" s="18" t="s">
        <v>3039</v>
      </c>
      <c r="C134" s="13" t="s">
        <v>3040</v>
      </c>
      <c r="D134" s="13" t="s">
        <v>3059</v>
      </c>
      <c r="E134" s="13" t="s">
        <v>3060</v>
      </c>
      <c r="F134" s="13">
        <v>93</v>
      </c>
      <c r="G134" s="13">
        <v>99.980819305532705</v>
      </c>
      <c r="H134" s="13">
        <f t="shared" si="6"/>
        <v>96.490409652766346</v>
      </c>
      <c r="I134" s="30">
        <f t="shared" si="7"/>
        <v>97.607799568139725</v>
      </c>
      <c r="N134" s="1"/>
    </row>
    <row r="135" spans="2:14" x14ac:dyDescent="0.35">
      <c r="B135" s="18" t="s">
        <v>3039</v>
      </c>
      <c r="C135" s="13" t="s">
        <v>3040</v>
      </c>
      <c r="D135" s="13" t="s">
        <v>3061</v>
      </c>
      <c r="E135" s="13" t="s">
        <v>3062</v>
      </c>
      <c r="F135" s="13">
        <v>72</v>
      </c>
      <c r="G135" s="13">
        <v>93.666607511963932</v>
      </c>
      <c r="H135" s="13">
        <f t="shared" si="6"/>
        <v>82.833303755981973</v>
      </c>
      <c r="I135" s="30">
        <f t="shared" si="7"/>
        <v>68.934357776368643</v>
      </c>
      <c r="N135" s="1"/>
    </row>
    <row r="136" spans="2:14" x14ac:dyDescent="0.35">
      <c r="B136" s="18" t="s">
        <v>3152</v>
      </c>
      <c r="C136" s="13" t="s">
        <v>3153</v>
      </c>
      <c r="D136" s="13" t="s">
        <v>3153</v>
      </c>
      <c r="E136" s="13" t="s">
        <v>3154</v>
      </c>
      <c r="F136" s="13">
        <v>95</v>
      </c>
      <c r="G136" s="13">
        <v>98.137229377291078</v>
      </c>
      <c r="H136" s="13">
        <f t="shared" si="6"/>
        <v>96.568614688645539</v>
      </c>
      <c r="I136" s="30">
        <f t="shared" si="7"/>
        <v>97.771993033508792</v>
      </c>
      <c r="N136" s="1"/>
    </row>
    <row r="137" spans="2:14" x14ac:dyDescent="0.35">
      <c r="B137" s="18" t="s">
        <v>3152</v>
      </c>
      <c r="C137" s="13" t="s">
        <v>3153</v>
      </c>
      <c r="D137" s="13" t="s">
        <v>3155</v>
      </c>
      <c r="E137" s="13" t="s">
        <v>3156</v>
      </c>
      <c r="F137" s="13">
        <v>100</v>
      </c>
      <c r="G137" s="13">
        <v>50.005744218111204</v>
      </c>
      <c r="H137" s="13">
        <f t="shared" si="6"/>
        <v>75.002872109055602</v>
      </c>
      <c r="I137" s="30">
        <f t="shared" si="7"/>
        <v>52.494167026624872</v>
      </c>
      <c r="N137" s="1"/>
    </row>
    <row r="138" spans="2:14" x14ac:dyDescent="0.35">
      <c r="B138" s="18" t="s">
        <v>3152</v>
      </c>
      <c r="C138" s="13" t="s">
        <v>3153</v>
      </c>
      <c r="D138" s="13" t="s">
        <v>3157</v>
      </c>
      <c r="E138" s="13" t="s">
        <v>3158</v>
      </c>
      <c r="F138" s="13">
        <v>50</v>
      </c>
      <c r="G138" s="13">
        <v>79.582581241883332</v>
      </c>
      <c r="H138" s="13">
        <f t="shared" si="6"/>
        <v>64.791290620941666</v>
      </c>
      <c r="I138" s="30">
        <f t="shared" si="7"/>
        <v>31.054691517373435</v>
      </c>
      <c r="N138" s="1"/>
    </row>
    <row r="139" spans="2:14" x14ac:dyDescent="0.35">
      <c r="B139" s="18" t="s">
        <v>3152</v>
      </c>
      <c r="C139" s="13" t="s">
        <v>3153</v>
      </c>
      <c r="D139" s="13" t="s">
        <v>3159</v>
      </c>
      <c r="E139" s="13" t="s">
        <v>3160</v>
      </c>
      <c r="F139" s="13">
        <v>100</v>
      </c>
      <c r="G139" s="13">
        <v>50.005744218111204</v>
      </c>
      <c r="H139" s="13">
        <f t="shared" si="6"/>
        <v>75.002872109055602</v>
      </c>
      <c r="I139" s="30">
        <f t="shared" si="7"/>
        <v>52.494167026624872</v>
      </c>
      <c r="N139" s="1"/>
    </row>
    <row r="140" spans="2:14" x14ac:dyDescent="0.35">
      <c r="B140" s="18" t="s">
        <v>3278</v>
      </c>
      <c r="C140" s="13" t="s">
        <v>3278</v>
      </c>
      <c r="D140" s="13" t="s">
        <v>3278</v>
      </c>
      <c r="E140" s="13" t="s">
        <v>3279</v>
      </c>
      <c r="F140" s="13">
        <v>83</v>
      </c>
      <c r="G140" s="13">
        <v>95.92915070734756</v>
      </c>
      <c r="H140" s="13">
        <f t="shared" si="6"/>
        <v>89.46457535367378</v>
      </c>
      <c r="I140" s="30">
        <f t="shared" si="7"/>
        <v>82.856881450041726</v>
      </c>
      <c r="N140" s="1"/>
    </row>
    <row r="141" spans="2:14" x14ac:dyDescent="0.35">
      <c r="B141" s="18" t="s">
        <v>3278</v>
      </c>
      <c r="C141" s="13" t="s">
        <v>3278</v>
      </c>
      <c r="D141" s="13" t="s">
        <v>857</v>
      </c>
      <c r="E141" s="13" t="s">
        <v>3280</v>
      </c>
      <c r="F141" s="13">
        <v>83</v>
      </c>
      <c r="G141" s="13">
        <v>98.928653474584166</v>
      </c>
      <c r="H141" s="13">
        <f t="shared" si="6"/>
        <v>90.964326737292083</v>
      </c>
      <c r="I141" s="30">
        <f t="shared" si="7"/>
        <v>86.005647691243155</v>
      </c>
      <c r="N141" s="1"/>
    </row>
    <row r="142" spans="2:14" x14ac:dyDescent="0.35">
      <c r="B142" s="18" t="s">
        <v>3278</v>
      </c>
      <c r="C142" s="13" t="s">
        <v>3278</v>
      </c>
      <c r="D142" s="13" t="s">
        <v>3281</v>
      </c>
      <c r="E142" s="13" t="s">
        <v>3282</v>
      </c>
      <c r="F142" s="13">
        <v>75</v>
      </c>
      <c r="G142" s="13">
        <v>99.73100102098239</v>
      </c>
      <c r="H142" s="13">
        <f t="shared" si="6"/>
        <v>87.365500510491188</v>
      </c>
      <c r="I142" s="30">
        <f t="shared" si="7"/>
        <v>78.449820335670609</v>
      </c>
      <c r="N142" s="1"/>
    </row>
    <row r="143" spans="2:14" x14ac:dyDescent="0.35">
      <c r="B143" s="18" t="s">
        <v>3278</v>
      </c>
      <c r="C143" s="13" t="s">
        <v>3278</v>
      </c>
      <c r="D143" s="13" t="s">
        <v>3295</v>
      </c>
      <c r="E143" s="13" t="s">
        <v>3296</v>
      </c>
      <c r="F143" s="13">
        <v>91</v>
      </c>
      <c r="G143" s="13">
        <v>95.717756196019778</v>
      </c>
      <c r="H143" s="13">
        <f t="shared" si="6"/>
        <v>93.358878098009882</v>
      </c>
      <c r="I143" s="30">
        <f t="shared" si="7"/>
        <v>91.033069282454093</v>
      </c>
      <c r="N143" s="1"/>
    </row>
    <row r="144" spans="2:14" x14ac:dyDescent="0.35">
      <c r="B144" s="18" t="s">
        <v>3278</v>
      </c>
      <c r="C144" s="13" t="s">
        <v>3367</v>
      </c>
      <c r="D144" s="13" t="s">
        <v>3367</v>
      </c>
      <c r="E144" s="13" t="s">
        <v>3368</v>
      </c>
      <c r="F144" s="13">
        <v>83</v>
      </c>
      <c r="G144" s="13">
        <v>95.888039824759645</v>
      </c>
      <c r="H144" s="13">
        <f t="shared" si="6"/>
        <v>89.444019912379815</v>
      </c>
      <c r="I144" s="30">
        <f t="shared" si="7"/>
        <v>82.813724777324893</v>
      </c>
      <c r="N144" s="1"/>
    </row>
    <row r="145" spans="2:14" x14ac:dyDescent="0.35">
      <c r="B145" s="18" t="s">
        <v>3278</v>
      </c>
      <c r="C145" s="13" t="s">
        <v>3367</v>
      </c>
      <c r="D145" s="13" t="s">
        <v>3369</v>
      </c>
      <c r="E145" s="13" t="s">
        <v>3370</v>
      </c>
      <c r="F145" s="13">
        <v>100</v>
      </c>
      <c r="G145" s="13">
        <v>50.005744218111204</v>
      </c>
      <c r="H145" s="13">
        <f t="shared" si="6"/>
        <v>75.002872109055602</v>
      </c>
      <c r="I145" s="30">
        <f t="shared" si="7"/>
        <v>52.494167026624872</v>
      </c>
      <c r="N145" s="1"/>
    </row>
    <row r="146" spans="2:14" x14ac:dyDescent="0.35">
      <c r="B146" s="18" t="s">
        <v>3278</v>
      </c>
      <c r="C146" s="13" t="s">
        <v>3382</v>
      </c>
      <c r="D146" s="13" t="s">
        <v>3383</v>
      </c>
      <c r="E146" s="13" t="s">
        <v>3384</v>
      </c>
      <c r="F146" s="13">
        <v>83</v>
      </c>
      <c r="G146" s="13">
        <v>98.239401250346404</v>
      </c>
      <c r="H146" s="13">
        <f t="shared" si="6"/>
        <v>90.619700625173209</v>
      </c>
      <c r="I146" s="30">
        <f t="shared" si="7"/>
        <v>85.282096388320952</v>
      </c>
      <c r="N146" s="1"/>
    </row>
    <row r="147" spans="2:14" x14ac:dyDescent="0.35">
      <c r="B147" s="18" t="s">
        <v>3278</v>
      </c>
      <c r="C147" s="13" t="s">
        <v>3382</v>
      </c>
      <c r="D147" s="13" t="s">
        <v>3385</v>
      </c>
      <c r="E147" s="13" t="s">
        <v>3386</v>
      </c>
      <c r="F147" s="13">
        <v>80</v>
      </c>
      <c r="G147" s="13">
        <v>99.97614630891853</v>
      </c>
      <c r="H147" s="13">
        <f t="shared" si="6"/>
        <v>89.988073154459272</v>
      </c>
      <c r="I147" s="30">
        <f t="shared" si="7"/>
        <v>83.955978420687416</v>
      </c>
      <c r="N147" s="1"/>
    </row>
    <row r="148" spans="2:14" x14ac:dyDescent="0.35">
      <c r="B148" s="18" t="s">
        <v>3278</v>
      </c>
      <c r="C148" s="13" t="s">
        <v>3382</v>
      </c>
      <c r="D148" s="13" t="s">
        <v>3387</v>
      </c>
      <c r="E148" s="13" t="s">
        <v>3388</v>
      </c>
      <c r="F148" s="13">
        <v>100</v>
      </c>
      <c r="G148" s="13">
        <v>50.005744218111204</v>
      </c>
      <c r="H148" s="13">
        <f t="shared" si="6"/>
        <v>75.002872109055602</v>
      </c>
      <c r="I148" s="30">
        <f t="shared" si="7"/>
        <v>52.494167026624872</v>
      </c>
      <c r="N148" s="1"/>
    </row>
    <row r="149" spans="2:14" x14ac:dyDescent="0.35">
      <c r="B149" s="18" t="s">
        <v>3278</v>
      </c>
      <c r="C149" s="13" t="s">
        <v>3382</v>
      </c>
      <c r="D149" s="13" t="s">
        <v>3389</v>
      </c>
      <c r="E149" s="13" t="s">
        <v>3390</v>
      </c>
      <c r="F149" s="13">
        <v>50</v>
      </c>
      <c r="G149" s="13">
        <v>50.005744218111204</v>
      </c>
      <c r="H149" s="13">
        <f t="shared" si="6"/>
        <v>50.002872109055602</v>
      </c>
      <c r="I149" s="30">
        <f t="shared" si="7"/>
        <v>6.0300661390352995E-3</v>
      </c>
      <c r="N149" s="1"/>
    </row>
    <row r="150" spans="2:14" x14ac:dyDescent="0.35">
      <c r="B150" s="18" t="s">
        <v>3278</v>
      </c>
      <c r="C150" s="13" t="s">
        <v>3382</v>
      </c>
      <c r="D150" s="13" t="s">
        <v>3391</v>
      </c>
      <c r="E150" s="13" t="s">
        <v>3392</v>
      </c>
      <c r="F150" s="13">
        <v>50</v>
      </c>
      <c r="G150" s="13">
        <v>50</v>
      </c>
      <c r="H150" s="13">
        <f t="shared" si="6"/>
        <v>50</v>
      </c>
      <c r="I150" s="30">
        <f t="shared" si="7"/>
        <v>0</v>
      </c>
      <c r="N150" s="1"/>
    </row>
    <row r="151" spans="2:14" x14ac:dyDescent="0.35">
      <c r="B151" s="18" t="s">
        <v>3278</v>
      </c>
      <c r="C151" s="13" t="s">
        <v>3382</v>
      </c>
      <c r="D151" s="13" t="s">
        <v>3393</v>
      </c>
      <c r="E151" s="13" t="s">
        <v>3394</v>
      </c>
      <c r="F151" s="13">
        <v>100</v>
      </c>
      <c r="G151" s="13">
        <v>50.005744218111204</v>
      </c>
      <c r="H151" s="13">
        <f t="shared" si="6"/>
        <v>75.002872109055602</v>
      </c>
      <c r="I151" s="30">
        <f t="shared" si="7"/>
        <v>52.494167026624872</v>
      </c>
      <c r="N151" s="1"/>
    </row>
    <row r="152" spans="2:14" x14ac:dyDescent="0.35">
      <c r="B152" s="18" t="s">
        <v>3407</v>
      </c>
      <c r="C152" s="13" t="s">
        <v>3407</v>
      </c>
      <c r="D152" s="13" t="s">
        <v>3407</v>
      </c>
      <c r="E152" s="13" t="s">
        <v>3408</v>
      </c>
      <c r="F152" s="13">
        <v>91</v>
      </c>
      <c r="G152" s="13">
        <v>99.116603202774883</v>
      </c>
      <c r="H152" s="13">
        <f t="shared" si="6"/>
        <v>95.058301601387441</v>
      </c>
      <c r="I152" s="30">
        <f t="shared" si="7"/>
        <v>94.601052226420109</v>
      </c>
      <c r="N152" s="1"/>
    </row>
    <row r="153" spans="2:14" x14ac:dyDescent="0.35">
      <c r="B153" s="18" t="s">
        <v>3407</v>
      </c>
      <c r="C153" s="13" t="s">
        <v>3587</v>
      </c>
      <c r="D153" s="13" t="s">
        <v>3588</v>
      </c>
      <c r="E153" s="13" t="s">
        <v>3589</v>
      </c>
      <c r="F153" s="13">
        <v>95</v>
      </c>
      <c r="G153" s="13">
        <v>98.286265656407906</v>
      </c>
      <c r="H153" s="13">
        <f t="shared" si="6"/>
        <v>96.64313282820396</v>
      </c>
      <c r="I153" s="30">
        <f t="shared" si="7"/>
        <v>97.928445766116113</v>
      </c>
      <c r="N153" s="1"/>
    </row>
    <row r="154" spans="2:14" x14ac:dyDescent="0.35">
      <c r="B154" s="18" t="s">
        <v>3632</v>
      </c>
      <c r="C154" s="13" t="s">
        <v>3662</v>
      </c>
      <c r="D154" s="13" t="s">
        <v>3749</v>
      </c>
      <c r="E154" s="13" t="s">
        <v>3750</v>
      </c>
      <c r="F154" s="13">
        <v>86</v>
      </c>
      <c r="G154" s="13">
        <v>95.682203020343266</v>
      </c>
      <c r="H154" s="13">
        <f t="shared" si="6"/>
        <v>90.841101510171626</v>
      </c>
      <c r="I154" s="30">
        <f t="shared" si="7"/>
        <v>85.74693318731974</v>
      </c>
      <c r="N154" s="1"/>
    </row>
    <row r="155" spans="2:14" x14ac:dyDescent="0.35">
      <c r="B155" s="18" t="s">
        <v>3632</v>
      </c>
      <c r="C155" s="13" t="s">
        <v>3662</v>
      </c>
      <c r="D155" s="13" t="s">
        <v>3753</v>
      </c>
      <c r="E155" s="13" t="s">
        <v>3754</v>
      </c>
      <c r="F155" s="13">
        <v>100</v>
      </c>
      <c r="G155" s="13">
        <v>50.005744218111204</v>
      </c>
      <c r="H155" s="13">
        <f t="shared" si="6"/>
        <v>75.002872109055602</v>
      </c>
      <c r="I155" s="30">
        <f t="shared" si="7"/>
        <v>52.494167026624872</v>
      </c>
      <c r="N155" s="1"/>
    </row>
    <row r="156" spans="2:14" x14ac:dyDescent="0.35">
      <c r="B156" s="18" t="s">
        <v>3632</v>
      </c>
      <c r="C156" s="13" t="s">
        <v>3662</v>
      </c>
      <c r="D156" s="13" t="s">
        <v>3763</v>
      </c>
      <c r="E156" s="13" t="s">
        <v>3764</v>
      </c>
      <c r="F156" s="13">
        <v>100</v>
      </c>
      <c r="G156" s="13">
        <v>50.005744218111204</v>
      </c>
      <c r="H156" s="13">
        <f t="shared" si="6"/>
        <v>75.002872109055602</v>
      </c>
      <c r="I156" s="30">
        <f t="shared" si="7"/>
        <v>52.494167026624872</v>
      </c>
      <c r="N156" s="1"/>
    </row>
    <row r="157" spans="2:14" x14ac:dyDescent="0.35">
      <c r="B157" s="18" t="s">
        <v>3632</v>
      </c>
      <c r="C157" s="13" t="s">
        <v>3662</v>
      </c>
      <c r="D157" s="13" t="s">
        <v>3765</v>
      </c>
      <c r="E157" s="13" t="s">
        <v>3766</v>
      </c>
      <c r="F157" s="13">
        <v>90</v>
      </c>
      <c r="G157" s="13">
        <v>96.802144140469721</v>
      </c>
      <c r="H157" s="13">
        <f t="shared" si="6"/>
        <v>93.401072070234861</v>
      </c>
      <c r="I157" s="30">
        <f t="shared" si="7"/>
        <v>91.121656602176159</v>
      </c>
      <c r="N157" s="1"/>
    </row>
    <row r="158" spans="2:14" x14ac:dyDescent="0.35">
      <c r="B158" s="18" t="s">
        <v>3632</v>
      </c>
      <c r="C158" s="13" t="s">
        <v>3662</v>
      </c>
      <c r="D158" s="13" t="s">
        <v>3767</v>
      </c>
      <c r="E158" s="13" t="s">
        <v>3768</v>
      </c>
      <c r="F158" s="13">
        <v>92</v>
      </c>
      <c r="G158" s="13">
        <v>99.986367186819507</v>
      </c>
      <c r="H158" s="13">
        <f t="shared" si="6"/>
        <v>95.993183593409753</v>
      </c>
      <c r="I158" s="30">
        <f t="shared" si="7"/>
        <v>96.563860787986457</v>
      </c>
      <c r="N158" s="1"/>
    </row>
    <row r="159" spans="2:14" x14ac:dyDescent="0.35">
      <c r="B159" s="18" t="s">
        <v>3632</v>
      </c>
      <c r="C159" s="13" t="s">
        <v>3662</v>
      </c>
      <c r="D159" s="13" t="s">
        <v>3771</v>
      </c>
      <c r="E159" s="13" t="s">
        <v>3772</v>
      </c>
      <c r="F159" s="13">
        <v>50</v>
      </c>
      <c r="G159" s="13">
        <v>50.005744218111204</v>
      </c>
      <c r="H159" s="13">
        <f t="shared" si="6"/>
        <v>50.002872109055602</v>
      </c>
      <c r="I159" s="30">
        <f t="shared" si="7"/>
        <v>6.0300661390352995E-3</v>
      </c>
      <c r="N159" s="1"/>
    </row>
    <row r="160" spans="2:14" x14ac:dyDescent="0.35">
      <c r="B160" s="18" t="s">
        <v>3789</v>
      </c>
      <c r="C160" s="13" t="s">
        <v>3789</v>
      </c>
      <c r="D160" s="13" t="s">
        <v>3789</v>
      </c>
      <c r="E160" s="13" t="s">
        <v>3790</v>
      </c>
      <c r="F160" s="13">
        <v>89</v>
      </c>
      <c r="G160" s="13">
        <v>97.218830543734811</v>
      </c>
      <c r="H160" s="13">
        <f t="shared" si="6"/>
        <v>93.109415271867405</v>
      </c>
      <c r="I160" s="30">
        <f t="shared" si="7"/>
        <v>90.509315723049454</v>
      </c>
      <c r="N160" s="1"/>
    </row>
    <row r="161" spans="2:14" x14ac:dyDescent="0.35">
      <c r="B161" s="18" t="s">
        <v>3789</v>
      </c>
      <c r="C161" s="13" t="s">
        <v>3789</v>
      </c>
      <c r="D161" s="13" t="s">
        <v>3791</v>
      </c>
      <c r="E161" s="13" t="s">
        <v>3792</v>
      </c>
      <c r="F161" s="13">
        <v>93</v>
      </c>
      <c r="G161" s="13">
        <v>90.896903369985466</v>
      </c>
      <c r="H161" s="13">
        <f t="shared" si="6"/>
        <v>91.948451684992733</v>
      </c>
      <c r="I161" s="30">
        <f t="shared" si="7"/>
        <v>88.071843092888869</v>
      </c>
      <c r="N161" s="1"/>
    </row>
    <row r="162" spans="2:14" x14ac:dyDescent="0.35">
      <c r="B162" s="18" t="s">
        <v>3789</v>
      </c>
      <c r="C162" s="13" t="s">
        <v>3789</v>
      </c>
      <c r="D162" s="13" t="s">
        <v>3795</v>
      </c>
      <c r="E162" s="13" t="s">
        <v>3796</v>
      </c>
      <c r="F162" s="13">
        <v>86</v>
      </c>
      <c r="G162" s="13">
        <v>90.768930970483737</v>
      </c>
      <c r="H162" s="13">
        <f t="shared" si="6"/>
        <v>88.384465485241861</v>
      </c>
      <c r="I162" s="30">
        <f t="shared" si="7"/>
        <v>80.589163261776648</v>
      </c>
      <c r="N162" s="1"/>
    </row>
    <row r="163" spans="2:14" x14ac:dyDescent="0.35">
      <c r="B163" s="18" t="s">
        <v>3789</v>
      </c>
      <c r="C163" s="13" t="s">
        <v>3789</v>
      </c>
      <c r="D163" s="13" t="s">
        <v>3799</v>
      </c>
      <c r="E163" s="13" t="s">
        <v>3800</v>
      </c>
      <c r="F163" s="13">
        <v>50</v>
      </c>
      <c r="G163" s="13">
        <v>50.005744218111204</v>
      </c>
      <c r="H163" s="13">
        <f t="shared" ref="H163:H171" si="8">SUMPRODUCT(F163:G163,$F$173:$G$173)</f>
        <v>50.002872109055602</v>
      </c>
      <c r="I163" s="30">
        <f t="shared" si="7"/>
        <v>6.0300661390352995E-3</v>
      </c>
      <c r="N163" s="1"/>
    </row>
    <row r="164" spans="2:14" x14ac:dyDescent="0.35">
      <c r="B164" s="18" t="s">
        <v>3789</v>
      </c>
      <c r="C164" s="13" t="s">
        <v>3789</v>
      </c>
      <c r="D164" s="13" t="s">
        <v>3803</v>
      </c>
      <c r="E164" s="13" t="s">
        <v>3804</v>
      </c>
      <c r="F164" s="13">
        <v>93</v>
      </c>
      <c r="G164" s="13">
        <v>77.13728875233177</v>
      </c>
      <c r="H164" s="13">
        <f t="shared" si="8"/>
        <v>85.068644376165878</v>
      </c>
      <c r="I164" s="30">
        <f t="shared" si="7"/>
        <v>73.627512361390643</v>
      </c>
      <c r="N164" s="1"/>
    </row>
    <row r="165" spans="2:14" x14ac:dyDescent="0.35">
      <c r="B165" s="18" t="s">
        <v>3789</v>
      </c>
      <c r="C165" s="13" t="s">
        <v>3789</v>
      </c>
      <c r="D165" s="13" t="s">
        <v>3807</v>
      </c>
      <c r="E165" s="13" t="s">
        <v>3808</v>
      </c>
      <c r="F165" s="13">
        <v>96</v>
      </c>
      <c r="G165" s="13">
        <v>96.406537750567068</v>
      </c>
      <c r="H165" s="13">
        <f t="shared" si="8"/>
        <v>96.203268875283527</v>
      </c>
      <c r="I165" s="30">
        <f t="shared" si="7"/>
        <v>97.004940189921371</v>
      </c>
      <c r="N165" s="1"/>
    </row>
    <row r="166" spans="2:14" x14ac:dyDescent="0.35">
      <c r="B166" s="18" t="s">
        <v>3846</v>
      </c>
      <c r="C166" s="13" t="s">
        <v>3846</v>
      </c>
      <c r="D166" s="13" t="s">
        <v>3846</v>
      </c>
      <c r="E166" s="13" t="s">
        <v>3847</v>
      </c>
      <c r="F166" s="13">
        <v>82</v>
      </c>
      <c r="G166" s="13">
        <v>96.991556362264092</v>
      </c>
      <c r="H166" s="13">
        <f t="shared" si="8"/>
        <v>89.495778181132039</v>
      </c>
      <c r="I166" s="30">
        <f t="shared" si="7"/>
        <v>82.922392581289074</v>
      </c>
      <c r="N166" s="1"/>
    </row>
    <row r="167" spans="2:14" x14ac:dyDescent="0.35">
      <c r="B167" s="18" t="s">
        <v>3846</v>
      </c>
      <c r="C167" s="13" t="s">
        <v>3846</v>
      </c>
      <c r="D167" s="13" t="s">
        <v>3848</v>
      </c>
      <c r="E167" s="13" t="s">
        <v>3849</v>
      </c>
      <c r="F167" s="13">
        <v>88</v>
      </c>
      <c r="G167" s="13">
        <v>50.005744218111204</v>
      </c>
      <c r="H167" s="13">
        <f t="shared" si="8"/>
        <v>69.002872109055602</v>
      </c>
      <c r="I167" s="30">
        <f t="shared" si="7"/>
        <v>39.897014156108277</v>
      </c>
      <c r="N167" s="1"/>
    </row>
    <row r="168" spans="2:14" x14ac:dyDescent="0.35">
      <c r="B168" s="18" t="s">
        <v>3846</v>
      </c>
      <c r="C168" s="13" t="s">
        <v>3846</v>
      </c>
      <c r="D168" s="13" t="s">
        <v>3856</v>
      </c>
      <c r="E168" s="13" t="s">
        <v>3857</v>
      </c>
      <c r="F168" s="13">
        <v>50</v>
      </c>
      <c r="G168" s="13">
        <v>50.005744218111204</v>
      </c>
      <c r="H168" s="13">
        <f t="shared" si="8"/>
        <v>50.002872109055602</v>
      </c>
      <c r="I168" s="30">
        <f t="shared" si="7"/>
        <v>6.0300661390352995E-3</v>
      </c>
      <c r="N168" s="1"/>
    </row>
    <row r="169" spans="2:14" x14ac:dyDescent="0.35">
      <c r="B169" s="18" t="s">
        <v>3118</v>
      </c>
      <c r="C169" s="13" t="s">
        <v>3873</v>
      </c>
      <c r="D169" s="13" t="s">
        <v>3874</v>
      </c>
      <c r="E169" s="13" t="s">
        <v>3875</v>
      </c>
      <c r="F169" s="13">
        <v>90</v>
      </c>
      <c r="G169" s="13">
        <v>93.082768257741265</v>
      </c>
      <c r="H169" s="13">
        <f t="shared" si="8"/>
        <v>91.541384128870632</v>
      </c>
      <c r="I169" s="30">
        <f t="shared" si="7"/>
        <v>87.217194387372572</v>
      </c>
      <c r="N169" s="1"/>
    </row>
    <row r="170" spans="2:14" x14ac:dyDescent="0.35">
      <c r="B170" s="18" t="s">
        <v>3118</v>
      </c>
      <c r="C170" s="13" t="s">
        <v>3873</v>
      </c>
      <c r="D170" s="13" t="s">
        <v>3882</v>
      </c>
      <c r="E170" s="13" t="s">
        <v>3883</v>
      </c>
      <c r="F170" s="13">
        <v>74</v>
      </c>
      <c r="G170" s="13">
        <v>92.493897229172006</v>
      </c>
      <c r="H170" s="13">
        <f t="shared" si="8"/>
        <v>83.246948614586003</v>
      </c>
      <c r="I170" s="30">
        <f t="shared" si="7"/>
        <v>69.802815696024993</v>
      </c>
      <c r="N170" s="1"/>
    </row>
    <row r="171" spans="2:14" x14ac:dyDescent="0.35">
      <c r="B171" s="18" t="s">
        <v>3118</v>
      </c>
      <c r="C171" s="13" t="s">
        <v>3873</v>
      </c>
      <c r="D171" s="13" t="s">
        <v>3886</v>
      </c>
      <c r="E171" s="13" t="s">
        <v>3887</v>
      </c>
      <c r="F171" s="13">
        <v>87</v>
      </c>
      <c r="G171" s="13">
        <v>95.358068304049752</v>
      </c>
      <c r="H171" s="13">
        <f t="shared" si="8"/>
        <v>91.179034152024883</v>
      </c>
      <c r="I171" s="30">
        <f t="shared" si="7"/>
        <v>86.456431378880239</v>
      </c>
      <c r="N171" s="1"/>
    </row>
    <row r="173" spans="2:14" x14ac:dyDescent="0.35">
      <c r="F173">
        <f>1/2</f>
        <v>0.5</v>
      </c>
      <c r="G173">
        <f>1/2</f>
        <v>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5C863-EFB3-4E7B-A9AA-21FE4B3A47F7}">
  <dimension ref="B2:P173"/>
  <sheetViews>
    <sheetView showGridLines="0" zoomScale="89" workbookViewId="0">
      <selection activeCell="P3" sqref="P3:P171"/>
    </sheetView>
  </sheetViews>
  <sheetFormatPr baseColWidth="10" defaultColWidth="11.453125" defaultRowHeight="14.5" x14ac:dyDescent="0.35"/>
  <cols>
    <col min="1" max="1" width="3.6328125" customWidth="1"/>
    <col min="2" max="2" width="13.36328125" bestFit="1" customWidth="1"/>
    <col min="4" max="4" width="38.6328125" bestFit="1" customWidth="1"/>
    <col min="6" max="6" width="21.6328125" bestFit="1" customWidth="1"/>
    <col min="7" max="7" width="24.08984375" bestFit="1" customWidth="1"/>
    <col min="8" max="8" width="25.6328125" bestFit="1" customWidth="1"/>
    <col min="9" max="9" width="26" bestFit="1" customWidth="1"/>
    <col min="10" max="10" width="28.08984375" bestFit="1" customWidth="1"/>
    <col min="11" max="11" width="29.6328125" bestFit="1" customWidth="1"/>
    <col min="12" max="12" width="33.36328125" bestFit="1" customWidth="1"/>
    <col min="13" max="13" width="25.6328125" bestFit="1" customWidth="1"/>
    <col min="14" max="14" width="31.6328125" bestFit="1" customWidth="1"/>
    <col min="15" max="15" width="11" bestFit="1" customWidth="1"/>
    <col min="16" max="16" width="22.453125" bestFit="1" customWidth="1"/>
  </cols>
  <sheetData>
    <row r="2" spans="2:16" x14ac:dyDescent="0.35">
      <c r="B2" s="14" t="s">
        <v>4010</v>
      </c>
      <c r="C2" s="15" t="s">
        <v>4011</v>
      </c>
      <c r="D2" s="15" t="s">
        <v>4012</v>
      </c>
      <c r="E2" s="15" t="s">
        <v>4013</v>
      </c>
      <c r="F2" s="15" t="s">
        <v>4028</v>
      </c>
      <c r="G2" s="15" t="s">
        <v>4029</v>
      </c>
      <c r="H2" s="15" t="s">
        <v>4030</v>
      </c>
      <c r="I2" s="15" t="s">
        <v>4031</v>
      </c>
      <c r="J2" s="15" t="s">
        <v>4032</v>
      </c>
      <c r="K2" s="15" t="s">
        <v>4033</v>
      </c>
      <c r="L2" s="15" t="s">
        <v>4034</v>
      </c>
      <c r="M2" s="15" t="s">
        <v>4035</v>
      </c>
      <c r="N2" s="15" t="s">
        <v>4036</v>
      </c>
      <c r="O2" s="15" t="s">
        <v>4021</v>
      </c>
      <c r="P2" s="32" t="s">
        <v>4022</v>
      </c>
    </row>
    <row r="3" spans="2:16" x14ac:dyDescent="0.35">
      <c r="B3" s="18" t="s">
        <v>250</v>
      </c>
      <c r="C3" s="13" t="s">
        <v>251</v>
      </c>
      <c r="D3" s="13" t="s">
        <v>251</v>
      </c>
      <c r="E3" s="13" t="s">
        <v>252</v>
      </c>
      <c r="F3" s="13">
        <v>11.456318799067521</v>
      </c>
      <c r="G3" s="13">
        <v>5.9406959977363734</v>
      </c>
      <c r="H3" s="13">
        <v>0.50334452531631213</v>
      </c>
      <c r="I3" s="13" t="s">
        <v>4264</v>
      </c>
      <c r="J3" s="13">
        <v>6.0125992704026316</v>
      </c>
      <c r="K3" s="13">
        <v>5.0852910804195117</v>
      </c>
      <c r="L3" s="13">
        <v>13.770633243845303</v>
      </c>
      <c r="M3" s="13">
        <v>5.1169704077924498</v>
      </c>
      <c r="N3" s="13">
        <v>10.78785064205044</v>
      </c>
      <c r="O3" s="13">
        <f>SUMPRODUCT(F3:N3,$F$173:$N$173)</f>
        <v>6.5193004407367265</v>
      </c>
      <c r="P3" s="30">
        <f>(O3-MIN($O$3:$O$171))/(MAX($O$3:$O$171)-MIN($O$3:$O$171))*100</f>
        <v>8.6849759778166788</v>
      </c>
    </row>
    <row r="4" spans="2:16" x14ac:dyDescent="0.35">
      <c r="B4" s="18" t="s">
        <v>250</v>
      </c>
      <c r="C4" s="13" t="s">
        <v>251</v>
      </c>
      <c r="D4" s="13" t="s">
        <v>259</v>
      </c>
      <c r="E4" s="13" t="s">
        <v>260</v>
      </c>
      <c r="F4" s="13">
        <v>7.6584534649118226</v>
      </c>
      <c r="G4" s="13">
        <v>3.6337412095918489</v>
      </c>
      <c r="H4" s="13">
        <v>0.16781504893018359</v>
      </c>
      <c r="I4" s="13">
        <v>7.0744036648938966</v>
      </c>
      <c r="J4" s="13">
        <v>3.4292183751247935</v>
      </c>
      <c r="K4" s="13">
        <v>2.2263758907583848</v>
      </c>
      <c r="L4" s="13">
        <v>5.0000351230525819</v>
      </c>
      <c r="M4" s="13">
        <v>0.77678230622052868</v>
      </c>
      <c r="N4" s="13">
        <v>2.7004262619905428</v>
      </c>
      <c r="O4" s="13">
        <f t="shared" ref="O4:O67" si="0">SUMPRODUCT(F4:N4,$F$173:$N$173)</f>
        <v>3.6296945939416201</v>
      </c>
      <c r="P4" s="30">
        <f t="shared" ref="P4:P67" si="1">(O4-MIN($O$3:$O$171))/(MAX($O$3:$O$171)-MIN($O$3:$O$171))*100</f>
        <v>4.8354230290114053</v>
      </c>
    </row>
    <row r="5" spans="2:16" x14ac:dyDescent="0.35">
      <c r="B5" s="18" t="s">
        <v>250</v>
      </c>
      <c r="C5" s="13" t="s">
        <v>530</v>
      </c>
      <c r="D5" s="13" t="s">
        <v>531</v>
      </c>
      <c r="E5" s="13" t="s">
        <v>532</v>
      </c>
      <c r="F5" s="13">
        <v>21.271391087090603</v>
      </c>
      <c r="G5" s="13">
        <v>21.396654616241225</v>
      </c>
      <c r="H5" s="13">
        <v>0.68095158215857499</v>
      </c>
      <c r="I5" s="13">
        <v>18.698330788268127</v>
      </c>
      <c r="J5" s="13">
        <v>20.004732628001324</v>
      </c>
      <c r="K5" s="13">
        <v>6.9252475960301609</v>
      </c>
      <c r="L5" s="13">
        <v>37.786867531960944</v>
      </c>
      <c r="M5" s="13">
        <v>28.551287510358272</v>
      </c>
      <c r="N5" s="13">
        <v>36.113493996910222</v>
      </c>
      <c r="O5" s="13">
        <f t="shared" si="0"/>
        <v>21.269884148557715</v>
      </c>
      <c r="P5" s="30">
        <f t="shared" si="1"/>
        <v>28.335805890145426</v>
      </c>
    </row>
    <row r="6" spans="2:16" x14ac:dyDescent="0.35">
      <c r="B6" s="18" t="s">
        <v>250</v>
      </c>
      <c r="C6" s="13" t="s">
        <v>530</v>
      </c>
      <c r="D6" s="13" t="s">
        <v>530</v>
      </c>
      <c r="E6" s="13" t="s">
        <v>545</v>
      </c>
      <c r="F6" s="13">
        <v>1.3349501876456999</v>
      </c>
      <c r="G6" s="13">
        <v>0.8881040676654075</v>
      </c>
      <c r="H6" s="13">
        <v>7.7538784041281863E-3</v>
      </c>
      <c r="I6" s="13">
        <v>1.3532726028118582</v>
      </c>
      <c r="J6" s="13">
        <v>0.66386873843487382</v>
      </c>
      <c r="K6" s="13">
        <v>0.10085831290905052</v>
      </c>
      <c r="L6" s="13">
        <v>0.887538878120115</v>
      </c>
      <c r="M6" s="13">
        <v>0.20687059888330181</v>
      </c>
      <c r="N6" s="13">
        <v>0.55727119732206487</v>
      </c>
      <c r="O6" s="13">
        <f t="shared" si="0"/>
        <v>0.66672094024405559</v>
      </c>
      <c r="P6" s="30">
        <f t="shared" si="1"/>
        <v>0.88812897903761501</v>
      </c>
    </row>
    <row r="7" spans="2:16" x14ac:dyDescent="0.35">
      <c r="B7" s="18" t="s">
        <v>250</v>
      </c>
      <c r="C7" s="13" t="s">
        <v>530</v>
      </c>
      <c r="D7" s="13" t="s">
        <v>546</v>
      </c>
      <c r="E7" s="13" t="s">
        <v>547</v>
      </c>
      <c r="F7" s="13">
        <v>13.185377225352553</v>
      </c>
      <c r="G7" s="13">
        <v>13.246885443994053</v>
      </c>
      <c r="H7" s="13">
        <v>0.27749127670924312</v>
      </c>
      <c r="I7" s="13">
        <v>11.629192775525249</v>
      </c>
      <c r="J7" s="13">
        <v>11.810077588212328</v>
      </c>
      <c r="K7" s="13">
        <v>3.3646626217966951</v>
      </c>
      <c r="L7" s="13">
        <v>12.577978341886139</v>
      </c>
      <c r="M7" s="13">
        <v>3.5083534720241767</v>
      </c>
      <c r="N7" s="13">
        <v>10.075491118434591</v>
      </c>
      <c r="O7" s="13">
        <f t="shared" si="0"/>
        <v>8.8528344293261139</v>
      </c>
      <c r="P7" s="30">
        <f t="shared" si="1"/>
        <v>11.793726140706481</v>
      </c>
    </row>
    <row r="8" spans="2:16" x14ac:dyDescent="0.35">
      <c r="B8" s="18" t="s">
        <v>757</v>
      </c>
      <c r="C8" s="13" t="s">
        <v>757</v>
      </c>
      <c r="D8" s="13" t="s">
        <v>757</v>
      </c>
      <c r="E8" s="13" t="s">
        <v>758</v>
      </c>
      <c r="F8" s="13">
        <v>27.613711203336855</v>
      </c>
      <c r="G8" s="13">
        <v>12.951235537886808</v>
      </c>
      <c r="H8" s="13">
        <v>3.1071354792045538</v>
      </c>
      <c r="I8" s="13">
        <v>30.711916170817755</v>
      </c>
      <c r="J8" s="13">
        <v>13.809801481455395</v>
      </c>
      <c r="K8" s="13">
        <v>30.538104719719676</v>
      </c>
      <c r="L8" s="13">
        <v>42.056012591407743</v>
      </c>
      <c r="M8" s="13">
        <v>22.50991595977462</v>
      </c>
      <c r="N8" s="13">
        <v>28.755184059428434</v>
      </c>
      <c r="O8" s="13">
        <f t="shared" si="0"/>
        <v>23.561446355892429</v>
      </c>
      <c r="P8" s="30">
        <f t="shared" si="1"/>
        <v>31.388640954969265</v>
      </c>
    </row>
    <row r="9" spans="2:16" x14ac:dyDescent="0.35">
      <c r="B9" s="18" t="s">
        <v>757</v>
      </c>
      <c r="C9" s="13" t="s">
        <v>757</v>
      </c>
      <c r="D9" s="13" t="s">
        <v>759</v>
      </c>
      <c r="E9" s="13" t="s">
        <v>760</v>
      </c>
      <c r="F9" s="13">
        <v>7.4326513971502948</v>
      </c>
      <c r="G9" s="13">
        <v>3.1237644818960093</v>
      </c>
      <c r="H9" s="13">
        <v>0.17859521664536104</v>
      </c>
      <c r="I9" s="13">
        <v>8.0511821389079046</v>
      </c>
      <c r="J9" s="13">
        <v>3.3924195823836176</v>
      </c>
      <c r="K9" s="13">
        <v>0.96660052621716941</v>
      </c>
      <c r="L9" s="13">
        <v>3.6472604225592473</v>
      </c>
      <c r="M9" s="13">
        <v>0.93666355025769887</v>
      </c>
      <c r="N9" s="13">
        <v>2.5600511527351837</v>
      </c>
      <c r="O9" s="13">
        <f t="shared" si="0"/>
        <v>3.3654653854169423</v>
      </c>
      <c r="P9" s="30">
        <f t="shared" si="1"/>
        <v>4.4834150449589067</v>
      </c>
    </row>
    <row r="10" spans="2:16" x14ac:dyDescent="0.35">
      <c r="B10" s="18" t="s">
        <v>757</v>
      </c>
      <c r="C10" s="13" t="s">
        <v>757</v>
      </c>
      <c r="D10" s="13" t="s">
        <v>761</v>
      </c>
      <c r="E10" s="13" t="s">
        <v>762</v>
      </c>
      <c r="F10" s="13">
        <v>8.9129093969203108</v>
      </c>
      <c r="G10" s="13">
        <v>3.624772459146143</v>
      </c>
      <c r="H10" s="13">
        <v>0.35584022033572649</v>
      </c>
      <c r="I10" s="13">
        <v>9.8862619135379912</v>
      </c>
      <c r="J10" s="13">
        <v>3.5734593455620698</v>
      </c>
      <c r="K10" s="13">
        <v>4.6217651355385518</v>
      </c>
      <c r="L10" s="13">
        <v>22.463506115336667</v>
      </c>
      <c r="M10" s="13">
        <v>12.105167492658159</v>
      </c>
      <c r="N10" s="13">
        <v>16.124535391282453</v>
      </c>
      <c r="O10" s="13">
        <f t="shared" si="0"/>
        <v>9.0742463855908966</v>
      </c>
      <c r="P10" s="30">
        <f t="shared" si="1"/>
        <v>12.088692684356431</v>
      </c>
    </row>
    <row r="11" spans="2:16" x14ac:dyDescent="0.35">
      <c r="B11" s="18" t="s">
        <v>757</v>
      </c>
      <c r="C11" s="13" t="s">
        <v>757</v>
      </c>
      <c r="D11" s="13" t="s">
        <v>763</v>
      </c>
      <c r="E11" s="13" t="s">
        <v>764</v>
      </c>
      <c r="F11" s="13">
        <v>17.793412015597067</v>
      </c>
      <c r="G11" s="13">
        <v>5.1292494152654129</v>
      </c>
      <c r="H11" s="13">
        <v>0.88774889879861762</v>
      </c>
      <c r="I11" s="13">
        <v>22.692327944815965</v>
      </c>
      <c r="J11" s="13">
        <v>5.2163368321364683</v>
      </c>
      <c r="K11" s="13">
        <v>5.736008153601702</v>
      </c>
      <c r="L11" s="13">
        <v>17.877303194173045</v>
      </c>
      <c r="M11" s="13">
        <v>16.912257245912087</v>
      </c>
      <c r="N11" s="13">
        <v>13.033965818020841</v>
      </c>
      <c r="O11" s="13">
        <f t="shared" si="0"/>
        <v>11.697623279813465</v>
      </c>
      <c r="P11" s="30">
        <f t="shared" si="1"/>
        <v>15.583573576220221</v>
      </c>
    </row>
    <row r="12" spans="2:16" x14ac:dyDescent="0.35">
      <c r="B12" s="18" t="s">
        <v>757</v>
      </c>
      <c r="C12" s="13" t="s">
        <v>757</v>
      </c>
      <c r="D12" s="13" t="s">
        <v>765</v>
      </c>
      <c r="E12" s="13" t="s">
        <v>766</v>
      </c>
      <c r="F12" s="13">
        <v>0.65858936430445647</v>
      </c>
      <c r="G12" s="13">
        <v>0.13567070333665943</v>
      </c>
      <c r="H12" s="13">
        <v>4.8943602864380216E-2</v>
      </c>
      <c r="I12" s="13">
        <v>0.83723869201200574</v>
      </c>
      <c r="J12" s="13">
        <v>0.15609414820070597</v>
      </c>
      <c r="K12" s="13">
        <v>0.66522531793819051</v>
      </c>
      <c r="L12" s="13">
        <v>2.6569556247089433E-2</v>
      </c>
      <c r="M12" s="13">
        <v>5.2247015323439953E-3</v>
      </c>
      <c r="N12" s="13">
        <v>1.5247948494666135E-2</v>
      </c>
      <c r="O12" s="13">
        <f t="shared" si="0"/>
        <v>0.28320044832561087</v>
      </c>
      <c r="P12" s="30">
        <f t="shared" si="1"/>
        <v>0.37720031995098896</v>
      </c>
    </row>
    <row r="13" spans="2:16" x14ac:dyDescent="0.35">
      <c r="B13" s="18" t="s">
        <v>757</v>
      </c>
      <c r="C13" s="13" t="s">
        <v>757</v>
      </c>
      <c r="D13" s="13" t="s">
        <v>769</v>
      </c>
      <c r="E13" s="13" t="s">
        <v>770</v>
      </c>
      <c r="F13" s="13">
        <v>4.6028078905278127</v>
      </c>
      <c r="G13" s="13">
        <v>1.4092016724084713</v>
      </c>
      <c r="H13" s="13">
        <v>4.2480414711370339E-2</v>
      </c>
      <c r="I13" s="13">
        <v>4.8891580222210518</v>
      </c>
      <c r="J13" s="13">
        <v>1.5674682691752613</v>
      </c>
      <c r="K13" s="13">
        <v>0.55825554627489726</v>
      </c>
      <c r="L13" s="13">
        <v>2.943807661205514</v>
      </c>
      <c r="M13" s="13">
        <v>0.80748922950889379</v>
      </c>
      <c r="N13" s="13">
        <v>2.0071064190136245</v>
      </c>
      <c r="O13" s="13">
        <f t="shared" si="0"/>
        <v>2.0919750138940998</v>
      </c>
      <c r="P13" s="30">
        <f t="shared" si="1"/>
        <v>2.7868623402333976</v>
      </c>
    </row>
    <row r="14" spans="2:16" x14ac:dyDescent="0.35">
      <c r="B14" s="18" t="s">
        <v>757</v>
      </c>
      <c r="C14" s="13" t="s">
        <v>757</v>
      </c>
      <c r="D14" s="13" t="s">
        <v>773</v>
      </c>
      <c r="E14" s="13" t="s">
        <v>774</v>
      </c>
      <c r="F14" s="13">
        <v>6.2586897207790173</v>
      </c>
      <c r="G14" s="13">
        <v>2.3974690158757581</v>
      </c>
      <c r="H14" s="13">
        <v>9.3403959945592974E-2</v>
      </c>
      <c r="I14" s="13">
        <v>7.0902006213469537</v>
      </c>
      <c r="J14" s="13">
        <v>2.5293049106286873</v>
      </c>
      <c r="K14" s="13">
        <v>1.1058820647185832</v>
      </c>
      <c r="L14" s="13">
        <v>2.1509357401026339</v>
      </c>
      <c r="M14" s="13">
        <v>0.52136032480100247</v>
      </c>
      <c r="N14" s="13">
        <v>1.3829289737271853</v>
      </c>
      <c r="O14" s="13">
        <f t="shared" si="0"/>
        <v>2.6144639257694906</v>
      </c>
      <c r="P14" s="30">
        <f t="shared" si="1"/>
        <v>3.4829256921465239</v>
      </c>
    </row>
    <row r="15" spans="2:16" x14ac:dyDescent="0.35">
      <c r="B15" s="18" t="s">
        <v>757</v>
      </c>
      <c r="C15" s="13" t="s">
        <v>757</v>
      </c>
      <c r="D15" s="13" t="s">
        <v>775</v>
      </c>
      <c r="E15" s="13" t="s">
        <v>776</v>
      </c>
      <c r="F15" s="13">
        <v>8.0588339832111977</v>
      </c>
      <c r="G15" s="13">
        <v>3.9970412721293105</v>
      </c>
      <c r="H15" s="13">
        <v>0.33929158295403838</v>
      </c>
      <c r="I15" s="13">
        <v>9.0016323521668156</v>
      </c>
      <c r="J15" s="13">
        <v>4.7496315985715674</v>
      </c>
      <c r="K15" s="13">
        <v>3.1945119126929606</v>
      </c>
      <c r="L15" s="13">
        <v>8.3337086679148431</v>
      </c>
      <c r="M15" s="13">
        <v>2.1324501919803853</v>
      </c>
      <c r="N15" s="13">
        <v>5.3938848110664139</v>
      </c>
      <c r="O15" s="13">
        <f t="shared" si="0"/>
        <v>5.0223318191875039</v>
      </c>
      <c r="P15" s="30">
        <f t="shared" si="1"/>
        <v>6.6907039985620669</v>
      </c>
    </row>
    <row r="16" spans="2:16" x14ac:dyDescent="0.35">
      <c r="B16" s="18" t="s">
        <v>757</v>
      </c>
      <c r="C16" s="13" t="s">
        <v>757</v>
      </c>
      <c r="D16" s="13" t="s">
        <v>779</v>
      </c>
      <c r="E16" s="13" t="s">
        <v>780</v>
      </c>
      <c r="F16" s="13">
        <v>13.555441725295058</v>
      </c>
      <c r="G16" s="13">
        <v>4.5749161573895076</v>
      </c>
      <c r="H16" s="13">
        <v>0.48249223678764824</v>
      </c>
      <c r="I16" s="13">
        <v>15.151914064556896</v>
      </c>
      <c r="J16" s="13">
        <v>4.7706756915098829</v>
      </c>
      <c r="K16" s="13">
        <v>2.7791928359529594</v>
      </c>
      <c r="L16" s="13">
        <v>8.5125469874131365</v>
      </c>
      <c r="M16" s="13">
        <v>2.4313298002493426</v>
      </c>
      <c r="N16" s="13">
        <v>5.3142584360368819</v>
      </c>
      <c r="O16" s="13">
        <f t="shared" si="0"/>
        <v>6.396974215021257</v>
      </c>
      <c r="P16" s="30">
        <f t="shared" si="1"/>
        <v>8.5220121315739519</v>
      </c>
    </row>
    <row r="17" spans="2:16" x14ac:dyDescent="0.35">
      <c r="B17" s="18" t="s">
        <v>757</v>
      </c>
      <c r="C17" s="13" t="s">
        <v>757</v>
      </c>
      <c r="D17" s="13" t="s">
        <v>787</v>
      </c>
      <c r="E17" s="13" t="s">
        <v>788</v>
      </c>
      <c r="F17" s="13">
        <v>0.21952978810148549</v>
      </c>
      <c r="G17" s="13">
        <v>0.12825136294259246</v>
      </c>
      <c r="H17" s="13">
        <v>3.1854545559754574E-2</v>
      </c>
      <c r="I17" s="13">
        <v>0.27381391185298298</v>
      </c>
      <c r="J17" s="13">
        <v>0.12995404380742984</v>
      </c>
      <c r="K17" s="13">
        <v>0.43295670689068233</v>
      </c>
      <c r="L17" s="13">
        <v>-2.3553105848897319E-3</v>
      </c>
      <c r="M17" s="13">
        <v>0</v>
      </c>
      <c r="N17" s="13">
        <v>-1.0532589289620603E-3</v>
      </c>
      <c r="O17" s="13">
        <f t="shared" si="0"/>
        <v>0.13477242107123064</v>
      </c>
      <c r="P17" s="30">
        <f t="shared" si="1"/>
        <v>0.17946347267952648</v>
      </c>
    </row>
    <row r="18" spans="2:16" x14ac:dyDescent="0.35">
      <c r="B18" s="18" t="s">
        <v>757</v>
      </c>
      <c r="C18" s="13" t="s">
        <v>757</v>
      </c>
      <c r="D18" s="13" t="s">
        <v>789</v>
      </c>
      <c r="E18" s="13" t="s">
        <v>790</v>
      </c>
      <c r="F18" s="13">
        <v>2.7117155730250158</v>
      </c>
      <c r="G18" s="13">
        <v>1.0979313508465536</v>
      </c>
      <c r="H18" s="13">
        <v>0.30961593141370558</v>
      </c>
      <c r="I18" s="13">
        <v>3.1751882470643991</v>
      </c>
      <c r="J18" s="13">
        <v>1.0131536726737855</v>
      </c>
      <c r="K18" s="13">
        <v>2.6040003392689068</v>
      </c>
      <c r="L18" s="13">
        <v>6.5163592848615934E-2</v>
      </c>
      <c r="M18" s="13">
        <v>1.6249654698405905E-2</v>
      </c>
      <c r="N18" s="13">
        <v>4.6926736281140413E-2</v>
      </c>
      <c r="O18" s="13">
        <f t="shared" si="0"/>
        <v>1.2266605664578363</v>
      </c>
      <c r="P18" s="30">
        <f t="shared" si="1"/>
        <v>1.6340844323167847</v>
      </c>
    </row>
    <row r="19" spans="2:16" x14ac:dyDescent="0.35">
      <c r="B19" s="18" t="s">
        <v>757</v>
      </c>
      <c r="C19" s="13" t="s">
        <v>757</v>
      </c>
      <c r="D19" s="13" t="s">
        <v>799</v>
      </c>
      <c r="E19" s="13" t="s">
        <v>800</v>
      </c>
      <c r="F19" s="13">
        <v>6.4897186882572466</v>
      </c>
      <c r="G19" s="13">
        <v>2.3697429725375754</v>
      </c>
      <c r="H19" s="13">
        <v>8.5362343182482925E-2</v>
      </c>
      <c r="I19" s="13">
        <v>7.2981938813122014</v>
      </c>
      <c r="J19" s="13">
        <v>2.34281377383964</v>
      </c>
      <c r="K19" s="13">
        <v>1.1358142776921309</v>
      </c>
      <c r="L19" s="13">
        <v>2.3657648581875761</v>
      </c>
      <c r="M19" s="13">
        <v>0.67343367744010663</v>
      </c>
      <c r="N19" s="13">
        <v>1.6774363742484997</v>
      </c>
      <c r="O19" s="13">
        <f t="shared" si="0"/>
        <v>2.71536453852194</v>
      </c>
      <c r="P19" s="30">
        <f t="shared" si="1"/>
        <v>3.6173461882111533</v>
      </c>
    </row>
    <row r="20" spans="2:16" x14ac:dyDescent="0.35">
      <c r="B20" s="18" t="s">
        <v>757</v>
      </c>
      <c r="C20" s="13" t="s">
        <v>757</v>
      </c>
      <c r="D20" s="13" t="s">
        <v>801</v>
      </c>
      <c r="E20" s="13" t="s">
        <v>802</v>
      </c>
      <c r="F20" s="13">
        <v>1.2053230746714894</v>
      </c>
      <c r="G20" s="13">
        <v>0.45385101964051516</v>
      </c>
      <c r="H20" s="13">
        <v>3.5036500636580266E-2</v>
      </c>
      <c r="I20" s="13">
        <v>1.2979832552261599</v>
      </c>
      <c r="J20" s="13">
        <v>0.33705680742937844</v>
      </c>
      <c r="K20" s="13">
        <v>0.40900854766803124</v>
      </c>
      <c r="L20" s="13">
        <v>1.4404170469942312</v>
      </c>
      <c r="M20" s="13">
        <v>0.38503650336215234</v>
      </c>
      <c r="N20" s="13">
        <v>1.0952434502688404</v>
      </c>
      <c r="O20" s="13">
        <f t="shared" si="0"/>
        <v>0.73988402287748645</v>
      </c>
      <c r="P20" s="30">
        <f t="shared" si="1"/>
        <v>0.98559734511514896</v>
      </c>
    </row>
    <row r="21" spans="2:16" x14ac:dyDescent="0.35">
      <c r="B21" s="18" t="s">
        <v>757</v>
      </c>
      <c r="C21" s="13" t="s">
        <v>757</v>
      </c>
      <c r="D21" s="13" t="s">
        <v>803</v>
      </c>
      <c r="E21" s="13" t="s">
        <v>804</v>
      </c>
      <c r="F21" s="13">
        <v>0.91888897019621785</v>
      </c>
      <c r="G21" s="13">
        <v>0.26084918790012723</v>
      </c>
      <c r="H21" s="13">
        <v>0.12826271794743907</v>
      </c>
      <c r="I21" s="13">
        <v>1.0557632562792902</v>
      </c>
      <c r="J21" s="13">
        <v>0.20995156802447471</v>
      </c>
      <c r="K21" s="13">
        <v>1.7433038949474611</v>
      </c>
      <c r="L21" s="13">
        <v>2.5619167765467264E-2</v>
      </c>
      <c r="M21" s="13">
        <v>5.9098004259845478E-3</v>
      </c>
      <c r="N21" s="13">
        <v>1.4291913466839034E-2</v>
      </c>
      <c r="O21" s="13">
        <f t="shared" si="0"/>
        <v>0.48476005299481123</v>
      </c>
      <c r="P21" s="30">
        <f t="shared" si="1"/>
        <v>0.64571942312726505</v>
      </c>
    </row>
    <row r="22" spans="2:16" x14ac:dyDescent="0.35">
      <c r="B22" s="18" t="s">
        <v>757</v>
      </c>
      <c r="C22" s="13" t="s">
        <v>757</v>
      </c>
      <c r="D22" s="13" t="s">
        <v>807</v>
      </c>
      <c r="E22" s="13" t="s">
        <v>808</v>
      </c>
      <c r="F22" s="13">
        <v>4.7063005049185129</v>
      </c>
      <c r="G22" s="13">
        <v>2.7366536545557736</v>
      </c>
      <c r="H22" s="13">
        <v>1.0580125181375948</v>
      </c>
      <c r="I22" s="13">
        <v>5.3656995418882625</v>
      </c>
      <c r="J22" s="13">
        <v>2.6176452065730471</v>
      </c>
      <c r="K22" s="13">
        <v>8.3225832043921706</v>
      </c>
      <c r="L22" s="13">
        <v>6.439832351471841</v>
      </c>
      <c r="M22" s="13">
        <v>1.9381056253317506</v>
      </c>
      <c r="N22" s="13">
        <v>3.9078498901856036</v>
      </c>
      <c r="O22" s="13">
        <f t="shared" si="0"/>
        <v>4.121409166383839</v>
      </c>
      <c r="P22" s="30">
        <f t="shared" si="1"/>
        <v>5.4904885925085454</v>
      </c>
    </row>
    <row r="23" spans="2:16" x14ac:dyDescent="0.35">
      <c r="B23" s="18" t="s">
        <v>757</v>
      </c>
      <c r="C23" s="13" t="s">
        <v>757</v>
      </c>
      <c r="D23" s="13" t="s">
        <v>811</v>
      </c>
      <c r="E23" s="13" t="s">
        <v>812</v>
      </c>
      <c r="F23" s="13">
        <v>1.6537910703645238</v>
      </c>
      <c r="G23" s="13">
        <v>0.24349711454069559</v>
      </c>
      <c r="H23" s="13">
        <v>3.8867313656196757E-2</v>
      </c>
      <c r="I23" s="13">
        <v>2.108893686483071</v>
      </c>
      <c r="J23" s="13">
        <v>0.2988999902824151</v>
      </c>
      <c r="K23" s="13">
        <v>0.52744742390334709</v>
      </c>
      <c r="L23" s="13">
        <v>1.0159239656157713</v>
      </c>
      <c r="M23" s="13">
        <v>0.22264347857217562</v>
      </c>
      <c r="N23" s="13">
        <v>0.64676579831679493</v>
      </c>
      <c r="O23" s="13">
        <f t="shared" si="0"/>
        <v>0.75074776019277689</v>
      </c>
      <c r="P23" s="30">
        <f t="shared" si="1"/>
        <v>1.000070091307681</v>
      </c>
    </row>
    <row r="24" spans="2:16" x14ac:dyDescent="0.35">
      <c r="B24" s="18" t="s">
        <v>757</v>
      </c>
      <c r="C24" s="13" t="s">
        <v>757</v>
      </c>
      <c r="D24" s="13" t="s">
        <v>813</v>
      </c>
      <c r="E24" s="13" t="s">
        <v>814</v>
      </c>
      <c r="F24" s="13">
        <v>12.957484397704347</v>
      </c>
      <c r="G24" s="13">
        <v>6.7493534322634874</v>
      </c>
      <c r="H24" s="13">
        <v>0.73871257577664218</v>
      </c>
      <c r="I24" s="13">
        <v>14.36206624190406</v>
      </c>
      <c r="J24" s="13">
        <v>7.3031835250846386</v>
      </c>
      <c r="K24" s="13">
        <v>9.6113551514136137</v>
      </c>
      <c r="L24" s="13">
        <v>18.165766758964537</v>
      </c>
      <c r="M24" s="13">
        <v>21.051231033817295</v>
      </c>
      <c r="N24" s="13">
        <v>12.628120846716474</v>
      </c>
      <c r="O24" s="13">
        <f t="shared" si="0"/>
        <v>11.507474884849454</v>
      </c>
      <c r="P24" s="30">
        <f t="shared" si="1"/>
        <v>15.33025656575108</v>
      </c>
    </row>
    <row r="25" spans="2:16" x14ac:dyDescent="0.35">
      <c r="B25" s="18" t="s">
        <v>976</v>
      </c>
      <c r="C25" s="13" t="s">
        <v>977</v>
      </c>
      <c r="D25" s="13" t="s">
        <v>976</v>
      </c>
      <c r="E25" s="13" t="s">
        <v>979</v>
      </c>
      <c r="F25" s="13">
        <v>14.897709572544141</v>
      </c>
      <c r="G25" s="13">
        <v>14.062313601124906</v>
      </c>
      <c r="H25" s="13">
        <v>0.48580722653762659</v>
      </c>
      <c r="I25" s="13">
        <v>13.522194723816543</v>
      </c>
      <c r="J25" s="13">
        <v>12.458120430052006</v>
      </c>
      <c r="K25" s="13">
        <v>3.765213335232199</v>
      </c>
      <c r="L25" s="13">
        <v>14.92291729595469</v>
      </c>
      <c r="M25" s="13">
        <v>4.4523961234861753</v>
      </c>
      <c r="N25" s="13">
        <v>10.677452902311693</v>
      </c>
      <c r="O25" s="13">
        <f t="shared" si="0"/>
        <v>9.9160139123399968</v>
      </c>
      <c r="P25" s="30">
        <f t="shared" si="1"/>
        <v>13.210101221233362</v>
      </c>
    </row>
    <row r="26" spans="2:16" x14ac:dyDescent="0.35">
      <c r="B26" s="18" t="s">
        <v>976</v>
      </c>
      <c r="C26" s="13" t="s">
        <v>977</v>
      </c>
      <c r="D26" s="13" t="s">
        <v>4006</v>
      </c>
      <c r="E26" s="13" t="s">
        <v>985</v>
      </c>
      <c r="F26" s="13">
        <v>1.4468058415831235</v>
      </c>
      <c r="G26" s="13">
        <v>1.1795391658711605</v>
      </c>
      <c r="H26" s="13">
        <v>3.5157644399969455E-2</v>
      </c>
      <c r="I26" s="13">
        <v>1.3453741245853299</v>
      </c>
      <c r="J26" s="13">
        <v>0.97563047588831386</v>
      </c>
      <c r="K26" s="13">
        <v>0.47785104494464981</v>
      </c>
      <c r="L26" s="13">
        <v>0.82890404092786019</v>
      </c>
      <c r="M26" s="13">
        <v>0.1485783406444777</v>
      </c>
      <c r="N26" s="13">
        <v>0.53918755171096244</v>
      </c>
      <c r="O26" s="13">
        <f t="shared" si="0"/>
        <v>0.7752253589506497</v>
      </c>
      <c r="P26" s="30">
        <f t="shared" si="1"/>
        <v>1.0326793181275087</v>
      </c>
    </row>
    <row r="27" spans="2:16" x14ac:dyDescent="0.35">
      <c r="B27" s="18" t="s">
        <v>976</v>
      </c>
      <c r="C27" s="13" t="s">
        <v>977</v>
      </c>
      <c r="D27" s="13" t="s">
        <v>1005</v>
      </c>
      <c r="E27" s="13" t="s">
        <v>1006</v>
      </c>
      <c r="F27" s="13">
        <v>1.7562383048118839</v>
      </c>
      <c r="G27" s="13">
        <v>1.1179415938582786</v>
      </c>
      <c r="H27" s="13">
        <v>4.9495751706760363E-2</v>
      </c>
      <c r="I27" s="13">
        <v>1.6191880364383131</v>
      </c>
      <c r="J27" s="13">
        <v>0.89648731317930608</v>
      </c>
      <c r="K27" s="13">
        <v>0.60465618306633828</v>
      </c>
      <c r="L27" s="13">
        <v>0.59424072844384623</v>
      </c>
      <c r="M27" s="13">
        <v>0.1260033168448346</v>
      </c>
      <c r="N27" s="13">
        <v>0.32952420891342249</v>
      </c>
      <c r="O27" s="13">
        <f t="shared" si="0"/>
        <v>0.7881972708069982</v>
      </c>
      <c r="P27" s="30">
        <f t="shared" si="1"/>
        <v>1.0499605890640389</v>
      </c>
    </row>
    <row r="28" spans="2:16" x14ac:dyDescent="0.35">
      <c r="B28" s="18" t="s">
        <v>976</v>
      </c>
      <c r="C28" s="13" t="s">
        <v>977</v>
      </c>
      <c r="D28" s="13" t="s">
        <v>1007</v>
      </c>
      <c r="E28" s="13" t="s">
        <v>1008</v>
      </c>
      <c r="F28" s="13">
        <v>1.3663115859459121</v>
      </c>
      <c r="G28" s="13">
        <v>0.86725989321979025</v>
      </c>
      <c r="H28" s="13">
        <v>2.1650163896679994E-2</v>
      </c>
      <c r="I28" s="13">
        <v>1.5875941235321995</v>
      </c>
      <c r="J28" s="13">
        <v>0.83748849005917425</v>
      </c>
      <c r="K28" s="13">
        <v>0.28334607317010019</v>
      </c>
      <c r="L28" s="13">
        <v>-2.3553105848897319E-3</v>
      </c>
      <c r="M28" s="13">
        <v>0</v>
      </c>
      <c r="N28" s="13">
        <v>-1.0532589289620603E-3</v>
      </c>
      <c r="O28" s="13">
        <f t="shared" si="0"/>
        <v>0.55113797336777848</v>
      </c>
      <c r="P28" s="30">
        <f t="shared" si="1"/>
        <v>0.73414854898563209</v>
      </c>
    </row>
    <row r="29" spans="2:16" x14ac:dyDescent="0.35">
      <c r="B29" s="18" t="s">
        <v>1231</v>
      </c>
      <c r="C29" s="13" t="s">
        <v>1231</v>
      </c>
      <c r="D29" s="13" t="s">
        <v>1231</v>
      </c>
      <c r="E29" s="13" t="s">
        <v>1232</v>
      </c>
      <c r="F29" s="13">
        <v>27.217512204810841</v>
      </c>
      <c r="G29" s="13">
        <v>13.532397012440796</v>
      </c>
      <c r="H29" s="13">
        <v>1.5718227861984968</v>
      </c>
      <c r="I29" s="13">
        <v>25.97282923490074</v>
      </c>
      <c r="J29" s="13">
        <v>12.031434011840629</v>
      </c>
      <c r="K29" s="13">
        <v>13.672025997946472</v>
      </c>
      <c r="L29" s="13">
        <v>36.166289885841813</v>
      </c>
      <c r="M29" s="13">
        <v>28.925368679824341</v>
      </c>
      <c r="N29" s="13">
        <v>33.871818712424989</v>
      </c>
      <c r="O29" s="13">
        <f t="shared" si="0"/>
        <v>21.440166502914348</v>
      </c>
      <c r="P29" s="30">
        <f t="shared" si="1"/>
        <v>28.562657223544452</v>
      </c>
    </row>
    <row r="30" spans="2:16" x14ac:dyDescent="0.35">
      <c r="B30" s="18" t="s">
        <v>1231</v>
      </c>
      <c r="C30" s="13" t="s">
        <v>1231</v>
      </c>
      <c r="D30" s="13" t="s">
        <v>1241</v>
      </c>
      <c r="E30" s="13" t="s">
        <v>1242</v>
      </c>
      <c r="F30" s="13">
        <v>0.20384908895137938</v>
      </c>
      <c r="G30" s="13">
        <v>0.14267356438695275</v>
      </c>
      <c r="H30" s="13">
        <v>3.0848239618476843E-4</v>
      </c>
      <c r="I30" s="13">
        <v>0.18956347743668053</v>
      </c>
      <c r="J30" s="13">
        <v>0.16606418635198905</v>
      </c>
      <c r="K30" s="13">
        <v>4.1924208913469031E-3</v>
      </c>
      <c r="L30" s="13">
        <v>0.2718524269822728</v>
      </c>
      <c r="M30" s="13">
        <v>5.051928048554917E-2</v>
      </c>
      <c r="N30" s="13">
        <v>0.20984158661628738</v>
      </c>
      <c r="O30" s="13">
        <f t="shared" si="0"/>
        <v>0.13765161272207141</v>
      </c>
      <c r="P30" s="30">
        <f t="shared" si="1"/>
        <v>0.18329915176425793</v>
      </c>
    </row>
    <row r="31" spans="2:16" x14ac:dyDescent="0.35">
      <c r="B31" s="18" t="s">
        <v>1231</v>
      </c>
      <c r="C31" s="13" t="s">
        <v>1231</v>
      </c>
      <c r="D31" s="13" t="s">
        <v>1243</v>
      </c>
      <c r="E31" s="13" t="s">
        <v>1244</v>
      </c>
      <c r="F31" s="13">
        <v>0.10558337427738111</v>
      </c>
      <c r="G31" s="13">
        <v>1.7834981806123973E-2</v>
      </c>
      <c r="H31" s="13">
        <v>8.4409748505701401E-4</v>
      </c>
      <c r="I31" s="13">
        <v>8.9516086567321365E-2</v>
      </c>
      <c r="J31" s="13">
        <v>3.379080599071823E-2</v>
      </c>
      <c r="K31" s="13">
        <v>1.1473085978377326E-2</v>
      </c>
      <c r="L31" s="13">
        <v>-2.3553105848897319E-3</v>
      </c>
      <c r="M31" s="13">
        <v>0</v>
      </c>
      <c r="N31" s="13">
        <v>-1.0532589289620603E-3</v>
      </c>
      <c r="O31" s="13">
        <f t="shared" si="0"/>
        <v>2.8403762510125243E-2</v>
      </c>
      <c r="P31" s="30">
        <f t="shared" si="1"/>
        <v>3.775840806716272E-2</v>
      </c>
    </row>
    <row r="32" spans="2:16" x14ac:dyDescent="0.35">
      <c r="B32" s="18" t="s">
        <v>1231</v>
      </c>
      <c r="C32" s="13" t="s">
        <v>1231</v>
      </c>
      <c r="D32" s="13" t="s">
        <v>1245</v>
      </c>
      <c r="E32" s="13" t="s">
        <v>1246</v>
      </c>
      <c r="F32" s="13">
        <v>2.1001683061708776</v>
      </c>
      <c r="G32" s="13">
        <v>0.70017400421038711</v>
      </c>
      <c r="H32" s="13">
        <v>0.13287636828242971</v>
      </c>
      <c r="I32" s="13">
        <v>2.1641830340687696</v>
      </c>
      <c r="J32" s="13">
        <v>0.7859563139466893</v>
      </c>
      <c r="K32" s="13">
        <v>1.5824046470762627</v>
      </c>
      <c r="L32" s="13">
        <v>1.9370983317376449</v>
      </c>
      <c r="M32" s="13">
        <v>0.55550727168286917</v>
      </c>
      <c r="N32" s="13">
        <v>1.3469237223402053</v>
      </c>
      <c r="O32" s="13">
        <f t="shared" si="0"/>
        <v>1.2561435555017928</v>
      </c>
      <c r="P32" s="30">
        <f t="shared" si="1"/>
        <v>1.6733618747886141</v>
      </c>
    </row>
    <row r="33" spans="2:16" x14ac:dyDescent="0.35">
      <c r="B33" s="18" t="s">
        <v>1231</v>
      </c>
      <c r="C33" s="13" t="s">
        <v>1231</v>
      </c>
      <c r="D33" s="13" t="s">
        <v>1247</v>
      </c>
      <c r="E33" s="13" t="s">
        <v>1248</v>
      </c>
      <c r="F33" s="13">
        <v>0.1787599703112096</v>
      </c>
      <c r="G33" s="13">
        <v>7.2941411994787847E-2</v>
      </c>
      <c r="H33" s="13">
        <v>2.8978361616158587E-3</v>
      </c>
      <c r="I33" s="13">
        <v>0.16850086883260493</v>
      </c>
      <c r="J33" s="13">
        <v>4.5950845038148176E-2</v>
      </c>
      <c r="K33" s="13">
        <v>3.9386725930165678E-2</v>
      </c>
      <c r="L33" s="13">
        <v>-2.3553105848897319E-3</v>
      </c>
      <c r="M33" s="13">
        <v>0</v>
      </c>
      <c r="N33" s="13">
        <v>-1.0532589289620603E-3</v>
      </c>
      <c r="O33" s="13">
        <f t="shared" si="0"/>
        <v>5.6114343194964472E-2</v>
      </c>
      <c r="P33" s="30">
        <f t="shared" si="1"/>
        <v>7.4674635831147182E-2</v>
      </c>
    </row>
    <row r="34" spans="2:16" x14ac:dyDescent="0.35">
      <c r="B34" s="18" t="s">
        <v>1482</v>
      </c>
      <c r="C34" s="13" t="s">
        <v>1482</v>
      </c>
      <c r="D34" s="13" t="s">
        <v>1482</v>
      </c>
      <c r="E34" s="13" t="s">
        <v>1483</v>
      </c>
      <c r="F34" s="13">
        <v>46.887381218703936</v>
      </c>
      <c r="G34" s="13">
        <v>50.200793276757317</v>
      </c>
      <c r="H34" s="13">
        <v>2.5333733704952279</v>
      </c>
      <c r="I34" s="13">
        <v>40.708756779527143</v>
      </c>
      <c r="J34" s="13">
        <v>44.119636801595838</v>
      </c>
      <c r="K34" s="13">
        <v>17.708570849106174</v>
      </c>
      <c r="L34" s="13">
        <v>31.351415231752235</v>
      </c>
      <c r="M34" s="13">
        <v>11.583017408190456</v>
      </c>
      <c r="N34" s="13">
        <v>22.432551728786798</v>
      </c>
      <c r="O34" s="13">
        <f t="shared" si="0"/>
        <v>29.72505518499057</v>
      </c>
      <c r="P34" s="30">
        <f t="shared" si="1"/>
        <v>39.599843382335962</v>
      </c>
    </row>
    <row r="35" spans="2:16" x14ac:dyDescent="0.35">
      <c r="B35" s="18" t="s">
        <v>1482</v>
      </c>
      <c r="C35" s="13" t="s">
        <v>1482</v>
      </c>
      <c r="D35" s="13" t="s">
        <v>1484</v>
      </c>
      <c r="E35" s="13" t="s">
        <v>1485</v>
      </c>
      <c r="F35" s="13">
        <v>10.026239036577845</v>
      </c>
      <c r="G35" s="13">
        <v>12.079148715179358</v>
      </c>
      <c r="H35" s="13">
        <v>0.45105005951086125</v>
      </c>
      <c r="I35" s="13">
        <v>8.4408403980833029</v>
      </c>
      <c r="J35" s="13">
        <v>10.921910039936613</v>
      </c>
      <c r="K35" s="13">
        <v>4.4139025454444685</v>
      </c>
      <c r="L35" s="13">
        <v>7.5914139425295959</v>
      </c>
      <c r="M35" s="13">
        <v>2.0886215399623818</v>
      </c>
      <c r="N35" s="13">
        <v>4.8931655162378496</v>
      </c>
      <c r="O35" s="13">
        <f t="shared" si="0"/>
        <v>6.7673657548291404</v>
      </c>
      <c r="P35" s="30">
        <f t="shared" si="1"/>
        <v>9.0154503096082941</v>
      </c>
    </row>
    <row r="36" spans="2:16" x14ac:dyDescent="0.35">
      <c r="B36" s="18" t="s">
        <v>1482</v>
      </c>
      <c r="C36" s="13" t="s">
        <v>1482</v>
      </c>
      <c r="D36" s="13" t="s">
        <v>1486</v>
      </c>
      <c r="E36" s="13" t="s">
        <v>1487</v>
      </c>
      <c r="F36" s="13">
        <v>4.5881725713210466</v>
      </c>
      <c r="G36" s="13">
        <v>5.3354723836008402</v>
      </c>
      <c r="H36" s="13">
        <v>0.55972853705443226</v>
      </c>
      <c r="I36" s="13">
        <v>3.7886367226581017</v>
      </c>
      <c r="J36" s="13">
        <v>5.0390279052376536</v>
      </c>
      <c r="K36" s="13">
        <v>0.7701937693405938</v>
      </c>
      <c r="L36" s="13">
        <v>3.8061819051818073</v>
      </c>
      <c r="M36" s="13">
        <v>0.9557886763098189</v>
      </c>
      <c r="N36" s="13">
        <v>2.5787019377695732</v>
      </c>
      <c r="O36" s="13">
        <f t="shared" si="0"/>
        <v>3.0468782676082071</v>
      </c>
      <c r="P36" s="30">
        <f t="shared" si="1"/>
        <v>4.0589910771806643</v>
      </c>
    </row>
    <row r="37" spans="2:16" x14ac:dyDescent="0.35">
      <c r="B37" s="18" t="s">
        <v>1482</v>
      </c>
      <c r="C37" s="13" t="s">
        <v>1482</v>
      </c>
      <c r="D37" s="13" t="s">
        <v>1488</v>
      </c>
      <c r="E37" s="13" t="s">
        <v>1489</v>
      </c>
      <c r="F37" s="13">
        <v>7.1629433717684696</v>
      </c>
      <c r="G37" s="13">
        <v>8.1733263799675839</v>
      </c>
      <c r="H37" s="13">
        <v>0.39193242341599899</v>
      </c>
      <c r="I37" s="13">
        <v>5.3446369332841872</v>
      </c>
      <c r="J37" s="13">
        <v>6.3579724228023435</v>
      </c>
      <c r="K37" s="13">
        <v>4.822084287726204</v>
      </c>
      <c r="L37" s="13">
        <v>2.499108494283</v>
      </c>
      <c r="M37" s="13">
        <v>0.59083050751766619</v>
      </c>
      <c r="N37" s="13">
        <v>1.6779549017212194</v>
      </c>
      <c r="O37" s="13">
        <f t="shared" si="0"/>
        <v>4.1134210802762965</v>
      </c>
      <c r="P37" s="30">
        <f t="shared" si="1"/>
        <v>5.4798468087979026</v>
      </c>
    </row>
    <row r="38" spans="2:16" x14ac:dyDescent="0.35">
      <c r="B38" s="18" t="s">
        <v>1482</v>
      </c>
      <c r="C38" s="13" t="s">
        <v>1482</v>
      </c>
      <c r="D38" s="13" t="s">
        <v>1490</v>
      </c>
      <c r="E38" s="13" t="s">
        <v>1491</v>
      </c>
      <c r="F38" s="13">
        <v>0.63872714538098874</v>
      </c>
      <c r="G38" s="13">
        <v>0.46027110726262049</v>
      </c>
      <c r="H38" s="13">
        <v>8.6358250009129015E-2</v>
      </c>
      <c r="I38" s="13">
        <v>0.48180717181822968</v>
      </c>
      <c r="J38" s="13">
        <v>0.45087063168505237</v>
      </c>
      <c r="K38" s="13">
        <v>0.7779734373573951</v>
      </c>
      <c r="L38" s="13">
        <v>1.112161129689599</v>
      </c>
      <c r="M38" s="13">
        <v>0.36325746024560707</v>
      </c>
      <c r="N38" s="13">
        <v>0.94469223936135571</v>
      </c>
      <c r="O38" s="13">
        <f t="shared" si="0"/>
        <v>0.59067984142333074</v>
      </c>
      <c r="P38" s="30">
        <f t="shared" si="1"/>
        <v>0.7868264998360387</v>
      </c>
    </row>
    <row r="39" spans="2:16" x14ac:dyDescent="0.35">
      <c r="B39" s="18" t="s">
        <v>1482</v>
      </c>
      <c r="C39" s="13" t="s">
        <v>1482</v>
      </c>
      <c r="D39" s="13" t="s">
        <v>4007</v>
      </c>
      <c r="E39" s="13" t="s">
        <v>1493</v>
      </c>
      <c r="F39" s="13">
        <v>21.251528868167135</v>
      </c>
      <c r="G39" s="13">
        <v>21.890186821057934</v>
      </c>
      <c r="H39" s="13">
        <v>0.62626984204676694</v>
      </c>
      <c r="I39" s="13">
        <v>21.152124690642935</v>
      </c>
      <c r="J39" s="13">
        <v>21.479361212678981</v>
      </c>
      <c r="K39" s="13">
        <v>6.485948508816672</v>
      </c>
      <c r="L39" s="13">
        <v>11.952126866118775</v>
      </c>
      <c r="M39" s="13">
        <v>3.3668773240901158</v>
      </c>
      <c r="N39" s="13">
        <v>8.6501239118619964</v>
      </c>
      <c r="O39" s="13">
        <f t="shared" si="0"/>
        <v>12.983838671720147</v>
      </c>
      <c r="P39" s="30">
        <f t="shared" si="1"/>
        <v>17.297078641350367</v>
      </c>
    </row>
    <row r="40" spans="2:16" x14ac:dyDescent="0.35">
      <c r="B40" s="18" t="s">
        <v>1482</v>
      </c>
      <c r="C40" s="13" t="s">
        <v>1482</v>
      </c>
      <c r="D40" s="13" t="s">
        <v>1494</v>
      </c>
      <c r="E40" s="13" t="s">
        <v>1495</v>
      </c>
      <c r="F40" s="13">
        <v>1.2701366311585947</v>
      </c>
      <c r="G40" s="13">
        <v>2.1026767295796884</v>
      </c>
      <c r="H40" s="13">
        <v>2.6229239306586629E-2</v>
      </c>
      <c r="I40" s="13">
        <v>1.4296245590016323</v>
      </c>
      <c r="J40" s="13">
        <v>2.3143680126255477</v>
      </c>
      <c r="K40" s="13">
        <v>0.27308731612986231</v>
      </c>
      <c r="L40" s="13">
        <v>-2.3553105848897319E-3</v>
      </c>
      <c r="M40" s="13">
        <v>0</v>
      </c>
      <c r="N40" s="13">
        <v>-1.0532589289620603E-3</v>
      </c>
      <c r="O40" s="13">
        <f t="shared" si="0"/>
        <v>0.82363487980978456</v>
      </c>
      <c r="P40" s="30">
        <f t="shared" si="1"/>
        <v>1.097170817540905</v>
      </c>
    </row>
    <row r="41" spans="2:16" x14ac:dyDescent="0.35">
      <c r="B41" s="18" t="s">
        <v>1496</v>
      </c>
      <c r="C41" s="13" t="s">
        <v>1496</v>
      </c>
      <c r="D41" s="13" t="s">
        <v>1496</v>
      </c>
      <c r="E41" s="13" t="s">
        <v>1497</v>
      </c>
      <c r="F41" s="13">
        <v>19.466019924941719</v>
      </c>
      <c r="G41" s="13">
        <v>13.512687297044215</v>
      </c>
      <c r="H41" s="13">
        <v>5.3988140372061402</v>
      </c>
      <c r="I41" s="13">
        <v>21.088936864830711</v>
      </c>
      <c r="J41" s="13">
        <v>14.268702116426319</v>
      </c>
      <c r="K41" s="13">
        <v>50.831509417903931</v>
      </c>
      <c r="L41" s="13">
        <v>37.582286080982193</v>
      </c>
      <c r="M41" s="13">
        <v>32.177984850759742</v>
      </c>
      <c r="N41" s="13">
        <v>28.610239426819735</v>
      </c>
      <c r="O41" s="13">
        <f t="shared" si="0"/>
        <v>24.77079777965719</v>
      </c>
      <c r="P41" s="30">
        <f t="shared" si="1"/>
        <v>32.999747308681457</v>
      </c>
    </row>
    <row r="42" spans="2:16" x14ac:dyDescent="0.35">
      <c r="B42" s="18" t="s">
        <v>1496</v>
      </c>
      <c r="C42" s="13" t="s">
        <v>1496</v>
      </c>
      <c r="D42" s="13" t="s">
        <v>1502</v>
      </c>
      <c r="E42" s="13" t="s">
        <v>1503</v>
      </c>
      <c r="F42" s="13">
        <v>6.151015586614955</v>
      </c>
      <c r="G42" s="13">
        <v>2.9747499502329124</v>
      </c>
      <c r="H42" s="13">
        <v>0.25715918440773672</v>
      </c>
      <c r="I42" s="13">
        <v>7.0243799694592175</v>
      </c>
      <c r="J42" s="13">
        <v>3.1723474991445815</v>
      </c>
      <c r="K42" s="13">
        <v>1.8601714428081795</v>
      </c>
      <c r="L42" s="13">
        <v>8.9441473217845981</v>
      </c>
      <c r="M42" s="13">
        <v>20.099969865237082</v>
      </c>
      <c r="N42" s="13">
        <v>6.4494771136557132</v>
      </c>
      <c r="O42" s="13">
        <f t="shared" si="0"/>
        <v>6.3259353259272189</v>
      </c>
      <c r="P42" s="30">
        <f t="shared" si="1"/>
        <v>8.4273736308610907</v>
      </c>
    </row>
    <row r="43" spans="2:16" x14ac:dyDescent="0.35">
      <c r="B43" s="18" t="s">
        <v>1496</v>
      </c>
      <c r="C43" s="13" t="s">
        <v>1496</v>
      </c>
      <c r="D43" s="13" t="s">
        <v>1504</v>
      </c>
      <c r="E43" s="13" t="s">
        <v>1505</v>
      </c>
      <c r="F43" s="13">
        <v>11.117615697425229</v>
      </c>
      <c r="G43" s="13">
        <v>5.8679689506186863</v>
      </c>
      <c r="H43" s="13">
        <v>0.58066281875628312</v>
      </c>
      <c r="I43" s="13">
        <v>11.87141277447212</v>
      </c>
      <c r="J43" s="13">
        <v>5.9664096518425866</v>
      </c>
      <c r="K43" s="13">
        <v>7.3298089128001536</v>
      </c>
      <c r="L43" s="13">
        <v>3.7506461608644068</v>
      </c>
      <c r="M43" s="13">
        <v>1.1123181529559261</v>
      </c>
      <c r="N43" s="13">
        <v>2.3155168373972383</v>
      </c>
      <c r="O43" s="13">
        <f t="shared" si="0"/>
        <v>5.5458177730147371</v>
      </c>
      <c r="P43" s="30">
        <f t="shared" si="1"/>
        <v>7.3880956166780223</v>
      </c>
    </row>
    <row r="44" spans="2:16" x14ac:dyDescent="0.35">
      <c r="B44" s="18" t="s">
        <v>1496</v>
      </c>
      <c r="C44" s="13" t="s">
        <v>1496</v>
      </c>
      <c r="D44" s="13" t="s">
        <v>1506</v>
      </c>
      <c r="E44" s="13" t="s">
        <v>1507</v>
      </c>
      <c r="F44" s="13">
        <v>10.393167396690327</v>
      </c>
      <c r="G44" s="13">
        <v>5.5018985866424046</v>
      </c>
      <c r="H44" s="13">
        <v>0.47810836156973685</v>
      </c>
      <c r="I44" s="13">
        <v>10.863040387551997</v>
      </c>
      <c r="J44" s="13">
        <v>5.4720035807074279</v>
      </c>
      <c r="K44" s="13">
        <v>3.5787879640864939</v>
      </c>
      <c r="L44" s="13">
        <v>0.55143192553251708</v>
      </c>
      <c r="M44" s="13">
        <v>0.10437592709577062</v>
      </c>
      <c r="N44" s="13">
        <v>0.3538139802136398</v>
      </c>
      <c r="O44" s="13">
        <f t="shared" si="0"/>
        <v>4.1440697900100361</v>
      </c>
      <c r="P44" s="30">
        <f t="shared" si="1"/>
        <v>5.5206772324570501</v>
      </c>
    </row>
    <row r="45" spans="2:16" x14ac:dyDescent="0.35">
      <c r="B45" s="18" t="s">
        <v>1496</v>
      </c>
      <c r="C45" s="13" t="s">
        <v>1496</v>
      </c>
      <c r="D45" s="13" t="s">
        <v>1510</v>
      </c>
      <c r="E45" s="13" t="s">
        <v>1511</v>
      </c>
      <c r="F45" s="13">
        <v>13.924460845294224</v>
      </c>
      <c r="G45" s="13">
        <v>8.6710713488254854</v>
      </c>
      <c r="H45" s="13">
        <v>1.5336970589589705</v>
      </c>
      <c r="I45" s="13">
        <v>14.738560370701911</v>
      </c>
      <c r="J45" s="13">
        <v>8.3481550131632609</v>
      </c>
      <c r="K45" s="13">
        <v>18.868955712547717</v>
      </c>
      <c r="L45" s="13">
        <v>18.459643405977445</v>
      </c>
      <c r="M45" s="13">
        <v>6.6816912944793332</v>
      </c>
      <c r="N45" s="13">
        <v>12.793223234827156</v>
      </c>
      <c r="O45" s="13">
        <f t="shared" si="0"/>
        <v>11.557717587197278</v>
      </c>
      <c r="P45" s="30">
        <f t="shared" si="1"/>
        <v>15.397190242257002</v>
      </c>
    </row>
    <row r="46" spans="2:16" x14ac:dyDescent="0.35">
      <c r="B46" s="18" t="s">
        <v>1937</v>
      </c>
      <c r="C46" s="13" t="s">
        <v>1937</v>
      </c>
      <c r="D46" s="13" t="s">
        <v>4008</v>
      </c>
      <c r="E46" s="13" t="s">
        <v>1939</v>
      </c>
      <c r="F46" s="13">
        <v>13.755109294473074</v>
      </c>
      <c r="G46" s="13">
        <v>9.5937957704024193</v>
      </c>
      <c r="H46" s="13">
        <v>0.53625590188162142</v>
      </c>
      <c r="I46" s="13">
        <v>11.018377126007056</v>
      </c>
      <c r="J46" s="13">
        <v>9.4265047389206789</v>
      </c>
      <c r="K46" s="13">
        <v>4.3707122493102508</v>
      </c>
      <c r="L46" s="13">
        <v>27.928859703239127</v>
      </c>
      <c r="M46" s="13">
        <v>22.272316975078571</v>
      </c>
      <c r="N46" s="13">
        <v>24.191267284384125</v>
      </c>
      <c r="O46" s="13">
        <f t="shared" si="0"/>
        <v>13.677022115966324</v>
      </c>
      <c r="P46" s="30">
        <f t="shared" si="1"/>
        <v>18.220542433071468</v>
      </c>
    </row>
    <row r="47" spans="2:16" x14ac:dyDescent="0.35">
      <c r="B47" s="18" t="s">
        <v>1937</v>
      </c>
      <c r="C47" s="13" t="s">
        <v>1937</v>
      </c>
      <c r="D47" s="13" t="s">
        <v>4009</v>
      </c>
      <c r="E47" s="13" t="s">
        <v>1941</v>
      </c>
      <c r="F47" s="13">
        <v>8.2909083306327673</v>
      </c>
      <c r="G47" s="13">
        <v>4.0901650813793982</v>
      </c>
      <c r="H47" s="13">
        <v>0.21040676222104743</v>
      </c>
      <c r="I47" s="13">
        <v>6.2240008425043447</v>
      </c>
      <c r="J47" s="13">
        <v>3.4338004638822341</v>
      </c>
      <c r="K47" s="13">
        <v>1.552885173228137</v>
      </c>
      <c r="L47" s="13">
        <v>4.3067060650900411</v>
      </c>
      <c r="M47" s="13">
        <v>0.91208220209896396</v>
      </c>
      <c r="N47" s="13">
        <v>3.0203901206256942</v>
      </c>
      <c r="O47" s="13">
        <f t="shared" si="0"/>
        <v>3.5601494490736245</v>
      </c>
      <c r="P47" s="30">
        <f t="shared" si="1"/>
        <v>4.7427745047157437</v>
      </c>
    </row>
    <row r="48" spans="2:16" x14ac:dyDescent="0.35">
      <c r="B48" s="18" t="s">
        <v>1937</v>
      </c>
      <c r="C48" s="13" t="s">
        <v>1937</v>
      </c>
      <c r="D48" s="13" t="s">
        <v>1958</v>
      </c>
      <c r="E48" s="13" t="s">
        <v>1959</v>
      </c>
      <c r="F48" s="13">
        <v>3.4737975517201729</v>
      </c>
      <c r="G48" s="13">
        <v>1.8407737276744132</v>
      </c>
      <c r="H48" s="13">
        <v>4.6198272924956686E-2</v>
      </c>
      <c r="I48" s="13">
        <v>2.9329682481175294</v>
      </c>
      <c r="J48" s="13">
        <v>1.9955686743366194</v>
      </c>
      <c r="K48" s="13">
        <v>0.29350131364511967</v>
      </c>
      <c r="L48" s="13">
        <v>0.56816702705673361</v>
      </c>
      <c r="M48" s="13">
        <v>0.10850137204128182</v>
      </c>
      <c r="N48" s="13">
        <v>0.32338289915839746</v>
      </c>
      <c r="O48" s="13">
        <f t="shared" si="0"/>
        <v>1.2869843429639136</v>
      </c>
      <c r="P48" s="30">
        <f t="shared" si="1"/>
        <v>1.7144481857295895</v>
      </c>
    </row>
    <row r="49" spans="2:16" x14ac:dyDescent="0.35">
      <c r="B49" s="18" t="s">
        <v>2111</v>
      </c>
      <c r="C49" s="13" t="s">
        <v>2111</v>
      </c>
      <c r="D49" s="13" t="s">
        <v>2111</v>
      </c>
      <c r="E49" s="13" t="s">
        <v>2112</v>
      </c>
      <c r="F49" s="13">
        <v>20.637890841426316</v>
      </c>
      <c r="G49" s="13">
        <v>27.405985335438622</v>
      </c>
      <c r="H49" s="13">
        <v>1.8906413705614109</v>
      </c>
      <c r="I49" s="13">
        <v>22.078879469222262</v>
      </c>
      <c r="J49" s="13">
        <v>29.346746361309155</v>
      </c>
      <c r="K49" s="13">
        <v>21.137174856957028</v>
      </c>
      <c r="L49" s="13">
        <v>43.876626352289179</v>
      </c>
      <c r="M49" s="13">
        <v>38.619843653382461</v>
      </c>
      <c r="N49" s="13">
        <v>45.269522478327985</v>
      </c>
      <c r="O49" s="13">
        <f t="shared" si="0"/>
        <v>27.807034524323822</v>
      </c>
      <c r="P49" s="30">
        <f t="shared" si="1"/>
        <v>37.044642956531085</v>
      </c>
    </row>
    <row r="50" spans="2:16" x14ac:dyDescent="0.35">
      <c r="B50" s="18" t="s">
        <v>2111</v>
      </c>
      <c r="C50" s="13" t="s">
        <v>2111</v>
      </c>
      <c r="D50" s="13" t="s">
        <v>2113</v>
      </c>
      <c r="E50" s="13" t="s">
        <v>2114</v>
      </c>
      <c r="F50" s="13">
        <v>2.6364482171045065</v>
      </c>
      <c r="G50" s="13">
        <v>2.3182854013264111</v>
      </c>
      <c r="H50" s="13">
        <v>0.16898153185774362</v>
      </c>
      <c r="I50" s="13">
        <v>3.0409141172134166</v>
      </c>
      <c r="J50" s="13">
        <v>2.6551332713168856</v>
      </c>
      <c r="K50" s="13">
        <v>1.5022191230955158</v>
      </c>
      <c r="L50" s="13">
        <v>1.9598663340582456</v>
      </c>
      <c r="M50" s="13">
        <v>0.44507000505053468</v>
      </c>
      <c r="N50" s="13">
        <v>1.4983661523414271</v>
      </c>
      <c r="O50" s="13">
        <f t="shared" si="0"/>
        <v>1.8028093503738538</v>
      </c>
      <c r="P50" s="30">
        <f t="shared" si="1"/>
        <v>2.4016338378989999</v>
      </c>
    </row>
    <row r="51" spans="2:16" x14ac:dyDescent="0.35">
      <c r="B51" s="18" t="s">
        <v>2111</v>
      </c>
      <c r="C51" s="13" t="s">
        <v>2111</v>
      </c>
      <c r="D51" s="13" t="s">
        <v>2115</v>
      </c>
      <c r="E51" s="13" t="s">
        <v>2116</v>
      </c>
      <c r="F51" s="13">
        <v>0.87602839251926112</v>
      </c>
      <c r="G51" s="13">
        <v>1.3162386450135108</v>
      </c>
      <c r="H51" s="13">
        <v>3.6040723259299669E-2</v>
      </c>
      <c r="I51" s="13">
        <v>1.0820915170343848</v>
      </c>
      <c r="J51" s="13">
        <v>1.744572000078696</v>
      </c>
      <c r="K51" s="13">
        <v>0.48985365796818298</v>
      </c>
      <c r="L51" s="13">
        <v>3.6404010969962354E-2</v>
      </c>
      <c r="M51" s="13">
        <v>5.9543624313944839E-3</v>
      </c>
      <c r="N51" s="13">
        <v>2.0141551518459092E-2</v>
      </c>
      <c r="O51" s="13">
        <f t="shared" si="0"/>
        <v>0.62303609564368345</v>
      </c>
      <c r="P51" s="30">
        <f t="shared" si="1"/>
        <v>0.82993172610224364</v>
      </c>
    </row>
    <row r="52" spans="2:16" x14ac:dyDescent="0.35">
      <c r="B52" s="18" t="s">
        <v>2111</v>
      </c>
      <c r="C52" s="13" t="s">
        <v>2111</v>
      </c>
      <c r="D52" s="13" t="s">
        <v>2121</v>
      </c>
      <c r="E52" s="13" t="s">
        <v>2122</v>
      </c>
      <c r="F52" s="13">
        <v>3.741414817215317</v>
      </c>
      <c r="G52" s="13">
        <v>3.4916138204180753</v>
      </c>
      <c r="H52" s="13">
        <v>0.10733500881489816</v>
      </c>
      <c r="I52" s="13">
        <v>4.1967247643620667</v>
      </c>
      <c r="J52" s="13">
        <v>3.5796892203430164</v>
      </c>
      <c r="K52" s="13">
        <v>0.87643096223464867</v>
      </c>
      <c r="L52" s="13">
        <v>3.6684582178232548</v>
      </c>
      <c r="M52" s="13">
        <v>0.91045014472134778</v>
      </c>
      <c r="N52" s="13">
        <v>2.9264394241622784</v>
      </c>
      <c r="O52" s="13">
        <f t="shared" si="0"/>
        <v>2.6109507088994337</v>
      </c>
      <c r="P52" s="30">
        <f t="shared" si="1"/>
        <v>3.4782453602677252</v>
      </c>
    </row>
    <row r="53" spans="2:16" x14ac:dyDescent="0.35">
      <c r="B53" s="18" t="s">
        <v>2111</v>
      </c>
      <c r="C53" s="13" t="s">
        <v>2111</v>
      </c>
      <c r="D53" s="13" t="s">
        <v>2045</v>
      </c>
      <c r="E53" s="13" t="s">
        <v>2124</v>
      </c>
      <c r="F53" s="13">
        <v>0.17771459036786919</v>
      </c>
      <c r="G53" s="13">
        <v>0.30307039230178073</v>
      </c>
      <c r="H53" s="13">
        <v>3.0338111690274375E-4</v>
      </c>
      <c r="I53" s="13">
        <v>0.21589173819177507</v>
      </c>
      <c r="J53" s="13">
        <v>0.35308043834739572</v>
      </c>
      <c r="K53" s="13">
        <v>5.4147126421954302E-4</v>
      </c>
      <c r="L53" s="13">
        <v>2.0733757757545983</v>
      </c>
      <c r="M53" s="13">
        <v>0.48690130133217846</v>
      </c>
      <c r="N53" s="13">
        <v>1.528683805512012</v>
      </c>
      <c r="O53" s="13">
        <f t="shared" si="0"/>
        <v>0.57106254379874799</v>
      </c>
      <c r="P53" s="30">
        <f t="shared" si="1"/>
        <v>0.76069219989265346</v>
      </c>
    </row>
    <row r="54" spans="2:16" x14ac:dyDescent="0.35">
      <c r="B54" s="18" t="s">
        <v>2111</v>
      </c>
      <c r="C54" s="13" t="s">
        <v>2111</v>
      </c>
      <c r="D54" s="13" t="s">
        <v>2125</v>
      </c>
      <c r="E54" s="13" t="s">
        <v>2126</v>
      </c>
      <c r="F54" s="13">
        <v>1.0056555054934717</v>
      </c>
      <c r="G54" s="13">
        <v>1.0398712510681938</v>
      </c>
      <c r="H54" s="13">
        <v>0.15453698158006762</v>
      </c>
      <c r="I54" s="13">
        <v>1.2321626033384234</v>
      </c>
      <c r="J54" s="13">
        <v>1.3343174284549342</v>
      </c>
      <c r="K54" s="13">
        <v>1.1792155883631403</v>
      </c>
      <c r="L54" s="13">
        <v>1.6904931813758568</v>
      </c>
      <c r="M54" s="13">
        <v>0.3581467744063202</v>
      </c>
      <c r="N54" s="13">
        <v>1.3902207663123072</v>
      </c>
      <c r="O54" s="13">
        <f t="shared" si="0"/>
        <v>1.0427355644880794</v>
      </c>
      <c r="P54" s="30">
        <f t="shared" si="1"/>
        <v>1.3890582691544364</v>
      </c>
    </row>
    <row r="55" spans="2:16" x14ac:dyDescent="0.35">
      <c r="B55" s="18" t="s">
        <v>2111</v>
      </c>
      <c r="C55" s="13" t="s">
        <v>2111</v>
      </c>
      <c r="D55" s="13" t="s">
        <v>2129</v>
      </c>
      <c r="E55" s="13" t="s">
        <v>2130</v>
      </c>
      <c r="F55" s="13">
        <v>0.24461890674165523</v>
      </c>
      <c r="G55" s="13">
        <v>0.1205058701715252</v>
      </c>
      <c r="H55" s="13">
        <v>2.7070981829280045E-2</v>
      </c>
      <c r="I55" s="13">
        <v>0.26064978147543577</v>
      </c>
      <c r="J55" s="13">
        <v>0.10650853591712151</v>
      </c>
      <c r="K55" s="13">
        <v>0.36695029807395885</v>
      </c>
      <c r="L55" s="13">
        <v>-2.3553105848897319E-3</v>
      </c>
      <c r="M55" s="13">
        <v>0</v>
      </c>
      <c r="N55" s="13">
        <v>-1.0532589289620603E-3</v>
      </c>
      <c r="O55" s="13">
        <f t="shared" si="0"/>
        <v>0.12476620052168053</v>
      </c>
      <c r="P55" s="30">
        <f t="shared" si="1"/>
        <v>0.16613311626927804</v>
      </c>
    </row>
    <row r="56" spans="2:16" x14ac:dyDescent="0.35">
      <c r="B56" s="18" t="s">
        <v>2111</v>
      </c>
      <c r="C56" s="13" t="s">
        <v>2111</v>
      </c>
      <c r="D56" s="13" t="s">
        <v>1506</v>
      </c>
      <c r="E56" s="13" t="s">
        <v>2132</v>
      </c>
      <c r="F56" s="13">
        <v>1.0621060224338534</v>
      </c>
      <c r="G56" s="13">
        <v>1.509222626676308</v>
      </c>
      <c r="H56" s="13">
        <v>2.38560665554824E-3</v>
      </c>
      <c r="I56" s="13">
        <v>1.3190458638302354</v>
      </c>
      <c r="J56" s="13">
        <v>1.7476975081719617</v>
      </c>
      <c r="K56" s="13">
        <v>2.7999903756137052E-2</v>
      </c>
      <c r="L56" s="13">
        <v>1.4984733868498463</v>
      </c>
      <c r="M56" s="13">
        <v>0.25784679725424325</v>
      </c>
      <c r="N56" s="13">
        <v>1.041057329369623</v>
      </c>
      <c r="O56" s="13">
        <f t="shared" si="0"/>
        <v>0.94064833833308392</v>
      </c>
      <c r="P56" s="30">
        <f t="shared" si="1"/>
        <v>1.2530569584856532</v>
      </c>
    </row>
    <row r="57" spans="2:16" x14ac:dyDescent="0.35">
      <c r="B57" s="18" t="s">
        <v>2111</v>
      </c>
      <c r="C57" s="13" t="s">
        <v>2111</v>
      </c>
      <c r="D57" s="13" t="s">
        <v>2133</v>
      </c>
      <c r="E57" s="13" t="s">
        <v>2134</v>
      </c>
      <c r="F57" s="13">
        <v>2.057307728493921</v>
      </c>
      <c r="G57" s="13">
        <v>2.0735340123470056</v>
      </c>
      <c r="H57" s="13">
        <v>0.35803061381271351</v>
      </c>
      <c r="I57" s="13">
        <v>2.4116686851666578</v>
      </c>
      <c r="J57" s="13">
        <v>2.2302873990034637</v>
      </c>
      <c r="K57" s="13">
        <v>2.2986437246353724</v>
      </c>
      <c r="L57" s="13">
        <v>0.97009871230624989</v>
      </c>
      <c r="M57" s="13">
        <v>0.18020157526983924</v>
      </c>
      <c r="N57" s="13">
        <v>0.79786794466404443</v>
      </c>
      <c r="O57" s="13">
        <f t="shared" si="0"/>
        <v>1.4864044884110295</v>
      </c>
      <c r="P57" s="30">
        <f t="shared" si="1"/>
        <v>1.9801170864928412</v>
      </c>
    </row>
    <row r="58" spans="2:16" x14ac:dyDescent="0.35">
      <c r="B58" s="18" t="s">
        <v>2111</v>
      </c>
      <c r="C58" s="13" t="s">
        <v>2139</v>
      </c>
      <c r="D58" s="13" t="s">
        <v>2140</v>
      </c>
      <c r="E58" s="13" t="s">
        <v>2141</v>
      </c>
      <c r="F58" s="13">
        <v>7.7995797572627774</v>
      </c>
      <c r="G58" s="13">
        <v>8.2867179240160773</v>
      </c>
      <c r="H58" s="13">
        <v>0.25638490602038239</v>
      </c>
      <c r="I58" s="13">
        <v>8.5145595281975677</v>
      </c>
      <c r="J58" s="13">
        <v>8.753486124509994</v>
      </c>
      <c r="K58" s="13">
        <v>2.9117696861533018</v>
      </c>
      <c r="L58" s="13">
        <v>14.833870027350526</v>
      </c>
      <c r="M58" s="13">
        <v>4.3259595045694352</v>
      </c>
      <c r="N58" s="13">
        <v>13.178845634695453</v>
      </c>
      <c r="O58" s="13">
        <f t="shared" si="0"/>
        <v>7.6512414547528351</v>
      </c>
      <c r="P58" s="30">
        <f t="shared" si="1"/>
        <v>10.192955646812802</v>
      </c>
    </row>
    <row r="59" spans="2:16" x14ac:dyDescent="0.35">
      <c r="B59" s="18" t="s">
        <v>2111</v>
      </c>
      <c r="C59" s="13" t="s">
        <v>2139</v>
      </c>
      <c r="D59" s="13" t="s">
        <v>2150</v>
      </c>
      <c r="E59" s="13" t="s">
        <v>2151</v>
      </c>
      <c r="F59" s="13">
        <v>1.3809469051526777</v>
      </c>
      <c r="G59" s="13">
        <v>1.5387976914052179</v>
      </c>
      <c r="H59" s="13">
        <v>5.7013833914151289E-2</v>
      </c>
      <c r="I59" s="13">
        <v>1.5086093412669159</v>
      </c>
      <c r="J59" s="13">
        <v>1.5809623930956844</v>
      </c>
      <c r="K59" s="13">
        <v>0.64625258952328224</v>
      </c>
      <c r="L59" s="13">
        <v>3.7570922740441057</v>
      </c>
      <c r="M59" s="13">
        <v>6.9314264012076494</v>
      </c>
      <c r="N59" s="13">
        <v>3.1252785059667927</v>
      </c>
      <c r="O59" s="13">
        <f t="shared" si="0"/>
        <v>2.2807088817307197</v>
      </c>
      <c r="P59" s="30">
        <f t="shared" si="1"/>
        <v>3.0382949078535457</v>
      </c>
    </row>
    <row r="60" spans="2:16" x14ac:dyDescent="0.35">
      <c r="B60" s="18" t="s">
        <v>2111</v>
      </c>
      <c r="C60" s="13" t="s">
        <v>2139</v>
      </c>
      <c r="D60" s="13" t="s">
        <v>2158</v>
      </c>
      <c r="E60" s="13" t="s">
        <v>2159</v>
      </c>
      <c r="F60" s="13">
        <v>1.3443586071357636</v>
      </c>
      <c r="G60" s="13">
        <v>1.4292179231307682</v>
      </c>
      <c r="H60" s="13">
        <v>1.9617970518670584E-2</v>
      </c>
      <c r="I60" s="13">
        <v>1.3953978200200094</v>
      </c>
      <c r="J60" s="13">
        <v>1.3606686360010329</v>
      </c>
      <c r="K60" s="13">
        <v>0.21559315409917834</v>
      </c>
      <c r="L60" s="13">
        <v>4.1651808238050002E-2</v>
      </c>
      <c r="M60" s="13">
        <v>6.1686920572681901E-3</v>
      </c>
      <c r="N60" s="13">
        <v>2.0303591353684022E-2</v>
      </c>
      <c r="O60" s="13">
        <f t="shared" si="0"/>
        <v>0.64810868917271391</v>
      </c>
      <c r="P60" s="30">
        <f t="shared" si="1"/>
        <v>0.86333360908255552</v>
      </c>
    </row>
    <row r="61" spans="2:16" x14ac:dyDescent="0.35">
      <c r="B61" s="18" t="s">
        <v>2199</v>
      </c>
      <c r="C61" s="13" t="s">
        <v>2200</v>
      </c>
      <c r="D61" s="13" t="s">
        <v>2200</v>
      </c>
      <c r="E61" s="13" t="s">
        <v>2201</v>
      </c>
      <c r="F61" s="13">
        <v>22.625158113716431</v>
      </c>
      <c r="G61" s="13">
        <v>14.334431181051672</v>
      </c>
      <c r="H61" s="13">
        <v>0.82431477633815886</v>
      </c>
      <c r="I61" s="13">
        <v>20.728239692485914</v>
      </c>
      <c r="J61" s="13">
        <v>13.542737338953167</v>
      </c>
      <c r="K61" s="13">
        <v>5.735896674223774</v>
      </c>
      <c r="L61" s="13">
        <v>51.076149670483787</v>
      </c>
      <c r="M61" s="13">
        <v>44.23488894032706</v>
      </c>
      <c r="N61" s="13">
        <v>41.113395152610735</v>
      </c>
      <c r="O61" s="13">
        <f t="shared" si="0"/>
        <v>23.801690171132297</v>
      </c>
      <c r="P61" s="30">
        <f t="shared" si="1"/>
        <v>31.708695431746641</v>
      </c>
    </row>
    <row r="62" spans="2:16" x14ac:dyDescent="0.35">
      <c r="B62" s="18" t="s">
        <v>2199</v>
      </c>
      <c r="C62" s="13" t="s">
        <v>2200</v>
      </c>
      <c r="D62" s="13" t="s">
        <v>2208</v>
      </c>
      <c r="E62" s="13" t="s">
        <v>2209</v>
      </c>
      <c r="F62" s="13">
        <v>8.1445551385651118</v>
      </c>
      <c r="G62" s="13">
        <v>2.8459368754599588</v>
      </c>
      <c r="H62" s="13">
        <v>0.12699669973028804</v>
      </c>
      <c r="I62" s="13">
        <v>7.3771786635774843</v>
      </c>
      <c r="J62" s="13">
        <v>2.5985293341852573</v>
      </c>
      <c r="K62" s="13">
        <v>1.4160309654675507</v>
      </c>
      <c r="L62" s="13">
        <v>3.1537608731673514</v>
      </c>
      <c r="M62" s="13">
        <v>0.79233179643663565</v>
      </c>
      <c r="N62" s="13">
        <v>2.1282798077948288</v>
      </c>
      <c r="O62" s="13">
        <f t="shared" si="0"/>
        <v>3.1759555727093849</v>
      </c>
      <c r="P62" s="30">
        <f t="shared" si="1"/>
        <v>4.2309487582004408</v>
      </c>
    </row>
    <row r="63" spans="2:16" x14ac:dyDescent="0.35">
      <c r="B63" s="18" t="s">
        <v>2199</v>
      </c>
      <c r="C63" s="13" t="s">
        <v>2200</v>
      </c>
      <c r="D63" s="13" t="s">
        <v>2218</v>
      </c>
      <c r="E63" s="13" t="s">
        <v>2219</v>
      </c>
      <c r="F63" s="13">
        <v>19.086547005509154</v>
      </c>
      <c r="G63" s="13">
        <v>10.385883440047687</v>
      </c>
      <c r="H63" s="13">
        <v>0.52417472057193515</v>
      </c>
      <c r="I63" s="13">
        <v>16.965931230582907</v>
      </c>
      <c r="J63" s="13">
        <v>9.119187049282333</v>
      </c>
      <c r="K63" s="13">
        <v>3.5233243192966328</v>
      </c>
      <c r="L63" s="13">
        <v>11.883822859156973</v>
      </c>
      <c r="M63" s="13">
        <v>2.9353902738652602</v>
      </c>
      <c r="N63" s="13">
        <v>8.3071828045919496</v>
      </c>
      <c r="O63" s="13">
        <f t="shared" si="0"/>
        <v>9.1923826336560914</v>
      </c>
      <c r="P63" s="30">
        <f t="shared" si="1"/>
        <v>12.24607461331555</v>
      </c>
    </row>
    <row r="64" spans="2:16" x14ac:dyDescent="0.35">
      <c r="B64" s="18" t="s">
        <v>2199</v>
      </c>
      <c r="C64" s="13" t="s">
        <v>2200</v>
      </c>
      <c r="D64" s="13" t="s">
        <v>3513</v>
      </c>
      <c r="E64" s="13" t="s">
        <v>2225</v>
      </c>
      <c r="F64" s="13">
        <v>0.89484523149938844</v>
      </c>
      <c r="G64" s="13">
        <v>0.18484048626364191</v>
      </c>
      <c r="H64" s="13">
        <v>5.5747657612413353E-3</v>
      </c>
      <c r="I64" s="13">
        <v>0.80037912695487334</v>
      </c>
      <c r="J64" s="13">
        <v>0.15104352858714748</v>
      </c>
      <c r="K64" s="13">
        <v>7.5770144333545023E-2</v>
      </c>
      <c r="L64" s="13">
        <v>0.38540318991695671</v>
      </c>
      <c r="M64" s="13">
        <v>7.1449587061466466E-2</v>
      </c>
      <c r="N64" s="13">
        <v>0.26102997056384353</v>
      </c>
      <c r="O64" s="13">
        <f t="shared" si="0"/>
        <v>0.3144817812157894</v>
      </c>
      <c r="P64" s="30">
        <f t="shared" si="1"/>
        <v>0.41887352856644927</v>
      </c>
    </row>
    <row r="65" spans="2:16" x14ac:dyDescent="0.35">
      <c r="B65" s="18" t="s">
        <v>2199</v>
      </c>
      <c r="C65" s="13" t="s">
        <v>2200</v>
      </c>
      <c r="D65" s="13" t="s">
        <v>2228</v>
      </c>
      <c r="E65" s="13" t="s">
        <v>2229</v>
      </c>
      <c r="F65" s="13">
        <v>0.40038051829937593</v>
      </c>
      <c r="G65" s="13">
        <v>0.11958546268054714</v>
      </c>
      <c r="H65" s="13">
        <v>1.1740264233050001E-2</v>
      </c>
      <c r="I65" s="13">
        <v>0.39755673740192721</v>
      </c>
      <c r="J65" s="13">
        <v>0.14246509236816896</v>
      </c>
      <c r="K65" s="13">
        <v>0.1595694581487769</v>
      </c>
      <c r="L65" s="13">
        <v>0.4831692398090463</v>
      </c>
      <c r="M65" s="13">
        <v>9.6023651433374435E-2</v>
      </c>
      <c r="N65" s="13">
        <v>0.33577894655310481</v>
      </c>
      <c r="O65" s="13">
        <f t="shared" si="0"/>
        <v>0.23847437454748571</v>
      </c>
      <c r="P65" s="30">
        <f t="shared" si="1"/>
        <v>0.31761593428398682</v>
      </c>
    </row>
    <row r="66" spans="2:16" x14ac:dyDescent="0.35">
      <c r="B66" s="18" t="s">
        <v>2199</v>
      </c>
      <c r="C66" s="13" t="s">
        <v>2200</v>
      </c>
      <c r="D66" s="13" t="s">
        <v>2234</v>
      </c>
      <c r="E66" s="13" t="s">
        <v>2235</v>
      </c>
      <c r="F66" s="13">
        <v>1.2816358105353391</v>
      </c>
      <c r="G66" s="13">
        <v>0.52640327116219243</v>
      </c>
      <c r="H66" s="13">
        <v>3.1440890044477504E-2</v>
      </c>
      <c r="I66" s="13">
        <v>1.2137328208098572</v>
      </c>
      <c r="J66" s="13">
        <v>0.37489525988047945</v>
      </c>
      <c r="K66" s="13">
        <v>0.30166452380740988</v>
      </c>
      <c r="L66" s="13">
        <v>0.60965355034145796</v>
      </c>
      <c r="M66" s="13">
        <v>0.12128476069346145</v>
      </c>
      <c r="N66" s="13">
        <v>0.37696947266728259</v>
      </c>
      <c r="O66" s="13">
        <f t="shared" si="0"/>
        <v>0.53752003999355091</v>
      </c>
      <c r="P66" s="30">
        <f t="shared" si="1"/>
        <v>0.71600664370275957</v>
      </c>
    </row>
    <row r="67" spans="2:16" x14ac:dyDescent="0.35">
      <c r="B67" s="18" t="s">
        <v>2199</v>
      </c>
      <c r="C67" s="13" t="s">
        <v>2200</v>
      </c>
      <c r="D67" s="13" t="s">
        <v>2248</v>
      </c>
      <c r="E67" s="13" t="s">
        <v>2249</v>
      </c>
      <c r="F67" s="13">
        <v>1.029699244190301</v>
      </c>
      <c r="G67" s="13">
        <v>0.2051504389820635</v>
      </c>
      <c r="H67" s="13">
        <v>1.3671218347332596E-2</v>
      </c>
      <c r="I67" s="13">
        <v>0.94781738718340258</v>
      </c>
      <c r="J67" s="13">
        <v>0.1233703613859639</v>
      </c>
      <c r="K67" s="13">
        <v>0.18559193008215141</v>
      </c>
      <c r="L67" s="13">
        <v>0.68254421475804561</v>
      </c>
      <c r="M67" s="13">
        <v>0.1305650436097025</v>
      </c>
      <c r="N67" s="13">
        <v>0.46458441157340358</v>
      </c>
      <c r="O67" s="13">
        <f t="shared" si="0"/>
        <v>0.42033269445692961</v>
      </c>
      <c r="P67" s="30">
        <f t="shared" si="1"/>
        <v>0.55988884927293991</v>
      </c>
    </row>
    <row r="68" spans="2:16" x14ac:dyDescent="0.35">
      <c r="B68" s="18" t="s">
        <v>2199</v>
      </c>
      <c r="C68" s="13" t="s">
        <v>2200</v>
      </c>
      <c r="D68" s="13" t="s">
        <v>2250</v>
      </c>
      <c r="E68" s="13" t="s">
        <v>2251</v>
      </c>
      <c r="F68" s="13">
        <v>0.41292507761946079</v>
      </c>
      <c r="G68" s="13">
        <v>0.22632081863172959</v>
      </c>
      <c r="H68" s="13">
        <v>0</v>
      </c>
      <c r="I68" s="13">
        <v>0.39755673740192721</v>
      </c>
      <c r="J68" s="13">
        <v>0.16334533941320362</v>
      </c>
      <c r="K68" s="13">
        <v>0</v>
      </c>
      <c r="L68" s="13">
        <v>3.9007248984840474E-2</v>
      </c>
      <c r="M68" s="13">
        <v>6.0047569796150228E-3</v>
      </c>
      <c r="N68" s="13">
        <v>2.279900481614798E-2</v>
      </c>
      <c r="O68" s="13">
        <f t="shared" ref="O68:O131" si="2">SUMPRODUCT(F68:N68,$F$173:$N$173)</f>
        <v>0.14088433153854718</v>
      </c>
      <c r="P68" s="30">
        <f t="shared" ref="P68:P131" si="3">(O68-MIN($O$3:$O$171))/(MAX($O$3:$O$171)-MIN($O$3:$O$171))*100</f>
        <v>0.18760580219079445</v>
      </c>
    </row>
    <row r="69" spans="2:16" x14ac:dyDescent="0.35">
      <c r="B69" s="18" t="s">
        <v>263</v>
      </c>
      <c r="C69" s="13" t="s">
        <v>2449</v>
      </c>
      <c r="D69" s="13" t="s">
        <v>2449</v>
      </c>
      <c r="E69" s="13" t="s">
        <v>2450</v>
      </c>
      <c r="F69" s="13">
        <v>61.404572491872166</v>
      </c>
      <c r="G69" s="13">
        <v>64.795618189111522</v>
      </c>
      <c r="H69" s="13">
        <v>4.0618325912575175</v>
      </c>
      <c r="I69" s="13">
        <v>60.125849086409353</v>
      </c>
      <c r="J69" s="13">
        <v>61.655501890377437</v>
      </c>
      <c r="K69" s="13">
        <v>29.505627843960031</v>
      </c>
      <c r="L69" s="13">
        <v>81.787829490389299</v>
      </c>
      <c r="M69" s="13">
        <v>49.650571293997629</v>
      </c>
      <c r="N69" s="13">
        <v>75.072666764106629</v>
      </c>
      <c r="O69" s="13">
        <f t="shared" si="2"/>
        <v>54.228896626831279</v>
      </c>
      <c r="P69" s="30">
        <f t="shared" si="3"/>
        <v>72.244030887741232</v>
      </c>
    </row>
    <row r="70" spans="2:16" x14ac:dyDescent="0.35">
      <c r="B70" s="18" t="s">
        <v>263</v>
      </c>
      <c r="C70" s="13" t="s">
        <v>2449</v>
      </c>
      <c r="D70" s="13" t="s">
        <v>2451</v>
      </c>
      <c r="E70" s="13" t="s">
        <v>2452</v>
      </c>
      <c r="F70" s="13">
        <v>10.380622837370241</v>
      </c>
      <c r="G70" s="13">
        <v>8.9011188497855489</v>
      </c>
      <c r="H70" s="13">
        <v>7.0958206609410643E-2</v>
      </c>
      <c r="I70" s="13">
        <v>9.2254225685851186</v>
      </c>
      <c r="J70" s="13">
        <v>8.720926183588535</v>
      </c>
      <c r="K70" s="13">
        <v>0.96420637386262997</v>
      </c>
      <c r="L70" s="13">
        <v>9.1420347321536664</v>
      </c>
      <c r="M70" s="13">
        <v>6.2853059667873374</v>
      </c>
      <c r="N70" s="13">
        <v>6.2234801554674997</v>
      </c>
      <c r="O70" s="13">
        <f t="shared" si="2"/>
        <v>6.6571195415788873</v>
      </c>
      <c r="P70" s="30">
        <f t="shared" si="3"/>
        <v>8.8685795397478202</v>
      </c>
    </row>
    <row r="71" spans="2:16" x14ac:dyDescent="0.35">
      <c r="B71" s="18" t="s">
        <v>263</v>
      </c>
      <c r="C71" s="13" t="s">
        <v>2449</v>
      </c>
      <c r="D71" s="13" t="s">
        <v>2453</v>
      </c>
      <c r="E71" s="13" t="s">
        <v>2454</v>
      </c>
      <c r="F71" s="13">
        <v>3.787411534722295</v>
      </c>
      <c r="G71" s="13">
        <v>3.7141039092950154</v>
      </c>
      <c r="H71" s="13">
        <v>2.3413130825883657E-2</v>
      </c>
      <c r="I71" s="13">
        <v>3.5174556368806278</v>
      </c>
      <c r="J71" s="13">
        <v>3.40414591171354</v>
      </c>
      <c r="K71" s="13">
        <v>0.11312635302288743</v>
      </c>
      <c r="L71" s="13">
        <v>1.9713123170760429</v>
      </c>
      <c r="M71" s="13">
        <v>0.44609183354339632</v>
      </c>
      <c r="N71" s="13">
        <v>1.4180268020369056</v>
      </c>
      <c r="O71" s="13">
        <f t="shared" si="2"/>
        <v>2.0438986032351769</v>
      </c>
      <c r="P71" s="30">
        <f t="shared" si="3"/>
        <v>2.7228146125388761</v>
      </c>
    </row>
    <row r="72" spans="2:16" x14ac:dyDescent="0.35">
      <c r="B72" s="18" t="s">
        <v>263</v>
      </c>
      <c r="C72" s="13" t="s">
        <v>2449</v>
      </c>
      <c r="D72" s="13" t="s">
        <v>2455</v>
      </c>
      <c r="E72" s="13" t="s">
        <v>2456</v>
      </c>
      <c r="F72" s="13">
        <v>5.7694519072957062</v>
      </c>
      <c r="G72" s="13">
        <v>4.1645908860802408</v>
      </c>
      <c r="H72" s="13">
        <v>0.37548787345697232</v>
      </c>
      <c r="I72" s="13">
        <v>6.4530567110736667</v>
      </c>
      <c r="J72" s="13">
        <v>3.8851057379938645</v>
      </c>
      <c r="K72" s="13">
        <v>3.306895069862998</v>
      </c>
      <c r="L72" s="13">
        <v>1.9768080417741192</v>
      </c>
      <c r="M72" s="13">
        <v>0.50755243839709674</v>
      </c>
      <c r="N72" s="13">
        <v>1.3896860348560649</v>
      </c>
      <c r="O72" s="13">
        <f t="shared" si="2"/>
        <v>3.0920705223100811</v>
      </c>
      <c r="P72" s="30">
        <f t="shared" si="3"/>
        <v>4.1191965123072949</v>
      </c>
    </row>
    <row r="73" spans="2:16" x14ac:dyDescent="0.35">
      <c r="B73" s="18" t="s">
        <v>263</v>
      </c>
      <c r="C73" s="13" t="s">
        <v>2449</v>
      </c>
      <c r="D73" s="13" t="s">
        <v>2457</v>
      </c>
      <c r="E73" s="13" t="s">
        <v>2458</v>
      </c>
      <c r="F73" s="13">
        <v>12.106545123825255</v>
      </c>
      <c r="G73" s="13">
        <v>10.814900884892996</v>
      </c>
      <c r="H73" s="13">
        <v>0.11830594703376403</v>
      </c>
      <c r="I73" s="13">
        <v>11.392238428729398</v>
      </c>
      <c r="J73" s="13">
        <v>9.9521606056370988</v>
      </c>
      <c r="K73" s="13">
        <v>1.1986130001225344</v>
      </c>
      <c r="L73" s="13">
        <v>10.084035002394566</v>
      </c>
      <c r="M73" s="13">
        <v>2.7479225044295275</v>
      </c>
      <c r="N73" s="13">
        <v>7.8931548216087251</v>
      </c>
      <c r="O73" s="13">
        <f t="shared" si="2"/>
        <v>7.3675418131859853</v>
      </c>
      <c r="P73" s="30">
        <f t="shared" si="3"/>
        <v>9.8150090168321249</v>
      </c>
    </row>
    <row r="74" spans="2:16" x14ac:dyDescent="0.35">
      <c r="B74" s="18" t="s">
        <v>263</v>
      </c>
      <c r="C74" s="13" t="s">
        <v>2449</v>
      </c>
      <c r="D74" s="13" t="s">
        <v>2459</v>
      </c>
      <c r="E74" s="13" t="s">
        <v>2460</v>
      </c>
      <c r="F74" s="13">
        <v>2.1346658443011113</v>
      </c>
      <c r="G74" s="13">
        <v>1.8123557902632912</v>
      </c>
      <c r="H74" s="13">
        <v>0.15224924451616859</v>
      </c>
      <c r="I74" s="13">
        <v>1.9193302090463902</v>
      </c>
      <c r="J74" s="13">
        <v>1.7444675366628657</v>
      </c>
      <c r="K74" s="13">
        <v>0.71725433617952128</v>
      </c>
      <c r="L74" s="13">
        <v>4.427653329686045</v>
      </c>
      <c r="M74" s="13">
        <v>9.7219781587022318</v>
      </c>
      <c r="N74" s="13">
        <v>3.5517835562623374</v>
      </c>
      <c r="O74" s="13">
        <f t="shared" si="2"/>
        <v>2.9090820006244398</v>
      </c>
      <c r="P74" s="30">
        <f t="shared" si="3"/>
        <v>3.8754179346740294</v>
      </c>
    </row>
    <row r="75" spans="2:16" x14ac:dyDescent="0.35">
      <c r="B75" s="18" t="s">
        <v>263</v>
      </c>
      <c r="C75" s="13" t="s">
        <v>2449</v>
      </c>
      <c r="D75" s="13" t="s">
        <v>2461</v>
      </c>
      <c r="E75" s="13" t="s">
        <v>2462</v>
      </c>
      <c r="F75" s="13">
        <v>3.0629632339873929</v>
      </c>
      <c r="G75" s="13">
        <v>2.6932838498506397</v>
      </c>
      <c r="H75" s="13">
        <v>0.30749962912635798</v>
      </c>
      <c r="I75" s="13">
        <v>3.0435469432889262</v>
      </c>
      <c r="J75" s="13">
        <v>2.3658656785024461</v>
      </c>
      <c r="K75" s="13">
        <v>0.90611898228511734</v>
      </c>
      <c r="L75" s="13">
        <v>2.365351645804262</v>
      </c>
      <c r="M75" s="13">
        <v>1.2836874466225472</v>
      </c>
      <c r="N75" s="13">
        <v>1.9144520412320083</v>
      </c>
      <c r="O75" s="13">
        <f t="shared" si="2"/>
        <v>1.9936410500777439</v>
      </c>
      <c r="P75" s="30">
        <f t="shared" si="3"/>
        <v>2.6558611516813988</v>
      </c>
    </row>
    <row r="76" spans="2:16" x14ac:dyDescent="0.35">
      <c r="B76" s="18" t="s">
        <v>263</v>
      </c>
      <c r="C76" s="13" t="s">
        <v>2449</v>
      </c>
      <c r="D76" s="13" t="s">
        <v>2469</v>
      </c>
      <c r="E76" s="13" t="s">
        <v>2470</v>
      </c>
      <c r="F76" s="13">
        <v>8.4414430424737876</v>
      </c>
      <c r="G76" s="13">
        <v>9.2361895729405852</v>
      </c>
      <c r="H76" s="13">
        <v>0.94997733159638686</v>
      </c>
      <c r="I76" s="13">
        <v>8.2460112684956037</v>
      </c>
      <c r="J76" s="13">
        <v>8.9793696070606117</v>
      </c>
      <c r="K76" s="13">
        <v>8.7730673891910591</v>
      </c>
      <c r="L76" s="13">
        <v>6.2489282303807787</v>
      </c>
      <c r="M76" s="13">
        <v>2.2742516991383055</v>
      </c>
      <c r="N76" s="13">
        <v>4.4028167708636818</v>
      </c>
      <c r="O76" s="13">
        <f t="shared" si="2"/>
        <v>6.3946727680156448</v>
      </c>
      <c r="P76" s="30">
        <f t="shared" si="3"/>
        <v>8.5189461279123098</v>
      </c>
    </row>
    <row r="77" spans="2:16" x14ac:dyDescent="0.35">
      <c r="B77" s="18" t="s">
        <v>2619</v>
      </c>
      <c r="C77" s="13" t="s">
        <v>2620</v>
      </c>
      <c r="D77" s="13" t="s">
        <v>2620</v>
      </c>
      <c r="E77" s="13" t="s">
        <v>2621</v>
      </c>
      <c r="F77" s="13">
        <v>41.045798095317743</v>
      </c>
      <c r="G77" s="13">
        <v>35.246970917430183</v>
      </c>
      <c r="H77" s="13">
        <v>5.4211725050018131</v>
      </c>
      <c r="I77" s="13">
        <v>37.085988099626135</v>
      </c>
      <c r="J77" s="13">
        <v>34.164961612306264</v>
      </c>
      <c r="K77" s="13">
        <v>25.397387154302947</v>
      </c>
      <c r="L77" s="13">
        <v>79.840566134022126</v>
      </c>
      <c r="M77" s="13">
        <v>62.187530086509668</v>
      </c>
      <c r="N77" s="13">
        <v>74.134504730104837</v>
      </c>
      <c r="O77" s="13">
        <f t="shared" si="2"/>
        <v>43.836097703846853</v>
      </c>
      <c r="P77" s="30">
        <f t="shared" si="3"/>
        <v>58.398672087443984</v>
      </c>
    </row>
    <row r="78" spans="2:16" x14ac:dyDescent="0.35">
      <c r="B78" s="18" t="s">
        <v>2619</v>
      </c>
      <c r="C78" s="13" t="s">
        <v>2620</v>
      </c>
      <c r="D78" s="13" t="s">
        <v>2628</v>
      </c>
      <c r="E78" s="13" t="s">
        <v>2629</v>
      </c>
      <c r="F78" s="13">
        <v>14.456559236454488</v>
      </c>
      <c r="G78" s="13">
        <v>9.3329519799693692</v>
      </c>
      <c r="H78" s="13">
        <v>0.31119522914728187</v>
      </c>
      <c r="I78" s="13">
        <v>13.724922331630774</v>
      </c>
      <c r="J78" s="13">
        <v>8.6635465434137657</v>
      </c>
      <c r="K78" s="13">
        <v>3.1699612339753207</v>
      </c>
      <c r="L78" s="13">
        <v>6.3558675951824393</v>
      </c>
      <c r="M78" s="13">
        <v>1.6145525111004533</v>
      </c>
      <c r="N78" s="13">
        <v>4.4018769398193776</v>
      </c>
      <c r="O78" s="13">
        <f t="shared" si="2"/>
        <v>6.8923815111881401</v>
      </c>
      <c r="P78" s="30">
        <f t="shared" si="3"/>
        <v>9.1819971672264966</v>
      </c>
    </row>
    <row r="79" spans="2:16" x14ac:dyDescent="0.35">
      <c r="B79" s="18" t="s">
        <v>2619</v>
      </c>
      <c r="C79" s="13" t="s">
        <v>2620</v>
      </c>
      <c r="D79" s="13" t="s">
        <v>2630</v>
      </c>
      <c r="E79" s="13" t="s">
        <v>2631</v>
      </c>
      <c r="F79" s="13">
        <v>6.8671008478031341</v>
      </c>
      <c r="G79" s="13">
        <v>6.0366694036469886</v>
      </c>
      <c r="H79" s="13">
        <v>0.37913407033573376</v>
      </c>
      <c r="I79" s="13">
        <v>6.6873782317940087</v>
      </c>
      <c r="J79" s="13">
        <v>5.625866688812911</v>
      </c>
      <c r="K79" s="13">
        <v>3.9878668499334551</v>
      </c>
      <c r="L79" s="13">
        <v>4.7020263522065333</v>
      </c>
      <c r="M79" s="13">
        <v>1.2355507997743482</v>
      </c>
      <c r="N79" s="13">
        <v>3.5006275802818259</v>
      </c>
      <c r="O79" s="13">
        <f t="shared" si="2"/>
        <v>4.3358023138432156</v>
      </c>
      <c r="P79" s="30">
        <f t="shared" si="3"/>
        <v>5.776104630391794</v>
      </c>
    </row>
    <row r="80" spans="2:16" x14ac:dyDescent="0.35">
      <c r="B80" s="18" t="s">
        <v>2619</v>
      </c>
      <c r="C80" s="13" t="s">
        <v>2620</v>
      </c>
      <c r="D80" s="13" t="s">
        <v>2634</v>
      </c>
      <c r="E80" s="13" t="s">
        <v>2635</v>
      </c>
      <c r="F80" s="13">
        <v>1.7823728033953941</v>
      </c>
      <c r="G80" s="13">
        <v>1.1557631084393769</v>
      </c>
      <c r="H80" s="13">
        <v>1.1571969861985668E-2</v>
      </c>
      <c r="I80" s="13">
        <v>1.7613606445158234</v>
      </c>
      <c r="J80" s="13">
        <v>1.1694791327238292</v>
      </c>
      <c r="K80" s="13">
        <v>0.15728280376581055</v>
      </c>
      <c r="L80" s="13">
        <v>2.188992600605852</v>
      </c>
      <c r="M80" s="13">
        <v>0.5543461422631617</v>
      </c>
      <c r="N80" s="13">
        <v>1.644169596076821</v>
      </c>
      <c r="O80" s="13">
        <f t="shared" si="2"/>
        <v>1.1583709779608948</v>
      </c>
      <c r="P80" s="30">
        <f t="shared" si="3"/>
        <v>1.5431085689260502</v>
      </c>
    </row>
    <row r="81" spans="2:16" x14ac:dyDescent="0.35">
      <c r="B81" s="18" t="s">
        <v>2619</v>
      </c>
      <c r="C81" s="13" t="s">
        <v>2620</v>
      </c>
      <c r="D81" s="13" t="s">
        <v>2642</v>
      </c>
      <c r="E81" s="13" t="s">
        <v>2643</v>
      </c>
      <c r="F81" s="13">
        <v>2.6354028371611662</v>
      </c>
      <c r="G81" s="13">
        <v>1.6796264532788492</v>
      </c>
      <c r="H81" s="13">
        <v>9.7416928298307337E-2</v>
      </c>
      <c r="I81" s="13">
        <v>2.5485756410931497</v>
      </c>
      <c r="J81" s="13">
        <v>1.4368429857405198</v>
      </c>
      <c r="K81" s="13">
        <v>1.3098760549714901</v>
      </c>
      <c r="L81" s="13">
        <v>1.7441281487300124</v>
      </c>
      <c r="M81" s="13">
        <v>0.40745784074689817</v>
      </c>
      <c r="N81" s="13">
        <v>1.511183503307719</v>
      </c>
      <c r="O81" s="13">
        <f t="shared" si="2"/>
        <v>1.4856122659253459</v>
      </c>
      <c r="P81" s="30">
        <f t="shared" si="3"/>
        <v>1.9790616822032716</v>
      </c>
    </row>
    <row r="82" spans="2:16" x14ac:dyDescent="0.35">
      <c r="B82" s="18" t="s">
        <v>2619</v>
      </c>
      <c r="C82" s="13" t="s">
        <v>2620</v>
      </c>
      <c r="D82" s="13" t="s">
        <v>2654</v>
      </c>
      <c r="E82" s="13" t="s">
        <v>2655</v>
      </c>
      <c r="F82" s="13">
        <v>1.1802339560313195</v>
      </c>
      <c r="G82" s="13">
        <v>0.80036270986053337</v>
      </c>
      <c r="H82" s="13">
        <v>2.6089680690513199E-3</v>
      </c>
      <c r="I82" s="13">
        <v>0.96624716971196889</v>
      </c>
      <c r="J82" s="13">
        <v>0.73275116866581036</v>
      </c>
      <c r="K82" s="13">
        <v>3.5459732129122477E-2</v>
      </c>
      <c r="L82" s="13">
        <v>1.0903435158506205</v>
      </c>
      <c r="M82" s="13">
        <v>0.20330435714096071</v>
      </c>
      <c r="N82" s="13">
        <v>0.8095672207672846</v>
      </c>
      <c r="O82" s="13">
        <f t="shared" si="2"/>
        <v>0.64676431091407471</v>
      </c>
      <c r="P82" s="30">
        <f t="shared" si="3"/>
        <v>0.86154261904299922</v>
      </c>
    </row>
    <row r="83" spans="2:16" x14ac:dyDescent="0.35">
      <c r="B83" s="18" t="s">
        <v>2619</v>
      </c>
      <c r="C83" s="13" t="s">
        <v>2619</v>
      </c>
      <c r="D83" s="13" t="s">
        <v>2619</v>
      </c>
      <c r="E83" s="13" t="s">
        <v>2672</v>
      </c>
      <c r="F83" s="13">
        <v>5.1735853395916749</v>
      </c>
      <c r="G83" s="13">
        <v>3.0068923949552606</v>
      </c>
      <c r="H83" s="13">
        <v>0.3607282977997372</v>
      </c>
      <c r="I83" s="13">
        <v>4.4626401979885211</v>
      </c>
      <c r="J83" s="13">
        <v>2.8048324552312707</v>
      </c>
      <c r="K83" s="13">
        <v>3.2947982302224075</v>
      </c>
      <c r="L83" s="13">
        <v>13.655057740232381</v>
      </c>
      <c r="M83" s="13">
        <v>11.697543109781398</v>
      </c>
      <c r="N83" s="13">
        <v>9.1158912142325423</v>
      </c>
      <c r="O83" s="13">
        <f t="shared" si="2"/>
        <v>5.9524409977816877</v>
      </c>
      <c r="P83" s="30">
        <f t="shared" si="3"/>
        <v>7.929801896685186</v>
      </c>
    </row>
    <row r="84" spans="2:16" x14ac:dyDescent="0.35">
      <c r="B84" s="18" t="s">
        <v>2695</v>
      </c>
      <c r="C84" s="13" t="s">
        <v>2696</v>
      </c>
      <c r="D84" s="13" t="s">
        <v>2697</v>
      </c>
      <c r="E84" s="13" t="s">
        <v>2698</v>
      </c>
      <c r="F84" s="13">
        <v>100</v>
      </c>
      <c r="G84" s="13">
        <v>100</v>
      </c>
      <c r="H84" s="13">
        <v>20.532174798876671</v>
      </c>
      <c r="I84" s="13">
        <v>100</v>
      </c>
      <c r="J84" s="13">
        <v>100</v>
      </c>
      <c r="K84" s="13">
        <v>52.048789905287521</v>
      </c>
      <c r="L84" s="13">
        <v>48.328783176305741</v>
      </c>
      <c r="M84" s="13">
        <v>11.01042598693801</v>
      </c>
      <c r="N84" s="13">
        <v>31.995964559943559</v>
      </c>
      <c r="O84" s="13">
        <f t="shared" si="2"/>
        <v>62.657348714150174</v>
      </c>
      <c r="P84" s="30">
        <f t="shared" si="3"/>
        <v>83.472473210623548</v>
      </c>
    </row>
    <row r="85" spans="2:16" x14ac:dyDescent="0.35">
      <c r="B85" s="18" t="s">
        <v>2695</v>
      </c>
      <c r="C85" s="13" t="s">
        <v>2696</v>
      </c>
      <c r="D85" s="13" t="s">
        <v>2699</v>
      </c>
      <c r="E85" s="13" t="s">
        <v>2700</v>
      </c>
      <c r="F85" s="13">
        <v>4.4470462789700917</v>
      </c>
      <c r="G85" s="13">
        <v>3.5560532399099296</v>
      </c>
      <c r="H85" s="13">
        <v>0.53315078382313685</v>
      </c>
      <c r="I85" s="13">
        <v>4.5337265020272763</v>
      </c>
      <c r="J85" s="13">
        <v>3.5031175365397482</v>
      </c>
      <c r="K85" s="13">
        <v>1.3163352232140304</v>
      </c>
      <c r="L85" s="13">
        <v>1.7586732246226648</v>
      </c>
      <c r="M85" s="13">
        <v>0.50101285392688799</v>
      </c>
      <c r="N85" s="13">
        <v>1.340409720964163</v>
      </c>
      <c r="O85" s="13">
        <f t="shared" si="2"/>
        <v>2.3877250404442139</v>
      </c>
      <c r="P85" s="30">
        <f t="shared" si="3"/>
        <v>3.1808625766593996</v>
      </c>
    </row>
    <row r="86" spans="2:16" x14ac:dyDescent="0.35">
      <c r="B86" s="18" t="s">
        <v>2695</v>
      </c>
      <c r="C86" s="13" t="s">
        <v>2696</v>
      </c>
      <c r="D86" s="13" t="s">
        <v>2701</v>
      </c>
      <c r="E86" s="13" t="s">
        <v>2702</v>
      </c>
      <c r="F86" s="13">
        <v>62.702934381500953</v>
      </c>
      <c r="G86" s="13">
        <v>48.112066074049771</v>
      </c>
      <c r="H86" s="13">
        <v>6.3914591034968122</v>
      </c>
      <c r="I86" s="13">
        <v>64.962350587120213</v>
      </c>
      <c r="J86" s="13">
        <v>46.380689609270263</v>
      </c>
      <c r="K86" s="13">
        <v>24.926843317154358</v>
      </c>
      <c r="L86" s="13">
        <v>86.909596981566182</v>
      </c>
      <c r="M86" s="13">
        <v>63.178307514840036</v>
      </c>
      <c r="N86" s="13">
        <v>69.957944181165715</v>
      </c>
      <c r="O86" s="13">
        <f t="shared" si="2"/>
        <v>52.61357686112936</v>
      </c>
      <c r="P86" s="30">
        <f t="shared" si="3"/>
        <v>70.092090693469402</v>
      </c>
    </row>
    <row r="87" spans="2:16" x14ac:dyDescent="0.35">
      <c r="B87" s="18" t="s">
        <v>2695</v>
      </c>
      <c r="C87" s="13" t="s">
        <v>2696</v>
      </c>
      <c r="D87" s="13" t="s">
        <v>2703</v>
      </c>
      <c r="E87" s="13" t="s">
        <v>2704</v>
      </c>
      <c r="F87" s="13">
        <v>7.7431292403223955</v>
      </c>
      <c r="G87" s="13">
        <v>6.5318985699271987</v>
      </c>
      <c r="H87" s="13">
        <v>3.0308584115072641</v>
      </c>
      <c r="I87" s="13">
        <v>7.9011110526038655</v>
      </c>
      <c r="J87" s="13">
        <v>6.3361122094278581</v>
      </c>
      <c r="K87" s="13">
        <v>17.878817111962416</v>
      </c>
      <c r="L87" s="13">
        <v>11.926631662068301</v>
      </c>
      <c r="M87" s="13">
        <v>9.1544397050548501</v>
      </c>
      <c r="N87" s="13">
        <v>10.019814231051305</v>
      </c>
      <c r="O87" s="13">
        <f t="shared" si="2"/>
        <v>8.9469791326583827</v>
      </c>
      <c r="P87" s="30">
        <f t="shared" si="3"/>
        <v>11.919146367388638</v>
      </c>
    </row>
    <row r="88" spans="2:16" x14ac:dyDescent="0.35">
      <c r="B88" s="18" t="s">
        <v>2695</v>
      </c>
      <c r="C88" s="13" t="s">
        <v>2696</v>
      </c>
      <c r="D88" s="13" t="s">
        <v>2705</v>
      </c>
      <c r="E88" s="13" t="s">
        <v>2706</v>
      </c>
      <c r="F88" s="13">
        <v>16.467870247441432</v>
      </c>
      <c r="G88" s="13">
        <v>17.795942414940711</v>
      </c>
      <c r="H88" s="13">
        <v>1.2415917750592378</v>
      </c>
      <c r="I88" s="13">
        <v>14.564793849718288</v>
      </c>
      <c r="J88" s="13">
        <v>15.215732623200982</v>
      </c>
      <c r="K88" s="13">
        <v>9.5238531296886446</v>
      </c>
      <c r="L88" s="13">
        <v>27.854192225574291</v>
      </c>
      <c r="M88" s="13">
        <v>15.405199483595847</v>
      </c>
      <c r="N88" s="13">
        <v>22.484793371663319</v>
      </c>
      <c r="O88" s="13">
        <f t="shared" si="2"/>
        <v>15.617107680098083</v>
      </c>
      <c r="P88" s="30">
        <f t="shared" si="3"/>
        <v>20.80513787629474</v>
      </c>
    </row>
    <row r="89" spans="2:16" x14ac:dyDescent="0.35">
      <c r="B89" s="18" t="s">
        <v>2695</v>
      </c>
      <c r="C89" s="13" t="s">
        <v>2696</v>
      </c>
      <c r="D89" s="13" t="s">
        <v>2707</v>
      </c>
      <c r="E89" s="13" t="s">
        <v>2708</v>
      </c>
      <c r="F89" s="13">
        <v>27.144335608777009</v>
      </c>
      <c r="G89" s="13">
        <v>22.854129055538536</v>
      </c>
      <c r="H89" s="13">
        <v>0.78672063083356369</v>
      </c>
      <c r="I89" s="13">
        <v>27.826338792059396</v>
      </c>
      <c r="J89" s="13">
        <v>22.567053574286657</v>
      </c>
      <c r="K89" s="13">
        <v>7.6973816374008743</v>
      </c>
      <c r="L89" s="13">
        <v>14.335453250597197</v>
      </c>
      <c r="M89" s="13">
        <v>4.5863123630210589</v>
      </c>
      <c r="N89" s="13">
        <v>11.272333545389463</v>
      </c>
      <c r="O89" s="13">
        <f t="shared" si="2"/>
        <v>15.452228717544861</v>
      </c>
      <c r="P89" s="30">
        <f t="shared" si="3"/>
        <v>20.585484978929284</v>
      </c>
    </row>
    <row r="90" spans="2:16" x14ac:dyDescent="0.35">
      <c r="B90" s="18" t="s">
        <v>2695</v>
      </c>
      <c r="C90" s="13" t="s">
        <v>2696</v>
      </c>
      <c r="D90" s="13" t="s">
        <v>2709</v>
      </c>
      <c r="E90" s="13" t="s">
        <v>2710</v>
      </c>
      <c r="F90" s="13">
        <v>4.8307007181760211</v>
      </c>
      <c r="G90" s="13">
        <v>4.2787124325416261</v>
      </c>
      <c r="H90" s="13">
        <v>0.20441181661103491</v>
      </c>
      <c r="I90" s="13">
        <v>4.2994049813069344</v>
      </c>
      <c r="J90" s="13">
        <v>4.2713554871883952</v>
      </c>
      <c r="K90" s="13">
        <v>2.4913729891757903</v>
      </c>
      <c r="L90" s="13">
        <v>7.5448035856917768</v>
      </c>
      <c r="M90" s="13">
        <v>2.7347676350320413</v>
      </c>
      <c r="N90" s="13">
        <v>5.9332830145631688</v>
      </c>
      <c r="O90" s="13">
        <f t="shared" si="2"/>
        <v>4.0654236289207546</v>
      </c>
      <c r="P90" s="30">
        <f t="shared" si="3"/>
        <v>5.4159042712349361</v>
      </c>
    </row>
    <row r="91" spans="2:16" x14ac:dyDescent="0.35">
      <c r="B91" s="18" t="s">
        <v>2695</v>
      </c>
      <c r="C91" s="13" t="s">
        <v>2696</v>
      </c>
      <c r="D91" s="13" t="s">
        <v>2711</v>
      </c>
      <c r="E91" s="13" t="s">
        <v>2712</v>
      </c>
      <c r="F91" s="13">
        <v>33.375845451029178</v>
      </c>
      <c r="G91" s="13">
        <v>34.82178019659208</v>
      </c>
      <c r="H91" s="13">
        <v>18.147839929045457</v>
      </c>
      <c r="I91" s="13">
        <v>31.962508556684742</v>
      </c>
      <c r="J91" s="13">
        <v>33.029280436342695</v>
      </c>
      <c r="K91" s="13">
        <v>18.903920423153423</v>
      </c>
      <c r="L91" s="13">
        <v>44.603425613300153</v>
      </c>
      <c r="M91" s="13">
        <v>36.790038471167875</v>
      </c>
      <c r="N91" s="13">
        <v>41.266133901293763</v>
      </c>
      <c r="O91" s="13">
        <f t="shared" si="2"/>
        <v>32.544530330956597</v>
      </c>
      <c r="P91" s="30">
        <f t="shared" si="3"/>
        <v>43.355967725133333</v>
      </c>
    </row>
    <row r="92" spans="2:16" x14ac:dyDescent="0.35">
      <c r="B92" s="18" t="s">
        <v>2695</v>
      </c>
      <c r="C92" s="13" t="s">
        <v>2696</v>
      </c>
      <c r="D92" s="13" t="s">
        <v>2713</v>
      </c>
      <c r="E92" s="13" t="s">
        <v>2714</v>
      </c>
      <c r="F92" s="13">
        <v>2.9552890998233305</v>
      </c>
      <c r="G92" s="13">
        <v>2.5217648952556426</v>
      </c>
      <c r="H92" s="13">
        <v>0.19205999390272904</v>
      </c>
      <c r="I92" s="13">
        <v>3.1356958559317567</v>
      </c>
      <c r="J92" s="13">
        <v>2.5239265992285675</v>
      </c>
      <c r="K92" s="13">
        <v>2.566502127086252</v>
      </c>
      <c r="L92" s="13">
        <v>0.86497748199117142</v>
      </c>
      <c r="M92" s="13">
        <v>0.24939004544331234</v>
      </c>
      <c r="N92" s="13">
        <v>0.59063519939487841</v>
      </c>
      <c r="O92" s="13">
        <f t="shared" si="2"/>
        <v>1.7333601442286268</v>
      </c>
      <c r="P92" s="30">
        <f t="shared" si="3"/>
        <v>2.3091131238351554</v>
      </c>
    </row>
    <row r="93" spans="2:16" x14ac:dyDescent="0.35">
      <c r="B93" s="18" t="s">
        <v>2695</v>
      </c>
      <c r="C93" s="13" t="s">
        <v>2696</v>
      </c>
      <c r="D93" s="13" t="s">
        <v>2715</v>
      </c>
      <c r="E93" s="13" t="s">
        <v>2716</v>
      </c>
      <c r="F93" s="13">
        <v>53.765981245883822</v>
      </c>
      <c r="G93" s="13">
        <v>58.26429461792825</v>
      </c>
      <c r="H93" s="13">
        <v>1.8805246529044779</v>
      </c>
      <c r="I93" s="13">
        <v>48.264967616239275</v>
      </c>
      <c r="J93" s="13">
        <v>55.62001704842946</v>
      </c>
      <c r="K93" s="13">
        <v>20.351477491271794</v>
      </c>
      <c r="L93" s="13">
        <v>42.979955480497821</v>
      </c>
      <c r="M93" s="13">
        <v>28.911727680316051</v>
      </c>
      <c r="N93" s="13">
        <v>34.692048154350076</v>
      </c>
      <c r="O93" s="13">
        <f t="shared" si="2"/>
        <v>38.303443776424558</v>
      </c>
      <c r="P93" s="30">
        <f t="shared" si="3"/>
        <v>51.028032155825045</v>
      </c>
    </row>
    <row r="94" spans="2:16" x14ac:dyDescent="0.35">
      <c r="B94" s="18" t="s">
        <v>2695</v>
      </c>
      <c r="C94" s="13" t="s">
        <v>2696</v>
      </c>
      <c r="D94" s="13" t="s">
        <v>2717</v>
      </c>
      <c r="E94" s="13" t="s">
        <v>2718</v>
      </c>
      <c r="F94" s="13">
        <v>17.014603957808465</v>
      </c>
      <c r="G94" s="13">
        <v>13.957539061350838</v>
      </c>
      <c r="H94" s="13">
        <v>0.47556546592532856</v>
      </c>
      <c r="I94" s="13">
        <v>14.801748196514138</v>
      </c>
      <c r="J94" s="13">
        <v>13.030602644720195</v>
      </c>
      <c r="K94" s="13">
        <v>5.0535698888573162</v>
      </c>
      <c r="L94" s="13">
        <v>14.668585074024932</v>
      </c>
      <c r="M94" s="13">
        <v>5.0822751746823815</v>
      </c>
      <c r="N94" s="13">
        <v>11.90344629562353</v>
      </c>
      <c r="O94" s="13">
        <f t="shared" si="2"/>
        <v>10.665326195500791</v>
      </c>
      <c r="P94" s="30">
        <f t="shared" si="3"/>
        <v>14.208340241415609</v>
      </c>
    </row>
    <row r="95" spans="2:16" x14ac:dyDescent="0.35">
      <c r="B95" s="18" t="s">
        <v>2695</v>
      </c>
      <c r="C95" s="13" t="s">
        <v>2696</v>
      </c>
      <c r="D95" s="13" t="s">
        <v>2719</v>
      </c>
      <c r="E95" s="13" t="s">
        <v>2720</v>
      </c>
      <c r="F95" s="13">
        <v>21.051861298989117</v>
      </c>
      <c r="G95" s="13">
        <v>26.229199151020794</v>
      </c>
      <c r="H95" s="13">
        <v>1.5567808386609059</v>
      </c>
      <c r="I95" s="13">
        <v>18.614080353851826</v>
      </c>
      <c r="J95" s="13">
        <v>25.860415722609638</v>
      </c>
      <c r="K95" s="13">
        <v>7.5175362038237976</v>
      </c>
      <c r="L95" s="13">
        <v>49.741101781234619</v>
      </c>
      <c r="M95" s="13">
        <v>31.444812697461433</v>
      </c>
      <c r="N95" s="13">
        <v>32.793929728508736</v>
      </c>
      <c r="O95" s="13">
        <f t="shared" si="2"/>
        <v>23.867746419573425</v>
      </c>
      <c r="P95" s="30">
        <f t="shared" si="3"/>
        <v>31.796696024026588</v>
      </c>
    </row>
    <row r="96" spans="2:16" x14ac:dyDescent="0.35">
      <c r="B96" s="18" t="s">
        <v>2695</v>
      </c>
      <c r="C96" s="13" t="s">
        <v>2696</v>
      </c>
      <c r="D96" s="13" t="s">
        <v>2721</v>
      </c>
      <c r="E96" s="13" t="s">
        <v>2722</v>
      </c>
      <c r="F96" s="13">
        <v>18.724845545113372</v>
      </c>
      <c r="G96" s="13">
        <v>18.633164070441644</v>
      </c>
      <c r="H96" s="13">
        <v>4.9168652220933566</v>
      </c>
      <c r="I96" s="13">
        <v>17.218682533831814</v>
      </c>
      <c r="J96" s="13">
        <v>16.544384776765288</v>
      </c>
      <c r="K96" s="13">
        <v>27.767615238057775</v>
      </c>
      <c r="L96" s="13">
        <v>53.780335470605522</v>
      </c>
      <c r="M96" s="13">
        <v>34.673317206422446</v>
      </c>
      <c r="N96" s="13">
        <v>42.755652678631904</v>
      </c>
      <c r="O96" s="13">
        <f t="shared" si="2"/>
        <v>26.11276252688479</v>
      </c>
      <c r="P96" s="30">
        <f t="shared" si="3"/>
        <v>34.78752205159747</v>
      </c>
    </row>
    <row r="97" spans="2:16" x14ac:dyDescent="0.35">
      <c r="B97" s="18" t="s">
        <v>2695</v>
      </c>
      <c r="C97" s="13" t="s">
        <v>2696</v>
      </c>
      <c r="D97" s="13" t="s">
        <v>2723</v>
      </c>
      <c r="E97" s="13" t="s">
        <v>2724</v>
      </c>
      <c r="F97" s="13">
        <v>24.094962314053042</v>
      </c>
      <c r="G97" s="13">
        <v>18.748103394189755</v>
      </c>
      <c r="H97" s="13">
        <v>13.399545106789354</v>
      </c>
      <c r="I97" s="13">
        <v>23.455847506713706</v>
      </c>
      <c r="J97" s="13">
        <v>16.424144276114916</v>
      </c>
      <c r="K97" s="13">
        <v>23.424863078440115</v>
      </c>
      <c r="L97" s="13">
        <v>35.35308791547989</v>
      </c>
      <c r="M97" s="13">
        <v>24.550601249882583</v>
      </c>
      <c r="N97" s="13">
        <v>33.708660802337</v>
      </c>
      <c r="O97" s="13">
        <f t="shared" si="2"/>
        <v>23.684423960444484</v>
      </c>
      <c r="P97" s="30">
        <f t="shared" si="3"/>
        <v>31.552472572615471</v>
      </c>
    </row>
    <row r="98" spans="2:16" x14ac:dyDescent="0.35">
      <c r="B98" s="18" t="s">
        <v>2695</v>
      </c>
      <c r="C98" s="13" t="s">
        <v>2696</v>
      </c>
      <c r="D98" s="13" t="s">
        <v>2725</v>
      </c>
      <c r="E98" s="13" t="s">
        <v>2726</v>
      </c>
      <c r="F98" s="13">
        <v>67.248246375145044</v>
      </c>
      <c r="G98" s="13">
        <v>75.780456918675426</v>
      </c>
      <c r="H98" s="13">
        <v>31.498691745218448</v>
      </c>
      <c r="I98" s="13">
        <v>63.490600810910436</v>
      </c>
      <c r="J98" s="13">
        <v>73.518188622774971</v>
      </c>
      <c r="K98" s="13">
        <v>33.491849045933606</v>
      </c>
      <c r="L98" s="13">
        <v>30.252518219567008</v>
      </c>
      <c r="M98" s="13">
        <v>7.8970752958238561</v>
      </c>
      <c r="N98" s="13">
        <v>21.232274057325156</v>
      </c>
      <c r="O98" s="13">
        <f t="shared" si="2"/>
        <v>44.934433454597091</v>
      </c>
      <c r="P98" s="30">
        <f t="shared" si="3"/>
        <v>59.861882591661463</v>
      </c>
    </row>
    <row r="99" spans="2:16" x14ac:dyDescent="0.35">
      <c r="B99" s="18" t="s">
        <v>2695</v>
      </c>
      <c r="C99" s="13" t="s">
        <v>2696</v>
      </c>
      <c r="D99" s="13" t="s">
        <v>2727</v>
      </c>
      <c r="E99" s="13" t="s">
        <v>2728</v>
      </c>
      <c r="F99" s="13">
        <v>16.596451980472303</v>
      </c>
      <c r="G99" s="13">
        <v>13.771642214453978</v>
      </c>
      <c r="H99" s="13">
        <v>7.1722195060094558</v>
      </c>
      <c r="I99" s="13">
        <v>16.707914275182979</v>
      </c>
      <c r="J99" s="13">
        <v>12.510423956565306</v>
      </c>
      <c r="K99" s="13">
        <v>24.187428473205379</v>
      </c>
      <c r="L99" s="13">
        <v>20.778136767513903</v>
      </c>
      <c r="M99" s="13">
        <v>8.1609015557559541</v>
      </c>
      <c r="N99" s="13">
        <v>15.684581034663235</v>
      </c>
      <c r="O99" s="13">
        <f t="shared" si="2"/>
        <v>15.063299973758053</v>
      </c>
      <c r="P99" s="30">
        <f t="shared" si="3"/>
        <v>20.067351409196856</v>
      </c>
    </row>
    <row r="100" spans="2:16" x14ac:dyDescent="0.35">
      <c r="B100" s="18" t="s">
        <v>2695</v>
      </c>
      <c r="C100" s="13" t="s">
        <v>2696</v>
      </c>
      <c r="D100" s="13" t="s">
        <v>2729</v>
      </c>
      <c r="E100" s="13" t="s">
        <v>2730</v>
      </c>
      <c r="F100" s="13">
        <v>49.736041564306547</v>
      </c>
      <c r="G100" s="13">
        <v>53.750461905140781</v>
      </c>
      <c r="H100" s="13">
        <v>3.735816894886971</v>
      </c>
      <c r="I100" s="13">
        <v>47.972723921857721</v>
      </c>
      <c r="J100" s="13">
        <v>49.275899086151554</v>
      </c>
      <c r="K100" s="13">
        <v>32.605453950728958</v>
      </c>
      <c r="L100" s="13">
        <v>48.303370614731932</v>
      </c>
      <c r="M100" s="13">
        <v>22.596650703346164</v>
      </c>
      <c r="N100" s="13">
        <v>38.884018691619069</v>
      </c>
      <c r="O100" s="13">
        <f t="shared" si="2"/>
        <v>38.540048592529956</v>
      </c>
      <c r="P100" s="30">
        <f t="shared" si="3"/>
        <v>51.343238732718653</v>
      </c>
    </row>
    <row r="101" spans="2:16" x14ac:dyDescent="0.35">
      <c r="B101" s="18" t="s">
        <v>2695</v>
      </c>
      <c r="C101" s="13" t="s">
        <v>2696</v>
      </c>
      <c r="D101" s="13" t="s">
        <v>2731</v>
      </c>
      <c r="E101" s="13" t="s">
        <v>2732</v>
      </c>
      <c r="F101" s="13">
        <v>18.8471549984842</v>
      </c>
      <c r="G101" s="13">
        <v>12.589543924181953</v>
      </c>
      <c r="H101" s="13">
        <v>1.4675591728458186</v>
      </c>
      <c r="I101" s="13">
        <v>19.553999262808698</v>
      </c>
      <c r="J101" s="13">
        <v>12.522560366982965</v>
      </c>
      <c r="K101" s="13">
        <v>8.8144408368921479</v>
      </c>
      <c r="L101" s="13">
        <v>7.0254782623427579</v>
      </c>
      <c r="M101" s="13">
        <v>4.2727782178121423</v>
      </c>
      <c r="N101" s="13">
        <v>4.864063161831452</v>
      </c>
      <c r="O101" s="13">
        <f t="shared" si="2"/>
        <v>9.9952864671313488</v>
      </c>
      <c r="P101" s="30">
        <f t="shared" si="3"/>
        <v>13.315708668489476</v>
      </c>
    </row>
    <row r="102" spans="2:16" x14ac:dyDescent="0.35">
      <c r="B102" s="18" t="s">
        <v>2695</v>
      </c>
      <c r="C102" s="13" t="s">
        <v>2696</v>
      </c>
      <c r="D102" s="13" t="s">
        <v>2733</v>
      </c>
      <c r="E102" s="13" t="s">
        <v>2734</v>
      </c>
      <c r="F102" s="13">
        <v>9.6342215578251906</v>
      </c>
      <c r="G102" s="13">
        <v>10.476143068728563</v>
      </c>
      <c r="H102" s="13">
        <v>2.0472591356831016</v>
      </c>
      <c r="I102" s="13">
        <v>11.049971038913171</v>
      </c>
      <c r="J102" s="13">
        <v>11.201435797418872</v>
      </c>
      <c r="K102" s="13">
        <v>4.8032694884300264</v>
      </c>
      <c r="L102" s="13">
        <v>17.238476849569619</v>
      </c>
      <c r="M102" s="13">
        <v>14.051996780815667</v>
      </c>
      <c r="N102" s="13">
        <v>12.731486057606459</v>
      </c>
      <c r="O102" s="13">
        <f t="shared" si="2"/>
        <v>10.359362197221184</v>
      </c>
      <c r="P102" s="30">
        <f t="shared" si="3"/>
        <v>13.800732881016664</v>
      </c>
    </row>
    <row r="103" spans="2:16" x14ac:dyDescent="0.35">
      <c r="B103" s="18" t="s">
        <v>2695</v>
      </c>
      <c r="C103" s="13" t="s">
        <v>2696</v>
      </c>
      <c r="D103" s="13" t="s">
        <v>2735</v>
      </c>
      <c r="E103" s="13" t="s">
        <v>2736</v>
      </c>
      <c r="F103" s="13">
        <v>15.252093373336539</v>
      </c>
      <c r="G103" s="13">
        <v>14.30930581878545</v>
      </c>
      <c r="H103" s="13">
        <v>19.538182016078583</v>
      </c>
      <c r="I103" s="13">
        <v>15.036069717234479</v>
      </c>
      <c r="J103" s="13">
        <v>13.333593186080209</v>
      </c>
      <c r="K103" s="13">
        <v>24.495127481910846</v>
      </c>
      <c r="L103" s="13">
        <v>19.291977109686815</v>
      </c>
      <c r="M103" s="13">
        <v>7.0794323343596837</v>
      </c>
      <c r="N103" s="13">
        <v>14.970633520662185</v>
      </c>
      <c r="O103" s="13">
        <f t="shared" si="2"/>
        <v>15.922934950903866</v>
      </c>
      <c r="P103" s="30">
        <f t="shared" si="3"/>
        <v>21.212563087404838</v>
      </c>
    </row>
    <row r="104" spans="2:16" x14ac:dyDescent="0.35">
      <c r="B104" s="18" t="s">
        <v>2695</v>
      </c>
      <c r="C104" s="13" t="s">
        <v>2696</v>
      </c>
      <c r="D104" s="13" t="s">
        <v>2737</v>
      </c>
      <c r="E104" s="13" t="s">
        <v>2738</v>
      </c>
      <c r="F104" s="13">
        <v>14.624865407332294</v>
      </c>
      <c r="G104" s="13">
        <v>14.556241134428063</v>
      </c>
      <c r="H104" s="13">
        <v>2.3721693817867604</v>
      </c>
      <c r="I104" s="13">
        <v>13.911852982991944</v>
      </c>
      <c r="J104" s="13">
        <v>13.147587058007515</v>
      </c>
      <c r="K104" s="13">
        <v>15.347941936072177</v>
      </c>
      <c r="L104" s="13">
        <v>23.674425004638309</v>
      </c>
      <c r="M104" s="13">
        <v>13.324452846704693</v>
      </c>
      <c r="N104" s="13">
        <v>20.093393279430241</v>
      </c>
      <c r="O104" s="13">
        <f t="shared" si="2"/>
        <v>14.561436559043553</v>
      </c>
      <c r="P104" s="30">
        <f t="shared" si="3"/>
        <v>19.398765487641352</v>
      </c>
    </row>
    <row r="105" spans="2:16" x14ac:dyDescent="0.35">
      <c r="B105" s="18" t="s">
        <v>2695</v>
      </c>
      <c r="C105" s="13" t="s">
        <v>2696</v>
      </c>
      <c r="D105" s="13" t="s">
        <v>2739</v>
      </c>
      <c r="E105" s="13" t="s">
        <v>2740</v>
      </c>
      <c r="F105" s="13">
        <v>38.979081947333761</v>
      </c>
      <c r="G105" s="13">
        <v>18.10003077354105</v>
      </c>
      <c r="H105" s="13">
        <v>60.763265705137862</v>
      </c>
      <c r="I105" s="13">
        <v>43.747038070665049</v>
      </c>
      <c r="J105" s="13">
        <v>17.746063202903546</v>
      </c>
      <c r="K105" s="13">
        <v>100</v>
      </c>
      <c r="L105" s="13">
        <v>42.25732966455832</v>
      </c>
      <c r="M105" s="13">
        <v>23.721468684169839</v>
      </c>
      <c r="N105" s="13">
        <v>34.678404400224132</v>
      </c>
      <c r="O105" s="13">
        <f t="shared" si="2"/>
        <v>42.22140916094817</v>
      </c>
      <c r="P105" s="30">
        <f t="shared" si="3"/>
        <v>56.247572812568222</v>
      </c>
    </row>
    <row r="106" spans="2:16" x14ac:dyDescent="0.35">
      <c r="B106" s="18" t="s">
        <v>2695</v>
      </c>
      <c r="C106" s="13" t="s">
        <v>2696</v>
      </c>
      <c r="D106" s="13" t="s">
        <v>2741</v>
      </c>
      <c r="E106" s="13" t="s">
        <v>2742</v>
      </c>
      <c r="F106" s="13">
        <v>9.0122204915376489</v>
      </c>
      <c r="G106" s="13">
        <v>6.5304676636971317</v>
      </c>
      <c r="H106" s="13">
        <v>0.29279412054599374</v>
      </c>
      <c r="I106" s="13">
        <v>9.6940656100258007</v>
      </c>
      <c r="J106" s="13">
        <v>6.6261822429454424</v>
      </c>
      <c r="K106" s="13">
        <v>3.5820951856316778</v>
      </c>
      <c r="L106" s="13">
        <v>5.3878762660310908</v>
      </c>
      <c r="M106" s="13">
        <v>1.3976052795498821</v>
      </c>
      <c r="N106" s="13">
        <v>3.5269428495223556</v>
      </c>
      <c r="O106" s="13">
        <f t="shared" si="2"/>
        <v>5.1166944121652245</v>
      </c>
      <c r="P106" s="30">
        <f t="shared" si="3"/>
        <v>6.8164144993409819</v>
      </c>
    </row>
    <row r="107" spans="2:16" x14ac:dyDescent="0.35">
      <c r="B107" s="18" t="s">
        <v>2695</v>
      </c>
      <c r="C107" s="13" t="s">
        <v>2696</v>
      </c>
      <c r="D107" s="13" t="s">
        <v>2743</v>
      </c>
      <c r="E107" s="13" t="s">
        <v>2744</v>
      </c>
      <c r="F107" s="13">
        <v>1.191733135408064</v>
      </c>
      <c r="G107" s="13">
        <v>1.133608737569954</v>
      </c>
      <c r="H107" s="13">
        <v>7.3230142830801911E-2</v>
      </c>
      <c r="I107" s="13">
        <v>1.2058343425833289</v>
      </c>
      <c r="J107" s="13">
        <v>1.1370323605028501</v>
      </c>
      <c r="K107" s="13">
        <v>8.8095251271797223E-2</v>
      </c>
      <c r="L107" s="13">
        <v>0.55403516354739524</v>
      </c>
      <c r="M107" s="13">
        <v>0.11432891656578215</v>
      </c>
      <c r="N107" s="13">
        <v>0.37445785522129615</v>
      </c>
      <c r="O107" s="13">
        <f t="shared" si="2"/>
        <v>0.65248398950014108</v>
      </c>
      <c r="P107" s="30">
        <f t="shared" si="3"/>
        <v>0.86916241452189846</v>
      </c>
    </row>
    <row r="108" spans="2:16" x14ac:dyDescent="0.35">
      <c r="B108" s="18" t="s">
        <v>2695</v>
      </c>
      <c r="C108" s="13" t="s">
        <v>2696</v>
      </c>
      <c r="D108" s="13" t="s">
        <v>2745</v>
      </c>
      <c r="E108" s="13" t="s">
        <v>2746</v>
      </c>
      <c r="F108" s="13">
        <v>29.434763064635845</v>
      </c>
      <c r="G108" s="13">
        <v>27.467194091265018</v>
      </c>
      <c r="H108" s="13">
        <v>1.6589986606270879</v>
      </c>
      <c r="I108" s="13">
        <v>32.059923121478597</v>
      </c>
      <c r="J108" s="13">
        <v>28.178372488833169</v>
      </c>
      <c r="K108" s="13">
        <v>7.0136175643404224</v>
      </c>
      <c r="L108" s="13">
        <v>35.568123639756486</v>
      </c>
      <c r="M108" s="13">
        <v>21.729721656815691</v>
      </c>
      <c r="N108" s="13">
        <v>28.212788118980018</v>
      </c>
      <c r="O108" s="13">
        <f t="shared" si="2"/>
        <v>23.480389156303591</v>
      </c>
      <c r="P108" s="30">
        <f t="shared" si="3"/>
        <v>31.280655991537248</v>
      </c>
    </row>
    <row r="109" spans="2:16" x14ac:dyDescent="0.35">
      <c r="B109" s="18" t="s">
        <v>2695</v>
      </c>
      <c r="C109" s="13" t="s">
        <v>2696</v>
      </c>
      <c r="D109" s="13" t="s">
        <v>2747</v>
      </c>
      <c r="E109" s="13" t="s">
        <v>2748</v>
      </c>
      <c r="F109" s="13">
        <v>1.1405095181843841</v>
      </c>
      <c r="G109" s="13">
        <v>1.3623801610931776</v>
      </c>
      <c r="H109" s="13">
        <v>0.39630510011315578</v>
      </c>
      <c r="I109" s="13">
        <v>1.3848665157179716</v>
      </c>
      <c r="J109" s="13">
        <v>1.7165412944007137</v>
      </c>
      <c r="K109" s="13">
        <v>3.7870155164297445</v>
      </c>
      <c r="L109" s="13">
        <v>1.128028485208856</v>
      </c>
      <c r="M109" s="13">
        <v>0.33800142181564996</v>
      </c>
      <c r="N109" s="13">
        <v>0.83832929151971014</v>
      </c>
      <c r="O109" s="13">
        <f t="shared" si="2"/>
        <v>1.3435530338314845</v>
      </c>
      <c r="P109" s="30">
        <f t="shared" si="3"/>
        <v>1.789809388012882</v>
      </c>
    </row>
    <row r="110" spans="2:16" x14ac:dyDescent="0.35">
      <c r="B110" s="18" t="s">
        <v>2695</v>
      </c>
      <c r="C110" s="13" t="s">
        <v>2696</v>
      </c>
      <c r="D110" s="13" t="s">
        <v>2749</v>
      </c>
      <c r="E110" s="13" t="s">
        <v>2750</v>
      </c>
      <c r="F110" s="13">
        <v>0.72549368067824249</v>
      </c>
      <c r="G110" s="13">
        <v>0.90643044850008403</v>
      </c>
      <c r="H110" s="13">
        <v>1.322249422218379E-2</v>
      </c>
      <c r="I110" s="13">
        <v>0.76878521404875988</v>
      </c>
      <c r="J110" s="13">
        <v>0.77177975789011555</v>
      </c>
      <c r="K110" s="13">
        <v>0.14906650818545961</v>
      </c>
      <c r="L110" s="13">
        <v>1.8759842202455058E-2</v>
      </c>
      <c r="M110" s="13">
        <v>4.4224131428109116E-3</v>
      </c>
      <c r="N110" s="13">
        <v>1.0678425141323042E-2</v>
      </c>
      <c r="O110" s="13">
        <f t="shared" si="2"/>
        <v>0.37429319822349272</v>
      </c>
      <c r="P110" s="30">
        <f t="shared" si="3"/>
        <v>0.49855471310225574</v>
      </c>
    </row>
    <row r="111" spans="2:16" x14ac:dyDescent="0.35">
      <c r="B111" s="18" t="s">
        <v>2695</v>
      </c>
      <c r="C111" s="13" t="s">
        <v>2696</v>
      </c>
      <c r="D111" s="13" t="s">
        <v>2751</v>
      </c>
      <c r="E111" s="13" t="s">
        <v>2752</v>
      </c>
      <c r="F111" s="13">
        <v>19.685549713043205</v>
      </c>
      <c r="G111" s="13">
        <v>20.919555483585441</v>
      </c>
      <c r="H111" s="13">
        <v>0.71602953405801728</v>
      </c>
      <c r="I111" s="13">
        <v>15.357274498446632</v>
      </c>
      <c r="J111" s="13">
        <v>18.063438605345748</v>
      </c>
      <c r="K111" s="13">
        <v>5.1240460898747546</v>
      </c>
      <c r="L111" s="13">
        <v>23.542568933122816</v>
      </c>
      <c r="M111" s="13">
        <v>11.194943440582833</v>
      </c>
      <c r="N111" s="13">
        <v>21.13903633613673</v>
      </c>
      <c r="O111" s="13">
        <f t="shared" si="2"/>
        <v>15.082493626021796</v>
      </c>
      <c r="P111" s="30">
        <f t="shared" si="3"/>
        <v>20.092921325852508</v>
      </c>
    </row>
    <row r="112" spans="2:16" x14ac:dyDescent="0.35">
      <c r="B112" s="18" t="s">
        <v>2695</v>
      </c>
      <c r="C112" s="13" t="s">
        <v>2696</v>
      </c>
      <c r="D112" s="13" t="s">
        <v>2753</v>
      </c>
      <c r="E112" s="13" t="s">
        <v>2754</v>
      </c>
      <c r="F112" s="13">
        <v>0.9042536509894521</v>
      </c>
      <c r="G112" s="13">
        <v>1.1334150772526947</v>
      </c>
      <c r="H112" s="13">
        <v>4.4116403686902644E-2</v>
      </c>
      <c r="I112" s="13">
        <v>0.90832499605076089</v>
      </c>
      <c r="J112" s="13">
        <v>0.97971014536009704</v>
      </c>
      <c r="K112" s="13">
        <v>0.59911804682715153</v>
      </c>
      <c r="L112" s="13">
        <v>1.1684819775352957</v>
      </c>
      <c r="M112" s="13">
        <v>0.36743341036903759</v>
      </c>
      <c r="N112" s="13">
        <v>0.90551100720396693</v>
      </c>
      <c r="O112" s="13">
        <f t="shared" si="2"/>
        <v>0.77892941280837313</v>
      </c>
      <c r="P112" s="30">
        <f t="shared" si="3"/>
        <v>1.0376138843647509</v>
      </c>
    </row>
    <row r="113" spans="2:16" x14ac:dyDescent="0.35">
      <c r="B113" s="18" t="s">
        <v>2695</v>
      </c>
      <c r="C113" s="13" t="s">
        <v>2696</v>
      </c>
      <c r="D113" s="13" t="s">
        <v>2755</v>
      </c>
      <c r="E113" s="13" t="s">
        <v>2756</v>
      </c>
      <c r="F113" s="13">
        <v>23.031810911675848</v>
      </c>
      <c r="G113" s="13">
        <v>17.020775374683346</v>
      </c>
      <c r="H113" s="13">
        <v>100</v>
      </c>
      <c r="I113" s="13">
        <v>23.213627507766837</v>
      </c>
      <c r="J113" s="13">
        <v>15.169728613745848</v>
      </c>
      <c r="K113" s="13">
        <v>38.923542386231212</v>
      </c>
      <c r="L113" s="13">
        <v>52.860400741633583</v>
      </c>
      <c r="M113" s="13">
        <v>34.021549827196715</v>
      </c>
      <c r="N113" s="13">
        <v>41.937302898795423</v>
      </c>
      <c r="O113" s="13">
        <f t="shared" si="2"/>
        <v>38.464304251303204</v>
      </c>
      <c r="P113" s="30">
        <f t="shared" si="3"/>
        <v>51.242331596041815</v>
      </c>
    </row>
    <row r="114" spans="2:16" x14ac:dyDescent="0.35">
      <c r="B114" s="18" t="s">
        <v>2695</v>
      </c>
      <c r="C114" s="13" t="s">
        <v>2696</v>
      </c>
      <c r="D114" s="13" t="s">
        <v>2757</v>
      </c>
      <c r="E114" s="13" t="s">
        <v>2758</v>
      </c>
      <c r="F114" s="13">
        <v>27.782017374214657</v>
      </c>
      <c r="G114" s="13">
        <v>7.6234784737041208</v>
      </c>
      <c r="H114" s="13">
        <v>98.756218819028646</v>
      </c>
      <c r="I114" s="13">
        <v>29.611394871254802</v>
      </c>
      <c r="J114" s="13">
        <v>6.1683293511630497</v>
      </c>
      <c r="K114" s="13">
        <v>63.654937138304987</v>
      </c>
      <c r="L114" s="13">
        <v>35.59663529420515</v>
      </c>
      <c r="M114" s="13">
        <v>25.515523088113046</v>
      </c>
      <c r="N114" s="13">
        <v>34.105382930918203</v>
      </c>
      <c r="O114" s="13">
        <f t="shared" si="2"/>
        <v>36.534879704545176</v>
      </c>
      <c r="P114" s="30">
        <f t="shared" si="3"/>
        <v>48.671938834099052</v>
      </c>
    </row>
    <row r="115" spans="2:16" x14ac:dyDescent="0.35">
      <c r="B115" s="18" t="s">
        <v>2695</v>
      </c>
      <c r="C115" s="13" t="s">
        <v>2696</v>
      </c>
      <c r="D115" s="13" t="s">
        <v>2759</v>
      </c>
      <c r="E115" s="13" t="s">
        <v>2760</v>
      </c>
      <c r="F115" s="13">
        <v>86.596138366489299</v>
      </c>
      <c r="G115" s="13">
        <v>73.617101676573284</v>
      </c>
      <c r="H115" s="13">
        <v>3.1543905203503906</v>
      </c>
      <c r="I115" s="13">
        <v>78.381865093991891</v>
      </c>
      <c r="J115" s="13">
        <v>66.744001928295177</v>
      </c>
      <c r="K115" s="13">
        <v>27.710954517090649</v>
      </c>
      <c r="L115" s="13">
        <v>81.406310496875491</v>
      </c>
      <c r="M115" s="13">
        <v>51.356056306265138</v>
      </c>
      <c r="N115" s="13">
        <v>70.104428192209056</v>
      </c>
      <c r="O115" s="13">
        <f t="shared" si="2"/>
        <v>59.896805233126706</v>
      </c>
      <c r="P115" s="30">
        <f t="shared" si="3"/>
        <v>79.794858040559646</v>
      </c>
    </row>
    <row r="116" spans="2:16" x14ac:dyDescent="0.35">
      <c r="B116" s="18" t="s">
        <v>2695</v>
      </c>
      <c r="C116" s="13" t="s">
        <v>2696</v>
      </c>
      <c r="D116" s="13" t="s">
        <v>2761</v>
      </c>
      <c r="E116" s="13" t="s">
        <v>2762</v>
      </c>
      <c r="F116" s="13">
        <v>40.431114688633585</v>
      </c>
      <c r="G116" s="13">
        <v>42.766407821195969</v>
      </c>
      <c r="H116" s="13">
        <v>2.6873874125581634</v>
      </c>
      <c r="I116" s="13">
        <v>36.375125059238592</v>
      </c>
      <c r="J116" s="13">
        <v>40.739096512829612</v>
      </c>
      <c r="K116" s="13">
        <v>15.111157083083151</v>
      </c>
      <c r="L116" s="13">
        <v>36.892180079609496</v>
      </c>
      <c r="M116" s="13">
        <v>24.627477035783421</v>
      </c>
      <c r="N116" s="13">
        <v>25.88272010437958</v>
      </c>
      <c r="O116" s="13">
        <f t="shared" si="2"/>
        <v>29.501407310812397</v>
      </c>
      <c r="P116" s="30">
        <f t="shared" si="3"/>
        <v>39.301898133335477</v>
      </c>
    </row>
    <row r="117" spans="2:16" x14ac:dyDescent="0.35">
      <c r="B117" s="18" t="s">
        <v>2695</v>
      </c>
      <c r="C117" s="13" t="s">
        <v>2696</v>
      </c>
      <c r="D117" s="13" t="s">
        <v>2763</v>
      </c>
      <c r="E117" s="13" t="s">
        <v>2764</v>
      </c>
      <c r="F117" s="13">
        <v>11.104025758161804</v>
      </c>
      <c r="G117" s="13">
        <v>9.9796797532935724</v>
      </c>
      <c r="H117" s="13">
        <v>1.998659754927536</v>
      </c>
      <c r="I117" s="13">
        <v>11.078932125743773</v>
      </c>
      <c r="J117" s="13">
        <v>9.6417251804810693</v>
      </c>
      <c r="K117" s="13">
        <v>7.0640181873827395</v>
      </c>
      <c r="L117" s="13">
        <v>7.0525023522114925</v>
      </c>
      <c r="M117" s="13">
        <v>2.4777378653076911</v>
      </c>
      <c r="N117" s="13">
        <v>4.8324653939625897</v>
      </c>
      <c r="O117" s="13">
        <f t="shared" si="2"/>
        <v>7.2477495968302517</v>
      </c>
      <c r="P117" s="30">
        <f t="shared" si="3"/>
        <v>9.6554209954320456</v>
      </c>
    </row>
    <row r="118" spans="2:16" x14ac:dyDescent="0.35">
      <c r="B118" s="18" t="s">
        <v>2695</v>
      </c>
      <c r="C118" s="13" t="s">
        <v>2696</v>
      </c>
      <c r="D118" s="13" t="s">
        <v>2765</v>
      </c>
      <c r="E118" s="13" t="s">
        <v>2766</v>
      </c>
      <c r="F118" s="13">
        <v>78.497579945431156</v>
      </c>
      <c r="G118" s="13">
        <v>82.722621597260598</v>
      </c>
      <c r="H118" s="13">
        <v>3.1601745113064919</v>
      </c>
      <c r="I118" s="13">
        <v>72.357959033226265</v>
      </c>
      <c r="J118" s="13">
        <v>74.76480839183472</v>
      </c>
      <c r="K118" s="13">
        <v>27.692463538844635</v>
      </c>
      <c r="L118" s="13">
        <v>66.607274273438335</v>
      </c>
      <c r="M118" s="13">
        <v>48.011671143422376</v>
      </c>
      <c r="N118" s="13">
        <v>49.634600171567776</v>
      </c>
      <c r="O118" s="13">
        <f t="shared" si="2"/>
        <v>55.938794734036918</v>
      </c>
      <c r="P118" s="30">
        <f t="shared" si="3"/>
        <v>74.521969004474542</v>
      </c>
    </row>
    <row r="119" spans="2:16" x14ac:dyDescent="0.35">
      <c r="B119" s="18" t="s">
        <v>2695</v>
      </c>
      <c r="C119" s="13" t="s">
        <v>2696</v>
      </c>
      <c r="D119" s="13" t="s">
        <v>2767</v>
      </c>
      <c r="E119" s="13" t="s">
        <v>2768</v>
      </c>
      <c r="F119" s="13">
        <v>24.210999487763829</v>
      </c>
      <c r="G119" s="13">
        <v>23.816441546421039</v>
      </c>
      <c r="H119" s="13">
        <v>2.5142712724584446</v>
      </c>
      <c r="I119" s="13">
        <v>23.268916855352536</v>
      </c>
      <c r="J119" s="13">
        <v>19.83598721397637</v>
      </c>
      <c r="K119" s="13">
        <v>19.319150581818175</v>
      </c>
      <c r="L119" s="13">
        <v>39.096709465827956</v>
      </c>
      <c r="M119" s="13">
        <v>17.63791158523015</v>
      </c>
      <c r="N119" s="13">
        <v>28.793684724277881</v>
      </c>
      <c r="O119" s="13">
        <f t="shared" si="2"/>
        <v>22.054896970347375</v>
      </c>
      <c r="P119" s="30">
        <f t="shared" si="3"/>
        <v>29.381605415475853</v>
      </c>
    </row>
    <row r="120" spans="2:16" x14ac:dyDescent="0.35">
      <c r="B120" s="18" t="s">
        <v>2695</v>
      </c>
      <c r="C120" s="13" t="s">
        <v>2696</v>
      </c>
      <c r="D120" s="13" t="s">
        <v>2769</v>
      </c>
      <c r="E120" s="13" t="s">
        <v>2770</v>
      </c>
      <c r="F120" s="13">
        <v>27.088930471779971</v>
      </c>
      <c r="G120" s="13">
        <v>21.421460039684344</v>
      </c>
      <c r="H120" s="13">
        <v>0.98169117142596873</v>
      </c>
      <c r="I120" s="13">
        <v>27.078616186614713</v>
      </c>
      <c r="J120" s="13">
        <v>20.445429269151809</v>
      </c>
      <c r="K120" s="13">
        <v>8.818561592469111</v>
      </c>
      <c r="L120" s="13">
        <v>25.938539616530644</v>
      </c>
      <c r="M120" s="13">
        <v>33.401964000398905</v>
      </c>
      <c r="N120" s="13">
        <v>19.341901135607571</v>
      </c>
      <c r="O120" s="13">
        <f t="shared" si="2"/>
        <v>20.501899275962561</v>
      </c>
      <c r="P120" s="30">
        <f t="shared" si="3"/>
        <v>27.312691116822457</v>
      </c>
    </row>
    <row r="121" spans="2:16" x14ac:dyDescent="0.35">
      <c r="B121" s="18" t="s">
        <v>2695</v>
      </c>
      <c r="C121" s="13" t="s">
        <v>2696</v>
      </c>
      <c r="D121" s="13" t="s">
        <v>2771</v>
      </c>
      <c r="E121" s="13" t="s">
        <v>2772</v>
      </c>
      <c r="F121" s="13">
        <v>9.8265714673998264E-2</v>
      </c>
      <c r="G121" s="13">
        <v>0.15069474330891836</v>
      </c>
      <c r="H121" s="13">
        <v>5.4788780367077253E-2</v>
      </c>
      <c r="I121" s="13">
        <v>8.9516086567321365E-2</v>
      </c>
      <c r="J121" s="13">
        <v>0.13981744222171996</v>
      </c>
      <c r="K121" s="13">
        <v>0.41916511527850225</v>
      </c>
      <c r="L121" s="13">
        <v>-2.3553105848897319E-3</v>
      </c>
      <c r="M121" s="13">
        <v>0</v>
      </c>
      <c r="N121" s="13">
        <v>-1.0532589289620603E-3</v>
      </c>
      <c r="O121" s="13">
        <f t="shared" si="2"/>
        <v>0.10542659032263173</v>
      </c>
      <c r="P121" s="30">
        <f t="shared" si="3"/>
        <v>0.14036875343997904</v>
      </c>
    </row>
    <row r="122" spans="2:16" x14ac:dyDescent="0.35">
      <c r="B122" s="18" t="s">
        <v>2695</v>
      </c>
      <c r="C122" s="13" t="s">
        <v>2696</v>
      </c>
      <c r="D122" s="13" t="s">
        <v>2773</v>
      </c>
      <c r="E122" s="13" t="s">
        <v>2774</v>
      </c>
      <c r="F122" s="13">
        <v>1.2586374517818502</v>
      </c>
      <c r="G122" s="13">
        <v>1.4021510866737408</v>
      </c>
      <c r="H122" s="13">
        <v>1.0248336306195312E-2</v>
      </c>
      <c r="I122" s="13">
        <v>1.3322099942077825</v>
      </c>
      <c r="J122" s="13">
        <v>1.2432318588148084</v>
      </c>
      <c r="K122" s="13">
        <v>0.13902672849472222</v>
      </c>
      <c r="L122" s="13">
        <v>0.75667451632457494</v>
      </c>
      <c r="M122" s="13">
        <v>0.19645201163054343</v>
      </c>
      <c r="N122" s="13">
        <v>0.55296093770508159</v>
      </c>
      <c r="O122" s="13">
        <f t="shared" si="2"/>
        <v>0.76573254688214432</v>
      </c>
      <c r="P122" s="30">
        <f t="shared" si="3"/>
        <v>1.020032928056247</v>
      </c>
    </row>
    <row r="123" spans="2:16" x14ac:dyDescent="0.35">
      <c r="B123" s="18" t="s">
        <v>2695</v>
      </c>
      <c r="C123" s="13" t="s">
        <v>2696</v>
      </c>
      <c r="D123" s="13" t="s">
        <v>2775</v>
      </c>
      <c r="E123" s="13" t="s">
        <v>2776</v>
      </c>
      <c r="F123" s="13">
        <v>66.317858225572081</v>
      </c>
      <c r="G123" s="13">
        <v>51.95486893894121</v>
      </c>
      <c r="H123" s="13">
        <v>61.925880755140653</v>
      </c>
      <c r="I123" s="13">
        <v>66.152387973250484</v>
      </c>
      <c r="J123" s="13">
        <v>45.519637157268903</v>
      </c>
      <c r="K123" s="13">
        <v>83.700637313005117</v>
      </c>
      <c r="L123" s="13">
        <v>100</v>
      </c>
      <c r="M123" s="13">
        <v>100</v>
      </c>
      <c r="N123" s="13">
        <v>100</v>
      </c>
      <c r="O123" s="13">
        <f t="shared" si="2"/>
        <v>75.063474484797609</v>
      </c>
      <c r="P123" s="30">
        <f t="shared" si="3"/>
        <v>100</v>
      </c>
    </row>
    <row r="124" spans="2:16" x14ac:dyDescent="0.35">
      <c r="B124" s="18" t="s">
        <v>2695</v>
      </c>
      <c r="C124" s="13" t="s">
        <v>2696</v>
      </c>
      <c r="D124" s="13" t="s">
        <v>2777</v>
      </c>
      <c r="E124" s="13" t="s">
        <v>2778</v>
      </c>
      <c r="F124" s="13">
        <v>20.44135941207832</v>
      </c>
      <c r="G124" s="13">
        <v>19.946364792187666</v>
      </c>
      <c r="H124" s="13">
        <v>13.39905655355035</v>
      </c>
      <c r="I124" s="13">
        <v>20.833552735506291</v>
      </c>
      <c r="J124" s="13">
        <v>18.593152378322319</v>
      </c>
      <c r="K124" s="13">
        <v>24.651157469810421</v>
      </c>
      <c r="L124" s="13">
        <v>24.627871257897006</v>
      </c>
      <c r="M124" s="13">
        <v>11.123767686691059</v>
      </c>
      <c r="N124" s="13">
        <v>16.502169227274155</v>
      </c>
      <c r="O124" s="13">
        <f t="shared" si="2"/>
        <v>18.902050168146395</v>
      </c>
      <c r="P124" s="30">
        <f t="shared" si="3"/>
        <v>25.181361040276585</v>
      </c>
    </row>
    <row r="125" spans="2:16" x14ac:dyDescent="0.35">
      <c r="B125" s="18" t="s">
        <v>2695</v>
      </c>
      <c r="C125" s="13" t="s">
        <v>2696</v>
      </c>
      <c r="D125" s="13" t="s">
        <v>2779</v>
      </c>
      <c r="E125" s="13" t="s">
        <v>2780</v>
      </c>
      <c r="F125" s="13">
        <v>40.495928245120687</v>
      </c>
      <c r="G125" s="13">
        <v>41.321288446354728</v>
      </c>
      <c r="H125" s="13">
        <v>5.202776382786781</v>
      </c>
      <c r="I125" s="13">
        <v>42.367437207098099</v>
      </c>
      <c r="J125" s="13">
        <v>43.105251020240708</v>
      </c>
      <c r="K125" s="13">
        <v>20.347318248766737</v>
      </c>
      <c r="L125" s="13">
        <v>34.757938119792748</v>
      </c>
      <c r="M125" s="13">
        <v>25.225478118403956</v>
      </c>
      <c r="N125" s="13">
        <v>26.662455791481953</v>
      </c>
      <c r="O125" s="13">
        <f t="shared" si="2"/>
        <v>31.053985731116267</v>
      </c>
      <c r="P125" s="30">
        <f t="shared" si="3"/>
        <v>41.370253872150535</v>
      </c>
    </row>
    <row r="126" spans="2:16" x14ac:dyDescent="0.35">
      <c r="B126" s="18" t="s">
        <v>2695</v>
      </c>
      <c r="C126" s="13" t="s">
        <v>2696</v>
      </c>
      <c r="D126" s="13" t="s">
        <v>2781</v>
      </c>
      <c r="E126" s="13" t="s">
        <v>2782</v>
      </c>
      <c r="F126" s="13">
        <v>33.198130860661308</v>
      </c>
      <c r="G126" s="13">
        <v>31.290354793803793</v>
      </c>
      <c r="H126" s="13">
        <v>0.9733985127260697</v>
      </c>
      <c r="I126" s="13">
        <v>30.372281607077035</v>
      </c>
      <c r="J126" s="13">
        <v>29.90301529421512</v>
      </c>
      <c r="K126" s="13">
        <v>10.008777806589888</v>
      </c>
      <c r="L126" s="13">
        <v>28.509918956655262</v>
      </c>
      <c r="M126" s="13">
        <v>17.764738063205602</v>
      </c>
      <c r="N126" s="13">
        <v>22.265926166225</v>
      </c>
      <c r="O126" s="13">
        <f t="shared" si="2"/>
        <v>22.698504673462121</v>
      </c>
      <c r="P126" s="30">
        <f t="shared" si="3"/>
        <v>30.239024061048948</v>
      </c>
    </row>
    <row r="127" spans="2:16" x14ac:dyDescent="0.35">
      <c r="B127" s="18" t="s">
        <v>2695</v>
      </c>
      <c r="C127" s="13" t="s">
        <v>2937</v>
      </c>
      <c r="D127" s="13" t="s">
        <v>2938</v>
      </c>
      <c r="E127" s="13" t="s">
        <v>2939</v>
      </c>
      <c r="F127" s="13">
        <v>8.3212243489896398</v>
      </c>
      <c r="G127" s="13">
        <v>9.7730184425027034</v>
      </c>
      <c r="H127" s="13">
        <v>0.3273068449595587</v>
      </c>
      <c r="I127" s="13">
        <v>7.3166236638407671</v>
      </c>
      <c r="J127" s="13">
        <v>9.2125434546046652</v>
      </c>
      <c r="K127" s="13">
        <v>2.8163552828663803</v>
      </c>
      <c r="L127" s="13">
        <v>14.120004313937281</v>
      </c>
      <c r="M127" s="13">
        <v>7.839970174958788</v>
      </c>
      <c r="N127" s="13">
        <v>11.189450169671913</v>
      </c>
      <c r="O127" s="13">
        <f t="shared" si="2"/>
        <v>7.8796107440368548</v>
      </c>
      <c r="P127" s="30">
        <f t="shared" si="3"/>
        <v>10.497190797760778</v>
      </c>
    </row>
    <row r="128" spans="2:16" x14ac:dyDescent="0.35">
      <c r="B128" s="18" t="s">
        <v>2695</v>
      </c>
      <c r="C128" s="13" t="s">
        <v>2937</v>
      </c>
      <c r="D128" s="13" t="s">
        <v>2942</v>
      </c>
      <c r="E128" s="13" t="s">
        <v>2943</v>
      </c>
      <c r="F128" s="13">
        <v>0.27702568498520791</v>
      </c>
      <c r="G128" s="13">
        <v>0.2219923615322793</v>
      </c>
      <c r="H128" s="13">
        <v>4.5850388799868362E-4</v>
      </c>
      <c r="I128" s="13">
        <v>0.23432152072034121</v>
      </c>
      <c r="J128" s="13">
        <v>0.26484336220677274</v>
      </c>
      <c r="K128" s="13">
        <v>6.2322280803308178E-3</v>
      </c>
      <c r="L128" s="13">
        <v>0</v>
      </c>
      <c r="M128" s="13">
        <v>4.2104212494256459E-4</v>
      </c>
      <c r="N128" s="13">
        <v>0</v>
      </c>
      <c r="O128" s="13">
        <f t="shared" si="2"/>
        <v>0.11169941150420812</v>
      </c>
      <c r="P128" s="30">
        <f t="shared" si="3"/>
        <v>0.14872544932071582</v>
      </c>
    </row>
    <row r="129" spans="2:16" x14ac:dyDescent="0.35">
      <c r="B129" s="18" t="s">
        <v>2695</v>
      </c>
      <c r="C129" s="13" t="s">
        <v>2937</v>
      </c>
      <c r="D129" s="13" t="s">
        <v>2946</v>
      </c>
      <c r="E129" s="13" t="s">
        <v>2947</v>
      </c>
      <c r="F129" s="13">
        <v>2.039536269457134</v>
      </c>
      <c r="G129" s="13">
        <v>2.0362782973168643</v>
      </c>
      <c r="H129" s="13">
        <v>1.1589593315301915E-2</v>
      </c>
      <c r="I129" s="13">
        <v>1.8219156442525406</v>
      </c>
      <c r="J129" s="13">
        <v>1.9862885299940458</v>
      </c>
      <c r="K129" s="13">
        <v>0.14826757264364546</v>
      </c>
      <c r="L129" s="13">
        <v>2.9338079215293156E-3</v>
      </c>
      <c r="M129" s="13">
        <v>1.1628269508241146E-3</v>
      </c>
      <c r="N129" s="13">
        <v>2.7060652482563704E-3</v>
      </c>
      <c r="O129" s="13">
        <f t="shared" si="2"/>
        <v>0.89451984523334904</v>
      </c>
      <c r="P129" s="30">
        <f t="shared" si="3"/>
        <v>1.1916042600724848</v>
      </c>
    </row>
    <row r="130" spans="2:16" x14ac:dyDescent="0.35">
      <c r="B130" s="18" t="s">
        <v>2695</v>
      </c>
      <c r="C130" s="13" t="s">
        <v>2937</v>
      </c>
      <c r="D130" s="13" t="s">
        <v>2937</v>
      </c>
      <c r="E130" s="13" t="s">
        <v>2948</v>
      </c>
      <c r="F130" s="13">
        <v>2.123166664924367</v>
      </c>
      <c r="G130" s="13">
        <v>1.8936208433581398</v>
      </c>
      <c r="H130" s="13">
        <v>4.9971794781862512E-2</v>
      </c>
      <c r="I130" s="13">
        <v>1.9482912958769942</v>
      </c>
      <c r="J130" s="13">
        <v>2.0183438753086862</v>
      </c>
      <c r="K130" s="13">
        <v>0.67754378919918512</v>
      </c>
      <c r="L130" s="13">
        <v>1.2638513956041642</v>
      </c>
      <c r="M130" s="13">
        <v>0.33128782045638105</v>
      </c>
      <c r="N130" s="13">
        <v>0.83928532654753718</v>
      </c>
      <c r="O130" s="13">
        <f t="shared" si="2"/>
        <v>1.2383736451174796</v>
      </c>
      <c r="P130" s="30">
        <f t="shared" si="3"/>
        <v>1.6496886769385308</v>
      </c>
    </row>
    <row r="131" spans="2:16" x14ac:dyDescent="0.35">
      <c r="B131" s="18" t="s">
        <v>2695</v>
      </c>
      <c r="C131" s="13" t="s">
        <v>2937</v>
      </c>
      <c r="D131" s="13" t="s">
        <v>2955</v>
      </c>
      <c r="E131" s="13" t="s">
        <v>2956</v>
      </c>
      <c r="F131" s="13">
        <v>2.6469020165379105</v>
      </c>
      <c r="G131" s="13">
        <v>2.3334090749341247</v>
      </c>
      <c r="H131" s="13">
        <v>5.6102555361832666E-2</v>
      </c>
      <c r="I131" s="13">
        <v>2.4221999894686959</v>
      </c>
      <c r="J131" s="13">
        <v>2.2640377876011528</v>
      </c>
      <c r="K131" s="13">
        <v>0.72093448278658201</v>
      </c>
      <c r="L131" s="13">
        <v>0.8141110376052193</v>
      </c>
      <c r="M131" s="13">
        <v>0.11433183283718709</v>
      </c>
      <c r="N131" s="13">
        <v>0.48273287311859597</v>
      </c>
      <c r="O131" s="13">
        <f t="shared" si="2"/>
        <v>1.3171957389168114</v>
      </c>
      <c r="P131" s="30">
        <f t="shared" si="3"/>
        <v>1.7546960169370847</v>
      </c>
    </row>
    <row r="132" spans="2:16" x14ac:dyDescent="0.35">
      <c r="B132" s="18" t="s">
        <v>3039</v>
      </c>
      <c r="C132" s="13" t="s">
        <v>3040</v>
      </c>
      <c r="D132" s="13" t="s">
        <v>3041</v>
      </c>
      <c r="E132" s="13" t="s">
        <v>3042</v>
      </c>
      <c r="F132" s="13">
        <v>20.409998013778107</v>
      </c>
      <c r="G132" s="13">
        <v>27.324496310230295</v>
      </c>
      <c r="H132" s="13">
        <v>2.3743197822067041</v>
      </c>
      <c r="I132" s="13">
        <v>15.41519667210784</v>
      </c>
      <c r="J132" s="13">
        <v>21.101028298069842</v>
      </c>
      <c r="K132" s="13">
        <v>18.309274822797889</v>
      </c>
      <c r="L132" s="13">
        <v>4.0554729360351365</v>
      </c>
      <c r="M132" s="13">
        <v>1.2679918617279242</v>
      </c>
      <c r="N132" s="13">
        <v>2.4710750792131737</v>
      </c>
      <c r="O132" s="13">
        <f t="shared" ref="O132:O171" si="4">SUMPRODUCT(F132:N132,$F$173:$N$173)</f>
        <v>12.525428197351879</v>
      </c>
      <c r="P132" s="30">
        <f t="shared" ref="P132:P171" si="5">(O132-MIN($O$3:$O$171))/(MAX($O$3:$O$171)-MIN($O$3:$O$171))*100</f>
        <v>16.686381028274589</v>
      </c>
    </row>
    <row r="133" spans="2:16" x14ac:dyDescent="0.35">
      <c r="B133" s="18" t="s">
        <v>3039</v>
      </c>
      <c r="C133" s="13" t="s">
        <v>3040</v>
      </c>
      <c r="D133" s="13" t="s">
        <v>3055</v>
      </c>
      <c r="E133" s="13" t="s">
        <v>3056</v>
      </c>
      <c r="F133" s="13">
        <v>5.9712102363604052</v>
      </c>
      <c r="G133" s="13">
        <v>6.8844703077513962</v>
      </c>
      <c r="H133" s="13">
        <v>0.12968341709951825</v>
      </c>
      <c r="I133" s="13">
        <v>3.9860986783213099</v>
      </c>
      <c r="J133" s="13">
        <v>5.7021318222352022</v>
      </c>
      <c r="K133" s="13">
        <v>1.6344628622975272</v>
      </c>
      <c r="L133" s="13">
        <v>-2.3553105848897319E-3</v>
      </c>
      <c r="M133" s="13">
        <v>0</v>
      </c>
      <c r="N133" s="13">
        <v>-1.0532589289620603E-3</v>
      </c>
      <c r="O133" s="13">
        <f t="shared" si="4"/>
        <v>2.7005165282835004</v>
      </c>
      <c r="P133" s="30">
        <f t="shared" si="5"/>
        <v>3.5975655659990715</v>
      </c>
    </row>
    <row r="134" spans="2:16" x14ac:dyDescent="0.35">
      <c r="B134" s="18" t="s">
        <v>3039</v>
      </c>
      <c r="C134" s="13" t="s">
        <v>3040</v>
      </c>
      <c r="D134" s="13" t="s">
        <v>3059</v>
      </c>
      <c r="E134" s="13" t="s">
        <v>3060</v>
      </c>
      <c r="F134" s="13">
        <v>4.2599232691121589</v>
      </c>
      <c r="G134" s="13">
        <v>4.2136220544747012</v>
      </c>
      <c r="H134" s="13">
        <v>1.0272458135496976</v>
      </c>
      <c r="I134" s="13">
        <v>3.0066873782317942</v>
      </c>
      <c r="J134" s="13">
        <v>4.0476915413211385</v>
      </c>
      <c r="K134" s="13">
        <v>2.1982353106443866</v>
      </c>
      <c r="L134" s="13">
        <v>1.4569042210884593</v>
      </c>
      <c r="M134" s="13">
        <v>0.31579059642536744</v>
      </c>
      <c r="N134" s="13">
        <v>0.76740445564175719</v>
      </c>
      <c r="O134" s="13">
        <f t="shared" si="4"/>
        <v>2.3659449600543843</v>
      </c>
      <c r="P134" s="30">
        <f t="shared" si="5"/>
        <v>3.1518470025170386</v>
      </c>
    </row>
    <row r="135" spans="2:16" x14ac:dyDescent="0.35">
      <c r="B135" s="18" t="s">
        <v>3039</v>
      </c>
      <c r="C135" s="13" t="s">
        <v>3040</v>
      </c>
      <c r="D135" s="13" t="s">
        <v>3061</v>
      </c>
      <c r="E135" s="13" t="s">
        <v>3062</v>
      </c>
      <c r="F135" s="13">
        <v>7.3448394819097</v>
      </c>
      <c r="G135" s="13">
        <v>7.0053929250451823</v>
      </c>
      <c r="H135" s="13">
        <v>0.57248204859701046</v>
      </c>
      <c r="I135" s="13">
        <v>4.8996893265230899</v>
      </c>
      <c r="J135" s="13">
        <v>5.649928095592383</v>
      </c>
      <c r="K135" s="13">
        <v>4.7717526757273658</v>
      </c>
      <c r="L135" s="13">
        <v>1.3557911508915264</v>
      </c>
      <c r="M135" s="13">
        <v>0.26714222918481895</v>
      </c>
      <c r="N135" s="13">
        <v>0.73517473241551801</v>
      </c>
      <c r="O135" s="13">
        <f t="shared" si="4"/>
        <v>3.6224658517651775</v>
      </c>
      <c r="P135" s="30">
        <f t="shared" si="5"/>
        <v>4.8257928485518997</v>
      </c>
    </row>
    <row r="136" spans="2:16" x14ac:dyDescent="0.35">
      <c r="B136" s="18" t="s">
        <v>3152</v>
      </c>
      <c r="C136" s="13" t="s">
        <v>3153</v>
      </c>
      <c r="D136" s="13" t="s">
        <v>3153</v>
      </c>
      <c r="E136" s="13" t="s">
        <v>3154</v>
      </c>
      <c r="F136" s="13">
        <v>13.759290814246439</v>
      </c>
      <c r="G136" s="13">
        <v>9.3184581705496967</v>
      </c>
      <c r="H136" s="13">
        <v>0.6105353369676999</v>
      </c>
      <c r="I136" s="13">
        <v>12.558580380180084</v>
      </c>
      <c r="J136" s="13">
        <v>8.6973749686703012</v>
      </c>
      <c r="K136" s="13">
        <v>7.8457487452033847</v>
      </c>
      <c r="L136" s="13">
        <v>3.5817662598039806</v>
      </c>
      <c r="M136" s="13">
        <v>1.448208226918976</v>
      </c>
      <c r="N136" s="13">
        <v>2.3755850043151208</v>
      </c>
      <c r="O136" s="13">
        <f t="shared" si="4"/>
        <v>6.6883942118728541</v>
      </c>
      <c r="P136" s="30">
        <f t="shared" si="5"/>
        <v>8.9102438724064008</v>
      </c>
    </row>
    <row r="137" spans="2:16" x14ac:dyDescent="0.35">
      <c r="B137" s="18" t="s">
        <v>3152</v>
      </c>
      <c r="C137" s="13" t="s">
        <v>3153</v>
      </c>
      <c r="D137" s="13" t="s">
        <v>3155</v>
      </c>
      <c r="E137" s="13" t="s">
        <v>3156</v>
      </c>
      <c r="F137" s="13">
        <v>1.2513197921784673</v>
      </c>
      <c r="G137" s="13">
        <v>0.27544425219916341</v>
      </c>
      <c r="H137" s="13">
        <v>3.2763041960044571E-2</v>
      </c>
      <c r="I137" s="13">
        <v>1.4638512979832552</v>
      </c>
      <c r="J137" s="13">
        <v>0.28623535562816427</v>
      </c>
      <c r="K137" s="13">
        <v>0.44530437513161036</v>
      </c>
      <c r="L137" s="13">
        <v>-2.3553105848897319E-3</v>
      </c>
      <c r="M137" s="13">
        <v>0</v>
      </c>
      <c r="N137" s="13">
        <v>-1.0532589289620603E-3</v>
      </c>
      <c r="O137" s="13">
        <f t="shared" si="4"/>
        <v>0.41683439395187249</v>
      </c>
      <c r="P137" s="30">
        <f t="shared" si="5"/>
        <v>0.55522838907903993</v>
      </c>
    </row>
    <row r="138" spans="2:16" x14ac:dyDescent="0.35">
      <c r="B138" s="18" t="s">
        <v>3152</v>
      </c>
      <c r="C138" s="13" t="s">
        <v>3153</v>
      </c>
      <c r="D138" s="13" t="s">
        <v>3157</v>
      </c>
      <c r="E138" s="13" t="s">
        <v>3158</v>
      </c>
      <c r="F138" s="13">
        <v>0.91993435013955815</v>
      </c>
      <c r="G138" s="13">
        <v>0.24681276964100599</v>
      </c>
      <c r="H138" s="13">
        <v>9.5533216088234008E-2</v>
      </c>
      <c r="I138" s="13">
        <v>0.7714180401242694</v>
      </c>
      <c r="J138" s="13">
        <v>0.32379554987340897</v>
      </c>
      <c r="K138" s="13">
        <v>0.6622764229649164</v>
      </c>
      <c r="L138" s="13">
        <v>-2.3553105848897319E-3</v>
      </c>
      <c r="M138" s="13">
        <v>0</v>
      </c>
      <c r="N138" s="13">
        <v>-1.0532589289620603E-3</v>
      </c>
      <c r="O138" s="13">
        <f t="shared" si="4"/>
        <v>0.3351513088130601</v>
      </c>
      <c r="P138" s="30">
        <f t="shared" si="5"/>
        <v>0.44640961657676931</v>
      </c>
    </row>
    <row r="139" spans="2:16" x14ac:dyDescent="0.35">
      <c r="B139" s="18" t="s">
        <v>3152</v>
      </c>
      <c r="C139" s="13" t="s">
        <v>3153</v>
      </c>
      <c r="D139" s="13" t="s">
        <v>3159</v>
      </c>
      <c r="E139" s="13" t="s">
        <v>3160</v>
      </c>
      <c r="F139" s="13">
        <v>0.3867905790359506</v>
      </c>
      <c r="G139" s="13">
        <v>0.11232008763070334</v>
      </c>
      <c r="H139" s="13">
        <v>1.9302677791613689E-3</v>
      </c>
      <c r="I139" s="13">
        <v>0.4238849981570218</v>
      </c>
      <c r="J139" s="13">
        <v>0.10843644556462388</v>
      </c>
      <c r="K139" s="13">
        <v>1.3231540451639323E-2</v>
      </c>
      <c r="L139" s="13">
        <v>-2.3553105848897319E-3</v>
      </c>
      <c r="M139" s="13">
        <v>0</v>
      </c>
      <c r="N139" s="13">
        <v>-1.0532589289620603E-3</v>
      </c>
      <c r="O139" s="13">
        <f t="shared" si="4"/>
        <v>0.11590948323391649</v>
      </c>
      <c r="P139" s="30">
        <f t="shared" si="5"/>
        <v>0.15433413607630078</v>
      </c>
    </row>
    <row r="140" spans="2:16" x14ac:dyDescent="0.35">
      <c r="B140" s="18" t="s">
        <v>3278</v>
      </c>
      <c r="C140" s="13" t="s">
        <v>3278</v>
      </c>
      <c r="D140" s="13" t="s">
        <v>3278</v>
      </c>
      <c r="E140" s="13" t="s">
        <v>3279</v>
      </c>
      <c r="F140" s="13">
        <v>29.226732455911105</v>
      </c>
      <c r="G140" s="13">
        <v>39.35935319925612</v>
      </c>
      <c r="H140" s="13">
        <v>3.0259317050638375</v>
      </c>
      <c r="I140" s="13">
        <v>28.642514875467327</v>
      </c>
      <c r="J140" s="13">
        <v>36.658758910449556</v>
      </c>
      <c r="K140" s="13">
        <v>21.560740753392764</v>
      </c>
      <c r="L140" s="13">
        <v>51.854931049315653</v>
      </c>
      <c r="M140" s="13">
        <v>60.292165253460929</v>
      </c>
      <c r="N140" s="13">
        <v>44.233455975883288</v>
      </c>
      <c r="O140" s="13">
        <f t="shared" si="4"/>
        <v>34.98384268646673</v>
      </c>
      <c r="P140" s="30">
        <f t="shared" si="5"/>
        <v>46.605636562018482</v>
      </c>
    </row>
    <row r="141" spans="2:16" x14ac:dyDescent="0.35">
      <c r="B141" s="18" t="s">
        <v>3278</v>
      </c>
      <c r="C141" s="13" t="s">
        <v>3278</v>
      </c>
      <c r="D141" s="13" t="s">
        <v>857</v>
      </c>
      <c r="E141" s="13" t="s">
        <v>3280</v>
      </c>
      <c r="F141" s="13">
        <v>13.477038229544528</v>
      </c>
      <c r="G141" s="13">
        <v>15.226344202798073</v>
      </c>
      <c r="H141" s="13">
        <v>0.77136193880755821</v>
      </c>
      <c r="I141" s="13">
        <v>13.122005160339109</v>
      </c>
      <c r="J141" s="13">
        <v>14.835134469164055</v>
      </c>
      <c r="K141" s="13">
        <v>4.323840479433521</v>
      </c>
      <c r="L141" s="13">
        <v>12.778923523891732</v>
      </c>
      <c r="M141" s="13">
        <v>3.5637736735584196</v>
      </c>
      <c r="N141" s="13">
        <v>8.8260343569821842</v>
      </c>
      <c r="O141" s="13">
        <f t="shared" si="4"/>
        <v>9.6582728927243533</v>
      </c>
      <c r="P141" s="30">
        <f t="shared" si="5"/>
        <v>12.866736847441715</v>
      </c>
    </row>
    <row r="142" spans="2:16" x14ac:dyDescent="0.35">
      <c r="B142" s="18" t="s">
        <v>3278</v>
      </c>
      <c r="C142" s="13" t="s">
        <v>3278</v>
      </c>
      <c r="D142" s="13" t="s">
        <v>3281</v>
      </c>
      <c r="E142" s="13" t="s">
        <v>3282</v>
      </c>
      <c r="F142" s="13">
        <v>3.8595427508127824</v>
      </c>
      <c r="G142" s="13">
        <v>6.8309043962755887</v>
      </c>
      <c r="H142" s="13">
        <v>0.11145189166389752</v>
      </c>
      <c r="I142" s="13">
        <v>3.7438786793744407</v>
      </c>
      <c r="J142" s="13">
        <v>7.1907513538645231</v>
      </c>
      <c r="K142" s="13">
        <v>0.83639792133959356</v>
      </c>
      <c r="L142" s="13">
        <v>3.6448637907360264</v>
      </c>
      <c r="M142" s="13">
        <v>1.077012189862961</v>
      </c>
      <c r="N142" s="13">
        <v>3.0645297717409656</v>
      </c>
      <c r="O142" s="13">
        <f t="shared" si="4"/>
        <v>3.3732591939634196</v>
      </c>
      <c r="P142" s="30">
        <f t="shared" si="5"/>
        <v>4.4937980107553637</v>
      </c>
    </row>
    <row r="143" spans="2:16" x14ac:dyDescent="0.35">
      <c r="B143" s="18" t="s">
        <v>3278</v>
      </c>
      <c r="C143" s="13" t="s">
        <v>3278</v>
      </c>
      <c r="D143" s="13" t="s">
        <v>3295</v>
      </c>
      <c r="E143" s="13" t="s">
        <v>3296</v>
      </c>
      <c r="F143" s="13">
        <v>8.187415716242068</v>
      </c>
      <c r="G143" s="13">
        <v>11.34745059956507</v>
      </c>
      <c r="H143" s="13">
        <v>0.32615969434161829</v>
      </c>
      <c r="I143" s="13">
        <v>9.1095782212627032</v>
      </c>
      <c r="J143" s="13">
        <v>11.435978550974529</v>
      </c>
      <c r="K143" s="13">
        <v>3.029180032413691</v>
      </c>
      <c r="L143" s="13">
        <v>5.4503539783881658</v>
      </c>
      <c r="M143" s="13">
        <v>1.2309594278773961</v>
      </c>
      <c r="N143" s="13">
        <v>3.5201857883934755</v>
      </c>
      <c r="O143" s="13">
        <f t="shared" si="4"/>
        <v>5.9596957788287463</v>
      </c>
      <c r="P143" s="30">
        <f t="shared" si="5"/>
        <v>7.9394667663087075</v>
      </c>
    </row>
    <row r="144" spans="2:16" x14ac:dyDescent="0.35">
      <c r="B144" s="18" t="s">
        <v>3278</v>
      </c>
      <c r="C144" s="13" t="s">
        <v>3367</v>
      </c>
      <c r="D144" s="13" t="s">
        <v>3367</v>
      </c>
      <c r="E144" s="13" t="s">
        <v>3368</v>
      </c>
      <c r="F144" s="13">
        <v>14.32797750342362</v>
      </c>
      <c r="G144" s="13">
        <v>20.643284287695788</v>
      </c>
      <c r="H144" s="13">
        <v>0.39838475382355287</v>
      </c>
      <c r="I144" s="13">
        <v>13.519561897741037</v>
      </c>
      <c r="J144" s="13">
        <v>20.662095409770558</v>
      </c>
      <c r="K144" s="13">
        <v>3.6600046723130704</v>
      </c>
      <c r="L144" s="13">
        <v>18.476585113693321</v>
      </c>
      <c r="M144" s="13">
        <v>7.6778244782761575</v>
      </c>
      <c r="N144" s="13">
        <v>15.377013223422795</v>
      </c>
      <c r="O144" s="13">
        <f t="shared" si="4"/>
        <v>12.749192371128879</v>
      </c>
      <c r="P144" s="30">
        <f t="shared" si="5"/>
        <v>16.984481212407179</v>
      </c>
    </row>
    <row r="145" spans="2:16" x14ac:dyDescent="0.35">
      <c r="B145" s="18" t="s">
        <v>3278</v>
      </c>
      <c r="C145" s="13" t="s">
        <v>3367</v>
      </c>
      <c r="D145" s="13" t="s">
        <v>3369</v>
      </c>
      <c r="E145" s="13" t="s">
        <v>3370</v>
      </c>
      <c r="F145" s="13">
        <v>2.0614892482672826</v>
      </c>
      <c r="G145" s="13">
        <v>3.5064414348503186</v>
      </c>
      <c r="H145" s="13">
        <v>9.2092363569307445E-3</v>
      </c>
      <c r="I145" s="13">
        <v>1.7639934705913327</v>
      </c>
      <c r="J145" s="13">
        <v>4.2833572765969645</v>
      </c>
      <c r="K145" s="13">
        <v>0.12516878010996615</v>
      </c>
      <c r="L145" s="13">
        <v>1.3737658895656848</v>
      </c>
      <c r="M145" s="13">
        <v>0.25708209394468762</v>
      </c>
      <c r="N145" s="13">
        <v>0.96804217961726835</v>
      </c>
      <c r="O145" s="13">
        <f t="shared" si="4"/>
        <v>1.594283289988937</v>
      </c>
      <c r="P145" s="30">
        <f t="shared" si="5"/>
        <v>2.1238339741051813</v>
      </c>
    </row>
    <row r="146" spans="2:16" x14ac:dyDescent="0.35">
      <c r="B146" s="18" t="s">
        <v>3278</v>
      </c>
      <c r="C146" s="13" t="s">
        <v>3382</v>
      </c>
      <c r="D146" s="13" t="s">
        <v>3383</v>
      </c>
      <c r="E146" s="13" t="s">
        <v>3384</v>
      </c>
      <c r="F146" s="13">
        <v>6.774062032845837</v>
      </c>
      <c r="G146" s="13">
        <v>16.931032880911843</v>
      </c>
      <c r="H146" s="13">
        <v>0.11969097345655262</v>
      </c>
      <c r="I146" s="13">
        <v>7.1402243167816337</v>
      </c>
      <c r="J146" s="13">
        <v>16.47502417768451</v>
      </c>
      <c r="K146" s="13">
        <v>0.99071325023580881</v>
      </c>
      <c r="L146" s="13">
        <v>8.7743170322425481</v>
      </c>
      <c r="M146" s="13">
        <v>6.2778176909368071</v>
      </c>
      <c r="N146" s="13">
        <v>8.3049142468988002</v>
      </c>
      <c r="O146" s="13">
        <f t="shared" si="4"/>
        <v>7.9764218446660369</v>
      </c>
      <c r="P146" s="30">
        <f t="shared" si="5"/>
        <v>10.626163217413614</v>
      </c>
    </row>
    <row r="147" spans="2:16" x14ac:dyDescent="0.35">
      <c r="B147" s="18" t="s">
        <v>3278</v>
      </c>
      <c r="C147" s="13" t="s">
        <v>3382</v>
      </c>
      <c r="D147" s="13" t="s">
        <v>3385</v>
      </c>
      <c r="E147" s="13" t="s">
        <v>3386</v>
      </c>
      <c r="F147" s="13">
        <v>0.63977252532432904</v>
      </c>
      <c r="G147" s="13">
        <v>1.6087674143218389</v>
      </c>
      <c r="H147" s="13">
        <v>1.0861437839342864E-2</v>
      </c>
      <c r="I147" s="13">
        <v>0.63451108419777791</v>
      </c>
      <c r="J147" s="13">
        <v>1.4191009938127064</v>
      </c>
      <c r="K147" s="13">
        <v>0.14762523908511052</v>
      </c>
      <c r="L147" s="13">
        <v>4.363522767795714E-2</v>
      </c>
      <c r="M147" s="13">
        <v>1.2154641988081754E-2</v>
      </c>
      <c r="N147" s="13">
        <v>2.8470399049020614E-2</v>
      </c>
      <c r="O147" s="13">
        <f t="shared" si="4"/>
        <v>0.50498877369957385</v>
      </c>
      <c r="P147" s="30">
        <f t="shared" si="5"/>
        <v>0.6726682651383461</v>
      </c>
    </row>
    <row r="148" spans="2:16" x14ac:dyDescent="0.35">
      <c r="B148" s="18" t="s">
        <v>3278</v>
      </c>
      <c r="C148" s="13" t="s">
        <v>3382</v>
      </c>
      <c r="D148" s="13" t="s">
        <v>3387</v>
      </c>
      <c r="E148" s="13" t="s">
        <v>3388</v>
      </c>
      <c r="F148" s="13">
        <v>0.64709018492771198</v>
      </c>
      <c r="G148" s="13">
        <v>1.7021316431137672</v>
      </c>
      <c r="H148" s="13">
        <v>3.9102169840384291E-3</v>
      </c>
      <c r="I148" s="13">
        <v>0.59501869306513611</v>
      </c>
      <c r="J148" s="13">
        <v>1.9134570095611136</v>
      </c>
      <c r="K148" s="13">
        <v>5.3146466291509362E-2</v>
      </c>
      <c r="L148" s="13">
        <v>3.4627197721712202E-2</v>
      </c>
      <c r="M148" s="13">
        <v>8.1189032195105489E-3</v>
      </c>
      <c r="N148" s="13">
        <v>2.4500423086009776E-2</v>
      </c>
      <c r="O148" s="13">
        <f t="shared" si="4"/>
        <v>0.55355563755227888</v>
      </c>
      <c r="P148" s="30">
        <f t="shared" si="5"/>
        <v>0.73736937797896585</v>
      </c>
    </row>
    <row r="149" spans="2:16" x14ac:dyDescent="0.35">
      <c r="B149" s="18" t="s">
        <v>3278</v>
      </c>
      <c r="C149" s="13" t="s">
        <v>3382</v>
      </c>
      <c r="D149" s="13" t="s">
        <v>3389</v>
      </c>
      <c r="E149" s="13" t="s">
        <v>3390</v>
      </c>
      <c r="F149" s="13">
        <v>5.0178237280339537E-2</v>
      </c>
      <c r="G149" s="13">
        <v>0.25014058224900493</v>
      </c>
      <c r="H149" s="13">
        <v>1.6345215912384136E-3</v>
      </c>
      <c r="I149" s="13">
        <v>7.8984782265283562E-2</v>
      </c>
      <c r="J149" s="13">
        <v>0.30281612476394065</v>
      </c>
      <c r="K149" s="13">
        <v>2.2216247458419488E-2</v>
      </c>
      <c r="L149" s="13">
        <v>-2.3553105848897319E-3</v>
      </c>
      <c r="M149" s="13">
        <v>0</v>
      </c>
      <c r="N149" s="13">
        <v>-1.0532589289620603E-3</v>
      </c>
      <c r="O149" s="13">
        <f t="shared" si="4"/>
        <v>7.8062436232708296E-2</v>
      </c>
      <c r="P149" s="30">
        <f t="shared" si="5"/>
        <v>0.10391403758824441</v>
      </c>
    </row>
    <row r="150" spans="2:16" x14ac:dyDescent="0.35">
      <c r="B150" s="18" t="s">
        <v>3278</v>
      </c>
      <c r="C150" s="13" t="s">
        <v>3382</v>
      </c>
      <c r="D150" s="13" t="s">
        <v>3391</v>
      </c>
      <c r="E150" s="13" t="s">
        <v>3392</v>
      </c>
      <c r="F150" s="13">
        <v>0.93143352951630276</v>
      </c>
      <c r="G150" s="13">
        <v>1.1819765293896567</v>
      </c>
      <c r="H150" s="13">
        <v>8.9650382329193798E-2</v>
      </c>
      <c r="I150" s="13">
        <v>0.98467695224053498</v>
      </c>
      <c r="J150" s="13">
        <v>1.4176114574280614</v>
      </c>
      <c r="K150" s="13">
        <v>1.2184974705926359</v>
      </c>
      <c r="L150" s="13">
        <v>-2.3553105848897319E-3</v>
      </c>
      <c r="M150" s="13">
        <v>0</v>
      </c>
      <c r="N150" s="13">
        <v>-1.0532589289620603E-3</v>
      </c>
      <c r="O150" s="13">
        <f t="shared" si="4"/>
        <v>0.64671530577583725</v>
      </c>
      <c r="P150" s="30">
        <f t="shared" si="5"/>
        <v>0.86147733405798366</v>
      </c>
    </row>
    <row r="151" spans="2:16" x14ac:dyDescent="0.35">
      <c r="B151" s="18" t="s">
        <v>3278</v>
      </c>
      <c r="C151" s="13" t="s">
        <v>3382</v>
      </c>
      <c r="D151" s="13" t="s">
        <v>3393</v>
      </c>
      <c r="E151" s="13" t="s">
        <v>3394</v>
      </c>
      <c r="F151" s="13">
        <v>1.5638883952372489</v>
      </c>
      <c r="G151" s="13">
        <v>1.5852717191455743</v>
      </c>
      <c r="H151" s="13">
        <v>0.26562170279927594</v>
      </c>
      <c r="I151" s="13">
        <v>1.7113369490811436</v>
      </c>
      <c r="J151" s="13">
        <v>1.5330640515195659</v>
      </c>
      <c r="K151" s="13">
        <v>1.4840692186605491</v>
      </c>
      <c r="L151" s="13">
        <v>1.5761573149128763</v>
      </c>
      <c r="M151" s="13">
        <v>0.51589108484331747</v>
      </c>
      <c r="N151" s="13">
        <v>1.2643482223095797</v>
      </c>
      <c r="O151" s="13">
        <f t="shared" si="4"/>
        <v>1.2777387398343476</v>
      </c>
      <c r="P151" s="30">
        <f t="shared" si="5"/>
        <v>1.7021311291212013</v>
      </c>
    </row>
    <row r="152" spans="2:16" x14ac:dyDescent="0.35">
      <c r="B152" s="18" t="s">
        <v>3407</v>
      </c>
      <c r="C152" s="13" t="s">
        <v>3407</v>
      </c>
      <c r="D152" s="13" t="s">
        <v>3407</v>
      </c>
      <c r="E152" s="13" t="s">
        <v>3408</v>
      </c>
      <c r="F152" s="13">
        <v>14.315432944103534</v>
      </c>
      <c r="G152" s="13">
        <v>4.9988959747958805</v>
      </c>
      <c r="H152" s="13">
        <v>0.35195750811694027</v>
      </c>
      <c r="I152" s="13">
        <v>12.624401032067823</v>
      </c>
      <c r="J152" s="13">
        <v>4.3996455780151074</v>
      </c>
      <c r="K152" s="13">
        <v>4.6084314056571456</v>
      </c>
      <c r="L152" s="13">
        <v>20.385461039650622</v>
      </c>
      <c r="M152" s="13">
        <v>15.829952411559173</v>
      </c>
      <c r="N152" s="13">
        <v>16.93573921438551</v>
      </c>
      <c r="O152" s="13">
        <f t="shared" si="4"/>
        <v>10.494435234261303</v>
      </c>
      <c r="P152" s="30">
        <f t="shared" si="5"/>
        <v>13.9806781177065</v>
      </c>
    </row>
    <row r="153" spans="2:16" x14ac:dyDescent="0.35">
      <c r="B153" s="18" t="s">
        <v>3407</v>
      </c>
      <c r="C153" s="13" t="s">
        <v>3587</v>
      </c>
      <c r="D153" s="13" t="s">
        <v>3588</v>
      </c>
      <c r="E153" s="13" t="s">
        <v>3589</v>
      </c>
      <c r="F153" s="13">
        <v>31.873634472449012</v>
      </c>
      <c r="G153" s="13">
        <v>6.6635131523517703</v>
      </c>
      <c r="H153" s="13">
        <v>0.49346570631277131</v>
      </c>
      <c r="I153" s="13">
        <v>31.251645516297195</v>
      </c>
      <c r="J153" s="13">
        <v>5.7211603308734444</v>
      </c>
      <c r="K153" s="13">
        <v>4.8883202909760408</v>
      </c>
      <c r="L153" s="13">
        <v>27.585480212705203</v>
      </c>
      <c r="M153" s="13">
        <v>16.74019064237179</v>
      </c>
      <c r="N153" s="13">
        <v>21.137594181603227</v>
      </c>
      <c r="O153" s="13">
        <f t="shared" si="4"/>
        <v>16.261667167326717</v>
      </c>
      <c r="P153" s="30">
        <f t="shared" si="5"/>
        <v>21.663824495265079</v>
      </c>
    </row>
    <row r="154" spans="2:16" x14ac:dyDescent="0.35">
      <c r="B154" s="18" t="s">
        <v>3632</v>
      </c>
      <c r="C154" s="13" t="s">
        <v>3662</v>
      </c>
      <c r="D154" s="13" t="s">
        <v>3749</v>
      </c>
      <c r="E154" s="13" t="s">
        <v>3750</v>
      </c>
      <c r="F154" s="13">
        <v>16.600633500245664</v>
      </c>
      <c r="G154" s="13">
        <v>17.686655927867619</v>
      </c>
      <c r="H154" s="13">
        <v>2.7328630825940161</v>
      </c>
      <c r="I154" s="13">
        <v>16.020746669475013</v>
      </c>
      <c r="J154" s="13">
        <v>16.222747826582669</v>
      </c>
      <c r="K154" s="13">
        <v>16.098617524327288</v>
      </c>
      <c r="L154" s="13">
        <v>22.550528643262595</v>
      </c>
      <c r="M154" s="13">
        <v>21.0482085970744</v>
      </c>
      <c r="N154" s="13">
        <v>19.347621141791013</v>
      </c>
      <c r="O154" s="13">
        <f t="shared" si="4"/>
        <v>16.478735879246695</v>
      </c>
      <c r="P154" s="30">
        <f t="shared" si="5"/>
        <v>21.953004938678045</v>
      </c>
    </row>
    <row r="155" spans="2:16" x14ac:dyDescent="0.35">
      <c r="B155" s="18" t="s">
        <v>3632</v>
      </c>
      <c r="C155" s="13" t="s">
        <v>3662</v>
      </c>
      <c r="D155" s="13" t="s">
        <v>3753</v>
      </c>
      <c r="E155" s="13" t="s">
        <v>3754</v>
      </c>
      <c r="F155" s="13">
        <v>0.16935155082114595</v>
      </c>
      <c r="G155" s="13">
        <v>7.4954250063507963E-2</v>
      </c>
      <c r="H155" s="13">
        <v>4.0525437989054648E-2</v>
      </c>
      <c r="I155" s="13">
        <v>0.19482912958769943</v>
      </c>
      <c r="J155" s="13">
        <v>7.0159930753688871E-2</v>
      </c>
      <c r="K155" s="13">
        <v>1.6342345949998657E-2</v>
      </c>
      <c r="L155" s="13">
        <v>-2.3553105848897319E-3</v>
      </c>
      <c r="M155" s="13">
        <v>0</v>
      </c>
      <c r="N155" s="13">
        <v>-1.0532589289620603E-3</v>
      </c>
      <c r="O155" s="13">
        <f t="shared" si="4"/>
        <v>6.2528230627915973E-2</v>
      </c>
      <c r="P155" s="30">
        <f t="shared" si="5"/>
        <v>8.3219261150274407E-2</v>
      </c>
    </row>
    <row r="156" spans="2:16" x14ac:dyDescent="0.35">
      <c r="B156" s="18" t="s">
        <v>3632</v>
      </c>
      <c r="C156" s="13" t="s">
        <v>3662</v>
      </c>
      <c r="D156" s="13" t="s">
        <v>3763</v>
      </c>
      <c r="E156" s="13" t="s">
        <v>3764</v>
      </c>
      <c r="F156" s="13">
        <v>0.2101213686114218</v>
      </c>
      <c r="G156" s="13">
        <v>5.4794825287899869E-2</v>
      </c>
      <c r="H156" s="13">
        <v>2.128636497929211E-3</v>
      </c>
      <c r="I156" s="13">
        <v>0.2132589121162656</v>
      </c>
      <c r="J156" s="13">
        <v>8.0772605454139412E-4</v>
      </c>
      <c r="K156" s="13">
        <v>2.8931552843103031E-2</v>
      </c>
      <c r="L156" s="13">
        <v>-2.3553105848897319E-3</v>
      </c>
      <c r="M156" s="13">
        <v>0</v>
      </c>
      <c r="N156" s="13">
        <v>-1.0532589289620603E-3</v>
      </c>
      <c r="O156" s="13">
        <f t="shared" si="4"/>
        <v>5.6292716877478791E-2</v>
      </c>
      <c r="P156" s="30">
        <f t="shared" si="5"/>
        <v>7.4912266488032037E-2</v>
      </c>
    </row>
    <row r="157" spans="2:16" x14ac:dyDescent="0.35">
      <c r="B157" s="18" t="s">
        <v>3632</v>
      </c>
      <c r="C157" s="13" t="s">
        <v>3662</v>
      </c>
      <c r="D157" s="13" t="s">
        <v>3765</v>
      </c>
      <c r="E157" s="13" t="s">
        <v>3766</v>
      </c>
      <c r="F157" s="13">
        <v>4.0780271589709285</v>
      </c>
      <c r="G157" s="13">
        <v>3.9895656399608064</v>
      </c>
      <c r="H157" s="13">
        <v>0.50749908707491231</v>
      </c>
      <c r="I157" s="13">
        <v>3.5648465062397978</v>
      </c>
      <c r="J157" s="13">
        <v>3.3338215132605238</v>
      </c>
      <c r="K157" s="13">
        <v>1.3004998430065118</v>
      </c>
      <c r="L157" s="13">
        <v>1.4123186049288801</v>
      </c>
      <c r="M157" s="13">
        <v>0.27485319355109294</v>
      </c>
      <c r="N157" s="13">
        <v>0.935277724934787</v>
      </c>
      <c r="O157" s="13">
        <f t="shared" si="4"/>
        <v>2.1551899191031381</v>
      </c>
      <c r="P157" s="30">
        <f t="shared" si="5"/>
        <v>2.8710776753545528</v>
      </c>
    </row>
    <row r="158" spans="2:16" x14ac:dyDescent="0.35">
      <c r="B158" s="18" t="s">
        <v>3632</v>
      </c>
      <c r="C158" s="13" t="s">
        <v>3662</v>
      </c>
      <c r="D158" s="13" t="s">
        <v>3767</v>
      </c>
      <c r="E158" s="13" t="s">
        <v>3768</v>
      </c>
      <c r="F158" s="13">
        <v>3.9619899852601428</v>
      </c>
      <c r="G158" s="13">
        <v>4.15935379281356</v>
      </c>
      <c r="H158" s="13">
        <v>0.31983036174942142</v>
      </c>
      <c r="I158" s="13">
        <v>3.8070665051866674</v>
      </c>
      <c r="J158" s="13">
        <v>3.4633536616653311</v>
      </c>
      <c r="K158" s="13">
        <v>1.6484959925618836</v>
      </c>
      <c r="L158" s="13">
        <v>1.6116522586395479</v>
      </c>
      <c r="M158" s="13">
        <v>0.30901933704338902</v>
      </c>
      <c r="N158" s="13">
        <v>0.95102799691865059</v>
      </c>
      <c r="O158" s="13">
        <f t="shared" si="4"/>
        <v>2.2479766546487321</v>
      </c>
      <c r="P158" s="30">
        <f t="shared" si="5"/>
        <v>2.9946888079336613</v>
      </c>
    </row>
    <row r="159" spans="2:16" x14ac:dyDescent="0.35">
      <c r="B159" s="18" t="s">
        <v>3632</v>
      </c>
      <c r="C159" s="13" t="s">
        <v>3662</v>
      </c>
      <c r="D159" s="13" t="s">
        <v>3771</v>
      </c>
      <c r="E159" s="13" t="s">
        <v>3772</v>
      </c>
      <c r="F159" s="13">
        <v>0</v>
      </c>
      <c r="G159" s="13">
        <v>0</v>
      </c>
      <c r="H159" s="13">
        <v>3.3194833946809311E-4</v>
      </c>
      <c r="I159" s="13">
        <v>0</v>
      </c>
      <c r="J159" s="13">
        <v>0</v>
      </c>
      <c r="K159" s="13">
        <v>3.6257340535485088E-3</v>
      </c>
      <c r="L159" s="13">
        <v>-2.3553105848897319E-3</v>
      </c>
      <c r="M159" s="13">
        <v>0</v>
      </c>
      <c r="N159" s="13">
        <v>-1.0532589289620603E-3</v>
      </c>
      <c r="O159" s="13">
        <f t="shared" si="4"/>
        <v>6.1012542129423254E-5</v>
      </c>
      <c r="P159" s="30">
        <f t="shared" si="5"/>
        <v>0</v>
      </c>
    </row>
    <row r="160" spans="2:16" x14ac:dyDescent="0.35">
      <c r="B160" s="18" t="s">
        <v>3789</v>
      </c>
      <c r="C160" s="13" t="s">
        <v>3789</v>
      </c>
      <c r="D160" s="13" t="s">
        <v>3789</v>
      </c>
      <c r="E160" s="13" t="s">
        <v>3790</v>
      </c>
      <c r="F160" s="13">
        <v>23.26702139892744</v>
      </c>
      <c r="G160" s="13">
        <v>16.380778567054687</v>
      </c>
      <c r="H160" s="13">
        <v>0.99415048891934743</v>
      </c>
      <c r="I160" s="13">
        <v>21.541782949818337</v>
      </c>
      <c r="J160" s="13">
        <v>16.300134698113038</v>
      </c>
      <c r="K160" s="13">
        <v>10.50012581907648</v>
      </c>
      <c r="L160" s="13">
        <v>23.900658784502717</v>
      </c>
      <c r="M160" s="13">
        <v>15.563231857808816</v>
      </c>
      <c r="N160" s="13">
        <v>21.059393757123676</v>
      </c>
      <c r="O160" s="13">
        <f t="shared" si="4"/>
        <v>16.611919813482725</v>
      </c>
      <c r="P160" s="30">
        <f t="shared" si="5"/>
        <v>22.130433499511152</v>
      </c>
    </row>
    <row r="161" spans="2:16" x14ac:dyDescent="0.35">
      <c r="B161" s="18" t="s">
        <v>3789</v>
      </c>
      <c r="C161" s="13" t="s">
        <v>3789</v>
      </c>
      <c r="D161" s="13" t="s">
        <v>3791</v>
      </c>
      <c r="E161" s="13" t="s">
        <v>3792</v>
      </c>
      <c r="F161" s="13">
        <v>3.8564066109827619</v>
      </c>
      <c r="G161" s="13">
        <v>2.0929453095671535</v>
      </c>
      <c r="H161" s="13">
        <v>4.3738346496681934E-3</v>
      </c>
      <c r="I161" s="13">
        <v>3.6359328102785535</v>
      </c>
      <c r="J161" s="13">
        <v>1.9333849606457711</v>
      </c>
      <c r="K161" s="13">
        <v>5.9447705415319144E-2</v>
      </c>
      <c r="L161" s="13">
        <v>2.0561448193704051</v>
      </c>
      <c r="M161" s="13">
        <v>0.53069453008333656</v>
      </c>
      <c r="N161" s="13">
        <v>1.1548417016645705</v>
      </c>
      <c r="O161" s="13">
        <f t="shared" si="4"/>
        <v>1.702685809184171</v>
      </c>
      <c r="P161" s="30">
        <f t="shared" si="5"/>
        <v>2.2682485619593575</v>
      </c>
    </row>
    <row r="162" spans="2:16" x14ac:dyDescent="0.35">
      <c r="B162" s="18" t="s">
        <v>3789</v>
      </c>
      <c r="C162" s="13" t="s">
        <v>3789</v>
      </c>
      <c r="D162" s="13" t="s">
        <v>3795</v>
      </c>
      <c r="E162" s="13" t="s">
        <v>3796</v>
      </c>
      <c r="F162" s="13">
        <v>2.6448112566512298</v>
      </c>
      <c r="G162" s="13">
        <v>0.94800690970218948</v>
      </c>
      <c r="H162" s="13">
        <v>1.0026392381233254E-2</v>
      </c>
      <c r="I162" s="13">
        <v>2.5143489021115264</v>
      </c>
      <c r="J162" s="13">
        <v>0.75728048449535335</v>
      </c>
      <c r="K162" s="13">
        <v>0.11243226118174325</v>
      </c>
      <c r="L162" s="13">
        <v>1.5563644417521363</v>
      </c>
      <c r="M162" s="13">
        <v>0.37374801211745579</v>
      </c>
      <c r="N162" s="13">
        <v>1.0570020491557564</v>
      </c>
      <c r="O162" s="13">
        <f t="shared" si="4"/>
        <v>1.1082245232831802</v>
      </c>
      <c r="P162" s="30">
        <f t="shared" si="5"/>
        <v>1.4763031142337326</v>
      </c>
    </row>
    <row r="163" spans="2:16" x14ac:dyDescent="0.35">
      <c r="B163" s="18" t="s">
        <v>3789</v>
      </c>
      <c r="C163" s="13" t="s">
        <v>3789</v>
      </c>
      <c r="D163" s="13" t="s">
        <v>3799</v>
      </c>
      <c r="E163" s="13" t="s">
        <v>3800</v>
      </c>
      <c r="F163" s="13">
        <v>5.8541276827062796E-2</v>
      </c>
      <c r="G163" s="13">
        <v>1.886935181410905E-2</v>
      </c>
      <c r="H163" s="13">
        <v>3.7489823249672372E-4</v>
      </c>
      <c r="I163" s="13">
        <v>3.4226738981622873E-2</v>
      </c>
      <c r="J163" s="13">
        <v>1.8361621653256426E-2</v>
      </c>
      <c r="K163" s="13">
        <v>5.0948729983794749E-3</v>
      </c>
      <c r="L163" s="13">
        <v>-2.3553105848897319E-3</v>
      </c>
      <c r="M163" s="13">
        <v>0</v>
      </c>
      <c r="N163" s="13">
        <v>-1.0532589289620603E-3</v>
      </c>
      <c r="O163" s="13">
        <f t="shared" si="4"/>
        <v>1.4673354554786173E-2</v>
      </c>
      <c r="P163" s="30">
        <f t="shared" si="5"/>
        <v>1.9466663367311003E-2</v>
      </c>
    </row>
    <row r="164" spans="2:16" x14ac:dyDescent="0.35">
      <c r="B164" s="18" t="s">
        <v>3789</v>
      </c>
      <c r="C164" s="13" t="s">
        <v>3789</v>
      </c>
      <c r="D164" s="13" t="s">
        <v>3803</v>
      </c>
      <c r="E164" s="13" t="s">
        <v>3804</v>
      </c>
      <c r="F164" s="13">
        <v>1.5450715562571218</v>
      </c>
      <c r="G164" s="13">
        <v>0.83448688480641153</v>
      </c>
      <c r="H164" s="13">
        <v>2.102471575224512E-2</v>
      </c>
      <c r="I164" s="13">
        <v>1.4296245590016323</v>
      </c>
      <c r="J164" s="13">
        <v>0.7576305612995925</v>
      </c>
      <c r="K164" s="13">
        <v>0.28006804860484952</v>
      </c>
      <c r="L164" s="13">
        <v>-2.3553105848897319E-3</v>
      </c>
      <c r="M164" s="13">
        <v>0</v>
      </c>
      <c r="N164" s="13">
        <v>-1.0532589289620603E-3</v>
      </c>
      <c r="O164" s="13">
        <f t="shared" si="4"/>
        <v>0.54049975068977796</v>
      </c>
      <c r="P164" s="30">
        <f t="shared" si="5"/>
        <v>0.71997623495686414</v>
      </c>
    </row>
    <row r="165" spans="2:16" x14ac:dyDescent="0.35">
      <c r="B165" s="18" t="s">
        <v>3789</v>
      </c>
      <c r="C165" s="13" t="s">
        <v>3789</v>
      </c>
      <c r="D165" s="13" t="s">
        <v>3807</v>
      </c>
      <c r="E165" s="13" t="s">
        <v>3808</v>
      </c>
      <c r="F165" s="13">
        <v>7.957432128707179</v>
      </c>
      <c r="G165" s="13">
        <v>4.5000558702510203</v>
      </c>
      <c r="H165" s="13">
        <v>5.5937672747130671E-2</v>
      </c>
      <c r="I165" s="13">
        <v>7.7773682270549207</v>
      </c>
      <c r="J165" s="13">
        <v>4.7136455063333065</v>
      </c>
      <c r="K165" s="13">
        <v>0.75940415811974848</v>
      </c>
      <c r="L165" s="13">
        <v>4.0804309639873013</v>
      </c>
      <c r="M165" s="13">
        <v>1.1660238680121067</v>
      </c>
      <c r="N165" s="13">
        <v>2.630959784629614</v>
      </c>
      <c r="O165" s="13">
        <f t="shared" si="4"/>
        <v>3.7379175755380358</v>
      </c>
      <c r="P165" s="30">
        <f t="shared" si="5"/>
        <v>4.9795984356313241</v>
      </c>
    </row>
    <row r="166" spans="2:16" x14ac:dyDescent="0.35">
      <c r="B166" s="18" t="s">
        <v>3846</v>
      </c>
      <c r="C166" s="13" t="s">
        <v>3846</v>
      </c>
      <c r="D166" s="13" t="s">
        <v>3846</v>
      </c>
      <c r="E166" s="13" t="s">
        <v>3847</v>
      </c>
      <c r="F166" s="13">
        <v>10.675419981392237</v>
      </c>
      <c r="G166" s="13">
        <v>10.705212618968645</v>
      </c>
      <c r="H166" s="13">
        <v>0.18737518285037924</v>
      </c>
      <c r="I166" s="13">
        <v>9.1095782212627032</v>
      </c>
      <c r="J166" s="13">
        <v>10.509577703408118</v>
      </c>
      <c r="K166" s="13">
        <v>2.3326860761022732</v>
      </c>
      <c r="L166" s="13">
        <v>16.290774248438986</v>
      </c>
      <c r="M166" s="13">
        <v>13.81337739493134</v>
      </c>
      <c r="N166" s="13">
        <v>16.812394491812288</v>
      </c>
      <c r="O166" s="13">
        <f t="shared" si="4"/>
        <v>10.048488435462996</v>
      </c>
      <c r="P166" s="30">
        <f t="shared" si="5"/>
        <v>13.386584699661855</v>
      </c>
    </row>
    <row r="167" spans="2:16" x14ac:dyDescent="0.35">
      <c r="B167" s="18" t="s">
        <v>3846</v>
      </c>
      <c r="C167" s="13" t="s">
        <v>3846</v>
      </c>
      <c r="D167" s="13" t="s">
        <v>3848</v>
      </c>
      <c r="E167" s="13" t="s">
        <v>3849</v>
      </c>
      <c r="F167" s="13">
        <v>1.2617735916118713</v>
      </c>
      <c r="G167" s="13">
        <v>1.2331586530824528</v>
      </c>
      <c r="H167" s="13">
        <v>3.8825486661716161E-3</v>
      </c>
      <c r="I167" s="13">
        <v>1.1057869517139698</v>
      </c>
      <c r="J167" s="13">
        <v>1.4635507990543475</v>
      </c>
      <c r="K167" s="13">
        <v>5.2770886958729626E-2</v>
      </c>
      <c r="L167" s="13">
        <v>0.84935805390190267</v>
      </c>
      <c r="M167" s="13">
        <v>0.17015849332574243</v>
      </c>
      <c r="N167" s="13">
        <v>0.6289576204255749</v>
      </c>
      <c r="O167" s="13">
        <f t="shared" si="4"/>
        <v>0.75215528874897364</v>
      </c>
      <c r="P167" s="30">
        <f t="shared" si="5"/>
        <v>1.0019452106115974</v>
      </c>
    </row>
    <row r="168" spans="2:16" x14ac:dyDescent="0.35">
      <c r="B168" s="18" t="s">
        <v>3846</v>
      </c>
      <c r="C168" s="13" t="s">
        <v>3846</v>
      </c>
      <c r="D168" s="13" t="s">
        <v>3856</v>
      </c>
      <c r="E168" s="13" t="s">
        <v>3857</v>
      </c>
      <c r="F168" s="13">
        <v>0.14635319206765698</v>
      </c>
      <c r="G168" s="13">
        <v>0.33816920443655279</v>
      </c>
      <c r="H168" s="13">
        <v>5.9126076581496017E-5</v>
      </c>
      <c r="I168" s="13">
        <v>0.12637565162445369</v>
      </c>
      <c r="J168" s="13">
        <v>0.34127389603746139</v>
      </c>
      <c r="K168" s="13">
        <v>8.0424408362020361E-4</v>
      </c>
      <c r="L168" s="13">
        <v>-2.3553105848897319E-3</v>
      </c>
      <c r="M168" s="13">
        <v>0</v>
      </c>
      <c r="N168" s="13">
        <v>-1.0532589289620603E-3</v>
      </c>
      <c r="O168" s="13">
        <f t="shared" si="4"/>
        <v>0.10551408275694162</v>
      </c>
      <c r="P168" s="30">
        <f t="shared" si="5"/>
        <v>0.14048531146773544</v>
      </c>
    </row>
    <row r="169" spans="2:16" x14ac:dyDescent="0.35">
      <c r="B169" s="18" t="s">
        <v>3118</v>
      </c>
      <c r="C169" s="13" t="s">
        <v>3873</v>
      </c>
      <c r="D169" s="13" t="s">
        <v>3874</v>
      </c>
      <c r="E169" s="13" t="s">
        <v>3875</v>
      </c>
      <c r="F169" s="13">
        <v>19.82563062545082</v>
      </c>
      <c r="G169" s="13">
        <v>20.978674038862742</v>
      </c>
      <c r="H169" s="13">
        <v>1.1786863810973212</v>
      </c>
      <c r="I169" s="13">
        <v>15.84698014849139</v>
      </c>
      <c r="J169" s="13">
        <v>17.73261291630941</v>
      </c>
      <c r="K169" s="13">
        <v>6.6892497343638864</v>
      </c>
      <c r="L169" s="13">
        <v>8.4242435010989389</v>
      </c>
      <c r="M169" s="13">
        <v>7.0548805849048088</v>
      </c>
      <c r="N169" s="13">
        <v>5.5453272410676355</v>
      </c>
      <c r="O169" s="13">
        <f t="shared" si="4"/>
        <v>11.475142796849662</v>
      </c>
      <c r="P169" s="30">
        <f t="shared" si="5"/>
        <v>15.287183533891499</v>
      </c>
    </row>
    <row r="170" spans="2:16" x14ac:dyDescent="0.35">
      <c r="B170" s="18" t="s">
        <v>3118</v>
      </c>
      <c r="C170" s="13" t="s">
        <v>3873</v>
      </c>
      <c r="D170" s="13" t="s">
        <v>3882</v>
      </c>
      <c r="E170" s="13" t="s">
        <v>3883</v>
      </c>
      <c r="F170" s="13">
        <v>9.136620704795158</v>
      </c>
      <c r="G170" s="13">
        <v>8.8964695958788624</v>
      </c>
      <c r="H170" s="13">
        <v>4.1970582566362626</v>
      </c>
      <c r="I170" s="13">
        <v>6.9980517087041232</v>
      </c>
      <c r="J170" s="13">
        <v>6.9090629549521667</v>
      </c>
      <c r="K170" s="13">
        <v>5.1207680653095036</v>
      </c>
      <c r="L170" s="13">
        <v>4.3411679778584276</v>
      </c>
      <c r="M170" s="13">
        <v>2.8819919497748931</v>
      </c>
      <c r="N170" s="13">
        <v>2.4127083305651529</v>
      </c>
      <c r="O170" s="13">
        <f t="shared" si="4"/>
        <v>5.6548777271638393</v>
      </c>
      <c r="P170" s="30">
        <f t="shared" si="5"/>
        <v>7.5333860439371199</v>
      </c>
    </row>
    <row r="171" spans="2:16" x14ac:dyDescent="0.35">
      <c r="B171" s="18" t="s">
        <v>3118</v>
      </c>
      <c r="C171" s="13" t="s">
        <v>3873</v>
      </c>
      <c r="D171" s="13" t="s">
        <v>3886</v>
      </c>
      <c r="E171" s="13" t="s">
        <v>3887</v>
      </c>
      <c r="F171" s="13">
        <v>4.7063005049185129</v>
      </c>
      <c r="G171" s="13">
        <v>4.0815472446235495</v>
      </c>
      <c r="H171" s="13">
        <v>3.8556356586898835E-2</v>
      </c>
      <c r="I171" s="13">
        <v>3.767574114054026</v>
      </c>
      <c r="J171" s="13">
        <v>3.5382713413846272</v>
      </c>
      <c r="K171" s="13">
        <v>0.52404464860565381</v>
      </c>
      <c r="L171" s="13">
        <v>-2.3553105848897319E-3</v>
      </c>
      <c r="M171" s="13">
        <v>0</v>
      </c>
      <c r="N171" s="13">
        <v>-1.0532589289620603E-3</v>
      </c>
      <c r="O171" s="13">
        <f t="shared" si="4"/>
        <v>1.850320626739935</v>
      </c>
      <c r="P171" s="30">
        <f t="shared" si="5"/>
        <v>2.4649286897693354</v>
      </c>
    </row>
    <row r="173" spans="2:16" x14ac:dyDescent="0.35">
      <c r="F173" s="1">
        <f>1/9</f>
        <v>0.1111111111111111</v>
      </c>
      <c r="G173" s="1">
        <f t="shared" ref="G173:N173" si="6">1/9</f>
        <v>0.1111111111111111</v>
      </c>
      <c r="H173" s="1">
        <f t="shared" si="6"/>
        <v>0.1111111111111111</v>
      </c>
      <c r="I173" s="1">
        <f t="shared" si="6"/>
        <v>0.1111111111111111</v>
      </c>
      <c r="J173" s="1">
        <f t="shared" si="6"/>
        <v>0.1111111111111111</v>
      </c>
      <c r="K173" s="1">
        <f t="shared" si="6"/>
        <v>0.1111111111111111</v>
      </c>
      <c r="L173" s="1">
        <f t="shared" si="6"/>
        <v>0.1111111111111111</v>
      </c>
      <c r="M173" s="1">
        <f t="shared" si="6"/>
        <v>0.1111111111111111</v>
      </c>
      <c r="N173" s="1">
        <f t="shared" si="6"/>
        <v>0.1111111111111111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725F-ABEF-4317-A0C8-2E7FC1EBBB46}">
  <sheetPr>
    <tabColor theme="3" tint="0.89999084444715716"/>
  </sheetPr>
  <dimension ref="B2:AF173"/>
  <sheetViews>
    <sheetView showGridLines="0" zoomScale="84" zoomScaleNormal="100" workbookViewId="0">
      <selection activeCell="R4" sqref="R4"/>
    </sheetView>
  </sheetViews>
  <sheetFormatPr baseColWidth="10" defaultColWidth="11.453125" defaultRowHeight="14.5" x14ac:dyDescent="0.35"/>
  <cols>
    <col min="1" max="1" width="5.453125" customWidth="1"/>
    <col min="2" max="2" width="6.6328125" style="17" hidden="1" customWidth="1"/>
    <col min="3" max="6" width="28.453125" hidden="1" customWidth="1"/>
    <col min="7" max="7" width="0" hidden="1" customWidth="1"/>
    <col min="8" max="8" width="14.36328125" bestFit="1" customWidth="1"/>
    <col min="10" max="10" width="38.6328125" bestFit="1" customWidth="1"/>
    <col min="12" max="12" width="25.08984375" bestFit="1" customWidth="1"/>
    <col min="13" max="13" width="28.6328125" bestFit="1" customWidth="1"/>
    <col min="14" max="14" width="24.453125" bestFit="1" customWidth="1"/>
    <col min="15" max="15" width="29.453125" bestFit="1" customWidth="1"/>
    <col min="16" max="16" width="25.08984375" bestFit="1" customWidth="1"/>
    <col min="20" max="20" width="11" bestFit="1" customWidth="1"/>
  </cols>
  <sheetData>
    <row r="2" spans="2:32" x14ac:dyDescent="0.35">
      <c r="B2" s="14" t="s">
        <v>4037</v>
      </c>
      <c r="C2" s="15" t="s">
        <v>4038</v>
      </c>
      <c r="D2" s="15" t="s">
        <v>3927</v>
      </c>
      <c r="E2" s="15" t="s">
        <v>3941</v>
      </c>
      <c r="F2" s="15" t="s">
        <v>4039</v>
      </c>
      <c r="H2" s="14" t="s">
        <v>4010</v>
      </c>
      <c r="I2" s="15" t="s">
        <v>4011</v>
      </c>
      <c r="J2" s="15" t="s">
        <v>4012</v>
      </c>
      <c r="K2" s="15" t="s">
        <v>4013</v>
      </c>
      <c r="L2" s="34" t="s">
        <v>4040</v>
      </c>
      <c r="M2" s="33" t="s">
        <v>4041</v>
      </c>
      <c r="N2" s="31" t="s">
        <v>4042</v>
      </c>
      <c r="O2" s="32" t="s">
        <v>4043</v>
      </c>
      <c r="P2" s="35" t="s">
        <v>4044</v>
      </c>
    </row>
    <row r="3" spans="2:32" x14ac:dyDescent="0.35">
      <c r="B3" s="16">
        <v>1</v>
      </c>
      <c r="C3" s="13" t="s">
        <v>2697</v>
      </c>
      <c r="D3" s="13" t="s">
        <v>2697</v>
      </c>
      <c r="E3" s="13" t="s">
        <v>2697</v>
      </c>
      <c r="F3" s="13" t="s">
        <v>2755</v>
      </c>
      <c r="H3" s="18" t="s">
        <v>250</v>
      </c>
      <c r="I3" s="13" t="s">
        <v>251</v>
      </c>
      <c r="J3" s="13" t="s">
        <v>251</v>
      </c>
      <c r="K3" s="13" t="s">
        <v>252</v>
      </c>
      <c r="L3" s="13">
        <v>17.854288531435696</v>
      </c>
      <c r="M3" s="13">
        <v>12.498541824060851</v>
      </c>
      <c r="N3" s="13">
        <v>90.65145946377686</v>
      </c>
      <c r="O3" s="13">
        <v>8.6849759778166788</v>
      </c>
      <c r="P3" s="13">
        <f t="shared" ref="P3:P34" si="0">SUMPRODUCT(L3:O3,$L$173:$O$173)</f>
        <v>32.422316449272522</v>
      </c>
      <c r="AB3" s="20"/>
      <c r="AC3" s="20"/>
      <c r="AD3" s="20"/>
      <c r="AE3" s="20"/>
      <c r="AF3" s="20"/>
    </row>
    <row r="4" spans="2:32" x14ac:dyDescent="0.35">
      <c r="B4" s="16">
        <v>2</v>
      </c>
      <c r="C4" s="13" t="s">
        <v>2725</v>
      </c>
      <c r="D4" s="13" t="s">
        <v>2775</v>
      </c>
      <c r="E4" s="13" t="s">
        <v>3588</v>
      </c>
      <c r="F4" s="13" t="s">
        <v>3383</v>
      </c>
      <c r="H4" s="18" t="s">
        <v>250</v>
      </c>
      <c r="I4" s="13" t="s">
        <v>251</v>
      </c>
      <c r="J4" s="13" t="s">
        <v>259</v>
      </c>
      <c r="K4" s="13" t="s">
        <v>260</v>
      </c>
      <c r="L4" s="13">
        <v>13.909884806122811</v>
      </c>
      <c r="M4" s="13">
        <v>1.5173876267466766</v>
      </c>
      <c r="N4" s="13">
        <v>94.018571802477084</v>
      </c>
      <c r="O4" s="13">
        <v>4.8354230290114053</v>
      </c>
      <c r="P4" s="13">
        <f t="shared" si="0"/>
        <v>28.570316816089495</v>
      </c>
      <c r="AB4" s="20"/>
      <c r="AC4" s="20"/>
      <c r="AD4" s="20"/>
      <c r="AE4" s="20"/>
      <c r="AF4" s="20"/>
    </row>
    <row r="5" spans="2:32" x14ac:dyDescent="0.35">
      <c r="B5" s="16">
        <v>3</v>
      </c>
      <c r="C5" s="13" t="s">
        <v>2449</v>
      </c>
      <c r="D5" s="13" t="s">
        <v>2701</v>
      </c>
      <c r="E5" s="13" t="s">
        <v>2759</v>
      </c>
      <c r="F5" s="13" t="s">
        <v>3387</v>
      </c>
      <c r="H5" s="18" t="s">
        <v>250</v>
      </c>
      <c r="I5" s="13" t="s">
        <v>530</v>
      </c>
      <c r="J5" s="13" t="s">
        <v>531</v>
      </c>
      <c r="K5" s="13" t="s">
        <v>532</v>
      </c>
      <c r="L5" s="13">
        <v>21.419519770159859</v>
      </c>
      <c r="M5" s="13">
        <v>21.815284485446565</v>
      </c>
      <c r="N5" s="13">
        <v>92.032874316857502</v>
      </c>
      <c r="O5" s="13">
        <v>28.335805890145426</v>
      </c>
      <c r="P5" s="13">
        <f t="shared" si="0"/>
        <v>40.900871115652336</v>
      </c>
      <c r="AB5" s="20"/>
      <c r="AC5" s="20"/>
      <c r="AD5" s="20"/>
      <c r="AE5" s="20"/>
      <c r="AF5" s="20"/>
    </row>
    <row r="6" spans="2:32" x14ac:dyDescent="0.35">
      <c r="B6" s="16">
        <v>4</v>
      </c>
      <c r="C6" s="13" t="s">
        <v>2739</v>
      </c>
      <c r="D6" s="13" t="s">
        <v>3157</v>
      </c>
      <c r="E6" s="13" t="s">
        <v>2449</v>
      </c>
      <c r="F6" s="13" t="s">
        <v>3385</v>
      </c>
      <c r="H6" s="18" t="s">
        <v>250</v>
      </c>
      <c r="I6" s="13" t="s">
        <v>530</v>
      </c>
      <c r="J6" s="13" t="s">
        <v>530</v>
      </c>
      <c r="K6" s="13" t="s">
        <v>545</v>
      </c>
      <c r="L6" s="13">
        <v>11.393204975755703</v>
      </c>
      <c r="M6" s="13">
        <v>2.1421525916769868</v>
      </c>
      <c r="N6" s="13">
        <v>52.494167026624872</v>
      </c>
      <c r="O6" s="13">
        <v>0.88812897903761501</v>
      </c>
      <c r="P6" s="13">
        <f t="shared" si="0"/>
        <v>16.729413393273795</v>
      </c>
    </row>
    <row r="7" spans="2:32" x14ac:dyDescent="0.35">
      <c r="B7" s="16">
        <v>5</v>
      </c>
      <c r="C7" s="13" t="s">
        <v>2775</v>
      </c>
      <c r="D7" s="13" t="s">
        <v>2725</v>
      </c>
      <c r="E7" s="13" t="s">
        <v>2757</v>
      </c>
      <c r="F7" s="13" t="s">
        <v>3389</v>
      </c>
      <c r="H7" s="18" t="s">
        <v>250</v>
      </c>
      <c r="I7" s="13" t="s">
        <v>530</v>
      </c>
      <c r="J7" s="13" t="s">
        <v>546</v>
      </c>
      <c r="K7" s="13" t="s">
        <v>547</v>
      </c>
      <c r="L7" s="13">
        <v>15.87846402150512</v>
      </c>
      <c r="M7" s="13">
        <v>8.032877428310222</v>
      </c>
      <c r="N7" s="13">
        <v>86.6693556535364</v>
      </c>
      <c r="O7" s="13">
        <v>11.793726140706481</v>
      </c>
      <c r="P7" s="13">
        <f t="shared" si="0"/>
        <v>30.593605811014555</v>
      </c>
      <c r="AB7" s="20"/>
      <c r="AC7" s="20"/>
      <c r="AD7" s="20"/>
      <c r="AE7" s="20"/>
      <c r="AF7" s="20"/>
    </row>
    <row r="8" spans="2:32" x14ac:dyDescent="0.35">
      <c r="B8" s="16">
        <v>6</v>
      </c>
      <c r="C8" s="13" t="s">
        <v>2759</v>
      </c>
      <c r="D8" s="13" t="s">
        <v>2739</v>
      </c>
      <c r="E8" s="13" t="s">
        <v>2701</v>
      </c>
      <c r="F8" s="13" t="s">
        <v>2757</v>
      </c>
      <c r="H8" s="18" t="s">
        <v>757</v>
      </c>
      <c r="I8" s="13" t="s">
        <v>757</v>
      </c>
      <c r="J8" s="13" t="s">
        <v>757</v>
      </c>
      <c r="K8" s="13" t="s">
        <v>758</v>
      </c>
      <c r="L8" s="13">
        <v>33.230030165852739</v>
      </c>
      <c r="M8" s="13">
        <v>28.549189737040848</v>
      </c>
      <c r="N8" s="13">
        <v>93.911627271110888</v>
      </c>
      <c r="O8" s="13">
        <v>31.388640954969265</v>
      </c>
      <c r="P8" s="13">
        <f t="shared" si="0"/>
        <v>46.769872032243441</v>
      </c>
      <c r="AB8" s="20"/>
      <c r="AC8" s="20"/>
      <c r="AD8" s="20"/>
      <c r="AE8" s="20"/>
      <c r="AF8" s="20"/>
    </row>
    <row r="9" spans="2:32" x14ac:dyDescent="0.35">
      <c r="B9" s="16">
        <v>7</v>
      </c>
      <c r="C9" s="13" t="s">
        <v>2757</v>
      </c>
      <c r="D9" s="13" t="s">
        <v>2757</v>
      </c>
      <c r="E9" s="13" t="s">
        <v>2620</v>
      </c>
      <c r="F9" s="13" t="s">
        <v>3281</v>
      </c>
      <c r="H9" s="18" t="s">
        <v>757</v>
      </c>
      <c r="I9" s="13" t="s">
        <v>757</v>
      </c>
      <c r="J9" s="13" t="s">
        <v>759</v>
      </c>
      <c r="K9" s="13" t="s">
        <v>760</v>
      </c>
      <c r="L9" s="13">
        <v>11.073220990503724</v>
      </c>
      <c r="M9" s="13">
        <v>4.1335005797167348</v>
      </c>
      <c r="N9" s="13">
        <v>88.953309441711738</v>
      </c>
      <c r="O9" s="13">
        <v>4.4834150449589067</v>
      </c>
      <c r="P9" s="13">
        <f t="shared" si="0"/>
        <v>27.160861514222777</v>
      </c>
      <c r="AB9" s="20"/>
      <c r="AC9" s="20"/>
      <c r="AD9" s="20"/>
      <c r="AE9" s="20"/>
      <c r="AF9" s="20"/>
    </row>
    <row r="10" spans="2:32" x14ac:dyDescent="0.35">
      <c r="B10" s="16">
        <v>8</v>
      </c>
      <c r="C10" s="13" t="s">
        <v>2701</v>
      </c>
      <c r="D10" s="13" t="s">
        <v>2765</v>
      </c>
      <c r="E10" s="13" t="s">
        <v>3367</v>
      </c>
      <c r="F10" s="13" t="s">
        <v>3369</v>
      </c>
      <c r="H10" s="18" t="s">
        <v>757</v>
      </c>
      <c r="I10" s="13" t="s">
        <v>757</v>
      </c>
      <c r="J10" s="13" t="s">
        <v>761</v>
      </c>
      <c r="K10" s="13" t="s">
        <v>762</v>
      </c>
      <c r="L10" s="13">
        <v>18.121409334175979</v>
      </c>
      <c r="M10" s="13">
        <v>7.8111433622830155</v>
      </c>
      <c r="N10" s="13">
        <v>89.072370792545598</v>
      </c>
      <c r="O10" s="13">
        <v>12.088692684356431</v>
      </c>
      <c r="P10" s="13">
        <f t="shared" si="0"/>
        <v>31.773404043340257</v>
      </c>
      <c r="AB10" s="20"/>
      <c r="AC10" s="20"/>
      <c r="AD10" s="20"/>
      <c r="AE10" s="20"/>
      <c r="AF10" s="20"/>
    </row>
    <row r="11" spans="2:32" x14ac:dyDescent="0.35">
      <c r="B11" s="16">
        <v>9</v>
      </c>
      <c r="C11" s="13" t="s">
        <v>2620</v>
      </c>
      <c r="D11" s="13" t="s">
        <v>2449</v>
      </c>
      <c r="E11" s="13" t="s">
        <v>757</v>
      </c>
      <c r="F11" s="13" t="s">
        <v>3856</v>
      </c>
      <c r="H11" s="18" t="s">
        <v>757</v>
      </c>
      <c r="I11" s="13" t="s">
        <v>757</v>
      </c>
      <c r="J11" s="13" t="s">
        <v>763</v>
      </c>
      <c r="K11" s="13" t="s">
        <v>764</v>
      </c>
      <c r="L11" s="13">
        <v>25.357138695772953</v>
      </c>
      <c r="M11" s="13">
        <v>20.633058193465409</v>
      </c>
      <c r="N11" s="13">
        <v>96.738827403881928</v>
      </c>
      <c r="O11" s="13">
        <v>15.583573576220221</v>
      </c>
      <c r="P11" s="13">
        <f t="shared" si="0"/>
        <v>39.57814946733513</v>
      </c>
      <c r="AB11" s="20"/>
      <c r="AC11" s="20"/>
      <c r="AD11" s="20"/>
      <c r="AE11" s="20"/>
      <c r="AF11" s="20"/>
    </row>
    <row r="12" spans="2:32" x14ac:dyDescent="0.35">
      <c r="B12" s="16">
        <v>10</v>
      </c>
      <c r="C12" s="13" t="s">
        <v>757</v>
      </c>
      <c r="D12" s="13" t="s">
        <v>2123</v>
      </c>
      <c r="E12" s="13" t="s">
        <v>3278</v>
      </c>
      <c r="F12" s="13" t="s">
        <v>2735</v>
      </c>
      <c r="H12" s="18" t="s">
        <v>757</v>
      </c>
      <c r="I12" s="13" t="s">
        <v>757</v>
      </c>
      <c r="J12" s="13" t="s">
        <v>765</v>
      </c>
      <c r="K12" s="13" t="s">
        <v>766</v>
      </c>
      <c r="L12" s="13">
        <v>11.935616693644056</v>
      </c>
      <c r="M12" s="13">
        <v>0.47022286975270511</v>
      </c>
      <c r="N12" s="13">
        <v>52.494167026624872</v>
      </c>
      <c r="O12" s="13">
        <v>0.37720031995098896</v>
      </c>
      <c r="P12" s="13">
        <f t="shared" si="0"/>
        <v>16.319301727493155</v>
      </c>
      <c r="AB12" s="20"/>
      <c r="AC12" s="20"/>
      <c r="AD12" s="20"/>
      <c r="AE12" s="20"/>
      <c r="AF12" s="20"/>
    </row>
    <row r="13" spans="2:32" x14ac:dyDescent="0.35">
      <c r="B13" s="16">
        <v>11</v>
      </c>
      <c r="C13" s="13" t="s">
        <v>2729</v>
      </c>
      <c r="D13" s="13" t="s">
        <v>2759</v>
      </c>
      <c r="E13" s="13" t="s">
        <v>2729</v>
      </c>
      <c r="F13" s="13" t="s">
        <v>1494</v>
      </c>
      <c r="H13" s="18" t="s">
        <v>757</v>
      </c>
      <c r="I13" s="13" t="s">
        <v>757</v>
      </c>
      <c r="J13" s="13" t="s">
        <v>769</v>
      </c>
      <c r="K13" s="13" t="s">
        <v>770</v>
      </c>
      <c r="L13" s="13">
        <v>10.385973196206418</v>
      </c>
      <c r="M13" s="13">
        <v>4.5678687989312055</v>
      </c>
      <c r="N13" s="13">
        <v>92.557757504190079</v>
      </c>
      <c r="O13" s="13">
        <v>2.7868623402333976</v>
      </c>
      <c r="P13" s="13">
        <f t="shared" si="0"/>
        <v>27.574615459890275</v>
      </c>
    </row>
    <row r="14" spans="2:32" x14ac:dyDescent="0.35">
      <c r="B14" s="16">
        <v>12</v>
      </c>
      <c r="C14" s="13" t="s">
        <v>2715</v>
      </c>
      <c r="D14" s="13" t="s">
        <v>2729</v>
      </c>
      <c r="E14" s="13" t="s">
        <v>2200</v>
      </c>
      <c r="F14" s="13" t="s">
        <v>3367</v>
      </c>
      <c r="H14" s="18" t="s">
        <v>757</v>
      </c>
      <c r="I14" s="13" t="s">
        <v>757</v>
      </c>
      <c r="J14" s="13" t="s">
        <v>773</v>
      </c>
      <c r="K14" s="13" t="s">
        <v>774</v>
      </c>
      <c r="L14" s="13">
        <v>17.643697523427669</v>
      </c>
      <c r="M14" s="13">
        <v>0.74974456560714309</v>
      </c>
      <c r="N14" s="13">
        <v>88.021839967977286</v>
      </c>
      <c r="O14" s="13">
        <v>3.4829256921465239</v>
      </c>
      <c r="P14" s="13">
        <f t="shared" si="0"/>
        <v>27.474551937289654</v>
      </c>
    </row>
    <row r="15" spans="2:32" x14ac:dyDescent="0.35">
      <c r="B15" s="16">
        <v>13</v>
      </c>
      <c r="C15" s="13" t="s">
        <v>1482</v>
      </c>
      <c r="D15" s="13" t="s">
        <v>2769</v>
      </c>
      <c r="E15" s="13" t="s">
        <v>1231</v>
      </c>
      <c r="F15" s="13" t="s">
        <v>2115</v>
      </c>
      <c r="H15" s="18" t="s">
        <v>757</v>
      </c>
      <c r="I15" s="13" t="s">
        <v>757</v>
      </c>
      <c r="J15" s="13" t="s">
        <v>775</v>
      </c>
      <c r="K15" s="13" t="s">
        <v>776</v>
      </c>
      <c r="L15" s="13">
        <v>16.093141703124221</v>
      </c>
      <c r="M15" s="13">
        <v>10.640352806042445</v>
      </c>
      <c r="N15" s="13">
        <v>86.023359838076431</v>
      </c>
      <c r="O15" s="13">
        <v>6.6907039985620669</v>
      </c>
      <c r="P15" s="13">
        <f t="shared" si="0"/>
        <v>29.861889586451291</v>
      </c>
    </row>
    <row r="16" spans="2:32" x14ac:dyDescent="0.35">
      <c r="B16" s="16">
        <v>14</v>
      </c>
      <c r="C16" s="13" t="s">
        <v>2767</v>
      </c>
      <c r="D16" s="13" t="s">
        <v>2767</v>
      </c>
      <c r="E16" s="13" t="s">
        <v>2779</v>
      </c>
      <c r="F16" s="13" t="s">
        <v>3278</v>
      </c>
      <c r="H16" s="18" t="s">
        <v>757</v>
      </c>
      <c r="I16" s="13" t="s">
        <v>757</v>
      </c>
      <c r="J16" s="13" t="s">
        <v>779</v>
      </c>
      <c r="K16" s="13" t="s">
        <v>780</v>
      </c>
      <c r="L16" s="13">
        <v>17.277413476612406</v>
      </c>
      <c r="M16" s="13">
        <v>11.322873257889531</v>
      </c>
      <c r="N16" s="13">
        <v>96.668921771168129</v>
      </c>
      <c r="O16" s="13">
        <v>8.5220121315739519</v>
      </c>
      <c r="P16" s="13">
        <f t="shared" si="0"/>
        <v>33.447805159311002</v>
      </c>
    </row>
    <row r="17" spans="2:16" x14ac:dyDescent="0.35">
      <c r="B17" s="16">
        <v>15</v>
      </c>
      <c r="C17" s="13" t="s">
        <v>2765</v>
      </c>
      <c r="D17" s="13" t="s">
        <v>2745</v>
      </c>
      <c r="E17" s="13" t="s">
        <v>2111</v>
      </c>
      <c r="F17" s="13" t="s">
        <v>3295</v>
      </c>
      <c r="H17" s="18" t="s">
        <v>757</v>
      </c>
      <c r="I17" s="13" t="s">
        <v>757</v>
      </c>
      <c r="J17" s="13" t="s">
        <v>787</v>
      </c>
      <c r="K17" s="13" t="s">
        <v>788</v>
      </c>
      <c r="L17" s="13">
        <v>2.8897374959140381</v>
      </c>
      <c r="M17" s="13">
        <v>0</v>
      </c>
      <c r="N17" s="13">
        <v>6.0300661390352995E-3</v>
      </c>
      <c r="O17" s="13">
        <v>0.17946347267952648</v>
      </c>
      <c r="P17" s="13">
        <f t="shared" si="0"/>
        <v>0.76880775868314988</v>
      </c>
    </row>
    <row r="18" spans="2:16" x14ac:dyDescent="0.35">
      <c r="B18" s="16">
        <v>16</v>
      </c>
      <c r="C18" s="13" t="s">
        <v>2755</v>
      </c>
      <c r="D18" s="13" t="s">
        <v>2715</v>
      </c>
      <c r="E18" s="13" t="s">
        <v>3749</v>
      </c>
      <c r="F18" s="13" t="s">
        <v>3041</v>
      </c>
      <c r="H18" s="18" t="s">
        <v>757</v>
      </c>
      <c r="I18" s="13" t="s">
        <v>757</v>
      </c>
      <c r="J18" s="13" t="s">
        <v>789</v>
      </c>
      <c r="K18" s="13" t="s">
        <v>790</v>
      </c>
      <c r="L18" s="13">
        <v>18.892888324837198</v>
      </c>
      <c r="M18" s="13">
        <v>0.59597021441207787</v>
      </c>
      <c r="N18" s="13">
        <v>78.575819021215352</v>
      </c>
      <c r="O18" s="13">
        <v>1.6340844323167847</v>
      </c>
      <c r="P18" s="13">
        <f t="shared" si="0"/>
        <v>24.924690498195353</v>
      </c>
    </row>
    <row r="19" spans="2:16" x14ac:dyDescent="0.35">
      <c r="B19" s="16">
        <v>17</v>
      </c>
      <c r="C19" s="13" t="s">
        <v>1231</v>
      </c>
      <c r="D19" s="13" t="s">
        <v>2755</v>
      </c>
      <c r="E19" s="13" t="s">
        <v>2715</v>
      </c>
      <c r="F19" s="13" t="s">
        <v>2725</v>
      </c>
      <c r="H19" s="18" t="s">
        <v>757</v>
      </c>
      <c r="I19" s="13" t="s">
        <v>757</v>
      </c>
      <c r="J19" s="13" t="s">
        <v>799</v>
      </c>
      <c r="K19" s="13" t="s">
        <v>800</v>
      </c>
      <c r="L19" s="13">
        <v>14.238007587034874</v>
      </c>
      <c r="M19" s="13">
        <v>3.6592785938996979</v>
      </c>
      <c r="N19" s="13">
        <v>98.633191458459208</v>
      </c>
      <c r="O19" s="13">
        <v>3.6173461882111533</v>
      </c>
      <c r="P19" s="13">
        <f t="shared" si="0"/>
        <v>30.036955956901235</v>
      </c>
    </row>
    <row r="20" spans="2:16" x14ac:dyDescent="0.35">
      <c r="B20" s="16">
        <v>18</v>
      </c>
      <c r="C20" s="13" t="s">
        <v>2777</v>
      </c>
      <c r="D20" s="13" t="s">
        <v>2735</v>
      </c>
      <c r="E20" s="13" t="s">
        <v>3874</v>
      </c>
      <c r="F20" s="13" t="s">
        <v>2111</v>
      </c>
      <c r="H20" s="18" t="s">
        <v>757</v>
      </c>
      <c r="I20" s="13" t="s">
        <v>757</v>
      </c>
      <c r="J20" s="13" t="s">
        <v>801</v>
      </c>
      <c r="K20" s="13" t="s">
        <v>802</v>
      </c>
      <c r="L20" s="13">
        <v>15.95003797705016</v>
      </c>
      <c r="M20" s="13">
        <v>9.1942050758920077E-2</v>
      </c>
      <c r="N20" s="13">
        <v>93.242878030420854</v>
      </c>
      <c r="O20" s="13">
        <v>0.98559734511514896</v>
      </c>
      <c r="P20" s="13">
        <f t="shared" si="0"/>
        <v>27.56761385083627</v>
      </c>
    </row>
    <row r="21" spans="2:16" x14ac:dyDescent="0.35">
      <c r="B21" s="16">
        <v>19</v>
      </c>
      <c r="C21" s="13" t="s">
        <v>2723</v>
      </c>
      <c r="D21" s="13" t="s">
        <v>2763</v>
      </c>
      <c r="E21" s="13" t="s">
        <v>3407</v>
      </c>
      <c r="F21" s="13" t="s">
        <v>2131</v>
      </c>
      <c r="H21" s="18" t="s">
        <v>757</v>
      </c>
      <c r="I21" s="13" t="s">
        <v>757</v>
      </c>
      <c r="J21" s="13" t="s">
        <v>803</v>
      </c>
      <c r="K21" s="13" t="s">
        <v>804</v>
      </c>
      <c r="L21" s="13">
        <v>15.153596348745694</v>
      </c>
      <c r="M21" s="13">
        <v>0.36253662877957699</v>
      </c>
      <c r="N21" s="13">
        <v>52.494167026624872</v>
      </c>
      <c r="O21" s="13">
        <v>0.64571942312726505</v>
      </c>
      <c r="P21" s="13">
        <f t="shared" si="0"/>
        <v>17.16400485681935</v>
      </c>
    </row>
    <row r="22" spans="2:16" x14ac:dyDescent="0.35">
      <c r="B22" s="16">
        <v>20</v>
      </c>
      <c r="C22" s="13" t="s">
        <v>3278</v>
      </c>
      <c r="D22" s="13" t="s">
        <v>1482</v>
      </c>
      <c r="E22" s="13" t="s">
        <v>2745</v>
      </c>
      <c r="F22" s="13" t="s">
        <v>2711</v>
      </c>
      <c r="H22" s="18" t="s">
        <v>757</v>
      </c>
      <c r="I22" s="13" t="s">
        <v>757</v>
      </c>
      <c r="J22" s="13" t="s">
        <v>807</v>
      </c>
      <c r="K22" s="13" t="s">
        <v>808</v>
      </c>
      <c r="L22" s="13">
        <v>21.609219078654846</v>
      </c>
      <c r="M22" s="13">
        <v>2.7499913422085802</v>
      </c>
      <c r="N22" s="13">
        <v>86.626498889552423</v>
      </c>
      <c r="O22" s="13">
        <v>5.4904885925085454</v>
      </c>
      <c r="P22" s="13">
        <f t="shared" si="0"/>
        <v>29.119049475731096</v>
      </c>
    </row>
    <row r="23" spans="2:16" x14ac:dyDescent="0.35">
      <c r="B23" s="16">
        <v>21</v>
      </c>
      <c r="C23" s="13" t="s">
        <v>3789</v>
      </c>
      <c r="D23" s="13" t="s">
        <v>2711</v>
      </c>
      <c r="E23" s="13" t="s">
        <v>2781</v>
      </c>
      <c r="F23" s="13" t="s">
        <v>2777</v>
      </c>
      <c r="H23" s="18" t="s">
        <v>757</v>
      </c>
      <c r="I23" s="13" t="s">
        <v>757</v>
      </c>
      <c r="J23" s="13" t="s">
        <v>811</v>
      </c>
      <c r="K23" s="13" t="s">
        <v>812</v>
      </c>
      <c r="L23" s="13">
        <v>7.5277111086878667</v>
      </c>
      <c r="M23" s="13">
        <v>2.59845126394631</v>
      </c>
      <c r="N23" s="13">
        <v>52.494167026624872</v>
      </c>
      <c r="O23" s="13">
        <v>1.000070091307681</v>
      </c>
      <c r="P23" s="13">
        <f t="shared" si="0"/>
        <v>15.905099872641683</v>
      </c>
    </row>
    <row r="24" spans="2:16" x14ac:dyDescent="0.35">
      <c r="B24" s="16">
        <v>22</v>
      </c>
      <c r="C24" s="13" t="s">
        <v>2721</v>
      </c>
      <c r="D24" s="13" t="s">
        <v>2731</v>
      </c>
      <c r="E24" s="13" t="s">
        <v>1492</v>
      </c>
      <c r="F24" s="13" t="s">
        <v>2747</v>
      </c>
      <c r="H24" s="18" t="s">
        <v>757</v>
      </c>
      <c r="I24" s="13" t="s">
        <v>757</v>
      </c>
      <c r="J24" s="13" t="s">
        <v>813</v>
      </c>
      <c r="K24" s="13" t="s">
        <v>814</v>
      </c>
      <c r="L24" s="13">
        <v>19.92761956037144</v>
      </c>
      <c r="M24" s="13">
        <v>14.447446843626924</v>
      </c>
      <c r="N24" s="13">
        <v>88.329405024415578</v>
      </c>
      <c r="O24" s="13">
        <v>15.33025656575108</v>
      </c>
      <c r="P24" s="13">
        <f t="shared" si="0"/>
        <v>34.508681998541256</v>
      </c>
    </row>
    <row r="25" spans="2:16" x14ac:dyDescent="0.35">
      <c r="B25" s="16">
        <v>23</v>
      </c>
      <c r="C25" s="13" t="s">
        <v>3041</v>
      </c>
      <c r="D25" s="13" t="s">
        <v>2779</v>
      </c>
      <c r="E25" s="13" t="s">
        <v>2761</v>
      </c>
      <c r="F25" s="13" t="s">
        <v>2739</v>
      </c>
      <c r="H25" s="18" t="s">
        <v>976</v>
      </c>
      <c r="I25" s="13" t="s">
        <v>977</v>
      </c>
      <c r="J25" s="13" t="s">
        <v>976</v>
      </c>
      <c r="K25" s="13" t="s">
        <v>979</v>
      </c>
      <c r="L25" s="13">
        <v>20.404217358557901</v>
      </c>
      <c r="M25" s="13">
        <v>21.913989533823713</v>
      </c>
      <c r="N25" s="13">
        <v>90.183153788383194</v>
      </c>
      <c r="O25" s="13">
        <v>13.210101221233362</v>
      </c>
      <c r="P25" s="13">
        <f t="shared" si="0"/>
        <v>36.427865475499544</v>
      </c>
    </row>
    <row r="26" spans="2:16" x14ac:dyDescent="0.35">
      <c r="B26" s="16">
        <v>24</v>
      </c>
      <c r="C26" s="13" t="s">
        <v>2727</v>
      </c>
      <c r="D26" s="13" t="s">
        <v>2723</v>
      </c>
      <c r="E26" s="13" t="s">
        <v>531</v>
      </c>
      <c r="F26" s="13" t="s">
        <v>2123</v>
      </c>
      <c r="H26" s="18" t="s">
        <v>976</v>
      </c>
      <c r="I26" s="13" t="s">
        <v>977</v>
      </c>
      <c r="J26" s="13" t="s">
        <v>4006</v>
      </c>
      <c r="K26" s="13" t="s">
        <v>985</v>
      </c>
      <c r="L26" s="13">
        <v>6.8591184467161836</v>
      </c>
      <c r="M26" s="13">
        <v>0</v>
      </c>
      <c r="N26" s="13">
        <v>52.494167026624872</v>
      </c>
      <c r="O26" s="13">
        <v>1.0326793181275087</v>
      </c>
      <c r="P26" s="13">
        <f t="shared" si="0"/>
        <v>15.09649119786714</v>
      </c>
    </row>
    <row r="27" spans="2:16" x14ac:dyDescent="0.35">
      <c r="B27" s="16">
        <v>25</v>
      </c>
      <c r="C27" s="13" t="s">
        <v>3749</v>
      </c>
      <c r="D27" s="13" t="s">
        <v>2707</v>
      </c>
      <c r="E27" s="13" t="s">
        <v>1938</v>
      </c>
      <c r="F27" s="13" t="s">
        <v>2775</v>
      </c>
      <c r="H27" s="18" t="s">
        <v>976</v>
      </c>
      <c r="I27" s="13" t="s">
        <v>977</v>
      </c>
      <c r="J27" s="13" t="s">
        <v>1005</v>
      </c>
      <c r="K27" s="13" t="s">
        <v>1006</v>
      </c>
      <c r="L27" s="13">
        <v>15.904846227718291</v>
      </c>
      <c r="M27" s="13">
        <v>0</v>
      </c>
      <c r="N27" s="13">
        <v>81.614217722422282</v>
      </c>
      <c r="O27" s="13">
        <v>1.0499605890640389</v>
      </c>
      <c r="P27" s="13">
        <f t="shared" si="0"/>
        <v>24.642256134801155</v>
      </c>
    </row>
    <row r="28" spans="2:16" x14ac:dyDescent="0.35">
      <c r="B28" s="16">
        <v>26</v>
      </c>
      <c r="C28" s="13" t="s">
        <v>3874</v>
      </c>
      <c r="D28" s="13" t="s">
        <v>2777</v>
      </c>
      <c r="E28" s="13" t="s">
        <v>3789</v>
      </c>
      <c r="F28" s="13" t="s">
        <v>2719</v>
      </c>
      <c r="H28" s="18" t="s">
        <v>976</v>
      </c>
      <c r="I28" s="13" t="s">
        <v>977</v>
      </c>
      <c r="J28" s="13" t="s">
        <v>1007</v>
      </c>
      <c r="K28" s="13" t="s">
        <v>1008</v>
      </c>
      <c r="L28" s="13">
        <v>10.770266724431425</v>
      </c>
      <c r="M28" s="13">
        <v>0.23511143487635255</v>
      </c>
      <c r="N28" s="13">
        <v>37.270689261774002</v>
      </c>
      <c r="O28" s="13">
        <v>0.73414854898563209</v>
      </c>
      <c r="P28" s="13">
        <f t="shared" si="0"/>
        <v>12.252553992516852</v>
      </c>
    </row>
    <row r="29" spans="2:16" x14ac:dyDescent="0.35">
      <c r="B29" s="16">
        <v>27</v>
      </c>
      <c r="C29" s="13" t="s">
        <v>3588</v>
      </c>
      <c r="D29" s="13" t="s">
        <v>2733</v>
      </c>
      <c r="E29" s="13" t="s">
        <v>763</v>
      </c>
      <c r="F29" s="13" t="s">
        <v>3391</v>
      </c>
      <c r="H29" s="18" t="s">
        <v>1231</v>
      </c>
      <c r="I29" s="13" t="s">
        <v>1231</v>
      </c>
      <c r="J29" s="13" t="s">
        <v>1231</v>
      </c>
      <c r="K29" s="13" t="s">
        <v>1232</v>
      </c>
      <c r="L29" s="13">
        <v>30.592958586539311</v>
      </c>
      <c r="M29" s="13">
        <v>28.458625944064952</v>
      </c>
      <c r="N29" s="13">
        <v>83.869923483358377</v>
      </c>
      <c r="O29" s="13">
        <v>28.562657223544452</v>
      </c>
      <c r="P29" s="13">
        <f t="shared" si="0"/>
        <v>42.871041309376771</v>
      </c>
    </row>
    <row r="30" spans="2:16" x14ac:dyDescent="0.35">
      <c r="B30" s="16">
        <v>28</v>
      </c>
      <c r="C30" s="13" t="s">
        <v>2719</v>
      </c>
      <c r="D30" s="13" t="s">
        <v>3588</v>
      </c>
      <c r="E30" s="13" t="s">
        <v>978</v>
      </c>
      <c r="F30" s="13" t="s">
        <v>1484</v>
      </c>
      <c r="H30" s="18" t="s">
        <v>1231</v>
      </c>
      <c r="I30" s="13" t="s">
        <v>1231</v>
      </c>
      <c r="J30" s="13" t="s">
        <v>1241</v>
      </c>
      <c r="K30" s="13" t="s">
        <v>1242</v>
      </c>
      <c r="L30" s="13">
        <v>3.4767129946880542</v>
      </c>
      <c r="M30" s="13">
        <v>0</v>
      </c>
      <c r="N30" s="13">
        <v>6.0300661390352995E-3</v>
      </c>
      <c r="O30" s="13">
        <v>0.18329915176425793</v>
      </c>
      <c r="P30" s="13">
        <f t="shared" si="0"/>
        <v>0.9165105531478368</v>
      </c>
    </row>
    <row r="31" spans="2:16" x14ac:dyDescent="0.35">
      <c r="B31" s="16">
        <v>29</v>
      </c>
      <c r="C31" s="13" t="s">
        <v>2711</v>
      </c>
      <c r="D31" s="13" t="s">
        <v>1490</v>
      </c>
      <c r="E31" s="13" t="s">
        <v>1496</v>
      </c>
      <c r="F31" s="13" t="s">
        <v>1486</v>
      </c>
      <c r="H31" s="18" t="s">
        <v>1231</v>
      </c>
      <c r="I31" s="13" t="s">
        <v>1231</v>
      </c>
      <c r="J31" s="13" t="s">
        <v>1243</v>
      </c>
      <c r="K31" s="13" t="s">
        <v>1244</v>
      </c>
      <c r="L31" s="13">
        <v>1.8940097260568844</v>
      </c>
      <c r="M31" s="13">
        <v>0</v>
      </c>
      <c r="N31" s="13">
        <v>6.0300661390352995E-3</v>
      </c>
      <c r="O31" s="13">
        <v>3.775840806716272E-2</v>
      </c>
      <c r="P31" s="13">
        <f t="shared" si="0"/>
        <v>0.48444955006577062</v>
      </c>
    </row>
    <row r="32" spans="2:16" x14ac:dyDescent="0.35">
      <c r="B32" s="16">
        <v>30</v>
      </c>
      <c r="C32" s="13" t="s">
        <v>2769</v>
      </c>
      <c r="D32" s="13" t="s">
        <v>3041</v>
      </c>
      <c r="E32" s="13" t="s">
        <v>3153</v>
      </c>
      <c r="F32" s="13" t="s">
        <v>3882</v>
      </c>
      <c r="H32" s="18" t="s">
        <v>1231</v>
      </c>
      <c r="I32" s="13" t="s">
        <v>1231</v>
      </c>
      <c r="J32" s="13" t="s">
        <v>1245</v>
      </c>
      <c r="K32" s="13" t="s">
        <v>1246</v>
      </c>
      <c r="L32" s="13">
        <v>7.5573322639466269</v>
      </c>
      <c r="M32" s="13">
        <v>0.43130755616039684</v>
      </c>
      <c r="N32" s="13">
        <v>96.255506951683628</v>
      </c>
      <c r="O32" s="13">
        <v>1.6733618747886141</v>
      </c>
      <c r="P32" s="13">
        <f t="shared" si="0"/>
        <v>26.479377161644816</v>
      </c>
    </row>
    <row r="33" spans="2:16" x14ac:dyDescent="0.35">
      <c r="B33" s="16">
        <v>31</v>
      </c>
      <c r="C33" s="13" t="s">
        <v>2779</v>
      </c>
      <c r="D33" s="13" t="s">
        <v>3059</v>
      </c>
      <c r="E33" s="13" t="s">
        <v>2739</v>
      </c>
      <c r="F33" s="13" t="s">
        <v>2753</v>
      </c>
      <c r="H33" s="18" t="s">
        <v>1231</v>
      </c>
      <c r="I33" s="13" t="s">
        <v>1231</v>
      </c>
      <c r="J33" s="13" t="s">
        <v>1247</v>
      </c>
      <c r="K33" s="13" t="s">
        <v>1248</v>
      </c>
      <c r="L33" s="13">
        <v>0.22236083870698881</v>
      </c>
      <c r="M33" s="13">
        <v>0</v>
      </c>
      <c r="N33" s="13">
        <v>6.0300661390352995E-3</v>
      </c>
      <c r="O33" s="13">
        <v>7.4674635831147182E-2</v>
      </c>
      <c r="P33" s="13">
        <f t="shared" si="0"/>
        <v>7.5766385169292821E-2</v>
      </c>
    </row>
    <row r="34" spans="2:16" x14ac:dyDescent="0.35">
      <c r="B34" s="16">
        <v>32</v>
      </c>
      <c r="C34" s="13" t="s">
        <v>2705</v>
      </c>
      <c r="D34" s="13" t="s">
        <v>2727</v>
      </c>
      <c r="E34" s="13" t="s">
        <v>2765</v>
      </c>
      <c r="F34" s="13" t="s">
        <v>2733</v>
      </c>
      <c r="H34" s="18" t="s">
        <v>1482</v>
      </c>
      <c r="I34" s="13" t="s">
        <v>1482</v>
      </c>
      <c r="J34" s="13" t="s">
        <v>1482</v>
      </c>
      <c r="K34" s="13" t="s">
        <v>1483</v>
      </c>
      <c r="L34" s="13">
        <v>40.002806355065673</v>
      </c>
      <c r="M34" s="13">
        <v>15.31406127243006</v>
      </c>
      <c r="N34" s="13">
        <v>83.551864924331795</v>
      </c>
      <c r="O34" s="13">
        <v>39.599843382335962</v>
      </c>
      <c r="P34" s="13">
        <f t="shared" si="0"/>
        <v>44.617143983540871</v>
      </c>
    </row>
    <row r="35" spans="2:16" x14ac:dyDescent="0.35">
      <c r="B35" s="16">
        <v>33</v>
      </c>
      <c r="C35" s="13" t="s">
        <v>2150</v>
      </c>
      <c r="D35" s="13" t="s">
        <v>2699</v>
      </c>
      <c r="E35" s="13" t="s">
        <v>2628</v>
      </c>
      <c r="F35" s="13" t="s">
        <v>2938</v>
      </c>
      <c r="H35" s="18" t="s">
        <v>1482</v>
      </c>
      <c r="I35" s="13" t="s">
        <v>1482</v>
      </c>
      <c r="J35" s="13" t="s">
        <v>1484</v>
      </c>
      <c r="K35" s="13" t="s">
        <v>1485</v>
      </c>
      <c r="L35" s="13">
        <v>22.263959805698661</v>
      </c>
      <c r="M35" s="13">
        <v>3.3464712433766053</v>
      </c>
      <c r="N35" s="13">
        <v>86.597118913305735</v>
      </c>
      <c r="O35" s="13">
        <v>9.0154503096082941</v>
      </c>
      <c r="P35" s="13">
        <f t="shared" ref="P35:P66" si="1">SUMPRODUCT(L35:O35,$L$173:$O$173)</f>
        <v>30.305750067997323</v>
      </c>
    </row>
    <row r="36" spans="2:16" x14ac:dyDescent="0.35">
      <c r="B36" s="16">
        <v>34</v>
      </c>
      <c r="C36" s="13" t="s">
        <v>531</v>
      </c>
      <c r="D36" s="13" t="s">
        <v>2737</v>
      </c>
      <c r="E36" s="13" t="s">
        <v>2218</v>
      </c>
      <c r="F36" s="13" t="s">
        <v>2771</v>
      </c>
      <c r="H36" s="18" t="s">
        <v>1482</v>
      </c>
      <c r="I36" s="13" t="s">
        <v>1482</v>
      </c>
      <c r="J36" s="13" t="s">
        <v>1486</v>
      </c>
      <c r="K36" s="13" t="s">
        <v>1487</v>
      </c>
      <c r="L36" s="13">
        <v>16.017409796492082</v>
      </c>
      <c r="M36" s="13">
        <v>1.2963854635497887</v>
      </c>
      <c r="N36" s="13">
        <v>86.02843620767834</v>
      </c>
      <c r="O36" s="13">
        <v>4.0589910771806643</v>
      </c>
      <c r="P36" s="13">
        <f t="shared" si="1"/>
        <v>26.850305636225219</v>
      </c>
    </row>
    <row r="37" spans="2:16" x14ac:dyDescent="0.35">
      <c r="B37" s="16">
        <v>35</v>
      </c>
      <c r="C37" s="13" t="s">
        <v>2200</v>
      </c>
      <c r="D37" s="13" t="s">
        <v>2721</v>
      </c>
      <c r="E37" s="13" t="s">
        <v>3846</v>
      </c>
      <c r="F37" s="13" t="s">
        <v>2749</v>
      </c>
      <c r="H37" s="18" t="s">
        <v>1482</v>
      </c>
      <c r="I37" s="13" t="s">
        <v>1482</v>
      </c>
      <c r="J37" s="13" t="s">
        <v>1488</v>
      </c>
      <c r="K37" s="13" t="s">
        <v>1489</v>
      </c>
      <c r="L37" s="13">
        <v>19.255652238374864</v>
      </c>
      <c r="M37" s="13">
        <v>2.5304279210506175</v>
      </c>
      <c r="N37" s="13">
        <v>77.635569485009256</v>
      </c>
      <c r="O37" s="13">
        <v>5.4798468087979026</v>
      </c>
      <c r="P37" s="13">
        <f t="shared" si="1"/>
        <v>26.22537411330816</v>
      </c>
    </row>
    <row r="38" spans="2:16" x14ac:dyDescent="0.35">
      <c r="B38" s="16">
        <v>36</v>
      </c>
      <c r="C38" s="13" t="s">
        <v>2763</v>
      </c>
      <c r="D38" s="13" t="s">
        <v>2620</v>
      </c>
      <c r="E38" s="13" t="s">
        <v>251</v>
      </c>
      <c r="F38" s="13" t="s">
        <v>1488</v>
      </c>
      <c r="H38" s="18" t="s">
        <v>1482</v>
      </c>
      <c r="I38" s="13" t="s">
        <v>1482</v>
      </c>
      <c r="J38" s="13" t="s">
        <v>1490</v>
      </c>
      <c r="K38" s="13" t="s">
        <v>1491</v>
      </c>
      <c r="L38" s="13">
        <v>20.62258921798243</v>
      </c>
      <c r="M38" s="13">
        <v>5.5693281114128339E-3</v>
      </c>
      <c r="N38" s="13">
        <v>10.503657458236203</v>
      </c>
      <c r="O38" s="13">
        <v>0.7868264998360387</v>
      </c>
      <c r="P38" s="13">
        <f t="shared" si="1"/>
        <v>7.9796606260415217</v>
      </c>
    </row>
    <row r="39" spans="2:16" x14ac:dyDescent="0.35">
      <c r="B39" s="16">
        <v>37</v>
      </c>
      <c r="C39" s="13" t="s">
        <v>2761</v>
      </c>
      <c r="D39" s="13" t="s">
        <v>1488</v>
      </c>
      <c r="E39" s="13" t="s">
        <v>813</v>
      </c>
      <c r="F39" s="13" t="s">
        <v>857</v>
      </c>
      <c r="H39" s="18" t="s">
        <v>1482</v>
      </c>
      <c r="I39" s="13" t="s">
        <v>1482</v>
      </c>
      <c r="J39" s="13" t="s">
        <v>4007</v>
      </c>
      <c r="K39" s="13" t="s">
        <v>1493</v>
      </c>
      <c r="L39" s="13">
        <v>19.713499714469062</v>
      </c>
      <c r="M39" s="13">
        <v>18.836753385134859</v>
      </c>
      <c r="N39" s="13">
        <v>89.383163040151942</v>
      </c>
      <c r="O39" s="13">
        <v>17.297078641350367</v>
      </c>
      <c r="P39" s="13">
        <f t="shared" si="1"/>
        <v>36.307623695276561</v>
      </c>
    </row>
    <row r="40" spans="2:16" x14ac:dyDescent="0.35">
      <c r="B40" s="16">
        <v>38</v>
      </c>
      <c r="C40" s="13" t="s">
        <v>2735</v>
      </c>
      <c r="D40" s="13" t="s">
        <v>3848</v>
      </c>
      <c r="E40" s="13" t="s">
        <v>2451</v>
      </c>
      <c r="F40" s="13" t="s">
        <v>3055</v>
      </c>
      <c r="H40" s="18" t="s">
        <v>1482</v>
      </c>
      <c r="I40" s="13" t="s">
        <v>1482</v>
      </c>
      <c r="J40" s="13" t="s">
        <v>1494</v>
      </c>
      <c r="K40" s="13" t="s">
        <v>1495</v>
      </c>
      <c r="L40" s="13">
        <v>11.339095067569611</v>
      </c>
      <c r="M40" s="13">
        <v>0</v>
      </c>
      <c r="N40" s="13">
        <v>40.946776895317996</v>
      </c>
      <c r="O40" s="13">
        <v>1.097170817540905</v>
      </c>
      <c r="P40" s="13">
        <f t="shared" si="1"/>
        <v>13.345760695107128</v>
      </c>
    </row>
    <row r="41" spans="2:16" x14ac:dyDescent="0.35">
      <c r="B41" s="16">
        <v>39</v>
      </c>
      <c r="C41" s="13" t="s">
        <v>2111</v>
      </c>
      <c r="D41" s="13" t="s">
        <v>3155</v>
      </c>
      <c r="E41" s="13" t="s">
        <v>2707</v>
      </c>
      <c r="F41" s="13" t="s">
        <v>3749</v>
      </c>
      <c r="H41" s="18" t="s">
        <v>1496</v>
      </c>
      <c r="I41" s="13" t="s">
        <v>1496</v>
      </c>
      <c r="J41" s="13" t="s">
        <v>1496</v>
      </c>
      <c r="K41" s="13" t="s">
        <v>1497</v>
      </c>
      <c r="L41" s="13">
        <v>22.285320623417988</v>
      </c>
      <c r="M41" s="13">
        <v>16.689718836459129</v>
      </c>
      <c r="N41" s="13">
        <v>94.997623118509381</v>
      </c>
      <c r="O41" s="13">
        <v>32.999747308681457</v>
      </c>
      <c r="P41" s="13">
        <f t="shared" si="1"/>
        <v>41.743102471766989</v>
      </c>
    </row>
    <row r="42" spans="2:16" x14ac:dyDescent="0.35">
      <c r="B42" s="16">
        <v>40</v>
      </c>
      <c r="C42" s="13" t="s">
        <v>1484</v>
      </c>
      <c r="D42" s="13" t="s">
        <v>801</v>
      </c>
      <c r="E42" s="13" t="s">
        <v>1510</v>
      </c>
      <c r="F42" s="13" t="s">
        <v>2469</v>
      </c>
      <c r="H42" s="18" t="s">
        <v>1496</v>
      </c>
      <c r="I42" s="13" t="s">
        <v>1496</v>
      </c>
      <c r="J42" s="13" t="s">
        <v>1502</v>
      </c>
      <c r="K42" s="13" t="s">
        <v>1503</v>
      </c>
      <c r="L42" s="13">
        <v>14.184343563490154</v>
      </c>
      <c r="M42" s="13">
        <v>7.8480239729315642</v>
      </c>
      <c r="N42" s="13">
        <v>93.15444125998782</v>
      </c>
      <c r="O42" s="13">
        <v>8.4273736308610907</v>
      </c>
      <c r="P42" s="13">
        <f t="shared" si="1"/>
        <v>30.903545606817659</v>
      </c>
    </row>
    <row r="43" spans="2:16" x14ac:dyDescent="0.35">
      <c r="B43" s="16">
        <v>41</v>
      </c>
      <c r="C43" s="13" t="s">
        <v>763</v>
      </c>
      <c r="D43" s="13" t="s">
        <v>3803</v>
      </c>
      <c r="E43" s="13" t="s">
        <v>3041</v>
      </c>
      <c r="F43" s="13" t="s">
        <v>2721</v>
      </c>
      <c r="H43" s="18" t="s">
        <v>1496</v>
      </c>
      <c r="I43" s="13" t="s">
        <v>1496</v>
      </c>
      <c r="J43" s="13" t="s">
        <v>1504</v>
      </c>
      <c r="K43" s="13" t="s">
        <v>1505</v>
      </c>
      <c r="L43" s="13">
        <v>13.886382266553221</v>
      </c>
      <c r="M43" s="13">
        <v>12.525413239019334</v>
      </c>
      <c r="N43" s="13">
        <v>97.179837946084604</v>
      </c>
      <c r="O43" s="13">
        <v>7.3880956166780223</v>
      </c>
      <c r="P43" s="13">
        <f t="shared" si="1"/>
        <v>32.744932267083797</v>
      </c>
    </row>
    <row r="44" spans="2:16" x14ac:dyDescent="0.35">
      <c r="B44" s="16">
        <v>42</v>
      </c>
      <c r="C44" s="13" t="s">
        <v>2745</v>
      </c>
      <c r="D44" s="13" t="s">
        <v>789</v>
      </c>
      <c r="E44" s="13" t="s">
        <v>2140</v>
      </c>
      <c r="F44" s="13" t="s">
        <v>2729</v>
      </c>
      <c r="H44" s="18" t="s">
        <v>1496</v>
      </c>
      <c r="I44" s="13" t="s">
        <v>1496</v>
      </c>
      <c r="J44" s="13" t="s">
        <v>1506</v>
      </c>
      <c r="K44" s="13" t="s">
        <v>1507</v>
      </c>
      <c r="L44" s="13">
        <v>12.747816268081124</v>
      </c>
      <c r="M44" s="13">
        <v>7.0824076072281317</v>
      </c>
      <c r="N44" s="13">
        <v>83.66689115252143</v>
      </c>
      <c r="O44" s="13">
        <v>5.5206772324570501</v>
      </c>
      <c r="P44" s="13">
        <f t="shared" si="1"/>
        <v>27.254448065071934</v>
      </c>
    </row>
    <row r="45" spans="2:16" x14ac:dyDescent="0.35">
      <c r="B45" s="16">
        <v>43</v>
      </c>
      <c r="C45" s="13" t="s">
        <v>857</v>
      </c>
      <c r="D45" s="13" t="s">
        <v>2761</v>
      </c>
      <c r="E45" s="13" t="s">
        <v>2711</v>
      </c>
      <c r="F45" s="13" t="s">
        <v>2705</v>
      </c>
      <c r="H45" s="18" t="s">
        <v>1496</v>
      </c>
      <c r="I45" s="13" t="s">
        <v>1496</v>
      </c>
      <c r="J45" s="13" t="s">
        <v>1510</v>
      </c>
      <c r="K45" s="13" t="s">
        <v>1511</v>
      </c>
      <c r="L45" s="13">
        <v>23.939068623013672</v>
      </c>
      <c r="M45" s="13">
        <v>13.544611849205653</v>
      </c>
      <c r="N45" s="13">
        <v>93.415495629183027</v>
      </c>
      <c r="O45" s="13">
        <v>15.397190242257002</v>
      </c>
      <c r="P45" s="13">
        <f t="shared" si="1"/>
        <v>36.574091585914843</v>
      </c>
    </row>
    <row r="46" spans="2:16" x14ac:dyDescent="0.35">
      <c r="B46" s="16">
        <v>44</v>
      </c>
      <c r="C46" s="13" t="s">
        <v>807</v>
      </c>
      <c r="D46" s="13" t="s">
        <v>2937</v>
      </c>
      <c r="E46" s="13" t="s">
        <v>2619</v>
      </c>
      <c r="F46" s="13" t="s">
        <v>2697</v>
      </c>
      <c r="H46" s="18" t="s">
        <v>1937</v>
      </c>
      <c r="I46" s="13" t="s">
        <v>1937</v>
      </c>
      <c r="J46" s="13" t="s">
        <v>4008</v>
      </c>
      <c r="K46" s="13" t="s">
        <v>1939</v>
      </c>
      <c r="L46" s="13">
        <v>18.162741771784308</v>
      </c>
      <c r="M46" s="13">
        <v>16.751421445702547</v>
      </c>
      <c r="N46" s="13">
        <v>79.069963071720125</v>
      </c>
      <c r="O46" s="13">
        <v>18.220542433071468</v>
      </c>
      <c r="P46" s="13">
        <f t="shared" si="1"/>
        <v>33.051167180569614</v>
      </c>
    </row>
    <row r="47" spans="2:16" x14ac:dyDescent="0.35">
      <c r="B47" s="16">
        <v>45</v>
      </c>
      <c r="C47" s="13" t="s">
        <v>1938</v>
      </c>
      <c r="D47" s="13" t="s">
        <v>2717</v>
      </c>
      <c r="E47" s="13" t="s">
        <v>1504</v>
      </c>
      <c r="F47" s="13" t="s">
        <v>3059</v>
      </c>
      <c r="H47" s="18" t="s">
        <v>1937</v>
      </c>
      <c r="I47" s="13" t="s">
        <v>1937</v>
      </c>
      <c r="J47" s="13" t="s">
        <v>4009</v>
      </c>
      <c r="K47" s="13" t="s">
        <v>1941</v>
      </c>
      <c r="L47" s="13">
        <v>12.669698818348369</v>
      </c>
      <c r="M47" s="13">
        <v>0.76227275136954242</v>
      </c>
      <c r="N47" s="13">
        <v>78.85066863348095</v>
      </c>
      <c r="O47" s="13">
        <v>4.7427745047157437</v>
      </c>
      <c r="P47" s="13">
        <f t="shared" si="1"/>
        <v>24.256353676978652</v>
      </c>
    </row>
    <row r="48" spans="2:16" x14ac:dyDescent="0.35">
      <c r="B48" s="16">
        <v>46</v>
      </c>
      <c r="C48" s="13" t="s">
        <v>2737</v>
      </c>
      <c r="D48" s="13" t="s">
        <v>2946</v>
      </c>
      <c r="E48" s="13" t="s">
        <v>3807</v>
      </c>
      <c r="F48" s="13" t="s">
        <v>2715</v>
      </c>
      <c r="H48" s="18" t="s">
        <v>1937</v>
      </c>
      <c r="I48" s="13" t="s">
        <v>1937</v>
      </c>
      <c r="J48" s="13" t="s">
        <v>1958</v>
      </c>
      <c r="K48" s="13" t="s">
        <v>1959</v>
      </c>
      <c r="L48" s="13">
        <v>11.440898593063267</v>
      </c>
      <c r="M48" s="13">
        <v>0.54137036133774064</v>
      </c>
      <c r="N48" s="13">
        <v>34.648200460059691</v>
      </c>
      <c r="O48" s="13">
        <v>1.7144481857295895</v>
      </c>
      <c r="P48" s="13">
        <f t="shared" si="1"/>
        <v>12.086229400047571</v>
      </c>
    </row>
    <row r="49" spans="2:16" x14ac:dyDescent="0.35">
      <c r="B49" s="16">
        <v>47</v>
      </c>
      <c r="C49" s="13" t="s">
        <v>1496</v>
      </c>
      <c r="D49" s="13" t="s">
        <v>3767</v>
      </c>
      <c r="E49" s="13" t="s">
        <v>2741</v>
      </c>
      <c r="F49" s="13" t="s">
        <v>1482</v>
      </c>
      <c r="H49" s="18" t="s">
        <v>2111</v>
      </c>
      <c r="I49" s="13" t="s">
        <v>2111</v>
      </c>
      <c r="J49" s="13" t="s">
        <v>2111</v>
      </c>
      <c r="K49" s="13" t="s">
        <v>2112</v>
      </c>
      <c r="L49" s="13">
        <v>24.117822408292593</v>
      </c>
      <c r="M49" s="13">
        <v>24.301786130684849</v>
      </c>
      <c r="N49" s="13">
        <v>93.561116685180025</v>
      </c>
      <c r="O49" s="13">
        <v>37.044642956531085</v>
      </c>
      <c r="P49" s="13">
        <f t="shared" si="1"/>
        <v>44.75634204517214</v>
      </c>
    </row>
    <row r="50" spans="2:16" x14ac:dyDescent="0.35">
      <c r="B50" s="16">
        <v>48</v>
      </c>
      <c r="C50" s="13" t="s">
        <v>1510</v>
      </c>
      <c r="D50" s="13" t="s">
        <v>3749</v>
      </c>
      <c r="E50" s="13" t="s">
        <v>2457</v>
      </c>
      <c r="F50" s="13" t="s">
        <v>2150</v>
      </c>
      <c r="H50" s="18" t="s">
        <v>2111</v>
      </c>
      <c r="I50" s="13" t="s">
        <v>2111</v>
      </c>
      <c r="J50" s="13" t="s">
        <v>2113</v>
      </c>
      <c r="K50" s="13" t="s">
        <v>2114</v>
      </c>
      <c r="L50" s="13">
        <v>14.956591977690636</v>
      </c>
      <c r="M50" s="13">
        <v>0.63544690265845172</v>
      </c>
      <c r="N50" s="13">
        <v>74.5534518922979</v>
      </c>
      <c r="O50" s="13">
        <v>2.4016338378989999</v>
      </c>
      <c r="P50" s="13">
        <f t="shared" si="1"/>
        <v>23.136781152636495</v>
      </c>
    </row>
    <row r="51" spans="2:16" x14ac:dyDescent="0.35">
      <c r="B51" s="16">
        <v>49</v>
      </c>
      <c r="C51" s="13" t="s">
        <v>2628</v>
      </c>
      <c r="D51" s="13" t="s">
        <v>803</v>
      </c>
      <c r="E51" s="13" t="s">
        <v>2938</v>
      </c>
      <c r="F51" s="13" t="s">
        <v>2761</v>
      </c>
      <c r="H51" s="18" t="s">
        <v>2111</v>
      </c>
      <c r="I51" s="13" t="s">
        <v>2111</v>
      </c>
      <c r="J51" s="13" t="s">
        <v>2115</v>
      </c>
      <c r="K51" s="13" t="s">
        <v>2116</v>
      </c>
      <c r="L51" s="13">
        <v>12.207022986554259</v>
      </c>
      <c r="M51" s="13">
        <v>0.55211339060122344</v>
      </c>
      <c r="N51" s="13">
        <v>72.878152192273987</v>
      </c>
      <c r="O51" s="13">
        <v>0.82993172610224364</v>
      </c>
      <c r="P51" s="13">
        <f t="shared" si="1"/>
        <v>21.616805073882929</v>
      </c>
    </row>
    <row r="52" spans="2:16" x14ac:dyDescent="0.35">
      <c r="B52" s="16">
        <v>50</v>
      </c>
      <c r="C52" s="13" t="s">
        <v>3153</v>
      </c>
      <c r="D52" s="13" t="s">
        <v>763</v>
      </c>
      <c r="E52" s="13" t="s">
        <v>857</v>
      </c>
      <c r="F52" s="13" t="s">
        <v>2449</v>
      </c>
      <c r="H52" s="18" t="s">
        <v>2111</v>
      </c>
      <c r="I52" s="13" t="s">
        <v>2111</v>
      </c>
      <c r="J52" s="13" t="s">
        <v>2121</v>
      </c>
      <c r="K52" s="13" t="s">
        <v>2122</v>
      </c>
      <c r="L52" s="13">
        <v>11.461758729284874</v>
      </c>
      <c r="M52" s="13">
        <v>4.5750343977065251</v>
      </c>
      <c r="N52" s="13">
        <v>100</v>
      </c>
      <c r="O52" s="13">
        <v>3.4782453602677252</v>
      </c>
      <c r="P52" s="13">
        <f t="shared" si="1"/>
        <v>29.87875962181478</v>
      </c>
    </row>
    <row r="53" spans="2:16" x14ac:dyDescent="0.35">
      <c r="B53" s="16">
        <v>51</v>
      </c>
      <c r="C53" s="13" t="s">
        <v>2731</v>
      </c>
      <c r="D53" s="13" t="s">
        <v>2705</v>
      </c>
      <c r="E53" s="13" t="s">
        <v>779</v>
      </c>
      <c r="F53" s="13" t="s">
        <v>2779</v>
      </c>
      <c r="H53" s="18" t="s">
        <v>2111</v>
      </c>
      <c r="I53" s="13" t="s">
        <v>2111</v>
      </c>
      <c r="J53" s="13" t="s">
        <v>2045</v>
      </c>
      <c r="K53" s="13" t="s">
        <v>2124</v>
      </c>
      <c r="L53" s="13">
        <v>29.733089271906032</v>
      </c>
      <c r="M53" s="13">
        <v>0</v>
      </c>
      <c r="N53" s="13">
        <v>52.494167026624872</v>
      </c>
      <c r="O53" s="13">
        <v>0.76069219989265346</v>
      </c>
      <c r="P53" s="13">
        <f t="shared" si="1"/>
        <v>20.746987124605891</v>
      </c>
    </row>
    <row r="54" spans="2:16" x14ac:dyDescent="0.35">
      <c r="B54" s="16">
        <v>52</v>
      </c>
      <c r="C54" s="13" t="s">
        <v>3848</v>
      </c>
      <c r="D54" s="13" t="s">
        <v>2703</v>
      </c>
      <c r="E54" s="13" t="s">
        <v>2725</v>
      </c>
      <c r="F54" s="13" t="s">
        <v>3874</v>
      </c>
      <c r="H54" s="18" t="s">
        <v>2111</v>
      </c>
      <c r="I54" s="13" t="s">
        <v>2111</v>
      </c>
      <c r="J54" s="13" t="s">
        <v>2125</v>
      </c>
      <c r="K54" s="13" t="s">
        <v>2126</v>
      </c>
      <c r="L54" s="13">
        <v>7.3071027419776406</v>
      </c>
      <c r="M54" s="13">
        <v>1.0103635089199214</v>
      </c>
      <c r="N54" s="13">
        <v>52.494167026624872</v>
      </c>
      <c r="O54" s="13">
        <v>1.3890582691544364</v>
      </c>
      <c r="P54" s="13">
        <f t="shared" si="1"/>
        <v>15.550172886669218</v>
      </c>
    </row>
    <row r="55" spans="2:16" x14ac:dyDescent="0.35">
      <c r="B55" s="16">
        <v>53</v>
      </c>
      <c r="C55" s="13" t="s">
        <v>2733</v>
      </c>
      <c r="D55" s="13" t="s">
        <v>2781</v>
      </c>
      <c r="E55" s="13" t="s">
        <v>775</v>
      </c>
      <c r="F55" s="13" t="s">
        <v>2751</v>
      </c>
      <c r="H55" s="18" t="s">
        <v>2111</v>
      </c>
      <c r="I55" s="13" t="s">
        <v>2111</v>
      </c>
      <c r="J55" s="13" t="s">
        <v>2129</v>
      </c>
      <c r="K55" s="13" t="s">
        <v>2130</v>
      </c>
      <c r="L55" s="13">
        <v>6.515451309130067</v>
      </c>
      <c r="M55" s="13">
        <v>0</v>
      </c>
      <c r="N55" s="13">
        <v>52.494167026624872</v>
      </c>
      <c r="O55" s="13">
        <v>0.16613311626927804</v>
      </c>
      <c r="P55" s="13">
        <f t="shared" si="1"/>
        <v>14.793937863006054</v>
      </c>
    </row>
    <row r="56" spans="2:16" x14ac:dyDescent="0.35">
      <c r="B56" s="16">
        <v>54</v>
      </c>
      <c r="C56" s="13" t="s">
        <v>2703</v>
      </c>
      <c r="D56" s="13" t="s">
        <v>1510</v>
      </c>
      <c r="E56" s="13" t="s">
        <v>2769</v>
      </c>
      <c r="F56" s="13" t="s">
        <v>3767</v>
      </c>
      <c r="H56" s="18" t="s">
        <v>2111</v>
      </c>
      <c r="I56" s="13" t="s">
        <v>2111</v>
      </c>
      <c r="J56" s="13" t="s">
        <v>1506</v>
      </c>
      <c r="K56" s="13" t="s">
        <v>2132</v>
      </c>
      <c r="L56" s="13">
        <v>12.70888277320012</v>
      </c>
      <c r="M56" s="13">
        <v>1.4638828098696963</v>
      </c>
      <c r="N56" s="13">
        <v>52.494167026624872</v>
      </c>
      <c r="O56" s="13">
        <v>1.2530569584856532</v>
      </c>
      <c r="P56" s="13">
        <f t="shared" si="1"/>
        <v>16.979997392045085</v>
      </c>
    </row>
    <row r="57" spans="2:16" x14ac:dyDescent="0.35">
      <c r="B57" s="16">
        <v>55</v>
      </c>
      <c r="C57" s="13" t="s">
        <v>3059</v>
      </c>
      <c r="D57" s="13" t="s">
        <v>3387</v>
      </c>
      <c r="E57" s="13" t="s">
        <v>2719</v>
      </c>
      <c r="F57" s="13" t="s">
        <v>2737</v>
      </c>
      <c r="H57" s="18" t="s">
        <v>2111</v>
      </c>
      <c r="I57" s="13" t="s">
        <v>2111</v>
      </c>
      <c r="J57" s="13" t="s">
        <v>2133</v>
      </c>
      <c r="K57" s="13" t="s">
        <v>2134</v>
      </c>
      <c r="L57" s="13">
        <v>15.483224806840024</v>
      </c>
      <c r="M57" s="13">
        <v>0.9646822866337138</v>
      </c>
      <c r="N57" s="13">
        <v>40.946776895317996</v>
      </c>
      <c r="O57" s="13">
        <v>1.9801170864928412</v>
      </c>
      <c r="P57" s="13">
        <f t="shared" si="1"/>
        <v>14.843700268821143</v>
      </c>
    </row>
    <row r="58" spans="2:16" x14ac:dyDescent="0.35">
      <c r="B58" s="16">
        <v>56</v>
      </c>
      <c r="C58" s="13" t="s">
        <v>2747</v>
      </c>
      <c r="D58" s="13" t="s">
        <v>3055</v>
      </c>
      <c r="E58" s="13" t="s">
        <v>2208</v>
      </c>
      <c r="F58" s="13" t="s">
        <v>2765</v>
      </c>
      <c r="H58" s="18" t="s">
        <v>2111</v>
      </c>
      <c r="I58" s="13" t="s">
        <v>2139</v>
      </c>
      <c r="J58" s="13" t="s">
        <v>2140</v>
      </c>
      <c r="K58" s="13" t="s">
        <v>2141</v>
      </c>
      <c r="L58" s="13">
        <v>18.252554196964212</v>
      </c>
      <c r="M58" s="13">
        <v>12.342462357216981</v>
      </c>
      <c r="N58" s="13">
        <v>85.420056289953394</v>
      </c>
      <c r="O58" s="13">
        <v>10.192955646812802</v>
      </c>
      <c r="P58" s="13">
        <f t="shared" si="1"/>
        <v>31.552007122736846</v>
      </c>
    </row>
    <row r="59" spans="2:16" x14ac:dyDescent="0.35">
      <c r="B59" s="16">
        <v>57</v>
      </c>
      <c r="C59" s="13" t="s">
        <v>2469</v>
      </c>
      <c r="D59" s="13" t="s">
        <v>757</v>
      </c>
      <c r="E59" s="13" t="s">
        <v>2733</v>
      </c>
      <c r="F59" s="13" t="s">
        <v>2723</v>
      </c>
      <c r="H59" s="18" t="s">
        <v>2111</v>
      </c>
      <c r="I59" s="13" t="s">
        <v>2139</v>
      </c>
      <c r="J59" s="13" t="s">
        <v>2150</v>
      </c>
      <c r="K59" s="13" t="s">
        <v>2151</v>
      </c>
      <c r="L59" s="13">
        <v>17.670752705782153</v>
      </c>
      <c r="M59" s="13">
        <v>0.38206219068967839</v>
      </c>
      <c r="N59" s="13">
        <v>42.86301869858157</v>
      </c>
      <c r="O59" s="13">
        <v>3.0382949078535457</v>
      </c>
      <c r="P59" s="13">
        <f t="shared" si="1"/>
        <v>15.988532125726737</v>
      </c>
    </row>
    <row r="60" spans="2:16" x14ac:dyDescent="0.35">
      <c r="B60" s="16">
        <v>58</v>
      </c>
      <c r="C60" s="13" t="s">
        <v>761</v>
      </c>
      <c r="D60" s="13" t="s">
        <v>2719</v>
      </c>
      <c r="E60" s="13" t="s">
        <v>1502</v>
      </c>
      <c r="F60" s="13" t="s">
        <v>2133</v>
      </c>
      <c r="H60" s="18" t="s">
        <v>2111</v>
      </c>
      <c r="I60" s="13" t="s">
        <v>2139</v>
      </c>
      <c r="J60" s="13" t="s">
        <v>2158</v>
      </c>
      <c r="K60" s="13" t="s">
        <v>2159</v>
      </c>
      <c r="L60" s="13">
        <v>13.096992270291816</v>
      </c>
      <c r="M60" s="13">
        <v>0.12774541567752609</v>
      </c>
      <c r="N60" s="13">
        <v>39.897014156108277</v>
      </c>
      <c r="O60" s="13">
        <v>0.86333360908255552</v>
      </c>
      <c r="P60" s="13">
        <f t="shared" si="1"/>
        <v>13.496271362790042</v>
      </c>
    </row>
    <row r="61" spans="2:16" x14ac:dyDescent="0.35">
      <c r="B61" s="16">
        <v>59</v>
      </c>
      <c r="C61" s="13" t="s">
        <v>3383</v>
      </c>
      <c r="D61" s="13" t="s">
        <v>807</v>
      </c>
      <c r="E61" s="13" t="s">
        <v>546</v>
      </c>
      <c r="F61" s="13" t="s">
        <v>2773</v>
      </c>
      <c r="H61" s="18" t="s">
        <v>2199</v>
      </c>
      <c r="I61" s="13" t="s">
        <v>2200</v>
      </c>
      <c r="J61" s="13" t="s">
        <v>2200</v>
      </c>
      <c r="K61" s="13" t="s">
        <v>2201</v>
      </c>
      <c r="L61" s="13">
        <v>21.799061706873317</v>
      </c>
      <c r="M61" s="13">
        <v>27.474581550140069</v>
      </c>
      <c r="N61" s="13">
        <v>82.976534568708573</v>
      </c>
      <c r="O61" s="13">
        <v>31.708695431746641</v>
      </c>
      <c r="P61" s="13">
        <f t="shared" si="1"/>
        <v>40.989718314367146</v>
      </c>
    </row>
    <row r="62" spans="2:16" x14ac:dyDescent="0.35">
      <c r="B62" s="16">
        <v>60</v>
      </c>
      <c r="C62" s="13" t="s">
        <v>3367</v>
      </c>
      <c r="D62" s="13" t="s">
        <v>2747</v>
      </c>
      <c r="E62" s="13" t="s">
        <v>2717</v>
      </c>
      <c r="F62" s="13" t="s">
        <v>2140</v>
      </c>
      <c r="H62" s="18" t="s">
        <v>2199</v>
      </c>
      <c r="I62" s="13" t="s">
        <v>2200</v>
      </c>
      <c r="J62" s="13" t="s">
        <v>2208</v>
      </c>
      <c r="K62" s="13" t="s">
        <v>2209</v>
      </c>
      <c r="L62" s="13">
        <v>12.401843541953546</v>
      </c>
      <c r="M62" s="13">
        <v>8.3837178963363144</v>
      </c>
      <c r="N62" s="13">
        <v>97.234331297046907</v>
      </c>
      <c r="O62" s="13">
        <v>4.2309487582004408</v>
      </c>
      <c r="P62" s="13">
        <f t="shared" si="1"/>
        <v>30.562710373384302</v>
      </c>
    </row>
    <row r="63" spans="2:16" x14ac:dyDescent="0.35">
      <c r="B63" s="16">
        <v>61</v>
      </c>
      <c r="C63" s="13" t="s">
        <v>978</v>
      </c>
      <c r="D63" s="13" t="s">
        <v>1492</v>
      </c>
      <c r="E63" s="13" t="s">
        <v>2731</v>
      </c>
      <c r="F63" s="13" t="s">
        <v>3393</v>
      </c>
      <c r="H63" s="18" t="s">
        <v>2199</v>
      </c>
      <c r="I63" s="13" t="s">
        <v>2200</v>
      </c>
      <c r="J63" s="13" t="s">
        <v>2218</v>
      </c>
      <c r="K63" s="13" t="s">
        <v>2219</v>
      </c>
      <c r="L63" s="13">
        <v>19.504908317318925</v>
      </c>
      <c r="M63" s="13">
        <v>14.942767863176803</v>
      </c>
      <c r="N63" s="13">
        <v>86.08421182271411</v>
      </c>
      <c r="O63" s="13">
        <v>12.24607461331555</v>
      </c>
      <c r="P63" s="13">
        <f t="shared" si="1"/>
        <v>33.19449065413135</v>
      </c>
    </row>
    <row r="64" spans="2:16" x14ac:dyDescent="0.35">
      <c r="B64" s="16">
        <v>62</v>
      </c>
      <c r="C64" s="13" t="s">
        <v>2218</v>
      </c>
      <c r="D64" s="13" t="s">
        <v>2741</v>
      </c>
      <c r="E64" s="13" t="s">
        <v>2775</v>
      </c>
      <c r="F64" s="13" t="s">
        <v>2125</v>
      </c>
      <c r="H64" s="18" t="s">
        <v>2199</v>
      </c>
      <c r="I64" s="13" t="s">
        <v>2200</v>
      </c>
      <c r="J64" s="13" t="s">
        <v>3513</v>
      </c>
      <c r="K64" s="13" t="s">
        <v>2225</v>
      </c>
      <c r="L64" s="13">
        <v>9.8474528280947631</v>
      </c>
      <c r="M64" s="13">
        <v>0</v>
      </c>
      <c r="N64" s="13">
        <v>52.494167026624872</v>
      </c>
      <c r="O64" s="13">
        <v>0.41887352856644927</v>
      </c>
      <c r="P64" s="13">
        <f t="shared" si="1"/>
        <v>15.690123345821522</v>
      </c>
    </row>
    <row r="65" spans="2:16" x14ac:dyDescent="0.35">
      <c r="B65" s="16">
        <v>63</v>
      </c>
      <c r="C65" s="13" t="s">
        <v>2781</v>
      </c>
      <c r="D65" s="13" t="s">
        <v>3153</v>
      </c>
      <c r="E65" s="13" t="s">
        <v>1482</v>
      </c>
      <c r="F65" s="13" t="s">
        <v>2727</v>
      </c>
      <c r="H65" s="18" t="s">
        <v>2199</v>
      </c>
      <c r="I65" s="13" t="s">
        <v>2200</v>
      </c>
      <c r="J65" s="13" t="s">
        <v>2228</v>
      </c>
      <c r="K65" s="13" t="s">
        <v>2229</v>
      </c>
      <c r="L65" s="13">
        <v>6.4033964653686573</v>
      </c>
      <c r="M65" s="13">
        <v>0.74366008047486465</v>
      </c>
      <c r="N65" s="13">
        <v>52.494167026624872</v>
      </c>
      <c r="O65" s="13">
        <v>0.31761593428398682</v>
      </c>
      <c r="P65" s="13">
        <f t="shared" si="1"/>
        <v>14.989709876688094</v>
      </c>
    </row>
    <row r="66" spans="2:16" x14ac:dyDescent="0.35">
      <c r="B66" s="16">
        <v>64</v>
      </c>
      <c r="C66" s="13" t="s">
        <v>3846</v>
      </c>
      <c r="D66" s="13" t="s">
        <v>3278</v>
      </c>
      <c r="E66" s="13" t="s">
        <v>1506</v>
      </c>
      <c r="F66" s="13" t="s">
        <v>2703</v>
      </c>
      <c r="H66" s="18" t="s">
        <v>2199</v>
      </c>
      <c r="I66" s="13" t="s">
        <v>2200</v>
      </c>
      <c r="J66" s="13" t="s">
        <v>2234</v>
      </c>
      <c r="K66" s="13" t="s">
        <v>2235</v>
      </c>
      <c r="L66" s="13">
        <v>12.314350736073191</v>
      </c>
      <c r="M66" s="13">
        <v>0.72933792699461863</v>
      </c>
      <c r="N66" s="13">
        <v>89.220904590998828</v>
      </c>
      <c r="O66" s="13">
        <v>0.71600664370275957</v>
      </c>
      <c r="P66" s="13">
        <f t="shared" si="1"/>
        <v>25.745149974442349</v>
      </c>
    </row>
    <row r="67" spans="2:16" x14ac:dyDescent="0.35">
      <c r="B67" s="16">
        <v>65</v>
      </c>
      <c r="C67" s="13" t="s">
        <v>2938</v>
      </c>
      <c r="D67" s="13" t="s">
        <v>2111</v>
      </c>
      <c r="E67" s="13" t="s">
        <v>3383</v>
      </c>
      <c r="F67" s="13" t="s">
        <v>1492</v>
      </c>
      <c r="H67" s="18" t="s">
        <v>2199</v>
      </c>
      <c r="I67" s="13" t="s">
        <v>2200</v>
      </c>
      <c r="J67" s="13" t="s">
        <v>2248</v>
      </c>
      <c r="K67" s="13" t="s">
        <v>2249</v>
      </c>
      <c r="L67" s="13">
        <v>5.8578553836316809</v>
      </c>
      <c r="M67" s="13">
        <v>0.54919549145594015</v>
      </c>
      <c r="N67" s="13">
        <v>40.101792814950961</v>
      </c>
      <c r="O67" s="13">
        <v>0.55988884927293991</v>
      </c>
      <c r="P67" s="13">
        <f t="shared" ref="P67:P98" si="2">SUMPRODUCT(L67:O67,$L$173:$O$173)</f>
        <v>11.76718313482788</v>
      </c>
    </row>
    <row r="68" spans="2:16" x14ac:dyDescent="0.35">
      <c r="B68" s="16">
        <v>66</v>
      </c>
      <c r="C68" s="13" t="s">
        <v>2140</v>
      </c>
      <c r="D68" s="13" t="s">
        <v>2113</v>
      </c>
      <c r="E68" s="13" t="s">
        <v>761</v>
      </c>
      <c r="F68" s="13" t="s">
        <v>2767</v>
      </c>
      <c r="H68" s="18" t="s">
        <v>2199</v>
      </c>
      <c r="I68" s="13" t="s">
        <v>2200</v>
      </c>
      <c r="J68" s="13" t="s">
        <v>2250</v>
      </c>
      <c r="K68" s="13" t="s">
        <v>2251</v>
      </c>
      <c r="L68" s="13">
        <v>6.2070135383081482</v>
      </c>
      <c r="M68" s="13">
        <v>0</v>
      </c>
      <c r="N68" s="13">
        <v>52.494167026624872</v>
      </c>
      <c r="O68" s="13">
        <v>0.18760580219079445</v>
      </c>
      <c r="P68" s="13">
        <f t="shared" si="2"/>
        <v>14.722196591780953</v>
      </c>
    </row>
    <row r="69" spans="2:16" x14ac:dyDescent="0.35">
      <c r="B69" s="16">
        <v>67</v>
      </c>
      <c r="C69" s="13" t="s">
        <v>773</v>
      </c>
      <c r="D69" s="13" t="s">
        <v>3765</v>
      </c>
      <c r="E69" s="13" t="s">
        <v>2630</v>
      </c>
      <c r="F69" s="13" t="s">
        <v>3765</v>
      </c>
      <c r="H69" s="18" t="s">
        <v>263</v>
      </c>
      <c r="I69" s="13" t="s">
        <v>2449</v>
      </c>
      <c r="J69" s="13" t="s">
        <v>2449</v>
      </c>
      <c r="K69" s="13" t="s">
        <v>2450</v>
      </c>
      <c r="L69" s="13">
        <v>62.746638726661885</v>
      </c>
      <c r="M69" s="13">
        <v>57.789656580066961</v>
      </c>
      <c r="N69" s="13">
        <v>90.189787937473298</v>
      </c>
      <c r="O69" s="13">
        <v>72.244030887741232</v>
      </c>
      <c r="P69" s="13">
        <f t="shared" si="2"/>
        <v>70.742528532985844</v>
      </c>
    </row>
    <row r="70" spans="2:16" x14ac:dyDescent="0.35">
      <c r="B70" s="16">
        <v>68</v>
      </c>
      <c r="C70" s="13" t="s">
        <v>2131</v>
      </c>
      <c r="D70" s="13" t="s">
        <v>1231</v>
      </c>
      <c r="E70" s="13" t="s">
        <v>3061</v>
      </c>
      <c r="F70" s="13" t="s">
        <v>2158</v>
      </c>
      <c r="H70" s="18" t="s">
        <v>263</v>
      </c>
      <c r="I70" s="13" t="s">
        <v>2449</v>
      </c>
      <c r="J70" s="13" t="s">
        <v>2451</v>
      </c>
      <c r="K70" s="13" t="s">
        <v>2452</v>
      </c>
      <c r="L70" s="13">
        <v>12.044379995989791</v>
      </c>
      <c r="M70" s="13">
        <v>13.209215812774502</v>
      </c>
      <c r="N70" s="13">
        <v>98.196345236721399</v>
      </c>
      <c r="O70" s="13">
        <v>8.8685795397478202</v>
      </c>
      <c r="P70" s="13">
        <f t="shared" si="2"/>
        <v>33.079630146308382</v>
      </c>
    </row>
    <row r="71" spans="2:16" x14ac:dyDescent="0.35">
      <c r="B71" s="16">
        <v>69</v>
      </c>
      <c r="C71" s="13" t="s">
        <v>779</v>
      </c>
      <c r="D71" s="13" t="s">
        <v>3281</v>
      </c>
      <c r="E71" s="13" t="s">
        <v>2121</v>
      </c>
      <c r="F71" s="13" t="s">
        <v>531</v>
      </c>
      <c r="H71" s="18" t="s">
        <v>263</v>
      </c>
      <c r="I71" s="13" t="s">
        <v>2449</v>
      </c>
      <c r="J71" s="13" t="s">
        <v>2453</v>
      </c>
      <c r="K71" s="13" t="s">
        <v>2454</v>
      </c>
      <c r="L71" s="13">
        <v>8.2699122170483008</v>
      </c>
      <c r="M71" s="13">
        <v>0.43727833448943032</v>
      </c>
      <c r="N71" s="13">
        <v>91.585136890961209</v>
      </c>
      <c r="O71" s="13">
        <v>2.7228146125388761</v>
      </c>
      <c r="P71" s="13">
        <f t="shared" si="2"/>
        <v>25.753785513759453</v>
      </c>
    </row>
    <row r="72" spans="2:16" x14ac:dyDescent="0.35">
      <c r="B72" s="16">
        <v>70</v>
      </c>
      <c r="C72" s="13" t="s">
        <v>2619</v>
      </c>
      <c r="D72" s="13" t="s">
        <v>775</v>
      </c>
      <c r="E72" s="13" t="s">
        <v>769</v>
      </c>
      <c r="F72" s="13" t="s">
        <v>546</v>
      </c>
      <c r="H72" s="18" t="s">
        <v>263</v>
      </c>
      <c r="I72" s="13" t="s">
        <v>2449</v>
      </c>
      <c r="J72" s="13" t="s">
        <v>2455</v>
      </c>
      <c r="K72" s="13" t="s">
        <v>2456</v>
      </c>
      <c r="L72" s="13">
        <v>17.639124838115222</v>
      </c>
      <c r="M72" s="13">
        <v>3.0501649235395716</v>
      </c>
      <c r="N72" s="13">
        <v>86.228573627219447</v>
      </c>
      <c r="O72" s="13">
        <v>4.1191965123072949</v>
      </c>
      <c r="P72" s="13">
        <f t="shared" si="2"/>
        <v>27.759264975295384</v>
      </c>
    </row>
    <row r="73" spans="2:16" x14ac:dyDescent="0.35">
      <c r="B73" s="16">
        <v>71</v>
      </c>
      <c r="C73" s="13" t="s">
        <v>813</v>
      </c>
      <c r="D73" s="13" t="s">
        <v>3874</v>
      </c>
      <c r="E73" s="13" t="s">
        <v>3795</v>
      </c>
      <c r="F73" s="13" t="s">
        <v>3846</v>
      </c>
      <c r="H73" s="18" t="s">
        <v>263</v>
      </c>
      <c r="I73" s="13" t="s">
        <v>2449</v>
      </c>
      <c r="J73" s="13" t="s">
        <v>2457</v>
      </c>
      <c r="K73" s="13" t="s">
        <v>2458</v>
      </c>
      <c r="L73" s="13">
        <v>14.593976759726718</v>
      </c>
      <c r="M73" s="13">
        <v>11.214843318431848</v>
      </c>
      <c r="N73" s="13">
        <v>82.343526946732638</v>
      </c>
      <c r="O73" s="13">
        <v>9.8150090168321249</v>
      </c>
      <c r="P73" s="13">
        <f t="shared" si="2"/>
        <v>29.491839010430834</v>
      </c>
    </row>
    <row r="74" spans="2:16" x14ac:dyDescent="0.35">
      <c r="B74" s="16">
        <v>72</v>
      </c>
      <c r="C74" s="13" t="s">
        <v>251</v>
      </c>
      <c r="D74" s="13" t="s">
        <v>1484</v>
      </c>
      <c r="E74" s="13" t="s">
        <v>2751</v>
      </c>
      <c r="F74" s="13" t="s">
        <v>2763</v>
      </c>
      <c r="H74" s="18" t="s">
        <v>263</v>
      </c>
      <c r="I74" s="13" t="s">
        <v>2449</v>
      </c>
      <c r="J74" s="13" t="s">
        <v>2459</v>
      </c>
      <c r="K74" s="13" t="s">
        <v>2460</v>
      </c>
      <c r="L74" s="13">
        <v>11.838154786224319</v>
      </c>
      <c r="M74" s="13">
        <v>0.54570071110962592</v>
      </c>
      <c r="N74" s="13">
        <v>76.756578971193363</v>
      </c>
      <c r="O74" s="13">
        <v>3.8754179346740294</v>
      </c>
      <c r="P74" s="13">
        <f t="shared" si="2"/>
        <v>23.253963100800334</v>
      </c>
    </row>
    <row r="75" spans="2:16" x14ac:dyDescent="0.35">
      <c r="B75" s="16">
        <v>73</v>
      </c>
      <c r="C75" s="13" t="s">
        <v>2123</v>
      </c>
      <c r="D75" s="13" t="s">
        <v>2455</v>
      </c>
      <c r="E75" s="13" t="s">
        <v>2755</v>
      </c>
      <c r="F75" s="13" t="s">
        <v>3061</v>
      </c>
      <c r="H75" s="18" t="s">
        <v>263</v>
      </c>
      <c r="I75" s="13" t="s">
        <v>2449</v>
      </c>
      <c r="J75" s="13" t="s">
        <v>2461</v>
      </c>
      <c r="K75" s="13" t="s">
        <v>2462</v>
      </c>
      <c r="L75" s="13">
        <v>14.680156347444703</v>
      </c>
      <c r="M75" s="13">
        <v>1.2211931847769353</v>
      </c>
      <c r="N75" s="13">
        <v>72.374528480344978</v>
      </c>
      <c r="O75" s="13">
        <v>2.6558611516813988</v>
      </c>
      <c r="P75" s="13">
        <f t="shared" si="2"/>
        <v>22.732934791062</v>
      </c>
    </row>
    <row r="76" spans="2:16" x14ac:dyDescent="0.35">
      <c r="B76" s="16">
        <v>74</v>
      </c>
      <c r="C76" s="13" t="s">
        <v>3387</v>
      </c>
      <c r="D76" s="13" t="s">
        <v>2469</v>
      </c>
      <c r="E76" s="13" t="s">
        <v>3155</v>
      </c>
      <c r="F76" s="13" t="s">
        <v>2946</v>
      </c>
      <c r="H76" s="18" t="s">
        <v>263</v>
      </c>
      <c r="I76" s="13" t="s">
        <v>2449</v>
      </c>
      <c r="J76" s="13" t="s">
        <v>2469</v>
      </c>
      <c r="K76" s="13" t="s">
        <v>2470</v>
      </c>
      <c r="L76" s="13">
        <v>20.258529400276398</v>
      </c>
      <c r="M76" s="13">
        <v>3.1925913263173213</v>
      </c>
      <c r="N76" s="13">
        <v>90.320467710903131</v>
      </c>
      <c r="O76" s="13">
        <v>8.5189461279123098</v>
      </c>
      <c r="P76" s="13">
        <f t="shared" si="2"/>
        <v>30.57263364135229</v>
      </c>
    </row>
    <row r="77" spans="2:16" x14ac:dyDescent="0.35">
      <c r="B77" s="16">
        <v>75</v>
      </c>
      <c r="C77" s="13" t="s">
        <v>2707</v>
      </c>
      <c r="D77" s="13" t="s">
        <v>813</v>
      </c>
      <c r="E77" s="13" t="s">
        <v>759</v>
      </c>
      <c r="F77" s="13" t="s">
        <v>2453</v>
      </c>
      <c r="H77" s="18" t="s">
        <v>2619</v>
      </c>
      <c r="I77" s="13" t="s">
        <v>2620</v>
      </c>
      <c r="J77" s="13" t="s">
        <v>2620</v>
      </c>
      <c r="K77" s="13" t="s">
        <v>2621</v>
      </c>
      <c r="L77" s="13">
        <v>38.193706328497044</v>
      </c>
      <c r="M77" s="13">
        <v>41.111583085950905</v>
      </c>
      <c r="N77" s="13">
        <v>90.409067951910657</v>
      </c>
      <c r="O77" s="13">
        <v>58.398672087443984</v>
      </c>
      <c r="P77" s="13">
        <f t="shared" si="2"/>
        <v>57.028257363450649</v>
      </c>
    </row>
    <row r="78" spans="2:16" x14ac:dyDescent="0.35">
      <c r="B78" s="16">
        <v>76</v>
      </c>
      <c r="C78" s="13" t="s">
        <v>2455</v>
      </c>
      <c r="D78" s="13" t="s">
        <v>2628</v>
      </c>
      <c r="E78" s="13" t="s">
        <v>2723</v>
      </c>
      <c r="F78" s="13" t="s">
        <v>2745</v>
      </c>
      <c r="H78" s="18" t="s">
        <v>2619</v>
      </c>
      <c r="I78" s="13" t="s">
        <v>2620</v>
      </c>
      <c r="J78" s="13" t="s">
        <v>2628</v>
      </c>
      <c r="K78" s="13" t="s">
        <v>2629</v>
      </c>
      <c r="L78" s="13">
        <v>21.691420798479125</v>
      </c>
      <c r="M78" s="13">
        <v>15.200926137527432</v>
      </c>
      <c r="N78" s="13">
        <v>85.924308460952261</v>
      </c>
      <c r="O78" s="13">
        <v>9.1819971672264966</v>
      </c>
      <c r="P78" s="13">
        <f t="shared" si="2"/>
        <v>32.999663141046327</v>
      </c>
    </row>
    <row r="79" spans="2:16" x14ac:dyDescent="0.35">
      <c r="B79" s="16">
        <v>77</v>
      </c>
      <c r="C79" s="13" t="s">
        <v>2713</v>
      </c>
      <c r="D79" s="13" t="s">
        <v>1005</v>
      </c>
      <c r="E79" s="13" t="s">
        <v>3281</v>
      </c>
      <c r="F79" s="13" t="s">
        <v>978</v>
      </c>
      <c r="H79" s="18" t="s">
        <v>2619</v>
      </c>
      <c r="I79" s="13" t="s">
        <v>2620</v>
      </c>
      <c r="J79" s="13" t="s">
        <v>2630</v>
      </c>
      <c r="K79" s="13" t="s">
        <v>2631</v>
      </c>
      <c r="L79" s="13">
        <v>14.259192300897325</v>
      </c>
      <c r="M79" s="13">
        <v>6.988703165155953</v>
      </c>
      <c r="N79" s="13">
        <v>88.176621514018606</v>
      </c>
      <c r="O79" s="13">
        <v>5.776104630391794</v>
      </c>
      <c r="P79" s="13">
        <f t="shared" si="2"/>
        <v>28.800155402615921</v>
      </c>
    </row>
    <row r="80" spans="2:16" x14ac:dyDescent="0.35">
      <c r="B80" s="16">
        <v>78</v>
      </c>
      <c r="C80" s="13" t="s">
        <v>1486</v>
      </c>
      <c r="D80" s="13" t="s">
        <v>2140</v>
      </c>
      <c r="E80" s="13" t="s">
        <v>811</v>
      </c>
      <c r="F80" s="13" t="s">
        <v>2781</v>
      </c>
      <c r="H80" s="18" t="s">
        <v>2619</v>
      </c>
      <c r="I80" s="13" t="s">
        <v>2620</v>
      </c>
      <c r="J80" s="13" t="s">
        <v>2634</v>
      </c>
      <c r="K80" s="13" t="s">
        <v>2635</v>
      </c>
      <c r="L80" s="13">
        <v>7.8471515607855276</v>
      </c>
      <c r="M80" s="13">
        <v>0.23072600683174133</v>
      </c>
      <c r="N80" s="13">
        <v>95.513633612110468</v>
      </c>
      <c r="O80" s="13">
        <v>1.5431085689260502</v>
      </c>
      <c r="P80" s="13">
        <f t="shared" si="2"/>
        <v>26.283654937163444</v>
      </c>
    </row>
    <row r="81" spans="2:16" x14ac:dyDescent="0.35">
      <c r="B81" s="16">
        <v>79</v>
      </c>
      <c r="C81" s="13" t="s">
        <v>2753</v>
      </c>
      <c r="D81" s="13" t="s">
        <v>773</v>
      </c>
      <c r="E81" s="13" t="s">
        <v>2735</v>
      </c>
      <c r="F81" s="13" t="s">
        <v>2743</v>
      </c>
      <c r="H81" s="18" t="s">
        <v>2619</v>
      </c>
      <c r="I81" s="13" t="s">
        <v>2620</v>
      </c>
      <c r="J81" s="13" t="s">
        <v>2642</v>
      </c>
      <c r="K81" s="13" t="s">
        <v>2643</v>
      </c>
      <c r="L81" s="13">
        <v>9.2618059376258195</v>
      </c>
      <c r="M81" s="13">
        <v>1.0769346182311808</v>
      </c>
      <c r="N81" s="13">
        <v>86.787706826974102</v>
      </c>
      <c r="O81" s="13">
        <v>1.9790616822032716</v>
      </c>
      <c r="P81" s="13">
        <f t="shared" si="2"/>
        <v>24.776377266258592</v>
      </c>
    </row>
    <row r="82" spans="2:16" x14ac:dyDescent="0.35">
      <c r="B82" s="16">
        <v>80</v>
      </c>
      <c r="C82" s="13" t="s">
        <v>3407</v>
      </c>
      <c r="D82" s="13" t="s">
        <v>1007</v>
      </c>
      <c r="E82" s="13" t="s">
        <v>530</v>
      </c>
      <c r="F82" s="13" t="s">
        <v>3848</v>
      </c>
      <c r="H82" s="18" t="s">
        <v>2619</v>
      </c>
      <c r="I82" s="13" t="s">
        <v>2620</v>
      </c>
      <c r="J82" s="13" t="s">
        <v>2654</v>
      </c>
      <c r="K82" s="13" t="s">
        <v>2655</v>
      </c>
      <c r="L82" s="13">
        <v>4.3924277600884221</v>
      </c>
      <c r="M82" s="13">
        <v>1.0161265005978166</v>
      </c>
      <c r="N82" s="13">
        <v>6.0300661390352995E-3</v>
      </c>
      <c r="O82" s="13">
        <v>0.86154261904299922</v>
      </c>
      <c r="P82" s="13">
        <f t="shared" si="2"/>
        <v>1.5690317364670683</v>
      </c>
    </row>
    <row r="83" spans="2:16" x14ac:dyDescent="0.35">
      <c r="B83" s="16">
        <v>81</v>
      </c>
      <c r="C83" s="13" t="s">
        <v>3055</v>
      </c>
      <c r="D83" s="13" t="s">
        <v>1496</v>
      </c>
      <c r="E83" s="13" t="s">
        <v>3295</v>
      </c>
      <c r="F83" s="13" t="s">
        <v>2121</v>
      </c>
      <c r="H83" s="18" t="s">
        <v>2619</v>
      </c>
      <c r="I83" s="13" t="s">
        <v>2619</v>
      </c>
      <c r="J83" s="13" t="s">
        <v>2619</v>
      </c>
      <c r="K83" s="13" t="s">
        <v>2672</v>
      </c>
      <c r="L83" s="13">
        <v>17.149029081227347</v>
      </c>
      <c r="M83" s="13">
        <v>10.403450935700926</v>
      </c>
      <c r="N83" s="13">
        <v>92.962920953245899</v>
      </c>
      <c r="O83" s="13">
        <v>7.929801896685186</v>
      </c>
      <c r="P83" s="13">
        <f t="shared" si="2"/>
        <v>32.111300716714837</v>
      </c>
    </row>
    <row r="84" spans="2:16" x14ac:dyDescent="0.35">
      <c r="B84" s="16">
        <v>82</v>
      </c>
      <c r="C84" s="13" t="s">
        <v>789</v>
      </c>
      <c r="D84" s="13" t="s">
        <v>2619</v>
      </c>
      <c r="E84" s="13" t="s">
        <v>3393</v>
      </c>
      <c r="F84" s="13" t="s">
        <v>2620</v>
      </c>
      <c r="H84" s="18" t="s">
        <v>2695</v>
      </c>
      <c r="I84" s="13" t="s">
        <v>2696</v>
      </c>
      <c r="J84" s="13" t="s">
        <v>2697</v>
      </c>
      <c r="K84" s="13" t="s">
        <v>2698</v>
      </c>
      <c r="L84" s="13">
        <v>100</v>
      </c>
      <c r="M84" s="13">
        <v>100</v>
      </c>
      <c r="N84" s="13">
        <v>86.946394542561507</v>
      </c>
      <c r="O84" s="13">
        <v>83.472473210623548</v>
      </c>
      <c r="P84" s="13">
        <f t="shared" si="2"/>
        <v>92.604716938296264</v>
      </c>
    </row>
    <row r="85" spans="2:16" x14ac:dyDescent="0.35">
      <c r="B85" s="16">
        <v>83</v>
      </c>
      <c r="C85" s="13" t="s">
        <v>3765</v>
      </c>
      <c r="D85" s="13" t="s">
        <v>978</v>
      </c>
      <c r="E85" s="13" t="s">
        <v>2777</v>
      </c>
      <c r="F85" s="13" t="s">
        <v>2461</v>
      </c>
      <c r="H85" s="18" t="s">
        <v>2695</v>
      </c>
      <c r="I85" s="13" t="s">
        <v>2696</v>
      </c>
      <c r="J85" s="13" t="s">
        <v>2699</v>
      </c>
      <c r="K85" s="13" t="s">
        <v>2700</v>
      </c>
      <c r="L85" s="13">
        <v>18.273311885650589</v>
      </c>
      <c r="M85" s="13">
        <v>2.3042346258089013</v>
      </c>
      <c r="N85" s="13">
        <v>94.528396660585116</v>
      </c>
      <c r="O85" s="13">
        <v>3.1808625766593996</v>
      </c>
      <c r="P85" s="13">
        <f t="shared" si="2"/>
        <v>29.571701437175999</v>
      </c>
    </row>
    <row r="86" spans="2:16" x14ac:dyDescent="0.35">
      <c r="B86" s="16">
        <v>84</v>
      </c>
      <c r="C86" s="13" t="s">
        <v>546</v>
      </c>
      <c r="D86" s="13" t="s">
        <v>2461</v>
      </c>
      <c r="E86" s="13" t="s">
        <v>2763</v>
      </c>
      <c r="F86" s="13" t="s">
        <v>2630</v>
      </c>
      <c r="H86" s="18" t="s">
        <v>2695</v>
      </c>
      <c r="I86" s="13" t="s">
        <v>2696</v>
      </c>
      <c r="J86" s="13" t="s">
        <v>2701</v>
      </c>
      <c r="K86" s="13" t="s">
        <v>2702</v>
      </c>
      <c r="L86" s="13">
        <v>63.240948804532223</v>
      </c>
      <c r="M86" s="13">
        <v>59.452575994324519</v>
      </c>
      <c r="N86" s="13">
        <v>84.843704623190035</v>
      </c>
      <c r="O86" s="13">
        <v>70.092090693469402</v>
      </c>
      <c r="P86" s="13">
        <f t="shared" si="2"/>
        <v>69.407330028879045</v>
      </c>
    </row>
    <row r="87" spans="2:16" x14ac:dyDescent="0.35">
      <c r="B87" s="16">
        <v>85</v>
      </c>
      <c r="C87" s="13" t="s">
        <v>3767</v>
      </c>
      <c r="D87" s="13" t="s">
        <v>2771</v>
      </c>
      <c r="E87" s="13" t="s">
        <v>2455</v>
      </c>
      <c r="F87" s="13" t="s">
        <v>2709</v>
      </c>
      <c r="H87" s="18" t="s">
        <v>2695</v>
      </c>
      <c r="I87" s="13" t="s">
        <v>2696</v>
      </c>
      <c r="J87" s="13" t="s">
        <v>2703</v>
      </c>
      <c r="K87" s="13" t="s">
        <v>2704</v>
      </c>
      <c r="L87" s="13">
        <v>21.445970182885024</v>
      </c>
      <c r="M87" s="13">
        <v>3.3097797912103344</v>
      </c>
      <c r="N87" s="13">
        <v>88.566838967650639</v>
      </c>
      <c r="O87" s="13">
        <v>11.919146367388638</v>
      </c>
      <c r="P87" s="13">
        <f t="shared" si="2"/>
        <v>31.31043382728366</v>
      </c>
    </row>
    <row r="88" spans="2:16" x14ac:dyDescent="0.35">
      <c r="B88" s="16">
        <v>86</v>
      </c>
      <c r="C88" s="13" t="s">
        <v>2133</v>
      </c>
      <c r="D88" s="13" t="s">
        <v>3385</v>
      </c>
      <c r="E88" s="13" t="s">
        <v>1484</v>
      </c>
      <c r="F88" s="13" t="s">
        <v>2113</v>
      </c>
      <c r="H88" s="18" t="s">
        <v>2695</v>
      </c>
      <c r="I88" s="13" t="s">
        <v>2696</v>
      </c>
      <c r="J88" s="13" t="s">
        <v>2705</v>
      </c>
      <c r="K88" s="13" t="s">
        <v>2706</v>
      </c>
      <c r="L88" s="13">
        <v>26.634211288396671</v>
      </c>
      <c r="M88" s="13">
        <v>4.0187450003614584</v>
      </c>
      <c r="N88" s="13">
        <v>85.261931338357414</v>
      </c>
      <c r="O88" s="13">
        <v>20.80513787629474</v>
      </c>
      <c r="P88" s="13">
        <f t="shared" si="2"/>
        <v>34.180006375852571</v>
      </c>
    </row>
    <row r="89" spans="2:16" x14ac:dyDescent="0.35">
      <c r="B89" s="16">
        <v>87</v>
      </c>
      <c r="C89" s="13" t="s">
        <v>2751</v>
      </c>
      <c r="D89" s="13" t="s">
        <v>1486</v>
      </c>
      <c r="E89" s="13" t="s">
        <v>799</v>
      </c>
      <c r="F89" s="13" t="s">
        <v>2457</v>
      </c>
      <c r="H89" s="18" t="s">
        <v>2695</v>
      </c>
      <c r="I89" s="13" t="s">
        <v>2696</v>
      </c>
      <c r="J89" s="13" t="s">
        <v>2707</v>
      </c>
      <c r="K89" s="13" t="s">
        <v>2708</v>
      </c>
      <c r="L89" s="13">
        <v>26.633330240363478</v>
      </c>
      <c r="M89" s="13">
        <v>16.497835192365248</v>
      </c>
      <c r="N89" s="13">
        <v>81.069378442845888</v>
      </c>
      <c r="O89" s="13">
        <v>20.585484978929284</v>
      </c>
      <c r="P89" s="13">
        <f t="shared" si="2"/>
        <v>36.196507213625971</v>
      </c>
    </row>
    <row r="90" spans="2:16" x14ac:dyDescent="0.35">
      <c r="B90" s="16">
        <v>88</v>
      </c>
      <c r="C90" s="13" t="s">
        <v>3882</v>
      </c>
      <c r="D90" s="13" t="s">
        <v>2133</v>
      </c>
      <c r="E90" s="13" t="s">
        <v>2131</v>
      </c>
      <c r="F90" s="13" t="s">
        <v>2937</v>
      </c>
      <c r="H90" s="18" t="s">
        <v>2695</v>
      </c>
      <c r="I90" s="13" t="s">
        <v>2696</v>
      </c>
      <c r="J90" s="13" t="s">
        <v>2709</v>
      </c>
      <c r="K90" s="13" t="s">
        <v>2710</v>
      </c>
      <c r="L90" s="13">
        <v>12.510444214723973</v>
      </c>
      <c r="M90" s="13">
        <v>0.8281980440518194</v>
      </c>
      <c r="N90" s="13">
        <v>96.710730891731671</v>
      </c>
      <c r="O90" s="13">
        <v>5.4159042712349361</v>
      </c>
      <c r="P90" s="13">
        <f t="shared" si="2"/>
        <v>28.8663193554356</v>
      </c>
    </row>
    <row r="91" spans="2:16" x14ac:dyDescent="0.35">
      <c r="B91" s="16">
        <v>89</v>
      </c>
      <c r="C91" s="13" t="s">
        <v>1492</v>
      </c>
      <c r="D91" s="13" t="s">
        <v>2158</v>
      </c>
      <c r="E91" s="13" t="s">
        <v>2937</v>
      </c>
      <c r="F91" s="13" t="s">
        <v>2955</v>
      </c>
      <c r="H91" s="18" t="s">
        <v>2695</v>
      </c>
      <c r="I91" s="13" t="s">
        <v>2696</v>
      </c>
      <c r="J91" s="13" t="s">
        <v>2711</v>
      </c>
      <c r="K91" s="13" t="s">
        <v>2712</v>
      </c>
      <c r="L91" s="13">
        <v>35.211354807706655</v>
      </c>
      <c r="M91" s="13">
        <v>17.749302519836466</v>
      </c>
      <c r="N91" s="13">
        <v>78.390024463693209</v>
      </c>
      <c r="O91" s="13">
        <v>43.355967725133333</v>
      </c>
      <c r="P91" s="13">
        <f t="shared" si="2"/>
        <v>43.676662379092413</v>
      </c>
    </row>
    <row r="92" spans="2:16" x14ac:dyDescent="0.35">
      <c r="B92" s="16">
        <v>90</v>
      </c>
      <c r="C92" s="13" t="s">
        <v>765</v>
      </c>
      <c r="D92" s="13" t="s">
        <v>2218</v>
      </c>
      <c r="E92" s="13" t="s">
        <v>2699</v>
      </c>
      <c r="F92" s="13" t="s">
        <v>2713</v>
      </c>
      <c r="H92" s="18" t="s">
        <v>2695</v>
      </c>
      <c r="I92" s="13" t="s">
        <v>2696</v>
      </c>
      <c r="J92" s="13" t="s">
        <v>2713</v>
      </c>
      <c r="K92" s="13" t="s">
        <v>2714</v>
      </c>
      <c r="L92" s="13">
        <v>13.970298008006763</v>
      </c>
      <c r="M92" s="13">
        <v>0.72764290014958743</v>
      </c>
      <c r="N92" s="13">
        <v>96.329985596097004</v>
      </c>
      <c r="O92" s="13">
        <v>2.3091131238351554</v>
      </c>
      <c r="P92" s="13">
        <f t="shared" si="2"/>
        <v>28.33425990702213</v>
      </c>
    </row>
    <row r="93" spans="2:16" x14ac:dyDescent="0.35">
      <c r="B93" s="16">
        <v>91</v>
      </c>
      <c r="C93" s="13" t="s">
        <v>2234</v>
      </c>
      <c r="D93" s="13" t="s">
        <v>3367</v>
      </c>
      <c r="E93" s="13" t="s">
        <v>3791</v>
      </c>
      <c r="F93" s="13" t="s">
        <v>2759</v>
      </c>
      <c r="H93" s="18" t="s">
        <v>2695</v>
      </c>
      <c r="I93" s="13" t="s">
        <v>2696</v>
      </c>
      <c r="J93" s="13" t="s">
        <v>2715</v>
      </c>
      <c r="K93" s="13" t="s">
        <v>2716</v>
      </c>
      <c r="L93" s="13">
        <v>40.344194501738414</v>
      </c>
      <c r="M93" s="13">
        <v>26.834906560477283</v>
      </c>
      <c r="N93" s="13">
        <v>82.484410413153569</v>
      </c>
      <c r="O93" s="13">
        <v>51.028032155825045</v>
      </c>
      <c r="P93" s="13">
        <f t="shared" si="2"/>
        <v>50.172885907798573</v>
      </c>
    </row>
    <row r="94" spans="2:16" x14ac:dyDescent="0.35">
      <c r="B94" s="16">
        <v>92</v>
      </c>
      <c r="C94" s="13" t="s">
        <v>1005</v>
      </c>
      <c r="D94" s="13" t="s">
        <v>1502</v>
      </c>
      <c r="E94" s="13" t="s">
        <v>2461</v>
      </c>
      <c r="F94" s="13" t="s">
        <v>2459</v>
      </c>
      <c r="H94" s="18" t="s">
        <v>2695</v>
      </c>
      <c r="I94" s="13" t="s">
        <v>2696</v>
      </c>
      <c r="J94" s="13" t="s">
        <v>2717</v>
      </c>
      <c r="K94" s="13" t="s">
        <v>2718</v>
      </c>
      <c r="L94" s="13">
        <v>19.532155414464924</v>
      </c>
      <c r="M94" s="13">
        <v>8.4213612327859781</v>
      </c>
      <c r="N94" s="13">
        <v>86.63741688589603</v>
      </c>
      <c r="O94" s="13">
        <v>14.208340241415609</v>
      </c>
      <c r="P94" s="13">
        <f t="shared" si="2"/>
        <v>32.199818443640638</v>
      </c>
    </row>
    <row r="95" spans="2:16" x14ac:dyDescent="0.35">
      <c r="B95" s="16">
        <v>93</v>
      </c>
      <c r="C95" s="13" t="s">
        <v>3295</v>
      </c>
      <c r="D95" s="13" t="s">
        <v>761</v>
      </c>
      <c r="E95" s="13" t="s">
        <v>2721</v>
      </c>
      <c r="F95" s="13" t="s">
        <v>3886</v>
      </c>
      <c r="H95" s="18" t="s">
        <v>2695</v>
      </c>
      <c r="I95" s="13" t="s">
        <v>2696</v>
      </c>
      <c r="J95" s="13" t="s">
        <v>2719</v>
      </c>
      <c r="K95" s="13" t="s">
        <v>2720</v>
      </c>
      <c r="L95" s="13">
        <v>25.962014435640423</v>
      </c>
      <c r="M95" s="13">
        <v>10.960259419061313</v>
      </c>
      <c r="N95" s="13">
        <v>83.110389315058725</v>
      </c>
      <c r="O95" s="13">
        <v>31.796696024026588</v>
      </c>
      <c r="P95" s="13">
        <f t="shared" si="2"/>
        <v>37.957339798446768</v>
      </c>
    </row>
    <row r="96" spans="2:16" x14ac:dyDescent="0.35">
      <c r="B96" s="16">
        <v>94</v>
      </c>
      <c r="C96" s="13" t="s">
        <v>2630</v>
      </c>
      <c r="D96" s="13" t="s">
        <v>251</v>
      </c>
      <c r="E96" s="13" t="s">
        <v>2654</v>
      </c>
      <c r="F96" s="13" t="s">
        <v>2451</v>
      </c>
      <c r="H96" s="18" t="s">
        <v>2695</v>
      </c>
      <c r="I96" s="13" t="s">
        <v>2696</v>
      </c>
      <c r="J96" s="13" t="s">
        <v>2721</v>
      </c>
      <c r="K96" s="13" t="s">
        <v>2722</v>
      </c>
      <c r="L96" s="13">
        <v>29.889478364484091</v>
      </c>
      <c r="M96" s="13">
        <v>6.1749096140835871</v>
      </c>
      <c r="N96" s="13">
        <v>83.531894438156556</v>
      </c>
      <c r="O96" s="13">
        <v>34.78752205159747</v>
      </c>
      <c r="P96" s="13">
        <f t="shared" si="2"/>
        <v>38.595951117080425</v>
      </c>
    </row>
    <row r="97" spans="2:16" x14ac:dyDescent="0.35">
      <c r="B97" s="16">
        <v>95</v>
      </c>
      <c r="C97" s="13" t="s">
        <v>1940</v>
      </c>
      <c r="D97" s="13" t="s">
        <v>799</v>
      </c>
      <c r="E97" s="13" t="s">
        <v>2125</v>
      </c>
      <c r="F97" s="13" t="s">
        <v>2707</v>
      </c>
      <c r="H97" s="18" t="s">
        <v>2695</v>
      </c>
      <c r="I97" s="13" t="s">
        <v>2696</v>
      </c>
      <c r="J97" s="13" t="s">
        <v>2723</v>
      </c>
      <c r="K97" s="13" t="s">
        <v>2724</v>
      </c>
      <c r="L97" s="13">
        <v>34.21892562900922</v>
      </c>
      <c r="M97" s="13">
        <v>7.5164338799981749</v>
      </c>
      <c r="N97" s="13">
        <v>84.492827527680817</v>
      </c>
      <c r="O97" s="13">
        <v>31.552472572615471</v>
      </c>
      <c r="P97" s="13">
        <f t="shared" si="2"/>
        <v>39.445164902325921</v>
      </c>
    </row>
    <row r="98" spans="2:16" x14ac:dyDescent="0.35">
      <c r="B98" s="16">
        <v>96</v>
      </c>
      <c r="C98" s="13" t="s">
        <v>2129</v>
      </c>
      <c r="D98" s="13" t="s">
        <v>2115</v>
      </c>
      <c r="E98" s="13" t="s">
        <v>3391</v>
      </c>
      <c r="F98" s="13" t="s">
        <v>2699</v>
      </c>
      <c r="H98" s="18" t="s">
        <v>2695</v>
      </c>
      <c r="I98" s="13" t="s">
        <v>2696</v>
      </c>
      <c r="J98" s="13" t="s">
        <v>2725</v>
      </c>
      <c r="K98" s="13" t="s">
        <v>2726</v>
      </c>
      <c r="L98" s="13">
        <v>73.842594620301711</v>
      </c>
      <c r="M98" s="13">
        <v>31.007026812947338</v>
      </c>
      <c r="N98" s="13">
        <v>88.131897533235161</v>
      </c>
      <c r="O98" s="13">
        <v>59.861882591661463</v>
      </c>
      <c r="P98" s="13">
        <f t="shared" si="2"/>
        <v>63.210850389536418</v>
      </c>
    </row>
    <row r="99" spans="2:16" x14ac:dyDescent="0.35">
      <c r="B99" s="16">
        <v>97</v>
      </c>
      <c r="C99" s="13" t="s">
        <v>530</v>
      </c>
      <c r="D99" s="13" t="s">
        <v>1494</v>
      </c>
      <c r="E99" s="13" t="s">
        <v>2727</v>
      </c>
      <c r="F99" s="13" t="s">
        <v>1496</v>
      </c>
      <c r="H99" s="18" t="s">
        <v>2695</v>
      </c>
      <c r="I99" s="13" t="s">
        <v>2696</v>
      </c>
      <c r="J99" s="13" t="s">
        <v>2727</v>
      </c>
      <c r="K99" s="13" t="s">
        <v>2728</v>
      </c>
      <c r="L99" s="13">
        <v>29.838331638835484</v>
      </c>
      <c r="M99" s="13">
        <v>3.0426195675191861</v>
      </c>
      <c r="N99" s="13">
        <v>91.063966228767924</v>
      </c>
      <c r="O99" s="13">
        <v>20.067351409196856</v>
      </c>
      <c r="P99" s="13">
        <f t="shared" ref="P99:P130" si="3">SUMPRODUCT(L99:O99,$L$173:$O$173)</f>
        <v>36.003067211079859</v>
      </c>
    </row>
    <row r="100" spans="2:16" x14ac:dyDescent="0.35">
      <c r="B100" s="16">
        <v>98</v>
      </c>
      <c r="C100" s="13" t="s">
        <v>1488</v>
      </c>
      <c r="D100" s="13" t="s">
        <v>3061</v>
      </c>
      <c r="E100" s="13" t="s">
        <v>2642</v>
      </c>
      <c r="F100" s="13" t="s">
        <v>2717</v>
      </c>
      <c r="H100" s="18" t="s">
        <v>2695</v>
      </c>
      <c r="I100" s="13" t="s">
        <v>2696</v>
      </c>
      <c r="J100" s="13" t="s">
        <v>2729</v>
      </c>
      <c r="K100" s="13" t="s">
        <v>2730</v>
      </c>
      <c r="L100" s="13">
        <v>45.598500112645894</v>
      </c>
      <c r="M100" s="13">
        <v>33.817276328494188</v>
      </c>
      <c r="N100" s="13">
        <v>83.603931359752622</v>
      </c>
      <c r="O100" s="13">
        <v>51.343238732718653</v>
      </c>
      <c r="P100" s="13">
        <f t="shared" si="3"/>
        <v>53.590736633402841</v>
      </c>
    </row>
    <row r="101" spans="2:16" x14ac:dyDescent="0.35">
      <c r="B101" s="16">
        <v>99</v>
      </c>
      <c r="C101" s="13" t="s">
        <v>2461</v>
      </c>
      <c r="D101" s="13" t="s">
        <v>2224</v>
      </c>
      <c r="E101" s="13" t="s">
        <v>807</v>
      </c>
      <c r="F101" s="13" t="s">
        <v>2701</v>
      </c>
      <c r="H101" s="18" t="s">
        <v>2695</v>
      </c>
      <c r="I101" s="13" t="s">
        <v>2696</v>
      </c>
      <c r="J101" s="13" t="s">
        <v>2731</v>
      </c>
      <c r="K101" s="13" t="s">
        <v>2732</v>
      </c>
      <c r="L101" s="13">
        <v>29.13860431441449</v>
      </c>
      <c r="M101" s="13">
        <v>12.82234447254053</v>
      </c>
      <c r="N101" s="13">
        <v>86.134772247642843</v>
      </c>
      <c r="O101" s="13">
        <v>13.315708668489476</v>
      </c>
      <c r="P101" s="13">
        <f t="shared" si="3"/>
        <v>35.35285742577183</v>
      </c>
    </row>
    <row r="102" spans="2:16" x14ac:dyDescent="0.35">
      <c r="B102" s="16">
        <v>100</v>
      </c>
      <c r="C102" s="13" t="s">
        <v>2955</v>
      </c>
      <c r="D102" s="13" t="s">
        <v>779</v>
      </c>
      <c r="E102" s="13" t="s">
        <v>2767</v>
      </c>
      <c r="F102" s="13" t="s">
        <v>2769</v>
      </c>
      <c r="H102" s="18" t="s">
        <v>2695</v>
      </c>
      <c r="I102" s="13" t="s">
        <v>2696</v>
      </c>
      <c r="J102" s="13" t="s">
        <v>2733</v>
      </c>
      <c r="K102" s="13" t="s">
        <v>2734</v>
      </c>
      <c r="L102" s="13">
        <v>24.694604727806158</v>
      </c>
      <c r="M102" s="13">
        <v>12.436947685064089</v>
      </c>
      <c r="N102" s="13">
        <v>89.546364362292678</v>
      </c>
      <c r="O102" s="13">
        <v>13.800732881016664</v>
      </c>
      <c r="P102" s="13">
        <f t="shared" si="3"/>
        <v>35.119662414044896</v>
      </c>
    </row>
    <row r="103" spans="2:16" x14ac:dyDescent="0.35">
      <c r="B103" s="16">
        <v>101</v>
      </c>
      <c r="C103" s="13" t="s">
        <v>2208</v>
      </c>
      <c r="D103" s="13" t="s">
        <v>857</v>
      </c>
      <c r="E103" s="13" t="s">
        <v>2228</v>
      </c>
      <c r="F103" s="13" t="s">
        <v>984</v>
      </c>
      <c r="H103" s="18" t="s">
        <v>2695</v>
      </c>
      <c r="I103" s="13" t="s">
        <v>2696</v>
      </c>
      <c r="J103" s="13" t="s">
        <v>2735</v>
      </c>
      <c r="K103" s="13" t="s">
        <v>2736</v>
      </c>
      <c r="L103" s="13">
        <v>30.902668759994654</v>
      </c>
      <c r="M103" s="13">
        <v>6.3898086299612595</v>
      </c>
      <c r="N103" s="13">
        <v>85.277182510402767</v>
      </c>
      <c r="O103" s="13">
        <v>21.212563087404838</v>
      </c>
      <c r="P103" s="13">
        <f t="shared" si="3"/>
        <v>35.945555746940883</v>
      </c>
    </row>
    <row r="104" spans="2:16" x14ac:dyDescent="0.35">
      <c r="B104" s="16">
        <v>102</v>
      </c>
      <c r="C104" s="13" t="s">
        <v>799</v>
      </c>
      <c r="D104" s="13" t="s">
        <v>2459</v>
      </c>
      <c r="E104" s="13" t="s">
        <v>2234</v>
      </c>
      <c r="F104" s="13" t="s">
        <v>2455</v>
      </c>
      <c r="H104" s="18" t="s">
        <v>2695</v>
      </c>
      <c r="I104" s="13" t="s">
        <v>2696</v>
      </c>
      <c r="J104" s="13" t="s">
        <v>2737</v>
      </c>
      <c r="K104" s="13" t="s">
        <v>2738</v>
      </c>
      <c r="L104" s="13">
        <v>25.58052850085447</v>
      </c>
      <c r="M104" s="13">
        <v>4.3616142803564957</v>
      </c>
      <c r="N104" s="13">
        <v>83.453448536823117</v>
      </c>
      <c r="O104" s="13">
        <v>19.398765487641352</v>
      </c>
      <c r="P104" s="13">
        <f t="shared" si="3"/>
        <v>33.198589201418855</v>
      </c>
    </row>
    <row r="105" spans="2:16" x14ac:dyDescent="0.35">
      <c r="B105" s="16">
        <v>103</v>
      </c>
      <c r="C105" s="13" t="s">
        <v>3281</v>
      </c>
      <c r="D105" s="13" t="s">
        <v>2457</v>
      </c>
      <c r="E105" s="13" t="s">
        <v>3882</v>
      </c>
      <c r="F105" s="13" t="s">
        <v>1490</v>
      </c>
      <c r="H105" s="18" t="s">
        <v>2695</v>
      </c>
      <c r="I105" s="13" t="s">
        <v>2696</v>
      </c>
      <c r="J105" s="13" t="s">
        <v>2739</v>
      </c>
      <c r="K105" s="13" t="s">
        <v>2740</v>
      </c>
      <c r="L105" s="13">
        <v>58.035069699542966</v>
      </c>
      <c r="M105" s="13">
        <v>22.462711059581462</v>
      </c>
      <c r="N105" s="13">
        <v>88.036603089309395</v>
      </c>
      <c r="O105" s="13">
        <v>56.247572812568222</v>
      </c>
      <c r="P105" s="13">
        <f t="shared" si="3"/>
        <v>56.195489165250514</v>
      </c>
    </row>
    <row r="106" spans="2:16" x14ac:dyDescent="0.35">
      <c r="B106" s="16">
        <v>104</v>
      </c>
      <c r="C106" s="13" t="s">
        <v>2709</v>
      </c>
      <c r="D106" s="13" t="s">
        <v>2121</v>
      </c>
      <c r="E106" s="13" t="s">
        <v>2248</v>
      </c>
      <c r="F106" s="13" t="s">
        <v>2741</v>
      </c>
      <c r="H106" s="18" t="s">
        <v>2695</v>
      </c>
      <c r="I106" s="13" t="s">
        <v>2696</v>
      </c>
      <c r="J106" s="13" t="s">
        <v>2741</v>
      </c>
      <c r="K106" s="13" t="s">
        <v>2742</v>
      </c>
      <c r="L106" s="13">
        <v>16.888465872852453</v>
      </c>
      <c r="M106" s="13">
        <v>11.520330241013411</v>
      </c>
      <c r="N106" s="13">
        <v>77.738677967223779</v>
      </c>
      <c r="O106" s="13">
        <v>6.8164144993409819</v>
      </c>
      <c r="P106" s="13">
        <f t="shared" si="3"/>
        <v>28.240972145107655</v>
      </c>
    </row>
    <row r="107" spans="2:16" x14ac:dyDescent="0.35">
      <c r="B107" s="16">
        <v>105</v>
      </c>
      <c r="C107" s="13" t="s">
        <v>259</v>
      </c>
      <c r="D107" s="13" t="s">
        <v>2751</v>
      </c>
      <c r="E107" s="13" t="s">
        <v>2709</v>
      </c>
      <c r="F107" s="13" t="s">
        <v>3789</v>
      </c>
      <c r="H107" s="18" t="s">
        <v>2695</v>
      </c>
      <c r="I107" s="13" t="s">
        <v>2696</v>
      </c>
      <c r="J107" s="13" t="s">
        <v>2743</v>
      </c>
      <c r="K107" s="13" t="s">
        <v>2744</v>
      </c>
      <c r="L107" s="13">
        <v>7.8184969535656279</v>
      </c>
      <c r="M107" s="13">
        <v>8.2426369981073833E-2</v>
      </c>
      <c r="N107" s="13">
        <v>90.83850876718806</v>
      </c>
      <c r="O107" s="13">
        <v>0.86916241452189846</v>
      </c>
      <c r="P107" s="13">
        <f t="shared" si="3"/>
        <v>24.902148626314165</v>
      </c>
    </row>
    <row r="108" spans="2:16" x14ac:dyDescent="0.35">
      <c r="B108" s="16">
        <v>106</v>
      </c>
      <c r="C108" s="13" t="s">
        <v>3061</v>
      </c>
      <c r="D108" s="13" t="s">
        <v>2630</v>
      </c>
      <c r="E108" s="13" t="s">
        <v>1958</v>
      </c>
      <c r="F108" s="13" t="s">
        <v>1938</v>
      </c>
      <c r="H108" s="18" t="s">
        <v>2695</v>
      </c>
      <c r="I108" s="13" t="s">
        <v>2696</v>
      </c>
      <c r="J108" s="13" t="s">
        <v>2745</v>
      </c>
      <c r="K108" s="13" t="s">
        <v>2746</v>
      </c>
      <c r="L108" s="13">
        <v>33.38046094040584</v>
      </c>
      <c r="M108" s="13">
        <v>24.673539117094649</v>
      </c>
      <c r="N108" s="13">
        <v>86.184641377830715</v>
      </c>
      <c r="O108" s="13">
        <v>31.280655991537248</v>
      </c>
      <c r="P108" s="13">
        <f t="shared" si="3"/>
        <v>43.879824356717116</v>
      </c>
    </row>
    <row r="109" spans="2:16" x14ac:dyDescent="0.35">
      <c r="B109" s="16">
        <v>107</v>
      </c>
      <c r="C109" s="13" t="s">
        <v>2457</v>
      </c>
      <c r="D109" s="13" t="s">
        <v>259</v>
      </c>
      <c r="E109" s="13" t="s">
        <v>2705</v>
      </c>
      <c r="F109" s="13" t="s">
        <v>2731</v>
      </c>
      <c r="H109" s="18" t="s">
        <v>2695</v>
      </c>
      <c r="I109" s="13" t="s">
        <v>2696</v>
      </c>
      <c r="J109" s="13" t="s">
        <v>2747</v>
      </c>
      <c r="K109" s="13" t="s">
        <v>2748</v>
      </c>
      <c r="L109" s="13">
        <v>19.327100659697305</v>
      </c>
      <c r="M109" s="13">
        <v>0.26995292756668809</v>
      </c>
      <c r="N109" s="13">
        <v>69.229120185335674</v>
      </c>
      <c r="O109" s="13">
        <v>1.789809388012882</v>
      </c>
      <c r="P109" s="13">
        <f t="shared" si="3"/>
        <v>22.653995790153139</v>
      </c>
    </row>
    <row r="110" spans="2:16" x14ac:dyDescent="0.35">
      <c r="B110" s="16">
        <v>108</v>
      </c>
      <c r="C110" s="13" t="s">
        <v>2717</v>
      </c>
      <c r="D110" s="13" t="s">
        <v>1938</v>
      </c>
      <c r="E110" s="13" t="s">
        <v>3055</v>
      </c>
      <c r="F110" s="13" t="s">
        <v>3153</v>
      </c>
      <c r="H110" s="18" t="s">
        <v>2695</v>
      </c>
      <c r="I110" s="13" t="s">
        <v>2696</v>
      </c>
      <c r="J110" s="13" t="s">
        <v>2749</v>
      </c>
      <c r="K110" s="13" t="s">
        <v>2750</v>
      </c>
      <c r="L110" s="13">
        <v>3.8373861949298176</v>
      </c>
      <c r="M110" s="13">
        <v>0</v>
      </c>
      <c r="N110" s="13">
        <v>52.494167026624872</v>
      </c>
      <c r="O110" s="13">
        <v>0.49855471310225574</v>
      </c>
      <c r="P110" s="13">
        <f t="shared" si="3"/>
        <v>14.207526983664238</v>
      </c>
    </row>
    <row r="111" spans="2:16" x14ac:dyDescent="0.35">
      <c r="B111" s="16">
        <v>109</v>
      </c>
      <c r="C111" s="13" t="s">
        <v>2634</v>
      </c>
      <c r="D111" s="13" t="s">
        <v>3789</v>
      </c>
      <c r="E111" s="13" t="s">
        <v>2115</v>
      </c>
      <c r="F111" s="13" t="s">
        <v>2942</v>
      </c>
      <c r="H111" s="18" t="s">
        <v>2695</v>
      </c>
      <c r="I111" s="13" t="s">
        <v>2696</v>
      </c>
      <c r="J111" s="13" t="s">
        <v>2751</v>
      </c>
      <c r="K111" s="13" t="s">
        <v>2752</v>
      </c>
      <c r="L111" s="13">
        <v>16.554769208690363</v>
      </c>
      <c r="M111" s="13">
        <v>6.1843619526030915</v>
      </c>
      <c r="N111" s="13">
        <v>81.044633890530832</v>
      </c>
      <c r="O111" s="13">
        <v>20.092921325852508</v>
      </c>
      <c r="P111" s="13">
        <f t="shared" si="3"/>
        <v>30.969171594419201</v>
      </c>
    </row>
    <row r="112" spans="2:16" x14ac:dyDescent="0.35">
      <c r="B112" s="16">
        <v>110</v>
      </c>
      <c r="C112" s="13" t="s">
        <v>2654</v>
      </c>
      <c r="D112" s="13" t="s">
        <v>3807</v>
      </c>
      <c r="E112" s="13" t="s">
        <v>2113</v>
      </c>
      <c r="F112" s="13" t="s">
        <v>807</v>
      </c>
      <c r="H112" s="18" t="s">
        <v>2695</v>
      </c>
      <c r="I112" s="13" t="s">
        <v>2696</v>
      </c>
      <c r="J112" s="13" t="s">
        <v>2753</v>
      </c>
      <c r="K112" s="13" t="s">
        <v>2754</v>
      </c>
      <c r="L112" s="13">
        <v>12.741763126838418</v>
      </c>
      <c r="M112" s="13">
        <v>0</v>
      </c>
      <c r="N112" s="13">
        <v>70.290061455464766</v>
      </c>
      <c r="O112" s="13">
        <v>1.0376138843647509</v>
      </c>
      <c r="P112" s="13">
        <f t="shared" si="3"/>
        <v>21.017359616666983</v>
      </c>
    </row>
    <row r="113" spans="2:16" x14ac:dyDescent="0.35">
      <c r="B113" s="16">
        <v>111</v>
      </c>
      <c r="C113" s="13" t="s">
        <v>769</v>
      </c>
      <c r="D113" s="13" t="s">
        <v>546</v>
      </c>
      <c r="E113" s="13" t="s">
        <v>2459</v>
      </c>
      <c r="F113" s="13" t="s">
        <v>1510</v>
      </c>
      <c r="H113" s="18" t="s">
        <v>2695</v>
      </c>
      <c r="I113" s="13" t="s">
        <v>2696</v>
      </c>
      <c r="J113" s="13" t="s">
        <v>2755</v>
      </c>
      <c r="K113" s="13" t="s">
        <v>2756</v>
      </c>
      <c r="L113" s="13">
        <v>36.632597634004497</v>
      </c>
      <c r="M113" s="13">
        <v>9.0126646747004671</v>
      </c>
      <c r="N113" s="13">
        <v>84.766664047158073</v>
      </c>
      <c r="O113" s="13">
        <v>51.242331596041815</v>
      </c>
      <c r="P113" s="13">
        <f t="shared" si="3"/>
        <v>45.413564487976217</v>
      </c>
    </row>
    <row r="114" spans="2:16" x14ac:dyDescent="0.35">
      <c r="B114" s="16">
        <v>112</v>
      </c>
      <c r="C114" s="13" t="s">
        <v>984</v>
      </c>
      <c r="D114" s="13" t="s">
        <v>1504</v>
      </c>
      <c r="E114" s="13" t="s">
        <v>3848</v>
      </c>
      <c r="F114" s="13" t="s">
        <v>2654</v>
      </c>
      <c r="H114" s="18" t="s">
        <v>2695</v>
      </c>
      <c r="I114" s="13" t="s">
        <v>2696</v>
      </c>
      <c r="J114" s="13" t="s">
        <v>2757</v>
      </c>
      <c r="K114" s="13" t="s">
        <v>2758</v>
      </c>
      <c r="L114" s="13">
        <v>52.945539602708926</v>
      </c>
      <c r="M114" s="13">
        <v>44.162987544240465</v>
      </c>
      <c r="N114" s="13">
        <v>84.865664274820958</v>
      </c>
      <c r="O114" s="13">
        <v>48.671938834099052</v>
      </c>
      <c r="P114" s="13">
        <f t="shared" si="3"/>
        <v>57.661532563967349</v>
      </c>
    </row>
    <row r="115" spans="2:16" x14ac:dyDescent="0.35">
      <c r="B115" s="16">
        <v>113</v>
      </c>
      <c r="C115" s="13" t="s">
        <v>1504</v>
      </c>
      <c r="D115" s="13" t="s">
        <v>2713</v>
      </c>
      <c r="E115" s="13" t="s">
        <v>2469</v>
      </c>
      <c r="F115" s="13" t="s">
        <v>2628</v>
      </c>
      <c r="H115" s="18" t="s">
        <v>2695</v>
      </c>
      <c r="I115" s="13" t="s">
        <v>2696</v>
      </c>
      <c r="J115" s="13" t="s">
        <v>2759</v>
      </c>
      <c r="K115" s="13" t="s">
        <v>2760</v>
      </c>
      <c r="L115" s="13">
        <v>57.831197077972654</v>
      </c>
      <c r="M115" s="13">
        <v>52.692193990756621</v>
      </c>
      <c r="N115" s="13">
        <v>82.437887303561013</v>
      </c>
      <c r="O115" s="13">
        <v>79.794858040559646</v>
      </c>
      <c r="P115" s="13">
        <f t="shared" si="3"/>
        <v>68.189034103212478</v>
      </c>
    </row>
    <row r="116" spans="2:16" x14ac:dyDescent="0.35">
      <c r="B116" s="16">
        <v>114</v>
      </c>
      <c r="C116" s="13" t="s">
        <v>2451</v>
      </c>
      <c r="D116" s="13" t="s">
        <v>3882</v>
      </c>
      <c r="E116" s="13" t="s">
        <v>1488</v>
      </c>
      <c r="F116" s="13" t="s">
        <v>2200</v>
      </c>
      <c r="H116" s="18" t="s">
        <v>2695</v>
      </c>
      <c r="I116" s="13" t="s">
        <v>2696</v>
      </c>
      <c r="J116" s="13" t="s">
        <v>2761</v>
      </c>
      <c r="K116" s="13" t="s">
        <v>2762</v>
      </c>
      <c r="L116" s="13">
        <v>29.084161502440963</v>
      </c>
      <c r="M116" s="13">
        <v>22.234408625161844</v>
      </c>
      <c r="N116" s="13">
        <v>79.168879144432736</v>
      </c>
      <c r="O116" s="13">
        <v>39.301898133335477</v>
      </c>
      <c r="P116" s="13">
        <f t="shared" si="3"/>
        <v>42.447336851342754</v>
      </c>
    </row>
    <row r="117" spans="2:16" x14ac:dyDescent="0.35">
      <c r="B117" s="16">
        <v>115</v>
      </c>
      <c r="C117" s="13" t="s">
        <v>3385</v>
      </c>
      <c r="D117" s="13" t="s">
        <v>1506</v>
      </c>
      <c r="E117" s="13" t="s">
        <v>3886</v>
      </c>
      <c r="F117" s="13" t="s">
        <v>530</v>
      </c>
      <c r="H117" s="18" t="s">
        <v>2695</v>
      </c>
      <c r="I117" s="13" t="s">
        <v>2696</v>
      </c>
      <c r="J117" s="13" t="s">
        <v>2763</v>
      </c>
      <c r="K117" s="13" t="s">
        <v>2764</v>
      </c>
      <c r="L117" s="13">
        <v>30.733260715650701</v>
      </c>
      <c r="M117" s="13">
        <v>6.5665275945577877</v>
      </c>
      <c r="N117" s="13">
        <v>74.091564207843248</v>
      </c>
      <c r="O117" s="13">
        <v>9.6554209954320456</v>
      </c>
      <c r="P117" s="13">
        <f t="shared" si="3"/>
        <v>30.26169337837095</v>
      </c>
    </row>
    <row r="118" spans="2:16" x14ac:dyDescent="0.35">
      <c r="B118" s="16">
        <v>116</v>
      </c>
      <c r="C118" s="13" t="s">
        <v>3886</v>
      </c>
      <c r="D118" s="13" t="s">
        <v>2200</v>
      </c>
      <c r="E118" s="13" t="s">
        <v>3765</v>
      </c>
      <c r="F118" s="13" t="s">
        <v>2642</v>
      </c>
      <c r="H118" s="18" t="s">
        <v>2695</v>
      </c>
      <c r="I118" s="13" t="s">
        <v>2696</v>
      </c>
      <c r="J118" s="13" t="s">
        <v>2765</v>
      </c>
      <c r="K118" s="13" t="s">
        <v>2766</v>
      </c>
      <c r="L118" s="13">
        <v>53.884479776878393</v>
      </c>
      <c r="M118" s="13">
        <v>28.853916069285084</v>
      </c>
      <c r="N118" s="13">
        <v>83.866388723099476</v>
      </c>
      <c r="O118" s="13">
        <v>74.521969004474542</v>
      </c>
      <c r="P118" s="13">
        <f t="shared" si="3"/>
        <v>60.281688393434379</v>
      </c>
    </row>
    <row r="119" spans="2:16" x14ac:dyDescent="0.35">
      <c r="B119" s="16">
        <v>117</v>
      </c>
      <c r="C119" s="13" t="s">
        <v>1958</v>
      </c>
      <c r="D119" s="13" t="s">
        <v>3407</v>
      </c>
      <c r="E119" s="13" t="s">
        <v>2150</v>
      </c>
      <c r="F119" s="13" t="s">
        <v>2634</v>
      </c>
      <c r="H119" s="18" t="s">
        <v>2695</v>
      </c>
      <c r="I119" s="13" t="s">
        <v>2696</v>
      </c>
      <c r="J119" s="13" t="s">
        <v>2767</v>
      </c>
      <c r="K119" s="13" t="s">
        <v>2768</v>
      </c>
      <c r="L119" s="13">
        <v>38.400379549158629</v>
      </c>
      <c r="M119" s="13">
        <v>6.7552658569719943</v>
      </c>
      <c r="N119" s="13">
        <v>78.002329888854732</v>
      </c>
      <c r="O119" s="13">
        <v>29.381605415475853</v>
      </c>
      <c r="P119" s="13">
        <f t="shared" si="3"/>
        <v>38.134895177615306</v>
      </c>
    </row>
    <row r="120" spans="2:16" x14ac:dyDescent="0.35">
      <c r="B120" s="16">
        <v>118</v>
      </c>
      <c r="C120" s="13" t="s">
        <v>1506</v>
      </c>
      <c r="D120" s="13" t="s">
        <v>3369</v>
      </c>
      <c r="E120" s="13" t="s">
        <v>1245</v>
      </c>
      <c r="F120" s="13" t="s">
        <v>1005</v>
      </c>
      <c r="H120" s="18" t="s">
        <v>2695</v>
      </c>
      <c r="I120" s="13" t="s">
        <v>2696</v>
      </c>
      <c r="J120" s="13" t="s">
        <v>2769</v>
      </c>
      <c r="K120" s="13" t="s">
        <v>2770</v>
      </c>
      <c r="L120" s="13">
        <v>35.624595131995903</v>
      </c>
      <c r="M120" s="13">
        <v>16.865691857297179</v>
      </c>
      <c r="N120" s="13">
        <v>91.239625543880308</v>
      </c>
      <c r="O120" s="13">
        <v>27.312691116822457</v>
      </c>
      <c r="P120" s="13">
        <f t="shared" si="3"/>
        <v>42.76065091249896</v>
      </c>
    </row>
    <row r="121" spans="2:16" x14ac:dyDescent="0.35">
      <c r="B121" s="16">
        <v>119</v>
      </c>
      <c r="C121" s="13" t="s">
        <v>1490</v>
      </c>
      <c r="D121" s="13" t="s">
        <v>1940</v>
      </c>
      <c r="E121" s="13" t="s">
        <v>2737</v>
      </c>
      <c r="F121" s="13" t="s">
        <v>1007</v>
      </c>
      <c r="H121" s="18" t="s">
        <v>2695</v>
      </c>
      <c r="I121" s="13" t="s">
        <v>2696</v>
      </c>
      <c r="J121" s="13" t="s">
        <v>2771</v>
      </c>
      <c r="K121" s="13" t="s">
        <v>2772</v>
      </c>
      <c r="L121" s="13">
        <v>10.72934501837031</v>
      </c>
      <c r="M121" s="13">
        <v>0</v>
      </c>
      <c r="N121" s="13">
        <v>52.494167026624872</v>
      </c>
      <c r="O121" s="13">
        <v>0.14036875343997904</v>
      </c>
      <c r="P121" s="13">
        <f t="shared" si="3"/>
        <v>15.84097019960879</v>
      </c>
    </row>
    <row r="122" spans="2:16" x14ac:dyDescent="0.35">
      <c r="B122" s="16">
        <v>120</v>
      </c>
      <c r="C122" s="13" t="s">
        <v>2942</v>
      </c>
      <c r="D122" s="13" t="s">
        <v>759</v>
      </c>
      <c r="E122" s="13" t="s">
        <v>2634</v>
      </c>
      <c r="F122" s="13" t="s">
        <v>2619</v>
      </c>
      <c r="H122" s="18" t="s">
        <v>2695</v>
      </c>
      <c r="I122" s="13" t="s">
        <v>2696</v>
      </c>
      <c r="J122" s="13" t="s">
        <v>2773</v>
      </c>
      <c r="K122" s="13" t="s">
        <v>2774</v>
      </c>
      <c r="L122" s="13">
        <v>5.2139462369551994</v>
      </c>
      <c r="M122" s="13">
        <v>0.13117207079627496</v>
      </c>
      <c r="N122" s="13">
        <v>65.46356029101581</v>
      </c>
      <c r="O122" s="13">
        <v>1.020032928056247</v>
      </c>
      <c r="P122" s="13">
        <f t="shared" si="3"/>
        <v>17.957177881705885</v>
      </c>
    </row>
    <row r="123" spans="2:16" x14ac:dyDescent="0.35">
      <c r="B123" s="16">
        <v>121</v>
      </c>
      <c r="C123" s="13" t="s">
        <v>3155</v>
      </c>
      <c r="D123" s="13" t="s">
        <v>1958</v>
      </c>
      <c r="E123" s="13" t="s">
        <v>2703</v>
      </c>
      <c r="F123" s="13" t="s">
        <v>1241</v>
      </c>
      <c r="H123" s="18" t="s">
        <v>2695</v>
      </c>
      <c r="I123" s="13" t="s">
        <v>2696</v>
      </c>
      <c r="J123" s="13" t="s">
        <v>2775</v>
      </c>
      <c r="K123" s="13" t="s">
        <v>2776</v>
      </c>
      <c r="L123" s="13">
        <v>67.053684836254959</v>
      </c>
      <c r="M123" s="13">
        <v>19.439194297117936</v>
      </c>
      <c r="N123" s="13">
        <v>86.173188619466018</v>
      </c>
      <c r="O123" s="13">
        <v>100</v>
      </c>
      <c r="P123" s="13">
        <f t="shared" si="3"/>
        <v>68.166516938209725</v>
      </c>
    </row>
    <row r="124" spans="2:16" x14ac:dyDescent="0.35">
      <c r="B124" s="16">
        <v>122</v>
      </c>
      <c r="C124" s="13" t="s">
        <v>775</v>
      </c>
      <c r="D124" s="13" t="s">
        <v>531</v>
      </c>
      <c r="E124" s="13" t="s">
        <v>2133</v>
      </c>
      <c r="F124" s="13" t="s">
        <v>787</v>
      </c>
      <c r="H124" s="18" t="s">
        <v>2695</v>
      </c>
      <c r="I124" s="13" t="s">
        <v>2696</v>
      </c>
      <c r="J124" s="13" t="s">
        <v>2777</v>
      </c>
      <c r="K124" s="13" t="s">
        <v>2778</v>
      </c>
      <c r="L124" s="13">
        <v>33.690489867350784</v>
      </c>
      <c r="M124" s="13">
        <v>6.7736106892690522</v>
      </c>
      <c r="N124" s="13">
        <v>79.722465193863783</v>
      </c>
      <c r="O124" s="13">
        <v>25.181361040276585</v>
      </c>
      <c r="P124" s="13">
        <f t="shared" si="3"/>
        <v>36.341981697690052</v>
      </c>
    </row>
    <row r="125" spans="2:16" x14ac:dyDescent="0.35">
      <c r="B125" s="16">
        <v>123</v>
      </c>
      <c r="C125" s="13" t="s">
        <v>1502</v>
      </c>
      <c r="D125" s="13" t="s">
        <v>2955</v>
      </c>
      <c r="E125" s="13" t="s">
        <v>259</v>
      </c>
      <c r="F125" s="13" t="s">
        <v>3807</v>
      </c>
      <c r="H125" s="18" t="s">
        <v>2695</v>
      </c>
      <c r="I125" s="13" t="s">
        <v>2696</v>
      </c>
      <c r="J125" s="13" t="s">
        <v>2779</v>
      </c>
      <c r="K125" s="13" t="s">
        <v>2780</v>
      </c>
      <c r="L125" s="13">
        <v>34.624248536649695</v>
      </c>
      <c r="M125" s="13">
        <v>32.988791975354196</v>
      </c>
      <c r="N125" s="13">
        <v>80.633049458461329</v>
      </c>
      <c r="O125" s="13">
        <v>41.370253872150535</v>
      </c>
      <c r="P125" s="13">
        <f t="shared" si="3"/>
        <v>47.404085960653937</v>
      </c>
    </row>
    <row r="126" spans="2:16" x14ac:dyDescent="0.35">
      <c r="B126" s="16">
        <v>124</v>
      </c>
      <c r="C126" s="13" t="s">
        <v>2741</v>
      </c>
      <c r="D126" s="13" t="s">
        <v>3846</v>
      </c>
      <c r="E126" s="13" t="s">
        <v>1940</v>
      </c>
      <c r="F126" s="13" t="s">
        <v>2218</v>
      </c>
      <c r="H126" s="18" t="s">
        <v>2695</v>
      </c>
      <c r="I126" s="13" t="s">
        <v>2696</v>
      </c>
      <c r="J126" s="13" t="s">
        <v>2781</v>
      </c>
      <c r="K126" s="13" t="s">
        <v>2782</v>
      </c>
      <c r="L126" s="13">
        <v>24.184410502382629</v>
      </c>
      <c r="M126" s="13">
        <v>19.828780254274644</v>
      </c>
      <c r="N126" s="13">
        <v>86.378595829827901</v>
      </c>
      <c r="O126" s="13">
        <v>30.239024061048948</v>
      </c>
      <c r="P126" s="13">
        <f t="shared" si="3"/>
        <v>40.157702661883533</v>
      </c>
    </row>
    <row r="127" spans="2:16" x14ac:dyDescent="0.35">
      <c r="B127" s="16">
        <v>125</v>
      </c>
      <c r="C127" s="13" t="s">
        <v>1007</v>
      </c>
      <c r="D127" s="13" t="s">
        <v>3791</v>
      </c>
      <c r="E127" s="13" t="s">
        <v>1486</v>
      </c>
      <c r="F127" s="13" t="s">
        <v>1504</v>
      </c>
      <c r="H127" s="18" t="s">
        <v>2695</v>
      </c>
      <c r="I127" s="13" t="s">
        <v>2937</v>
      </c>
      <c r="J127" s="13" t="s">
        <v>2938</v>
      </c>
      <c r="K127" s="13" t="s">
        <v>2939</v>
      </c>
      <c r="L127" s="13">
        <v>13.147639297666927</v>
      </c>
      <c r="M127" s="13">
        <v>9.7403432325441344</v>
      </c>
      <c r="N127" s="13">
        <v>99.154178239672945</v>
      </c>
      <c r="O127" s="13">
        <v>10.497190797760778</v>
      </c>
      <c r="P127" s="13">
        <f t="shared" si="3"/>
        <v>33.134837891911197</v>
      </c>
    </row>
    <row r="128" spans="2:16" x14ac:dyDescent="0.35">
      <c r="B128" s="16">
        <v>126</v>
      </c>
      <c r="C128" s="13" t="s">
        <v>2699</v>
      </c>
      <c r="D128" s="13" t="s">
        <v>2709</v>
      </c>
      <c r="E128" s="13" t="s">
        <v>773</v>
      </c>
      <c r="F128" s="13" t="s">
        <v>1506</v>
      </c>
      <c r="H128" s="18" t="s">
        <v>2695</v>
      </c>
      <c r="I128" s="13" t="s">
        <v>2937</v>
      </c>
      <c r="J128" s="13" t="s">
        <v>2942</v>
      </c>
      <c r="K128" s="13" t="s">
        <v>2943</v>
      </c>
      <c r="L128" s="13">
        <v>9.689740337463796</v>
      </c>
      <c r="M128" s="13">
        <v>0</v>
      </c>
      <c r="N128" s="13">
        <v>0</v>
      </c>
      <c r="O128" s="13">
        <v>0.14872544932071582</v>
      </c>
      <c r="P128" s="13">
        <f t="shared" si="3"/>
        <v>2.4596164466961281</v>
      </c>
    </row>
    <row r="129" spans="2:16" x14ac:dyDescent="0.35">
      <c r="B129" s="16">
        <v>127</v>
      </c>
      <c r="C129" s="13" t="s">
        <v>3391</v>
      </c>
      <c r="D129" s="13" t="s">
        <v>2753</v>
      </c>
      <c r="E129" s="13" t="s">
        <v>1490</v>
      </c>
      <c r="F129" s="13" t="s">
        <v>813</v>
      </c>
      <c r="H129" s="18" t="s">
        <v>2695</v>
      </c>
      <c r="I129" s="13" t="s">
        <v>2937</v>
      </c>
      <c r="J129" s="13" t="s">
        <v>2946</v>
      </c>
      <c r="K129" s="13" t="s">
        <v>2947</v>
      </c>
      <c r="L129" s="13">
        <v>15.0423007707472</v>
      </c>
      <c r="M129" s="13">
        <v>0</v>
      </c>
      <c r="N129" s="13">
        <v>34.648200460059691</v>
      </c>
      <c r="O129" s="13">
        <v>1.1916042600724848</v>
      </c>
      <c r="P129" s="13">
        <f t="shared" si="3"/>
        <v>12.720526372719844</v>
      </c>
    </row>
    <row r="130" spans="2:16" x14ac:dyDescent="0.35">
      <c r="B130" s="16">
        <v>128</v>
      </c>
      <c r="C130" s="13" t="s">
        <v>2113</v>
      </c>
      <c r="D130" s="13" t="s">
        <v>3383</v>
      </c>
      <c r="E130" s="13" t="s">
        <v>765</v>
      </c>
      <c r="F130" s="13" t="s">
        <v>251</v>
      </c>
      <c r="H130" s="18" t="s">
        <v>2695</v>
      </c>
      <c r="I130" s="13" t="s">
        <v>2937</v>
      </c>
      <c r="J130" s="13" t="s">
        <v>2937</v>
      </c>
      <c r="K130" s="13" t="s">
        <v>2948</v>
      </c>
      <c r="L130" s="13">
        <v>15.409598147946946</v>
      </c>
      <c r="M130" s="13">
        <v>1.7186820766264772</v>
      </c>
      <c r="N130" s="13">
        <v>89.229832832825934</v>
      </c>
      <c r="O130" s="13">
        <v>1.6496886769385308</v>
      </c>
      <c r="P130" s="13">
        <f t="shared" si="3"/>
        <v>27.001950433584469</v>
      </c>
    </row>
    <row r="131" spans="2:16" x14ac:dyDescent="0.35">
      <c r="B131" s="16">
        <v>129</v>
      </c>
      <c r="C131" s="13" t="s">
        <v>3393</v>
      </c>
      <c r="D131" s="13" t="s">
        <v>2234</v>
      </c>
      <c r="E131" s="13" t="s">
        <v>787</v>
      </c>
      <c r="F131" s="13" t="s">
        <v>3791</v>
      </c>
      <c r="H131" s="18" t="s">
        <v>2695</v>
      </c>
      <c r="I131" s="13" t="s">
        <v>2937</v>
      </c>
      <c r="J131" s="13" t="s">
        <v>2955</v>
      </c>
      <c r="K131" s="13" t="s">
        <v>2956</v>
      </c>
      <c r="L131" s="13">
        <v>12.284854165981608</v>
      </c>
      <c r="M131" s="13">
        <v>0.14106686092581155</v>
      </c>
      <c r="N131" s="13">
        <v>87.491128008217771</v>
      </c>
      <c r="O131" s="13">
        <v>1.7546960169370847</v>
      </c>
      <c r="P131" s="13">
        <f t="shared" ref="P131:P162" si="4">SUMPRODUCT(L131:O131,$L$173:$O$173)</f>
        <v>25.417936263015569</v>
      </c>
    </row>
    <row r="132" spans="2:16" x14ac:dyDescent="0.35">
      <c r="B132" s="16">
        <v>130</v>
      </c>
      <c r="C132" s="13" t="s">
        <v>2115</v>
      </c>
      <c r="D132" s="13" t="s">
        <v>2208</v>
      </c>
      <c r="E132" s="13" t="s">
        <v>789</v>
      </c>
      <c r="F132" s="13" t="s">
        <v>3803</v>
      </c>
      <c r="H132" s="18" t="s">
        <v>3039</v>
      </c>
      <c r="I132" s="13" t="s">
        <v>3040</v>
      </c>
      <c r="J132" s="13" t="s">
        <v>3041</v>
      </c>
      <c r="K132" s="13" t="s">
        <v>3042</v>
      </c>
      <c r="L132" s="13">
        <v>30.537258251225445</v>
      </c>
      <c r="M132" s="13">
        <v>14.55971493632808</v>
      </c>
      <c r="N132" s="13">
        <v>79.206675769965358</v>
      </c>
      <c r="O132" s="13">
        <v>16.686381028274589</v>
      </c>
      <c r="P132" s="13">
        <f t="shared" si="4"/>
        <v>35.247507496448364</v>
      </c>
    </row>
    <row r="133" spans="2:16" x14ac:dyDescent="0.35">
      <c r="B133" s="16">
        <v>131</v>
      </c>
      <c r="C133" s="13" t="s">
        <v>3763</v>
      </c>
      <c r="D133" s="13" t="s">
        <v>3295</v>
      </c>
      <c r="E133" s="13" t="s">
        <v>801</v>
      </c>
      <c r="F133" s="13" t="s">
        <v>1958</v>
      </c>
      <c r="H133" s="18" t="s">
        <v>3039</v>
      </c>
      <c r="I133" s="13" t="s">
        <v>3040</v>
      </c>
      <c r="J133" s="13" t="s">
        <v>3055</v>
      </c>
      <c r="K133" s="13" t="s">
        <v>3056</v>
      </c>
      <c r="L133" s="13">
        <v>18.357604227825348</v>
      </c>
      <c r="M133" s="13">
        <v>0.86184081507164823</v>
      </c>
      <c r="N133" s="13">
        <v>82.991291133031396</v>
      </c>
      <c r="O133" s="13">
        <v>3.5975655659990715</v>
      </c>
      <c r="P133" s="13">
        <f t="shared" si="4"/>
        <v>26.452075435481866</v>
      </c>
    </row>
    <row r="134" spans="2:16" x14ac:dyDescent="0.35">
      <c r="B134" s="16">
        <v>132</v>
      </c>
      <c r="C134" s="13" t="s">
        <v>2125</v>
      </c>
      <c r="D134" s="13" t="s">
        <v>765</v>
      </c>
      <c r="E134" s="13" t="s">
        <v>803</v>
      </c>
      <c r="F134" s="13" t="s">
        <v>757</v>
      </c>
      <c r="H134" s="18" t="s">
        <v>3039</v>
      </c>
      <c r="I134" s="13" t="s">
        <v>3040</v>
      </c>
      <c r="J134" s="13" t="s">
        <v>3059</v>
      </c>
      <c r="K134" s="13" t="s">
        <v>3060</v>
      </c>
      <c r="L134" s="13">
        <v>22.457210178828255</v>
      </c>
      <c r="M134" s="13">
        <v>0.93963759880735764</v>
      </c>
      <c r="N134" s="13">
        <v>97.607799568139725</v>
      </c>
      <c r="O134" s="13">
        <v>3.1518470025170386</v>
      </c>
      <c r="P134" s="13">
        <f t="shared" si="4"/>
        <v>31.039123587073096</v>
      </c>
    </row>
    <row r="135" spans="2:16" x14ac:dyDescent="0.35">
      <c r="B135" s="16">
        <v>133</v>
      </c>
      <c r="C135" s="13" t="s">
        <v>3803</v>
      </c>
      <c r="D135" s="13" t="s">
        <v>2150</v>
      </c>
      <c r="E135" s="13" t="s">
        <v>984</v>
      </c>
      <c r="F135" s="13" t="s">
        <v>1231</v>
      </c>
      <c r="H135" s="18" t="s">
        <v>3039</v>
      </c>
      <c r="I135" s="13" t="s">
        <v>3040</v>
      </c>
      <c r="J135" s="13" t="s">
        <v>3061</v>
      </c>
      <c r="K135" s="13" t="s">
        <v>3062</v>
      </c>
      <c r="L135" s="13">
        <v>14.365182234334936</v>
      </c>
      <c r="M135" s="13">
        <v>6.1807041227947748</v>
      </c>
      <c r="N135" s="13">
        <v>68.934357776368643</v>
      </c>
      <c r="O135" s="13">
        <v>4.8257928485518997</v>
      </c>
      <c r="P135" s="13">
        <f t="shared" si="4"/>
        <v>23.576509245512565</v>
      </c>
    </row>
    <row r="136" spans="2:16" x14ac:dyDescent="0.35">
      <c r="B136" s="16">
        <v>134</v>
      </c>
      <c r="C136" s="13" t="s">
        <v>2158</v>
      </c>
      <c r="D136" s="13" t="s">
        <v>3886</v>
      </c>
      <c r="E136" s="13" t="s">
        <v>1005</v>
      </c>
      <c r="F136" s="13" t="s">
        <v>775</v>
      </c>
      <c r="H136" s="18" t="s">
        <v>3152</v>
      </c>
      <c r="I136" s="13" t="s">
        <v>3153</v>
      </c>
      <c r="J136" s="13" t="s">
        <v>3153</v>
      </c>
      <c r="K136" s="13" t="s">
        <v>3154</v>
      </c>
      <c r="L136" s="13">
        <v>21.454129623647756</v>
      </c>
      <c r="M136" s="13">
        <v>19.176926204911805</v>
      </c>
      <c r="N136" s="13">
        <v>97.771993033508792</v>
      </c>
      <c r="O136" s="13">
        <v>8.9102438724064008</v>
      </c>
      <c r="P136" s="13">
        <f t="shared" si="4"/>
        <v>36.828323183618686</v>
      </c>
    </row>
    <row r="137" spans="2:16" x14ac:dyDescent="0.35">
      <c r="B137" s="16">
        <v>135</v>
      </c>
      <c r="C137" s="13" t="s">
        <v>3369</v>
      </c>
      <c r="D137" s="13" t="s">
        <v>2451</v>
      </c>
      <c r="E137" s="13" t="s">
        <v>1007</v>
      </c>
      <c r="F137" s="13" t="s">
        <v>2250</v>
      </c>
      <c r="H137" s="18" t="s">
        <v>3152</v>
      </c>
      <c r="I137" s="13" t="s">
        <v>3153</v>
      </c>
      <c r="J137" s="13" t="s">
        <v>3155</v>
      </c>
      <c r="K137" s="13" t="s">
        <v>3156</v>
      </c>
      <c r="L137" s="13">
        <v>16.68143927812363</v>
      </c>
      <c r="M137" s="13">
        <v>3.0543376522125376</v>
      </c>
      <c r="N137" s="13">
        <v>52.494167026624872</v>
      </c>
      <c r="O137" s="13">
        <v>0.55522838907903993</v>
      </c>
      <c r="P137" s="13">
        <f t="shared" si="4"/>
        <v>18.196293086510018</v>
      </c>
    </row>
    <row r="138" spans="2:16" x14ac:dyDescent="0.35">
      <c r="B138" s="16">
        <v>136</v>
      </c>
      <c r="C138" s="13" t="s">
        <v>2642</v>
      </c>
      <c r="D138" s="13" t="s">
        <v>530</v>
      </c>
      <c r="E138" s="13" t="s">
        <v>1241</v>
      </c>
      <c r="F138" s="13" t="s">
        <v>1940</v>
      </c>
      <c r="H138" s="18" t="s">
        <v>3152</v>
      </c>
      <c r="I138" s="13" t="s">
        <v>3153</v>
      </c>
      <c r="J138" s="13" t="s">
        <v>3157</v>
      </c>
      <c r="K138" s="13" t="s">
        <v>3158</v>
      </c>
      <c r="L138" s="13">
        <v>31.520001110181163</v>
      </c>
      <c r="M138" s="13">
        <v>0</v>
      </c>
      <c r="N138" s="13">
        <v>31.054691517373435</v>
      </c>
      <c r="O138" s="13">
        <v>0.44640961657676931</v>
      </c>
      <c r="P138" s="13">
        <f t="shared" si="4"/>
        <v>15.755275561032843</v>
      </c>
    </row>
    <row r="139" spans="2:16" x14ac:dyDescent="0.35">
      <c r="B139" s="16">
        <v>137</v>
      </c>
      <c r="C139" s="13" t="s">
        <v>801</v>
      </c>
      <c r="D139" s="13" t="s">
        <v>2131</v>
      </c>
      <c r="E139" s="13" t="s">
        <v>1243</v>
      </c>
      <c r="F139" s="13" t="s">
        <v>1502</v>
      </c>
      <c r="H139" s="18" t="s">
        <v>3152</v>
      </c>
      <c r="I139" s="13" t="s">
        <v>3153</v>
      </c>
      <c r="J139" s="13" t="s">
        <v>3159</v>
      </c>
      <c r="K139" s="13" t="s">
        <v>3160</v>
      </c>
      <c r="L139" s="13">
        <v>7.2415256022646703</v>
      </c>
      <c r="M139" s="13">
        <v>0</v>
      </c>
      <c r="N139" s="13">
        <v>52.494167026624872</v>
      </c>
      <c r="O139" s="13">
        <v>0.15433413607630078</v>
      </c>
      <c r="P139" s="13">
        <f t="shared" si="4"/>
        <v>14.972506691241461</v>
      </c>
    </row>
    <row r="140" spans="2:16" x14ac:dyDescent="0.35">
      <c r="B140" s="16">
        <v>138</v>
      </c>
      <c r="C140" s="13" t="s">
        <v>2459</v>
      </c>
      <c r="D140" s="13" t="s">
        <v>2942</v>
      </c>
      <c r="E140" s="13" t="s">
        <v>1247</v>
      </c>
      <c r="F140" s="13" t="s">
        <v>2129</v>
      </c>
      <c r="H140" s="18" t="s">
        <v>3278</v>
      </c>
      <c r="I140" s="13" t="s">
        <v>3278</v>
      </c>
      <c r="J140" s="13" t="s">
        <v>3278</v>
      </c>
      <c r="K140" s="13" t="s">
        <v>3279</v>
      </c>
      <c r="L140" s="13">
        <v>28.279257908282624</v>
      </c>
      <c r="M140" s="13">
        <v>26.608874488673536</v>
      </c>
      <c r="N140" s="13">
        <v>82.856881450041726</v>
      </c>
      <c r="O140" s="13">
        <v>46.605636562018482</v>
      </c>
      <c r="P140" s="13">
        <f t="shared" si="4"/>
        <v>46.087662602254092</v>
      </c>
    </row>
    <row r="141" spans="2:16" x14ac:dyDescent="0.35">
      <c r="B141" s="16">
        <v>139</v>
      </c>
      <c r="C141" s="13" t="s">
        <v>1241</v>
      </c>
      <c r="D141" s="13" t="s">
        <v>2642</v>
      </c>
      <c r="E141" s="13" t="s">
        <v>1494</v>
      </c>
      <c r="F141" s="13" t="s">
        <v>3753</v>
      </c>
      <c r="H141" s="18" t="s">
        <v>3278</v>
      </c>
      <c r="I141" s="13" t="s">
        <v>3278</v>
      </c>
      <c r="J141" s="13" t="s">
        <v>857</v>
      </c>
      <c r="K141" s="13" t="s">
        <v>3280</v>
      </c>
      <c r="L141" s="13">
        <v>19.562961455471623</v>
      </c>
      <c r="M141" s="13">
        <v>10.004724881285529</v>
      </c>
      <c r="N141" s="13">
        <v>86.005647691243155</v>
      </c>
      <c r="O141" s="13">
        <v>12.866736847441715</v>
      </c>
      <c r="P141" s="13">
        <f t="shared" si="4"/>
        <v>32.110017718860504</v>
      </c>
    </row>
    <row r="142" spans="2:16" x14ac:dyDescent="0.35">
      <c r="B142" s="16">
        <v>140</v>
      </c>
      <c r="C142" s="13" t="s">
        <v>803</v>
      </c>
      <c r="D142" s="13" t="s">
        <v>2453</v>
      </c>
      <c r="E142" s="13" t="s">
        <v>2123</v>
      </c>
      <c r="F142" s="13" t="s">
        <v>259</v>
      </c>
      <c r="H142" s="18" t="s">
        <v>3278</v>
      </c>
      <c r="I142" s="13" t="s">
        <v>3278</v>
      </c>
      <c r="J142" s="13" t="s">
        <v>3281</v>
      </c>
      <c r="K142" s="13" t="s">
        <v>3282</v>
      </c>
      <c r="L142" s="13">
        <v>15.737433767168408</v>
      </c>
      <c r="M142" s="13">
        <v>2.8171659988658306</v>
      </c>
      <c r="N142" s="13">
        <v>78.449820335670609</v>
      </c>
      <c r="O142" s="13">
        <v>4.4937980107553637</v>
      </c>
      <c r="P142" s="13">
        <f t="shared" si="4"/>
        <v>25.374554528115056</v>
      </c>
    </row>
    <row r="143" spans="2:16" x14ac:dyDescent="0.35">
      <c r="B143" s="16">
        <v>141</v>
      </c>
      <c r="C143" s="13" t="s">
        <v>787</v>
      </c>
      <c r="D143" s="13" t="s">
        <v>2938</v>
      </c>
      <c r="E143" s="13" t="s">
        <v>2129</v>
      </c>
      <c r="F143" s="13" t="s">
        <v>789</v>
      </c>
      <c r="H143" s="18" t="s">
        <v>3278</v>
      </c>
      <c r="I143" s="13" t="s">
        <v>3278</v>
      </c>
      <c r="J143" s="13" t="s">
        <v>3295</v>
      </c>
      <c r="K143" s="13" t="s">
        <v>3296</v>
      </c>
      <c r="L143" s="13">
        <v>13.274476925380007</v>
      </c>
      <c r="M143" s="13">
        <v>2.9993857866055449</v>
      </c>
      <c r="N143" s="13">
        <v>91.033069282454093</v>
      </c>
      <c r="O143" s="13">
        <v>7.9394667663087075</v>
      </c>
      <c r="P143" s="13">
        <f t="shared" si="4"/>
        <v>28.811599690187091</v>
      </c>
    </row>
    <row r="144" spans="2:16" x14ac:dyDescent="0.35">
      <c r="B144" s="16">
        <v>142</v>
      </c>
      <c r="C144" s="13" t="s">
        <v>2743</v>
      </c>
      <c r="D144" s="13" t="s">
        <v>769</v>
      </c>
      <c r="E144" s="13" t="s">
        <v>2158</v>
      </c>
      <c r="F144" s="13" t="s">
        <v>759</v>
      </c>
      <c r="H144" s="18" t="s">
        <v>3278</v>
      </c>
      <c r="I144" s="13" t="s">
        <v>3367</v>
      </c>
      <c r="J144" s="13" t="s">
        <v>3367</v>
      </c>
      <c r="K144" s="13" t="s">
        <v>3368</v>
      </c>
      <c r="L144" s="13">
        <v>18.428429290355229</v>
      </c>
      <c r="M144" s="13">
        <v>25.424541692922524</v>
      </c>
      <c r="N144" s="13">
        <v>82.813724777324893</v>
      </c>
      <c r="O144" s="13">
        <v>16.984481212407179</v>
      </c>
      <c r="P144" s="13">
        <f t="shared" si="4"/>
        <v>35.912794243252456</v>
      </c>
    </row>
    <row r="145" spans="2:16" x14ac:dyDescent="0.35">
      <c r="B145" s="16">
        <v>143</v>
      </c>
      <c r="C145" s="13" t="s">
        <v>3157</v>
      </c>
      <c r="D145" s="13" t="s">
        <v>811</v>
      </c>
      <c r="E145" s="13" t="s">
        <v>2224</v>
      </c>
      <c r="F145" s="13" t="s">
        <v>761</v>
      </c>
      <c r="H145" s="18" t="s">
        <v>3278</v>
      </c>
      <c r="I145" s="13" t="s">
        <v>3367</v>
      </c>
      <c r="J145" s="13" t="s">
        <v>3369</v>
      </c>
      <c r="K145" s="13" t="s">
        <v>3370</v>
      </c>
      <c r="L145" s="13">
        <v>11.121687853382948</v>
      </c>
      <c r="M145" s="13">
        <v>0.32892387547019231</v>
      </c>
      <c r="N145" s="13">
        <v>52.494167026624872</v>
      </c>
      <c r="O145" s="13">
        <v>2.1238339741051813</v>
      </c>
      <c r="P145" s="13">
        <f t="shared" si="4"/>
        <v>16.517153182395798</v>
      </c>
    </row>
    <row r="146" spans="2:16" x14ac:dyDescent="0.35">
      <c r="B146" s="16">
        <v>144</v>
      </c>
      <c r="C146" s="13" t="s">
        <v>2121</v>
      </c>
      <c r="D146" s="13" t="s">
        <v>3159</v>
      </c>
      <c r="E146" s="13" t="s">
        <v>2250</v>
      </c>
      <c r="F146" s="13" t="s">
        <v>2234</v>
      </c>
      <c r="H146" s="18" t="s">
        <v>3278</v>
      </c>
      <c r="I146" s="13" t="s">
        <v>3382</v>
      </c>
      <c r="J146" s="13" t="s">
        <v>3383</v>
      </c>
      <c r="K146" s="13" t="s">
        <v>3384</v>
      </c>
      <c r="L146" s="13">
        <v>14.831957549994817</v>
      </c>
      <c r="M146" s="13">
        <v>7.3848783323490084</v>
      </c>
      <c r="N146" s="13">
        <v>85.282096388320952</v>
      </c>
      <c r="O146" s="13">
        <v>10.626163217413614</v>
      </c>
      <c r="P146" s="13">
        <f t="shared" si="4"/>
        <v>29.5312738720196</v>
      </c>
    </row>
    <row r="147" spans="2:16" x14ac:dyDescent="0.35">
      <c r="B147" s="16">
        <v>145</v>
      </c>
      <c r="C147" s="13" t="s">
        <v>759</v>
      </c>
      <c r="D147" s="13" t="s">
        <v>2743</v>
      </c>
      <c r="E147" s="13" t="s">
        <v>2453</v>
      </c>
      <c r="F147" s="13" t="s">
        <v>773</v>
      </c>
      <c r="H147" s="18" t="s">
        <v>3278</v>
      </c>
      <c r="I147" s="13" t="s">
        <v>3382</v>
      </c>
      <c r="J147" s="13" t="s">
        <v>3385</v>
      </c>
      <c r="K147" s="13" t="s">
        <v>3386</v>
      </c>
      <c r="L147" s="13">
        <v>13.760171351769038</v>
      </c>
      <c r="M147" s="13">
        <v>3.139560545621374E-2</v>
      </c>
      <c r="N147" s="13">
        <v>83.955978420687416</v>
      </c>
      <c r="O147" s="13">
        <v>0.6726682651383461</v>
      </c>
      <c r="P147" s="13">
        <f t="shared" si="4"/>
        <v>24.605053410762753</v>
      </c>
    </row>
    <row r="148" spans="2:16" x14ac:dyDescent="0.35">
      <c r="B148" s="16">
        <v>146</v>
      </c>
      <c r="C148" s="13" t="s">
        <v>1245</v>
      </c>
      <c r="D148" s="13" t="s">
        <v>2250</v>
      </c>
      <c r="E148" s="13" t="s">
        <v>2713</v>
      </c>
      <c r="F148" s="13" t="s">
        <v>801</v>
      </c>
      <c r="H148" s="18" t="s">
        <v>3278</v>
      </c>
      <c r="I148" s="13" t="s">
        <v>3382</v>
      </c>
      <c r="J148" s="13" t="s">
        <v>3387</v>
      </c>
      <c r="K148" s="13" t="s">
        <v>3388</v>
      </c>
      <c r="L148" s="13">
        <v>18.021401917312613</v>
      </c>
      <c r="M148" s="13">
        <v>0.11567482595916545</v>
      </c>
      <c r="N148" s="13">
        <v>52.494167026624872</v>
      </c>
      <c r="O148" s="13">
        <v>0.73736937797896585</v>
      </c>
      <c r="P148" s="13">
        <f t="shared" si="4"/>
        <v>17.842153286968905</v>
      </c>
    </row>
    <row r="149" spans="2:16" x14ac:dyDescent="0.35">
      <c r="B149" s="16">
        <v>147</v>
      </c>
      <c r="C149" s="13" t="s">
        <v>3807</v>
      </c>
      <c r="D149" s="13" t="s">
        <v>2228</v>
      </c>
      <c r="E149" s="13" t="s">
        <v>2743</v>
      </c>
      <c r="F149" s="13" t="s">
        <v>1247</v>
      </c>
      <c r="H149" s="18" t="s">
        <v>3278</v>
      </c>
      <c r="I149" s="13" t="s">
        <v>3382</v>
      </c>
      <c r="J149" s="13" t="s">
        <v>3389</v>
      </c>
      <c r="K149" s="13" t="s">
        <v>3390</v>
      </c>
      <c r="L149" s="13">
        <v>1.2656409309417975</v>
      </c>
      <c r="M149" s="13">
        <v>0</v>
      </c>
      <c r="N149" s="13">
        <v>6.0300661390352995E-3</v>
      </c>
      <c r="O149" s="13">
        <v>0.10391403758824441</v>
      </c>
      <c r="P149" s="13">
        <f t="shared" si="4"/>
        <v>0.34389625866726931</v>
      </c>
    </row>
    <row r="150" spans="2:16" x14ac:dyDescent="0.35">
      <c r="B150" s="16">
        <v>148</v>
      </c>
      <c r="C150" s="13" t="s">
        <v>2937</v>
      </c>
      <c r="D150" s="13" t="s">
        <v>3753</v>
      </c>
      <c r="E150" s="13" t="s">
        <v>2747</v>
      </c>
      <c r="F150" s="13" t="s">
        <v>799</v>
      </c>
      <c r="H150" s="18" t="s">
        <v>3278</v>
      </c>
      <c r="I150" s="13" t="s">
        <v>3382</v>
      </c>
      <c r="J150" s="13" t="s">
        <v>3391</v>
      </c>
      <c r="K150" s="13" t="s">
        <v>3392</v>
      </c>
      <c r="L150" s="13">
        <v>5.4319918005787002</v>
      </c>
      <c r="M150" s="13">
        <v>1.0101563029246028</v>
      </c>
      <c r="N150" s="13">
        <v>0</v>
      </c>
      <c r="O150" s="13">
        <v>0.86147733405798366</v>
      </c>
      <c r="P150" s="13">
        <f t="shared" si="4"/>
        <v>1.8259063593903218</v>
      </c>
    </row>
    <row r="151" spans="2:16" x14ac:dyDescent="0.35">
      <c r="B151" s="16">
        <v>149</v>
      </c>
      <c r="C151" s="13" t="s">
        <v>3791</v>
      </c>
      <c r="D151" s="13" t="s">
        <v>1245</v>
      </c>
      <c r="E151" s="13" t="s">
        <v>2749</v>
      </c>
      <c r="F151" s="13" t="s">
        <v>1245</v>
      </c>
      <c r="H151" s="18" t="s">
        <v>3278</v>
      </c>
      <c r="I151" s="13" t="s">
        <v>3382</v>
      </c>
      <c r="J151" s="13" t="s">
        <v>3393</v>
      </c>
      <c r="K151" s="13" t="s">
        <v>3394</v>
      </c>
      <c r="L151" s="13">
        <v>7.0847039900591948</v>
      </c>
      <c r="M151" s="13">
        <v>2.0698976940544798</v>
      </c>
      <c r="N151" s="13">
        <v>52.494167026624872</v>
      </c>
      <c r="O151" s="13">
        <v>1.7021311291212013</v>
      </c>
      <c r="P151" s="13">
        <f t="shared" si="4"/>
        <v>15.837724959964937</v>
      </c>
    </row>
    <row r="152" spans="2:16" x14ac:dyDescent="0.35">
      <c r="B152" s="16">
        <v>150</v>
      </c>
      <c r="C152" s="13" t="s">
        <v>2946</v>
      </c>
      <c r="D152" s="13" t="s">
        <v>3795</v>
      </c>
      <c r="E152" s="13" t="s">
        <v>2753</v>
      </c>
      <c r="F152" s="13" t="s">
        <v>3407</v>
      </c>
      <c r="H152" s="18" t="s">
        <v>3407</v>
      </c>
      <c r="I152" s="13" t="s">
        <v>3407</v>
      </c>
      <c r="J152" s="13" t="s">
        <v>3407</v>
      </c>
      <c r="K152" s="13" t="s">
        <v>3408</v>
      </c>
      <c r="L152" s="13">
        <v>14.662291700549213</v>
      </c>
      <c r="M152" s="13">
        <v>19.640126111588387</v>
      </c>
      <c r="N152" s="13">
        <v>94.601052226420109</v>
      </c>
      <c r="O152" s="13">
        <v>13.9806781177065</v>
      </c>
      <c r="P152" s="13">
        <f t="shared" si="4"/>
        <v>35.721037039066054</v>
      </c>
    </row>
    <row r="153" spans="2:16" x14ac:dyDescent="0.35">
      <c r="B153" s="16">
        <v>151</v>
      </c>
      <c r="C153" s="13" t="s">
        <v>3159</v>
      </c>
      <c r="D153" s="13" t="s">
        <v>2125</v>
      </c>
      <c r="E153" s="13" t="s">
        <v>2771</v>
      </c>
      <c r="F153" s="13" t="s">
        <v>3795</v>
      </c>
      <c r="H153" s="18" t="s">
        <v>3407</v>
      </c>
      <c r="I153" s="13" t="s">
        <v>3587</v>
      </c>
      <c r="J153" s="13" t="s">
        <v>3588</v>
      </c>
      <c r="K153" s="13" t="s">
        <v>3589</v>
      </c>
      <c r="L153" s="13">
        <v>32.142193054450232</v>
      </c>
      <c r="M153" s="13">
        <v>57.147543830518067</v>
      </c>
      <c r="N153" s="13">
        <v>97.928445766116113</v>
      </c>
      <c r="O153" s="13">
        <v>21.663824495265079</v>
      </c>
      <c r="P153" s="13">
        <f t="shared" si="4"/>
        <v>52.220501786587377</v>
      </c>
    </row>
    <row r="154" spans="2:16" x14ac:dyDescent="0.35">
      <c r="B154" s="16">
        <v>152</v>
      </c>
      <c r="C154" s="13" t="s">
        <v>2248</v>
      </c>
      <c r="D154" s="13" t="s">
        <v>3393</v>
      </c>
      <c r="E154" s="13" t="s">
        <v>2773</v>
      </c>
      <c r="F154" s="13" t="s">
        <v>2208</v>
      </c>
      <c r="H154" s="18" t="s">
        <v>3632</v>
      </c>
      <c r="I154" s="13" t="s">
        <v>3662</v>
      </c>
      <c r="J154" s="13" t="s">
        <v>3749</v>
      </c>
      <c r="K154" s="13" t="s">
        <v>3750</v>
      </c>
      <c r="L154" s="13">
        <v>28.578259912517463</v>
      </c>
      <c r="M154" s="13">
        <v>25.264880508174141</v>
      </c>
      <c r="N154" s="13">
        <v>85.74693318731974</v>
      </c>
      <c r="O154" s="13">
        <v>21.953004938678045</v>
      </c>
      <c r="P154" s="13">
        <f t="shared" si="4"/>
        <v>40.38576963667235</v>
      </c>
    </row>
    <row r="155" spans="2:16" x14ac:dyDescent="0.35">
      <c r="B155" s="16">
        <v>153</v>
      </c>
      <c r="C155" s="13" t="s">
        <v>1494</v>
      </c>
      <c r="D155" s="13" t="s">
        <v>2248</v>
      </c>
      <c r="E155" s="13" t="s">
        <v>2942</v>
      </c>
      <c r="F155" s="13" t="s">
        <v>779</v>
      </c>
      <c r="H155" s="18" t="s">
        <v>3632</v>
      </c>
      <c r="I155" s="13" t="s">
        <v>3662</v>
      </c>
      <c r="J155" s="13" t="s">
        <v>3753</v>
      </c>
      <c r="K155" s="13" t="s">
        <v>3754</v>
      </c>
      <c r="L155" s="13">
        <v>6.1224131809834974</v>
      </c>
      <c r="M155" s="13">
        <v>0</v>
      </c>
      <c r="N155" s="13">
        <v>52.494167026624872</v>
      </c>
      <c r="O155" s="13">
        <v>8.3219261150274407E-2</v>
      </c>
      <c r="P155" s="13">
        <f t="shared" si="4"/>
        <v>14.674949867189662</v>
      </c>
    </row>
    <row r="156" spans="2:16" x14ac:dyDescent="0.35">
      <c r="B156" s="16">
        <v>154</v>
      </c>
      <c r="C156" s="13" t="s">
        <v>811</v>
      </c>
      <c r="D156" s="13" t="s">
        <v>2773</v>
      </c>
      <c r="E156" s="13" t="s">
        <v>2946</v>
      </c>
      <c r="F156" s="13" t="s">
        <v>803</v>
      </c>
      <c r="H156" s="18" t="s">
        <v>3632</v>
      </c>
      <c r="I156" s="13" t="s">
        <v>3662</v>
      </c>
      <c r="J156" s="13" t="s">
        <v>3763</v>
      </c>
      <c r="K156" s="13" t="s">
        <v>3764</v>
      </c>
      <c r="L156" s="13">
        <v>5.54911782221546</v>
      </c>
      <c r="M156" s="13">
        <v>0</v>
      </c>
      <c r="N156" s="13">
        <v>52.494167026624872</v>
      </c>
      <c r="O156" s="13">
        <v>7.4912266488032037E-2</v>
      </c>
      <c r="P156" s="13">
        <f t="shared" si="4"/>
        <v>14.529549278832091</v>
      </c>
    </row>
    <row r="157" spans="2:16" x14ac:dyDescent="0.35">
      <c r="B157" s="16">
        <v>155</v>
      </c>
      <c r="C157" s="13" t="s">
        <v>2453</v>
      </c>
      <c r="D157" s="13" t="s">
        <v>2634</v>
      </c>
      <c r="E157" s="13" t="s">
        <v>2955</v>
      </c>
      <c r="F157" s="13" t="s">
        <v>3157</v>
      </c>
      <c r="H157" s="18" t="s">
        <v>3632</v>
      </c>
      <c r="I157" s="13" t="s">
        <v>3662</v>
      </c>
      <c r="J157" s="13" t="s">
        <v>3765</v>
      </c>
      <c r="K157" s="13" t="s">
        <v>3766</v>
      </c>
      <c r="L157" s="13">
        <v>17.288628975752559</v>
      </c>
      <c r="M157" s="13">
        <v>0.31920114732699506</v>
      </c>
      <c r="N157" s="13">
        <v>91.121656602176159</v>
      </c>
      <c r="O157" s="13">
        <v>2.8710776753545528</v>
      </c>
      <c r="P157" s="13">
        <f t="shared" si="4"/>
        <v>27.900141100152567</v>
      </c>
    </row>
    <row r="158" spans="2:16" x14ac:dyDescent="0.35">
      <c r="B158" s="16">
        <v>156</v>
      </c>
      <c r="C158" s="13" t="s">
        <v>2228</v>
      </c>
      <c r="D158" s="13" t="s">
        <v>984</v>
      </c>
      <c r="E158" s="13" t="s">
        <v>3059</v>
      </c>
      <c r="F158" s="13" t="s">
        <v>763</v>
      </c>
      <c r="H158" s="18" t="s">
        <v>3632</v>
      </c>
      <c r="I158" s="13" t="s">
        <v>3662</v>
      </c>
      <c r="J158" s="13" t="s">
        <v>3767</v>
      </c>
      <c r="K158" s="13" t="s">
        <v>3768</v>
      </c>
      <c r="L158" s="13">
        <v>19.129879524253113</v>
      </c>
      <c r="M158" s="13">
        <v>1.6267286981068108</v>
      </c>
      <c r="N158" s="13">
        <v>96.563860787986457</v>
      </c>
      <c r="O158" s="13">
        <v>2.9946888079336613</v>
      </c>
      <c r="P158" s="13">
        <f t="shared" si="4"/>
        <v>30.078789454570011</v>
      </c>
    </row>
    <row r="159" spans="2:16" x14ac:dyDescent="0.35">
      <c r="B159" s="16">
        <v>157</v>
      </c>
      <c r="C159" s="13" t="s">
        <v>1243</v>
      </c>
      <c r="D159" s="13" t="s">
        <v>2749</v>
      </c>
      <c r="E159" s="13" t="s">
        <v>3157</v>
      </c>
      <c r="F159" s="13" t="s">
        <v>2228</v>
      </c>
      <c r="H159" s="18" t="s">
        <v>3632</v>
      </c>
      <c r="I159" s="13" t="s">
        <v>3662</v>
      </c>
      <c r="J159" s="13" t="s">
        <v>3771</v>
      </c>
      <c r="K159" s="13" t="s">
        <v>3772</v>
      </c>
      <c r="L159" s="13">
        <v>0</v>
      </c>
      <c r="M159" s="13">
        <v>0</v>
      </c>
      <c r="N159" s="13">
        <v>6.0300661390352995E-3</v>
      </c>
      <c r="O159" s="13">
        <v>0</v>
      </c>
      <c r="P159" s="13">
        <f t="shared" si="4"/>
        <v>1.5075165347588249E-3</v>
      </c>
    </row>
    <row r="160" spans="2:16" x14ac:dyDescent="0.35">
      <c r="B160" s="16">
        <v>158</v>
      </c>
      <c r="C160" s="13" t="s">
        <v>3795</v>
      </c>
      <c r="D160" s="13" t="s">
        <v>3763</v>
      </c>
      <c r="E160" s="13" t="s">
        <v>3159</v>
      </c>
      <c r="F160" s="13" t="s">
        <v>769</v>
      </c>
      <c r="H160" s="18" t="s">
        <v>3789</v>
      </c>
      <c r="I160" s="13" t="s">
        <v>3789</v>
      </c>
      <c r="J160" s="13" t="s">
        <v>3789</v>
      </c>
      <c r="K160" s="13" t="s">
        <v>3790</v>
      </c>
      <c r="L160" s="13">
        <v>23.290445953784939</v>
      </c>
      <c r="M160" s="13">
        <v>16.977853978110719</v>
      </c>
      <c r="N160" s="13">
        <v>90.509315723049454</v>
      </c>
      <c r="O160" s="13">
        <v>22.130433499511152</v>
      </c>
      <c r="P160" s="13">
        <f t="shared" si="4"/>
        <v>38.22701228861407</v>
      </c>
    </row>
    <row r="161" spans="2:16" x14ac:dyDescent="0.35">
      <c r="B161" s="16">
        <v>159</v>
      </c>
      <c r="C161" s="13" t="s">
        <v>3856</v>
      </c>
      <c r="D161" s="13" t="s">
        <v>3391</v>
      </c>
      <c r="E161" s="13" t="s">
        <v>3369</v>
      </c>
      <c r="F161" s="13" t="s">
        <v>3799</v>
      </c>
      <c r="H161" s="18" t="s">
        <v>3789</v>
      </c>
      <c r="I161" s="13" t="s">
        <v>3789</v>
      </c>
      <c r="J161" s="13" t="s">
        <v>3791</v>
      </c>
      <c r="K161" s="13" t="s">
        <v>3792</v>
      </c>
      <c r="L161" s="13">
        <v>10.258383195257014</v>
      </c>
      <c r="M161" s="13">
        <v>1.5164165099791154</v>
      </c>
      <c r="N161" s="13">
        <v>88.071843092888869</v>
      </c>
      <c r="O161" s="13">
        <v>2.2682485619593575</v>
      </c>
      <c r="P161" s="13">
        <f t="shared" si="4"/>
        <v>25.528722840021089</v>
      </c>
    </row>
    <row r="162" spans="2:16" x14ac:dyDescent="0.35">
      <c r="B162" s="16">
        <v>160</v>
      </c>
      <c r="C162" s="13" t="s">
        <v>2773</v>
      </c>
      <c r="D162" s="13" t="s">
        <v>2129</v>
      </c>
      <c r="E162" s="13" t="s">
        <v>3385</v>
      </c>
      <c r="F162" s="13" t="s">
        <v>3771</v>
      </c>
      <c r="H162" s="18" t="s">
        <v>3789</v>
      </c>
      <c r="I162" s="13" t="s">
        <v>3789</v>
      </c>
      <c r="J162" s="13" t="s">
        <v>3795</v>
      </c>
      <c r="K162" s="13" t="s">
        <v>3796</v>
      </c>
      <c r="L162" s="13">
        <v>6.2973769472207595</v>
      </c>
      <c r="M162" s="13">
        <v>3.4387691440952413</v>
      </c>
      <c r="N162" s="13">
        <v>80.589163261776648</v>
      </c>
      <c r="O162" s="13">
        <v>1.4763031142337326</v>
      </c>
      <c r="P162" s="13">
        <f t="shared" si="4"/>
        <v>22.950403116831595</v>
      </c>
    </row>
    <row r="163" spans="2:16" x14ac:dyDescent="0.35">
      <c r="B163" s="16">
        <v>161</v>
      </c>
      <c r="C163" s="13" t="s">
        <v>3753</v>
      </c>
      <c r="D163" s="13" t="s">
        <v>1241</v>
      </c>
      <c r="E163" s="13" t="s">
        <v>3387</v>
      </c>
      <c r="F163" s="13" t="s">
        <v>3159</v>
      </c>
      <c r="H163" s="18" t="s">
        <v>3789</v>
      </c>
      <c r="I163" s="13" t="s">
        <v>3789</v>
      </c>
      <c r="J163" s="13" t="s">
        <v>3799</v>
      </c>
      <c r="K163" s="13" t="s">
        <v>3800</v>
      </c>
      <c r="L163" s="13">
        <v>0.61923740354802836</v>
      </c>
      <c r="M163" s="13">
        <v>0</v>
      </c>
      <c r="N163" s="13">
        <v>6.0300661390352995E-3</v>
      </c>
      <c r="O163" s="13">
        <v>1.9466663367311003E-2</v>
      </c>
      <c r="P163" s="13">
        <f t="shared" ref="P163:P171" si="5">SUMPRODUCT(L163:O163,$L$173:$O$173)</f>
        <v>0.16118353326359366</v>
      </c>
    </row>
    <row r="164" spans="2:16" x14ac:dyDescent="0.35">
      <c r="B164" s="16">
        <v>162</v>
      </c>
      <c r="C164" s="13" t="s">
        <v>2250</v>
      </c>
      <c r="D164" s="13" t="s">
        <v>787</v>
      </c>
      <c r="E164" s="13" t="s">
        <v>3389</v>
      </c>
      <c r="F164" s="13" t="s">
        <v>3763</v>
      </c>
      <c r="H164" s="18" t="s">
        <v>3789</v>
      </c>
      <c r="I164" s="13" t="s">
        <v>3789</v>
      </c>
      <c r="J164" s="13" t="s">
        <v>3803</v>
      </c>
      <c r="K164" s="13" t="s">
        <v>3804</v>
      </c>
      <c r="L164" s="13">
        <v>16.028066383810984</v>
      </c>
      <c r="M164" s="13">
        <v>8.2433078494015627E-2</v>
      </c>
      <c r="N164" s="13">
        <v>73.627512361390643</v>
      </c>
      <c r="O164" s="13">
        <v>0.71997623495686414</v>
      </c>
      <c r="P164" s="13">
        <f t="shared" si="5"/>
        <v>22.614497014663126</v>
      </c>
    </row>
    <row r="165" spans="2:16" x14ac:dyDescent="0.35">
      <c r="B165" s="16">
        <v>163</v>
      </c>
      <c r="C165" s="13" t="s">
        <v>2749</v>
      </c>
      <c r="D165" s="13" t="s">
        <v>1243</v>
      </c>
      <c r="E165" s="13" t="s">
        <v>3753</v>
      </c>
      <c r="F165" s="13" t="s">
        <v>765</v>
      </c>
      <c r="H165" s="18" t="s">
        <v>3789</v>
      </c>
      <c r="I165" s="13" t="s">
        <v>3789</v>
      </c>
      <c r="J165" s="13" t="s">
        <v>3807</v>
      </c>
      <c r="K165" s="13" t="s">
        <v>3808</v>
      </c>
      <c r="L165" s="13">
        <v>11.471063324922346</v>
      </c>
      <c r="M165" s="13">
        <v>11.609409340860861</v>
      </c>
      <c r="N165" s="13">
        <v>97.004940189921371</v>
      </c>
      <c r="O165" s="13">
        <v>4.9795984356313241</v>
      </c>
      <c r="P165" s="13">
        <f t="shared" si="5"/>
        <v>31.266252822833977</v>
      </c>
    </row>
    <row r="166" spans="2:16" x14ac:dyDescent="0.35">
      <c r="B166" s="16">
        <v>164</v>
      </c>
      <c r="C166" s="13" t="s">
        <v>2224</v>
      </c>
      <c r="D166" s="13" t="s">
        <v>1247</v>
      </c>
      <c r="E166" s="13" t="s">
        <v>3763</v>
      </c>
      <c r="F166" s="13" t="s">
        <v>3155</v>
      </c>
      <c r="H166" s="18" t="s">
        <v>3846</v>
      </c>
      <c r="I166" s="13" t="s">
        <v>3846</v>
      </c>
      <c r="J166" s="13" t="s">
        <v>3846</v>
      </c>
      <c r="K166" s="13" t="s">
        <v>3847</v>
      </c>
      <c r="L166" s="13">
        <v>15.128628966019301</v>
      </c>
      <c r="M166" s="13">
        <v>12.358632788903687</v>
      </c>
      <c r="N166" s="13">
        <v>82.922392581289074</v>
      </c>
      <c r="O166" s="13">
        <v>13.386584699661855</v>
      </c>
      <c r="P166" s="13">
        <f t="shared" si="5"/>
        <v>30.949059758968481</v>
      </c>
    </row>
    <row r="167" spans="2:16" x14ac:dyDescent="0.35">
      <c r="B167" s="16">
        <v>165</v>
      </c>
      <c r="C167" s="13" t="s">
        <v>3389</v>
      </c>
      <c r="D167" s="13" t="s">
        <v>2654</v>
      </c>
      <c r="E167" s="13" t="s">
        <v>3767</v>
      </c>
      <c r="F167" s="13" t="s">
        <v>1243</v>
      </c>
      <c r="H167" s="18" t="s">
        <v>3846</v>
      </c>
      <c r="I167" s="13" t="s">
        <v>3846</v>
      </c>
      <c r="J167" s="13" t="s">
        <v>3848</v>
      </c>
      <c r="K167" s="13" t="s">
        <v>3849</v>
      </c>
      <c r="L167" s="13">
        <v>22.110478159736413</v>
      </c>
      <c r="M167" s="13">
        <v>0.56338597329645745</v>
      </c>
      <c r="N167" s="13">
        <v>39.897014156108277</v>
      </c>
      <c r="O167" s="13">
        <v>1.0019452106115974</v>
      </c>
      <c r="P167" s="13">
        <f t="shared" si="5"/>
        <v>15.893205874938186</v>
      </c>
    </row>
    <row r="168" spans="2:16" x14ac:dyDescent="0.35">
      <c r="B168" s="16">
        <v>166</v>
      </c>
      <c r="C168" s="13" t="s">
        <v>2771</v>
      </c>
      <c r="D168" s="13" t="s">
        <v>3389</v>
      </c>
      <c r="E168" s="13" t="s">
        <v>3771</v>
      </c>
      <c r="F168" s="13" t="s">
        <v>3588</v>
      </c>
      <c r="H168" s="18" t="s">
        <v>3846</v>
      </c>
      <c r="I168" s="13" t="s">
        <v>3846</v>
      </c>
      <c r="J168" s="13" t="s">
        <v>3856</v>
      </c>
      <c r="K168" s="13" t="s">
        <v>3857</v>
      </c>
      <c r="L168" s="13">
        <v>1.7849603626711428</v>
      </c>
      <c r="M168" s="13">
        <v>0</v>
      </c>
      <c r="N168" s="13">
        <v>6.0300661390352995E-3</v>
      </c>
      <c r="O168" s="13">
        <v>0.14048531146773544</v>
      </c>
      <c r="P168" s="13">
        <f t="shared" si="5"/>
        <v>0.48286893506947837</v>
      </c>
    </row>
    <row r="169" spans="2:16" x14ac:dyDescent="0.35">
      <c r="B169" s="16">
        <v>167</v>
      </c>
      <c r="C169" s="13" t="s">
        <v>3799</v>
      </c>
      <c r="D169" s="13" t="s">
        <v>3771</v>
      </c>
      <c r="E169" s="13" t="s">
        <v>3799</v>
      </c>
      <c r="F169" s="13" t="s">
        <v>2224</v>
      </c>
      <c r="H169" s="18" t="s">
        <v>3118</v>
      </c>
      <c r="I169" s="13" t="s">
        <v>3873</v>
      </c>
      <c r="J169" s="13" t="s">
        <v>3874</v>
      </c>
      <c r="K169" s="13" t="s">
        <v>3875</v>
      </c>
      <c r="L169" s="13">
        <v>26.54760454771548</v>
      </c>
      <c r="M169" s="13">
        <v>22.771144228608335</v>
      </c>
      <c r="N169" s="13">
        <v>87.217194387372572</v>
      </c>
      <c r="O169" s="13">
        <v>15.287183533891499</v>
      </c>
      <c r="P169" s="13">
        <f t="shared" si="5"/>
        <v>37.955781674396974</v>
      </c>
    </row>
    <row r="170" spans="2:16" x14ac:dyDescent="0.35">
      <c r="B170" s="16">
        <v>168</v>
      </c>
      <c r="C170" s="13" t="s">
        <v>1247</v>
      </c>
      <c r="D170" s="13" t="s">
        <v>3799</v>
      </c>
      <c r="E170" s="13" t="s">
        <v>3803</v>
      </c>
      <c r="F170" s="13" t="s">
        <v>2248</v>
      </c>
      <c r="H170" s="18" t="s">
        <v>3118</v>
      </c>
      <c r="I170" s="13" t="s">
        <v>3873</v>
      </c>
      <c r="J170" s="13" t="s">
        <v>3882</v>
      </c>
      <c r="K170" s="13" t="s">
        <v>3883</v>
      </c>
      <c r="L170" s="13">
        <v>14.553516865070915</v>
      </c>
      <c r="M170" s="13">
        <v>1.1027594994923906</v>
      </c>
      <c r="N170" s="13">
        <v>69.802815696024993</v>
      </c>
      <c r="O170" s="13">
        <v>7.5333860439371199</v>
      </c>
      <c r="P170" s="13">
        <f t="shared" si="5"/>
        <v>23.248119526131354</v>
      </c>
    </row>
    <row r="171" spans="2:16" x14ac:dyDescent="0.35">
      <c r="B171" s="16">
        <v>169</v>
      </c>
      <c r="C171" s="13" t="s">
        <v>3771</v>
      </c>
      <c r="D171" s="13" t="s">
        <v>3856</v>
      </c>
      <c r="E171" s="13" t="s">
        <v>3856</v>
      </c>
      <c r="F171" s="13" t="s">
        <v>811</v>
      </c>
      <c r="H171" s="18" t="s">
        <v>3118</v>
      </c>
      <c r="I171" s="13" t="s">
        <v>3873</v>
      </c>
      <c r="J171" s="13" t="s">
        <v>3886</v>
      </c>
      <c r="K171" s="13" t="s">
        <v>3887</v>
      </c>
      <c r="L171" s="13">
        <v>11.498763052484879</v>
      </c>
      <c r="M171" s="13">
        <v>0.78020737393876793</v>
      </c>
      <c r="N171" s="13">
        <v>86.456431378880239</v>
      </c>
      <c r="O171" s="13">
        <v>2.4649286897693354</v>
      </c>
      <c r="P171" s="13">
        <f t="shared" si="5"/>
        <v>25.300082623768308</v>
      </c>
    </row>
    <row r="173" spans="2:16" x14ac:dyDescent="0.35">
      <c r="L173" s="1">
        <f>1/4</f>
        <v>0.25</v>
      </c>
      <c r="M173" s="1">
        <f t="shared" ref="M173:O173" si="6">1/4</f>
        <v>0.25</v>
      </c>
      <c r="N173" s="1">
        <f t="shared" si="6"/>
        <v>0.25</v>
      </c>
      <c r="O173" s="1">
        <f t="shared" si="6"/>
        <v>0.25</v>
      </c>
    </row>
  </sheetData>
  <conditionalFormatting sqref="C3:F171">
    <cfRule type="cellIs" dxfId="7" priority="1" operator="equal">
      <formula>$C$10</formula>
    </cfRule>
    <cfRule type="cellIs" dxfId="6" priority="2" operator="equal">
      <formula>$C$9</formula>
    </cfRule>
    <cfRule type="cellIs" dxfId="5" priority="3" operator="equal">
      <formula>$C$8</formula>
    </cfRule>
    <cfRule type="cellIs" dxfId="4" priority="4" operator="equal">
      <formula>$C$7</formula>
    </cfRule>
    <cfRule type="cellIs" dxfId="3" priority="5" operator="equal">
      <formula>$C$6</formula>
    </cfRule>
    <cfRule type="cellIs" dxfId="2" priority="6" operator="equal">
      <formula>$C$5</formula>
    </cfRule>
    <cfRule type="cellIs" dxfId="1" priority="7" operator="equal">
      <formula>$C$4</formula>
    </cfRule>
    <cfRule type="cellIs" dxfId="0" priority="8" operator="equal">
      <formula>$C$3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72A9-5EA3-460A-A97F-A5A6F0261611}">
  <sheetPr>
    <tabColor rgb="FFFFC000"/>
  </sheetPr>
  <dimension ref="B2:R173"/>
  <sheetViews>
    <sheetView showGridLines="0" tabSelected="1" topLeftCell="E1" zoomScale="81" zoomScaleNormal="90" workbookViewId="0">
      <selection activeCell="Q20" sqref="Q20"/>
    </sheetView>
  </sheetViews>
  <sheetFormatPr baseColWidth="10" defaultColWidth="11.453125" defaultRowHeight="14.5" x14ac:dyDescent="0.35"/>
  <cols>
    <col min="1" max="1" width="6.6328125" customWidth="1"/>
    <col min="3" max="3" width="17.36328125" customWidth="1"/>
    <col min="4" max="4" width="23.81640625" customWidth="1"/>
    <col min="5" max="5" width="43.36328125" customWidth="1"/>
    <col min="6" max="6" width="13.453125" customWidth="1"/>
    <col min="7" max="7" width="13" bestFit="1" customWidth="1"/>
    <col min="8" max="8" width="14" customWidth="1"/>
    <col min="9" max="9" width="12.453125" bestFit="1" customWidth="1"/>
    <col min="10" max="10" width="19.6328125" customWidth="1"/>
    <col min="11" max="11" width="16.36328125" customWidth="1"/>
    <col min="12" max="12" width="9.36328125" bestFit="1" customWidth="1"/>
    <col min="13" max="13" width="13" customWidth="1"/>
    <col min="14" max="14" width="8.08984375" bestFit="1" customWidth="1"/>
  </cols>
  <sheetData>
    <row r="2" spans="2:17" ht="18" x14ac:dyDescent="0.35">
      <c r="B2" s="21" t="s">
        <v>4045</v>
      </c>
    </row>
    <row r="3" spans="2:17" ht="18" x14ac:dyDescent="0.35">
      <c r="B3" s="21"/>
    </row>
    <row r="4" spans="2:17" ht="34.5" x14ac:dyDescent="0.35">
      <c r="B4" s="28" t="s">
        <v>4046</v>
      </c>
      <c r="C4" s="29" t="s">
        <v>4010</v>
      </c>
      <c r="D4" s="29" t="s">
        <v>4011</v>
      </c>
      <c r="E4" s="29" t="s">
        <v>4012</v>
      </c>
      <c r="F4" s="29" t="s">
        <v>4013</v>
      </c>
      <c r="G4" s="29" t="s">
        <v>4040</v>
      </c>
      <c r="H4" s="29" t="s">
        <v>4041</v>
      </c>
      <c r="I4" s="29" t="s">
        <v>4042</v>
      </c>
      <c r="J4" s="29" t="s">
        <v>4043</v>
      </c>
      <c r="K4" s="29" t="s">
        <v>4047</v>
      </c>
      <c r="L4" s="29" t="s">
        <v>4002</v>
      </c>
      <c r="M4" s="29" t="s">
        <v>4003</v>
      </c>
      <c r="N4" s="29" t="s">
        <v>4004</v>
      </c>
      <c r="O4" s="29" t="s">
        <v>4005</v>
      </c>
    </row>
    <row r="5" spans="2:17" x14ac:dyDescent="0.35">
      <c r="B5" s="18">
        <v>1</v>
      </c>
      <c r="C5" s="13" t="s">
        <v>2695</v>
      </c>
      <c r="D5" s="13" t="s">
        <v>2696</v>
      </c>
      <c r="E5" s="13" t="s">
        <v>2697</v>
      </c>
      <c r="F5" s="22" t="s">
        <v>2698</v>
      </c>
      <c r="G5" s="22">
        <v>100</v>
      </c>
      <c r="H5" s="22">
        <v>100</v>
      </c>
      <c r="I5" s="22">
        <v>86.946394542561507</v>
      </c>
      <c r="J5" s="22">
        <v>83.472473210623548</v>
      </c>
      <c r="K5" s="22">
        <v>92.604716938296264</v>
      </c>
      <c r="L5" s="22">
        <f>VLOOKUP($F5,'BaseIBK distritos filt'!$D$2:$BF$170,52,FALSE)</f>
        <v>35.6</v>
      </c>
      <c r="M5" s="22">
        <f>VLOOKUP($F5,'BaseIBK distritos filt'!$D$2:$BF$170,53,FALSE)</f>
        <v>2062516</v>
      </c>
      <c r="N5" s="22">
        <f>VLOOKUP($F5,'BaseIBK distritos filt'!$D$2:$BF$170,54,FALSE)</f>
        <v>8</v>
      </c>
      <c r="O5" s="13">
        <f>VLOOKUP($F5,'BaseIBK distritos filt'!$D$2:$BF$170,55,FALSE)</f>
        <v>23.8</v>
      </c>
      <c r="Q5" s="46"/>
    </row>
    <row r="6" spans="2:17" x14ac:dyDescent="0.35">
      <c r="B6" s="18">
        <v>2</v>
      </c>
      <c r="C6" s="13" t="s">
        <v>263</v>
      </c>
      <c r="D6" s="13" t="s">
        <v>2449</v>
      </c>
      <c r="E6" s="13" t="s">
        <v>2449</v>
      </c>
      <c r="F6" s="22" t="s">
        <v>2450</v>
      </c>
      <c r="G6" s="22">
        <v>62.746638726661885</v>
      </c>
      <c r="H6" s="22">
        <v>57.789656580066961</v>
      </c>
      <c r="I6" s="22">
        <v>90.189787937473298</v>
      </c>
      <c r="J6" s="22">
        <v>72.244030887741232</v>
      </c>
      <c r="K6" s="22">
        <v>70.742528532985844</v>
      </c>
      <c r="L6" s="22">
        <f>VLOOKUP($F6,'BaseIBK distritos filt'!$D$2:$BF$170,52,FALSE)</f>
        <v>20.9</v>
      </c>
      <c r="M6" s="22">
        <f>VLOOKUP($F6,'BaseIBK distritos filt'!$D$2:$BF$170,53,FALSE)</f>
        <v>1128097</v>
      </c>
      <c r="N6" s="22">
        <f>VLOOKUP($F6,'BaseIBK distritos filt'!$D$2:$BF$170,54,FALSE)</f>
        <v>3</v>
      </c>
      <c r="O6" s="13">
        <f>VLOOKUP($F6,'BaseIBK distritos filt'!$D$2:$BF$170,55,FALSE)</f>
        <v>3.9</v>
      </c>
      <c r="Q6" s="46"/>
    </row>
    <row r="7" spans="2:17" x14ac:dyDescent="0.35">
      <c r="B7" s="18">
        <v>3</v>
      </c>
      <c r="C7" s="13" t="s">
        <v>2695</v>
      </c>
      <c r="D7" s="13" t="s">
        <v>2696</v>
      </c>
      <c r="E7" s="13" t="s">
        <v>2701</v>
      </c>
      <c r="F7" s="22" t="s">
        <v>2702</v>
      </c>
      <c r="G7" s="22">
        <v>63.240948804532223</v>
      </c>
      <c r="H7" s="22">
        <v>59.452575994324519</v>
      </c>
      <c r="I7" s="22">
        <v>84.843704623190035</v>
      </c>
      <c r="J7" s="22">
        <v>70.092090693469402</v>
      </c>
      <c r="K7" s="22">
        <v>69.407330028879045</v>
      </c>
      <c r="L7" s="22">
        <f>VLOOKUP($F7,'BaseIBK distritos filt'!$D$2:$BF$170,52,FALSE)</f>
        <v>22.7</v>
      </c>
      <c r="M7" s="22">
        <f>VLOOKUP($F7,'BaseIBK distritos filt'!$D$2:$BF$170,53,FALSE)</f>
        <v>1208603</v>
      </c>
      <c r="N7" s="22">
        <f>VLOOKUP($F7,'BaseIBK distritos filt'!$D$2:$BF$170,54,FALSE)</f>
        <v>6</v>
      </c>
      <c r="O7" s="13">
        <f>VLOOKUP($F7,'BaseIBK distritos filt'!$D$2:$BF$170,55,FALSE)</f>
        <v>1.3</v>
      </c>
      <c r="Q7" s="46"/>
    </row>
    <row r="8" spans="2:17" x14ac:dyDescent="0.35">
      <c r="B8" s="18">
        <v>4</v>
      </c>
      <c r="C8" s="13" t="s">
        <v>2695</v>
      </c>
      <c r="D8" s="13" t="s">
        <v>2696</v>
      </c>
      <c r="E8" s="13" t="s">
        <v>2759</v>
      </c>
      <c r="F8" s="22" t="s">
        <v>2760</v>
      </c>
      <c r="G8" s="22">
        <v>57.831197077972654</v>
      </c>
      <c r="H8" s="22">
        <v>52.692193990756621</v>
      </c>
      <c r="I8" s="22">
        <v>82.437887303561013</v>
      </c>
      <c r="J8" s="22">
        <v>79.794858040559646</v>
      </c>
      <c r="K8" s="22">
        <v>68.189034103212478</v>
      </c>
      <c r="L8" s="22">
        <f>VLOOKUP($F8,'BaseIBK distritos filt'!$D$2:$BF$170,52,FALSE)</f>
        <v>29.6</v>
      </c>
      <c r="M8" s="22">
        <f>VLOOKUP($F8,'BaseIBK distritos filt'!$D$2:$BF$170,53,FALSE)</f>
        <v>1384382</v>
      </c>
      <c r="N8" s="22">
        <f>VLOOKUP($F8,'BaseIBK distritos filt'!$D$2:$BF$170,54,FALSE)</f>
        <v>8</v>
      </c>
      <c r="O8" s="13">
        <f>VLOOKUP($F8,'BaseIBK distritos filt'!$D$2:$BF$170,55,FALSE)</f>
        <v>1.4</v>
      </c>
      <c r="Q8" s="46"/>
    </row>
    <row r="9" spans="2:17" x14ac:dyDescent="0.35">
      <c r="B9" s="18">
        <v>5</v>
      </c>
      <c r="C9" s="13" t="s">
        <v>2695</v>
      </c>
      <c r="D9" s="13" t="s">
        <v>2696</v>
      </c>
      <c r="E9" s="13" t="s">
        <v>2775</v>
      </c>
      <c r="F9" s="22" t="s">
        <v>2776</v>
      </c>
      <c r="G9" s="22">
        <v>67.053684836254959</v>
      </c>
      <c r="H9" s="22">
        <v>19.439194297117936</v>
      </c>
      <c r="I9" s="22">
        <v>86.173188619466018</v>
      </c>
      <c r="J9" s="22">
        <v>100</v>
      </c>
      <c r="K9" s="22">
        <v>68.166516938209725</v>
      </c>
      <c r="L9" s="22">
        <f>VLOOKUP($F9,'BaseIBK distritos filt'!$D$2:$BF$170,52,FALSE)</f>
        <v>20.399999999999999</v>
      </c>
      <c r="M9" s="22">
        <f>VLOOKUP($F9,'BaseIBK distritos filt'!$D$2:$BF$170,53,FALSE)</f>
        <v>1278857</v>
      </c>
      <c r="N9" s="22">
        <f>VLOOKUP($F9,'BaseIBK distritos filt'!$D$2:$BF$170,54,FALSE)</f>
        <v>11</v>
      </c>
      <c r="O9" s="13">
        <f>VLOOKUP($F9,'BaseIBK distritos filt'!$D$2:$BF$170,55,FALSE)</f>
        <v>4.0999999999999996</v>
      </c>
      <c r="Q9" s="46"/>
    </row>
    <row r="10" spans="2:17" x14ac:dyDescent="0.35">
      <c r="B10" s="18">
        <v>6</v>
      </c>
      <c r="C10" s="13" t="s">
        <v>2695</v>
      </c>
      <c r="D10" s="13" t="s">
        <v>2696</v>
      </c>
      <c r="E10" s="13" t="s">
        <v>2725</v>
      </c>
      <c r="F10" s="22" t="s">
        <v>2726</v>
      </c>
      <c r="G10" s="22">
        <v>73.842594620301711</v>
      </c>
      <c r="H10" s="22">
        <v>31.007026812947338</v>
      </c>
      <c r="I10" s="22">
        <v>88.131897533235161</v>
      </c>
      <c r="J10" s="22">
        <v>59.861882591661463</v>
      </c>
      <c r="K10" s="22">
        <v>63.210850389536418</v>
      </c>
      <c r="L10" s="22">
        <f>VLOOKUP($F10,'BaseIBK distritos filt'!$D$2:$BF$170,52,FALSE)</f>
        <v>19.5</v>
      </c>
      <c r="M10" s="22">
        <f>VLOOKUP($F10,'BaseIBK distritos filt'!$D$2:$BF$170,53,FALSE)</f>
        <v>1116020</v>
      </c>
      <c r="N10" s="22">
        <f>VLOOKUP($F10,'BaseIBK distritos filt'!$D$2:$BF$170,54,FALSE)</f>
        <v>4</v>
      </c>
      <c r="O10" s="13">
        <f>VLOOKUP($F10,'BaseIBK distritos filt'!$D$2:$BF$170,55,FALSE)</f>
        <v>10.4</v>
      </c>
      <c r="Q10" s="46"/>
    </row>
    <row r="11" spans="2:17" x14ac:dyDescent="0.35">
      <c r="B11" s="18">
        <v>7</v>
      </c>
      <c r="C11" s="13" t="s">
        <v>2695</v>
      </c>
      <c r="D11" s="13" t="s">
        <v>2696</v>
      </c>
      <c r="E11" s="13" t="s">
        <v>2765</v>
      </c>
      <c r="F11" s="22" t="s">
        <v>2766</v>
      </c>
      <c r="G11" s="22">
        <v>53.884479776878393</v>
      </c>
      <c r="H11" s="22">
        <v>28.853916069285084</v>
      </c>
      <c r="I11" s="22">
        <v>83.866388723099476</v>
      </c>
      <c r="J11" s="22">
        <v>74.521969004474542</v>
      </c>
      <c r="K11" s="22">
        <v>60.281688393434379</v>
      </c>
      <c r="L11" s="22">
        <f>VLOOKUP($F11,'BaseIBK distritos filt'!$D$2:$BF$170,52,FALSE)</f>
        <v>24.1</v>
      </c>
      <c r="M11" s="22">
        <f>VLOOKUP($F11,'BaseIBK distritos filt'!$D$2:$BF$170,53,FALSE)</f>
        <v>1195145</v>
      </c>
      <c r="N11" s="22">
        <f>VLOOKUP($F11,'BaseIBK distritos filt'!$D$2:$BF$170,54,FALSE)</f>
        <v>6</v>
      </c>
      <c r="O11" s="13">
        <f>VLOOKUP($F11,'BaseIBK distritos filt'!$D$2:$BF$170,55,FALSE)</f>
        <v>1.3</v>
      </c>
      <c r="Q11" s="46"/>
    </row>
    <row r="12" spans="2:17" x14ac:dyDescent="0.35">
      <c r="B12" s="18">
        <v>8</v>
      </c>
      <c r="C12" s="13" t="s">
        <v>2695</v>
      </c>
      <c r="D12" s="13" t="s">
        <v>2696</v>
      </c>
      <c r="E12" s="13" t="s">
        <v>2757</v>
      </c>
      <c r="F12" s="22" t="s">
        <v>2758</v>
      </c>
      <c r="G12" s="22">
        <v>52.945539602708926</v>
      </c>
      <c r="H12" s="22">
        <v>44.162987544240465</v>
      </c>
      <c r="I12" s="22">
        <v>84.865664274820958</v>
      </c>
      <c r="J12" s="22">
        <v>48.671938834099052</v>
      </c>
      <c r="K12" s="22">
        <v>57.661532563967349</v>
      </c>
      <c r="L12" s="22">
        <f>VLOOKUP($F12,'BaseIBK distritos filt'!$D$2:$BF$170,52,FALSE)</f>
        <v>7.8</v>
      </c>
      <c r="M12" s="22">
        <f>VLOOKUP($F12,'BaseIBK distritos filt'!$D$2:$BF$170,53,FALSE)</f>
        <v>621261</v>
      </c>
      <c r="N12" s="22">
        <f>VLOOKUP($F12,'BaseIBK distritos filt'!$D$2:$BF$170,54,FALSE)</f>
        <v>6</v>
      </c>
      <c r="O12" s="13">
        <f>VLOOKUP($F12,'BaseIBK distritos filt'!$D$2:$BF$170,55,FALSE)</f>
        <v>2.6</v>
      </c>
      <c r="Q12" s="46"/>
    </row>
    <row r="13" spans="2:17" x14ac:dyDescent="0.35">
      <c r="B13" s="18">
        <v>9</v>
      </c>
      <c r="C13" s="13" t="s">
        <v>2619</v>
      </c>
      <c r="D13" s="13" t="s">
        <v>2620</v>
      </c>
      <c r="E13" s="13" t="s">
        <v>2620</v>
      </c>
      <c r="F13" s="22" t="s">
        <v>2621</v>
      </c>
      <c r="G13" s="22">
        <v>38.193706328497044</v>
      </c>
      <c r="H13" s="22">
        <v>41.111583085950905</v>
      </c>
      <c r="I13" s="22">
        <v>90.409067951910657</v>
      </c>
      <c r="J13" s="22">
        <v>58.398672087443984</v>
      </c>
      <c r="K13" s="22">
        <v>57.028257363450649</v>
      </c>
      <c r="L13" s="22">
        <f>VLOOKUP($F13,'BaseIBK distritos filt'!$D$2:$BF$170,52,FALSE)</f>
        <v>13.1</v>
      </c>
      <c r="M13" s="22">
        <f>VLOOKUP($F13,'BaseIBK distritos filt'!$D$2:$BF$170,53,FALSE)</f>
        <v>638847</v>
      </c>
      <c r="N13" s="22">
        <f>VLOOKUP($F13,'BaseIBK distritos filt'!$D$2:$BF$170,54,FALSE)</f>
        <v>1</v>
      </c>
      <c r="O13" s="13">
        <f>VLOOKUP($F13,'BaseIBK distritos filt'!$D$2:$BF$170,55,FALSE)</f>
        <v>4</v>
      </c>
      <c r="Q13" s="46"/>
    </row>
    <row r="14" spans="2:17" x14ac:dyDescent="0.35">
      <c r="B14" s="18">
        <v>10</v>
      </c>
      <c r="C14" s="13" t="s">
        <v>2695</v>
      </c>
      <c r="D14" s="13" t="s">
        <v>2696</v>
      </c>
      <c r="E14" s="13" t="s">
        <v>2739</v>
      </c>
      <c r="F14" s="22" t="s">
        <v>2740</v>
      </c>
      <c r="G14" s="22">
        <v>58.035069699542966</v>
      </c>
      <c r="H14" s="22">
        <v>22.462711059581462</v>
      </c>
      <c r="I14" s="22">
        <v>88.036603089309395</v>
      </c>
      <c r="J14" s="22">
        <v>56.247572812568222</v>
      </c>
      <c r="K14" s="22">
        <v>56.195489165250514</v>
      </c>
      <c r="L14" s="22">
        <f>VLOOKUP($F14,'BaseIBK distritos filt'!$D$2:$BF$170,52,FALSE)</f>
        <v>11.6</v>
      </c>
      <c r="M14" s="22">
        <f>VLOOKUP($F14,'BaseIBK distritos filt'!$D$2:$BF$170,53,FALSE)</f>
        <v>868646</v>
      </c>
      <c r="N14" s="22">
        <f>VLOOKUP($F14,'BaseIBK distritos filt'!$D$2:$BF$170,54,FALSE)</f>
        <v>5</v>
      </c>
      <c r="O14" s="13">
        <f>VLOOKUP($F14,'BaseIBK distritos filt'!$D$2:$BF$170,55,FALSE)</f>
        <v>4.5999999999999996</v>
      </c>
      <c r="Q14" s="46"/>
    </row>
    <row r="15" spans="2:17" x14ac:dyDescent="0.35">
      <c r="B15" s="18">
        <v>11</v>
      </c>
      <c r="C15" s="13" t="s">
        <v>2695</v>
      </c>
      <c r="D15" s="13" t="s">
        <v>2696</v>
      </c>
      <c r="E15" s="13" t="s">
        <v>2729</v>
      </c>
      <c r="F15" s="22" t="s">
        <v>2730</v>
      </c>
      <c r="G15" s="22">
        <v>45.598500112645894</v>
      </c>
      <c r="H15" s="22">
        <v>33.817276328494188</v>
      </c>
      <c r="I15" s="22">
        <v>83.603931359752622</v>
      </c>
      <c r="J15" s="22">
        <v>51.343238732718653</v>
      </c>
      <c r="K15" s="22">
        <v>53.590736633402841</v>
      </c>
      <c r="L15" s="22">
        <f>VLOOKUP($F15,'BaseIBK distritos filt'!$D$2:$BF$170,52,FALSE)</f>
        <v>17</v>
      </c>
      <c r="M15" s="22">
        <f>VLOOKUP($F15,'BaseIBK distritos filt'!$D$2:$BF$170,53,FALSE)</f>
        <v>875991</v>
      </c>
      <c r="N15" s="22">
        <f>VLOOKUP($F15,'BaseIBK distritos filt'!$D$2:$BF$170,54,FALSE)</f>
        <v>5</v>
      </c>
      <c r="O15" s="13">
        <f>VLOOKUP($F15,'BaseIBK distritos filt'!$D$2:$BF$170,55,FALSE)</f>
        <v>1.4</v>
      </c>
      <c r="Q15" s="46"/>
    </row>
    <row r="16" spans="2:17" x14ac:dyDescent="0.35">
      <c r="B16" s="18">
        <v>12</v>
      </c>
      <c r="C16" s="13" t="s">
        <v>3407</v>
      </c>
      <c r="D16" s="13" t="s">
        <v>3587</v>
      </c>
      <c r="E16" s="13" t="s">
        <v>3588</v>
      </c>
      <c r="F16" s="22" t="s">
        <v>3589</v>
      </c>
      <c r="G16" s="22">
        <v>32.142193054450232</v>
      </c>
      <c r="H16" s="22">
        <v>57.147543830518067</v>
      </c>
      <c r="I16" s="22">
        <v>97.928445766116113</v>
      </c>
      <c r="J16" s="22">
        <v>21.663824495265079</v>
      </c>
      <c r="K16" s="22">
        <v>52.220501786587377</v>
      </c>
      <c r="L16" s="22">
        <f>VLOOKUP($F16,'BaseIBK distritos filt'!$D$2:$BF$170,52,FALSE)</f>
        <v>10.6</v>
      </c>
      <c r="M16" s="22">
        <f>VLOOKUP($F16,'BaseIBK distritos filt'!$D$2:$BF$170,53,FALSE)</f>
        <v>536477</v>
      </c>
      <c r="N16" s="22">
        <f>VLOOKUP($F16,'BaseIBK distritos filt'!$D$2:$BF$170,54,FALSE)</f>
        <v>6</v>
      </c>
      <c r="O16" s="13">
        <f>VLOOKUP($F16,'BaseIBK distritos filt'!$D$2:$BF$170,55,FALSE)</f>
        <v>2.1</v>
      </c>
      <c r="Q16" s="46"/>
    </row>
    <row r="17" spans="2:18" x14ac:dyDescent="0.35">
      <c r="B17" s="18">
        <v>13</v>
      </c>
      <c r="C17" s="13" t="s">
        <v>2695</v>
      </c>
      <c r="D17" s="13" t="s">
        <v>2696</v>
      </c>
      <c r="E17" s="13" t="s">
        <v>2715</v>
      </c>
      <c r="F17" s="22" t="s">
        <v>2716</v>
      </c>
      <c r="G17" s="22">
        <v>40.344194501738414</v>
      </c>
      <c r="H17" s="22">
        <v>26.834906560477283</v>
      </c>
      <c r="I17" s="22">
        <v>82.484410413153569</v>
      </c>
      <c r="J17" s="22">
        <v>51.028032155825045</v>
      </c>
      <c r="K17" s="22">
        <v>50.172885907798573</v>
      </c>
      <c r="L17" s="22">
        <f>VLOOKUP($F17,'BaseIBK distritos filt'!$D$2:$BF$170,52,FALSE)</f>
        <v>15</v>
      </c>
      <c r="M17" s="22">
        <f>VLOOKUP($F17,'BaseIBK distritos filt'!$D$2:$BF$170,53,FALSE)</f>
        <v>691814</v>
      </c>
      <c r="N17" s="22">
        <f>VLOOKUP($F17,'BaseIBK distritos filt'!$D$2:$BF$170,54,FALSE)</f>
        <v>2</v>
      </c>
      <c r="O17" s="13">
        <f>VLOOKUP($F17,'BaseIBK distritos filt'!$D$2:$BF$170,55,FALSE)</f>
        <v>0.3</v>
      </c>
      <c r="Q17" s="46"/>
    </row>
    <row r="18" spans="2:18" x14ac:dyDescent="0.35">
      <c r="B18" s="18">
        <v>14</v>
      </c>
      <c r="C18" s="13" t="s">
        <v>2695</v>
      </c>
      <c r="D18" s="13" t="s">
        <v>2696</v>
      </c>
      <c r="E18" s="13" t="s">
        <v>2779</v>
      </c>
      <c r="F18" s="22" t="s">
        <v>2780</v>
      </c>
      <c r="G18" s="22">
        <v>34.624248536649695</v>
      </c>
      <c r="H18" s="22">
        <v>32.988791975354196</v>
      </c>
      <c r="I18" s="22">
        <v>80.633049458461329</v>
      </c>
      <c r="J18" s="22">
        <v>41.370253872150535</v>
      </c>
      <c r="K18" s="22">
        <v>47.404085960653937</v>
      </c>
      <c r="L18" s="22">
        <f>VLOOKUP($F18,'BaseIBK distritos filt'!$D$2:$BF$170,52,FALSE)</f>
        <v>12.1</v>
      </c>
      <c r="M18" s="22">
        <f>VLOOKUP($F18,'BaseIBK distritos filt'!$D$2:$BF$170,53,FALSE)</f>
        <v>543232</v>
      </c>
      <c r="N18" s="22">
        <f>VLOOKUP($F18,'BaseIBK distritos filt'!$D$2:$BF$170,54,FALSE)</f>
        <v>2</v>
      </c>
      <c r="O18" s="13">
        <f>VLOOKUP($F18,'BaseIBK distritos filt'!$D$2:$BF$170,55,FALSE)</f>
        <v>0.3</v>
      </c>
      <c r="Q18" s="46"/>
    </row>
    <row r="19" spans="2:18" x14ac:dyDescent="0.35">
      <c r="B19" s="18">
        <v>15</v>
      </c>
      <c r="C19" s="13" t="s">
        <v>757</v>
      </c>
      <c r="D19" s="13" t="s">
        <v>757</v>
      </c>
      <c r="E19" s="13" t="s">
        <v>757</v>
      </c>
      <c r="F19" s="22" t="s">
        <v>758</v>
      </c>
      <c r="G19" s="22">
        <v>33.230030165852739</v>
      </c>
      <c r="H19" s="22">
        <v>28.549189737040848</v>
      </c>
      <c r="I19" s="22">
        <v>93.911627271110888</v>
      </c>
      <c r="J19" s="22">
        <v>31.388640954969265</v>
      </c>
      <c r="K19" s="22">
        <v>46.769872032243441</v>
      </c>
      <c r="L19" s="22">
        <f>VLOOKUP($F19,'BaseIBK distritos filt'!$D$2:$BF$170,52,FALSE)</f>
        <v>11</v>
      </c>
      <c r="M19" s="22">
        <f>VLOOKUP($F19,'BaseIBK distritos filt'!$D$2:$BF$170,53,FALSE)</f>
        <v>566439</v>
      </c>
      <c r="N19" s="22">
        <f>VLOOKUP($F19,'BaseIBK distritos filt'!$D$2:$BF$170,54,FALSE)</f>
        <v>6</v>
      </c>
      <c r="O19" s="13">
        <f>VLOOKUP($F19,'BaseIBK distritos filt'!$D$2:$BF$170,55,FALSE)</f>
        <v>6.3</v>
      </c>
      <c r="Q19" s="46"/>
    </row>
    <row r="20" spans="2:18" x14ac:dyDescent="0.35">
      <c r="B20" s="18">
        <v>16</v>
      </c>
      <c r="C20" s="13" t="s">
        <v>3278</v>
      </c>
      <c r="D20" s="13" t="s">
        <v>3278</v>
      </c>
      <c r="E20" s="13" t="s">
        <v>3278</v>
      </c>
      <c r="F20" s="22" t="s">
        <v>3279</v>
      </c>
      <c r="G20" s="22">
        <v>28.279257908282624</v>
      </c>
      <c r="H20" s="22">
        <v>26.608874488673536</v>
      </c>
      <c r="I20" s="22">
        <v>82.856881450041726</v>
      </c>
      <c r="J20" s="22">
        <v>46.605636562018482</v>
      </c>
      <c r="K20" s="22">
        <v>46.087662602254092</v>
      </c>
      <c r="L20" s="22">
        <f>VLOOKUP($F20,'BaseIBK distritos filt'!$D$2:$BF$170,52,FALSE)</f>
        <v>8.5</v>
      </c>
      <c r="M20" s="22">
        <f>VLOOKUP($F20,'BaseIBK distritos filt'!$D$2:$BF$170,53,FALSE)</f>
        <v>423541</v>
      </c>
      <c r="N20" s="22">
        <f>VLOOKUP($F20,'BaseIBK distritos filt'!$D$2:$BF$170,54,FALSE)</f>
        <v>2</v>
      </c>
      <c r="O20" s="13">
        <f>VLOOKUP($F20,'BaseIBK distritos filt'!$D$2:$BF$170,55,FALSE)</f>
        <v>0.9</v>
      </c>
      <c r="Q20" s="46"/>
    </row>
    <row r="21" spans="2:18" x14ac:dyDescent="0.35">
      <c r="B21" s="18">
        <v>17</v>
      </c>
      <c r="C21" s="13" t="s">
        <v>2695</v>
      </c>
      <c r="D21" s="13" t="s">
        <v>2696</v>
      </c>
      <c r="E21" s="13" t="s">
        <v>2755</v>
      </c>
      <c r="F21" s="22" t="s">
        <v>2756</v>
      </c>
      <c r="G21" s="22">
        <v>36.632597634004497</v>
      </c>
      <c r="H21" s="22">
        <v>9.0126646747004671</v>
      </c>
      <c r="I21" s="22">
        <v>84.766664047158073</v>
      </c>
      <c r="J21" s="22">
        <v>51.242331596041815</v>
      </c>
      <c r="K21" s="22">
        <v>45.413564487976217</v>
      </c>
      <c r="L21" s="22">
        <f>VLOOKUP($F21,'BaseIBK distritos filt'!$D$2:$BF$170,52,FALSE)</f>
        <v>8.6</v>
      </c>
      <c r="M21" s="22">
        <f>VLOOKUP($F21,'BaseIBK distritos filt'!$D$2:$BF$170,53,FALSE)</f>
        <v>540095</v>
      </c>
      <c r="N21" s="22">
        <f>VLOOKUP($F21,'BaseIBK distritos filt'!$D$2:$BF$170,54,FALSE)</f>
        <v>6</v>
      </c>
      <c r="O21" s="13">
        <f>VLOOKUP($F21,'BaseIBK distritos filt'!$D$2:$BF$170,55,FALSE)</f>
        <v>1.8</v>
      </c>
      <c r="Q21" s="46"/>
    </row>
    <row r="22" spans="2:18" x14ac:dyDescent="0.35">
      <c r="B22" s="18">
        <v>18</v>
      </c>
      <c r="C22" s="13" t="s">
        <v>2111</v>
      </c>
      <c r="D22" s="13" t="s">
        <v>2111</v>
      </c>
      <c r="E22" s="13" t="s">
        <v>2111</v>
      </c>
      <c r="F22" s="22" t="s">
        <v>2112</v>
      </c>
      <c r="G22" s="22">
        <v>24.117822408292593</v>
      </c>
      <c r="H22" s="22">
        <v>24.301786130684849</v>
      </c>
      <c r="I22" s="22">
        <v>93.561116685180025</v>
      </c>
      <c r="J22" s="22">
        <v>37.044642956531085</v>
      </c>
      <c r="K22" s="22">
        <v>44.75634204517214</v>
      </c>
      <c r="L22" s="22">
        <f>VLOOKUP($F22,'BaseIBK distritos filt'!$D$2:$BF$170,52,FALSE)</f>
        <v>7</v>
      </c>
      <c r="M22" s="22">
        <f>VLOOKUP($F22,'BaseIBK distritos filt'!$D$2:$BF$170,53,FALSE)</f>
        <v>325334</v>
      </c>
      <c r="N22" s="22">
        <f>VLOOKUP($F22,'BaseIBK distritos filt'!$D$2:$BF$170,54,FALSE)</f>
        <v>2</v>
      </c>
      <c r="O22" s="13">
        <f>VLOOKUP($F22,'BaseIBK distritos filt'!$D$2:$BF$170,55,FALSE)</f>
        <v>2</v>
      </c>
      <c r="Q22" s="46"/>
    </row>
    <row r="23" spans="2:18" x14ac:dyDescent="0.35">
      <c r="B23" s="18">
        <v>19</v>
      </c>
      <c r="C23" s="13" t="s">
        <v>1482</v>
      </c>
      <c r="D23" s="13" t="s">
        <v>1482</v>
      </c>
      <c r="E23" s="13" t="s">
        <v>1482</v>
      </c>
      <c r="F23" s="22" t="s">
        <v>1483</v>
      </c>
      <c r="G23" s="22">
        <v>40.002806355065673</v>
      </c>
      <c r="H23" s="22">
        <v>15.31406127243006</v>
      </c>
      <c r="I23" s="22">
        <v>83.551864924331795</v>
      </c>
      <c r="J23" s="22">
        <v>39.599843382335962</v>
      </c>
      <c r="K23" s="22">
        <v>44.617143983540871</v>
      </c>
      <c r="L23" s="22">
        <f>VLOOKUP($F23,'BaseIBK distritos filt'!$D$2:$BF$170,52,FALSE)</f>
        <v>13.1</v>
      </c>
      <c r="M23" s="22">
        <f>VLOOKUP($F23,'BaseIBK distritos filt'!$D$2:$BF$170,53,FALSE)</f>
        <v>673710</v>
      </c>
      <c r="N23" s="22">
        <f>VLOOKUP($F23,'BaseIBK distritos filt'!$D$2:$BF$170,54,FALSE)</f>
        <v>3</v>
      </c>
      <c r="O23" s="13">
        <f>VLOOKUP($F23,'BaseIBK distritos filt'!$D$2:$BF$170,55,FALSE)</f>
        <v>0.6</v>
      </c>
      <c r="Q23" s="46"/>
    </row>
    <row r="24" spans="2:18" x14ac:dyDescent="0.35">
      <c r="B24" s="18">
        <v>20</v>
      </c>
      <c r="C24" s="13" t="s">
        <v>2695</v>
      </c>
      <c r="D24" s="13" t="s">
        <v>2696</v>
      </c>
      <c r="E24" s="13" t="s">
        <v>2745</v>
      </c>
      <c r="F24" s="22" t="s">
        <v>2746</v>
      </c>
      <c r="G24" s="22">
        <v>33.38046094040584</v>
      </c>
      <c r="H24" s="22">
        <v>24.673539117094649</v>
      </c>
      <c r="I24" s="22">
        <v>86.184641377830715</v>
      </c>
      <c r="J24" s="22">
        <v>31.280655991537248</v>
      </c>
      <c r="K24" s="22">
        <v>43.879824356717116</v>
      </c>
      <c r="L24" s="22">
        <f>VLOOKUP($F24,'BaseIBK distritos filt'!$D$2:$BF$170,52,FALSE)</f>
        <v>9.6</v>
      </c>
      <c r="M24" s="22">
        <f>VLOOKUP($F24,'BaseIBK distritos filt'!$D$2:$BF$170,53,FALSE)</f>
        <v>444111</v>
      </c>
      <c r="N24" s="22">
        <f>VLOOKUP($F24,'BaseIBK distritos filt'!$D$2:$BF$170,54,FALSE)</f>
        <v>1</v>
      </c>
      <c r="O24" s="13">
        <f>VLOOKUP($F24,'BaseIBK distritos filt'!$D$2:$BF$170,55,FALSE)</f>
        <v>0.8</v>
      </c>
      <c r="Q24" s="46"/>
    </row>
    <row r="25" spans="2:18" x14ac:dyDescent="0.35">
      <c r="B25" s="18">
        <v>21</v>
      </c>
      <c r="C25" s="13" t="s">
        <v>2695</v>
      </c>
      <c r="D25" s="13" t="s">
        <v>2696</v>
      </c>
      <c r="E25" s="13" t="s">
        <v>2711</v>
      </c>
      <c r="F25" s="22" t="s">
        <v>2712</v>
      </c>
      <c r="G25" s="22">
        <v>35.211354807706655</v>
      </c>
      <c r="H25" s="22">
        <v>17.749302519836466</v>
      </c>
      <c r="I25" s="22">
        <v>78.390024463693209</v>
      </c>
      <c r="J25" s="22">
        <v>43.355967725133333</v>
      </c>
      <c r="K25" s="22">
        <v>43.676662379092413</v>
      </c>
      <c r="L25" s="22">
        <f>VLOOKUP($F25,'BaseIBK distritos filt'!$D$2:$BF$170,52,FALSE)</f>
        <v>11</v>
      </c>
      <c r="M25" s="22">
        <f>VLOOKUP($F25,'BaseIBK distritos filt'!$D$2:$BF$170,53,FALSE)</f>
        <v>572439</v>
      </c>
      <c r="N25" s="22">
        <f>VLOOKUP($F25,'BaseIBK distritos filt'!$D$2:$BF$170,54,FALSE)</f>
        <v>3</v>
      </c>
      <c r="O25" s="13">
        <f>VLOOKUP($F25,'BaseIBK distritos filt'!$D$2:$BF$170,55,FALSE)</f>
        <v>0.5</v>
      </c>
      <c r="Q25" s="46"/>
    </row>
    <row r="26" spans="2:18" x14ac:dyDescent="0.35">
      <c r="B26" s="18">
        <v>22</v>
      </c>
      <c r="C26" s="13" t="s">
        <v>1231</v>
      </c>
      <c r="D26" s="13" t="s">
        <v>1231</v>
      </c>
      <c r="E26" s="13" t="s">
        <v>1231</v>
      </c>
      <c r="F26" s="22" t="s">
        <v>1232</v>
      </c>
      <c r="G26" s="22">
        <v>30.592958586539311</v>
      </c>
      <c r="H26" s="22">
        <v>28.458625944064952</v>
      </c>
      <c r="I26" s="22">
        <v>83.869923483358377</v>
      </c>
      <c r="J26" s="22">
        <v>28.562657223544452</v>
      </c>
      <c r="K26" s="22">
        <v>42.871041309376771</v>
      </c>
      <c r="L26" s="22">
        <f>VLOOKUP($F26,'BaseIBK distritos filt'!$D$2:$BF$170,52,FALSE)</f>
        <v>9.6999999999999993</v>
      </c>
      <c r="M26" s="22">
        <f>VLOOKUP($F26,'BaseIBK distritos filt'!$D$2:$BF$170,53,FALSE)</f>
        <v>495574</v>
      </c>
      <c r="N26" s="22">
        <f>VLOOKUP($F26,'BaseIBK distritos filt'!$D$2:$BF$170,54,FALSE)</f>
        <v>3</v>
      </c>
      <c r="O26" s="13">
        <f>VLOOKUP($F26,'BaseIBK distritos filt'!$D$2:$BF$170,55,FALSE)</f>
        <v>1.5</v>
      </c>
      <c r="Q26" s="46"/>
    </row>
    <row r="27" spans="2:18" x14ac:dyDescent="0.35">
      <c r="B27" s="18">
        <v>23</v>
      </c>
      <c r="C27" s="13" t="s">
        <v>2695</v>
      </c>
      <c r="D27" s="13" t="s">
        <v>2696</v>
      </c>
      <c r="E27" s="13" t="s">
        <v>2769</v>
      </c>
      <c r="F27" s="22" t="s">
        <v>2770</v>
      </c>
      <c r="G27" s="22">
        <v>35.624595131995903</v>
      </c>
      <c r="H27" s="22">
        <v>16.865691857297179</v>
      </c>
      <c r="I27" s="22">
        <v>91.239625543880308</v>
      </c>
      <c r="J27" s="22">
        <v>27.312691116822457</v>
      </c>
      <c r="K27" s="22">
        <v>42.76065091249896</v>
      </c>
      <c r="L27" s="22">
        <f>VLOOKUP($F27,'BaseIBK distritos filt'!$D$2:$BF$170,52,FALSE)</f>
        <v>10.4</v>
      </c>
      <c r="M27" s="22">
        <f>VLOOKUP($F27,'BaseIBK distritos filt'!$D$2:$BF$170,53,FALSE)</f>
        <v>543625</v>
      </c>
      <c r="N27" s="22">
        <f>VLOOKUP($F27,'BaseIBK distritos filt'!$D$2:$BF$170,54,FALSE)</f>
        <v>5</v>
      </c>
      <c r="O27" s="13">
        <f>VLOOKUP($F27,'BaseIBK distritos filt'!$D$2:$BF$170,55,FALSE)</f>
        <v>1.5</v>
      </c>
      <c r="Q27" s="46"/>
    </row>
    <row r="28" spans="2:18" x14ac:dyDescent="0.35">
      <c r="B28" s="18">
        <v>24</v>
      </c>
      <c r="C28" s="13" t="s">
        <v>2695</v>
      </c>
      <c r="D28" s="13" t="s">
        <v>2696</v>
      </c>
      <c r="E28" s="13" t="s">
        <v>2761</v>
      </c>
      <c r="F28" s="22" t="s">
        <v>2762</v>
      </c>
      <c r="G28" s="22">
        <v>29.084161502440963</v>
      </c>
      <c r="H28" s="22">
        <v>22.234408625161844</v>
      </c>
      <c r="I28" s="22">
        <v>79.168879144432736</v>
      </c>
      <c r="J28" s="22">
        <v>39.301898133335477</v>
      </c>
      <c r="K28" s="22">
        <v>42.447336851342754</v>
      </c>
      <c r="L28" s="22">
        <f>VLOOKUP($F28,'BaseIBK distritos filt'!$D$2:$BF$170,52,FALSE)</f>
        <v>12.8</v>
      </c>
      <c r="M28" s="22">
        <f>VLOOKUP($F28,'BaseIBK distritos filt'!$D$2:$BF$170,53,FALSE)</f>
        <v>581205</v>
      </c>
      <c r="N28" s="22">
        <f>VLOOKUP($F28,'BaseIBK distritos filt'!$D$2:$BF$170,54,FALSE)</f>
        <v>3</v>
      </c>
      <c r="O28" s="13">
        <f>VLOOKUP($F28,'BaseIBK distritos filt'!$D$2:$BF$170,55,FALSE)</f>
        <v>1.3</v>
      </c>
      <c r="Q28" s="46"/>
    </row>
    <row r="29" spans="2:18" x14ac:dyDescent="0.35">
      <c r="B29" s="18">
        <v>25</v>
      </c>
      <c r="C29" s="13" t="s">
        <v>1496</v>
      </c>
      <c r="D29" s="13" t="s">
        <v>1496</v>
      </c>
      <c r="E29" s="13" t="s">
        <v>1496</v>
      </c>
      <c r="F29" s="22" t="s">
        <v>1497</v>
      </c>
      <c r="G29" s="22">
        <v>22.285320623417988</v>
      </c>
      <c r="H29" s="22">
        <v>16.689718836459129</v>
      </c>
      <c r="I29" s="22">
        <v>94.997623118509381</v>
      </c>
      <c r="J29" s="22">
        <v>32.999747308681457</v>
      </c>
      <c r="K29" s="22">
        <v>41.743102471766989</v>
      </c>
      <c r="L29" s="22">
        <f>VLOOKUP($F29,'BaseIBK distritos filt'!$D$2:$BF$170,52,FALSE)</f>
        <v>7.5</v>
      </c>
      <c r="M29" s="22">
        <f>VLOOKUP($F29,'BaseIBK distritos filt'!$D$2:$BF$170,53,FALSE)</f>
        <v>348136</v>
      </c>
      <c r="N29" s="22">
        <f>VLOOKUP($F29,'BaseIBK distritos filt'!$D$2:$BF$170,54,FALSE)</f>
        <v>4</v>
      </c>
      <c r="O29" s="13">
        <f>VLOOKUP($F29,'BaseIBK distritos filt'!$D$2:$BF$170,55,FALSE)</f>
        <v>3.3</v>
      </c>
      <c r="Q29" s="46"/>
    </row>
    <row r="30" spans="2:18" x14ac:dyDescent="0.35">
      <c r="B30" s="18">
        <v>26</v>
      </c>
      <c r="C30" s="13" t="s">
        <v>2199</v>
      </c>
      <c r="D30" s="13" t="s">
        <v>2200</v>
      </c>
      <c r="E30" s="13" t="s">
        <v>2200</v>
      </c>
      <c r="F30" s="22" t="s">
        <v>2201</v>
      </c>
      <c r="G30" s="22">
        <v>21.799061706873317</v>
      </c>
      <c r="H30" s="22">
        <v>27.474581550140069</v>
      </c>
      <c r="I30" s="22">
        <v>82.976534568708573</v>
      </c>
      <c r="J30" s="22">
        <v>31.708695431746641</v>
      </c>
      <c r="K30" s="22">
        <v>40.989718314367146</v>
      </c>
      <c r="L30" s="22">
        <f>VLOOKUP($F30,'BaseIBK distritos filt'!$D$2:$BF$170,52,FALSE)</f>
        <v>8.3000000000000007</v>
      </c>
      <c r="M30" s="22">
        <f>VLOOKUP($F30,'BaseIBK distritos filt'!$D$2:$BF$170,53,FALSE)</f>
        <v>373777</v>
      </c>
      <c r="N30" s="22">
        <f>VLOOKUP($F30,'BaseIBK distritos filt'!$D$2:$BF$170,54,FALSE)</f>
        <v>2</v>
      </c>
      <c r="O30" s="13">
        <f>VLOOKUP($F30,'BaseIBK distritos filt'!$D$2:$BF$170,55,FALSE)</f>
        <v>3.1</v>
      </c>
    </row>
    <row r="31" spans="2:18" x14ac:dyDescent="0.35">
      <c r="B31" s="18">
        <v>27</v>
      </c>
      <c r="C31" s="13" t="s">
        <v>250</v>
      </c>
      <c r="D31" s="13" t="s">
        <v>530</v>
      </c>
      <c r="E31" s="13" t="s">
        <v>531</v>
      </c>
      <c r="F31" s="22" t="s">
        <v>532</v>
      </c>
      <c r="G31" s="22">
        <v>21.419519770159859</v>
      </c>
      <c r="H31" s="22">
        <v>21.815284485446565</v>
      </c>
      <c r="I31" s="22">
        <v>92.032874316857502</v>
      </c>
      <c r="J31" s="22">
        <v>28.335805890145426</v>
      </c>
      <c r="K31" s="22">
        <v>40.900871115652336</v>
      </c>
      <c r="L31" s="22">
        <f>VLOOKUP($F31,'BaseIBK distritos filt'!$D$2:$BF$170,52,FALSE)</f>
        <v>6.9</v>
      </c>
      <c r="M31" s="22">
        <f>VLOOKUP($F31,'BaseIBK distritos filt'!$D$2:$BF$170,53,FALSE)</f>
        <v>329218</v>
      </c>
      <c r="N31" s="22">
        <f>VLOOKUP($F31,'BaseIBK distritos filt'!$D$2:$BF$170,54,FALSE)</f>
        <v>1</v>
      </c>
      <c r="O31" s="13">
        <f>VLOOKUP($F31,'BaseIBK distritos filt'!$D$2:$BF$170,55,FALSE)</f>
        <v>0.8</v>
      </c>
    </row>
    <row r="32" spans="2:18" x14ac:dyDescent="0.35">
      <c r="B32" s="18">
        <v>28</v>
      </c>
      <c r="C32" s="13" t="s">
        <v>3632</v>
      </c>
      <c r="D32" s="13" t="s">
        <v>3662</v>
      </c>
      <c r="E32" s="13" t="s">
        <v>3749</v>
      </c>
      <c r="F32" s="22" t="s">
        <v>3750</v>
      </c>
      <c r="G32" s="22">
        <v>28.578259912517463</v>
      </c>
      <c r="H32" s="22">
        <v>25.264880508174141</v>
      </c>
      <c r="I32" s="22">
        <v>85.74693318731974</v>
      </c>
      <c r="J32" s="22">
        <v>21.953004938678045</v>
      </c>
      <c r="K32" s="22">
        <v>40.38576963667235</v>
      </c>
      <c r="L32" s="22">
        <f>VLOOKUP($F32,'BaseIBK distritos filt'!$D$2:$BF$170,52,FALSE)</f>
        <v>6</v>
      </c>
      <c r="M32" s="22">
        <f>VLOOKUP($F32,'BaseIBK distritos filt'!$D$2:$BF$170,53,FALSE)</f>
        <v>318465</v>
      </c>
      <c r="N32" s="22">
        <f>VLOOKUP($F32,'BaseIBK distritos filt'!$D$2:$BF$170,54,FALSE)</f>
        <v>2</v>
      </c>
      <c r="O32" s="13">
        <f>VLOOKUP($F32,'BaseIBK distritos filt'!$D$2:$BF$170,55,FALSE)</f>
        <v>1.2</v>
      </c>
      <c r="Q32" s="47"/>
      <c r="R32" s="45"/>
    </row>
    <row r="33" spans="2:15" x14ac:dyDescent="0.35">
      <c r="B33" s="18">
        <v>29</v>
      </c>
      <c r="C33" s="13" t="s">
        <v>2695</v>
      </c>
      <c r="D33" s="13" t="s">
        <v>2696</v>
      </c>
      <c r="E33" s="13" t="s">
        <v>2781</v>
      </c>
      <c r="F33" s="22" t="s">
        <v>2782</v>
      </c>
      <c r="G33" s="22">
        <v>24.184410502382629</v>
      </c>
      <c r="H33" s="22">
        <v>19.828780254274644</v>
      </c>
      <c r="I33" s="22">
        <v>86.378595829827901</v>
      </c>
      <c r="J33" s="22">
        <v>30.239024061048948</v>
      </c>
      <c r="K33" s="22">
        <v>40.157702661883533</v>
      </c>
      <c r="L33" s="22">
        <f>VLOOKUP($F33,'BaseIBK distritos filt'!$D$2:$BF$170,52,FALSE)</f>
        <v>11.3</v>
      </c>
      <c r="M33" s="22">
        <f>VLOOKUP($F33,'BaseIBK distritos filt'!$D$2:$BF$170,53,FALSE)</f>
        <v>493038</v>
      </c>
      <c r="N33" s="22">
        <f>VLOOKUP($F33,'BaseIBK distritos filt'!$D$2:$BF$170,54,FALSE)</f>
        <v>1</v>
      </c>
      <c r="O33" s="13">
        <f>VLOOKUP($F33,'BaseIBK distritos filt'!$D$2:$BF$170,55,FALSE)</f>
        <v>0.2</v>
      </c>
    </row>
    <row r="34" spans="2:15" x14ac:dyDescent="0.35">
      <c r="B34" s="18">
        <v>30</v>
      </c>
      <c r="C34" s="13" t="s">
        <v>757</v>
      </c>
      <c r="D34" s="13" t="s">
        <v>757</v>
      </c>
      <c r="E34" s="13" t="s">
        <v>763</v>
      </c>
      <c r="F34" s="22" t="s">
        <v>764</v>
      </c>
      <c r="G34" s="22">
        <v>25.357138695772953</v>
      </c>
      <c r="H34" s="22">
        <v>20.633058193465409</v>
      </c>
      <c r="I34" s="22">
        <v>96.738827403881928</v>
      </c>
      <c r="J34" s="22">
        <v>15.583573576220221</v>
      </c>
      <c r="K34" s="22">
        <v>39.57814946733513</v>
      </c>
      <c r="L34" s="22">
        <f>VLOOKUP($F34,'BaseIBK distritos filt'!$D$2:$BF$170,52,FALSE)</f>
        <v>6.5</v>
      </c>
      <c r="M34" s="22">
        <f>VLOOKUP($F34,'BaseIBK distritos filt'!$D$2:$BF$170,53,FALSE)</f>
        <v>316064</v>
      </c>
      <c r="N34" s="22">
        <f>VLOOKUP($F34,'BaseIBK distritos filt'!$D$2:$BF$170,54,FALSE)</f>
        <v>0</v>
      </c>
      <c r="O34" s="13">
        <f>VLOOKUP($F34,'BaseIBK distritos filt'!$D$2:$BF$170,55,FALSE)</f>
        <v>0</v>
      </c>
    </row>
    <row r="35" spans="2:15" x14ac:dyDescent="0.35">
      <c r="B35" s="18">
        <v>31</v>
      </c>
      <c r="C35" s="13" t="s">
        <v>2695</v>
      </c>
      <c r="D35" s="13" t="s">
        <v>2696</v>
      </c>
      <c r="E35" s="13" t="s">
        <v>2723</v>
      </c>
      <c r="F35" s="22" t="s">
        <v>2724</v>
      </c>
      <c r="G35" s="22">
        <v>34.21892562900922</v>
      </c>
      <c r="H35" s="22">
        <v>7.5164338799981749</v>
      </c>
      <c r="I35" s="22">
        <v>84.492827527680817</v>
      </c>
      <c r="J35" s="22">
        <v>31.552472572615471</v>
      </c>
      <c r="K35" s="22">
        <v>39.445164902325921</v>
      </c>
      <c r="L35" s="22">
        <f>VLOOKUP($F35,'BaseIBK distritos filt'!$D$2:$BF$170,52,FALSE)</f>
        <v>8</v>
      </c>
      <c r="M35" s="22">
        <f>VLOOKUP($F35,'BaseIBK distritos filt'!$D$2:$BF$170,53,FALSE)</f>
        <v>481984</v>
      </c>
      <c r="N35" s="22">
        <f>VLOOKUP($F35,'BaseIBK distritos filt'!$D$2:$BF$170,54,FALSE)</f>
        <v>2</v>
      </c>
      <c r="O35" s="13">
        <f>VLOOKUP($F35,'BaseIBK distritos filt'!$D$2:$BF$170,55,FALSE)</f>
        <v>0.5</v>
      </c>
    </row>
    <row r="36" spans="2:15" x14ac:dyDescent="0.35">
      <c r="B36" s="18">
        <v>32</v>
      </c>
      <c r="C36" s="13" t="s">
        <v>2695</v>
      </c>
      <c r="D36" s="13" t="s">
        <v>2696</v>
      </c>
      <c r="E36" s="13" t="s">
        <v>2721</v>
      </c>
      <c r="F36" s="22" t="s">
        <v>2722</v>
      </c>
      <c r="G36" s="22">
        <v>29.889478364484091</v>
      </c>
      <c r="H36" s="22">
        <v>6.1749096140835871</v>
      </c>
      <c r="I36" s="22">
        <v>83.531894438156556</v>
      </c>
      <c r="J36" s="22">
        <v>34.78752205159747</v>
      </c>
      <c r="K36" s="22">
        <v>38.595951117080425</v>
      </c>
      <c r="L36" s="22">
        <f>VLOOKUP($F36,'BaseIBK distritos filt'!$D$2:$BF$170,52,FALSE)</f>
        <v>6.5</v>
      </c>
      <c r="M36" s="22">
        <f>VLOOKUP($F36,'BaseIBK distritos filt'!$D$2:$BF$170,53,FALSE)</f>
        <v>369182</v>
      </c>
      <c r="N36" s="22">
        <f>VLOOKUP($F36,'BaseIBK distritos filt'!$D$2:$BF$170,54,FALSE)</f>
        <v>5</v>
      </c>
      <c r="O36" s="13">
        <f>VLOOKUP($F36,'BaseIBK distritos filt'!$D$2:$BF$170,55,FALSE)</f>
        <v>3.1</v>
      </c>
    </row>
    <row r="37" spans="2:15" x14ac:dyDescent="0.35">
      <c r="B37" s="18">
        <v>33</v>
      </c>
      <c r="C37" s="13" t="s">
        <v>3789</v>
      </c>
      <c r="D37" s="13" t="s">
        <v>3789</v>
      </c>
      <c r="E37" s="13" t="s">
        <v>3789</v>
      </c>
      <c r="F37" s="22" t="s">
        <v>3790</v>
      </c>
      <c r="G37" s="22">
        <v>23.290445953784939</v>
      </c>
      <c r="H37" s="22">
        <v>16.977853978110719</v>
      </c>
      <c r="I37" s="22">
        <v>90.509315723049454</v>
      </c>
      <c r="J37" s="22">
        <v>22.130433499511152</v>
      </c>
      <c r="K37" s="22">
        <v>38.22701228861407</v>
      </c>
      <c r="L37" s="22">
        <f>VLOOKUP($F37,'BaseIBK distritos filt'!$D$2:$BF$170,52,FALSE)</f>
        <v>6.8</v>
      </c>
      <c r="M37" s="22">
        <f>VLOOKUP($F37,'BaseIBK distritos filt'!$D$2:$BF$170,53,FALSE)</f>
        <v>304586</v>
      </c>
      <c r="N37" s="22">
        <f>VLOOKUP($F37,'BaseIBK distritos filt'!$D$2:$BF$170,54,FALSE)</f>
        <v>4</v>
      </c>
      <c r="O37" s="13">
        <f>VLOOKUP($F37,'BaseIBK distritos filt'!$D$2:$BF$170,55,FALSE)</f>
        <v>1.8</v>
      </c>
    </row>
    <row r="38" spans="2:15" x14ac:dyDescent="0.35">
      <c r="B38" s="18">
        <v>34</v>
      </c>
      <c r="C38" s="13" t="s">
        <v>2695</v>
      </c>
      <c r="D38" s="13" t="s">
        <v>2696</v>
      </c>
      <c r="E38" s="13" t="s">
        <v>2767</v>
      </c>
      <c r="F38" s="22" t="s">
        <v>2768</v>
      </c>
      <c r="G38" s="22">
        <v>38.400379549158629</v>
      </c>
      <c r="H38" s="22">
        <v>6.7552658569719943</v>
      </c>
      <c r="I38" s="22">
        <v>78.002329888854732</v>
      </c>
      <c r="J38" s="22">
        <v>29.381605415475853</v>
      </c>
      <c r="K38" s="22">
        <v>38.134895177615306</v>
      </c>
      <c r="L38" s="22">
        <f>VLOOKUP($F38,'BaseIBK distritos filt'!$D$2:$BF$170,52,FALSE)</f>
        <v>6.8</v>
      </c>
      <c r="M38" s="22">
        <f>VLOOKUP($F38,'BaseIBK distritos filt'!$D$2:$BF$170,53,FALSE)</f>
        <v>414726</v>
      </c>
      <c r="N38" s="22">
        <f>VLOOKUP($F38,'BaseIBK distritos filt'!$D$2:$BF$170,54,FALSE)</f>
        <v>3</v>
      </c>
      <c r="O38" s="13">
        <f>VLOOKUP($F38,'BaseIBK distritos filt'!$D$2:$BF$170,55,FALSE)</f>
        <v>0.4</v>
      </c>
    </row>
    <row r="39" spans="2:15" x14ac:dyDescent="0.35">
      <c r="B39" s="18">
        <v>35</v>
      </c>
      <c r="C39" s="13" t="s">
        <v>2695</v>
      </c>
      <c r="D39" s="13" t="s">
        <v>2696</v>
      </c>
      <c r="E39" s="13" t="s">
        <v>2719</v>
      </c>
      <c r="F39" s="22" t="s">
        <v>2720</v>
      </c>
      <c r="G39" s="22">
        <v>25.962014435640423</v>
      </c>
      <c r="H39" s="22">
        <v>10.960259419061313</v>
      </c>
      <c r="I39" s="22">
        <v>83.110389315058725</v>
      </c>
      <c r="J39" s="22">
        <v>31.796696024026588</v>
      </c>
      <c r="K39" s="22">
        <v>37.957339798446768</v>
      </c>
      <c r="L39" s="22">
        <f>VLOOKUP($F39,'BaseIBK distritos filt'!$D$2:$BF$170,52,FALSE)</f>
        <v>6.3</v>
      </c>
      <c r="M39" s="22">
        <f>VLOOKUP($F39,'BaseIBK distritos filt'!$D$2:$BF$170,53,FALSE)</f>
        <v>298781</v>
      </c>
      <c r="N39" s="22">
        <f>VLOOKUP($F39,'BaseIBK distritos filt'!$D$2:$BF$170,54,FALSE)</f>
        <v>1</v>
      </c>
      <c r="O39" s="13">
        <f>VLOOKUP($F39,'BaseIBK distritos filt'!$D$2:$BF$170,55,FALSE)</f>
        <v>0.2</v>
      </c>
    </row>
    <row r="40" spans="2:15" x14ac:dyDescent="0.35">
      <c r="B40" s="18">
        <v>36</v>
      </c>
      <c r="C40" s="13" t="s">
        <v>3118</v>
      </c>
      <c r="D40" s="13" t="s">
        <v>3873</v>
      </c>
      <c r="E40" s="13" t="s">
        <v>3874</v>
      </c>
      <c r="F40" s="22" t="s">
        <v>3875</v>
      </c>
      <c r="G40" s="22">
        <v>26.54760454771548</v>
      </c>
      <c r="H40" s="22">
        <v>22.771144228608335</v>
      </c>
      <c r="I40" s="22">
        <v>87.217194387372572</v>
      </c>
      <c r="J40" s="22">
        <v>15.287183533891499</v>
      </c>
      <c r="K40" s="22">
        <v>37.955781674396974</v>
      </c>
      <c r="L40" s="22">
        <f>VLOOKUP($F40,'BaseIBK distritos filt'!$D$2:$BF$170,52,FALSE)</f>
        <v>4.9000000000000004</v>
      </c>
      <c r="M40" s="22">
        <f>VLOOKUP($F40,'BaseIBK distritos filt'!$D$2:$BF$170,53,FALSE)</f>
        <v>255448</v>
      </c>
      <c r="N40" s="22">
        <f>VLOOKUP($F40,'BaseIBK distritos filt'!$D$2:$BF$170,54,FALSE)</f>
        <v>1</v>
      </c>
      <c r="O40" s="13">
        <f>VLOOKUP($F40,'BaseIBK distritos filt'!$D$2:$BF$170,55,FALSE)</f>
        <v>0.5</v>
      </c>
    </row>
    <row r="41" spans="2:15" x14ac:dyDescent="0.35">
      <c r="B41" s="18">
        <v>37</v>
      </c>
      <c r="C41" s="13" t="s">
        <v>3152</v>
      </c>
      <c r="D41" s="13" t="s">
        <v>3153</v>
      </c>
      <c r="E41" s="13" t="s">
        <v>3153</v>
      </c>
      <c r="F41" s="22" t="s">
        <v>3154</v>
      </c>
      <c r="G41" s="22">
        <v>21.454129623647756</v>
      </c>
      <c r="H41" s="22">
        <v>19.176926204911805</v>
      </c>
      <c r="I41" s="22">
        <v>97.771993033508792</v>
      </c>
      <c r="J41" s="22">
        <v>8.9102438724064008</v>
      </c>
      <c r="K41" s="22">
        <v>36.828323183618686</v>
      </c>
      <c r="L41" s="22">
        <f>VLOOKUP($F41,'BaseIBK distritos filt'!$D$2:$BF$170,52,FALSE)</f>
        <v>4.2</v>
      </c>
      <c r="M41" s="22">
        <f>VLOOKUP($F41,'BaseIBK distritos filt'!$D$2:$BF$170,53,FALSE)</f>
        <v>205944</v>
      </c>
      <c r="N41" s="22">
        <f>VLOOKUP($F41,'BaseIBK distritos filt'!$D$2:$BF$170,54,FALSE)</f>
        <v>1</v>
      </c>
      <c r="O41" s="13">
        <f>VLOOKUP($F41,'BaseIBK distritos filt'!$D$2:$BF$170,55,FALSE)</f>
        <v>0.9</v>
      </c>
    </row>
    <row r="42" spans="2:15" x14ac:dyDescent="0.35">
      <c r="B42" s="18">
        <v>38</v>
      </c>
      <c r="C42" s="13" t="s">
        <v>1496</v>
      </c>
      <c r="D42" s="13" t="s">
        <v>1496</v>
      </c>
      <c r="E42" s="13" t="s">
        <v>1510</v>
      </c>
      <c r="F42" s="22" t="s">
        <v>1511</v>
      </c>
      <c r="G42" s="22">
        <v>23.939068623013672</v>
      </c>
      <c r="H42" s="22">
        <v>13.544611849205653</v>
      </c>
      <c r="I42" s="22">
        <v>93.415495629183027</v>
      </c>
      <c r="J42" s="22">
        <v>15.397190242257002</v>
      </c>
      <c r="K42" s="22">
        <v>36.574091585914843</v>
      </c>
      <c r="L42" s="22">
        <f>VLOOKUP($F42,'BaseIBK distritos filt'!$D$2:$BF$170,52,FALSE)</f>
        <v>5.8</v>
      </c>
      <c r="M42" s="22">
        <f>VLOOKUP($F42,'BaseIBK distritos filt'!$D$2:$BF$170,53,FALSE)</f>
        <v>277381</v>
      </c>
      <c r="N42" s="22">
        <f>VLOOKUP($F42,'BaseIBK distritos filt'!$D$2:$BF$170,54,FALSE)</f>
        <v>6</v>
      </c>
      <c r="O42" s="13">
        <f>VLOOKUP($F42,'BaseIBK distritos filt'!$D$2:$BF$170,55,FALSE)</f>
        <v>3</v>
      </c>
    </row>
    <row r="43" spans="2:15" x14ac:dyDescent="0.35">
      <c r="B43" s="18">
        <v>39</v>
      </c>
      <c r="C43" s="13" t="s">
        <v>976</v>
      </c>
      <c r="D43" s="13" t="s">
        <v>977</v>
      </c>
      <c r="E43" s="13" t="s">
        <v>976</v>
      </c>
      <c r="F43" s="22" t="s">
        <v>979</v>
      </c>
      <c r="G43" s="22">
        <v>20.404217358557901</v>
      </c>
      <c r="H43" s="22">
        <v>21.913989533823713</v>
      </c>
      <c r="I43" s="22">
        <v>90.183153788383194</v>
      </c>
      <c r="J43" s="22">
        <v>13.210101221233362</v>
      </c>
      <c r="K43" s="22">
        <v>36.427865475499544</v>
      </c>
      <c r="L43" s="22">
        <f>VLOOKUP($F43,'BaseIBK distritos filt'!$D$2:$BF$170,52,FALSE)</f>
        <v>5.0999999999999996</v>
      </c>
      <c r="M43" s="22">
        <f>VLOOKUP($F43,'BaseIBK distritos filt'!$D$2:$BF$170,53,FALSE)</f>
        <v>231893</v>
      </c>
      <c r="N43" s="22">
        <f>VLOOKUP($F43,'BaseIBK distritos filt'!$D$2:$BF$170,54,FALSE)</f>
        <v>3</v>
      </c>
      <c r="O43" s="13">
        <f>VLOOKUP($F43,'BaseIBK distritos filt'!$D$2:$BF$170,55,FALSE)</f>
        <v>1.1000000000000001</v>
      </c>
    </row>
    <row r="44" spans="2:15" x14ac:dyDescent="0.35">
      <c r="B44" s="18">
        <v>40</v>
      </c>
      <c r="C44" s="13" t="s">
        <v>2695</v>
      </c>
      <c r="D44" s="13" t="s">
        <v>2696</v>
      </c>
      <c r="E44" s="13" t="s">
        <v>2777</v>
      </c>
      <c r="F44" s="22" t="s">
        <v>2778</v>
      </c>
      <c r="G44" s="22">
        <v>33.690489867350784</v>
      </c>
      <c r="H44" s="22">
        <v>6.7736106892690522</v>
      </c>
      <c r="I44" s="22">
        <v>79.722465193863783</v>
      </c>
      <c r="J44" s="22">
        <v>25.181361040276585</v>
      </c>
      <c r="K44" s="22">
        <v>36.341981697690052</v>
      </c>
      <c r="L44" s="22">
        <f>VLOOKUP($F44,'BaseIBK distritos filt'!$D$2:$BF$170,52,FALSE)</f>
        <v>7.6</v>
      </c>
      <c r="M44" s="22">
        <f>VLOOKUP($F44,'BaseIBK distritos filt'!$D$2:$BF$170,53,FALSE)</f>
        <v>440680</v>
      </c>
      <c r="N44" s="22">
        <f>VLOOKUP($F44,'BaseIBK distritos filt'!$D$2:$BF$170,54,FALSE)</f>
        <v>10</v>
      </c>
      <c r="O44" s="13">
        <f>VLOOKUP($F44,'BaseIBK distritos filt'!$D$2:$BF$170,55,FALSE)</f>
        <v>3.2</v>
      </c>
    </row>
    <row r="45" spans="2:15" x14ac:dyDescent="0.35">
      <c r="B45" s="18">
        <v>41</v>
      </c>
      <c r="C45" s="13" t="s">
        <v>1482</v>
      </c>
      <c r="D45" s="13" t="s">
        <v>1482</v>
      </c>
      <c r="E45" s="13" t="s">
        <v>4007</v>
      </c>
      <c r="F45" s="22" t="s">
        <v>1493</v>
      </c>
      <c r="G45" s="22">
        <v>19.713499714469062</v>
      </c>
      <c r="H45" s="22">
        <v>18.836753385134859</v>
      </c>
      <c r="I45" s="22">
        <v>89.383163040151942</v>
      </c>
      <c r="J45" s="22">
        <v>17.297078641350367</v>
      </c>
      <c r="K45" s="22">
        <v>36.307623695276561</v>
      </c>
      <c r="L45" s="22">
        <f>VLOOKUP($F45,'BaseIBK distritos filt'!$D$2:$BF$170,52,FALSE)</f>
        <v>5.6</v>
      </c>
      <c r="M45" s="22">
        <f>VLOOKUP($F45,'BaseIBK distritos filt'!$D$2:$BF$170,53,FALSE)</f>
        <v>234880</v>
      </c>
      <c r="N45" s="22">
        <f>VLOOKUP($F45,'BaseIBK distritos filt'!$D$2:$BF$170,54,FALSE)</f>
        <v>0</v>
      </c>
      <c r="O45" s="13">
        <f>VLOOKUP($F45,'BaseIBK distritos filt'!$D$2:$BF$170,55,FALSE)</f>
        <v>0</v>
      </c>
    </row>
    <row r="46" spans="2:15" x14ac:dyDescent="0.35">
      <c r="B46" s="18">
        <v>42</v>
      </c>
      <c r="C46" s="13" t="s">
        <v>2695</v>
      </c>
      <c r="D46" s="13" t="s">
        <v>2696</v>
      </c>
      <c r="E46" s="13" t="s">
        <v>2707</v>
      </c>
      <c r="F46" s="22" t="s">
        <v>2708</v>
      </c>
      <c r="G46" s="22">
        <v>26.633330240363478</v>
      </c>
      <c r="H46" s="22">
        <v>16.497835192365248</v>
      </c>
      <c r="I46" s="22">
        <v>81.069378442845888</v>
      </c>
      <c r="J46" s="22">
        <v>20.585484978929284</v>
      </c>
      <c r="K46" s="22">
        <v>36.196507213625971</v>
      </c>
      <c r="L46" s="22">
        <f>VLOOKUP($F46,'BaseIBK distritos filt'!$D$2:$BF$170,52,FALSE)</f>
        <v>7.9</v>
      </c>
      <c r="M46" s="22">
        <f>VLOOKUP($F46,'BaseIBK distritos filt'!$D$2:$BF$170,53,FALSE)</f>
        <v>354133</v>
      </c>
      <c r="N46" s="22">
        <f>VLOOKUP($F46,'BaseIBK distritos filt'!$D$2:$BF$170,54,FALSE)</f>
        <v>0</v>
      </c>
      <c r="O46" s="13">
        <f>VLOOKUP($F46,'BaseIBK distritos filt'!$D$2:$BF$170,55,FALSE)</f>
        <v>0</v>
      </c>
    </row>
    <row r="47" spans="2:15" x14ac:dyDescent="0.35">
      <c r="B47" s="18">
        <v>43</v>
      </c>
      <c r="C47" s="13" t="s">
        <v>2695</v>
      </c>
      <c r="D47" s="13" t="s">
        <v>2696</v>
      </c>
      <c r="E47" s="13" t="s">
        <v>2727</v>
      </c>
      <c r="F47" s="22" t="s">
        <v>2728</v>
      </c>
      <c r="G47" s="22">
        <v>29.838331638835484</v>
      </c>
      <c r="H47" s="22">
        <v>3.0426195675191861</v>
      </c>
      <c r="I47" s="22">
        <v>91.063966228767924</v>
      </c>
      <c r="J47" s="22">
        <v>20.067351409196856</v>
      </c>
      <c r="K47" s="22">
        <v>36.003067211079859</v>
      </c>
      <c r="L47" s="22">
        <f>VLOOKUP($F47,'BaseIBK distritos filt'!$D$2:$BF$170,52,FALSE)</f>
        <v>5.5</v>
      </c>
      <c r="M47" s="22">
        <f>VLOOKUP($F47,'BaseIBK distritos filt'!$D$2:$BF$170,53,FALSE)</f>
        <v>324008</v>
      </c>
      <c r="N47" s="22">
        <f>VLOOKUP($F47,'BaseIBK distritos filt'!$D$2:$BF$170,54,FALSE)</f>
        <v>5</v>
      </c>
      <c r="O47" s="13">
        <f>VLOOKUP($F47,'BaseIBK distritos filt'!$D$2:$BF$170,55,FALSE)</f>
        <v>4</v>
      </c>
    </row>
    <row r="48" spans="2:15" x14ac:dyDescent="0.35">
      <c r="B48" s="18">
        <v>44</v>
      </c>
      <c r="C48" s="13" t="s">
        <v>2695</v>
      </c>
      <c r="D48" s="13" t="s">
        <v>2696</v>
      </c>
      <c r="E48" s="13" t="s">
        <v>2735</v>
      </c>
      <c r="F48" s="22" t="s">
        <v>2736</v>
      </c>
      <c r="G48" s="22">
        <v>30.902668759994654</v>
      </c>
      <c r="H48" s="22">
        <v>6.3898086299612595</v>
      </c>
      <c r="I48" s="22">
        <v>85.277182510402767</v>
      </c>
      <c r="J48" s="22">
        <v>21.212563087404838</v>
      </c>
      <c r="K48" s="22">
        <v>35.945555746940883</v>
      </c>
      <c r="L48" s="22">
        <f>VLOOKUP($F48,'BaseIBK distritos filt'!$D$2:$BF$170,52,FALSE)</f>
        <v>4.5</v>
      </c>
      <c r="M48" s="22">
        <f>VLOOKUP($F48,'BaseIBK distritos filt'!$D$2:$BF$170,53,FALSE)</f>
        <v>263946</v>
      </c>
      <c r="N48" s="22">
        <f>VLOOKUP($F48,'BaseIBK distritos filt'!$D$2:$BF$170,54,FALSE)</f>
        <v>2</v>
      </c>
      <c r="O48" s="13">
        <f>VLOOKUP($F48,'BaseIBK distritos filt'!$D$2:$BF$170,55,FALSE)</f>
        <v>1.8</v>
      </c>
    </row>
    <row r="49" spans="2:15" x14ac:dyDescent="0.35">
      <c r="B49" s="18">
        <v>45</v>
      </c>
      <c r="C49" s="13" t="s">
        <v>3278</v>
      </c>
      <c r="D49" s="13" t="s">
        <v>3367</v>
      </c>
      <c r="E49" s="13" t="s">
        <v>3367</v>
      </c>
      <c r="F49" s="22" t="s">
        <v>3368</v>
      </c>
      <c r="G49" s="22">
        <v>18.428429290355229</v>
      </c>
      <c r="H49" s="22">
        <v>25.424541692922524</v>
      </c>
      <c r="I49" s="22">
        <v>82.813724777324893</v>
      </c>
      <c r="J49" s="22">
        <v>16.984481212407179</v>
      </c>
      <c r="K49" s="22">
        <v>35.912794243252456</v>
      </c>
      <c r="L49" s="22">
        <f>VLOOKUP($F49,'BaseIBK distritos filt'!$D$2:$BF$170,52,FALSE)</f>
        <v>5.3</v>
      </c>
      <c r="M49" s="22">
        <f>VLOOKUP($F49,'BaseIBK distritos filt'!$D$2:$BF$170,53,FALSE)</f>
        <v>236200</v>
      </c>
      <c r="N49" s="22">
        <f>VLOOKUP($F49,'BaseIBK distritos filt'!$D$2:$BF$170,54,FALSE)</f>
        <v>1</v>
      </c>
      <c r="O49" s="13">
        <f>VLOOKUP($F49,'BaseIBK distritos filt'!$D$2:$BF$170,55,FALSE)</f>
        <v>0.3</v>
      </c>
    </row>
    <row r="50" spans="2:15" x14ac:dyDescent="0.35">
      <c r="B50" s="18">
        <v>46</v>
      </c>
      <c r="C50" s="13" t="s">
        <v>3407</v>
      </c>
      <c r="D50" s="13" t="s">
        <v>3407</v>
      </c>
      <c r="E50" s="13" t="s">
        <v>3407</v>
      </c>
      <c r="F50" s="22" t="s">
        <v>3408</v>
      </c>
      <c r="G50" s="22">
        <v>14.662291700549213</v>
      </c>
      <c r="H50" s="22">
        <v>19.640126111588387</v>
      </c>
      <c r="I50" s="22">
        <v>94.601052226420109</v>
      </c>
      <c r="J50" s="22">
        <v>13.9806781177065</v>
      </c>
      <c r="K50" s="22">
        <v>35.721037039066054</v>
      </c>
      <c r="L50" s="22">
        <f>VLOOKUP($F50,'BaseIBK distritos filt'!$D$2:$BF$170,52,FALSE)</f>
        <v>5.5</v>
      </c>
      <c r="M50" s="22">
        <f>VLOOKUP($F50,'BaseIBK distritos filt'!$D$2:$BF$170,53,FALSE)</f>
        <v>232723</v>
      </c>
      <c r="N50" s="22">
        <f>VLOOKUP($F50,'BaseIBK distritos filt'!$D$2:$BF$170,54,FALSE)</f>
        <v>1</v>
      </c>
      <c r="O50" s="13">
        <f>VLOOKUP($F50,'BaseIBK distritos filt'!$D$2:$BF$170,55,FALSE)</f>
        <v>0.6</v>
      </c>
    </row>
    <row r="51" spans="2:15" x14ac:dyDescent="0.35">
      <c r="B51" s="18">
        <v>47</v>
      </c>
      <c r="C51" s="13" t="s">
        <v>2695</v>
      </c>
      <c r="D51" s="13" t="s">
        <v>2696</v>
      </c>
      <c r="E51" s="13" t="s">
        <v>2731</v>
      </c>
      <c r="F51" s="22" t="s">
        <v>2732</v>
      </c>
      <c r="G51" s="22">
        <v>29.13860431441449</v>
      </c>
      <c r="H51" s="22">
        <v>12.82234447254053</v>
      </c>
      <c r="I51" s="22">
        <v>86.134772247642843</v>
      </c>
      <c r="J51" s="22">
        <v>13.315708668489476</v>
      </c>
      <c r="K51" s="22">
        <v>35.35285742577183</v>
      </c>
      <c r="L51" s="22">
        <f>VLOOKUP($F51,'BaseIBK distritos filt'!$D$2:$BF$170,52,FALSE)</f>
        <v>4.8</v>
      </c>
      <c r="M51" s="22">
        <f>VLOOKUP($F51,'BaseIBK distritos filt'!$D$2:$BF$170,53,FALSE)</f>
        <v>244189</v>
      </c>
      <c r="N51" s="22">
        <f>VLOOKUP($F51,'BaseIBK distritos filt'!$D$2:$BF$170,54,FALSE)</f>
        <v>1</v>
      </c>
      <c r="O51" s="13">
        <f>VLOOKUP($F51,'BaseIBK distritos filt'!$D$2:$BF$170,55,FALSE)</f>
        <v>0.1</v>
      </c>
    </row>
    <row r="52" spans="2:15" x14ac:dyDescent="0.35">
      <c r="B52" s="18">
        <v>48</v>
      </c>
      <c r="C52" s="13" t="s">
        <v>3039</v>
      </c>
      <c r="D52" s="13" t="s">
        <v>3040</v>
      </c>
      <c r="E52" s="13" t="s">
        <v>3041</v>
      </c>
      <c r="F52" s="22" t="s">
        <v>3042</v>
      </c>
      <c r="G52" s="22">
        <v>30.537258251225445</v>
      </c>
      <c r="H52" s="22">
        <v>14.55971493632808</v>
      </c>
      <c r="I52" s="22">
        <v>79.206675769965358</v>
      </c>
      <c r="J52" s="22">
        <v>16.686381028274589</v>
      </c>
      <c r="K52" s="22">
        <v>35.247507496448364</v>
      </c>
      <c r="L52" s="22">
        <f>VLOOKUP($F52,'BaseIBK distritos filt'!$D$2:$BF$170,52,FALSE)</f>
        <v>5.8</v>
      </c>
      <c r="M52" s="22">
        <f>VLOOKUP($F52,'BaseIBK distritos filt'!$D$2:$BF$170,53,FALSE)</f>
        <v>306588</v>
      </c>
      <c r="N52" s="22">
        <f>VLOOKUP($F52,'BaseIBK distritos filt'!$D$2:$BF$170,54,FALSE)</f>
        <v>1</v>
      </c>
      <c r="O52" s="13">
        <f>VLOOKUP($F52,'BaseIBK distritos filt'!$D$2:$BF$170,55,FALSE)</f>
        <v>0.2</v>
      </c>
    </row>
    <row r="53" spans="2:15" x14ac:dyDescent="0.35">
      <c r="B53" s="18">
        <v>49</v>
      </c>
      <c r="C53" s="13" t="s">
        <v>2695</v>
      </c>
      <c r="D53" s="13" t="s">
        <v>2696</v>
      </c>
      <c r="E53" s="13" t="s">
        <v>2733</v>
      </c>
      <c r="F53" s="22" t="s">
        <v>2734</v>
      </c>
      <c r="G53" s="22">
        <v>24.694604727806158</v>
      </c>
      <c r="H53" s="22">
        <v>12.436947685064089</v>
      </c>
      <c r="I53" s="22">
        <v>89.546364362292678</v>
      </c>
      <c r="J53" s="22">
        <v>13.800732881016664</v>
      </c>
      <c r="K53" s="22">
        <v>35.119662414044896</v>
      </c>
      <c r="L53" s="22">
        <f>VLOOKUP($F53,'BaseIBK distritos filt'!$D$2:$BF$170,52,FALSE)</f>
        <v>2.8</v>
      </c>
      <c r="M53" s="22">
        <f>VLOOKUP($F53,'BaseIBK distritos filt'!$D$2:$BF$170,53,FALSE)</f>
        <v>135692</v>
      </c>
      <c r="N53" s="22">
        <f>VLOOKUP($F53,'BaseIBK distritos filt'!$D$2:$BF$170,54,FALSE)</f>
        <v>1</v>
      </c>
      <c r="O53" s="13">
        <f>VLOOKUP($F53,'BaseIBK distritos filt'!$D$2:$BF$170,55,FALSE)</f>
        <v>0.4</v>
      </c>
    </row>
    <row r="54" spans="2:15" x14ac:dyDescent="0.35">
      <c r="B54" s="18">
        <v>50</v>
      </c>
      <c r="C54" s="13" t="s">
        <v>757</v>
      </c>
      <c r="D54" s="13" t="s">
        <v>757</v>
      </c>
      <c r="E54" s="13" t="s">
        <v>813</v>
      </c>
      <c r="F54" s="22" t="s">
        <v>814</v>
      </c>
      <c r="G54" s="22">
        <v>19.92761956037144</v>
      </c>
      <c r="H54" s="22">
        <v>14.447446843626924</v>
      </c>
      <c r="I54" s="22">
        <v>88.329405024415578</v>
      </c>
      <c r="J54" s="22">
        <v>15.33025656575108</v>
      </c>
      <c r="K54" s="22">
        <v>34.508681998541256</v>
      </c>
      <c r="L54" s="22">
        <f>VLOOKUP($F54,'BaseIBK distritos filt'!$D$2:$BF$170,52,FALSE)</f>
        <v>3.7</v>
      </c>
      <c r="M54" s="22">
        <f>VLOOKUP($F54,'BaseIBK distritos filt'!$D$2:$BF$170,53,FALSE)</f>
        <v>182840</v>
      </c>
      <c r="N54" s="22">
        <f>VLOOKUP($F54,'BaseIBK distritos filt'!$D$2:$BF$170,54,FALSE)</f>
        <v>3</v>
      </c>
      <c r="O54" s="13">
        <f>VLOOKUP($F54,'BaseIBK distritos filt'!$D$2:$BF$170,55,FALSE)</f>
        <v>0.4</v>
      </c>
    </row>
    <row r="55" spans="2:15" x14ac:dyDescent="0.35">
      <c r="B55" s="18">
        <v>51</v>
      </c>
      <c r="C55" s="13" t="s">
        <v>2695</v>
      </c>
      <c r="D55" s="13" t="s">
        <v>2696</v>
      </c>
      <c r="E55" s="13" t="s">
        <v>2705</v>
      </c>
      <c r="F55" s="22" t="s">
        <v>2706</v>
      </c>
      <c r="G55" s="22">
        <v>26.634211288396671</v>
      </c>
      <c r="H55" s="22">
        <v>4.0187450003614584</v>
      </c>
      <c r="I55" s="22">
        <v>85.261931338357414</v>
      </c>
      <c r="J55" s="22">
        <v>20.80513787629474</v>
      </c>
      <c r="K55" s="22">
        <v>34.180006375852571</v>
      </c>
      <c r="L55" s="22">
        <f>VLOOKUP($F55,'BaseIBK distritos filt'!$D$2:$BF$170,52,FALSE)</f>
        <v>5.3</v>
      </c>
      <c r="M55" s="22">
        <f>VLOOKUP($F55,'BaseIBK distritos filt'!$D$2:$BF$170,53,FALSE)</f>
        <v>293076</v>
      </c>
      <c r="N55" s="22">
        <f>VLOOKUP($F55,'BaseIBK distritos filt'!$D$2:$BF$170,54,FALSE)</f>
        <v>2</v>
      </c>
      <c r="O55" s="13">
        <f>VLOOKUP($F55,'BaseIBK distritos filt'!$D$2:$BF$170,55,FALSE)</f>
        <v>1.7</v>
      </c>
    </row>
    <row r="56" spans="2:15" x14ac:dyDescent="0.35">
      <c r="B56" s="18">
        <v>52</v>
      </c>
      <c r="C56" s="13" t="s">
        <v>757</v>
      </c>
      <c r="D56" s="13" t="s">
        <v>757</v>
      </c>
      <c r="E56" s="13" t="s">
        <v>779</v>
      </c>
      <c r="F56" s="22" t="s">
        <v>780</v>
      </c>
      <c r="G56" s="22">
        <v>17.277413476612406</v>
      </c>
      <c r="H56" s="22">
        <v>11.322873257889531</v>
      </c>
      <c r="I56" s="22">
        <v>96.668921771168129</v>
      </c>
      <c r="J56" s="22">
        <v>8.5220121315739519</v>
      </c>
      <c r="K56" s="22">
        <v>33.447805159311002</v>
      </c>
      <c r="L56" s="22">
        <f>VLOOKUP($F56,'BaseIBK distritos filt'!$D$2:$BF$170,52,FALSE)</f>
        <v>6.5</v>
      </c>
      <c r="M56" s="22">
        <f>VLOOKUP($F56,'BaseIBK distritos filt'!$D$2:$BF$170,53,FALSE)</f>
        <v>295147</v>
      </c>
      <c r="N56" s="22">
        <f>VLOOKUP($F56,'BaseIBK distritos filt'!$D$2:$BF$170,54,FALSE)</f>
        <v>1</v>
      </c>
      <c r="O56" s="13">
        <f>VLOOKUP($F56,'BaseIBK distritos filt'!$D$2:$BF$170,55,FALSE)</f>
        <v>0.2</v>
      </c>
    </row>
    <row r="57" spans="2:15" x14ac:dyDescent="0.35">
      <c r="B57" s="18">
        <v>53</v>
      </c>
      <c r="C57" s="13" t="s">
        <v>2695</v>
      </c>
      <c r="D57" s="13" t="s">
        <v>2696</v>
      </c>
      <c r="E57" s="13" t="s">
        <v>2737</v>
      </c>
      <c r="F57" s="22" t="s">
        <v>2738</v>
      </c>
      <c r="G57" s="22">
        <v>25.58052850085447</v>
      </c>
      <c r="H57" s="22">
        <v>4.3616142803564957</v>
      </c>
      <c r="I57" s="22">
        <v>83.453448536823117</v>
      </c>
      <c r="J57" s="22">
        <v>19.398765487641352</v>
      </c>
      <c r="K57" s="22">
        <v>33.198589201418855</v>
      </c>
      <c r="L57" s="22">
        <f>VLOOKUP($F57,'BaseIBK distritos filt'!$D$2:$BF$170,52,FALSE)</f>
        <v>4</v>
      </c>
      <c r="M57" s="22">
        <f>VLOOKUP($F57,'BaseIBK distritos filt'!$D$2:$BF$170,53,FALSE)</f>
        <v>227483</v>
      </c>
      <c r="N57" s="22">
        <f>VLOOKUP($F57,'BaseIBK distritos filt'!$D$2:$BF$170,54,FALSE)</f>
        <v>0</v>
      </c>
      <c r="O57" s="13">
        <f>VLOOKUP($F57,'BaseIBK distritos filt'!$D$2:$BF$170,55,FALSE)</f>
        <v>0</v>
      </c>
    </row>
    <row r="58" spans="2:15" x14ac:dyDescent="0.35">
      <c r="B58" s="18">
        <v>54</v>
      </c>
      <c r="C58" s="13" t="s">
        <v>2199</v>
      </c>
      <c r="D58" s="13" t="s">
        <v>2200</v>
      </c>
      <c r="E58" s="13" t="s">
        <v>2218</v>
      </c>
      <c r="F58" s="22" t="s">
        <v>2219</v>
      </c>
      <c r="G58" s="22">
        <v>19.504908317318925</v>
      </c>
      <c r="H58" s="22">
        <v>14.942767863176803</v>
      </c>
      <c r="I58" s="22">
        <v>86.08421182271411</v>
      </c>
      <c r="J58" s="22">
        <v>12.24607461331555</v>
      </c>
      <c r="K58" s="22">
        <v>33.19449065413135</v>
      </c>
      <c r="L58" s="22">
        <f>VLOOKUP($F58,'BaseIBK distritos filt'!$D$2:$BF$170,52,FALSE)</f>
        <v>6.9</v>
      </c>
      <c r="M58" s="22">
        <f>VLOOKUP($F58,'BaseIBK distritos filt'!$D$2:$BF$170,53,FALSE)</f>
        <v>310136</v>
      </c>
      <c r="N58" s="22">
        <f>VLOOKUP($F58,'BaseIBK distritos filt'!$D$2:$BF$170,54,FALSE)</f>
        <v>1</v>
      </c>
      <c r="O58" s="13">
        <f>VLOOKUP($F58,'BaseIBK distritos filt'!$D$2:$BF$170,55,FALSE)</f>
        <v>0.2</v>
      </c>
    </row>
    <row r="59" spans="2:15" x14ac:dyDescent="0.35">
      <c r="B59" s="18">
        <v>55</v>
      </c>
      <c r="C59" s="13" t="s">
        <v>2695</v>
      </c>
      <c r="D59" s="13" t="s">
        <v>2937</v>
      </c>
      <c r="E59" s="13" t="s">
        <v>2938</v>
      </c>
      <c r="F59" s="22" t="s">
        <v>2939</v>
      </c>
      <c r="G59" s="22">
        <v>13.147639297666927</v>
      </c>
      <c r="H59" s="22">
        <v>9.7403432325441344</v>
      </c>
      <c r="I59" s="22">
        <v>99.154178239672945</v>
      </c>
      <c r="J59" s="22">
        <v>10.497190797760778</v>
      </c>
      <c r="K59" s="22">
        <v>33.134837891911197</v>
      </c>
      <c r="L59" s="22">
        <f>VLOOKUP($F59,'BaseIBK distritos filt'!$D$2:$BF$170,52,FALSE)</f>
        <v>2.5</v>
      </c>
      <c r="M59" s="22">
        <f>VLOOKUP($F59,'BaseIBK distritos filt'!$D$2:$BF$170,53,FALSE)</f>
        <v>114113</v>
      </c>
      <c r="N59" s="22">
        <f>VLOOKUP($F59,'BaseIBK distritos filt'!$D$2:$BF$170,54,FALSE)</f>
        <v>1</v>
      </c>
      <c r="O59" s="13">
        <f>VLOOKUP($F59,'BaseIBK distritos filt'!$D$2:$BF$170,55,FALSE)</f>
        <v>0.9</v>
      </c>
    </row>
    <row r="60" spans="2:15" x14ac:dyDescent="0.35">
      <c r="B60" s="18">
        <v>56</v>
      </c>
      <c r="C60" s="13" t="s">
        <v>263</v>
      </c>
      <c r="D60" s="13" t="s">
        <v>2449</v>
      </c>
      <c r="E60" s="13" t="s">
        <v>2451</v>
      </c>
      <c r="F60" s="22" t="s">
        <v>2452</v>
      </c>
      <c r="G60" s="22">
        <v>12.044379995989791</v>
      </c>
      <c r="H60" s="22">
        <v>13.209215812774502</v>
      </c>
      <c r="I60" s="22">
        <v>98.196345236721399</v>
      </c>
      <c r="J60" s="22">
        <v>8.8685795397478202</v>
      </c>
      <c r="K60" s="22">
        <v>33.079630146308382</v>
      </c>
      <c r="L60" s="22">
        <f>VLOOKUP($F60,'BaseIBK distritos filt'!$D$2:$BF$170,52,FALSE)</f>
        <v>2.8</v>
      </c>
      <c r="M60" s="22">
        <f>VLOOKUP($F60,'BaseIBK distritos filt'!$D$2:$BF$170,53,FALSE)</f>
        <v>120053</v>
      </c>
      <c r="N60" s="22">
        <f>VLOOKUP($F60,'BaseIBK distritos filt'!$D$2:$BF$170,54,FALSE)</f>
        <v>0</v>
      </c>
      <c r="O60" s="13">
        <f>VLOOKUP($F60,'BaseIBK distritos filt'!$D$2:$BF$170,55,FALSE)</f>
        <v>0</v>
      </c>
    </row>
    <row r="61" spans="2:15" x14ac:dyDescent="0.35">
      <c r="B61" s="18">
        <v>57</v>
      </c>
      <c r="C61" s="13" t="s">
        <v>1937</v>
      </c>
      <c r="D61" s="13" t="s">
        <v>1937</v>
      </c>
      <c r="E61" s="13" t="s">
        <v>4008</v>
      </c>
      <c r="F61" s="22" t="s">
        <v>1939</v>
      </c>
      <c r="G61" s="22">
        <v>18.162741771784308</v>
      </c>
      <c r="H61" s="22">
        <v>16.751421445702547</v>
      </c>
      <c r="I61" s="22">
        <v>79.069963071720125</v>
      </c>
      <c r="J61" s="22">
        <v>18.220542433071468</v>
      </c>
      <c r="K61" s="22">
        <v>33.051167180569614</v>
      </c>
      <c r="L61" s="22">
        <f>VLOOKUP($F61,'BaseIBK distritos filt'!$D$2:$BF$170,52,FALSE)</f>
        <v>4.5</v>
      </c>
      <c r="M61" s="22">
        <f>VLOOKUP($F61,'BaseIBK distritos filt'!$D$2:$BF$170,53,FALSE)</f>
        <v>213876</v>
      </c>
      <c r="N61" s="22">
        <f>VLOOKUP($F61,'BaseIBK distritos filt'!$D$2:$BF$170,54,FALSE)</f>
        <v>2</v>
      </c>
      <c r="O61" s="13">
        <f>VLOOKUP($F61,'BaseIBK distritos filt'!$D$2:$BF$170,55,FALSE)</f>
        <v>1.5</v>
      </c>
    </row>
    <row r="62" spans="2:15" x14ac:dyDescent="0.35">
      <c r="B62" s="18">
        <v>58</v>
      </c>
      <c r="C62" s="13" t="s">
        <v>2619</v>
      </c>
      <c r="D62" s="13" t="s">
        <v>2620</v>
      </c>
      <c r="E62" s="13" t="s">
        <v>2628</v>
      </c>
      <c r="F62" s="22" t="s">
        <v>2629</v>
      </c>
      <c r="G62" s="22">
        <v>21.691420798479125</v>
      </c>
      <c r="H62" s="22">
        <v>15.200926137527432</v>
      </c>
      <c r="I62" s="22">
        <v>85.924308460952261</v>
      </c>
      <c r="J62" s="22">
        <v>9.1819971672264966</v>
      </c>
      <c r="K62" s="22">
        <v>32.999663141046327</v>
      </c>
      <c r="L62" s="22">
        <f>VLOOKUP($F62,'BaseIBK distritos filt'!$D$2:$BF$170,52,FALSE)</f>
        <v>6.4</v>
      </c>
      <c r="M62" s="22">
        <f>VLOOKUP($F62,'BaseIBK distritos filt'!$D$2:$BF$170,53,FALSE)</f>
        <v>305750</v>
      </c>
      <c r="N62" s="22">
        <f>VLOOKUP($F62,'BaseIBK distritos filt'!$D$2:$BF$170,54,FALSE)</f>
        <v>1</v>
      </c>
      <c r="O62" s="13">
        <f>VLOOKUP($F62,'BaseIBK distritos filt'!$D$2:$BF$170,55,FALSE)</f>
        <v>0.1</v>
      </c>
    </row>
    <row r="63" spans="2:15" x14ac:dyDescent="0.35">
      <c r="B63" s="18">
        <v>59</v>
      </c>
      <c r="C63" s="13" t="s">
        <v>1496</v>
      </c>
      <c r="D63" s="13" t="s">
        <v>1496</v>
      </c>
      <c r="E63" s="13" t="s">
        <v>1504</v>
      </c>
      <c r="F63" s="22" t="s">
        <v>1505</v>
      </c>
      <c r="G63" s="22">
        <v>13.886382266553221</v>
      </c>
      <c r="H63" s="22">
        <v>12.525413239019334</v>
      </c>
      <c r="I63" s="22">
        <v>97.179837946084604</v>
      </c>
      <c r="J63" s="22">
        <v>7.3880956166780223</v>
      </c>
      <c r="K63" s="22">
        <v>32.744932267083797</v>
      </c>
      <c r="L63" s="22">
        <f>VLOOKUP($F63,'BaseIBK distritos filt'!$D$2:$BF$170,52,FALSE)</f>
        <v>3.6</v>
      </c>
      <c r="M63" s="22">
        <f>VLOOKUP($F63,'BaseIBK distritos filt'!$D$2:$BF$170,53,FALSE)</f>
        <v>163263</v>
      </c>
      <c r="N63" s="22">
        <f>VLOOKUP($F63,'BaseIBK distritos filt'!$D$2:$BF$170,54,FALSE)</f>
        <v>2</v>
      </c>
      <c r="O63" s="13">
        <f>VLOOKUP($F63,'BaseIBK distritos filt'!$D$2:$BF$170,55,FALSE)</f>
        <v>0.3</v>
      </c>
    </row>
    <row r="64" spans="2:15" x14ac:dyDescent="0.35">
      <c r="B64" s="18">
        <v>60</v>
      </c>
      <c r="C64" s="13" t="s">
        <v>250</v>
      </c>
      <c r="D64" s="13" t="s">
        <v>251</v>
      </c>
      <c r="E64" s="13" t="s">
        <v>251</v>
      </c>
      <c r="F64" s="22" t="s">
        <v>252</v>
      </c>
      <c r="G64" s="22">
        <v>17.854288531435696</v>
      </c>
      <c r="H64" s="22">
        <v>12.498541824060851</v>
      </c>
      <c r="I64" s="22">
        <v>90.65145946377686</v>
      </c>
      <c r="J64" s="22">
        <v>8.6849759778166788</v>
      </c>
      <c r="K64" s="22">
        <v>32.422316449272522</v>
      </c>
      <c r="L64" s="22">
        <f>VLOOKUP($F64,'BaseIBK distritos filt'!$D$2:$BF$170,52,FALSE)</f>
        <v>3.6</v>
      </c>
      <c r="M64" s="22">
        <f>VLOOKUP($F64,'BaseIBK distritos filt'!$D$2:$BF$170,53,FALSE)</f>
        <v>177803</v>
      </c>
      <c r="N64" s="22">
        <f>VLOOKUP($F64,'BaseIBK distritos filt'!$D$2:$BF$170,54,FALSE)</f>
        <v>1</v>
      </c>
      <c r="O64" s="13">
        <f>VLOOKUP($F64,'BaseIBK distritos filt'!$D$2:$BF$170,55,FALSE)</f>
        <v>1.5</v>
      </c>
    </row>
    <row r="65" spans="2:15" x14ac:dyDescent="0.35">
      <c r="B65" s="18">
        <v>61</v>
      </c>
      <c r="C65" s="13" t="s">
        <v>2695</v>
      </c>
      <c r="D65" s="13" t="s">
        <v>2696</v>
      </c>
      <c r="E65" s="13" t="s">
        <v>2717</v>
      </c>
      <c r="F65" s="22" t="s">
        <v>2718</v>
      </c>
      <c r="G65" s="22">
        <v>19.532155414464924</v>
      </c>
      <c r="H65" s="22">
        <v>8.4213612327859781</v>
      </c>
      <c r="I65" s="22">
        <v>86.63741688589603</v>
      </c>
      <c r="J65" s="22">
        <v>14.208340241415609</v>
      </c>
      <c r="K65" s="22">
        <v>32.199818443640638</v>
      </c>
      <c r="L65" s="22">
        <f>VLOOKUP($F65,'BaseIBK distritos filt'!$D$2:$BF$170,52,FALSE)</f>
        <v>5.9</v>
      </c>
      <c r="M65" s="22">
        <f>VLOOKUP($F65,'BaseIBK distritos filt'!$D$2:$BF$170,53,FALSE)</f>
        <v>269909</v>
      </c>
      <c r="N65" s="22">
        <f>VLOOKUP($F65,'BaseIBK distritos filt'!$D$2:$BF$170,54,FALSE)</f>
        <v>1</v>
      </c>
      <c r="O65" s="13">
        <f>VLOOKUP($F65,'BaseIBK distritos filt'!$D$2:$BF$170,55,FALSE)</f>
        <v>0.2</v>
      </c>
    </row>
    <row r="66" spans="2:15" x14ac:dyDescent="0.35">
      <c r="B66" s="18">
        <v>62</v>
      </c>
      <c r="C66" s="13" t="s">
        <v>2619</v>
      </c>
      <c r="D66" s="13" t="s">
        <v>2619</v>
      </c>
      <c r="E66" s="13" t="s">
        <v>2619</v>
      </c>
      <c r="F66" s="22" t="s">
        <v>2672</v>
      </c>
      <c r="G66" s="22">
        <v>17.149029081227347</v>
      </c>
      <c r="H66" s="22">
        <v>10.403450935700926</v>
      </c>
      <c r="I66" s="22">
        <v>92.962920953245899</v>
      </c>
      <c r="J66" s="22">
        <v>7.929801896685186</v>
      </c>
      <c r="K66" s="22">
        <v>32.111300716714837</v>
      </c>
      <c r="L66" s="22">
        <f>VLOOKUP($F66,'BaseIBK distritos filt'!$D$2:$BF$170,52,FALSE)</f>
        <v>1.5</v>
      </c>
      <c r="M66" s="22">
        <f>VLOOKUP($F66,'BaseIBK distritos filt'!$D$2:$BF$170,53,FALSE)</f>
        <v>64484</v>
      </c>
      <c r="N66" s="22">
        <f>VLOOKUP($F66,'BaseIBK distritos filt'!$D$2:$BF$170,54,FALSE)</f>
        <v>0</v>
      </c>
      <c r="O66" s="13">
        <f>VLOOKUP($F66,'BaseIBK distritos filt'!$D$2:$BF$170,55,FALSE)</f>
        <v>0</v>
      </c>
    </row>
    <row r="67" spans="2:15" x14ac:dyDescent="0.35">
      <c r="B67" s="18">
        <v>63</v>
      </c>
      <c r="C67" s="13" t="s">
        <v>3278</v>
      </c>
      <c r="D67" s="13" t="s">
        <v>3278</v>
      </c>
      <c r="E67" s="13" t="s">
        <v>857</v>
      </c>
      <c r="F67" s="22" t="s">
        <v>3280</v>
      </c>
      <c r="G67" s="22">
        <v>19.562961455471623</v>
      </c>
      <c r="H67" s="22">
        <v>10.004724881285529</v>
      </c>
      <c r="I67" s="22">
        <v>86.005647691243155</v>
      </c>
      <c r="J67" s="22">
        <v>12.866736847441715</v>
      </c>
      <c r="K67" s="22">
        <v>32.110017718860504</v>
      </c>
      <c r="L67" s="22">
        <f>VLOOKUP($F67,'BaseIBK distritos filt'!$D$2:$BF$170,52,FALSE)</f>
        <v>4.4000000000000004</v>
      </c>
      <c r="M67" s="22">
        <f>VLOOKUP($F67,'BaseIBK distritos filt'!$D$2:$BF$170,53,FALSE)</f>
        <v>202950</v>
      </c>
      <c r="N67" s="22">
        <f>VLOOKUP($F67,'BaseIBK distritos filt'!$D$2:$BF$170,54,FALSE)</f>
        <v>0</v>
      </c>
      <c r="O67" s="13">
        <f>VLOOKUP($F67,'BaseIBK distritos filt'!$D$2:$BF$170,55,FALSE)</f>
        <v>0</v>
      </c>
    </row>
    <row r="68" spans="2:15" x14ac:dyDescent="0.35">
      <c r="B68" s="18">
        <v>64</v>
      </c>
      <c r="C68" s="13" t="s">
        <v>757</v>
      </c>
      <c r="D68" s="13" t="s">
        <v>757</v>
      </c>
      <c r="E68" s="13" t="s">
        <v>761</v>
      </c>
      <c r="F68" s="22" t="s">
        <v>762</v>
      </c>
      <c r="G68" s="22">
        <v>18.121409334175979</v>
      </c>
      <c r="H68" s="22">
        <v>7.8111433622830155</v>
      </c>
      <c r="I68" s="22">
        <v>89.072370792545598</v>
      </c>
      <c r="J68" s="22">
        <v>12.088692684356431</v>
      </c>
      <c r="K68" s="22">
        <v>31.773404043340257</v>
      </c>
      <c r="L68" s="22">
        <f>VLOOKUP($F68,'BaseIBK distritos filt'!$D$2:$BF$170,52,FALSE)</f>
        <v>3.6</v>
      </c>
      <c r="M68" s="22">
        <f>VLOOKUP($F68,'BaseIBK distritos filt'!$D$2:$BF$170,53,FALSE)</f>
        <v>165965</v>
      </c>
      <c r="N68" s="22">
        <f>VLOOKUP($F68,'BaseIBK distritos filt'!$D$2:$BF$170,54,FALSE)</f>
        <v>0</v>
      </c>
      <c r="O68" s="13">
        <f>VLOOKUP($F68,'BaseIBK distritos filt'!$D$2:$BF$170,55,FALSE)</f>
        <v>0</v>
      </c>
    </row>
    <row r="69" spans="2:15" x14ac:dyDescent="0.35">
      <c r="B69" s="18">
        <v>65</v>
      </c>
      <c r="C69" s="13" t="s">
        <v>2111</v>
      </c>
      <c r="D69" s="13" t="s">
        <v>2139</v>
      </c>
      <c r="E69" s="13" t="s">
        <v>2140</v>
      </c>
      <c r="F69" s="22" t="s">
        <v>2141</v>
      </c>
      <c r="G69" s="22">
        <v>18.252554196964212</v>
      </c>
      <c r="H69" s="22">
        <v>12.342462357216981</v>
      </c>
      <c r="I69" s="22">
        <v>85.420056289953394</v>
      </c>
      <c r="J69" s="22">
        <v>10.192955646812802</v>
      </c>
      <c r="K69" s="22">
        <v>31.552007122736846</v>
      </c>
      <c r="L69" s="22">
        <f>VLOOKUP($F69,'BaseIBK distritos filt'!$D$2:$BF$170,52,FALSE)</f>
        <v>2.5</v>
      </c>
      <c r="M69" s="22">
        <f>VLOOKUP($F69,'BaseIBK distritos filt'!$D$2:$BF$170,53,FALSE)</f>
        <v>117499</v>
      </c>
      <c r="N69" s="22">
        <f>VLOOKUP($F69,'BaseIBK distritos filt'!$D$2:$BF$170,54,FALSE)</f>
        <v>1</v>
      </c>
      <c r="O69" s="13">
        <f>VLOOKUP($F69,'BaseIBK distritos filt'!$D$2:$BF$170,55,FALSE)</f>
        <v>0.6</v>
      </c>
    </row>
    <row r="70" spans="2:15" x14ac:dyDescent="0.35">
      <c r="B70" s="18">
        <v>66</v>
      </c>
      <c r="C70" s="13" t="s">
        <v>2695</v>
      </c>
      <c r="D70" s="13" t="s">
        <v>2696</v>
      </c>
      <c r="E70" s="13" t="s">
        <v>2703</v>
      </c>
      <c r="F70" s="22" t="s">
        <v>2704</v>
      </c>
      <c r="G70" s="22">
        <v>21.445970182885024</v>
      </c>
      <c r="H70" s="22">
        <v>3.3097797912103344</v>
      </c>
      <c r="I70" s="22">
        <v>88.566838967650639</v>
      </c>
      <c r="J70" s="22">
        <v>11.919146367388638</v>
      </c>
      <c r="K70" s="22">
        <v>31.31043382728366</v>
      </c>
      <c r="L70" s="22">
        <f>VLOOKUP($F70,'BaseIBK distritos filt'!$D$2:$BF$170,52,FALSE)</f>
        <v>2.4</v>
      </c>
      <c r="M70" s="22">
        <f>VLOOKUP($F70,'BaseIBK distritos filt'!$D$2:$BF$170,53,FALSE)</f>
        <v>143976</v>
      </c>
      <c r="N70" s="22">
        <f>VLOOKUP($F70,'BaseIBK distritos filt'!$D$2:$BF$170,54,FALSE)</f>
        <v>1</v>
      </c>
      <c r="O70" s="13">
        <f>VLOOKUP($F70,'BaseIBK distritos filt'!$D$2:$BF$170,55,FALSE)</f>
        <v>0.1</v>
      </c>
    </row>
    <row r="71" spans="2:15" x14ac:dyDescent="0.35">
      <c r="B71" s="18">
        <v>67</v>
      </c>
      <c r="C71" s="13" t="s">
        <v>3789</v>
      </c>
      <c r="D71" s="13" t="s">
        <v>3789</v>
      </c>
      <c r="E71" s="13" t="s">
        <v>3807</v>
      </c>
      <c r="F71" s="22" t="s">
        <v>3808</v>
      </c>
      <c r="G71" s="22">
        <v>11.471063324922346</v>
      </c>
      <c r="H71" s="22">
        <v>11.609409340860861</v>
      </c>
      <c r="I71" s="22">
        <v>97.004940189921371</v>
      </c>
      <c r="J71" s="22">
        <v>4.9795984356313241</v>
      </c>
      <c r="K71" s="22">
        <v>31.266252822833977</v>
      </c>
      <c r="L71" s="22">
        <f>VLOOKUP($F71,'BaseIBK distritos filt'!$D$2:$BF$170,52,FALSE)</f>
        <v>2.2999999999999998</v>
      </c>
      <c r="M71" s="22">
        <f>VLOOKUP($F71,'BaseIBK distritos filt'!$D$2:$BF$170,53,FALSE)</f>
        <v>88034</v>
      </c>
      <c r="N71" s="22">
        <f>VLOOKUP($F71,'BaseIBK distritos filt'!$D$2:$BF$170,54,FALSE)</f>
        <v>0</v>
      </c>
      <c r="O71" s="13">
        <f>VLOOKUP($F71,'BaseIBK distritos filt'!$D$2:$BF$170,55,FALSE)</f>
        <v>0</v>
      </c>
    </row>
    <row r="72" spans="2:15" x14ac:dyDescent="0.35">
      <c r="B72" s="18">
        <v>68</v>
      </c>
      <c r="C72" s="13" t="s">
        <v>3039</v>
      </c>
      <c r="D72" s="13" t="s">
        <v>3040</v>
      </c>
      <c r="E72" s="13" t="s">
        <v>3059</v>
      </c>
      <c r="F72" s="22" t="s">
        <v>3060</v>
      </c>
      <c r="G72" s="22">
        <v>22.457210178828255</v>
      </c>
      <c r="H72" s="22">
        <v>0.93963759880735764</v>
      </c>
      <c r="I72" s="22">
        <v>97.607799568139725</v>
      </c>
      <c r="J72" s="22">
        <v>3.1518470025170386</v>
      </c>
      <c r="K72" s="22">
        <v>31.039123587073096</v>
      </c>
      <c r="L72" s="22">
        <f>VLOOKUP($F72,'BaseIBK distritos filt'!$D$2:$BF$170,52,FALSE)</f>
        <v>1</v>
      </c>
      <c r="M72" s="22">
        <f>VLOOKUP($F72,'BaseIBK distritos filt'!$D$2:$BF$170,53,FALSE)</f>
        <v>56070</v>
      </c>
      <c r="N72" s="22">
        <f>VLOOKUP($F72,'BaseIBK distritos filt'!$D$2:$BF$170,54,FALSE)</f>
        <v>1</v>
      </c>
      <c r="O72" s="13">
        <f>VLOOKUP($F72,'BaseIBK distritos filt'!$D$2:$BF$170,55,FALSE)</f>
        <v>0.3</v>
      </c>
    </row>
    <row r="73" spans="2:15" x14ac:dyDescent="0.35">
      <c r="B73" s="18">
        <v>69</v>
      </c>
      <c r="C73" s="13" t="s">
        <v>2695</v>
      </c>
      <c r="D73" s="13" t="s">
        <v>2696</v>
      </c>
      <c r="E73" s="13" t="s">
        <v>2751</v>
      </c>
      <c r="F73" s="22" t="s">
        <v>2752</v>
      </c>
      <c r="G73" s="22">
        <v>16.554769208690363</v>
      </c>
      <c r="H73" s="22">
        <v>6.1843619526030915</v>
      </c>
      <c r="I73" s="22">
        <v>81.044633890530832</v>
      </c>
      <c r="J73" s="22">
        <v>20.092921325852508</v>
      </c>
      <c r="K73" s="22">
        <v>30.969171594419201</v>
      </c>
      <c r="L73" s="22">
        <f>VLOOKUP($F73,'BaseIBK distritos filt'!$D$2:$BF$170,52,FALSE)</f>
        <v>5.8</v>
      </c>
      <c r="M73" s="22">
        <f>VLOOKUP($F73,'BaseIBK distritos filt'!$D$2:$BF$170,53,FALSE)</f>
        <v>269542</v>
      </c>
      <c r="N73" s="22">
        <f>VLOOKUP($F73,'BaseIBK distritos filt'!$D$2:$BF$170,54,FALSE)</f>
        <v>1</v>
      </c>
      <c r="O73" s="13">
        <f>VLOOKUP($F73,'BaseIBK distritos filt'!$D$2:$BF$170,55,FALSE)</f>
        <v>1</v>
      </c>
    </row>
    <row r="74" spans="2:15" x14ac:dyDescent="0.35">
      <c r="B74" s="18">
        <v>70</v>
      </c>
      <c r="C74" s="13" t="s">
        <v>3846</v>
      </c>
      <c r="D74" s="13" t="s">
        <v>3846</v>
      </c>
      <c r="E74" s="13" t="s">
        <v>3846</v>
      </c>
      <c r="F74" s="22" t="s">
        <v>3847</v>
      </c>
      <c r="G74" s="22">
        <v>15.128628966019301</v>
      </c>
      <c r="H74" s="22">
        <v>12.358632788903687</v>
      </c>
      <c r="I74" s="22">
        <v>82.922392581289074</v>
      </c>
      <c r="J74" s="22">
        <v>13.386584699661855</v>
      </c>
      <c r="K74" s="22">
        <v>30.949059758968481</v>
      </c>
      <c r="L74" s="22">
        <f>VLOOKUP($F74,'BaseIBK distritos filt'!$D$2:$BF$170,52,FALSE)</f>
        <v>3.5</v>
      </c>
      <c r="M74" s="22">
        <f>VLOOKUP($F74,'BaseIBK distritos filt'!$D$2:$BF$170,53,FALSE)</f>
        <v>150553</v>
      </c>
      <c r="N74" s="22">
        <f>VLOOKUP($F74,'BaseIBK distritos filt'!$D$2:$BF$170,54,FALSE)</f>
        <v>2</v>
      </c>
      <c r="O74" s="13">
        <f>VLOOKUP($F74,'BaseIBK distritos filt'!$D$2:$BF$170,55,FALSE)</f>
        <v>0.2</v>
      </c>
    </row>
    <row r="75" spans="2:15" x14ac:dyDescent="0.35">
      <c r="B75" s="18">
        <v>71</v>
      </c>
      <c r="C75" s="13" t="s">
        <v>1496</v>
      </c>
      <c r="D75" s="13" t="s">
        <v>1496</v>
      </c>
      <c r="E75" s="13" t="s">
        <v>1502</v>
      </c>
      <c r="F75" s="22" t="s">
        <v>1503</v>
      </c>
      <c r="G75" s="22">
        <v>14.184343563490154</v>
      </c>
      <c r="H75" s="22">
        <v>7.8480239729315642</v>
      </c>
      <c r="I75" s="22">
        <v>93.15444125998782</v>
      </c>
      <c r="J75" s="22">
        <v>8.4273736308610907</v>
      </c>
      <c r="K75" s="22">
        <v>30.903545606817659</v>
      </c>
      <c r="L75" s="22">
        <f>VLOOKUP($F75,'BaseIBK distritos filt'!$D$2:$BF$170,52,FALSE)</f>
        <v>1</v>
      </c>
      <c r="M75" s="22">
        <f>VLOOKUP($F75,'BaseIBK distritos filt'!$D$2:$BF$170,53,FALSE)</f>
        <v>48565</v>
      </c>
      <c r="N75" s="22">
        <f>VLOOKUP($F75,'BaseIBK distritos filt'!$D$2:$BF$170,54,FALSE)</f>
        <v>0</v>
      </c>
      <c r="O75" s="13">
        <f>VLOOKUP($F75,'BaseIBK distritos filt'!$D$2:$BF$170,55,FALSE)</f>
        <v>0</v>
      </c>
    </row>
    <row r="76" spans="2:15" x14ac:dyDescent="0.35">
      <c r="B76" s="18">
        <v>72</v>
      </c>
      <c r="C76" s="13" t="s">
        <v>250</v>
      </c>
      <c r="D76" s="13" t="s">
        <v>530</v>
      </c>
      <c r="E76" s="13" t="s">
        <v>546</v>
      </c>
      <c r="F76" s="22" t="s">
        <v>547</v>
      </c>
      <c r="G76" s="22">
        <v>15.87846402150512</v>
      </c>
      <c r="H76" s="22">
        <v>8.032877428310222</v>
      </c>
      <c r="I76" s="22">
        <v>86.6693556535364</v>
      </c>
      <c r="J76" s="22">
        <v>11.793726140706481</v>
      </c>
      <c r="K76" s="22">
        <v>30.593605811014555</v>
      </c>
      <c r="L76" s="22">
        <f>VLOOKUP($F76,'BaseIBK distritos filt'!$D$2:$BF$170,52,FALSE)</f>
        <v>3.4</v>
      </c>
      <c r="M76" s="22">
        <f>VLOOKUP($F76,'BaseIBK distritos filt'!$D$2:$BF$170,53,FALSE)</f>
        <v>159822</v>
      </c>
      <c r="N76" s="22">
        <f>VLOOKUP($F76,'BaseIBK distritos filt'!$D$2:$BF$170,54,FALSE)</f>
        <v>0</v>
      </c>
      <c r="O76" s="13">
        <f>VLOOKUP($F76,'BaseIBK distritos filt'!$D$2:$BF$170,55,FALSE)</f>
        <v>0</v>
      </c>
    </row>
    <row r="77" spans="2:15" x14ac:dyDescent="0.35">
      <c r="B77" s="18">
        <v>73</v>
      </c>
      <c r="C77" s="13" t="s">
        <v>263</v>
      </c>
      <c r="D77" s="13" t="s">
        <v>2449</v>
      </c>
      <c r="E77" s="13" t="s">
        <v>2469</v>
      </c>
      <c r="F77" s="22" t="s">
        <v>2470</v>
      </c>
      <c r="G77" s="22">
        <v>20.258529400276398</v>
      </c>
      <c r="H77" s="22">
        <v>3.1925913263173213</v>
      </c>
      <c r="I77" s="22">
        <v>90.320467710903131</v>
      </c>
      <c r="J77" s="22">
        <v>8.5189461279123098</v>
      </c>
      <c r="K77" s="22">
        <v>30.57263364135229</v>
      </c>
      <c r="L77" s="22">
        <f>VLOOKUP($F77,'BaseIBK distritos filt'!$D$2:$BF$170,52,FALSE)</f>
        <v>2.8</v>
      </c>
      <c r="M77" s="22">
        <f>VLOOKUP($F77,'BaseIBK distritos filt'!$D$2:$BF$170,53,FALSE)</f>
        <v>145778</v>
      </c>
      <c r="N77" s="22">
        <f>VLOOKUP($F77,'BaseIBK distritos filt'!$D$2:$BF$170,54,FALSE)</f>
        <v>0</v>
      </c>
      <c r="O77" s="13">
        <f>VLOOKUP($F77,'BaseIBK distritos filt'!$D$2:$BF$170,55,FALSE)</f>
        <v>0</v>
      </c>
    </row>
    <row r="78" spans="2:15" x14ac:dyDescent="0.35">
      <c r="B78" s="18">
        <v>74</v>
      </c>
      <c r="C78" s="13" t="s">
        <v>2199</v>
      </c>
      <c r="D78" s="13" t="s">
        <v>2200</v>
      </c>
      <c r="E78" s="13" t="s">
        <v>2208</v>
      </c>
      <c r="F78" s="22" t="s">
        <v>2209</v>
      </c>
      <c r="G78" s="22">
        <v>12.401843541953546</v>
      </c>
      <c r="H78" s="22">
        <v>8.3837178963363144</v>
      </c>
      <c r="I78" s="22">
        <v>97.234331297046907</v>
      </c>
      <c r="J78" s="22">
        <v>4.2309487582004408</v>
      </c>
      <c r="K78" s="22">
        <v>30.562710373384302</v>
      </c>
      <c r="L78" s="22">
        <f>VLOOKUP($F78,'BaseIBK distritos filt'!$D$2:$BF$170,52,FALSE)</f>
        <v>3.1</v>
      </c>
      <c r="M78" s="22">
        <f>VLOOKUP($F78,'BaseIBK distritos filt'!$D$2:$BF$170,53,FALSE)</f>
        <v>129537</v>
      </c>
      <c r="N78" s="22">
        <f>VLOOKUP($F78,'BaseIBK distritos filt'!$D$2:$BF$170,54,FALSE)</f>
        <v>0</v>
      </c>
      <c r="O78" s="13">
        <f>VLOOKUP($F78,'BaseIBK distritos filt'!$D$2:$BF$170,55,FALSE)</f>
        <v>0</v>
      </c>
    </row>
    <row r="79" spans="2:15" x14ac:dyDescent="0.35">
      <c r="B79" s="18">
        <v>75</v>
      </c>
      <c r="C79" s="13" t="s">
        <v>1482</v>
      </c>
      <c r="D79" s="13" t="s">
        <v>1482</v>
      </c>
      <c r="E79" s="13" t="s">
        <v>1484</v>
      </c>
      <c r="F79" s="22" t="s">
        <v>1485</v>
      </c>
      <c r="G79" s="22">
        <v>22.263959805698661</v>
      </c>
      <c r="H79" s="22">
        <v>3.3464712433766053</v>
      </c>
      <c r="I79" s="22">
        <v>86.597118913305735</v>
      </c>
      <c r="J79" s="22">
        <v>9.0154503096082941</v>
      </c>
      <c r="K79" s="22">
        <v>30.305750067997323</v>
      </c>
      <c r="L79" s="22">
        <f>VLOOKUP($F79,'BaseIBK distritos filt'!$D$2:$BF$170,52,FALSE)</f>
        <v>2.2999999999999998</v>
      </c>
      <c r="M79" s="22">
        <f>VLOOKUP($F79,'BaseIBK distritos filt'!$D$2:$BF$170,53,FALSE)</f>
        <v>128886</v>
      </c>
      <c r="N79" s="22">
        <f>VLOOKUP($F79,'BaseIBK distritos filt'!$D$2:$BF$170,54,FALSE)</f>
        <v>1</v>
      </c>
      <c r="O79" s="13">
        <f>VLOOKUP($F79,'BaseIBK distritos filt'!$D$2:$BF$170,55,FALSE)</f>
        <v>0.2</v>
      </c>
    </row>
    <row r="80" spans="2:15" x14ac:dyDescent="0.35">
      <c r="B80" s="18">
        <v>76</v>
      </c>
      <c r="C80" s="13" t="s">
        <v>2695</v>
      </c>
      <c r="D80" s="13" t="s">
        <v>2696</v>
      </c>
      <c r="E80" s="13" t="s">
        <v>2763</v>
      </c>
      <c r="F80" s="22" t="s">
        <v>2764</v>
      </c>
      <c r="G80" s="22">
        <v>30.733260715650701</v>
      </c>
      <c r="H80" s="22">
        <v>6.5665275945577877</v>
      </c>
      <c r="I80" s="22">
        <v>74.091564207843248</v>
      </c>
      <c r="J80" s="22">
        <v>9.6554209954320456</v>
      </c>
      <c r="K80" s="22">
        <v>30.26169337837095</v>
      </c>
      <c r="L80" s="22">
        <f>VLOOKUP($F80,'BaseIBK distritos filt'!$D$2:$BF$170,52,FALSE)</f>
        <v>3.7</v>
      </c>
      <c r="M80" s="22">
        <f>VLOOKUP($F80,'BaseIBK distritos filt'!$D$2:$BF$170,53,FALSE)</f>
        <v>232017</v>
      </c>
      <c r="N80" s="22">
        <f>VLOOKUP($F80,'BaseIBK distritos filt'!$D$2:$BF$170,54,FALSE)</f>
        <v>0</v>
      </c>
      <c r="O80" s="13">
        <f>VLOOKUP($F80,'BaseIBK distritos filt'!$D$2:$BF$170,55,FALSE)</f>
        <v>0</v>
      </c>
    </row>
    <row r="81" spans="2:15" x14ac:dyDescent="0.35">
      <c r="B81" s="18">
        <v>77</v>
      </c>
      <c r="C81" s="13" t="s">
        <v>3632</v>
      </c>
      <c r="D81" s="13" t="s">
        <v>3662</v>
      </c>
      <c r="E81" s="13" t="s">
        <v>3767</v>
      </c>
      <c r="F81" s="22" t="s">
        <v>3768</v>
      </c>
      <c r="G81" s="22">
        <v>19.129879524253113</v>
      </c>
      <c r="H81" s="22">
        <v>1.6267286981068108</v>
      </c>
      <c r="I81" s="22">
        <v>96.563860787986457</v>
      </c>
      <c r="J81" s="22">
        <v>2.9946888079336613</v>
      </c>
      <c r="K81" s="22">
        <v>30.078789454570011</v>
      </c>
      <c r="L81" s="22">
        <f>VLOOKUP($F81,'BaseIBK distritos filt'!$D$2:$BF$170,52,FALSE)</f>
        <v>1.1000000000000001</v>
      </c>
      <c r="M81" s="22">
        <f>VLOOKUP($F81,'BaseIBK distritos filt'!$D$2:$BF$170,53,FALSE)</f>
        <v>52943</v>
      </c>
      <c r="N81" s="22">
        <f>VLOOKUP($F81,'BaseIBK distritos filt'!$D$2:$BF$170,54,FALSE)</f>
        <v>0</v>
      </c>
      <c r="O81" s="13">
        <f>VLOOKUP($F81,'BaseIBK distritos filt'!$D$2:$BF$170,55,FALSE)</f>
        <v>0</v>
      </c>
    </row>
    <row r="82" spans="2:15" x14ac:dyDescent="0.35">
      <c r="B82" s="18">
        <v>78</v>
      </c>
      <c r="C82" s="13" t="s">
        <v>757</v>
      </c>
      <c r="D82" s="13" t="s">
        <v>757</v>
      </c>
      <c r="E82" s="13" t="s">
        <v>799</v>
      </c>
      <c r="F82" s="22" t="s">
        <v>800</v>
      </c>
      <c r="G82" s="22">
        <v>14.238007587034874</v>
      </c>
      <c r="H82" s="22">
        <v>3.6592785938996979</v>
      </c>
      <c r="I82" s="22">
        <v>98.633191458459208</v>
      </c>
      <c r="J82" s="22">
        <v>3.6173461882111533</v>
      </c>
      <c r="K82" s="22">
        <v>30.036955956901235</v>
      </c>
      <c r="L82" s="22">
        <f>VLOOKUP($F82,'BaseIBK distritos filt'!$D$2:$BF$170,52,FALSE)</f>
        <v>2.7</v>
      </c>
      <c r="M82" s="22">
        <f>VLOOKUP($F82,'BaseIBK distritos filt'!$D$2:$BF$170,53,FALSE)</f>
        <v>122649</v>
      </c>
      <c r="N82" s="22">
        <f>VLOOKUP($F82,'BaseIBK distritos filt'!$D$2:$BF$170,54,FALSE)</f>
        <v>0</v>
      </c>
      <c r="O82" s="13">
        <f>VLOOKUP($F82,'BaseIBK distritos filt'!$D$2:$BF$170,55,FALSE)</f>
        <v>0</v>
      </c>
    </row>
    <row r="83" spans="2:15" x14ac:dyDescent="0.35">
      <c r="B83" s="18">
        <v>79</v>
      </c>
      <c r="C83" s="13" t="s">
        <v>2111</v>
      </c>
      <c r="D83" s="13" t="s">
        <v>2111</v>
      </c>
      <c r="E83" s="13" t="s">
        <v>2121</v>
      </c>
      <c r="F83" s="22" t="s">
        <v>2122</v>
      </c>
      <c r="G83" s="22">
        <v>11.461758729284874</v>
      </c>
      <c r="H83" s="22">
        <v>4.5750343977065251</v>
      </c>
      <c r="I83" s="22">
        <v>100</v>
      </c>
      <c r="J83" s="22">
        <v>3.4782453602677252</v>
      </c>
      <c r="K83" s="22">
        <v>29.87875962181478</v>
      </c>
      <c r="L83" s="22">
        <f>VLOOKUP($F83,'BaseIBK distritos filt'!$D$2:$BF$170,52,FALSE)</f>
        <v>1.6</v>
      </c>
      <c r="M83" s="22">
        <f>VLOOKUP($F83,'BaseIBK distritos filt'!$D$2:$BF$170,53,FALSE)</f>
        <v>66478</v>
      </c>
      <c r="N83" s="22">
        <f>VLOOKUP($F83,'BaseIBK distritos filt'!$D$2:$BF$170,54,FALSE)</f>
        <v>0</v>
      </c>
      <c r="O83" s="13">
        <f>VLOOKUP($F83,'BaseIBK distritos filt'!$D$2:$BF$170,55,FALSE)</f>
        <v>0</v>
      </c>
    </row>
    <row r="84" spans="2:15" x14ac:dyDescent="0.35">
      <c r="B84" s="18">
        <v>80</v>
      </c>
      <c r="C84" s="13" t="s">
        <v>757</v>
      </c>
      <c r="D84" s="13" t="s">
        <v>757</v>
      </c>
      <c r="E84" s="13" t="s">
        <v>775</v>
      </c>
      <c r="F84" s="22" t="s">
        <v>776</v>
      </c>
      <c r="G84" s="22">
        <v>16.093141703124221</v>
      </c>
      <c r="H84" s="22">
        <v>10.640352806042445</v>
      </c>
      <c r="I84" s="22">
        <v>86.023359838076431</v>
      </c>
      <c r="J84" s="22">
        <v>6.6907039985620669</v>
      </c>
      <c r="K84" s="22">
        <v>29.861889586451291</v>
      </c>
      <c r="L84" s="22">
        <f>VLOOKUP($F84,'BaseIBK distritos filt'!$D$2:$BF$170,52,FALSE)</f>
        <v>3.1</v>
      </c>
      <c r="M84" s="22">
        <f>VLOOKUP($F84,'BaseIBK distritos filt'!$D$2:$BF$170,53,FALSE)</f>
        <v>144928</v>
      </c>
      <c r="N84" s="22">
        <f>VLOOKUP($F84,'BaseIBK distritos filt'!$D$2:$BF$170,54,FALSE)</f>
        <v>2</v>
      </c>
      <c r="O84" s="13">
        <f>VLOOKUP($F84,'BaseIBK distritos filt'!$D$2:$BF$170,55,FALSE)</f>
        <v>0.4</v>
      </c>
    </row>
    <row r="85" spans="2:15" x14ac:dyDescent="0.35">
      <c r="B85" s="18">
        <v>81</v>
      </c>
      <c r="C85" s="13" t="s">
        <v>2695</v>
      </c>
      <c r="D85" s="13" t="s">
        <v>2696</v>
      </c>
      <c r="E85" s="13" t="s">
        <v>2699</v>
      </c>
      <c r="F85" s="22" t="s">
        <v>2700</v>
      </c>
      <c r="G85" s="22">
        <v>18.273311885650589</v>
      </c>
      <c r="H85" s="22">
        <v>2.3042346258089013</v>
      </c>
      <c r="I85" s="22">
        <v>94.528396660585116</v>
      </c>
      <c r="J85" s="22">
        <v>3.1808625766593996</v>
      </c>
      <c r="K85" s="22">
        <v>29.571701437175999</v>
      </c>
      <c r="L85" s="22">
        <f>VLOOKUP($F85,'BaseIBK distritos filt'!$D$2:$BF$170,52,FALSE)</f>
        <v>1.2</v>
      </c>
      <c r="M85" s="22">
        <f>VLOOKUP($F85,'BaseIBK distritos filt'!$D$2:$BF$170,53,FALSE)</f>
        <v>50627</v>
      </c>
      <c r="N85" s="22">
        <f>VLOOKUP($F85,'BaseIBK distritos filt'!$D$2:$BF$170,54,FALSE)</f>
        <v>0</v>
      </c>
      <c r="O85" s="13">
        <f>VLOOKUP($F85,'BaseIBK distritos filt'!$D$2:$BF$170,55,FALSE)</f>
        <v>0</v>
      </c>
    </row>
    <row r="86" spans="2:15" x14ac:dyDescent="0.35">
      <c r="B86" s="18">
        <v>82</v>
      </c>
      <c r="C86" s="13" t="s">
        <v>3278</v>
      </c>
      <c r="D86" s="13" t="s">
        <v>3382</v>
      </c>
      <c r="E86" s="13" t="s">
        <v>3383</v>
      </c>
      <c r="F86" s="22" t="s">
        <v>3384</v>
      </c>
      <c r="G86" s="22">
        <v>14.831957549994817</v>
      </c>
      <c r="H86" s="22">
        <v>7.3848783323490084</v>
      </c>
      <c r="I86" s="22">
        <v>85.282096388320952</v>
      </c>
      <c r="J86" s="22">
        <v>10.626163217413614</v>
      </c>
      <c r="K86" s="22">
        <v>29.5312738720196</v>
      </c>
      <c r="L86" s="22">
        <f>VLOOKUP($F86,'BaseIBK distritos filt'!$D$2:$BF$170,52,FALSE)</f>
        <v>1.5</v>
      </c>
      <c r="M86" s="22">
        <f>VLOOKUP($F86,'BaseIBK distritos filt'!$D$2:$BF$170,53,FALSE)</f>
        <v>63823</v>
      </c>
      <c r="N86" s="22">
        <f>VLOOKUP($F86,'BaseIBK distritos filt'!$D$2:$BF$170,54,FALSE)</f>
        <v>0</v>
      </c>
      <c r="O86" s="13">
        <f>VLOOKUP($F86,'BaseIBK distritos filt'!$D$2:$BF$170,55,FALSE)</f>
        <v>0</v>
      </c>
    </row>
    <row r="87" spans="2:15" x14ac:dyDescent="0.35">
      <c r="B87" s="18">
        <v>83</v>
      </c>
      <c r="C87" s="13" t="s">
        <v>263</v>
      </c>
      <c r="D87" s="13" t="s">
        <v>2449</v>
      </c>
      <c r="E87" s="13" t="s">
        <v>2457</v>
      </c>
      <c r="F87" s="22" t="s">
        <v>2458</v>
      </c>
      <c r="G87" s="22">
        <v>14.593976759726718</v>
      </c>
      <c r="H87" s="22">
        <v>11.214843318431848</v>
      </c>
      <c r="I87" s="22">
        <v>82.343526946732638</v>
      </c>
      <c r="J87" s="22">
        <v>9.8150090168321249</v>
      </c>
      <c r="K87" s="22">
        <v>29.491839010430834</v>
      </c>
      <c r="L87" s="22">
        <f>VLOOKUP($F87,'BaseIBK distritos filt'!$D$2:$BF$170,52,FALSE)</f>
        <v>3.4</v>
      </c>
      <c r="M87" s="22">
        <f>VLOOKUP($F87,'BaseIBK distritos filt'!$D$2:$BF$170,53,FALSE)</f>
        <v>153403</v>
      </c>
      <c r="N87" s="22">
        <f>VLOOKUP($F87,'BaseIBK distritos filt'!$D$2:$BF$170,54,FALSE)</f>
        <v>1</v>
      </c>
      <c r="O87" s="13">
        <f>VLOOKUP($F87,'BaseIBK distritos filt'!$D$2:$BF$170,55,FALSE)</f>
        <v>0.2</v>
      </c>
    </row>
    <row r="88" spans="2:15" x14ac:dyDescent="0.35">
      <c r="B88" s="18">
        <v>84</v>
      </c>
      <c r="C88" s="13" t="s">
        <v>757</v>
      </c>
      <c r="D88" s="13" t="s">
        <v>757</v>
      </c>
      <c r="E88" s="13" t="s">
        <v>807</v>
      </c>
      <c r="F88" s="22" t="s">
        <v>808</v>
      </c>
      <c r="G88" s="22">
        <v>21.609219078654846</v>
      </c>
      <c r="H88" s="22">
        <v>2.7499913422085802</v>
      </c>
      <c r="I88" s="22">
        <v>86.626498889552423</v>
      </c>
      <c r="J88" s="22">
        <v>5.4904885925085454</v>
      </c>
      <c r="K88" s="22">
        <v>29.119049475731096</v>
      </c>
      <c r="L88" s="22">
        <f>VLOOKUP($F88,'BaseIBK distritos filt'!$D$2:$BF$170,52,FALSE)</f>
        <v>1.5</v>
      </c>
      <c r="M88" s="22">
        <f>VLOOKUP($F88,'BaseIBK distritos filt'!$D$2:$BF$170,53,FALSE)</f>
        <v>82122</v>
      </c>
      <c r="N88" s="22">
        <f>VLOOKUP($F88,'BaseIBK distritos filt'!$D$2:$BF$170,54,FALSE)</f>
        <v>1</v>
      </c>
      <c r="O88" s="13">
        <f>VLOOKUP($F88,'BaseIBK distritos filt'!$D$2:$BF$170,55,FALSE)</f>
        <v>0.1</v>
      </c>
    </row>
    <row r="89" spans="2:15" x14ac:dyDescent="0.35">
      <c r="B89" s="18">
        <v>85</v>
      </c>
      <c r="C89" s="13" t="s">
        <v>2695</v>
      </c>
      <c r="D89" s="13" t="s">
        <v>2696</v>
      </c>
      <c r="E89" s="13" t="s">
        <v>2709</v>
      </c>
      <c r="F89" s="22" t="s">
        <v>2710</v>
      </c>
      <c r="G89" s="22">
        <v>12.510444214723973</v>
      </c>
      <c r="H89" s="22">
        <v>0.8281980440518194</v>
      </c>
      <c r="I89" s="22">
        <v>96.710730891731671</v>
      </c>
      <c r="J89" s="22">
        <v>5.4159042712349361</v>
      </c>
      <c r="K89" s="22">
        <v>28.8663193554356</v>
      </c>
      <c r="L89" s="22">
        <f>VLOOKUP($F89,'BaseIBK distritos filt'!$D$2:$BF$170,52,FALSE)</f>
        <v>1.4</v>
      </c>
      <c r="M89" s="22">
        <f>VLOOKUP($F89,'BaseIBK distritos filt'!$D$2:$BF$170,53,FALSE)</f>
        <v>62906</v>
      </c>
      <c r="N89" s="22">
        <f>VLOOKUP($F89,'BaseIBK distritos filt'!$D$2:$BF$170,54,FALSE)</f>
        <v>0</v>
      </c>
      <c r="O89" s="13">
        <f>VLOOKUP($F89,'BaseIBK distritos filt'!$D$2:$BF$170,55,FALSE)</f>
        <v>0</v>
      </c>
    </row>
    <row r="90" spans="2:15" x14ac:dyDescent="0.35">
      <c r="B90" s="18">
        <v>86</v>
      </c>
      <c r="C90" s="13" t="s">
        <v>3278</v>
      </c>
      <c r="D90" s="13" t="s">
        <v>3278</v>
      </c>
      <c r="E90" s="13" t="s">
        <v>3295</v>
      </c>
      <c r="F90" s="22" t="s">
        <v>3296</v>
      </c>
      <c r="G90" s="22">
        <v>13.274476925380007</v>
      </c>
      <c r="H90" s="22">
        <v>2.9993857866055449</v>
      </c>
      <c r="I90" s="22">
        <v>91.033069282454093</v>
      </c>
      <c r="J90" s="22">
        <v>7.9394667663087075</v>
      </c>
      <c r="K90" s="22">
        <v>28.811599690187091</v>
      </c>
      <c r="L90" s="22">
        <f>VLOOKUP($F90,'BaseIBK distritos filt'!$D$2:$BF$170,52,FALSE)</f>
        <v>2.8</v>
      </c>
      <c r="M90" s="22">
        <f>VLOOKUP($F90,'BaseIBK distritos filt'!$D$2:$BF$170,53,FALSE)</f>
        <v>119900</v>
      </c>
      <c r="N90" s="22">
        <f>VLOOKUP($F90,'BaseIBK distritos filt'!$D$2:$BF$170,54,FALSE)</f>
        <v>0</v>
      </c>
      <c r="O90" s="13">
        <f>VLOOKUP($F90,'BaseIBK distritos filt'!$D$2:$BF$170,55,FALSE)</f>
        <v>0</v>
      </c>
    </row>
    <row r="91" spans="2:15" x14ac:dyDescent="0.35">
      <c r="B91" s="18">
        <v>87</v>
      </c>
      <c r="C91" s="13" t="s">
        <v>2619</v>
      </c>
      <c r="D91" s="13" t="s">
        <v>2620</v>
      </c>
      <c r="E91" s="13" t="s">
        <v>2630</v>
      </c>
      <c r="F91" s="22" t="s">
        <v>2631</v>
      </c>
      <c r="G91" s="22">
        <v>14.259192300897325</v>
      </c>
      <c r="H91" s="22">
        <v>6.988703165155953</v>
      </c>
      <c r="I91" s="22">
        <v>88.176621514018606</v>
      </c>
      <c r="J91" s="22">
        <v>5.776104630391794</v>
      </c>
      <c r="K91" s="22">
        <v>28.800155402615921</v>
      </c>
      <c r="L91" s="22">
        <f>VLOOKUP($F91,'BaseIBK distritos filt'!$D$2:$BF$170,52,FALSE)</f>
        <v>2.2999999999999998</v>
      </c>
      <c r="M91" s="22">
        <f>VLOOKUP($F91,'BaseIBK distritos filt'!$D$2:$BF$170,53,FALSE)</f>
        <v>104087</v>
      </c>
      <c r="N91" s="22">
        <f>VLOOKUP($F91,'BaseIBK distritos filt'!$D$2:$BF$170,54,FALSE)</f>
        <v>0</v>
      </c>
      <c r="O91" s="13">
        <f>VLOOKUP($F91,'BaseIBK distritos filt'!$D$2:$BF$170,55,FALSE)</f>
        <v>0</v>
      </c>
    </row>
    <row r="92" spans="2:15" x14ac:dyDescent="0.35">
      <c r="B92" s="18">
        <v>88</v>
      </c>
      <c r="C92" s="13" t="s">
        <v>250</v>
      </c>
      <c r="D92" s="13" t="s">
        <v>251</v>
      </c>
      <c r="E92" s="13" t="s">
        <v>259</v>
      </c>
      <c r="F92" s="22" t="s">
        <v>260</v>
      </c>
      <c r="G92" s="22">
        <v>13.909884806122811</v>
      </c>
      <c r="H92" s="22">
        <v>1.5173876267466766</v>
      </c>
      <c r="I92" s="22">
        <v>94.018571802477084</v>
      </c>
      <c r="J92" s="22">
        <v>4.8354230290114053</v>
      </c>
      <c r="K92" s="22">
        <v>28.570316816089495</v>
      </c>
      <c r="L92" s="22">
        <f>VLOOKUP($F92,'BaseIBK distritos filt'!$D$2:$BF$170,52,FALSE)</f>
        <v>1.8</v>
      </c>
      <c r="M92" s="22">
        <f>VLOOKUP($F92,'BaseIBK distritos filt'!$D$2:$BF$170,53,FALSE)</f>
        <v>89333</v>
      </c>
      <c r="N92" s="22">
        <f>VLOOKUP($F92,'BaseIBK distritos filt'!$D$2:$BF$170,54,FALSE)</f>
        <v>1</v>
      </c>
      <c r="O92" s="13">
        <f>VLOOKUP($F92,'BaseIBK distritos filt'!$D$2:$BF$170,55,FALSE)</f>
        <v>0.1</v>
      </c>
    </row>
    <row r="93" spans="2:15" x14ac:dyDescent="0.35">
      <c r="B93" s="18">
        <v>89</v>
      </c>
      <c r="C93" s="13" t="s">
        <v>2695</v>
      </c>
      <c r="D93" s="13" t="s">
        <v>2696</v>
      </c>
      <c r="E93" s="13" t="s">
        <v>2713</v>
      </c>
      <c r="F93" s="22" t="s">
        <v>2714</v>
      </c>
      <c r="G93" s="22">
        <v>13.970298008006763</v>
      </c>
      <c r="H93" s="22">
        <v>0.72764290014958743</v>
      </c>
      <c r="I93" s="22">
        <v>96.329985596097004</v>
      </c>
      <c r="J93" s="22">
        <v>2.3091131238351554</v>
      </c>
      <c r="K93" s="22">
        <v>28.33425990702213</v>
      </c>
      <c r="L93" s="22">
        <f>VLOOKUP($F93,'BaseIBK distritos filt'!$D$2:$BF$170,52,FALSE)</f>
        <v>0.8</v>
      </c>
      <c r="M93" s="22">
        <f>VLOOKUP($F93,'BaseIBK distritos filt'!$D$2:$BF$170,53,FALSE)</f>
        <v>35235</v>
      </c>
      <c r="N93" s="22">
        <f>VLOOKUP($F93,'BaseIBK distritos filt'!$D$2:$BF$170,54,FALSE)</f>
        <v>0</v>
      </c>
      <c r="O93" s="13">
        <f>VLOOKUP($F93,'BaseIBK distritos filt'!$D$2:$BF$170,55,FALSE)</f>
        <v>0</v>
      </c>
    </row>
    <row r="94" spans="2:15" x14ac:dyDescent="0.35">
      <c r="B94" s="18">
        <v>90</v>
      </c>
      <c r="C94" s="13" t="s">
        <v>2695</v>
      </c>
      <c r="D94" s="13" t="s">
        <v>2696</v>
      </c>
      <c r="E94" s="13" t="s">
        <v>2741</v>
      </c>
      <c r="F94" s="22" t="s">
        <v>2742</v>
      </c>
      <c r="G94" s="22">
        <v>16.888465872852453</v>
      </c>
      <c r="H94" s="22">
        <v>11.520330241013411</v>
      </c>
      <c r="I94" s="22">
        <v>77.738677967223779</v>
      </c>
      <c r="J94" s="22">
        <v>6.8164144993409819</v>
      </c>
      <c r="K94" s="22">
        <v>28.240972145107655</v>
      </c>
      <c r="L94" s="22">
        <f>VLOOKUP($F94,'BaseIBK distritos filt'!$D$2:$BF$170,52,FALSE)</f>
        <v>2</v>
      </c>
      <c r="M94" s="22">
        <f>VLOOKUP($F94,'BaseIBK distritos filt'!$D$2:$BF$170,53,FALSE)</f>
        <v>83506</v>
      </c>
      <c r="N94" s="22">
        <f>VLOOKUP($F94,'BaseIBK distritos filt'!$D$2:$BF$170,54,FALSE)</f>
        <v>1</v>
      </c>
      <c r="O94" s="13">
        <f>VLOOKUP($F94,'BaseIBK distritos filt'!$D$2:$BF$170,55,FALSE)</f>
        <v>0.1</v>
      </c>
    </row>
    <row r="95" spans="2:15" x14ac:dyDescent="0.35">
      <c r="B95" s="18">
        <v>91</v>
      </c>
      <c r="C95" s="13" t="s">
        <v>3632</v>
      </c>
      <c r="D95" s="13" t="s">
        <v>3662</v>
      </c>
      <c r="E95" s="13" t="s">
        <v>3765</v>
      </c>
      <c r="F95" s="22" t="s">
        <v>3766</v>
      </c>
      <c r="G95" s="22">
        <v>17.288628975752559</v>
      </c>
      <c r="H95" s="22">
        <v>0.31920114732699506</v>
      </c>
      <c r="I95" s="22">
        <v>91.121656602176159</v>
      </c>
      <c r="J95" s="22">
        <v>2.8710776753545528</v>
      </c>
      <c r="K95" s="22">
        <v>27.900141100152567</v>
      </c>
      <c r="L95" s="22">
        <f>VLOOKUP($F95,'BaseIBK distritos filt'!$D$2:$BF$170,52,FALSE)</f>
        <v>0.9</v>
      </c>
      <c r="M95" s="22">
        <f>VLOOKUP($F95,'BaseIBK distritos filt'!$D$2:$BF$170,53,FALSE)</f>
        <v>40593</v>
      </c>
      <c r="N95" s="22">
        <f>VLOOKUP($F95,'BaseIBK distritos filt'!$D$2:$BF$170,54,FALSE)</f>
        <v>0</v>
      </c>
      <c r="O95" s="13">
        <f>VLOOKUP($F95,'BaseIBK distritos filt'!$D$2:$BF$170,55,FALSE)</f>
        <v>0</v>
      </c>
    </row>
    <row r="96" spans="2:15" x14ac:dyDescent="0.35">
      <c r="B96" s="18">
        <v>92</v>
      </c>
      <c r="C96" s="13" t="s">
        <v>263</v>
      </c>
      <c r="D96" s="13" t="s">
        <v>2449</v>
      </c>
      <c r="E96" s="13" t="s">
        <v>2455</v>
      </c>
      <c r="F96" s="22" t="s">
        <v>2456</v>
      </c>
      <c r="G96" s="22">
        <v>17.639124838115222</v>
      </c>
      <c r="H96" s="22">
        <v>3.0501649235395716</v>
      </c>
      <c r="I96" s="22">
        <v>86.228573627219447</v>
      </c>
      <c r="J96" s="22">
        <v>4.1191965123072949</v>
      </c>
      <c r="K96" s="22">
        <v>27.759264975295384</v>
      </c>
      <c r="L96" s="22">
        <f>VLOOKUP($F96,'BaseIBK distritos filt'!$D$2:$BF$170,52,FALSE)</f>
        <v>1.3</v>
      </c>
      <c r="M96" s="22">
        <f>VLOOKUP($F96,'BaseIBK distritos filt'!$D$2:$BF$170,53,FALSE)</f>
        <v>60443</v>
      </c>
      <c r="N96" s="22">
        <f>VLOOKUP($F96,'BaseIBK distritos filt'!$D$2:$BF$170,54,FALSE)</f>
        <v>1</v>
      </c>
      <c r="O96" s="13">
        <f>VLOOKUP($F96,'BaseIBK distritos filt'!$D$2:$BF$170,55,FALSE)</f>
        <v>0.2</v>
      </c>
    </row>
    <row r="97" spans="2:15" x14ac:dyDescent="0.35">
      <c r="B97" s="18">
        <v>93</v>
      </c>
      <c r="C97" s="13" t="s">
        <v>757</v>
      </c>
      <c r="D97" s="13" t="s">
        <v>757</v>
      </c>
      <c r="E97" s="13" t="s">
        <v>769</v>
      </c>
      <c r="F97" s="22" t="s">
        <v>770</v>
      </c>
      <c r="G97" s="22">
        <v>10.385973196206418</v>
      </c>
      <c r="H97" s="22">
        <v>4.5678687989312055</v>
      </c>
      <c r="I97" s="22">
        <v>92.557757504190079</v>
      </c>
      <c r="J97" s="22">
        <v>2.7868623402333976</v>
      </c>
      <c r="K97" s="22">
        <v>27.574615459890275</v>
      </c>
      <c r="L97" s="22">
        <f>VLOOKUP($F97,'BaseIBK distritos filt'!$D$2:$BF$170,52,FALSE)</f>
        <v>1.9</v>
      </c>
      <c r="M97" s="22">
        <f>VLOOKUP($F97,'BaseIBK distritos filt'!$D$2:$BF$170,53,FALSE)</f>
        <v>78485</v>
      </c>
      <c r="N97" s="22">
        <f>VLOOKUP($F97,'BaseIBK distritos filt'!$D$2:$BF$170,54,FALSE)</f>
        <v>0</v>
      </c>
      <c r="O97" s="13">
        <f>VLOOKUP($F97,'BaseIBK distritos filt'!$D$2:$BF$170,55,FALSE)</f>
        <v>0</v>
      </c>
    </row>
    <row r="98" spans="2:15" x14ac:dyDescent="0.35">
      <c r="B98" s="18">
        <v>94</v>
      </c>
      <c r="C98" s="13" t="s">
        <v>757</v>
      </c>
      <c r="D98" s="13" t="s">
        <v>757</v>
      </c>
      <c r="E98" s="13" t="s">
        <v>801</v>
      </c>
      <c r="F98" s="22" t="s">
        <v>802</v>
      </c>
      <c r="G98" s="22">
        <v>15.95003797705016</v>
      </c>
      <c r="H98" s="22">
        <v>9.1942050758920077E-2</v>
      </c>
      <c r="I98" s="22">
        <v>93.242878030420854</v>
      </c>
      <c r="J98" s="22">
        <v>0.98559734511514896</v>
      </c>
      <c r="K98" s="22">
        <v>27.56761385083627</v>
      </c>
      <c r="L98" s="22">
        <f>VLOOKUP($F98,'BaseIBK distritos filt'!$D$2:$BF$170,52,FALSE)</f>
        <v>0.5</v>
      </c>
      <c r="M98" s="22">
        <f>VLOOKUP($F98,'BaseIBK distritos filt'!$D$2:$BF$170,53,FALSE)</f>
        <v>21926</v>
      </c>
      <c r="N98" s="22">
        <f>VLOOKUP($F98,'BaseIBK distritos filt'!$D$2:$BF$170,54,FALSE)</f>
        <v>0</v>
      </c>
      <c r="O98" s="13">
        <f>VLOOKUP($F98,'BaseIBK distritos filt'!$D$2:$BF$170,55,FALSE)</f>
        <v>0</v>
      </c>
    </row>
    <row r="99" spans="2:15" x14ac:dyDescent="0.35">
      <c r="B99" s="18">
        <v>95</v>
      </c>
      <c r="C99" s="13" t="s">
        <v>757</v>
      </c>
      <c r="D99" s="13" t="s">
        <v>757</v>
      </c>
      <c r="E99" s="13" t="s">
        <v>773</v>
      </c>
      <c r="F99" s="22" t="s">
        <v>774</v>
      </c>
      <c r="G99" s="22">
        <v>17.643697523427669</v>
      </c>
      <c r="H99" s="22">
        <v>0.74974456560714309</v>
      </c>
      <c r="I99" s="22">
        <v>88.021839967977286</v>
      </c>
      <c r="J99" s="22">
        <v>3.4829256921465239</v>
      </c>
      <c r="K99" s="22">
        <v>27.474551937289654</v>
      </c>
      <c r="L99" s="22">
        <f>VLOOKUP($F99,'BaseIBK distritos filt'!$D$2:$BF$170,52,FALSE)</f>
        <v>3.1</v>
      </c>
      <c r="M99" s="22">
        <f>VLOOKUP($F99,'BaseIBK distritos filt'!$D$2:$BF$170,53,FALSE)</f>
        <v>146897</v>
      </c>
      <c r="N99" s="22">
        <f>VLOOKUP($F99,'BaseIBK distritos filt'!$D$2:$BF$170,54,FALSE)</f>
        <v>1</v>
      </c>
      <c r="O99" s="13">
        <f>VLOOKUP($F99,'BaseIBK distritos filt'!$D$2:$BF$170,55,FALSE)</f>
        <v>0.8</v>
      </c>
    </row>
    <row r="100" spans="2:15" x14ac:dyDescent="0.35">
      <c r="B100" s="18">
        <v>96</v>
      </c>
      <c r="C100" s="13" t="s">
        <v>1496</v>
      </c>
      <c r="D100" s="13" t="s">
        <v>1496</v>
      </c>
      <c r="E100" s="13" t="s">
        <v>1506</v>
      </c>
      <c r="F100" s="22" t="s">
        <v>1507</v>
      </c>
      <c r="G100" s="22">
        <v>12.747816268081124</v>
      </c>
      <c r="H100" s="22">
        <v>7.0824076072281317</v>
      </c>
      <c r="I100" s="22">
        <v>83.66689115252143</v>
      </c>
      <c r="J100" s="22">
        <v>5.5206772324570501</v>
      </c>
      <c r="K100" s="22">
        <v>27.254448065071934</v>
      </c>
      <c r="L100" s="22">
        <f>VLOOKUP($F100,'BaseIBK distritos filt'!$D$2:$BF$170,52,FALSE)</f>
        <v>3.1</v>
      </c>
      <c r="M100" s="22">
        <f>VLOOKUP($F100,'BaseIBK distritos filt'!$D$2:$BF$170,53,FALSE)</f>
        <v>129034</v>
      </c>
      <c r="N100" s="22">
        <f>VLOOKUP($F100,'BaseIBK distritos filt'!$D$2:$BF$170,54,FALSE)</f>
        <v>2</v>
      </c>
      <c r="O100" s="13">
        <f>VLOOKUP($F100,'BaseIBK distritos filt'!$D$2:$BF$170,55,FALSE)</f>
        <v>0.4</v>
      </c>
    </row>
    <row r="101" spans="2:15" x14ac:dyDescent="0.35">
      <c r="B101" s="18">
        <v>97</v>
      </c>
      <c r="C101" s="13" t="s">
        <v>757</v>
      </c>
      <c r="D101" s="13" t="s">
        <v>757</v>
      </c>
      <c r="E101" s="13" t="s">
        <v>759</v>
      </c>
      <c r="F101" s="22" t="s">
        <v>760</v>
      </c>
      <c r="G101" s="22">
        <v>11.073220990503724</v>
      </c>
      <c r="H101" s="22">
        <v>4.1335005797167348</v>
      </c>
      <c r="I101" s="22">
        <v>88.953309441711738</v>
      </c>
      <c r="J101" s="22">
        <v>4.4834150449589067</v>
      </c>
      <c r="K101" s="22">
        <v>27.160861514222777</v>
      </c>
      <c r="L101" s="22">
        <f>VLOOKUP($F101,'BaseIBK distritos filt'!$D$2:$BF$170,52,FALSE)</f>
        <v>3.3</v>
      </c>
      <c r="M101" s="22">
        <f>VLOOKUP($F101,'BaseIBK distritos filt'!$D$2:$BF$170,53,FALSE)</f>
        <v>137970</v>
      </c>
      <c r="N101" s="22">
        <f>VLOOKUP($F101,'BaseIBK distritos filt'!$D$2:$BF$170,54,FALSE)</f>
        <v>0</v>
      </c>
      <c r="O101" s="13">
        <f>VLOOKUP($F101,'BaseIBK distritos filt'!$D$2:$BF$170,55,FALSE)</f>
        <v>0</v>
      </c>
    </row>
    <row r="102" spans="2:15" x14ac:dyDescent="0.35">
      <c r="B102" s="18">
        <v>98</v>
      </c>
      <c r="C102" s="13" t="s">
        <v>2695</v>
      </c>
      <c r="D102" s="13" t="s">
        <v>2937</v>
      </c>
      <c r="E102" s="13" t="s">
        <v>2937</v>
      </c>
      <c r="F102" s="22" t="s">
        <v>2948</v>
      </c>
      <c r="G102" s="22">
        <v>15.409598147946946</v>
      </c>
      <c r="H102" s="22">
        <v>1.7186820766264772</v>
      </c>
      <c r="I102" s="22">
        <v>89.229832832825934</v>
      </c>
      <c r="J102" s="22">
        <v>1.6496886769385308</v>
      </c>
      <c r="K102" s="22">
        <v>27.001950433584469</v>
      </c>
      <c r="L102" s="22">
        <f>VLOOKUP($F102,'BaseIBK distritos filt'!$D$2:$BF$170,52,FALSE)</f>
        <v>0.6</v>
      </c>
      <c r="M102" s="22">
        <f>VLOOKUP($F102,'BaseIBK distritos filt'!$D$2:$BF$170,53,FALSE)</f>
        <v>26829</v>
      </c>
      <c r="N102" s="22">
        <f>VLOOKUP($F102,'BaseIBK distritos filt'!$D$2:$BF$170,54,FALSE)</f>
        <v>0</v>
      </c>
      <c r="O102" s="13">
        <f>VLOOKUP($F102,'BaseIBK distritos filt'!$D$2:$BF$170,55,FALSE)</f>
        <v>0</v>
      </c>
    </row>
    <row r="103" spans="2:15" x14ac:dyDescent="0.35">
      <c r="B103" s="18">
        <v>99</v>
      </c>
      <c r="C103" s="13" t="s">
        <v>1482</v>
      </c>
      <c r="D103" s="13" t="s">
        <v>1482</v>
      </c>
      <c r="E103" s="13" t="s">
        <v>1486</v>
      </c>
      <c r="F103" s="22" t="s">
        <v>1487</v>
      </c>
      <c r="G103" s="22">
        <v>16.017409796492082</v>
      </c>
      <c r="H103" s="22">
        <v>1.2963854635497887</v>
      </c>
      <c r="I103" s="22">
        <v>86.02843620767834</v>
      </c>
      <c r="J103" s="22">
        <v>4.0589910771806643</v>
      </c>
      <c r="K103" s="22">
        <v>26.850305636225219</v>
      </c>
      <c r="L103" s="22">
        <f>VLOOKUP($F103,'BaseIBK distritos filt'!$D$2:$BF$170,52,FALSE)</f>
        <v>1.5</v>
      </c>
      <c r="M103" s="22">
        <f>VLOOKUP($F103,'BaseIBK distritos filt'!$D$2:$BF$170,53,FALSE)</f>
        <v>68134</v>
      </c>
      <c r="N103" s="22">
        <f>VLOOKUP($F103,'BaseIBK distritos filt'!$D$2:$BF$170,54,FALSE)</f>
        <v>0</v>
      </c>
      <c r="O103" s="13">
        <f>VLOOKUP($F103,'BaseIBK distritos filt'!$D$2:$BF$170,55,FALSE)</f>
        <v>0</v>
      </c>
    </row>
    <row r="104" spans="2:15" x14ac:dyDescent="0.35">
      <c r="B104" s="18">
        <v>100</v>
      </c>
      <c r="C104" s="13" t="s">
        <v>1231</v>
      </c>
      <c r="D104" s="13" t="s">
        <v>1231</v>
      </c>
      <c r="E104" s="13" t="s">
        <v>1245</v>
      </c>
      <c r="F104" s="22" t="s">
        <v>1246</v>
      </c>
      <c r="G104" s="22">
        <v>7.5573322639466269</v>
      </c>
      <c r="H104" s="22">
        <v>0.43130755616039684</v>
      </c>
      <c r="I104" s="22">
        <v>96.255506951683628</v>
      </c>
      <c r="J104" s="22">
        <v>1.6733618747886141</v>
      </c>
      <c r="K104" s="22">
        <v>26.479377161644816</v>
      </c>
      <c r="L104" s="22">
        <f>VLOOKUP($F104,'BaseIBK distritos filt'!$D$2:$BF$170,52,FALSE)</f>
        <v>0.5</v>
      </c>
      <c r="M104" s="22">
        <f>VLOOKUP($F104,'BaseIBK distritos filt'!$D$2:$BF$170,53,FALSE)</f>
        <v>21756</v>
      </c>
      <c r="N104" s="22">
        <f>VLOOKUP($F104,'BaseIBK distritos filt'!$D$2:$BF$170,54,FALSE)</f>
        <v>0</v>
      </c>
      <c r="O104" s="13">
        <f>VLOOKUP($F104,'BaseIBK distritos filt'!$D$2:$BF$170,55,FALSE)</f>
        <v>0</v>
      </c>
    </row>
    <row r="105" spans="2:15" x14ac:dyDescent="0.35">
      <c r="B105" s="18">
        <v>101</v>
      </c>
      <c r="C105" s="13" t="s">
        <v>3039</v>
      </c>
      <c r="D105" s="13" t="s">
        <v>3040</v>
      </c>
      <c r="E105" s="13" t="s">
        <v>3055</v>
      </c>
      <c r="F105" s="22" t="s">
        <v>3056</v>
      </c>
      <c r="G105" s="22">
        <v>18.357604227825348</v>
      </c>
      <c r="H105" s="22">
        <v>0.86184081507164823</v>
      </c>
      <c r="I105" s="22">
        <v>82.991291133031396</v>
      </c>
      <c r="J105" s="22">
        <v>3.5975655659990715</v>
      </c>
      <c r="K105" s="22">
        <v>26.452075435481866</v>
      </c>
      <c r="L105" s="22">
        <f>VLOOKUP($F105,'BaseIBK distritos filt'!$D$2:$BF$170,52,FALSE)</f>
        <v>1</v>
      </c>
      <c r="M105" s="22">
        <f>VLOOKUP($F105,'BaseIBK distritos filt'!$D$2:$BF$170,53,FALSE)</f>
        <v>45521</v>
      </c>
      <c r="N105" s="22">
        <f>VLOOKUP($F105,'BaseIBK distritos filt'!$D$2:$BF$170,54,FALSE)</f>
        <v>0</v>
      </c>
      <c r="O105" s="13">
        <f>VLOOKUP($F105,'BaseIBK distritos filt'!$D$2:$BF$170,55,FALSE)</f>
        <v>0</v>
      </c>
    </row>
    <row r="106" spans="2:15" x14ac:dyDescent="0.35">
      <c r="B106" s="18">
        <v>102</v>
      </c>
      <c r="C106" s="13" t="s">
        <v>2619</v>
      </c>
      <c r="D106" s="13" t="s">
        <v>2620</v>
      </c>
      <c r="E106" s="13" t="s">
        <v>2634</v>
      </c>
      <c r="F106" s="22" t="s">
        <v>2635</v>
      </c>
      <c r="G106" s="22">
        <v>7.8471515607855276</v>
      </c>
      <c r="H106" s="22">
        <v>0.23072600683174133</v>
      </c>
      <c r="I106" s="22">
        <v>95.513633612110468</v>
      </c>
      <c r="J106" s="22">
        <v>1.5431085689260502</v>
      </c>
      <c r="K106" s="22">
        <v>26.283654937163444</v>
      </c>
      <c r="L106" s="22">
        <f>VLOOKUP($F106,'BaseIBK distritos filt'!$D$2:$BF$170,52,FALSE)</f>
        <v>0.7</v>
      </c>
      <c r="M106" s="22">
        <f>VLOOKUP($F106,'BaseIBK distritos filt'!$D$2:$BF$170,53,FALSE)</f>
        <v>30124</v>
      </c>
      <c r="N106" s="22">
        <f>VLOOKUP($F106,'BaseIBK distritos filt'!$D$2:$BF$170,54,FALSE)</f>
        <v>0</v>
      </c>
      <c r="O106" s="13">
        <f>VLOOKUP($F106,'BaseIBK distritos filt'!$D$2:$BF$170,55,FALSE)</f>
        <v>0</v>
      </c>
    </row>
    <row r="107" spans="2:15" x14ac:dyDescent="0.35">
      <c r="B107" s="18">
        <v>103</v>
      </c>
      <c r="C107" s="13" t="s">
        <v>1482</v>
      </c>
      <c r="D107" s="13" t="s">
        <v>1482</v>
      </c>
      <c r="E107" s="13" t="s">
        <v>1488</v>
      </c>
      <c r="F107" s="22" t="s">
        <v>1489</v>
      </c>
      <c r="G107" s="22">
        <v>19.255652238374864</v>
      </c>
      <c r="H107" s="22">
        <v>2.5304279210506175</v>
      </c>
      <c r="I107" s="22">
        <v>77.635569485009256</v>
      </c>
      <c r="J107" s="22">
        <v>5.4798468087979026</v>
      </c>
      <c r="K107" s="22">
        <v>26.22537411330816</v>
      </c>
      <c r="L107" s="22">
        <f>VLOOKUP($F107,'BaseIBK distritos filt'!$D$2:$BF$170,52,FALSE)</f>
        <v>2</v>
      </c>
      <c r="M107" s="22">
        <f>VLOOKUP($F107,'BaseIBK distritos filt'!$D$2:$BF$170,53,FALSE)</f>
        <v>104004</v>
      </c>
      <c r="N107" s="22">
        <f>VLOOKUP($F107,'BaseIBK distritos filt'!$D$2:$BF$170,54,FALSE)</f>
        <v>0</v>
      </c>
      <c r="O107" s="13">
        <f>VLOOKUP($F107,'BaseIBK distritos filt'!$D$2:$BF$170,55,FALSE)</f>
        <v>0</v>
      </c>
    </row>
    <row r="108" spans="2:15" x14ac:dyDescent="0.35">
      <c r="B108" s="18">
        <v>104</v>
      </c>
      <c r="C108" s="13" t="s">
        <v>263</v>
      </c>
      <c r="D108" s="13" t="s">
        <v>2449</v>
      </c>
      <c r="E108" s="13" t="s">
        <v>2453</v>
      </c>
      <c r="F108" s="22" t="s">
        <v>2454</v>
      </c>
      <c r="G108" s="22">
        <v>8.2699122170483008</v>
      </c>
      <c r="H108" s="22">
        <v>0.43727833448943032</v>
      </c>
      <c r="I108" s="22">
        <v>91.585136890961209</v>
      </c>
      <c r="J108" s="22">
        <v>2.7228146125388761</v>
      </c>
      <c r="K108" s="22">
        <v>25.753785513759453</v>
      </c>
      <c r="L108" s="22">
        <f>VLOOKUP($F108,'BaseIBK distritos filt'!$D$2:$BF$170,52,FALSE)</f>
        <v>1.5</v>
      </c>
      <c r="M108" s="22">
        <f>VLOOKUP($F108,'BaseIBK distritos filt'!$D$2:$BF$170,53,FALSE)</f>
        <v>66467</v>
      </c>
      <c r="N108" s="22">
        <f>VLOOKUP($F108,'BaseIBK distritos filt'!$D$2:$BF$170,54,FALSE)</f>
        <v>0</v>
      </c>
      <c r="O108" s="13">
        <f>VLOOKUP($F108,'BaseIBK distritos filt'!$D$2:$BF$170,55,FALSE)</f>
        <v>0</v>
      </c>
    </row>
    <row r="109" spans="2:15" x14ac:dyDescent="0.35">
      <c r="B109" s="18">
        <v>105</v>
      </c>
      <c r="C109" s="13" t="s">
        <v>2199</v>
      </c>
      <c r="D109" s="13" t="s">
        <v>2200</v>
      </c>
      <c r="E109" s="13" t="s">
        <v>2234</v>
      </c>
      <c r="F109" s="22" t="s">
        <v>2235</v>
      </c>
      <c r="G109" s="22">
        <v>12.314350736073191</v>
      </c>
      <c r="H109" s="22">
        <v>0.72933792699461863</v>
      </c>
      <c r="I109" s="22">
        <v>89.220904590998828</v>
      </c>
      <c r="J109" s="22">
        <v>0.71600664370275957</v>
      </c>
      <c r="K109" s="22">
        <v>25.745149974442349</v>
      </c>
      <c r="L109" s="22">
        <f>VLOOKUP($F109,'BaseIBK distritos filt'!$D$2:$BF$170,52,FALSE)</f>
        <v>0.4</v>
      </c>
      <c r="M109" s="22">
        <f>VLOOKUP($F109,'BaseIBK distritos filt'!$D$2:$BF$170,53,FALSE)</f>
        <v>15826</v>
      </c>
      <c r="N109" s="22">
        <f>VLOOKUP($F109,'BaseIBK distritos filt'!$D$2:$BF$170,54,FALSE)</f>
        <v>0</v>
      </c>
      <c r="O109" s="13">
        <f>VLOOKUP($F109,'BaseIBK distritos filt'!$D$2:$BF$170,55,FALSE)</f>
        <v>0</v>
      </c>
    </row>
    <row r="110" spans="2:15" x14ac:dyDescent="0.35">
      <c r="B110" s="18">
        <v>106</v>
      </c>
      <c r="C110" s="13" t="s">
        <v>3789</v>
      </c>
      <c r="D110" s="13" t="s">
        <v>3789</v>
      </c>
      <c r="E110" s="13" t="s">
        <v>3791</v>
      </c>
      <c r="F110" s="22" t="s">
        <v>3792</v>
      </c>
      <c r="G110" s="22">
        <v>10.258383195257014</v>
      </c>
      <c r="H110" s="22">
        <v>1.5164165099791154</v>
      </c>
      <c r="I110" s="22">
        <v>88.071843092888869</v>
      </c>
      <c r="J110" s="22">
        <v>2.2682485619593575</v>
      </c>
      <c r="K110" s="22">
        <v>25.528722840021089</v>
      </c>
      <c r="L110" s="22">
        <f>VLOOKUP($F110,'BaseIBK distritos filt'!$D$2:$BF$170,52,FALSE)</f>
        <v>1.6</v>
      </c>
      <c r="M110" s="22">
        <f>VLOOKUP($F110,'BaseIBK distritos filt'!$D$2:$BF$170,53,FALSE)</f>
        <v>66564</v>
      </c>
      <c r="N110" s="22">
        <f>VLOOKUP($F110,'BaseIBK distritos filt'!$D$2:$BF$170,54,FALSE)</f>
        <v>0</v>
      </c>
      <c r="O110" s="13">
        <f>VLOOKUP($F110,'BaseIBK distritos filt'!$D$2:$BF$170,55,FALSE)</f>
        <v>0</v>
      </c>
    </row>
    <row r="111" spans="2:15" x14ac:dyDescent="0.35">
      <c r="B111" s="18">
        <v>107</v>
      </c>
      <c r="C111" s="13" t="s">
        <v>2695</v>
      </c>
      <c r="D111" s="13" t="s">
        <v>2937</v>
      </c>
      <c r="E111" s="13" t="s">
        <v>2955</v>
      </c>
      <c r="F111" s="22" t="s">
        <v>2956</v>
      </c>
      <c r="G111" s="22">
        <v>12.284854165981608</v>
      </c>
      <c r="H111" s="22">
        <v>0.14106686092581155</v>
      </c>
      <c r="I111" s="22">
        <v>87.491128008217771</v>
      </c>
      <c r="J111" s="22">
        <v>1.7546960169370847</v>
      </c>
      <c r="K111" s="22">
        <v>25.417936263015569</v>
      </c>
      <c r="L111" s="22">
        <f>VLOOKUP($F111,'BaseIBK distritos filt'!$D$2:$BF$170,52,FALSE)</f>
        <v>0.5</v>
      </c>
      <c r="M111" s="22">
        <f>VLOOKUP($F111,'BaseIBK distritos filt'!$D$2:$BF$170,53,FALSE)</f>
        <v>22897</v>
      </c>
      <c r="N111" s="22">
        <f>VLOOKUP($F111,'BaseIBK distritos filt'!$D$2:$BF$170,54,FALSE)</f>
        <v>0</v>
      </c>
      <c r="O111" s="13">
        <f>VLOOKUP($F111,'BaseIBK distritos filt'!$D$2:$BF$170,55,FALSE)</f>
        <v>0</v>
      </c>
    </row>
    <row r="112" spans="2:15" x14ac:dyDescent="0.35">
      <c r="B112" s="18">
        <v>108</v>
      </c>
      <c r="C112" s="13" t="s">
        <v>3278</v>
      </c>
      <c r="D112" s="13" t="s">
        <v>3278</v>
      </c>
      <c r="E112" s="13" t="s">
        <v>3281</v>
      </c>
      <c r="F112" s="22" t="s">
        <v>3282</v>
      </c>
      <c r="G112" s="22">
        <v>15.737433767168408</v>
      </c>
      <c r="H112" s="22">
        <v>2.8171659988658306</v>
      </c>
      <c r="I112" s="22">
        <v>78.449820335670609</v>
      </c>
      <c r="J112" s="22">
        <v>4.4937980107553637</v>
      </c>
      <c r="K112" s="22">
        <v>25.374554528115056</v>
      </c>
      <c r="L112" s="22">
        <f>VLOOKUP($F112,'BaseIBK distritos filt'!$D$2:$BF$170,52,FALSE)</f>
        <v>1.4</v>
      </c>
      <c r="M112" s="22">
        <f>VLOOKUP($F112,'BaseIBK distritos filt'!$D$2:$BF$170,53,FALSE)</f>
        <v>56286</v>
      </c>
      <c r="N112" s="22">
        <f>VLOOKUP($F112,'BaseIBK distritos filt'!$D$2:$BF$170,54,FALSE)</f>
        <v>1</v>
      </c>
      <c r="O112" s="13">
        <f>VLOOKUP($F112,'BaseIBK distritos filt'!$D$2:$BF$170,55,FALSE)</f>
        <v>0.2</v>
      </c>
    </row>
    <row r="113" spans="2:15" x14ac:dyDescent="0.35">
      <c r="B113" s="18">
        <v>109</v>
      </c>
      <c r="C113" s="13" t="s">
        <v>3118</v>
      </c>
      <c r="D113" s="13" t="s">
        <v>3873</v>
      </c>
      <c r="E113" s="13" t="s">
        <v>3886</v>
      </c>
      <c r="F113" s="22" t="s">
        <v>3887</v>
      </c>
      <c r="G113" s="22">
        <v>11.498763052484879</v>
      </c>
      <c r="H113" s="22">
        <v>0.78020737393876793</v>
      </c>
      <c r="I113" s="22">
        <v>86.456431378880239</v>
      </c>
      <c r="J113" s="22">
        <v>2.4649286897693354</v>
      </c>
      <c r="K113" s="22">
        <v>25.300082623768308</v>
      </c>
      <c r="L113" s="22">
        <f>VLOOKUP($F113,'BaseIBK distritos filt'!$D$2:$BF$170,52,FALSE)</f>
        <v>1.1000000000000001</v>
      </c>
      <c r="M113" s="22">
        <f>VLOOKUP($F113,'BaseIBK distritos filt'!$D$2:$BF$170,53,FALSE)</f>
        <v>50109</v>
      </c>
      <c r="N113" s="22">
        <f>VLOOKUP($F113,'BaseIBK distritos filt'!$D$2:$BF$170,54,FALSE)</f>
        <v>0</v>
      </c>
      <c r="O113" s="13">
        <f>VLOOKUP($F113,'BaseIBK distritos filt'!$D$2:$BF$170,55,FALSE)</f>
        <v>0</v>
      </c>
    </row>
    <row r="114" spans="2:15" x14ac:dyDescent="0.35">
      <c r="B114" s="18">
        <v>110</v>
      </c>
      <c r="C114" s="13" t="s">
        <v>757</v>
      </c>
      <c r="D114" s="13" t="s">
        <v>757</v>
      </c>
      <c r="E114" s="13" t="s">
        <v>789</v>
      </c>
      <c r="F114" s="22" t="s">
        <v>790</v>
      </c>
      <c r="G114" s="22">
        <v>18.892888324837198</v>
      </c>
      <c r="H114" s="22">
        <v>0.59597021441207787</v>
      </c>
      <c r="I114" s="22">
        <v>78.575819021215352</v>
      </c>
      <c r="J114" s="22">
        <v>1.6340844323167847</v>
      </c>
      <c r="K114" s="22">
        <v>24.924690498195353</v>
      </c>
      <c r="L114" s="22">
        <f>VLOOKUP($F114,'BaseIBK distritos filt'!$D$2:$BF$170,52,FALSE)</f>
        <v>0.8</v>
      </c>
      <c r="M114" s="22">
        <f>VLOOKUP($F114,'BaseIBK distritos filt'!$D$2:$BF$170,53,FALSE)</f>
        <v>37526</v>
      </c>
      <c r="N114" s="22">
        <f>VLOOKUP($F114,'BaseIBK distritos filt'!$D$2:$BF$170,54,FALSE)</f>
        <v>0</v>
      </c>
      <c r="O114" s="13">
        <f>VLOOKUP($F114,'BaseIBK distritos filt'!$D$2:$BF$170,55,FALSE)</f>
        <v>0</v>
      </c>
    </row>
    <row r="115" spans="2:15" x14ac:dyDescent="0.35">
      <c r="B115" s="18">
        <v>111</v>
      </c>
      <c r="C115" s="13" t="s">
        <v>2695</v>
      </c>
      <c r="D115" s="13" t="s">
        <v>2696</v>
      </c>
      <c r="E115" s="13" t="s">
        <v>2743</v>
      </c>
      <c r="F115" s="22" t="s">
        <v>2744</v>
      </c>
      <c r="G115" s="22">
        <v>7.8184969535656279</v>
      </c>
      <c r="H115" s="22">
        <v>8.2426369981073833E-2</v>
      </c>
      <c r="I115" s="22">
        <v>90.83850876718806</v>
      </c>
      <c r="J115" s="22">
        <v>0.86916241452189846</v>
      </c>
      <c r="K115" s="22">
        <v>24.902148626314165</v>
      </c>
      <c r="L115" s="22">
        <f>VLOOKUP($F115,'BaseIBK distritos filt'!$D$2:$BF$170,52,FALSE)</f>
        <v>0.3</v>
      </c>
      <c r="M115" s="22">
        <f>VLOOKUP($F115,'BaseIBK distritos filt'!$D$2:$BF$170,53,FALSE)</f>
        <v>11341</v>
      </c>
      <c r="N115" s="22">
        <f>VLOOKUP($F115,'BaseIBK distritos filt'!$D$2:$BF$170,54,FALSE)</f>
        <v>0</v>
      </c>
      <c r="O115" s="13">
        <f>VLOOKUP($F115,'BaseIBK distritos filt'!$D$2:$BF$170,55,FALSE)</f>
        <v>0</v>
      </c>
    </row>
    <row r="116" spans="2:15" x14ac:dyDescent="0.35">
      <c r="B116" s="18">
        <v>112</v>
      </c>
      <c r="C116" s="13" t="s">
        <v>2619</v>
      </c>
      <c r="D116" s="13" t="s">
        <v>2620</v>
      </c>
      <c r="E116" s="13" t="s">
        <v>2642</v>
      </c>
      <c r="F116" s="22" t="s">
        <v>2643</v>
      </c>
      <c r="G116" s="22">
        <v>9.2618059376258195</v>
      </c>
      <c r="H116" s="22">
        <v>1.0769346182311808</v>
      </c>
      <c r="I116" s="22">
        <v>86.787706826974102</v>
      </c>
      <c r="J116" s="22">
        <v>1.9790616822032716</v>
      </c>
      <c r="K116" s="22">
        <v>24.776377266258592</v>
      </c>
      <c r="L116" s="22">
        <f>VLOOKUP($F116,'BaseIBK distritos filt'!$D$2:$BF$170,52,FALSE)</f>
        <v>0.9</v>
      </c>
      <c r="M116" s="22">
        <f>VLOOKUP($F116,'BaseIBK distritos filt'!$D$2:$BF$170,53,FALSE)</f>
        <v>38371</v>
      </c>
      <c r="N116" s="22">
        <f>VLOOKUP($F116,'BaseIBK distritos filt'!$D$2:$BF$170,54,FALSE)</f>
        <v>0</v>
      </c>
      <c r="O116" s="13">
        <f>VLOOKUP($F116,'BaseIBK distritos filt'!$D$2:$BF$170,55,FALSE)</f>
        <v>0</v>
      </c>
    </row>
    <row r="117" spans="2:15" x14ac:dyDescent="0.35">
      <c r="B117" s="18">
        <v>113</v>
      </c>
      <c r="C117" s="13" t="s">
        <v>976</v>
      </c>
      <c r="D117" s="13" t="s">
        <v>977</v>
      </c>
      <c r="E117" s="13" t="s">
        <v>1005</v>
      </c>
      <c r="F117" s="22" t="s">
        <v>1006</v>
      </c>
      <c r="G117" s="22">
        <v>15.904846227718291</v>
      </c>
      <c r="H117" s="22">
        <v>0</v>
      </c>
      <c r="I117" s="22">
        <v>81.614217722422282</v>
      </c>
      <c r="J117" s="22">
        <v>1.0499605890640389</v>
      </c>
      <c r="K117" s="22">
        <v>24.642256134801155</v>
      </c>
      <c r="L117" s="22">
        <f>VLOOKUP($F117,'BaseIBK distritos filt'!$D$2:$BF$170,52,FALSE)</f>
        <v>0.6</v>
      </c>
      <c r="M117" s="22">
        <f>VLOOKUP($F117,'BaseIBK distritos filt'!$D$2:$BF$170,53,FALSE)</f>
        <v>29852</v>
      </c>
      <c r="N117" s="22">
        <f>VLOOKUP($F117,'BaseIBK distritos filt'!$D$2:$BF$170,54,FALSE)</f>
        <v>0</v>
      </c>
      <c r="O117" s="13">
        <f>VLOOKUP($F117,'BaseIBK distritos filt'!$D$2:$BF$170,55,FALSE)</f>
        <v>0</v>
      </c>
    </row>
    <row r="118" spans="2:15" x14ac:dyDescent="0.35">
      <c r="B118" s="18">
        <v>114</v>
      </c>
      <c r="C118" s="13" t="s">
        <v>3278</v>
      </c>
      <c r="D118" s="13" t="s">
        <v>3382</v>
      </c>
      <c r="E118" s="13" t="s">
        <v>3385</v>
      </c>
      <c r="F118" s="22" t="s">
        <v>3386</v>
      </c>
      <c r="G118" s="22">
        <v>13.760171351769038</v>
      </c>
      <c r="H118" s="22">
        <v>3.139560545621374E-2</v>
      </c>
      <c r="I118" s="22">
        <v>83.955978420687416</v>
      </c>
      <c r="J118" s="22">
        <v>0.6726682651383461</v>
      </c>
      <c r="K118" s="22">
        <v>24.605053410762753</v>
      </c>
      <c r="L118" s="22">
        <f>VLOOKUP($F118,'BaseIBK distritos filt'!$D$2:$BF$170,52,FALSE)</f>
        <v>0.1</v>
      </c>
      <c r="M118" s="22">
        <f>VLOOKUP($F118,'BaseIBK distritos filt'!$D$2:$BF$170,53,FALSE)</f>
        <v>5229</v>
      </c>
      <c r="N118" s="22">
        <f>VLOOKUP($F118,'BaseIBK distritos filt'!$D$2:$BF$170,54,FALSE)</f>
        <v>0</v>
      </c>
      <c r="O118" s="13">
        <f>VLOOKUP($F118,'BaseIBK distritos filt'!$D$2:$BF$170,55,FALSE)</f>
        <v>0</v>
      </c>
    </row>
    <row r="119" spans="2:15" x14ac:dyDescent="0.35">
      <c r="B119" s="18">
        <v>115</v>
      </c>
      <c r="C119" s="13" t="s">
        <v>1937</v>
      </c>
      <c r="D119" s="13" t="s">
        <v>1937</v>
      </c>
      <c r="E119" s="13" t="s">
        <v>4009</v>
      </c>
      <c r="F119" s="22" t="s">
        <v>1941</v>
      </c>
      <c r="G119" s="22">
        <v>12.669698818348369</v>
      </c>
      <c r="H119" s="22">
        <v>0.76227275136954242</v>
      </c>
      <c r="I119" s="22">
        <v>78.85066863348095</v>
      </c>
      <c r="J119" s="22">
        <v>4.7427745047157437</v>
      </c>
      <c r="K119" s="22">
        <v>24.256353676978652</v>
      </c>
      <c r="L119" s="22">
        <f>VLOOKUP($F119,'BaseIBK distritos filt'!$D$2:$BF$170,52,FALSE)</f>
        <v>2</v>
      </c>
      <c r="M119" s="22">
        <f>VLOOKUP($F119,'BaseIBK distritos filt'!$D$2:$BF$170,53,FALSE)</f>
        <v>91142</v>
      </c>
      <c r="N119" s="22">
        <f>VLOOKUP($F119,'BaseIBK distritos filt'!$D$2:$BF$170,54,FALSE)</f>
        <v>0</v>
      </c>
      <c r="O119" s="13">
        <f>VLOOKUP($F119,'BaseIBK distritos filt'!$D$2:$BF$170,55,FALSE)</f>
        <v>0</v>
      </c>
    </row>
    <row r="120" spans="2:15" x14ac:dyDescent="0.35">
      <c r="B120" s="18">
        <v>116</v>
      </c>
      <c r="C120" s="13" t="s">
        <v>3039</v>
      </c>
      <c r="D120" s="13" t="s">
        <v>3040</v>
      </c>
      <c r="E120" s="13" t="s">
        <v>3061</v>
      </c>
      <c r="F120" s="22" t="s">
        <v>3062</v>
      </c>
      <c r="G120" s="22">
        <v>14.365182234334936</v>
      </c>
      <c r="H120" s="22">
        <v>6.1807041227947748</v>
      </c>
      <c r="I120" s="22">
        <v>68.934357776368643</v>
      </c>
      <c r="J120" s="22">
        <v>4.8257928485518997</v>
      </c>
      <c r="K120" s="22">
        <v>23.576509245512565</v>
      </c>
      <c r="L120" s="22">
        <f>VLOOKUP($F120,'BaseIBK distritos filt'!$D$2:$BF$170,52,FALSE)</f>
        <v>1.1000000000000001</v>
      </c>
      <c r="M120" s="22">
        <f>VLOOKUP($F120,'BaseIBK distritos filt'!$D$2:$BF$170,53,FALSE)</f>
        <v>49419</v>
      </c>
      <c r="N120" s="22">
        <f>VLOOKUP($F120,'BaseIBK distritos filt'!$D$2:$BF$170,54,FALSE)</f>
        <v>0</v>
      </c>
      <c r="O120" s="13">
        <f>VLOOKUP($F120,'BaseIBK distritos filt'!$D$2:$BF$170,55,FALSE)</f>
        <v>0</v>
      </c>
    </row>
    <row r="121" spans="2:15" x14ac:dyDescent="0.35">
      <c r="B121" s="18">
        <v>117</v>
      </c>
      <c r="C121" s="13" t="s">
        <v>263</v>
      </c>
      <c r="D121" s="13" t="s">
        <v>2449</v>
      </c>
      <c r="E121" s="13" t="s">
        <v>2459</v>
      </c>
      <c r="F121" s="22" t="s">
        <v>2460</v>
      </c>
      <c r="G121" s="22">
        <v>11.838154786224319</v>
      </c>
      <c r="H121" s="22">
        <v>0.54570071110962592</v>
      </c>
      <c r="I121" s="22">
        <v>76.756578971193363</v>
      </c>
      <c r="J121" s="22">
        <v>3.8754179346740294</v>
      </c>
      <c r="K121" s="22">
        <v>23.253963100800334</v>
      </c>
      <c r="L121" s="22">
        <f>VLOOKUP($F121,'BaseIBK distritos filt'!$D$2:$BF$170,52,FALSE)</f>
        <v>0.5</v>
      </c>
      <c r="M121" s="22">
        <f>VLOOKUP($F121,'BaseIBK distritos filt'!$D$2:$BF$170,53,FALSE)</f>
        <v>18505</v>
      </c>
      <c r="N121" s="22">
        <f>VLOOKUP($F121,'BaseIBK distritos filt'!$D$2:$BF$170,54,FALSE)</f>
        <v>0</v>
      </c>
      <c r="O121" s="13">
        <f>VLOOKUP($F121,'BaseIBK distritos filt'!$D$2:$BF$170,55,FALSE)</f>
        <v>0</v>
      </c>
    </row>
    <row r="122" spans="2:15" x14ac:dyDescent="0.35">
      <c r="B122" s="18">
        <v>118</v>
      </c>
      <c r="C122" s="13" t="s">
        <v>3118</v>
      </c>
      <c r="D122" s="13" t="s">
        <v>3873</v>
      </c>
      <c r="E122" s="13" t="s">
        <v>3882</v>
      </c>
      <c r="F122" s="22" t="s">
        <v>3883</v>
      </c>
      <c r="G122" s="22">
        <v>14.553516865070915</v>
      </c>
      <c r="H122" s="22">
        <v>1.1027594994923906</v>
      </c>
      <c r="I122" s="22">
        <v>69.802815696024993</v>
      </c>
      <c r="J122" s="22">
        <v>7.5333860439371199</v>
      </c>
      <c r="K122" s="22">
        <v>23.248119526131354</v>
      </c>
      <c r="L122" s="22">
        <f>VLOOKUP($F122,'BaseIBK distritos filt'!$D$2:$BF$170,52,FALSE)</f>
        <v>1.8</v>
      </c>
      <c r="M122" s="22">
        <f>VLOOKUP($F122,'BaseIBK distritos filt'!$D$2:$BF$170,53,FALSE)</f>
        <v>83739</v>
      </c>
      <c r="N122" s="22">
        <f>VLOOKUP($F122,'BaseIBK distritos filt'!$D$2:$BF$170,54,FALSE)</f>
        <v>0</v>
      </c>
      <c r="O122" s="13">
        <f>VLOOKUP($F122,'BaseIBK distritos filt'!$D$2:$BF$170,55,FALSE)</f>
        <v>0</v>
      </c>
    </row>
    <row r="123" spans="2:15" x14ac:dyDescent="0.35">
      <c r="B123" s="18">
        <v>119</v>
      </c>
      <c r="C123" s="13" t="s">
        <v>2111</v>
      </c>
      <c r="D123" s="13" t="s">
        <v>2111</v>
      </c>
      <c r="E123" s="13" t="s">
        <v>2113</v>
      </c>
      <c r="F123" s="22" t="s">
        <v>2114</v>
      </c>
      <c r="G123" s="22">
        <v>14.956591977690636</v>
      </c>
      <c r="H123" s="22">
        <v>0.63544690265845172</v>
      </c>
      <c r="I123" s="22">
        <v>74.5534518922979</v>
      </c>
      <c r="J123" s="22">
        <v>2.4016338378989999</v>
      </c>
      <c r="K123" s="22">
        <v>23.136781152636495</v>
      </c>
      <c r="L123" s="22">
        <f>VLOOKUP($F123,'BaseIBK distritos filt'!$D$2:$BF$170,52,FALSE)</f>
        <v>1.1000000000000001</v>
      </c>
      <c r="M123" s="22">
        <f>VLOOKUP($F123,'BaseIBK distritos filt'!$D$2:$BF$170,53,FALSE)</f>
        <v>47475</v>
      </c>
      <c r="N123" s="22">
        <f>VLOOKUP($F123,'BaseIBK distritos filt'!$D$2:$BF$170,54,FALSE)</f>
        <v>0</v>
      </c>
      <c r="O123" s="13">
        <f>VLOOKUP($F123,'BaseIBK distritos filt'!$D$2:$BF$170,55,FALSE)</f>
        <v>0</v>
      </c>
    </row>
    <row r="124" spans="2:15" x14ac:dyDescent="0.35">
      <c r="B124" s="18">
        <v>120</v>
      </c>
      <c r="C124" s="13" t="s">
        <v>3789</v>
      </c>
      <c r="D124" s="13" t="s">
        <v>3789</v>
      </c>
      <c r="E124" s="13" t="s">
        <v>3795</v>
      </c>
      <c r="F124" s="22" t="s">
        <v>3796</v>
      </c>
      <c r="G124" s="22">
        <v>6.2973769472207595</v>
      </c>
      <c r="H124" s="22">
        <v>3.4387691440952413</v>
      </c>
      <c r="I124" s="22">
        <v>80.589163261776648</v>
      </c>
      <c r="J124" s="22">
        <v>1.4763031142337326</v>
      </c>
      <c r="K124" s="22">
        <v>22.950403116831595</v>
      </c>
      <c r="L124" s="22">
        <f>VLOOKUP($F124,'BaseIBK distritos filt'!$D$2:$BF$170,52,FALSE)</f>
        <v>1</v>
      </c>
      <c r="M124" s="22">
        <f>VLOOKUP($F124,'BaseIBK distritos filt'!$D$2:$BF$170,53,FALSE)</f>
        <v>39977</v>
      </c>
      <c r="N124" s="22">
        <f>VLOOKUP($F124,'BaseIBK distritos filt'!$D$2:$BF$170,54,FALSE)</f>
        <v>0</v>
      </c>
      <c r="O124" s="13">
        <f>VLOOKUP($F124,'BaseIBK distritos filt'!$D$2:$BF$170,55,FALSE)</f>
        <v>0</v>
      </c>
    </row>
    <row r="125" spans="2:15" x14ac:dyDescent="0.35">
      <c r="B125" s="18">
        <v>121</v>
      </c>
      <c r="C125" s="13" t="s">
        <v>263</v>
      </c>
      <c r="D125" s="13" t="s">
        <v>2449</v>
      </c>
      <c r="E125" s="13" t="s">
        <v>2461</v>
      </c>
      <c r="F125" s="22" t="s">
        <v>2462</v>
      </c>
      <c r="G125" s="22">
        <v>14.680156347444703</v>
      </c>
      <c r="H125" s="22">
        <v>1.2211931847769353</v>
      </c>
      <c r="I125" s="22">
        <v>72.374528480344978</v>
      </c>
      <c r="J125" s="22">
        <v>2.6558611516813988</v>
      </c>
      <c r="K125" s="22">
        <v>22.732934791062</v>
      </c>
      <c r="L125" s="22">
        <f>VLOOKUP($F125,'BaseIBK distritos filt'!$D$2:$BF$170,52,FALSE)</f>
        <v>0.5</v>
      </c>
      <c r="M125" s="22">
        <f>VLOOKUP($F125,'BaseIBK distritos filt'!$D$2:$BF$170,53,FALSE)</f>
        <v>23162</v>
      </c>
      <c r="N125" s="22">
        <f>VLOOKUP($F125,'BaseIBK distritos filt'!$D$2:$BF$170,54,FALSE)</f>
        <v>0</v>
      </c>
      <c r="O125" s="13">
        <f>VLOOKUP($F125,'BaseIBK distritos filt'!$D$2:$BF$170,55,FALSE)</f>
        <v>0</v>
      </c>
    </row>
    <row r="126" spans="2:15" x14ac:dyDescent="0.35">
      <c r="B126" s="18">
        <v>122</v>
      </c>
      <c r="C126" s="13" t="s">
        <v>2695</v>
      </c>
      <c r="D126" s="13" t="s">
        <v>2696</v>
      </c>
      <c r="E126" s="13" t="s">
        <v>2747</v>
      </c>
      <c r="F126" s="22" t="s">
        <v>2748</v>
      </c>
      <c r="G126" s="22">
        <v>19.327100659697305</v>
      </c>
      <c r="H126" s="22">
        <v>0.26995292756668809</v>
      </c>
      <c r="I126" s="22">
        <v>69.229120185335674</v>
      </c>
      <c r="J126" s="22">
        <v>1.789809388012882</v>
      </c>
      <c r="K126" s="22">
        <v>22.653995790153139</v>
      </c>
      <c r="L126" s="22">
        <f>VLOOKUP($F126,'BaseIBK distritos filt'!$D$2:$BF$170,52,FALSE)</f>
        <v>0.3</v>
      </c>
      <c r="M126" s="22">
        <f>VLOOKUP($F126,'BaseIBK distritos filt'!$D$2:$BF$170,53,FALSE)</f>
        <v>13575</v>
      </c>
      <c r="N126" s="22">
        <f>VLOOKUP($F126,'BaseIBK distritos filt'!$D$2:$BF$170,54,FALSE)</f>
        <v>0</v>
      </c>
      <c r="O126" s="13">
        <f>VLOOKUP($F126,'BaseIBK distritos filt'!$D$2:$BF$170,55,FALSE)</f>
        <v>0</v>
      </c>
    </row>
    <row r="127" spans="2:15" x14ac:dyDescent="0.35">
      <c r="B127" s="18">
        <v>123</v>
      </c>
      <c r="C127" s="13" t="s">
        <v>3789</v>
      </c>
      <c r="D127" s="13" t="s">
        <v>3789</v>
      </c>
      <c r="E127" s="13" t="s">
        <v>3803</v>
      </c>
      <c r="F127" s="22" t="s">
        <v>3804</v>
      </c>
      <c r="G127" s="22">
        <v>16.028066383810984</v>
      </c>
      <c r="H127" s="22">
        <v>8.2433078494015627E-2</v>
      </c>
      <c r="I127" s="22">
        <v>73.627512361390643</v>
      </c>
      <c r="J127" s="22">
        <v>0.71997623495686414</v>
      </c>
      <c r="K127" s="22">
        <v>22.614497014663126</v>
      </c>
      <c r="L127" s="22">
        <f>VLOOKUP($F127,'BaseIBK distritos filt'!$D$2:$BF$170,52,FALSE)</f>
        <v>0.4</v>
      </c>
      <c r="M127" s="22">
        <f>VLOOKUP($F127,'BaseIBK distritos filt'!$D$2:$BF$170,53,FALSE)</f>
        <v>17783</v>
      </c>
      <c r="N127" s="22">
        <f>VLOOKUP($F127,'BaseIBK distritos filt'!$D$2:$BF$170,54,FALSE)</f>
        <v>0</v>
      </c>
      <c r="O127" s="13">
        <f>VLOOKUP($F127,'BaseIBK distritos filt'!$D$2:$BF$170,55,FALSE)</f>
        <v>0</v>
      </c>
    </row>
    <row r="128" spans="2:15" x14ac:dyDescent="0.35">
      <c r="B128" s="18">
        <v>124</v>
      </c>
      <c r="C128" s="13" t="s">
        <v>2111</v>
      </c>
      <c r="D128" s="13" t="s">
        <v>2111</v>
      </c>
      <c r="E128" s="13" t="s">
        <v>2115</v>
      </c>
      <c r="F128" s="22" t="s">
        <v>2116</v>
      </c>
      <c r="G128" s="22">
        <v>12.207022986554259</v>
      </c>
      <c r="H128" s="22">
        <v>0.55211339060122344</v>
      </c>
      <c r="I128" s="22">
        <v>72.878152192273987</v>
      </c>
      <c r="J128" s="22">
        <v>0.82993172610224364</v>
      </c>
      <c r="K128" s="22">
        <v>21.616805073882929</v>
      </c>
      <c r="L128" s="22">
        <f>VLOOKUP($F128,'BaseIBK distritos filt'!$D$2:$BF$170,52,FALSE)</f>
        <v>0.2</v>
      </c>
      <c r="M128" s="22">
        <f>VLOOKUP($F128,'BaseIBK distritos filt'!$D$2:$BF$170,53,FALSE)</f>
        <v>8880</v>
      </c>
      <c r="N128" s="22">
        <f>VLOOKUP($F128,'BaseIBK distritos filt'!$D$2:$BF$170,54,FALSE)</f>
        <v>0</v>
      </c>
      <c r="O128" s="13">
        <f>VLOOKUP($F128,'BaseIBK distritos filt'!$D$2:$BF$170,55,FALSE)</f>
        <v>0</v>
      </c>
    </row>
    <row r="129" spans="2:15" x14ac:dyDescent="0.35">
      <c r="B129" s="18">
        <v>125</v>
      </c>
      <c r="C129" s="13" t="s">
        <v>2695</v>
      </c>
      <c r="D129" s="13" t="s">
        <v>2696</v>
      </c>
      <c r="E129" s="13" t="s">
        <v>2753</v>
      </c>
      <c r="F129" s="22" t="s">
        <v>2754</v>
      </c>
      <c r="G129" s="22">
        <v>12.741763126838418</v>
      </c>
      <c r="H129" s="22">
        <v>0</v>
      </c>
      <c r="I129" s="22">
        <v>70.290061455464766</v>
      </c>
      <c r="J129" s="22">
        <v>1.0376138843647509</v>
      </c>
      <c r="K129" s="22">
        <v>21.017359616666983</v>
      </c>
      <c r="L129" s="22">
        <f>VLOOKUP($F129,'BaseIBK distritos filt'!$D$2:$BF$170,52,FALSE)</f>
        <v>0.3</v>
      </c>
      <c r="M129" s="22">
        <f>VLOOKUP($F129,'BaseIBK distritos filt'!$D$2:$BF$170,53,FALSE)</f>
        <v>11876</v>
      </c>
      <c r="N129" s="22">
        <f>VLOOKUP($F129,'BaseIBK distritos filt'!$D$2:$BF$170,54,FALSE)</f>
        <v>0</v>
      </c>
      <c r="O129" s="13">
        <f>VLOOKUP($F129,'BaseIBK distritos filt'!$D$2:$BF$170,55,FALSE)</f>
        <v>0</v>
      </c>
    </row>
    <row r="130" spans="2:15" x14ac:dyDescent="0.35">
      <c r="B130" s="18">
        <v>126</v>
      </c>
      <c r="C130" s="13" t="s">
        <v>2111</v>
      </c>
      <c r="D130" s="13" t="s">
        <v>2111</v>
      </c>
      <c r="E130" s="13" t="s">
        <v>2045</v>
      </c>
      <c r="F130" s="22" t="s">
        <v>2124</v>
      </c>
      <c r="G130" s="22">
        <v>29.733089271906032</v>
      </c>
      <c r="H130" s="22">
        <v>0</v>
      </c>
      <c r="I130" s="22">
        <v>52.494167026624872</v>
      </c>
      <c r="J130" s="22">
        <v>0.76069219989265346</v>
      </c>
      <c r="K130" s="22">
        <v>20.746987124605891</v>
      </c>
      <c r="L130" s="22">
        <f>VLOOKUP($F130,'BaseIBK distritos filt'!$D$2:$BF$170,52,FALSE)</f>
        <v>0.1</v>
      </c>
      <c r="M130" s="22">
        <f>VLOOKUP($F130,'BaseIBK distritos filt'!$D$2:$BF$170,53,FALSE)</f>
        <v>2589</v>
      </c>
      <c r="N130" s="22">
        <f>VLOOKUP($F130,'BaseIBK distritos filt'!$D$2:$BF$170,54,FALSE)</f>
        <v>0</v>
      </c>
      <c r="O130" s="13">
        <f>VLOOKUP($F130,'BaseIBK distritos filt'!$D$2:$BF$170,55,FALSE)</f>
        <v>0</v>
      </c>
    </row>
    <row r="131" spans="2:15" x14ac:dyDescent="0.35">
      <c r="B131" s="18">
        <v>127</v>
      </c>
      <c r="C131" s="13" t="s">
        <v>3152</v>
      </c>
      <c r="D131" s="13" t="s">
        <v>3153</v>
      </c>
      <c r="E131" s="13" t="s">
        <v>3155</v>
      </c>
      <c r="F131" s="22" t="s">
        <v>3156</v>
      </c>
      <c r="G131" s="22">
        <v>16.68143927812363</v>
      </c>
      <c r="H131" s="22">
        <v>3.0543376522125376</v>
      </c>
      <c r="I131" s="22">
        <v>52.494167026624872</v>
      </c>
      <c r="J131" s="22">
        <v>0.55522838907903993</v>
      </c>
      <c r="K131" s="22">
        <v>18.196293086510018</v>
      </c>
      <c r="L131" s="22">
        <f>VLOOKUP($F131,'BaseIBK distritos filt'!$D$2:$BF$170,52,FALSE)</f>
        <v>0.3</v>
      </c>
      <c r="M131" s="22">
        <f>VLOOKUP($F131,'BaseIBK distritos filt'!$D$2:$BF$170,53,FALSE)</f>
        <v>15444</v>
      </c>
      <c r="N131" s="22">
        <f>VLOOKUP($F131,'BaseIBK distritos filt'!$D$2:$BF$170,54,FALSE)</f>
        <v>0</v>
      </c>
      <c r="O131" s="13">
        <f>VLOOKUP($F131,'BaseIBK distritos filt'!$D$2:$BF$170,55,FALSE)</f>
        <v>0</v>
      </c>
    </row>
    <row r="132" spans="2:15" x14ac:dyDescent="0.35">
      <c r="B132" s="18">
        <v>128</v>
      </c>
      <c r="C132" s="13" t="s">
        <v>2695</v>
      </c>
      <c r="D132" s="13" t="s">
        <v>2696</v>
      </c>
      <c r="E132" s="13" t="s">
        <v>2773</v>
      </c>
      <c r="F132" s="22" t="s">
        <v>2774</v>
      </c>
      <c r="G132" s="22">
        <v>5.2139462369551994</v>
      </c>
      <c r="H132" s="22">
        <v>0.13117207079627496</v>
      </c>
      <c r="I132" s="22">
        <v>65.46356029101581</v>
      </c>
      <c r="J132" s="22">
        <v>1.020032928056247</v>
      </c>
      <c r="K132" s="22">
        <v>17.957177881705885</v>
      </c>
      <c r="L132" s="22">
        <f>VLOOKUP($F132,'BaseIBK distritos filt'!$D$2:$BF$170,52,FALSE)</f>
        <v>0.3</v>
      </c>
      <c r="M132" s="22">
        <f>VLOOKUP($F132,'BaseIBK distritos filt'!$D$2:$BF$170,53,FALSE)</f>
        <v>13463</v>
      </c>
      <c r="N132" s="22">
        <f>VLOOKUP($F132,'BaseIBK distritos filt'!$D$2:$BF$170,54,FALSE)</f>
        <v>0</v>
      </c>
      <c r="O132" s="13">
        <f>VLOOKUP($F132,'BaseIBK distritos filt'!$D$2:$BF$170,55,FALSE)</f>
        <v>0</v>
      </c>
    </row>
    <row r="133" spans="2:15" x14ac:dyDescent="0.35">
      <c r="B133" s="18">
        <v>129</v>
      </c>
      <c r="C133" s="13" t="s">
        <v>3278</v>
      </c>
      <c r="D133" s="13" t="s">
        <v>3382</v>
      </c>
      <c r="E133" s="13" t="s">
        <v>3387</v>
      </c>
      <c r="F133" s="22" t="s">
        <v>3388</v>
      </c>
      <c r="G133" s="22">
        <v>18.021401917312613</v>
      </c>
      <c r="H133" s="22">
        <v>0.11567482595916545</v>
      </c>
      <c r="I133" s="22">
        <v>52.494167026624872</v>
      </c>
      <c r="J133" s="22">
        <v>0.73736937797896585</v>
      </c>
      <c r="K133" s="22">
        <v>17.842153286968905</v>
      </c>
      <c r="L133" s="22">
        <f>VLOOKUP($F133,'BaseIBK distritos filt'!$D$2:$BF$170,52,FALSE)</f>
        <v>0.2</v>
      </c>
      <c r="M133" s="22">
        <f>VLOOKUP($F133,'BaseIBK distritos filt'!$D$2:$BF$170,53,FALSE)</f>
        <v>6950</v>
      </c>
      <c r="N133" s="22">
        <f>VLOOKUP($F133,'BaseIBK distritos filt'!$D$2:$BF$170,54,FALSE)</f>
        <v>0</v>
      </c>
      <c r="O133" s="13">
        <f>VLOOKUP($F133,'BaseIBK distritos filt'!$D$2:$BF$170,55,FALSE)</f>
        <v>0</v>
      </c>
    </row>
    <row r="134" spans="2:15" x14ac:dyDescent="0.35">
      <c r="B134" s="18">
        <v>130</v>
      </c>
      <c r="C134" s="13" t="s">
        <v>757</v>
      </c>
      <c r="D134" s="13" t="s">
        <v>757</v>
      </c>
      <c r="E134" s="13" t="s">
        <v>803</v>
      </c>
      <c r="F134" s="22" t="s">
        <v>804</v>
      </c>
      <c r="G134" s="22">
        <v>15.153596348745694</v>
      </c>
      <c r="H134" s="22">
        <v>0.36253662877957699</v>
      </c>
      <c r="I134" s="22">
        <v>52.494167026624872</v>
      </c>
      <c r="J134" s="22">
        <v>0.64571942312726505</v>
      </c>
      <c r="K134" s="22">
        <v>17.16400485681935</v>
      </c>
      <c r="L134" s="22">
        <f>VLOOKUP($F134,'BaseIBK distritos filt'!$D$2:$BF$170,52,FALSE)</f>
        <v>0.3</v>
      </c>
      <c r="M134" s="22">
        <f>VLOOKUP($F134,'BaseIBK distritos filt'!$D$2:$BF$170,53,FALSE)</f>
        <v>11317</v>
      </c>
      <c r="N134" s="22">
        <f>VLOOKUP($F134,'BaseIBK distritos filt'!$D$2:$BF$170,54,FALSE)</f>
        <v>0</v>
      </c>
      <c r="O134" s="13">
        <f>VLOOKUP($F134,'BaseIBK distritos filt'!$D$2:$BF$170,55,FALSE)</f>
        <v>0</v>
      </c>
    </row>
    <row r="135" spans="2:15" x14ac:dyDescent="0.35">
      <c r="B135" s="18">
        <v>131</v>
      </c>
      <c r="C135" s="13" t="s">
        <v>2111</v>
      </c>
      <c r="D135" s="13" t="s">
        <v>2111</v>
      </c>
      <c r="E135" s="13" t="s">
        <v>1506</v>
      </c>
      <c r="F135" s="22" t="s">
        <v>2132</v>
      </c>
      <c r="G135" s="22">
        <v>12.70888277320012</v>
      </c>
      <c r="H135" s="22">
        <v>1.4638828098696963</v>
      </c>
      <c r="I135" s="22">
        <v>52.494167026624872</v>
      </c>
      <c r="J135" s="22">
        <v>1.2530569584856532</v>
      </c>
      <c r="K135" s="22">
        <v>16.979997392045085</v>
      </c>
      <c r="L135" s="22">
        <f>VLOOKUP($F135,'BaseIBK distritos filt'!$D$2:$BF$170,52,FALSE)</f>
        <v>0.3</v>
      </c>
      <c r="M135" s="22">
        <f>VLOOKUP($F135,'BaseIBK distritos filt'!$D$2:$BF$170,53,FALSE)</f>
        <v>10089</v>
      </c>
      <c r="N135" s="22">
        <f>VLOOKUP($F135,'BaseIBK distritos filt'!$D$2:$BF$170,54,FALSE)</f>
        <v>0</v>
      </c>
      <c r="O135" s="13">
        <f>VLOOKUP($F135,'BaseIBK distritos filt'!$D$2:$BF$170,55,FALSE)</f>
        <v>0</v>
      </c>
    </row>
    <row r="136" spans="2:15" x14ac:dyDescent="0.35">
      <c r="B136" s="18">
        <v>132</v>
      </c>
      <c r="C136" s="13" t="s">
        <v>250</v>
      </c>
      <c r="D136" s="13" t="s">
        <v>530</v>
      </c>
      <c r="E136" s="13" t="s">
        <v>530</v>
      </c>
      <c r="F136" s="22" t="s">
        <v>545</v>
      </c>
      <c r="G136" s="22">
        <v>11.393204975755703</v>
      </c>
      <c r="H136" s="22">
        <v>2.1421525916769868</v>
      </c>
      <c r="I136" s="22">
        <v>52.494167026624872</v>
      </c>
      <c r="J136" s="22">
        <v>0.88812897903761501</v>
      </c>
      <c r="K136" s="22">
        <v>16.729413393273795</v>
      </c>
      <c r="L136" s="22">
        <f>VLOOKUP($F136,'BaseIBK distritos filt'!$D$2:$BF$170,52,FALSE)</f>
        <v>0.4</v>
      </c>
      <c r="M136" s="22">
        <f>VLOOKUP($F136,'BaseIBK distritos filt'!$D$2:$BF$170,53,FALSE)</f>
        <v>14906</v>
      </c>
      <c r="N136" s="22">
        <f>VLOOKUP($F136,'BaseIBK distritos filt'!$D$2:$BF$170,54,FALSE)</f>
        <v>0</v>
      </c>
      <c r="O136" s="13">
        <f>VLOOKUP($F136,'BaseIBK distritos filt'!$D$2:$BF$170,55,FALSE)</f>
        <v>0</v>
      </c>
    </row>
    <row r="137" spans="2:15" x14ac:dyDescent="0.35">
      <c r="B137" s="18">
        <v>133</v>
      </c>
      <c r="C137" s="13" t="s">
        <v>3278</v>
      </c>
      <c r="D137" s="13" t="s">
        <v>3367</v>
      </c>
      <c r="E137" s="13" t="s">
        <v>3369</v>
      </c>
      <c r="F137" s="22" t="s">
        <v>3370</v>
      </c>
      <c r="G137" s="22">
        <v>11.121687853382948</v>
      </c>
      <c r="H137" s="22">
        <v>0.32892387547019231</v>
      </c>
      <c r="I137" s="22">
        <v>52.494167026624872</v>
      </c>
      <c r="J137" s="22">
        <v>2.1238339741051813</v>
      </c>
      <c r="K137" s="22">
        <v>16.517153182395798</v>
      </c>
      <c r="L137" s="22">
        <f>VLOOKUP($F137,'BaseIBK distritos filt'!$D$2:$BF$170,52,FALSE)</f>
        <v>0.7</v>
      </c>
      <c r="M137" s="22">
        <f>VLOOKUP($F137,'BaseIBK distritos filt'!$D$2:$BF$170,53,FALSE)</f>
        <v>27986</v>
      </c>
      <c r="N137" s="22">
        <f>VLOOKUP($F137,'BaseIBK distritos filt'!$D$2:$BF$170,54,FALSE)</f>
        <v>0</v>
      </c>
      <c r="O137" s="13">
        <f>VLOOKUP($F137,'BaseIBK distritos filt'!$D$2:$BF$170,55,FALSE)</f>
        <v>0</v>
      </c>
    </row>
    <row r="138" spans="2:15" x14ac:dyDescent="0.35">
      <c r="B138" s="18">
        <v>134</v>
      </c>
      <c r="C138" s="13" t="s">
        <v>757</v>
      </c>
      <c r="D138" s="13" t="s">
        <v>757</v>
      </c>
      <c r="E138" s="13" t="s">
        <v>765</v>
      </c>
      <c r="F138" s="22" t="s">
        <v>766</v>
      </c>
      <c r="G138" s="22">
        <v>11.935616693644056</v>
      </c>
      <c r="H138" s="22">
        <v>0.47022286975270511</v>
      </c>
      <c r="I138" s="22">
        <v>52.494167026624872</v>
      </c>
      <c r="J138" s="22">
        <v>0.37720031995098896</v>
      </c>
      <c r="K138" s="22">
        <v>16.319301727493155</v>
      </c>
      <c r="L138" s="22">
        <f>VLOOKUP($F138,'BaseIBK distritos filt'!$D$2:$BF$170,52,FALSE)</f>
        <v>0.1</v>
      </c>
      <c r="M138" s="22">
        <f>VLOOKUP($F138,'BaseIBK distritos filt'!$D$2:$BF$170,53,FALSE)</f>
        <v>6148</v>
      </c>
      <c r="N138" s="22">
        <f>VLOOKUP($F138,'BaseIBK distritos filt'!$D$2:$BF$170,54,FALSE)</f>
        <v>0</v>
      </c>
      <c r="O138" s="13">
        <f>VLOOKUP($F138,'BaseIBK distritos filt'!$D$2:$BF$170,55,FALSE)</f>
        <v>0</v>
      </c>
    </row>
    <row r="139" spans="2:15" x14ac:dyDescent="0.35">
      <c r="B139" s="18">
        <v>135</v>
      </c>
      <c r="C139" s="13" t="s">
        <v>2111</v>
      </c>
      <c r="D139" s="13" t="s">
        <v>2139</v>
      </c>
      <c r="E139" s="13" t="s">
        <v>2150</v>
      </c>
      <c r="F139" s="22" t="s">
        <v>2151</v>
      </c>
      <c r="G139" s="22">
        <v>17.670752705782153</v>
      </c>
      <c r="H139" s="22">
        <v>0.38206219068967839</v>
      </c>
      <c r="I139" s="22">
        <v>42.86301869858157</v>
      </c>
      <c r="J139" s="22">
        <v>3.0382949078535457</v>
      </c>
      <c r="K139" s="22">
        <v>15.988532125726737</v>
      </c>
      <c r="L139" s="22">
        <f>VLOOKUP($F139,'BaseIBK distritos filt'!$D$2:$BF$170,52,FALSE)</f>
        <v>0.4</v>
      </c>
      <c r="M139" s="22">
        <f>VLOOKUP($F139,'BaseIBK distritos filt'!$D$2:$BF$170,53,FALSE)</f>
        <v>17250</v>
      </c>
      <c r="N139" s="22">
        <f>VLOOKUP($F139,'BaseIBK distritos filt'!$D$2:$BF$170,54,FALSE)</f>
        <v>0</v>
      </c>
      <c r="O139" s="13">
        <f>VLOOKUP($F139,'BaseIBK distritos filt'!$D$2:$BF$170,55,FALSE)</f>
        <v>0</v>
      </c>
    </row>
    <row r="140" spans="2:15" x14ac:dyDescent="0.35">
      <c r="B140" s="18">
        <v>136</v>
      </c>
      <c r="C140" s="13" t="s">
        <v>757</v>
      </c>
      <c r="D140" s="13" t="s">
        <v>757</v>
      </c>
      <c r="E140" s="13" t="s">
        <v>811</v>
      </c>
      <c r="F140" s="22" t="s">
        <v>812</v>
      </c>
      <c r="G140" s="22">
        <v>7.5277111086878667</v>
      </c>
      <c r="H140" s="22">
        <v>2.59845126394631</v>
      </c>
      <c r="I140" s="22">
        <v>52.494167026624872</v>
      </c>
      <c r="J140" s="22">
        <v>1.000070091307681</v>
      </c>
      <c r="K140" s="22">
        <v>15.905099872641683</v>
      </c>
      <c r="L140" s="22">
        <f>VLOOKUP($F140,'BaseIBK distritos filt'!$D$2:$BF$170,52,FALSE)</f>
        <v>0.3</v>
      </c>
      <c r="M140" s="22">
        <f>VLOOKUP($F140,'BaseIBK distritos filt'!$D$2:$BF$170,53,FALSE)</f>
        <v>14601</v>
      </c>
      <c r="N140" s="22">
        <f>VLOOKUP($F140,'BaseIBK distritos filt'!$D$2:$BF$170,54,FALSE)</f>
        <v>0</v>
      </c>
      <c r="O140" s="13">
        <f>VLOOKUP($F140,'BaseIBK distritos filt'!$D$2:$BF$170,55,FALSE)</f>
        <v>0</v>
      </c>
    </row>
    <row r="141" spans="2:15" x14ac:dyDescent="0.35">
      <c r="B141" s="18">
        <v>137</v>
      </c>
      <c r="C141" s="13" t="s">
        <v>3846</v>
      </c>
      <c r="D141" s="13" t="s">
        <v>3846</v>
      </c>
      <c r="E141" s="13" t="s">
        <v>3848</v>
      </c>
      <c r="F141" s="22" t="s">
        <v>3849</v>
      </c>
      <c r="G141" s="22">
        <v>22.110478159736413</v>
      </c>
      <c r="H141" s="22">
        <v>0.56338597329645745</v>
      </c>
      <c r="I141" s="22">
        <v>39.897014156108277</v>
      </c>
      <c r="J141" s="22">
        <v>1.0019452106115974</v>
      </c>
      <c r="K141" s="22">
        <v>15.893205874938186</v>
      </c>
      <c r="L141" s="22">
        <f>VLOOKUP($F141,'BaseIBK distritos filt'!$D$2:$BF$170,52,FALSE)</f>
        <v>0.3</v>
      </c>
      <c r="M141" s="22">
        <f>VLOOKUP($F141,'BaseIBK distritos filt'!$D$2:$BF$170,53,FALSE)</f>
        <v>13757</v>
      </c>
      <c r="N141" s="22">
        <f>VLOOKUP($F141,'BaseIBK distritos filt'!$D$2:$BF$170,54,FALSE)</f>
        <v>0</v>
      </c>
      <c r="O141" s="13">
        <f>VLOOKUP($F141,'BaseIBK distritos filt'!$D$2:$BF$170,55,FALSE)</f>
        <v>0</v>
      </c>
    </row>
    <row r="142" spans="2:15" x14ac:dyDescent="0.35">
      <c r="B142" s="18">
        <v>138</v>
      </c>
      <c r="C142" s="13" t="s">
        <v>2695</v>
      </c>
      <c r="D142" s="13" t="s">
        <v>2696</v>
      </c>
      <c r="E142" s="13" t="s">
        <v>2771</v>
      </c>
      <c r="F142" s="22" t="s">
        <v>2772</v>
      </c>
      <c r="G142" s="22">
        <v>10.72934501837031</v>
      </c>
      <c r="H142" s="22">
        <v>0</v>
      </c>
      <c r="I142" s="22">
        <v>52.494167026624872</v>
      </c>
      <c r="J142" s="22">
        <v>0.14036875343997904</v>
      </c>
      <c r="K142" s="22">
        <v>15.84097019960879</v>
      </c>
      <c r="L142" s="22">
        <f>VLOOKUP($F142,'BaseIBK distritos filt'!$D$2:$BF$170,52,FALSE)</f>
        <v>0.1</v>
      </c>
      <c r="M142" s="22">
        <f>VLOOKUP($F142,'BaseIBK distritos filt'!$D$2:$BF$170,53,FALSE)</f>
        <v>2495</v>
      </c>
      <c r="N142" s="22">
        <f>VLOOKUP($F142,'BaseIBK distritos filt'!$D$2:$BF$170,54,FALSE)</f>
        <v>0</v>
      </c>
      <c r="O142" s="13">
        <f>VLOOKUP($F142,'BaseIBK distritos filt'!$D$2:$BF$170,55,FALSE)</f>
        <v>0</v>
      </c>
    </row>
    <row r="143" spans="2:15" x14ac:dyDescent="0.35">
      <c r="B143" s="18">
        <v>139</v>
      </c>
      <c r="C143" s="13" t="s">
        <v>3278</v>
      </c>
      <c r="D143" s="13" t="s">
        <v>3382</v>
      </c>
      <c r="E143" s="13" t="s">
        <v>3393</v>
      </c>
      <c r="F143" s="22" t="s">
        <v>3394</v>
      </c>
      <c r="G143" s="22">
        <v>7.0847039900591948</v>
      </c>
      <c r="H143" s="22">
        <v>2.0698976940544798</v>
      </c>
      <c r="I143" s="22">
        <v>52.494167026624872</v>
      </c>
      <c r="J143" s="22">
        <v>1.7021311291212013</v>
      </c>
      <c r="K143" s="22">
        <v>15.837724959964937</v>
      </c>
      <c r="L143" s="22">
        <f>VLOOKUP($F143,'BaseIBK distritos filt'!$D$2:$BF$170,52,FALSE)</f>
        <v>0.4</v>
      </c>
      <c r="M143" s="22">
        <f>VLOOKUP($F143,'BaseIBK distritos filt'!$D$2:$BF$170,53,FALSE)</f>
        <v>17258</v>
      </c>
      <c r="N143" s="22">
        <f>VLOOKUP($F143,'BaseIBK distritos filt'!$D$2:$BF$170,54,FALSE)</f>
        <v>0</v>
      </c>
      <c r="O143" s="13">
        <f>VLOOKUP($F143,'BaseIBK distritos filt'!$D$2:$BF$170,55,FALSE)</f>
        <v>0</v>
      </c>
    </row>
    <row r="144" spans="2:15" x14ac:dyDescent="0.35">
      <c r="B144" s="18">
        <v>140</v>
      </c>
      <c r="C144" s="13" t="s">
        <v>3152</v>
      </c>
      <c r="D144" s="13" t="s">
        <v>3153</v>
      </c>
      <c r="E144" s="13" t="s">
        <v>3157</v>
      </c>
      <c r="F144" s="22" t="s">
        <v>3158</v>
      </c>
      <c r="G144" s="22">
        <v>31.520001110181163</v>
      </c>
      <c r="H144" s="22">
        <v>0</v>
      </c>
      <c r="I144" s="22">
        <v>31.054691517373435</v>
      </c>
      <c r="J144" s="22">
        <v>0.44640961657676931</v>
      </c>
      <c r="K144" s="22">
        <v>15.755275561032843</v>
      </c>
      <c r="L144" s="22">
        <f>VLOOKUP($F144,'BaseIBK distritos filt'!$D$2:$BF$170,52,FALSE)</f>
        <v>0.1</v>
      </c>
      <c r="M144" s="22">
        <f>VLOOKUP($F144,'BaseIBK distritos filt'!$D$2:$BF$170,53,FALSE)</f>
        <v>4530</v>
      </c>
      <c r="N144" s="22">
        <f>VLOOKUP($F144,'BaseIBK distritos filt'!$D$2:$BF$170,54,FALSE)</f>
        <v>0</v>
      </c>
      <c r="O144" s="13">
        <f>VLOOKUP($F144,'BaseIBK distritos filt'!$D$2:$BF$170,55,FALSE)</f>
        <v>0</v>
      </c>
    </row>
    <row r="145" spans="2:15" x14ac:dyDescent="0.35">
      <c r="B145" s="18">
        <v>141</v>
      </c>
      <c r="C145" s="13" t="s">
        <v>2199</v>
      </c>
      <c r="D145" s="13" t="s">
        <v>2200</v>
      </c>
      <c r="E145" s="13" t="s">
        <v>3513</v>
      </c>
      <c r="F145" s="22" t="s">
        <v>2225</v>
      </c>
      <c r="G145" s="22">
        <v>9.8474528280947631</v>
      </c>
      <c r="H145" s="22">
        <v>0</v>
      </c>
      <c r="I145" s="22">
        <v>52.494167026624872</v>
      </c>
      <c r="J145" s="22">
        <v>0.41887352856644927</v>
      </c>
      <c r="K145" s="22">
        <v>15.690123345821522</v>
      </c>
      <c r="L145" s="22">
        <f>VLOOKUP($F145,'BaseIBK distritos filt'!$D$2:$BF$170,52,FALSE)</f>
        <v>0.2</v>
      </c>
      <c r="M145" s="22">
        <f>VLOOKUP($F145,'BaseIBK distritos filt'!$D$2:$BF$170,53,FALSE)</f>
        <v>10484</v>
      </c>
      <c r="N145" s="22">
        <f>VLOOKUP($F145,'BaseIBK distritos filt'!$D$2:$BF$170,54,FALSE)</f>
        <v>0</v>
      </c>
      <c r="O145" s="13">
        <f>VLOOKUP($F145,'BaseIBK distritos filt'!$D$2:$BF$170,55,FALSE)</f>
        <v>0</v>
      </c>
    </row>
    <row r="146" spans="2:15" x14ac:dyDescent="0.35">
      <c r="B146" s="18">
        <v>142</v>
      </c>
      <c r="C146" s="13" t="s">
        <v>2111</v>
      </c>
      <c r="D146" s="13" t="s">
        <v>2111</v>
      </c>
      <c r="E146" s="13" t="s">
        <v>2125</v>
      </c>
      <c r="F146" s="22" t="s">
        <v>2126</v>
      </c>
      <c r="G146" s="22">
        <v>7.3071027419776406</v>
      </c>
      <c r="H146" s="22">
        <v>1.0103635089199214</v>
      </c>
      <c r="I146" s="22">
        <v>52.494167026624872</v>
      </c>
      <c r="J146" s="22">
        <v>1.3890582691544364</v>
      </c>
      <c r="K146" s="22">
        <v>15.550172886669218</v>
      </c>
      <c r="L146" s="22">
        <f>VLOOKUP($F146,'BaseIBK distritos filt'!$D$2:$BF$170,52,FALSE)</f>
        <v>0.3</v>
      </c>
      <c r="M146" s="22">
        <f>VLOOKUP($F146,'BaseIBK distritos filt'!$D$2:$BF$170,53,FALSE)</f>
        <v>11860</v>
      </c>
      <c r="N146" s="22">
        <f>VLOOKUP($F146,'BaseIBK distritos filt'!$D$2:$BF$170,54,FALSE)</f>
        <v>0</v>
      </c>
      <c r="O146" s="13">
        <f>VLOOKUP($F146,'BaseIBK distritos filt'!$D$2:$BF$170,55,FALSE)</f>
        <v>0</v>
      </c>
    </row>
    <row r="147" spans="2:15" x14ac:dyDescent="0.35">
      <c r="B147" s="18">
        <v>143</v>
      </c>
      <c r="C147" s="13" t="s">
        <v>976</v>
      </c>
      <c r="D147" s="13" t="s">
        <v>977</v>
      </c>
      <c r="E147" s="13" t="s">
        <v>4006</v>
      </c>
      <c r="F147" s="22" t="s">
        <v>985</v>
      </c>
      <c r="G147" s="22">
        <v>6.8591184467161836</v>
      </c>
      <c r="H147" s="22">
        <v>0</v>
      </c>
      <c r="I147" s="22">
        <v>52.494167026624872</v>
      </c>
      <c r="J147" s="22">
        <v>1.0326793181275087</v>
      </c>
      <c r="K147" s="22">
        <v>15.09649119786714</v>
      </c>
      <c r="L147" s="22">
        <f>VLOOKUP($F147,'BaseIBK distritos filt'!$D$2:$BF$170,52,FALSE)</f>
        <v>0.5</v>
      </c>
      <c r="M147" s="22">
        <f>VLOOKUP($F147,'BaseIBK distritos filt'!$D$2:$BF$170,53,FALSE)</f>
        <v>20476</v>
      </c>
      <c r="N147" s="22">
        <f>VLOOKUP($F147,'BaseIBK distritos filt'!$D$2:$BF$170,54,FALSE)</f>
        <v>0</v>
      </c>
      <c r="O147" s="13">
        <f>VLOOKUP($F147,'BaseIBK distritos filt'!$D$2:$BF$170,55,FALSE)</f>
        <v>0</v>
      </c>
    </row>
    <row r="148" spans="2:15" x14ac:dyDescent="0.35">
      <c r="B148" s="18">
        <v>144</v>
      </c>
      <c r="C148" s="13" t="s">
        <v>2199</v>
      </c>
      <c r="D148" s="13" t="s">
        <v>2200</v>
      </c>
      <c r="E148" s="13" t="s">
        <v>2228</v>
      </c>
      <c r="F148" s="22" t="s">
        <v>2229</v>
      </c>
      <c r="G148" s="22">
        <v>6.4033964653686573</v>
      </c>
      <c r="H148" s="22">
        <v>0.74366008047486465</v>
      </c>
      <c r="I148" s="22">
        <v>52.494167026624872</v>
      </c>
      <c r="J148" s="22">
        <v>0.31761593428398682</v>
      </c>
      <c r="K148" s="22">
        <v>14.989709876688094</v>
      </c>
      <c r="L148" s="22">
        <f>VLOOKUP($F148,'BaseIBK distritos filt'!$D$2:$BF$170,52,FALSE)</f>
        <v>0.1</v>
      </c>
      <c r="M148" s="22">
        <f>VLOOKUP($F148,'BaseIBK distritos filt'!$D$2:$BF$170,53,FALSE)</f>
        <v>4782</v>
      </c>
      <c r="N148" s="22">
        <f>VLOOKUP($F148,'BaseIBK distritos filt'!$D$2:$BF$170,54,FALSE)</f>
        <v>0</v>
      </c>
      <c r="O148" s="13">
        <f>VLOOKUP($F148,'BaseIBK distritos filt'!$D$2:$BF$170,55,FALSE)</f>
        <v>0</v>
      </c>
    </row>
    <row r="149" spans="2:15" x14ac:dyDescent="0.35">
      <c r="B149" s="18">
        <v>145</v>
      </c>
      <c r="C149" s="13" t="s">
        <v>3152</v>
      </c>
      <c r="D149" s="13" t="s">
        <v>3153</v>
      </c>
      <c r="E149" s="13" t="s">
        <v>3159</v>
      </c>
      <c r="F149" s="22" t="s">
        <v>3160</v>
      </c>
      <c r="G149" s="22">
        <v>7.2415256022646703</v>
      </c>
      <c r="H149" s="22">
        <v>0</v>
      </c>
      <c r="I149" s="22">
        <v>52.494167026624872</v>
      </c>
      <c r="J149" s="22">
        <v>0.15433413607630078</v>
      </c>
      <c r="K149" s="22">
        <v>14.972506691241461</v>
      </c>
      <c r="L149" s="22">
        <f>VLOOKUP($F149,'BaseIBK distritos filt'!$D$2:$BF$170,52,FALSE)</f>
        <v>0.1</v>
      </c>
      <c r="M149" s="22">
        <f>VLOOKUP($F149,'BaseIBK distritos filt'!$D$2:$BF$170,53,FALSE)</f>
        <v>3649</v>
      </c>
      <c r="N149" s="22">
        <f>VLOOKUP($F149,'BaseIBK distritos filt'!$D$2:$BF$170,54,FALSE)</f>
        <v>0</v>
      </c>
      <c r="O149" s="13">
        <f>VLOOKUP($F149,'BaseIBK distritos filt'!$D$2:$BF$170,55,FALSE)</f>
        <v>0</v>
      </c>
    </row>
    <row r="150" spans="2:15" x14ac:dyDescent="0.35">
      <c r="B150" s="18">
        <v>146</v>
      </c>
      <c r="C150" s="13" t="s">
        <v>2111</v>
      </c>
      <c r="D150" s="13" t="s">
        <v>2111</v>
      </c>
      <c r="E150" s="13" t="s">
        <v>2133</v>
      </c>
      <c r="F150" s="22" t="s">
        <v>2134</v>
      </c>
      <c r="G150" s="22">
        <v>15.483224806840024</v>
      </c>
      <c r="H150" s="22">
        <v>0.9646822866337138</v>
      </c>
      <c r="I150" s="22">
        <v>40.946776895317996</v>
      </c>
      <c r="J150" s="22">
        <v>1.9801170864928412</v>
      </c>
      <c r="K150" s="22">
        <v>14.843700268821143</v>
      </c>
      <c r="L150" s="22">
        <f>VLOOKUP($F150,'BaseIBK distritos filt'!$D$2:$BF$170,52,FALSE)</f>
        <v>0.5</v>
      </c>
      <c r="M150" s="22">
        <f>VLOOKUP($F150,'BaseIBK distritos filt'!$D$2:$BF$170,53,FALSE)</f>
        <v>22368</v>
      </c>
      <c r="N150" s="22">
        <f>VLOOKUP($F150,'BaseIBK distritos filt'!$D$2:$BF$170,54,FALSE)</f>
        <v>0</v>
      </c>
      <c r="O150" s="13">
        <f>VLOOKUP($F150,'BaseIBK distritos filt'!$D$2:$BF$170,55,FALSE)</f>
        <v>0</v>
      </c>
    </row>
    <row r="151" spans="2:15" x14ac:dyDescent="0.35">
      <c r="B151" s="18">
        <v>147</v>
      </c>
      <c r="C151" s="13" t="s">
        <v>2111</v>
      </c>
      <c r="D151" s="13" t="s">
        <v>2111</v>
      </c>
      <c r="E151" s="13" t="s">
        <v>2129</v>
      </c>
      <c r="F151" s="22" t="s">
        <v>2130</v>
      </c>
      <c r="G151" s="22">
        <v>6.515451309130067</v>
      </c>
      <c r="H151" s="22">
        <v>0</v>
      </c>
      <c r="I151" s="22">
        <v>52.494167026624872</v>
      </c>
      <c r="J151" s="22">
        <v>0.16613311626927804</v>
      </c>
      <c r="K151" s="22">
        <v>14.793937863006054</v>
      </c>
      <c r="L151" s="22">
        <f>VLOOKUP($F151,'BaseIBK distritos filt'!$D$2:$BF$170,52,FALSE)</f>
        <v>0.1</v>
      </c>
      <c r="M151" s="22">
        <f>VLOOKUP($F151,'BaseIBK distritos filt'!$D$2:$BF$170,53,FALSE)</f>
        <v>3435</v>
      </c>
      <c r="N151" s="22">
        <f>VLOOKUP($F151,'BaseIBK distritos filt'!$D$2:$BF$170,54,FALSE)</f>
        <v>0</v>
      </c>
      <c r="O151" s="13">
        <f>VLOOKUP($F151,'BaseIBK distritos filt'!$D$2:$BF$170,55,FALSE)</f>
        <v>0</v>
      </c>
    </row>
    <row r="152" spans="2:15" x14ac:dyDescent="0.35">
      <c r="B152" s="18">
        <v>148</v>
      </c>
      <c r="C152" s="13" t="s">
        <v>2199</v>
      </c>
      <c r="D152" s="13" t="s">
        <v>2200</v>
      </c>
      <c r="E152" s="13" t="s">
        <v>2250</v>
      </c>
      <c r="F152" s="22" t="s">
        <v>2251</v>
      </c>
      <c r="G152" s="22">
        <v>6.2070135383081482</v>
      </c>
      <c r="H152" s="22">
        <v>0</v>
      </c>
      <c r="I152" s="22">
        <v>52.494167026624872</v>
      </c>
      <c r="J152" s="22">
        <v>0.18760580219079445</v>
      </c>
      <c r="K152" s="22">
        <v>14.722196591780953</v>
      </c>
      <c r="L152" s="22">
        <f>VLOOKUP($F152,'BaseIBK distritos filt'!$D$2:$BF$170,52,FALSE)</f>
        <v>0.2</v>
      </c>
      <c r="M152" s="22">
        <f>VLOOKUP($F152,'BaseIBK distritos filt'!$D$2:$BF$170,53,FALSE)</f>
        <v>7402</v>
      </c>
      <c r="N152" s="22">
        <f>VLOOKUP($F152,'BaseIBK distritos filt'!$D$2:$BF$170,54,FALSE)</f>
        <v>0</v>
      </c>
      <c r="O152" s="13">
        <f>VLOOKUP($F152,'BaseIBK distritos filt'!$D$2:$BF$170,55,FALSE)</f>
        <v>0</v>
      </c>
    </row>
    <row r="153" spans="2:15" x14ac:dyDescent="0.35">
      <c r="B153" s="18">
        <v>149</v>
      </c>
      <c r="C153" s="13" t="s">
        <v>3632</v>
      </c>
      <c r="D153" s="13" t="s">
        <v>3662</v>
      </c>
      <c r="E153" s="13" t="s">
        <v>3753</v>
      </c>
      <c r="F153" s="22" t="s">
        <v>3754</v>
      </c>
      <c r="G153" s="22">
        <v>6.1224131809834974</v>
      </c>
      <c r="H153" s="22">
        <v>0</v>
      </c>
      <c r="I153" s="22">
        <v>52.494167026624872</v>
      </c>
      <c r="J153" s="22">
        <v>8.3219261150274407E-2</v>
      </c>
      <c r="K153" s="22">
        <v>14.674949867189662</v>
      </c>
      <c r="L153" s="22">
        <f>VLOOKUP($F153,'BaseIBK distritos filt'!$D$2:$BF$170,52,FALSE)</f>
        <v>0.1</v>
      </c>
      <c r="M153" s="22">
        <f>VLOOKUP($F153,'BaseIBK distritos filt'!$D$2:$BF$170,53,FALSE)</f>
        <v>2537</v>
      </c>
      <c r="N153" s="22">
        <f>VLOOKUP($F153,'BaseIBK distritos filt'!$D$2:$BF$170,54,FALSE)</f>
        <v>0</v>
      </c>
      <c r="O153" s="13">
        <f>VLOOKUP($F153,'BaseIBK distritos filt'!$D$2:$BF$170,55,FALSE)</f>
        <v>0</v>
      </c>
    </row>
    <row r="154" spans="2:15" x14ac:dyDescent="0.35">
      <c r="B154" s="18">
        <v>150</v>
      </c>
      <c r="C154" s="13" t="s">
        <v>3632</v>
      </c>
      <c r="D154" s="13" t="s">
        <v>3662</v>
      </c>
      <c r="E154" s="13" t="s">
        <v>3763</v>
      </c>
      <c r="F154" s="22" t="s">
        <v>3764</v>
      </c>
      <c r="G154" s="22">
        <v>5.54911782221546</v>
      </c>
      <c r="H154" s="22">
        <v>0</v>
      </c>
      <c r="I154" s="22">
        <v>52.494167026624872</v>
      </c>
      <c r="J154" s="22">
        <v>7.4912266488032037E-2</v>
      </c>
      <c r="K154" s="22">
        <v>14.529549278832091</v>
      </c>
      <c r="L154" s="22">
        <f>VLOOKUP($F154,'BaseIBK distritos filt'!$D$2:$BF$170,52,FALSE)</f>
        <v>0.1</v>
      </c>
      <c r="M154" s="22">
        <f>VLOOKUP($F154,'BaseIBK distritos filt'!$D$2:$BF$170,53,FALSE)</f>
        <v>2125</v>
      </c>
      <c r="N154" s="22">
        <f>VLOOKUP($F154,'BaseIBK distritos filt'!$D$2:$BF$170,54,FALSE)</f>
        <v>0</v>
      </c>
      <c r="O154" s="13">
        <f>VLOOKUP($F154,'BaseIBK distritos filt'!$D$2:$BF$170,55,FALSE)</f>
        <v>0</v>
      </c>
    </row>
    <row r="155" spans="2:15" x14ac:dyDescent="0.35">
      <c r="B155" s="18">
        <v>151</v>
      </c>
      <c r="C155" s="13" t="s">
        <v>2695</v>
      </c>
      <c r="D155" s="13" t="s">
        <v>2696</v>
      </c>
      <c r="E155" s="13" t="s">
        <v>2749</v>
      </c>
      <c r="F155" s="22" t="s">
        <v>2750</v>
      </c>
      <c r="G155" s="22">
        <v>3.8373861949298176</v>
      </c>
      <c r="H155" s="22">
        <v>0</v>
      </c>
      <c r="I155" s="22">
        <v>52.494167026624872</v>
      </c>
      <c r="J155" s="22">
        <v>0.49855471310225574</v>
      </c>
      <c r="K155" s="22">
        <v>14.207526983664238</v>
      </c>
      <c r="L155" s="22">
        <f>VLOOKUP($F155,'BaseIBK distritos filt'!$D$2:$BF$170,52,FALSE)</f>
        <v>0.2</v>
      </c>
      <c r="M155" s="22">
        <f>VLOOKUP($F155,'BaseIBK distritos filt'!$D$2:$BF$170,53,FALSE)</f>
        <v>8401</v>
      </c>
      <c r="N155" s="22">
        <f>VLOOKUP($F155,'BaseIBK distritos filt'!$D$2:$BF$170,54,FALSE)</f>
        <v>0</v>
      </c>
      <c r="O155" s="13">
        <f>VLOOKUP($F155,'BaseIBK distritos filt'!$D$2:$BF$170,55,FALSE)</f>
        <v>0</v>
      </c>
    </row>
    <row r="156" spans="2:15" x14ac:dyDescent="0.35">
      <c r="B156" s="18">
        <v>152</v>
      </c>
      <c r="C156" s="13" t="s">
        <v>2111</v>
      </c>
      <c r="D156" s="13" t="s">
        <v>2139</v>
      </c>
      <c r="E156" s="13" t="s">
        <v>2158</v>
      </c>
      <c r="F156" s="22" t="s">
        <v>2159</v>
      </c>
      <c r="G156" s="22">
        <v>13.096992270291816</v>
      </c>
      <c r="H156" s="22">
        <v>0.12774541567752609</v>
      </c>
      <c r="I156" s="22">
        <v>39.897014156108277</v>
      </c>
      <c r="J156" s="22">
        <v>0.86333360908255552</v>
      </c>
      <c r="K156" s="22">
        <v>13.496271362790042</v>
      </c>
      <c r="L156" s="22">
        <f>VLOOKUP($F156,'BaseIBK distritos filt'!$D$2:$BF$170,52,FALSE)</f>
        <v>0.4</v>
      </c>
      <c r="M156" s="22">
        <f>VLOOKUP($F156,'BaseIBK distritos filt'!$D$2:$BF$170,53,FALSE)</f>
        <v>17733</v>
      </c>
      <c r="N156" s="22">
        <f>VLOOKUP($F156,'BaseIBK distritos filt'!$D$2:$BF$170,54,FALSE)</f>
        <v>0</v>
      </c>
      <c r="O156" s="13">
        <f>VLOOKUP($F156,'BaseIBK distritos filt'!$D$2:$BF$170,55,FALSE)</f>
        <v>0</v>
      </c>
    </row>
    <row r="157" spans="2:15" x14ac:dyDescent="0.35">
      <c r="B157" s="18">
        <v>153</v>
      </c>
      <c r="C157" s="13" t="s">
        <v>1482</v>
      </c>
      <c r="D157" s="13" t="s">
        <v>1482</v>
      </c>
      <c r="E157" s="13" t="s">
        <v>1494</v>
      </c>
      <c r="F157" s="22" t="s">
        <v>1495</v>
      </c>
      <c r="G157" s="22">
        <v>11.339095067569611</v>
      </c>
      <c r="H157" s="22">
        <v>0</v>
      </c>
      <c r="I157" s="22">
        <v>40.946776895317996</v>
      </c>
      <c r="J157" s="22">
        <v>1.097170817540905</v>
      </c>
      <c r="K157" s="22">
        <v>13.345760695107128</v>
      </c>
      <c r="L157" s="22">
        <f>VLOOKUP($F157,'BaseIBK distritos filt'!$D$2:$BF$170,52,FALSE)</f>
        <v>0.5</v>
      </c>
      <c r="M157" s="22">
        <f>VLOOKUP($F157,'BaseIBK distritos filt'!$D$2:$BF$170,53,FALSE)</f>
        <v>21059</v>
      </c>
      <c r="N157" s="22">
        <f>VLOOKUP($F157,'BaseIBK distritos filt'!$D$2:$BF$170,54,FALSE)</f>
        <v>1</v>
      </c>
      <c r="O157" s="13">
        <f>VLOOKUP($F157,'BaseIBK distritos filt'!$D$2:$BF$170,55,FALSE)</f>
        <v>0.2</v>
      </c>
    </row>
    <row r="158" spans="2:15" x14ac:dyDescent="0.35">
      <c r="B158" s="18">
        <v>154</v>
      </c>
      <c r="C158" s="13" t="s">
        <v>2695</v>
      </c>
      <c r="D158" s="13" t="s">
        <v>2937</v>
      </c>
      <c r="E158" s="13" t="s">
        <v>2946</v>
      </c>
      <c r="F158" s="22" t="s">
        <v>2947</v>
      </c>
      <c r="G158" s="22">
        <v>15.0423007707472</v>
      </c>
      <c r="H158" s="22">
        <v>0</v>
      </c>
      <c r="I158" s="22">
        <v>34.648200460059691</v>
      </c>
      <c r="J158" s="22">
        <v>1.1916042600724848</v>
      </c>
      <c r="K158" s="22">
        <v>12.720526372719844</v>
      </c>
      <c r="L158" s="22">
        <f>VLOOKUP($F158,'BaseIBK distritos filt'!$D$2:$BF$170,52,FALSE)</f>
        <v>0.8</v>
      </c>
      <c r="M158" s="22">
        <f>VLOOKUP($F158,'BaseIBK distritos filt'!$D$2:$BF$170,53,FALSE)</f>
        <v>33078</v>
      </c>
      <c r="N158" s="22">
        <f>VLOOKUP($F158,'BaseIBK distritos filt'!$D$2:$BF$170,54,FALSE)</f>
        <v>0</v>
      </c>
      <c r="O158" s="13">
        <f>VLOOKUP($F158,'BaseIBK distritos filt'!$D$2:$BF$170,55,FALSE)</f>
        <v>0</v>
      </c>
    </row>
    <row r="159" spans="2:15" x14ac:dyDescent="0.35">
      <c r="B159" s="18">
        <v>155</v>
      </c>
      <c r="C159" s="13" t="s">
        <v>976</v>
      </c>
      <c r="D159" s="13" t="s">
        <v>977</v>
      </c>
      <c r="E159" s="13" t="s">
        <v>1007</v>
      </c>
      <c r="F159" s="22" t="s">
        <v>1008</v>
      </c>
      <c r="G159" s="22">
        <v>10.770266724431425</v>
      </c>
      <c r="H159" s="22">
        <v>0.23511143487635255</v>
      </c>
      <c r="I159" s="22">
        <v>37.270689261774002</v>
      </c>
      <c r="J159" s="22">
        <v>0.73414854898563209</v>
      </c>
      <c r="K159" s="22">
        <v>12.252553992516852</v>
      </c>
      <c r="L159" s="22">
        <f>VLOOKUP($F159,'BaseIBK distritos filt'!$D$2:$BF$170,52,FALSE)</f>
        <v>0.6</v>
      </c>
      <c r="M159" s="22">
        <f>VLOOKUP($F159,'BaseIBK distritos filt'!$D$2:$BF$170,53,FALSE)</f>
        <v>28433</v>
      </c>
      <c r="N159" s="22">
        <f>VLOOKUP($F159,'BaseIBK distritos filt'!$D$2:$BF$170,54,FALSE)</f>
        <v>0</v>
      </c>
      <c r="O159" s="13">
        <f>VLOOKUP($F159,'BaseIBK distritos filt'!$D$2:$BF$170,55,FALSE)</f>
        <v>0</v>
      </c>
    </row>
    <row r="160" spans="2:15" x14ac:dyDescent="0.35">
      <c r="B160" s="18">
        <v>156</v>
      </c>
      <c r="C160" s="13" t="s">
        <v>1937</v>
      </c>
      <c r="D160" s="13" t="s">
        <v>1937</v>
      </c>
      <c r="E160" s="13" t="s">
        <v>1958</v>
      </c>
      <c r="F160" s="22" t="s">
        <v>1959</v>
      </c>
      <c r="G160" s="22">
        <v>11.440898593063267</v>
      </c>
      <c r="H160" s="22">
        <v>0.54137036133774064</v>
      </c>
      <c r="I160" s="22">
        <v>34.648200460059691</v>
      </c>
      <c r="J160" s="22">
        <v>1.7144481857295895</v>
      </c>
      <c r="K160" s="22">
        <v>12.086229400047571</v>
      </c>
      <c r="L160" s="22">
        <f>VLOOKUP($F160,'BaseIBK distritos filt'!$D$2:$BF$170,52,FALSE)</f>
        <v>0.6</v>
      </c>
      <c r="M160" s="22">
        <f>VLOOKUP($F160,'BaseIBK distritos filt'!$D$2:$BF$170,53,FALSE)</f>
        <v>26287</v>
      </c>
      <c r="N160" s="22">
        <f>VLOOKUP($F160,'BaseIBK distritos filt'!$D$2:$BF$170,54,FALSE)</f>
        <v>0</v>
      </c>
      <c r="O160" s="13">
        <f>VLOOKUP($F160,'BaseIBK distritos filt'!$D$2:$BF$170,55,FALSE)</f>
        <v>0</v>
      </c>
    </row>
    <row r="161" spans="2:15" x14ac:dyDescent="0.35">
      <c r="B161" s="18">
        <v>157</v>
      </c>
      <c r="C161" s="13" t="s">
        <v>2199</v>
      </c>
      <c r="D161" s="13" t="s">
        <v>2200</v>
      </c>
      <c r="E161" s="13" t="s">
        <v>2248</v>
      </c>
      <c r="F161" s="22" t="s">
        <v>2249</v>
      </c>
      <c r="G161" s="22">
        <v>5.8578553836316809</v>
      </c>
      <c r="H161" s="22">
        <v>0.54919549145594015</v>
      </c>
      <c r="I161" s="22">
        <v>40.101792814950961</v>
      </c>
      <c r="J161" s="22">
        <v>0.55988884927293991</v>
      </c>
      <c r="K161" s="22">
        <v>11.76718313482788</v>
      </c>
      <c r="L161" s="22">
        <f>VLOOKUP($F161,'BaseIBK distritos filt'!$D$2:$BF$170,52,FALSE)</f>
        <v>0.2</v>
      </c>
      <c r="M161" s="22">
        <f>VLOOKUP($F161,'BaseIBK distritos filt'!$D$2:$BF$170,53,FALSE)</f>
        <v>8942</v>
      </c>
      <c r="N161" s="22">
        <f>VLOOKUP($F161,'BaseIBK distritos filt'!$D$2:$BF$170,54,FALSE)</f>
        <v>0</v>
      </c>
      <c r="O161" s="13">
        <f>VLOOKUP($F161,'BaseIBK distritos filt'!$D$2:$BF$170,55,FALSE)</f>
        <v>0</v>
      </c>
    </row>
    <row r="162" spans="2:15" x14ac:dyDescent="0.35">
      <c r="B162" s="18">
        <v>158</v>
      </c>
      <c r="C162" s="13" t="s">
        <v>1482</v>
      </c>
      <c r="D162" s="13" t="s">
        <v>1482</v>
      </c>
      <c r="E162" s="13" t="s">
        <v>1490</v>
      </c>
      <c r="F162" s="22" t="s">
        <v>1491</v>
      </c>
      <c r="G162" s="22">
        <v>20.62258921798243</v>
      </c>
      <c r="H162" s="22">
        <v>5.5693281114128339E-3</v>
      </c>
      <c r="I162" s="22">
        <v>10.503657458236203</v>
      </c>
      <c r="J162" s="22">
        <v>0.7868264998360387</v>
      </c>
      <c r="K162" s="22">
        <v>7.9796606260415217</v>
      </c>
      <c r="L162" s="22">
        <f>VLOOKUP($F162,'BaseIBK distritos filt'!$D$2:$BF$170,52,FALSE)</f>
        <v>0.2</v>
      </c>
      <c r="M162" s="22">
        <f>VLOOKUP($F162,'BaseIBK distritos filt'!$D$2:$BF$170,53,FALSE)</f>
        <v>10688</v>
      </c>
      <c r="N162" s="22">
        <f>VLOOKUP($F162,'BaseIBK distritos filt'!$D$2:$BF$170,54,FALSE)</f>
        <v>0</v>
      </c>
      <c r="O162" s="13">
        <f>VLOOKUP($F162,'BaseIBK distritos filt'!$D$2:$BF$170,55,FALSE)</f>
        <v>0</v>
      </c>
    </row>
    <row r="163" spans="2:15" x14ac:dyDescent="0.35">
      <c r="B163" s="18">
        <v>159</v>
      </c>
      <c r="C163" s="13" t="s">
        <v>2695</v>
      </c>
      <c r="D163" s="13" t="s">
        <v>2937</v>
      </c>
      <c r="E163" s="13" t="s">
        <v>2942</v>
      </c>
      <c r="F163" s="22" t="s">
        <v>2943</v>
      </c>
      <c r="G163" s="22">
        <v>9.689740337463796</v>
      </c>
      <c r="H163" s="22">
        <v>0</v>
      </c>
      <c r="I163" s="22">
        <v>0</v>
      </c>
      <c r="J163" s="22">
        <v>0.14872544932071582</v>
      </c>
      <c r="K163" s="22">
        <v>2.4596164466961281</v>
      </c>
      <c r="L163" s="22">
        <f>VLOOKUP($F163,'BaseIBK distritos filt'!$D$2:$BF$170,52,FALSE)</f>
        <v>0.1</v>
      </c>
      <c r="M163" s="22">
        <f>VLOOKUP($F163,'BaseIBK distritos filt'!$D$2:$BF$170,53,FALSE)</f>
        <v>4315</v>
      </c>
      <c r="N163" s="22">
        <f>VLOOKUP($F163,'BaseIBK distritos filt'!$D$2:$BF$170,54,FALSE)</f>
        <v>0</v>
      </c>
      <c r="O163" s="13">
        <f>VLOOKUP($F163,'BaseIBK distritos filt'!$D$2:$BF$170,55,FALSE)</f>
        <v>0</v>
      </c>
    </row>
    <row r="164" spans="2:15" x14ac:dyDescent="0.35">
      <c r="B164" s="18">
        <v>160</v>
      </c>
      <c r="C164" s="13" t="s">
        <v>3278</v>
      </c>
      <c r="D164" s="13" t="s">
        <v>3382</v>
      </c>
      <c r="E164" s="13" t="s">
        <v>3391</v>
      </c>
      <c r="F164" s="22" t="s">
        <v>3392</v>
      </c>
      <c r="G164" s="22">
        <v>5.4319918005787002</v>
      </c>
      <c r="H164" s="22">
        <v>1.0101563029246028</v>
      </c>
      <c r="I164" s="22">
        <v>0</v>
      </c>
      <c r="J164" s="22">
        <v>0.86147733405798366</v>
      </c>
      <c r="K164" s="22">
        <v>1.8259063593903218</v>
      </c>
      <c r="L164" s="22">
        <f>VLOOKUP($F164,'BaseIBK distritos filt'!$D$2:$BF$170,52,FALSE)</f>
        <v>0.2</v>
      </c>
      <c r="M164" s="22">
        <f>VLOOKUP($F164,'BaseIBK distritos filt'!$D$2:$BF$170,53,FALSE)</f>
        <v>8294</v>
      </c>
      <c r="N164" s="22">
        <f>VLOOKUP($F164,'BaseIBK distritos filt'!$D$2:$BF$170,54,FALSE)</f>
        <v>0</v>
      </c>
      <c r="O164" s="13">
        <f>VLOOKUP($F164,'BaseIBK distritos filt'!$D$2:$BF$170,55,FALSE)</f>
        <v>0</v>
      </c>
    </row>
    <row r="165" spans="2:15" x14ac:dyDescent="0.35">
      <c r="B165" s="18">
        <v>161</v>
      </c>
      <c r="C165" s="13" t="s">
        <v>2619</v>
      </c>
      <c r="D165" s="13" t="s">
        <v>2620</v>
      </c>
      <c r="E165" s="13" t="s">
        <v>2654</v>
      </c>
      <c r="F165" s="22" t="s">
        <v>2655</v>
      </c>
      <c r="G165" s="22">
        <v>4.3924277600884221</v>
      </c>
      <c r="H165" s="22">
        <v>1.0161265005978166</v>
      </c>
      <c r="I165" s="22">
        <v>6.0300661390352995E-3</v>
      </c>
      <c r="J165" s="22">
        <v>0.86154261904299922</v>
      </c>
      <c r="K165" s="22">
        <v>1.5690317364670683</v>
      </c>
      <c r="L165" s="22">
        <f>VLOOKUP($F165,'BaseIBK distritos filt'!$D$2:$BF$170,52,FALSE)</f>
        <v>0.2</v>
      </c>
      <c r="M165" s="22">
        <f>VLOOKUP($F165,'BaseIBK distritos filt'!$D$2:$BF$170,53,FALSE)</f>
        <v>8216</v>
      </c>
      <c r="N165" s="22">
        <f>VLOOKUP($F165,'BaseIBK distritos filt'!$D$2:$BF$170,54,FALSE)</f>
        <v>0</v>
      </c>
      <c r="O165" s="13">
        <f>VLOOKUP($F165,'BaseIBK distritos filt'!$D$2:$BF$170,55,FALSE)</f>
        <v>0</v>
      </c>
    </row>
    <row r="166" spans="2:15" x14ac:dyDescent="0.35">
      <c r="B166" s="18">
        <v>162</v>
      </c>
      <c r="C166" s="13" t="s">
        <v>1231</v>
      </c>
      <c r="D166" s="13" t="s">
        <v>1231</v>
      </c>
      <c r="E166" s="13" t="s">
        <v>1241</v>
      </c>
      <c r="F166" s="22" t="s">
        <v>1242</v>
      </c>
      <c r="G166" s="22">
        <v>3.4767129946880542</v>
      </c>
      <c r="H166" s="22">
        <v>0</v>
      </c>
      <c r="I166" s="22">
        <v>6.0300661390352995E-3</v>
      </c>
      <c r="J166" s="22">
        <v>0.18329915176425793</v>
      </c>
      <c r="K166" s="22">
        <v>0.9165105531478368</v>
      </c>
      <c r="L166" s="22">
        <f>VLOOKUP($F166,'BaseIBK distritos filt'!$D$2:$BF$170,52,FALSE)</f>
        <v>0.1</v>
      </c>
      <c r="M166" s="22">
        <f>VLOOKUP($F166,'BaseIBK distritos filt'!$D$2:$BF$170,53,FALSE)</f>
        <v>2859</v>
      </c>
      <c r="N166" s="22">
        <f>VLOOKUP($F166,'BaseIBK distritos filt'!$D$2:$BF$170,54,FALSE)</f>
        <v>0</v>
      </c>
      <c r="O166" s="13">
        <f>VLOOKUP($F166,'BaseIBK distritos filt'!$D$2:$BF$170,55,FALSE)</f>
        <v>0</v>
      </c>
    </row>
    <row r="167" spans="2:15" x14ac:dyDescent="0.35">
      <c r="B167" s="18">
        <v>163</v>
      </c>
      <c r="C167" s="13" t="s">
        <v>757</v>
      </c>
      <c r="D167" s="13" t="s">
        <v>757</v>
      </c>
      <c r="E167" s="13" t="s">
        <v>787</v>
      </c>
      <c r="F167" s="22" t="s">
        <v>788</v>
      </c>
      <c r="G167" s="22">
        <v>2.8897374959140381</v>
      </c>
      <c r="H167" s="22">
        <v>0</v>
      </c>
      <c r="I167" s="22">
        <v>6.0300661390352995E-3</v>
      </c>
      <c r="J167" s="22">
        <v>0.17946347267952648</v>
      </c>
      <c r="K167" s="22">
        <v>0.76880775868314988</v>
      </c>
      <c r="L167" s="22">
        <f>VLOOKUP($F167,'BaseIBK distritos filt'!$D$2:$BF$170,52,FALSE)</f>
        <v>0.1</v>
      </c>
      <c r="M167" s="22">
        <f>VLOOKUP($F167,'BaseIBK distritos filt'!$D$2:$BF$170,53,FALSE)</f>
        <v>4048</v>
      </c>
      <c r="N167" s="22">
        <f>VLOOKUP($F167,'BaseIBK distritos filt'!$D$2:$BF$170,54,FALSE)</f>
        <v>0</v>
      </c>
      <c r="O167" s="13">
        <f>VLOOKUP($F167,'BaseIBK distritos filt'!$D$2:$BF$170,55,FALSE)</f>
        <v>0</v>
      </c>
    </row>
    <row r="168" spans="2:15" x14ac:dyDescent="0.35">
      <c r="B168" s="18">
        <v>164</v>
      </c>
      <c r="C168" s="13" t="s">
        <v>1231</v>
      </c>
      <c r="D168" s="13" t="s">
        <v>1231</v>
      </c>
      <c r="E168" s="13" t="s">
        <v>1243</v>
      </c>
      <c r="F168" s="22" t="s">
        <v>1244</v>
      </c>
      <c r="G168" s="22">
        <v>1.8940097260568844</v>
      </c>
      <c r="H168" s="22">
        <v>0</v>
      </c>
      <c r="I168" s="22">
        <v>6.0300661390352995E-3</v>
      </c>
      <c r="J168" s="22">
        <v>3.775840806716272E-2</v>
      </c>
      <c r="K168" s="22">
        <v>0.48444955006577062</v>
      </c>
      <c r="L168" s="22">
        <f>VLOOKUP($F168,'BaseIBK distritos filt'!$D$2:$BF$170,52,FALSE)</f>
        <v>0</v>
      </c>
      <c r="M168" s="22">
        <f>VLOOKUP($F168,'BaseIBK distritos filt'!$D$2:$BF$170,53,FALSE)</f>
        <v>1120</v>
      </c>
      <c r="N168" s="22">
        <f>VLOOKUP($F168,'BaseIBK distritos filt'!$D$2:$BF$170,54,FALSE)</f>
        <v>0</v>
      </c>
      <c r="O168" s="13">
        <f>VLOOKUP($F168,'BaseIBK distritos filt'!$D$2:$BF$170,55,FALSE)</f>
        <v>0</v>
      </c>
    </row>
    <row r="169" spans="2:15" x14ac:dyDescent="0.35">
      <c r="B169" s="18">
        <v>165</v>
      </c>
      <c r="C169" s="13" t="s">
        <v>3846</v>
      </c>
      <c r="D169" s="13" t="s">
        <v>3846</v>
      </c>
      <c r="E169" s="13" t="s">
        <v>3856</v>
      </c>
      <c r="F169" s="22" t="s">
        <v>3857</v>
      </c>
      <c r="G169" s="22">
        <v>1.7849603626711428</v>
      </c>
      <c r="H169" s="22">
        <v>0</v>
      </c>
      <c r="I169" s="22">
        <v>6.0300661390352995E-3</v>
      </c>
      <c r="J169" s="22">
        <v>0.14048531146773544</v>
      </c>
      <c r="K169" s="22">
        <v>0.48286893506947837</v>
      </c>
      <c r="L169" s="22">
        <f>VLOOKUP($F169,'BaseIBK distritos filt'!$D$2:$BF$170,52,FALSE)</f>
        <v>0.1</v>
      </c>
      <c r="M169" s="22">
        <f>VLOOKUP($F169,'BaseIBK distritos filt'!$D$2:$BF$170,53,FALSE)</f>
        <v>1774</v>
      </c>
      <c r="N169" s="22">
        <f>VLOOKUP($F169,'BaseIBK distritos filt'!$D$2:$BF$170,54,FALSE)</f>
        <v>0</v>
      </c>
      <c r="O169" s="13">
        <f>VLOOKUP($F169,'BaseIBK distritos filt'!$D$2:$BF$170,55,FALSE)</f>
        <v>0</v>
      </c>
    </row>
    <row r="170" spans="2:15" x14ac:dyDescent="0.35">
      <c r="B170" s="18">
        <v>166</v>
      </c>
      <c r="C170" s="13" t="s">
        <v>3278</v>
      </c>
      <c r="D170" s="13" t="s">
        <v>3382</v>
      </c>
      <c r="E170" s="13" t="s">
        <v>3389</v>
      </c>
      <c r="F170" s="22" t="s">
        <v>3390</v>
      </c>
      <c r="G170" s="22">
        <v>1.2656409309417975</v>
      </c>
      <c r="H170" s="22">
        <v>0</v>
      </c>
      <c r="I170" s="22">
        <v>6.0300661390352995E-3</v>
      </c>
      <c r="J170" s="22">
        <v>0.10391403758824441</v>
      </c>
      <c r="K170" s="22">
        <v>0.34389625866726931</v>
      </c>
      <c r="L170" s="22">
        <f>VLOOKUP($F170,'BaseIBK distritos filt'!$D$2:$BF$170,52,FALSE)</f>
        <v>0</v>
      </c>
      <c r="M170" s="22">
        <f>VLOOKUP($F170,'BaseIBK distritos filt'!$D$2:$BF$170,53,FALSE)</f>
        <v>101</v>
      </c>
      <c r="N170" s="22">
        <f>VLOOKUP($F170,'BaseIBK distritos filt'!$D$2:$BF$170,54,FALSE)</f>
        <v>0</v>
      </c>
      <c r="O170" s="13">
        <f>VLOOKUP($F170,'BaseIBK distritos filt'!$D$2:$BF$170,55,FALSE)</f>
        <v>0</v>
      </c>
    </row>
    <row r="171" spans="2:15" x14ac:dyDescent="0.35">
      <c r="B171" s="18">
        <v>167</v>
      </c>
      <c r="C171" s="13" t="s">
        <v>3789</v>
      </c>
      <c r="D171" s="13" t="s">
        <v>3789</v>
      </c>
      <c r="E171" s="13" t="s">
        <v>3799</v>
      </c>
      <c r="F171" s="22" t="s">
        <v>3800</v>
      </c>
      <c r="G171" s="22">
        <v>0.61923740354802836</v>
      </c>
      <c r="H171" s="22">
        <v>0</v>
      </c>
      <c r="I171" s="22">
        <v>6.0300661390352995E-3</v>
      </c>
      <c r="J171" s="22">
        <v>1.9466663367311003E-2</v>
      </c>
      <c r="K171" s="22">
        <v>0.16118353326359366</v>
      </c>
      <c r="L171" s="22">
        <f>VLOOKUP($F171,'BaseIBK distritos filt'!$D$2:$BF$170,52,FALSE)</f>
        <v>0</v>
      </c>
      <c r="M171" s="22">
        <f>VLOOKUP($F171,'BaseIBK distritos filt'!$D$2:$BF$170,53,FALSE)</f>
        <v>1063</v>
      </c>
      <c r="N171" s="22">
        <f>VLOOKUP($F171,'BaseIBK distritos filt'!$D$2:$BF$170,54,FALSE)</f>
        <v>0</v>
      </c>
      <c r="O171" s="13">
        <f>VLOOKUP($F171,'BaseIBK distritos filt'!$D$2:$BF$170,55,FALSE)</f>
        <v>0</v>
      </c>
    </row>
    <row r="172" spans="2:15" x14ac:dyDescent="0.35">
      <c r="B172" s="18">
        <v>168</v>
      </c>
      <c r="C172" s="13" t="s">
        <v>1231</v>
      </c>
      <c r="D172" s="13" t="s">
        <v>1231</v>
      </c>
      <c r="E172" s="13" t="s">
        <v>1247</v>
      </c>
      <c r="F172" s="22" t="s">
        <v>1248</v>
      </c>
      <c r="G172" s="22">
        <v>0.22236083870698881</v>
      </c>
      <c r="H172" s="22">
        <v>0</v>
      </c>
      <c r="I172" s="22">
        <v>6.0300661390352995E-3</v>
      </c>
      <c r="J172" s="22">
        <v>7.4674635831147182E-2</v>
      </c>
      <c r="K172" s="22">
        <v>7.5766385169292821E-2</v>
      </c>
      <c r="L172" s="22">
        <f>VLOOKUP($F172,'BaseIBK distritos filt'!$D$2:$BF$170,52,FALSE)</f>
        <v>0.1</v>
      </c>
      <c r="M172" s="22">
        <f>VLOOKUP($F172,'BaseIBK distritos filt'!$D$2:$BF$170,53,FALSE)</f>
        <v>2527</v>
      </c>
      <c r="N172" s="22">
        <f>VLOOKUP($F172,'BaseIBK distritos filt'!$D$2:$BF$170,54,FALSE)</f>
        <v>0</v>
      </c>
      <c r="O172" s="13">
        <f>VLOOKUP($F172,'BaseIBK distritos filt'!$D$2:$BF$170,55,FALSE)</f>
        <v>0</v>
      </c>
    </row>
    <row r="173" spans="2:15" x14ac:dyDescent="0.35">
      <c r="B173" s="18">
        <v>169</v>
      </c>
      <c r="C173" s="13" t="s">
        <v>3632</v>
      </c>
      <c r="D173" s="13" t="s">
        <v>3662</v>
      </c>
      <c r="E173" s="13" t="s">
        <v>3771</v>
      </c>
      <c r="F173" s="22" t="s">
        <v>3772</v>
      </c>
      <c r="G173" s="22">
        <v>0</v>
      </c>
      <c r="H173" s="22">
        <v>0</v>
      </c>
      <c r="I173" s="22">
        <v>6.0300661390352995E-3</v>
      </c>
      <c r="J173" s="22">
        <v>0</v>
      </c>
      <c r="K173" s="22">
        <v>1.5075165347588249E-3</v>
      </c>
      <c r="L173" s="22">
        <f>VLOOKUP($F173,'BaseIBK distritos filt'!$D$2:$BF$170,52,FALSE)</f>
        <v>0</v>
      </c>
      <c r="M173" s="22">
        <f>VLOOKUP($F173,'BaseIBK distritos filt'!$D$2:$BF$170,53,FALSE)</f>
        <v>433</v>
      </c>
      <c r="N173" s="22">
        <f>VLOOKUP($F173,'BaseIBK distritos filt'!$D$2:$BF$170,54,FALSE)</f>
        <v>0</v>
      </c>
      <c r="O173" s="13">
        <f>VLOOKUP($F173,'BaseIBK distritos filt'!$D$2:$BF$170,55,FALSE)</f>
        <v>0</v>
      </c>
    </row>
  </sheetData>
  <conditionalFormatting sqref="G5:G173">
    <cfRule type="colorScale" priority="5">
      <colorScale>
        <cfvo type="min"/>
        <cfvo type="max"/>
        <color rgb="FFFCFCFF"/>
        <color rgb="FF216686"/>
      </colorScale>
    </cfRule>
  </conditionalFormatting>
  <conditionalFormatting sqref="H5:H173">
    <cfRule type="colorScale" priority="4">
      <colorScale>
        <cfvo type="min"/>
        <cfvo type="max"/>
        <color rgb="FFFCFCFF"/>
        <color rgb="FFCD4F4F"/>
      </colorScale>
    </cfRule>
  </conditionalFormatting>
  <conditionalFormatting sqref="I5:I173">
    <cfRule type="colorScale" priority="3">
      <colorScale>
        <cfvo type="min"/>
        <cfvo type="max"/>
        <color rgb="FFFCFCFF"/>
        <color rgb="FF1D7D54"/>
      </colorScale>
    </cfRule>
  </conditionalFormatting>
  <conditionalFormatting sqref="J5:J173">
    <cfRule type="colorScale" priority="2">
      <colorScale>
        <cfvo type="min"/>
        <cfvo type="max"/>
        <color rgb="FFFCFCFF"/>
        <color rgb="FFDC7528"/>
      </colorScale>
    </cfRule>
  </conditionalFormatting>
  <conditionalFormatting sqref="K5:K173">
    <cfRule type="colorScale" priority="1">
      <colorScale>
        <cfvo type="min"/>
        <cfvo type="max"/>
        <color rgb="FFFCFCFF"/>
        <color rgb="FFA6A6A6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D2F7-CD2B-0341-8E42-A5E65520768A}">
  <sheetPr>
    <tabColor rgb="FF20D691"/>
  </sheetPr>
  <dimension ref="B2:J203"/>
  <sheetViews>
    <sheetView showGridLines="0" topLeftCell="C1" zoomScale="64" zoomScaleNormal="70" workbookViewId="0">
      <selection activeCell="J4" sqref="J4"/>
    </sheetView>
  </sheetViews>
  <sheetFormatPr baseColWidth="10" defaultColWidth="11.453125" defaultRowHeight="14.5" x14ac:dyDescent="0.35"/>
  <cols>
    <col min="1" max="1" width="6.36328125" customWidth="1"/>
    <col min="2" max="2" width="11.6328125" customWidth="1"/>
    <col min="3" max="3" width="78.453125" customWidth="1"/>
    <col min="4" max="4" width="21.453125" customWidth="1"/>
    <col min="5" max="5" width="25.08984375" customWidth="1"/>
    <col min="6" max="6" width="42.08984375" customWidth="1"/>
    <col min="7" max="7" width="11.6328125" bestFit="1" customWidth="1"/>
    <col min="8" max="8" width="15.08984375" customWidth="1"/>
    <col min="9" max="9" width="30.6328125" customWidth="1"/>
    <col min="10" max="10" width="31" customWidth="1"/>
  </cols>
  <sheetData>
    <row r="2" spans="2:10" ht="18" x14ac:dyDescent="0.35">
      <c r="B2" s="21" t="s">
        <v>4048</v>
      </c>
    </row>
    <row r="4" spans="2:10" ht="27" customHeight="1" x14ac:dyDescent="0.35">
      <c r="B4" s="28" t="s">
        <v>4046</v>
      </c>
      <c r="C4" s="29" t="s">
        <v>4049</v>
      </c>
      <c r="D4" s="29" t="s">
        <v>4010</v>
      </c>
      <c r="E4" s="29" t="s">
        <v>4011</v>
      </c>
      <c r="F4" s="29" t="s">
        <v>4012</v>
      </c>
      <c r="G4" s="29" t="s">
        <v>4013</v>
      </c>
      <c r="H4" s="29" t="s">
        <v>4050</v>
      </c>
      <c r="I4" s="29" t="s">
        <v>4051</v>
      </c>
      <c r="J4" s="29" t="s">
        <v>4052</v>
      </c>
    </row>
    <row r="5" spans="2:10" x14ac:dyDescent="0.35">
      <c r="B5" s="18">
        <v>1</v>
      </c>
      <c r="C5" s="39" t="s">
        <v>4053</v>
      </c>
      <c r="D5" s="39" t="s">
        <v>2697</v>
      </c>
      <c r="E5" s="39" t="s">
        <v>2697</v>
      </c>
      <c r="F5" s="39" t="s">
        <v>2697</v>
      </c>
      <c r="G5" s="41" t="s">
        <v>2698</v>
      </c>
      <c r="H5" s="40">
        <v>18598</v>
      </c>
      <c r="I5" s="40">
        <v>1100000000</v>
      </c>
      <c r="J5" s="40">
        <v>59146</v>
      </c>
    </row>
    <row r="6" spans="2:10" x14ac:dyDescent="0.35">
      <c r="B6" s="18">
        <v>2</v>
      </c>
      <c r="C6" s="39" t="s">
        <v>4054</v>
      </c>
      <c r="D6" s="39" t="s">
        <v>2697</v>
      </c>
      <c r="E6" s="39" t="s">
        <v>2697</v>
      </c>
      <c r="F6" s="39" t="s">
        <v>2630</v>
      </c>
      <c r="G6" s="41" t="s">
        <v>2726</v>
      </c>
      <c r="H6" s="40">
        <v>9549</v>
      </c>
      <c r="I6" s="40">
        <v>525000000</v>
      </c>
      <c r="J6" s="40">
        <v>54960</v>
      </c>
    </row>
    <row r="7" spans="2:10" x14ac:dyDescent="0.35">
      <c r="B7" s="18">
        <v>3</v>
      </c>
      <c r="C7" s="39" t="s">
        <v>4055</v>
      </c>
      <c r="D7" s="39" t="s">
        <v>757</v>
      </c>
      <c r="E7" s="39" t="s">
        <v>757</v>
      </c>
      <c r="F7" s="39" t="s">
        <v>757</v>
      </c>
      <c r="G7" s="41" t="s">
        <v>758</v>
      </c>
      <c r="H7" s="40">
        <v>5472</v>
      </c>
      <c r="I7" s="40">
        <v>274000000</v>
      </c>
      <c r="J7" s="40">
        <v>50114</v>
      </c>
    </row>
    <row r="8" spans="2:10" x14ac:dyDescent="0.35">
      <c r="B8" s="18">
        <v>4</v>
      </c>
      <c r="C8" s="39" t="s">
        <v>4056</v>
      </c>
      <c r="D8" s="39" t="s">
        <v>2697</v>
      </c>
      <c r="E8" s="39" t="s">
        <v>2697</v>
      </c>
      <c r="F8" s="39" t="s">
        <v>2697</v>
      </c>
      <c r="G8" s="41" t="s">
        <v>2698</v>
      </c>
      <c r="H8" s="40">
        <v>3946</v>
      </c>
      <c r="I8" s="40">
        <v>263000000</v>
      </c>
      <c r="J8" s="40">
        <v>66581</v>
      </c>
    </row>
    <row r="9" spans="2:10" x14ac:dyDescent="0.35">
      <c r="B9" s="18">
        <v>5</v>
      </c>
      <c r="C9" s="39" t="s">
        <v>4057</v>
      </c>
      <c r="D9" s="39" t="s">
        <v>2619</v>
      </c>
      <c r="E9" s="39" t="s">
        <v>2620</v>
      </c>
      <c r="F9" s="39" t="s">
        <v>2620</v>
      </c>
      <c r="G9" s="41" t="s">
        <v>2621</v>
      </c>
      <c r="H9" s="40">
        <v>3980</v>
      </c>
      <c r="I9" s="40">
        <v>205000000</v>
      </c>
      <c r="J9" s="40">
        <v>51586</v>
      </c>
    </row>
    <row r="10" spans="2:10" x14ac:dyDescent="0.35">
      <c r="B10" s="18">
        <v>6</v>
      </c>
      <c r="C10" s="39" t="s">
        <v>4058</v>
      </c>
      <c r="D10" s="39" t="s">
        <v>2697</v>
      </c>
      <c r="E10" s="39" t="s">
        <v>2697</v>
      </c>
      <c r="F10" s="39" t="s">
        <v>775</v>
      </c>
      <c r="G10" s="41" t="s">
        <v>2740</v>
      </c>
      <c r="H10" s="40">
        <v>2735</v>
      </c>
      <c r="I10" s="40">
        <v>194000000</v>
      </c>
      <c r="J10" s="40">
        <v>70954</v>
      </c>
    </row>
    <row r="11" spans="2:10" x14ac:dyDescent="0.35">
      <c r="B11" s="18">
        <v>7</v>
      </c>
      <c r="C11" s="39" t="s">
        <v>4059</v>
      </c>
      <c r="D11" s="39" t="s">
        <v>263</v>
      </c>
      <c r="E11" s="39" t="s">
        <v>2449</v>
      </c>
      <c r="F11" s="39" t="s">
        <v>2449</v>
      </c>
      <c r="G11" s="41" t="s">
        <v>2450</v>
      </c>
      <c r="H11" s="40">
        <v>3523</v>
      </c>
      <c r="I11" s="40">
        <v>190000000</v>
      </c>
      <c r="J11" s="40">
        <v>53798</v>
      </c>
    </row>
    <row r="12" spans="2:10" x14ac:dyDescent="0.35">
      <c r="B12" s="18">
        <v>8</v>
      </c>
      <c r="C12" s="39" t="s">
        <v>4060</v>
      </c>
      <c r="D12" s="39" t="s">
        <v>2697</v>
      </c>
      <c r="E12" s="39" t="s">
        <v>2697</v>
      </c>
      <c r="F12" s="39" t="s">
        <v>2727</v>
      </c>
      <c r="G12" s="41" t="s">
        <v>2728</v>
      </c>
      <c r="H12" s="40">
        <v>2910</v>
      </c>
      <c r="I12" s="40">
        <v>168000000</v>
      </c>
      <c r="J12" s="40">
        <v>57810</v>
      </c>
    </row>
    <row r="13" spans="2:10" x14ac:dyDescent="0.35">
      <c r="B13" s="18">
        <v>9</v>
      </c>
      <c r="C13" s="39" t="s">
        <v>4061</v>
      </c>
      <c r="D13" s="39" t="s">
        <v>1496</v>
      </c>
      <c r="E13" s="39" t="s">
        <v>1496</v>
      </c>
      <c r="F13" s="39" t="s">
        <v>1496</v>
      </c>
      <c r="G13" s="41" t="s">
        <v>1497</v>
      </c>
      <c r="H13" s="40">
        <v>2815</v>
      </c>
      <c r="I13" s="40">
        <v>136000000</v>
      </c>
      <c r="J13" s="40">
        <v>48314</v>
      </c>
    </row>
    <row r="14" spans="2:10" x14ac:dyDescent="0.35">
      <c r="B14" s="18">
        <v>10</v>
      </c>
      <c r="C14" s="39" t="s">
        <v>4062</v>
      </c>
      <c r="D14" s="39" t="s">
        <v>2367</v>
      </c>
      <c r="E14" s="39" t="s">
        <v>2200</v>
      </c>
      <c r="F14" s="39" t="s">
        <v>2200</v>
      </c>
      <c r="G14" s="41" t="s">
        <v>2201</v>
      </c>
      <c r="H14" s="40">
        <v>2823</v>
      </c>
      <c r="I14" s="40">
        <v>130000000</v>
      </c>
      <c r="J14" s="40">
        <v>45936</v>
      </c>
    </row>
    <row r="15" spans="2:10" x14ac:dyDescent="0.35">
      <c r="B15" s="18">
        <v>11</v>
      </c>
      <c r="C15" s="39" t="s">
        <v>4063</v>
      </c>
      <c r="D15" s="39" t="s">
        <v>2697</v>
      </c>
      <c r="E15" s="39" t="s">
        <v>2697</v>
      </c>
      <c r="F15" s="39" t="s">
        <v>2775</v>
      </c>
      <c r="G15" s="41" t="s">
        <v>2776</v>
      </c>
      <c r="H15" s="40">
        <v>1087</v>
      </c>
      <c r="I15" s="40">
        <v>86990799</v>
      </c>
      <c r="J15" s="40">
        <v>80028</v>
      </c>
    </row>
    <row r="16" spans="2:10" x14ac:dyDescent="0.35">
      <c r="B16" s="18">
        <v>12</v>
      </c>
      <c r="C16" s="39" t="s">
        <v>4064</v>
      </c>
      <c r="D16" s="39" t="s">
        <v>2697</v>
      </c>
      <c r="E16" s="39" t="s">
        <v>2697</v>
      </c>
      <c r="F16" s="39" t="s">
        <v>2721</v>
      </c>
      <c r="G16" s="41" t="s">
        <v>2722</v>
      </c>
      <c r="H16" s="40">
        <v>1641</v>
      </c>
      <c r="I16" s="40">
        <v>85113160</v>
      </c>
      <c r="J16" s="40">
        <v>51867</v>
      </c>
    </row>
    <row r="17" spans="2:10" x14ac:dyDescent="0.35">
      <c r="B17" s="18">
        <v>13</v>
      </c>
      <c r="C17" s="39" t="s">
        <v>4065</v>
      </c>
      <c r="D17" s="39" t="s">
        <v>2111</v>
      </c>
      <c r="E17" s="39" t="s">
        <v>2111</v>
      </c>
      <c r="F17" s="39" t="s">
        <v>2111</v>
      </c>
      <c r="G17" s="41" t="s">
        <v>2112</v>
      </c>
      <c r="H17" s="40">
        <v>1777</v>
      </c>
      <c r="I17" s="40">
        <v>81638682</v>
      </c>
      <c r="J17" s="40">
        <v>45942</v>
      </c>
    </row>
    <row r="18" spans="2:10" x14ac:dyDescent="0.35">
      <c r="B18" s="18">
        <v>14</v>
      </c>
      <c r="C18" s="39" t="s">
        <v>4066</v>
      </c>
      <c r="D18" s="39" t="s">
        <v>4067</v>
      </c>
      <c r="E18" s="39" t="s">
        <v>251</v>
      </c>
      <c r="F18" s="39" t="s">
        <v>251</v>
      </c>
      <c r="G18" s="41" t="s">
        <v>252</v>
      </c>
      <c r="H18" s="40">
        <v>1512</v>
      </c>
      <c r="I18" s="40">
        <v>79243880</v>
      </c>
      <c r="J18" s="40">
        <v>52410</v>
      </c>
    </row>
    <row r="19" spans="2:10" x14ac:dyDescent="0.35">
      <c r="B19" s="18">
        <v>15</v>
      </c>
      <c r="C19" s="39" t="s">
        <v>4068</v>
      </c>
      <c r="D19" s="39" t="s">
        <v>4008</v>
      </c>
      <c r="E19" s="39" t="s">
        <v>4008</v>
      </c>
      <c r="F19" s="39" t="s">
        <v>4008</v>
      </c>
      <c r="G19" s="41" t="s">
        <v>1939</v>
      </c>
      <c r="H19" s="40">
        <v>1396</v>
      </c>
      <c r="I19" s="40">
        <v>71976977</v>
      </c>
      <c r="J19" s="40">
        <v>51559</v>
      </c>
    </row>
    <row r="20" spans="2:10" x14ac:dyDescent="0.35">
      <c r="B20" s="18">
        <v>16</v>
      </c>
      <c r="C20" s="39" t="s">
        <v>4069</v>
      </c>
      <c r="D20" s="39" t="s">
        <v>2697</v>
      </c>
      <c r="E20" s="39" t="s">
        <v>2697</v>
      </c>
      <c r="F20" s="39" t="s">
        <v>775</v>
      </c>
      <c r="G20" s="41" t="s">
        <v>2740</v>
      </c>
      <c r="H20" s="40">
        <v>855</v>
      </c>
      <c r="I20" s="40">
        <v>70503751</v>
      </c>
      <c r="J20" s="40">
        <v>82461</v>
      </c>
    </row>
    <row r="21" spans="2:10" x14ac:dyDescent="0.35">
      <c r="B21" s="18">
        <v>17</v>
      </c>
      <c r="C21" s="39" t="s">
        <v>4070</v>
      </c>
      <c r="D21" s="39" t="s">
        <v>2697</v>
      </c>
      <c r="E21" s="39" t="s">
        <v>2697</v>
      </c>
      <c r="F21" s="39" t="s">
        <v>2757</v>
      </c>
      <c r="G21" s="41" t="s">
        <v>2758</v>
      </c>
      <c r="H21" s="40">
        <v>724</v>
      </c>
      <c r="I21" s="40">
        <v>67554670</v>
      </c>
      <c r="J21" s="40">
        <v>93308</v>
      </c>
    </row>
    <row r="22" spans="2:10" x14ac:dyDescent="0.35">
      <c r="B22" s="18">
        <v>18</v>
      </c>
      <c r="C22" s="39" t="s">
        <v>4071</v>
      </c>
      <c r="D22" s="39" t="s">
        <v>1231</v>
      </c>
      <c r="E22" s="39" t="s">
        <v>1231</v>
      </c>
      <c r="F22" s="39" t="s">
        <v>1231</v>
      </c>
      <c r="G22" s="41" t="s">
        <v>1232</v>
      </c>
      <c r="H22" s="40">
        <v>1304</v>
      </c>
      <c r="I22" s="40">
        <v>64359020</v>
      </c>
      <c r="J22" s="40">
        <v>49355</v>
      </c>
    </row>
    <row r="23" spans="2:10" x14ac:dyDescent="0.35">
      <c r="B23" s="18">
        <v>19</v>
      </c>
      <c r="C23" s="39" t="s">
        <v>4072</v>
      </c>
      <c r="D23" s="39" t="s">
        <v>2697</v>
      </c>
      <c r="E23" s="39" t="s">
        <v>2697</v>
      </c>
      <c r="F23" s="39" t="s">
        <v>2721</v>
      </c>
      <c r="G23" s="41" t="s">
        <v>2722</v>
      </c>
      <c r="H23" s="40">
        <v>965</v>
      </c>
      <c r="I23" s="40">
        <v>62292123</v>
      </c>
      <c r="J23" s="40">
        <v>64551</v>
      </c>
    </row>
    <row r="24" spans="2:10" x14ac:dyDescent="0.35">
      <c r="B24" s="18">
        <v>20</v>
      </c>
      <c r="C24" s="39" t="s">
        <v>4073</v>
      </c>
      <c r="D24" s="39" t="s">
        <v>3662</v>
      </c>
      <c r="E24" s="39" t="s">
        <v>3662</v>
      </c>
      <c r="F24" s="39" t="s">
        <v>3749</v>
      </c>
      <c r="G24" s="41" t="s">
        <v>3750</v>
      </c>
      <c r="H24" s="40">
        <v>1022</v>
      </c>
      <c r="I24" s="40">
        <v>59618442</v>
      </c>
      <c r="J24" s="40">
        <v>58335</v>
      </c>
    </row>
    <row r="25" spans="2:10" x14ac:dyDescent="0.35">
      <c r="B25" s="18">
        <v>21</v>
      </c>
      <c r="C25" s="39" t="s">
        <v>4074</v>
      </c>
      <c r="D25" s="39" t="s">
        <v>3407</v>
      </c>
      <c r="E25" s="39" t="s">
        <v>3587</v>
      </c>
      <c r="F25" s="39" t="s">
        <v>3588</v>
      </c>
      <c r="G25" s="41" t="s">
        <v>3589</v>
      </c>
      <c r="H25" s="40">
        <v>1000</v>
      </c>
      <c r="I25" s="40">
        <v>56317082</v>
      </c>
      <c r="J25" s="40">
        <v>56317</v>
      </c>
    </row>
    <row r="26" spans="2:10" x14ac:dyDescent="0.35">
      <c r="B26" s="18">
        <v>22</v>
      </c>
      <c r="C26" s="39" t="s">
        <v>4075</v>
      </c>
      <c r="D26" s="39" t="s">
        <v>2697</v>
      </c>
      <c r="E26" s="39" t="s">
        <v>2697</v>
      </c>
      <c r="F26" s="39" t="s">
        <v>2735</v>
      </c>
      <c r="G26" s="41" t="s">
        <v>2736</v>
      </c>
      <c r="H26" s="40">
        <v>1154</v>
      </c>
      <c r="I26" s="40">
        <v>54977977</v>
      </c>
      <c r="J26" s="40">
        <v>47641</v>
      </c>
    </row>
    <row r="27" spans="2:10" x14ac:dyDescent="0.35">
      <c r="B27" s="18">
        <v>23</v>
      </c>
      <c r="C27" s="39" t="s">
        <v>4076</v>
      </c>
      <c r="D27" s="39" t="s">
        <v>2697</v>
      </c>
      <c r="E27" s="39" t="s">
        <v>2697</v>
      </c>
      <c r="F27" s="39" t="s">
        <v>2751</v>
      </c>
      <c r="G27" s="41" t="s">
        <v>2752</v>
      </c>
      <c r="H27" s="40">
        <v>950</v>
      </c>
      <c r="I27" s="40">
        <v>49918851</v>
      </c>
      <c r="J27" s="40">
        <v>52546</v>
      </c>
    </row>
    <row r="28" spans="2:10" x14ac:dyDescent="0.35">
      <c r="B28" s="18">
        <v>24</v>
      </c>
      <c r="C28" s="39" t="s">
        <v>4077</v>
      </c>
      <c r="D28" s="39" t="s">
        <v>1496</v>
      </c>
      <c r="E28" s="39" t="s">
        <v>1496</v>
      </c>
      <c r="F28" s="39" t="s">
        <v>1510</v>
      </c>
      <c r="G28" s="41" t="s">
        <v>1511</v>
      </c>
      <c r="H28" s="40">
        <v>962</v>
      </c>
      <c r="I28" s="40">
        <v>49843926</v>
      </c>
      <c r="J28" s="40">
        <v>51813</v>
      </c>
    </row>
    <row r="29" spans="2:10" x14ac:dyDescent="0.35">
      <c r="B29" s="18">
        <v>25</v>
      </c>
      <c r="C29" s="39" t="s">
        <v>4078</v>
      </c>
      <c r="D29" s="39" t="s">
        <v>2697</v>
      </c>
      <c r="E29" s="39" t="s">
        <v>2697</v>
      </c>
      <c r="F29" s="39" t="s">
        <v>2757</v>
      </c>
      <c r="G29" s="41" t="s">
        <v>2758</v>
      </c>
      <c r="H29" s="40">
        <v>585</v>
      </c>
      <c r="I29" s="40">
        <v>49755315</v>
      </c>
      <c r="J29" s="40">
        <v>85052</v>
      </c>
    </row>
    <row r="30" spans="2:10" x14ac:dyDescent="0.35">
      <c r="B30" s="18">
        <v>26</v>
      </c>
      <c r="C30" s="39" t="s">
        <v>4079</v>
      </c>
      <c r="D30" s="39" t="s">
        <v>2697</v>
      </c>
      <c r="E30" s="39" t="s">
        <v>2697</v>
      </c>
      <c r="F30" s="39" t="s">
        <v>2761</v>
      </c>
      <c r="G30" s="41" t="s">
        <v>2762</v>
      </c>
      <c r="H30" s="40">
        <v>1094</v>
      </c>
      <c r="I30" s="40">
        <v>49043176</v>
      </c>
      <c r="J30" s="40">
        <v>44829</v>
      </c>
    </row>
    <row r="31" spans="2:10" x14ac:dyDescent="0.35">
      <c r="B31" s="18">
        <v>27</v>
      </c>
      <c r="C31" s="39" t="s">
        <v>4080</v>
      </c>
      <c r="D31" s="39" t="s">
        <v>757</v>
      </c>
      <c r="E31" s="39" t="s">
        <v>757</v>
      </c>
      <c r="F31" s="39" t="s">
        <v>773</v>
      </c>
      <c r="G31" s="41" t="s">
        <v>774</v>
      </c>
      <c r="H31" s="40">
        <v>803</v>
      </c>
      <c r="I31" s="40">
        <v>47168540</v>
      </c>
      <c r="J31" s="40">
        <v>58740</v>
      </c>
    </row>
    <row r="32" spans="2:10" x14ac:dyDescent="0.35">
      <c r="B32" s="18">
        <v>28</v>
      </c>
      <c r="C32" s="39" t="s">
        <v>4081</v>
      </c>
      <c r="D32" s="39" t="s">
        <v>2697</v>
      </c>
      <c r="E32" s="39" t="s">
        <v>2697</v>
      </c>
      <c r="F32" s="39" t="s">
        <v>2735</v>
      </c>
      <c r="G32" s="41" t="s">
        <v>2736</v>
      </c>
      <c r="H32" s="40">
        <v>614</v>
      </c>
      <c r="I32" s="40">
        <v>46955061</v>
      </c>
      <c r="J32" s="40">
        <v>76474</v>
      </c>
    </row>
    <row r="33" spans="2:10" x14ac:dyDescent="0.35">
      <c r="B33" s="18">
        <v>29</v>
      </c>
      <c r="C33" s="39" t="s">
        <v>4082</v>
      </c>
      <c r="D33" s="39" t="s">
        <v>2697</v>
      </c>
      <c r="E33" s="39" t="s">
        <v>2697</v>
      </c>
      <c r="F33" s="39" t="s">
        <v>2757</v>
      </c>
      <c r="G33" s="41" t="s">
        <v>2758</v>
      </c>
      <c r="H33" s="40">
        <v>534</v>
      </c>
      <c r="I33" s="40">
        <v>46873904</v>
      </c>
      <c r="J33" s="40">
        <v>87779</v>
      </c>
    </row>
    <row r="34" spans="2:10" x14ac:dyDescent="0.35">
      <c r="B34" s="18">
        <v>30</v>
      </c>
      <c r="C34" s="39" t="s">
        <v>4083</v>
      </c>
      <c r="D34" s="39" t="s">
        <v>2697</v>
      </c>
      <c r="E34" s="39" t="s">
        <v>2697</v>
      </c>
      <c r="F34" s="39" t="s">
        <v>2705</v>
      </c>
      <c r="G34" s="41" t="s">
        <v>2706</v>
      </c>
      <c r="H34" s="40">
        <v>857</v>
      </c>
      <c r="I34" s="40">
        <v>46872745</v>
      </c>
      <c r="J34" s="40">
        <v>54694</v>
      </c>
    </row>
    <row r="35" spans="2:10" x14ac:dyDescent="0.35">
      <c r="B35" s="18">
        <v>31</v>
      </c>
      <c r="C35" s="39" t="s">
        <v>4084</v>
      </c>
      <c r="D35" s="39" t="s">
        <v>1496</v>
      </c>
      <c r="E35" s="39" t="s">
        <v>1496</v>
      </c>
      <c r="F35" s="39" t="s">
        <v>1510</v>
      </c>
      <c r="G35" s="41" t="s">
        <v>1511</v>
      </c>
      <c r="H35" s="40">
        <v>980</v>
      </c>
      <c r="I35" s="40">
        <v>46867269</v>
      </c>
      <c r="J35" s="40">
        <v>47824</v>
      </c>
    </row>
    <row r="36" spans="2:10" x14ac:dyDescent="0.35">
      <c r="B36" s="18">
        <v>32</v>
      </c>
      <c r="C36" s="39" t="s">
        <v>4085</v>
      </c>
      <c r="D36" s="39" t="s">
        <v>2697</v>
      </c>
      <c r="E36" s="39" t="s">
        <v>2697</v>
      </c>
      <c r="F36" s="39" t="s">
        <v>2705</v>
      </c>
      <c r="G36" s="41" t="s">
        <v>2706</v>
      </c>
      <c r="H36" s="40">
        <v>881</v>
      </c>
      <c r="I36" s="40">
        <v>46143413</v>
      </c>
      <c r="J36" s="40">
        <v>52376</v>
      </c>
    </row>
    <row r="37" spans="2:10" x14ac:dyDescent="0.35">
      <c r="B37" s="18">
        <v>33</v>
      </c>
      <c r="C37" s="39" t="s">
        <v>4086</v>
      </c>
      <c r="D37" s="39" t="s">
        <v>2697</v>
      </c>
      <c r="E37" s="39" t="s">
        <v>2697</v>
      </c>
      <c r="F37" s="39" t="s">
        <v>775</v>
      </c>
      <c r="G37" s="41" t="s">
        <v>2740</v>
      </c>
      <c r="H37" s="40">
        <v>533</v>
      </c>
      <c r="I37" s="40">
        <v>44650080</v>
      </c>
      <c r="J37" s="40">
        <v>83771</v>
      </c>
    </row>
    <row r="38" spans="2:10" x14ac:dyDescent="0.35">
      <c r="B38" s="18">
        <v>34</v>
      </c>
      <c r="C38" s="39" t="s">
        <v>4087</v>
      </c>
      <c r="D38" s="39" t="s">
        <v>3152</v>
      </c>
      <c r="E38" s="39" t="s">
        <v>3153</v>
      </c>
      <c r="F38" s="39" t="s">
        <v>3153</v>
      </c>
      <c r="G38" s="41" t="s">
        <v>3154</v>
      </c>
      <c r="H38" s="40">
        <v>864</v>
      </c>
      <c r="I38" s="40">
        <v>43975312</v>
      </c>
      <c r="J38" s="40">
        <v>50897</v>
      </c>
    </row>
    <row r="39" spans="2:10" x14ac:dyDescent="0.35">
      <c r="B39" s="18">
        <v>35</v>
      </c>
      <c r="C39" s="39" t="s">
        <v>4088</v>
      </c>
      <c r="D39" s="39" t="s">
        <v>4067</v>
      </c>
      <c r="E39" s="39" t="s">
        <v>530</v>
      </c>
      <c r="F39" s="39" t="s">
        <v>531</v>
      </c>
      <c r="G39" s="41" t="s">
        <v>532</v>
      </c>
      <c r="H39" s="40">
        <v>832</v>
      </c>
      <c r="I39" s="40">
        <v>43237462</v>
      </c>
      <c r="J39" s="40">
        <v>51968</v>
      </c>
    </row>
    <row r="40" spans="2:10" x14ac:dyDescent="0.35">
      <c r="B40" s="18">
        <v>36</v>
      </c>
      <c r="C40" s="39" t="s">
        <v>4089</v>
      </c>
      <c r="D40" s="39" t="s">
        <v>3278</v>
      </c>
      <c r="E40" s="39" t="s">
        <v>3278</v>
      </c>
      <c r="F40" s="39" t="s">
        <v>3278</v>
      </c>
      <c r="G40" s="41" t="s">
        <v>3279</v>
      </c>
      <c r="H40" s="40">
        <v>765</v>
      </c>
      <c r="I40" s="40">
        <v>42366734</v>
      </c>
      <c r="J40" s="40">
        <v>55381</v>
      </c>
    </row>
    <row r="41" spans="2:10" x14ac:dyDescent="0.35">
      <c r="B41" s="18">
        <v>37</v>
      </c>
      <c r="C41" s="39" t="s">
        <v>4090</v>
      </c>
      <c r="D41" s="39" t="s">
        <v>2697</v>
      </c>
      <c r="E41" s="39" t="s">
        <v>2697</v>
      </c>
      <c r="F41" s="39" t="s">
        <v>2775</v>
      </c>
      <c r="G41" s="41" t="s">
        <v>2776</v>
      </c>
      <c r="H41" s="40">
        <v>734</v>
      </c>
      <c r="I41" s="40">
        <v>38633484</v>
      </c>
      <c r="J41" s="40">
        <v>52634</v>
      </c>
    </row>
    <row r="42" spans="2:10" x14ac:dyDescent="0.35">
      <c r="B42" s="18">
        <v>38</v>
      </c>
      <c r="C42" s="39" t="s">
        <v>4091</v>
      </c>
      <c r="D42" s="39" t="s">
        <v>2697</v>
      </c>
      <c r="E42" s="39" t="s">
        <v>2937</v>
      </c>
      <c r="F42" s="39" t="s">
        <v>2938</v>
      </c>
      <c r="G42" s="41" t="s">
        <v>2939</v>
      </c>
      <c r="H42" s="40">
        <v>857</v>
      </c>
      <c r="I42" s="40">
        <v>38361552</v>
      </c>
      <c r="J42" s="40">
        <v>44763</v>
      </c>
    </row>
    <row r="43" spans="2:10" x14ac:dyDescent="0.35">
      <c r="B43" s="18">
        <v>39</v>
      </c>
      <c r="C43" s="39" t="s">
        <v>4092</v>
      </c>
      <c r="D43" s="39" t="s">
        <v>2697</v>
      </c>
      <c r="E43" s="39" t="s">
        <v>2697</v>
      </c>
      <c r="F43" s="39" t="s">
        <v>2775</v>
      </c>
      <c r="G43" s="41" t="s">
        <v>2776</v>
      </c>
      <c r="H43" s="40">
        <v>513</v>
      </c>
      <c r="I43" s="40">
        <v>38021980</v>
      </c>
      <c r="J43" s="40">
        <v>74117</v>
      </c>
    </row>
    <row r="44" spans="2:10" x14ac:dyDescent="0.35">
      <c r="B44" s="18">
        <v>40</v>
      </c>
      <c r="C44" s="39" t="s">
        <v>4093</v>
      </c>
      <c r="D44" s="39" t="s">
        <v>2697</v>
      </c>
      <c r="E44" s="39" t="s">
        <v>2697</v>
      </c>
      <c r="F44" s="39" t="s">
        <v>2777</v>
      </c>
      <c r="G44" s="41" t="s">
        <v>2778</v>
      </c>
      <c r="H44" s="40">
        <v>754</v>
      </c>
      <c r="I44" s="40">
        <v>35463329</v>
      </c>
      <c r="J44" s="40">
        <v>47034</v>
      </c>
    </row>
    <row r="45" spans="2:10" x14ac:dyDescent="0.35">
      <c r="B45" s="18">
        <v>41</v>
      </c>
      <c r="C45" s="39" t="s">
        <v>4094</v>
      </c>
      <c r="D45" s="39" t="s">
        <v>2697</v>
      </c>
      <c r="E45" s="39" t="s">
        <v>2697</v>
      </c>
      <c r="F45" s="39" t="s">
        <v>2769</v>
      </c>
      <c r="G45" s="41" t="s">
        <v>2770</v>
      </c>
      <c r="H45" s="40">
        <v>422</v>
      </c>
      <c r="I45" s="40">
        <v>34670719</v>
      </c>
      <c r="J45" s="40">
        <v>82158</v>
      </c>
    </row>
    <row r="46" spans="2:10" x14ac:dyDescent="0.35">
      <c r="B46" s="18">
        <v>42</v>
      </c>
      <c r="C46" s="39" t="s">
        <v>4095</v>
      </c>
      <c r="D46" s="39" t="s">
        <v>2697</v>
      </c>
      <c r="E46" s="39" t="s">
        <v>2697</v>
      </c>
      <c r="F46" s="39" t="s">
        <v>2757</v>
      </c>
      <c r="G46" s="41" t="s">
        <v>2758</v>
      </c>
      <c r="H46" s="40">
        <v>418</v>
      </c>
      <c r="I46" s="40">
        <v>34144836</v>
      </c>
      <c r="J46" s="40">
        <v>81686</v>
      </c>
    </row>
    <row r="47" spans="2:10" x14ac:dyDescent="0.35">
      <c r="B47" s="18">
        <v>43</v>
      </c>
      <c r="C47" s="39" t="s">
        <v>4096</v>
      </c>
      <c r="D47" s="39" t="s">
        <v>2697</v>
      </c>
      <c r="E47" s="39" t="s">
        <v>2697</v>
      </c>
      <c r="F47" s="39" t="s">
        <v>4097</v>
      </c>
      <c r="G47" s="41" t="s">
        <v>2746</v>
      </c>
      <c r="H47" s="40">
        <v>787</v>
      </c>
      <c r="I47" s="40">
        <v>33585716</v>
      </c>
      <c r="J47" s="40">
        <v>42676</v>
      </c>
    </row>
    <row r="48" spans="2:10" x14ac:dyDescent="0.35">
      <c r="B48" s="18">
        <v>44</v>
      </c>
      <c r="C48" s="39" t="s">
        <v>4098</v>
      </c>
      <c r="D48" s="39" t="s">
        <v>3789</v>
      </c>
      <c r="E48" s="39" t="s">
        <v>3789</v>
      </c>
      <c r="F48" s="39" t="s">
        <v>3789</v>
      </c>
      <c r="G48" s="41" t="s">
        <v>3790</v>
      </c>
      <c r="H48" s="40">
        <v>703</v>
      </c>
      <c r="I48" s="40">
        <v>32903847</v>
      </c>
      <c r="J48" s="40">
        <v>46805</v>
      </c>
    </row>
    <row r="49" spans="2:10" x14ac:dyDescent="0.35">
      <c r="B49" s="18">
        <v>45</v>
      </c>
      <c r="C49" s="39" t="s">
        <v>4099</v>
      </c>
      <c r="D49" s="39" t="s">
        <v>2697</v>
      </c>
      <c r="E49" s="39" t="s">
        <v>2697</v>
      </c>
      <c r="F49" s="39" t="s">
        <v>2775</v>
      </c>
      <c r="G49" s="41" t="s">
        <v>2776</v>
      </c>
      <c r="H49" s="40">
        <v>476</v>
      </c>
      <c r="I49" s="40">
        <v>32488518</v>
      </c>
      <c r="J49" s="40">
        <v>68253</v>
      </c>
    </row>
    <row r="50" spans="2:10" x14ac:dyDescent="0.35">
      <c r="B50" s="18">
        <v>46</v>
      </c>
      <c r="C50" s="39" t="s">
        <v>4100</v>
      </c>
      <c r="D50" s="39" t="s">
        <v>2697</v>
      </c>
      <c r="E50" s="39" t="s">
        <v>2697</v>
      </c>
      <c r="F50" s="39" t="s">
        <v>2777</v>
      </c>
      <c r="G50" s="41" t="s">
        <v>2778</v>
      </c>
      <c r="H50" s="40">
        <v>608</v>
      </c>
      <c r="I50" s="40">
        <v>32439147</v>
      </c>
      <c r="J50" s="40">
        <v>53354</v>
      </c>
    </row>
    <row r="51" spans="2:10" x14ac:dyDescent="0.35">
      <c r="B51" s="18">
        <v>47</v>
      </c>
      <c r="C51" s="39" t="s">
        <v>4101</v>
      </c>
      <c r="D51" s="39" t="s">
        <v>3118</v>
      </c>
      <c r="E51" s="39" t="s">
        <v>3873</v>
      </c>
      <c r="F51" s="39" t="s">
        <v>3874</v>
      </c>
      <c r="G51" s="41" t="s">
        <v>3875</v>
      </c>
      <c r="H51" s="40">
        <v>532</v>
      </c>
      <c r="I51" s="40">
        <v>32085612</v>
      </c>
      <c r="J51" s="40">
        <v>60311</v>
      </c>
    </row>
    <row r="52" spans="2:10" x14ac:dyDescent="0.35">
      <c r="B52" s="18">
        <v>48</v>
      </c>
      <c r="C52" s="39" t="s">
        <v>4102</v>
      </c>
      <c r="D52" s="39" t="s">
        <v>2697</v>
      </c>
      <c r="E52" s="39" t="s">
        <v>2697</v>
      </c>
      <c r="F52" s="39" t="s">
        <v>2727</v>
      </c>
      <c r="G52" s="41" t="s">
        <v>2728</v>
      </c>
      <c r="H52" s="40">
        <v>592</v>
      </c>
      <c r="I52" s="40">
        <v>31302077</v>
      </c>
      <c r="J52" s="40">
        <v>52875</v>
      </c>
    </row>
    <row r="53" spans="2:10" x14ac:dyDescent="0.35">
      <c r="B53" s="18">
        <v>49</v>
      </c>
      <c r="C53" s="39" t="s">
        <v>4103</v>
      </c>
      <c r="D53" s="39" t="s">
        <v>1496</v>
      </c>
      <c r="E53" s="39" t="s">
        <v>1496</v>
      </c>
      <c r="F53" s="39" t="s">
        <v>1510</v>
      </c>
      <c r="G53" s="41" t="s">
        <v>1511</v>
      </c>
      <c r="H53" s="40">
        <v>622</v>
      </c>
      <c r="I53" s="40">
        <v>31021363</v>
      </c>
      <c r="J53" s="40">
        <v>49874</v>
      </c>
    </row>
    <row r="54" spans="2:10" x14ac:dyDescent="0.35">
      <c r="B54" s="18">
        <v>50</v>
      </c>
      <c r="C54" s="39" t="s">
        <v>4104</v>
      </c>
      <c r="D54" s="39" t="s">
        <v>2697</v>
      </c>
      <c r="E54" s="39" t="s">
        <v>2697</v>
      </c>
      <c r="F54" s="39" t="s">
        <v>775</v>
      </c>
      <c r="G54" s="41" t="s">
        <v>2740</v>
      </c>
      <c r="H54" s="40">
        <v>389</v>
      </c>
      <c r="I54" s="40">
        <v>29960012</v>
      </c>
      <c r="J54" s="40">
        <v>77018</v>
      </c>
    </row>
    <row r="55" spans="2:10" x14ac:dyDescent="0.35">
      <c r="B55" s="18">
        <v>51</v>
      </c>
      <c r="C55" s="39" t="s">
        <v>4105</v>
      </c>
      <c r="D55" s="39" t="s">
        <v>2697</v>
      </c>
      <c r="E55" s="39" t="s">
        <v>2697</v>
      </c>
      <c r="F55" s="39" t="s">
        <v>2630</v>
      </c>
      <c r="G55" s="41" t="s">
        <v>2726</v>
      </c>
      <c r="H55" s="40">
        <v>549</v>
      </c>
      <c r="I55" s="40">
        <v>28750314</v>
      </c>
      <c r="J55" s="40">
        <v>52369</v>
      </c>
    </row>
    <row r="56" spans="2:10" x14ac:dyDescent="0.35">
      <c r="B56" s="18">
        <v>52</v>
      </c>
      <c r="C56" s="39" t="s">
        <v>4106</v>
      </c>
      <c r="D56" s="39" t="s">
        <v>3407</v>
      </c>
      <c r="E56" s="39" t="s">
        <v>3407</v>
      </c>
      <c r="F56" s="39" t="s">
        <v>3407</v>
      </c>
      <c r="G56" s="41" t="s">
        <v>3408</v>
      </c>
      <c r="H56" s="40">
        <v>641</v>
      </c>
      <c r="I56" s="40">
        <v>28547389</v>
      </c>
      <c r="J56" s="40">
        <v>44536</v>
      </c>
    </row>
    <row r="57" spans="2:10" x14ac:dyDescent="0.35">
      <c r="B57" s="18">
        <v>53</v>
      </c>
      <c r="C57" s="39" t="s">
        <v>4107</v>
      </c>
      <c r="D57" s="39" t="s">
        <v>2697</v>
      </c>
      <c r="E57" s="39" t="s">
        <v>2697</v>
      </c>
      <c r="F57" s="39" t="s">
        <v>2755</v>
      </c>
      <c r="G57" s="41" t="s">
        <v>2756</v>
      </c>
      <c r="H57" s="40">
        <v>432</v>
      </c>
      <c r="I57" s="40">
        <v>28436487</v>
      </c>
      <c r="J57" s="40">
        <v>65825</v>
      </c>
    </row>
    <row r="58" spans="2:10" x14ac:dyDescent="0.35">
      <c r="B58" s="18">
        <v>54</v>
      </c>
      <c r="C58" s="39" t="s">
        <v>4108</v>
      </c>
      <c r="D58" s="39" t="s">
        <v>2111</v>
      </c>
      <c r="E58" s="39" t="s">
        <v>2139</v>
      </c>
      <c r="F58" s="39" t="s">
        <v>2140</v>
      </c>
      <c r="G58" s="41" t="s">
        <v>2141</v>
      </c>
      <c r="H58" s="40">
        <v>554</v>
      </c>
      <c r="I58" s="40">
        <v>25563490</v>
      </c>
      <c r="J58" s="40">
        <v>46143</v>
      </c>
    </row>
    <row r="59" spans="2:10" x14ac:dyDescent="0.35">
      <c r="B59" s="18">
        <v>55</v>
      </c>
      <c r="C59" s="39" t="s">
        <v>4109</v>
      </c>
      <c r="D59" s="39" t="s">
        <v>976</v>
      </c>
      <c r="E59" s="39" t="s">
        <v>977</v>
      </c>
      <c r="F59" s="39" t="s">
        <v>976</v>
      </c>
      <c r="G59" s="41" t="s">
        <v>979</v>
      </c>
      <c r="H59" s="40">
        <v>550</v>
      </c>
      <c r="I59" s="40">
        <v>25113236</v>
      </c>
      <c r="J59" s="40">
        <v>45660</v>
      </c>
    </row>
    <row r="60" spans="2:10" x14ac:dyDescent="0.35">
      <c r="B60" s="18">
        <v>56</v>
      </c>
      <c r="C60" s="39" t="s">
        <v>4110</v>
      </c>
      <c r="D60" s="39" t="s">
        <v>3789</v>
      </c>
      <c r="E60" s="39" t="s">
        <v>3789</v>
      </c>
      <c r="F60" s="39" t="s">
        <v>3789</v>
      </c>
      <c r="G60" s="41" t="s">
        <v>3790</v>
      </c>
      <c r="H60" s="40">
        <v>588</v>
      </c>
      <c r="I60" s="40">
        <v>25101387</v>
      </c>
      <c r="J60" s="40">
        <v>42689</v>
      </c>
    </row>
    <row r="61" spans="2:10" x14ac:dyDescent="0.35">
      <c r="B61" s="18">
        <v>57</v>
      </c>
      <c r="C61" s="39" t="s">
        <v>4111</v>
      </c>
      <c r="D61" s="39" t="s">
        <v>3039</v>
      </c>
      <c r="E61" s="39" t="s">
        <v>3040</v>
      </c>
      <c r="F61" s="39" t="s">
        <v>3059</v>
      </c>
      <c r="G61" s="41" t="s">
        <v>3060</v>
      </c>
      <c r="H61" s="40">
        <v>338</v>
      </c>
      <c r="I61" s="40">
        <v>24851146</v>
      </c>
      <c r="J61" s="40">
        <v>73524</v>
      </c>
    </row>
    <row r="62" spans="2:10" x14ac:dyDescent="0.35">
      <c r="B62" s="18">
        <v>58</v>
      </c>
      <c r="C62" s="39" t="s">
        <v>4112</v>
      </c>
      <c r="D62" s="39" t="s">
        <v>2697</v>
      </c>
      <c r="E62" s="39" t="s">
        <v>2697</v>
      </c>
      <c r="F62" s="39" t="s">
        <v>2755</v>
      </c>
      <c r="G62" s="41" t="s">
        <v>2756</v>
      </c>
      <c r="H62" s="40">
        <v>409</v>
      </c>
      <c r="I62" s="40">
        <v>24724315</v>
      </c>
      <c r="J62" s="40">
        <v>60451</v>
      </c>
    </row>
    <row r="63" spans="2:10" x14ac:dyDescent="0.35">
      <c r="B63" s="18">
        <v>59</v>
      </c>
      <c r="C63" s="39" t="s">
        <v>4113</v>
      </c>
      <c r="D63" s="39" t="s">
        <v>2697</v>
      </c>
      <c r="E63" s="39" t="s">
        <v>2697</v>
      </c>
      <c r="F63" s="39" t="s">
        <v>2769</v>
      </c>
      <c r="G63" s="41" t="s">
        <v>2770</v>
      </c>
      <c r="H63" s="40">
        <v>447</v>
      </c>
      <c r="I63" s="40">
        <v>24498571</v>
      </c>
      <c r="J63" s="40">
        <v>54807</v>
      </c>
    </row>
    <row r="64" spans="2:10" x14ac:dyDescent="0.35">
      <c r="B64" s="18">
        <v>60</v>
      </c>
      <c r="C64" s="39" t="s">
        <v>4114</v>
      </c>
      <c r="D64" s="39" t="s">
        <v>2697</v>
      </c>
      <c r="E64" s="39" t="s">
        <v>2697</v>
      </c>
      <c r="F64" s="39" t="s">
        <v>2697</v>
      </c>
      <c r="G64" s="41" t="s">
        <v>2698</v>
      </c>
      <c r="H64" s="40">
        <v>448</v>
      </c>
      <c r="I64" s="40">
        <v>24485932</v>
      </c>
      <c r="J64" s="40">
        <v>54656</v>
      </c>
    </row>
    <row r="65" spans="2:10" x14ac:dyDescent="0.35">
      <c r="B65" s="18">
        <v>61</v>
      </c>
      <c r="C65" s="39" t="s">
        <v>4115</v>
      </c>
      <c r="D65" s="39" t="s">
        <v>2697</v>
      </c>
      <c r="E65" s="39" t="s">
        <v>2697</v>
      </c>
      <c r="F65" s="39" t="s">
        <v>2755</v>
      </c>
      <c r="G65" s="41" t="s">
        <v>2756</v>
      </c>
      <c r="H65" s="40">
        <v>452</v>
      </c>
      <c r="I65" s="40">
        <v>24364659</v>
      </c>
      <c r="J65" s="40">
        <v>53904</v>
      </c>
    </row>
    <row r="66" spans="2:10" x14ac:dyDescent="0.35">
      <c r="B66" s="18">
        <v>62</v>
      </c>
      <c r="C66" s="39" t="s">
        <v>4116</v>
      </c>
      <c r="D66" s="39" t="s">
        <v>2697</v>
      </c>
      <c r="E66" s="39" t="s">
        <v>2697</v>
      </c>
      <c r="F66" s="39" t="s">
        <v>2701</v>
      </c>
      <c r="G66" s="41" t="s">
        <v>2702</v>
      </c>
      <c r="H66" s="40">
        <v>404</v>
      </c>
      <c r="I66" s="40">
        <v>22851793</v>
      </c>
      <c r="J66" s="40">
        <v>56564</v>
      </c>
    </row>
    <row r="67" spans="2:10" x14ac:dyDescent="0.35">
      <c r="B67" s="18">
        <v>63</v>
      </c>
      <c r="C67" s="39" t="s">
        <v>4117</v>
      </c>
      <c r="D67" s="39" t="s">
        <v>2697</v>
      </c>
      <c r="E67" s="39" t="s">
        <v>2697</v>
      </c>
      <c r="F67" s="39" t="s">
        <v>2733</v>
      </c>
      <c r="G67" s="41" t="s">
        <v>2734</v>
      </c>
      <c r="H67" s="40">
        <v>441</v>
      </c>
      <c r="I67" s="40">
        <v>21085111</v>
      </c>
      <c r="J67" s="40">
        <v>47812</v>
      </c>
    </row>
    <row r="68" spans="2:10" x14ac:dyDescent="0.35">
      <c r="B68" s="18">
        <v>64</v>
      </c>
      <c r="C68" s="39" t="s">
        <v>4118</v>
      </c>
      <c r="D68" s="39" t="s">
        <v>2697</v>
      </c>
      <c r="E68" s="39" t="s">
        <v>2697</v>
      </c>
      <c r="F68" s="39" t="s">
        <v>2729</v>
      </c>
      <c r="G68" s="41" t="s">
        <v>2730</v>
      </c>
      <c r="H68" s="40">
        <v>320</v>
      </c>
      <c r="I68" s="40">
        <v>18159479</v>
      </c>
      <c r="J68" s="40">
        <v>56748</v>
      </c>
    </row>
    <row r="69" spans="2:10" x14ac:dyDescent="0.35">
      <c r="B69" s="18">
        <v>65</v>
      </c>
      <c r="C69" s="39" t="s">
        <v>4119</v>
      </c>
      <c r="D69" s="39" t="s">
        <v>2697</v>
      </c>
      <c r="E69" s="39" t="s">
        <v>2697</v>
      </c>
      <c r="F69" s="39" t="s">
        <v>2777</v>
      </c>
      <c r="G69" s="41" t="s">
        <v>2778</v>
      </c>
      <c r="H69" s="40">
        <v>330</v>
      </c>
      <c r="I69" s="40">
        <v>17892603</v>
      </c>
      <c r="J69" s="40">
        <v>54220</v>
      </c>
    </row>
    <row r="70" spans="2:10" x14ac:dyDescent="0.35">
      <c r="B70" s="18">
        <v>66</v>
      </c>
      <c r="C70" s="39" t="s">
        <v>4120</v>
      </c>
      <c r="D70" s="39" t="s">
        <v>2697</v>
      </c>
      <c r="E70" s="39" t="s">
        <v>2697</v>
      </c>
      <c r="F70" s="39" t="s">
        <v>2777</v>
      </c>
      <c r="G70" s="41" t="s">
        <v>2778</v>
      </c>
      <c r="H70" s="40">
        <v>304</v>
      </c>
      <c r="I70" s="40">
        <v>17215501</v>
      </c>
      <c r="J70" s="40">
        <v>56630</v>
      </c>
    </row>
    <row r="71" spans="2:10" x14ac:dyDescent="0.35">
      <c r="B71" s="18">
        <v>67</v>
      </c>
      <c r="C71" s="39" t="s">
        <v>4121</v>
      </c>
      <c r="D71" s="39" t="s">
        <v>3407</v>
      </c>
      <c r="E71" s="39" t="s">
        <v>3587</v>
      </c>
      <c r="F71" s="39" t="s">
        <v>3588</v>
      </c>
      <c r="G71" s="41" t="s">
        <v>3589</v>
      </c>
      <c r="H71" s="40">
        <v>292</v>
      </c>
      <c r="I71" s="40">
        <v>17066576</v>
      </c>
      <c r="J71" s="40">
        <v>58447</v>
      </c>
    </row>
    <row r="72" spans="2:10" x14ac:dyDescent="0.35">
      <c r="B72" s="18">
        <v>68</v>
      </c>
      <c r="C72" s="39" t="s">
        <v>4122</v>
      </c>
      <c r="D72" s="39" t="s">
        <v>2697</v>
      </c>
      <c r="E72" s="39" t="s">
        <v>2697</v>
      </c>
      <c r="F72" s="39" t="s">
        <v>2765</v>
      </c>
      <c r="G72" s="41" t="s">
        <v>2766</v>
      </c>
      <c r="H72" s="40">
        <v>387</v>
      </c>
      <c r="I72" s="40">
        <v>17007889</v>
      </c>
      <c r="J72" s="40">
        <v>43948</v>
      </c>
    </row>
    <row r="73" spans="2:10" x14ac:dyDescent="0.35">
      <c r="B73" s="18">
        <v>69</v>
      </c>
      <c r="C73" s="39" t="s">
        <v>4123</v>
      </c>
      <c r="D73" s="39" t="s">
        <v>2697</v>
      </c>
      <c r="E73" s="39" t="s">
        <v>2697</v>
      </c>
      <c r="F73" s="39" t="s">
        <v>2777</v>
      </c>
      <c r="G73" s="41" t="s">
        <v>2778</v>
      </c>
      <c r="H73" s="40">
        <v>255</v>
      </c>
      <c r="I73" s="40">
        <v>16471545</v>
      </c>
      <c r="J73" s="40">
        <v>64594</v>
      </c>
    </row>
    <row r="74" spans="2:10" x14ac:dyDescent="0.35">
      <c r="B74" s="18">
        <v>70</v>
      </c>
      <c r="C74" s="39" t="s">
        <v>4124</v>
      </c>
      <c r="D74" s="39" t="s">
        <v>2697</v>
      </c>
      <c r="E74" s="39" t="s">
        <v>2697</v>
      </c>
      <c r="F74" s="39" t="s">
        <v>2775</v>
      </c>
      <c r="G74" s="41" t="s">
        <v>2776</v>
      </c>
      <c r="H74" s="40">
        <v>291</v>
      </c>
      <c r="I74" s="40">
        <v>16319188</v>
      </c>
      <c r="J74" s="40">
        <v>56080</v>
      </c>
    </row>
    <row r="75" spans="2:10" x14ac:dyDescent="0.35">
      <c r="B75" s="18">
        <v>71</v>
      </c>
      <c r="C75" s="39" t="s">
        <v>4125</v>
      </c>
      <c r="D75" s="39" t="s">
        <v>2697</v>
      </c>
      <c r="E75" s="39" t="s">
        <v>2697</v>
      </c>
      <c r="F75" s="39" t="s">
        <v>2777</v>
      </c>
      <c r="G75" s="41" t="s">
        <v>2778</v>
      </c>
      <c r="H75" s="40">
        <v>274</v>
      </c>
      <c r="I75" s="40">
        <v>16104559</v>
      </c>
      <c r="J75" s="40">
        <v>58776</v>
      </c>
    </row>
    <row r="76" spans="2:10" x14ac:dyDescent="0.35">
      <c r="B76" s="18">
        <v>72</v>
      </c>
      <c r="C76" s="39" t="s">
        <v>4126</v>
      </c>
      <c r="D76" s="39" t="s">
        <v>2697</v>
      </c>
      <c r="E76" s="39" t="s">
        <v>2697</v>
      </c>
      <c r="F76" s="39" t="s">
        <v>2777</v>
      </c>
      <c r="G76" s="41" t="s">
        <v>2778</v>
      </c>
      <c r="H76" s="40">
        <v>230</v>
      </c>
      <c r="I76" s="40">
        <v>15708440</v>
      </c>
      <c r="J76" s="40">
        <v>68298</v>
      </c>
    </row>
    <row r="77" spans="2:10" x14ac:dyDescent="0.35">
      <c r="B77" s="18">
        <v>73</v>
      </c>
      <c r="C77" s="39" t="s">
        <v>4127</v>
      </c>
      <c r="D77" s="39" t="s">
        <v>3278</v>
      </c>
      <c r="E77" s="39" t="s">
        <v>3367</v>
      </c>
      <c r="F77" s="39" t="s">
        <v>3367</v>
      </c>
      <c r="G77" s="41" t="s">
        <v>3368</v>
      </c>
      <c r="H77" s="40">
        <v>343</v>
      </c>
      <c r="I77" s="40">
        <v>15663544</v>
      </c>
      <c r="J77" s="40">
        <v>45666</v>
      </c>
    </row>
    <row r="78" spans="2:10" x14ac:dyDescent="0.35">
      <c r="B78" s="18">
        <v>74</v>
      </c>
      <c r="C78" s="39" t="s">
        <v>4128</v>
      </c>
      <c r="D78" s="39" t="s">
        <v>2697</v>
      </c>
      <c r="E78" s="39" t="s">
        <v>2697</v>
      </c>
      <c r="F78" s="39" t="s">
        <v>2729</v>
      </c>
      <c r="G78" s="41" t="s">
        <v>2730</v>
      </c>
      <c r="H78" s="40">
        <v>331</v>
      </c>
      <c r="I78" s="40">
        <v>15564658</v>
      </c>
      <c r="J78" s="40">
        <v>47023</v>
      </c>
    </row>
    <row r="79" spans="2:10" x14ac:dyDescent="0.35">
      <c r="B79" s="18">
        <v>75</v>
      </c>
      <c r="C79" s="39" t="s">
        <v>4129</v>
      </c>
      <c r="D79" s="39" t="s">
        <v>2697</v>
      </c>
      <c r="E79" s="39" t="s">
        <v>2697</v>
      </c>
      <c r="F79" s="39" t="s">
        <v>2775</v>
      </c>
      <c r="G79" s="41" t="s">
        <v>2776</v>
      </c>
      <c r="H79" s="40">
        <v>240</v>
      </c>
      <c r="I79" s="40">
        <v>15296534</v>
      </c>
      <c r="J79" s="40">
        <v>63736</v>
      </c>
    </row>
    <row r="80" spans="2:10" x14ac:dyDescent="0.35">
      <c r="B80" s="18">
        <v>76</v>
      </c>
      <c r="C80" s="39" t="s">
        <v>4130</v>
      </c>
      <c r="D80" s="39" t="s">
        <v>976</v>
      </c>
      <c r="E80" s="39" t="s">
        <v>977</v>
      </c>
      <c r="F80" s="39" t="s">
        <v>976</v>
      </c>
      <c r="G80" s="41" t="s">
        <v>979</v>
      </c>
      <c r="H80" s="40">
        <v>327</v>
      </c>
      <c r="I80" s="40">
        <v>15014633</v>
      </c>
      <c r="J80" s="40">
        <v>45916</v>
      </c>
    </row>
    <row r="81" spans="2:10" x14ac:dyDescent="0.35">
      <c r="B81" s="18">
        <v>77</v>
      </c>
      <c r="C81" s="39" t="s">
        <v>4131</v>
      </c>
      <c r="D81" s="39" t="s">
        <v>3407</v>
      </c>
      <c r="E81" s="39" t="s">
        <v>3587</v>
      </c>
      <c r="F81" s="39" t="s">
        <v>3588</v>
      </c>
      <c r="G81" s="41" t="s">
        <v>3589</v>
      </c>
      <c r="H81" s="40">
        <v>317</v>
      </c>
      <c r="I81" s="40">
        <v>14777876</v>
      </c>
      <c r="J81" s="40">
        <v>46618</v>
      </c>
    </row>
    <row r="82" spans="2:10" x14ac:dyDescent="0.35">
      <c r="B82" s="18">
        <v>78</v>
      </c>
      <c r="C82" s="39" t="s">
        <v>4132</v>
      </c>
      <c r="D82" s="39" t="s">
        <v>2367</v>
      </c>
      <c r="E82" s="39" t="s">
        <v>2200</v>
      </c>
      <c r="F82" s="39" t="s">
        <v>2200</v>
      </c>
      <c r="G82" s="41" t="s">
        <v>2201</v>
      </c>
      <c r="H82" s="40">
        <v>311</v>
      </c>
      <c r="I82" s="40">
        <v>14415947</v>
      </c>
      <c r="J82" s="40">
        <v>46354</v>
      </c>
    </row>
    <row r="83" spans="2:10" x14ac:dyDescent="0.35">
      <c r="B83" s="18">
        <v>79</v>
      </c>
      <c r="C83" s="39" t="s">
        <v>4133</v>
      </c>
      <c r="D83" s="39" t="s">
        <v>3039</v>
      </c>
      <c r="E83" s="39" t="s">
        <v>3040</v>
      </c>
      <c r="F83" s="39" t="s">
        <v>3041</v>
      </c>
      <c r="G83" s="41" t="s">
        <v>3042</v>
      </c>
      <c r="H83" s="40">
        <v>235</v>
      </c>
      <c r="I83" s="40">
        <v>14382523</v>
      </c>
      <c r="J83" s="40">
        <v>61202</v>
      </c>
    </row>
    <row r="84" spans="2:10" x14ac:dyDescent="0.35">
      <c r="B84" s="18">
        <v>80</v>
      </c>
      <c r="C84" s="39" t="s">
        <v>4134</v>
      </c>
      <c r="D84" s="39" t="s">
        <v>3407</v>
      </c>
      <c r="E84" s="39" t="s">
        <v>3587</v>
      </c>
      <c r="F84" s="39" t="s">
        <v>3588</v>
      </c>
      <c r="G84" s="41" t="s">
        <v>3589</v>
      </c>
      <c r="H84" s="40">
        <v>251</v>
      </c>
      <c r="I84" s="40">
        <v>14291215</v>
      </c>
      <c r="J84" s="40">
        <v>56937</v>
      </c>
    </row>
    <row r="85" spans="2:10" x14ac:dyDescent="0.35">
      <c r="B85" s="18">
        <v>81</v>
      </c>
      <c r="C85" s="39" t="s">
        <v>4135</v>
      </c>
      <c r="D85" s="39" t="s">
        <v>2697</v>
      </c>
      <c r="E85" s="39" t="s">
        <v>2697</v>
      </c>
      <c r="F85" s="39" t="s">
        <v>2729</v>
      </c>
      <c r="G85" s="41" t="s">
        <v>2730</v>
      </c>
      <c r="H85" s="40">
        <v>285</v>
      </c>
      <c r="I85" s="40">
        <v>14196301</v>
      </c>
      <c r="J85" s="40">
        <v>49812</v>
      </c>
    </row>
    <row r="86" spans="2:10" x14ac:dyDescent="0.35">
      <c r="B86" s="18">
        <v>82</v>
      </c>
      <c r="C86" s="39" t="s">
        <v>4136</v>
      </c>
      <c r="D86" s="39" t="s">
        <v>2697</v>
      </c>
      <c r="E86" s="39" t="s">
        <v>2697</v>
      </c>
      <c r="F86" s="39" t="s">
        <v>2721</v>
      </c>
      <c r="G86" s="41" t="s">
        <v>2722</v>
      </c>
      <c r="H86" s="40">
        <v>235</v>
      </c>
      <c r="I86" s="40">
        <v>14062409</v>
      </c>
      <c r="J86" s="40">
        <v>59840</v>
      </c>
    </row>
    <row r="87" spans="2:10" x14ac:dyDescent="0.35">
      <c r="B87" s="18">
        <v>83</v>
      </c>
      <c r="C87" s="39" t="s">
        <v>4137</v>
      </c>
      <c r="D87" s="39" t="s">
        <v>2697</v>
      </c>
      <c r="E87" s="39" t="s">
        <v>2697</v>
      </c>
      <c r="F87" s="39" t="s">
        <v>2757</v>
      </c>
      <c r="G87" s="41" t="s">
        <v>2758</v>
      </c>
      <c r="H87" s="40">
        <v>191</v>
      </c>
      <c r="I87" s="40">
        <v>14062405</v>
      </c>
      <c r="J87" s="40">
        <v>73625</v>
      </c>
    </row>
    <row r="88" spans="2:10" x14ac:dyDescent="0.35">
      <c r="B88" s="18">
        <v>84</v>
      </c>
      <c r="C88" s="39" t="s">
        <v>4138</v>
      </c>
      <c r="D88" s="39" t="s">
        <v>2697</v>
      </c>
      <c r="E88" s="39" t="s">
        <v>2697</v>
      </c>
      <c r="F88" s="39" t="s">
        <v>2755</v>
      </c>
      <c r="G88" s="41" t="s">
        <v>2756</v>
      </c>
      <c r="H88" s="40">
        <v>272</v>
      </c>
      <c r="I88" s="40">
        <v>13733871</v>
      </c>
      <c r="J88" s="40">
        <v>50492</v>
      </c>
    </row>
    <row r="89" spans="2:10" x14ac:dyDescent="0.35">
      <c r="B89" s="18">
        <v>85</v>
      </c>
      <c r="C89" s="39" t="s">
        <v>4139</v>
      </c>
      <c r="D89" s="39" t="s">
        <v>757</v>
      </c>
      <c r="E89" s="39" t="s">
        <v>757</v>
      </c>
      <c r="F89" s="39" t="s">
        <v>757</v>
      </c>
      <c r="G89" s="41" t="s">
        <v>758</v>
      </c>
      <c r="H89" s="40">
        <v>317</v>
      </c>
      <c r="I89" s="40">
        <v>13518305</v>
      </c>
      <c r="J89" s="40">
        <v>42644</v>
      </c>
    </row>
    <row r="90" spans="2:10" x14ac:dyDescent="0.35">
      <c r="B90" s="18">
        <v>86</v>
      </c>
      <c r="C90" s="39" t="s">
        <v>4140</v>
      </c>
      <c r="D90" s="39" t="s">
        <v>2697</v>
      </c>
      <c r="E90" s="39" t="s">
        <v>2697</v>
      </c>
      <c r="F90" s="39" t="s">
        <v>2723</v>
      </c>
      <c r="G90" s="41" t="s">
        <v>2724</v>
      </c>
      <c r="H90" s="40">
        <v>271</v>
      </c>
      <c r="I90" s="40">
        <v>13421190</v>
      </c>
      <c r="J90" s="40">
        <v>49525</v>
      </c>
    </row>
    <row r="91" spans="2:10" x14ac:dyDescent="0.35">
      <c r="B91" s="18">
        <v>87</v>
      </c>
      <c r="C91" s="39" t="s">
        <v>4141</v>
      </c>
      <c r="D91" s="39" t="s">
        <v>2697</v>
      </c>
      <c r="E91" s="39" t="s">
        <v>2697</v>
      </c>
      <c r="F91" s="39" t="s">
        <v>2775</v>
      </c>
      <c r="G91" s="41" t="s">
        <v>2776</v>
      </c>
      <c r="H91" s="40">
        <v>164</v>
      </c>
      <c r="I91" s="40">
        <v>13161928</v>
      </c>
      <c r="J91" s="40">
        <v>80256</v>
      </c>
    </row>
    <row r="92" spans="2:10" x14ac:dyDescent="0.35">
      <c r="B92" s="18">
        <v>88</v>
      </c>
      <c r="C92" s="39" t="s">
        <v>4142</v>
      </c>
      <c r="D92" s="39" t="s">
        <v>2697</v>
      </c>
      <c r="E92" s="39" t="s">
        <v>2697</v>
      </c>
      <c r="F92" s="39" t="s">
        <v>2727</v>
      </c>
      <c r="G92" s="41" t="s">
        <v>2728</v>
      </c>
      <c r="H92" s="40">
        <v>223</v>
      </c>
      <c r="I92" s="40">
        <v>12967612</v>
      </c>
      <c r="J92" s="40">
        <v>58151</v>
      </c>
    </row>
    <row r="93" spans="2:10" x14ac:dyDescent="0.35">
      <c r="B93" s="18">
        <v>89</v>
      </c>
      <c r="C93" s="39" t="s">
        <v>4143</v>
      </c>
      <c r="D93" s="39" t="s">
        <v>2697</v>
      </c>
      <c r="E93" s="39" t="s">
        <v>2697</v>
      </c>
      <c r="F93" s="39" t="s">
        <v>2729</v>
      </c>
      <c r="G93" s="41" t="s">
        <v>2730</v>
      </c>
      <c r="H93" s="40">
        <v>249</v>
      </c>
      <c r="I93" s="40">
        <v>12943728</v>
      </c>
      <c r="J93" s="40">
        <v>51983</v>
      </c>
    </row>
    <row r="94" spans="2:10" x14ac:dyDescent="0.35">
      <c r="B94" s="18">
        <v>90</v>
      </c>
      <c r="C94" s="39" t="s">
        <v>4144</v>
      </c>
      <c r="D94" s="39" t="s">
        <v>2697</v>
      </c>
      <c r="E94" s="39" t="s">
        <v>2697</v>
      </c>
      <c r="F94" s="39" t="s">
        <v>2769</v>
      </c>
      <c r="G94" s="41" t="s">
        <v>2770</v>
      </c>
      <c r="H94" s="40">
        <v>287</v>
      </c>
      <c r="I94" s="40">
        <v>12600077</v>
      </c>
      <c r="J94" s="40">
        <v>43903</v>
      </c>
    </row>
    <row r="95" spans="2:10" x14ac:dyDescent="0.35">
      <c r="B95" s="18">
        <v>91</v>
      </c>
      <c r="C95" s="39" t="s">
        <v>4145</v>
      </c>
      <c r="D95" s="39" t="s">
        <v>3789</v>
      </c>
      <c r="E95" s="39" t="s">
        <v>3789</v>
      </c>
      <c r="F95" s="39" t="s">
        <v>3789</v>
      </c>
      <c r="G95" s="41" t="s">
        <v>3790</v>
      </c>
      <c r="H95" s="40">
        <v>303</v>
      </c>
      <c r="I95" s="40">
        <v>12314705</v>
      </c>
      <c r="J95" s="40">
        <v>40643</v>
      </c>
    </row>
    <row r="96" spans="2:10" x14ac:dyDescent="0.35">
      <c r="B96" s="18">
        <v>92</v>
      </c>
      <c r="C96" s="39" t="s">
        <v>4146</v>
      </c>
      <c r="D96" s="39" t="s">
        <v>1482</v>
      </c>
      <c r="E96" s="39" t="s">
        <v>1482</v>
      </c>
      <c r="F96" s="39" t="s">
        <v>1482</v>
      </c>
      <c r="G96" s="41" t="s">
        <v>1483</v>
      </c>
      <c r="H96" s="40">
        <v>288</v>
      </c>
      <c r="I96" s="40">
        <v>12286351</v>
      </c>
      <c r="J96" s="40">
        <v>42661</v>
      </c>
    </row>
    <row r="97" spans="2:10" x14ac:dyDescent="0.35">
      <c r="B97" s="18">
        <v>93</v>
      </c>
      <c r="C97" s="39" t="s">
        <v>4147</v>
      </c>
      <c r="D97" s="39" t="s">
        <v>2697</v>
      </c>
      <c r="E97" s="39" t="s">
        <v>2697</v>
      </c>
      <c r="F97" s="39" t="s">
        <v>2759</v>
      </c>
      <c r="G97" s="41" t="s">
        <v>2760</v>
      </c>
      <c r="H97" s="40">
        <v>248</v>
      </c>
      <c r="I97" s="40">
        <v>12273734</v>
      </c>
      <c r="J97" s="40">
        <v>49491</v>
      </c>
    </row>
    <row r="98" spans="2:10" x14ac:dyDescent="0.35">
      <c r="B98" s="18">
        <v>94</v>
      </c>
      <c r="C98" s="39" t="s">
        <v>4148</v>
      </c>
      <c r="D98" s="39" t="s">
        <v>1496</v>
      </c>
      <c r="E98" s="39" t="s">
        <v>1496</v>
      </c>
      <c r="F98" s="39" t="s">
        <v>1496</v>
      </c>
      <c r="G98" s="41" t="s">
        <v>1497</v>
      </c>
      <c r="H98" s="40">
        <v>228</v>
      </c>
      <c r="I98" s="40">
        <v>12248003</v>
      </c>
      <c r="J98" s="40">
        <v>53719</v>
      </c>
    </row>
    <row r="99" spans="2:10" x14ac:dyDescent="0.35">
      <c r="B99" s="18">
        <v>95</v>
      </c>
      <c r="C99" s="39" t="s">
        <v>4149</v>
      </c>
      <c r="D99" s="39" t="s">
        <v>2697</v>
      </c>
      <c r="E99" s="39" t="s">
        <v>2697</v>
      </c>
      <c r="F99" s="39" t="s">
        <v>2630</v>
      </c>
      <c r="G99" s="41" t="s">
        <v>2726</v>
      </c>
      <c r="H99" s="40">
        <v>176</v>
      </c>
      <c r="I99" s="40">
        <v>12231440</v>
      </c>
      <c r="J99" s="40">
        <v>69497</v>
      </c>
    </row>
    <row r="100" spans="2:10" x14ac:dyDescent="0.35">
      <c r="B100" s="18">
        <v>96</v>
      </c>
      <c r="C100" s="39" t="s">
        <v>4150</v>
      </c>
      <c r="D100" s="39" t="s">
        <v>2697</v>
      </c>
      <c r="E100" s="39" t="s">
        <v>2697</v>
      </c>
      <c r="F100" s="39" t="s">
        <v>2775</v>
      </c>
      <c r="G100" s="41" t="s">
        <v>2776</v>
      </c>
      <c r="H100" s="40">
        <v>156</v>
      </c>
      <c r="I100" s="40">
        <v>12161083</v>
      </c>
      <c r="J100" s="40">
        <v>77956</v>
      </c>
    </row>
    <row r="101" spans="2:10" x14ac:dyDescent="0.35">
      <c r="B101" s="18">
        <v>97</v>
      </c>
      <c r="C101" s="39" t="s">
        <v>4151</v>
      </c>
      <c r="D101" s="39" t="s">
        <v>2697</v>
      </c>
      <c r="E101" s="39" t="s">
        <v>2697</v>
      </c>
      <c r="F101" s="39" t="s">
        <v>2697</v>
      </c>
      <c r="G101" s="41" t="s">
        <v>2698</v>
      </c>
      <c r="H101" s="40">
        <v>208</v>
      </c>
      <c r="I101" s="40">
        <v>12112027</v>
      </c>
      <c r="J101" s="40">
        <v>58231</v>
      </c>
    </row>
    <row r="102" spans="2:10" x14ac:dyDescent="0.35">
      <c r="B102" s="18">
        <v>98</v>
      </c>
      <c r="C102" s="39" t="s">
        <v>4152</v>
      </c>
      <c r="D102" s="39" t="s">
        <v>2697</v>
      </c>
      <c r="E102" s="39" t="s">
        <v>2697</v>
      </c>
      <c r="F102" s="39" t="s">
        <v>2775</v>
      </c>
      <c r="G102" s="41" t="s">
        <v>2776</v>
      </c>
      <c r="H102" s="40">
        <v>127</v>
      </c>
      <c r="I102" s="40">
        <v>12000251</v>
      </c>
      <c r="J102" s="40">
        <v>94490</v>
      </c>
    </row>
    <row r="103" spans="2:10" x14ac:dyDescent="0.35">
      <c r="B103" s="18">
        <v>99</v>
      </c>
      <c r="C103" s="39" t="s">
        <v>4153</v>
      </c>
      <c r="D103" s="39" t="s">
        <v>1496</v>
      </c>
      <c r="E103" s="39" t="s">
        <v>1496</v>
      </c>
      <c r="F103" s="39" t="s">
        <v>1506</v>
      </c>
      <c r="G103" s="41" t="s">
        <v>1507</v>
      </c>
      <c r="H103" s="40">
        <v>212</v>
      </c>
      <c r="I103" s="40">
        <v>11634094</v>
      </c>
      <c r="J103" s="40">
        <v>54878</v>
      </c>
    </row>
    <row r="104" spans="2:10" x14ac:dyDescent="0.35">
      <c r="B104" s="18">
        <v>100</v>
      </c>
      <c r="C104" s="39" t="s">
        <v>4154</v>
      </c>
      <c r="D104" s="39" t="s">
        <v>2697</v>
      </c>
      <c r="E104" s="39" t="s">
        <v>2697</v>
      </c>
      <c r="F104" s="39" t="s">
        <v>2757</v>
      </c>
      <c r="G104" s="41" t="s">
        <v>2758</v>
      </c>
      <c r="H104" s="40">
        <v>122</v>
      </c>
      <c r="I104" s="40">
        <v>11615893</v>
      </c>
      <c r="J104" s="40">
        <v>95212</v>
      </c>
    </row>
    <row r="105" spans="2:10" x14ac:dyDescent="0.35">
      <c r="B105" s="18">
        <v>101</v>
      </c>
      <c r="C105" s="39" t="s">
        <v>4155</v>
      </c>
      <c r="D105" s="39" t="s">
        <v>1482</v>
      </c>
      <c r="E105" s="39" t="s">
        <v>1482</v>
      </c>
      <c r="F105" s="39" t="s">
        <v>1482</v>
      </c>
      <c r="G105" s="41" t="s">
        <v>1483</v>
      </c>
      <c r="H105" s="40">
        <v>209</v>
      </c>
      <c r="I105" s="40">
        <v>11508471</v>
      </c>
      <c r="J105" s="40">
        <v>55064</v>
      </c>
    </row>
    <row r="106" spans="2:10" x14ac:dyDescent="0.35">
      <c r="B106" s="18">
        <v>102</v>
      </c>
      <c r="C106" s="39" t="s">
        <v>4156</v>
      </c>
      <c r="D106" s="39" t="s">
        <v>3789</v>
      </c>
      <c r="E106" s="39" t="s">
        <v>3789</v>
      </c>
      <c r="F106" s="39" t="s">
        <v>3789</v>
      </c>
      <c r="G106" s="41" t="s">
        <v>3790</v>
      </c>
      <c r="H106" s="40">
        <v>243</v>
      </c>
      <c r="I106" s="40">
        <v>11501606</v>
      </c>
      <c r="J106" s="40">
        <v>47332</v>
      </c>
    </row>
    <row r="107" spans="2:10" x14ac:dyDescent="0.35">
      <c r="B107" s="18">
        <v>103</v>
      </c>
      <c r="C107" s="39" t="s">
        <v>4157</v>
      </c>
      <c r="D107" s="39" t="s">
        <v>757</v>
      </c>
      <c r="E107" s="39" t="s">
        <v>757</v>
      </c>
      <c r="F107" s="39" t="s">
        <v>775</v>
      </c>
      <c r="G107" s="41" t="s">
        <v>776</v>
      </c>
      <c r="H107" s="40">
        <v>216</v>
      </c>
      <c r="I107" s="40">
        <v>11498808</v>
      </c>
      <c r="J107" s="40">
        <v>53235</v>
      </c>
    </row>
    <row r="108" spans="2:10" x14ac:dyDescent="0.35">
      <c r="B108" s="18">
        <v>104</v>
      </c>
      <c r="C108" s="39" t="s">
        <v>4158</v>
      </c>
      <c r="D108" s="39" t="s">
        <v>2697</v>
      </c>
      <c r="E108" s="39" t="s">
        <v>2697</v>
      </c>
      <c r="F108" s="39" t="s">
        <v>259</v>
      </c>
      <c r="G108" s="41" t="s">
        <v>2720</v>
      </c>
      <c r="H108" s="40">
        <v>206</v>
      </c>
      <c r="I108" s="40">
        <v>11427728</v>
      </c>
      <c r="J108" s="40">
        <v>55474</v>
      </c>
    </row>
    <row r="109" spans="2:10" x14ac:dyDescent="0.35">
      <c r="B109" s="18">
        <v>105</v>
      </c>
      <c r="C109" s="39" t="s">
        <v>4159</v>
      </c>
      <c r="D109" s="39" t="s">
        <v>1482</v>
      </c>
      <c r="E109" s="39" t="s">
        <v>1482</v>
      </c>
      <c r="F109" s="39" t="s">
        <v>1484</v>
      </c>
      <c r="G109" s="41" t="s">
        <v>1485</v>
      </c>
      <c r="H109" s="40">
        <v>247</v>
      </c>
      <c r="I109" s="40">
        <v>10934312</v>
      </c>
      <c r="J109" s="40">
        <v>44268</v>
      </c>
    </row>
    <row r="110" spans="2:10" x14ac:dyDescent="0.35">
      <c r="B110" s="18">
        <v>106</v>
      </c>
      <c r="C110" s="39" t="s">
        <v>4160</v>
      </c>
      <c r="D110" s="39" t="s">
        <v>2697</v>
      </c>
      <c r="E110" s="39" t="s">
        <v>2697</v>
      </c>
      <c r="F110" s="39" t="s">
        <v>2729</v>
      </c>
      <c r="G110" s="41" t="s">
        <v>2730</v>
      </c>
      <c r="H110" s="40">
        <v>221</v>
      </c>
      <c r="I110" s="40">
        <v>10829303</v>
      </c>
      <c r="J110" s="40">
        <v>49001</v>
      </c>
    </row>
    <row r="111" spans="2:10" x14ac:dyDescent="0.35">
      <c r="B111" s="18">
        <v>107</v>
      </c>
      <c r="C111" s="39" t="s">
        <v>4161</v>
      </c>
      <c r="D111" s="39" t="s">
        <v>2697</v>
      </c>
      <c r="E111" s="39" t="s">
        <v>2697</v>
      </c>
      <c r="F111" s="39" t="s">
        <v>1427</v>
      </c>
      <c r="G111" s="41" t="s">
        <v>2768</v>
      </c>
      <c r="H111" s="40">
        <v>102</v>
      </c>
      <c r="I111" s="40">
        <v>10635591</v>
      </c>
      <c r="J111" s="40">
        <v>104271</v>
      </c>
    </row>
    <row r="112" spans="2:10" x14ac:dyDescent="0.35">
      <c r="B112" s="18">
        <v>108</v>
      </c>
      <c r="C112" s="39" t="s">
        <v>4162</v>
      </c>
      <c r="D112" s="39" t="s">
        <v>2697</v>
      </c>
      <c r="E112" s="39" t="s">
        <v>2697</v>
      </c>
      <c r="F112" s="39" t="s">
        <v>2723</v>
      </c>
      <c r="G112" s="44">
        <v>150114</v>
      </c>
      <c r="H112" s="40">
        <v>200</v>
      </c>
      <c r="I112" s="40">
        <v>10550738</v>
      </c>
      <c r="J112" s="40">
        <v>52754</v>
      </c>
    </row>
    <row r="113" spans="2:10" x14ac:dyDescent="0.35">
      <c r="B113" s="18">
        <v>109</v>
      </c>
      <c r="C113" s="39" t="s">
        <v>4163</v>
      </c>
      <c r="D113" s="39" t="s">
        <v>2697</v>
      </c>
      <c r="E113" s="39" t="s">
        <v>2697</v>
      </c>
      <c r="F113" s="39" t="s">
        <v>775</v>
      </c>
      <c r="G113" s="44">
        <v>150122</v>
      </c>
      <c r="H113" s="40">
        <v>107</v>
      </c>
      <c r="I113" s="40">
        <v>10485469</v>
      </c>
      <c r="J113" s="40">
        <v>97995</v>
      </c>
    </row>
    <row r="114" spans="2:10" x14ac:dyDescent="0.35">
      <c r="B114" s="18">
        <v>110</v>
      </c>
      <c r="C114" s="39" t="s">
        <v>4164</v>
      </c>
      <c r="D114" s="39" t="s">
        <v>2697</v>
      </c>
      <c r="E114" s="39" t="s">
        <v>2697</v>
      </c>
      <c r="F114" s="39" t="s">
        <v>2777</v>
      </c>
      <c r="G114" s="44">
        <v>150141</v>
      </c>
      <c r="H114" s="40">
        <v>158</v>
      </c>
      <c r="I114" s="40">
        <v>10241591</v>
      </c>
      <c r="J114" s="40">
        <v>64820</v>
      </c>
    </row>
    <row r="115" spans="2:10" x14ac:dyDescent="0.35">
      <c r="B115" s="18">
        <v>111</v>
      </c>
      <c r="C115" s="39" t="s">
        <v>4165</v>
      </c>
      <c r="D115" s="39" t="s">
        <v>2697</v>
      </c>
      <c r="E115" s="39" t="s">
        <v>2697</v>
      </c>
      <c r="F115" s="39" t="s">
        <v>2697</v>
      </c>
      <c r="G115" s="44">
        <v>150101</v>
      </c>
      <c r="H115" s="40">
        <v>207</v>
      </c>
      <c r="I115" s="40">
        <v>10234619</v>
      </c>
      <c r="J115" s="40">
        <v>49443</v>
      </c>
    </row>
    <row r="116" spans="2:10" x14ac:dyDescent="0.35">
      <c r="B116" s="18">
        <v>112</v>
      </c>
      <c r="C116" s="39" t="s">
        <v>4166</v>
      </c>
      <c r="D116" s="39" t="s">
        <v>2697</v>
      </c>
      <c r="E116" s="39" t="s">
        <v>2697</v>
      </c>
      <c r="F116" s="39" t="s">
        <v>2701</v>
      </c>
      <c r="G116" s="44">
        <v>150103</v>
      </c>
      <c r="H116" s="40">
        <v>220</v>
      </c>
      <c r="I116" s="40">
        <v>10127069</v>
      </c>
      <c r="J116" s="40">
        <v>46032</v>
      </c>
    </row>
    <row r="117" spans="2:10" x14ac:dyDescent="0.35">
      <c r="B117" s="18">
        <v>113</v>
      </c>
      <c r="C117" s="39" t="s">
        <v>4167</v>
      </c>
      <c r="D117" s="39" t="s">
        <v>2697</v>
      </c>
      <c r="E117" s="39" t="s">
        <v>2697</v>
      </c>
      <c r="F117" s="39" t="s">
        <v>2765</v>
      </c>
      <c r="G117" s="44">
        <v>150135</v>
      </c>
      <c r="H117" s="40">
        <v>179</v>
      </c>
      <c r="I117" s="40">
        <v>10027987</v>
      </c>
      <c r="J117" s="40">
        <v>56022</v>
      </c>
    </row>
    <row r="118" spans="2:10" x14ac:dyDescent="0.35">
      <c r="B118" s="18">
        <v>114</v>
      </c>
      <c r="C118" s="39" t="s">
        <v>4168</v>
      </c>
      <c r="D118" s="39" t="s">
        <v>2697</v>
      </c>
      <c r="E118" s="39" t="s">
        <v>2697</v>
      </c>
      <c r="F118" s="39" t="s">
        <v>2769</v>
      </c>
      <c r="G118" s="44">
        <v>150137</v>
      </c>
      <c r="H118" s="40">
        <v>224</v>
      </c>
      <c r="I118" s="40">
        <v>9993127</v>
      </c>
      <c r="J118" s="40">
        <v>44612</v>
      </c>
    </row>
    <row r="119" spans="2:10" x14ac:dyDescent="0.35">
      <c r="B119" s="18">
        <v>115</v>
      </c>
      <c r="C119" s="39" t="s">
        <v>4169</v>
      </c>
      <c r="D119" s="39" t="s">
        <v>2697</v>
      </c>
      <c r="E119" s="39" t="s">
        <v>2697</v>
      </c>
      <c r="F119" s="39" t="s">
        <v>2765</v>
      </c>
      <c r="G119" s="44">
        <v>150135</v>
      </c>
      <c r="H119" s="40">
        <v>197</v>
      </c>
      <c r="I119" s="40">
        <v>9839669</v>
      </c>
      <c r="J119" s="40">
        <v>49948</v>
      </c>
    </row>
    <row r="120" spans="2:10" x14ac:dyDescent="0.35">
      <c r="B120" s="18">
        <v>116</v>
      </c>
      <c r="C120" s="39" t="s">
        <v>4170</v>
      </c>
      <c r="D120" s="39" t="s">
        <v>263</v>
      </c>
      <c r="E120" s="39" t="s">
        <v>2449</v>
      </c>
      <c r="F120" s="39" t="s">
        <v>2449</v>
      </c>
      <c r="G120" s="44">
        <v>130101</v>
      </c>
      <c r="H120" s="40">
        <v>183</v>
      </c>
      <c r="I120" s="40">
        <v>9691798</v>
      </c>
      <c r="J120" s="40">
        <v>52961</v>
      </c>
    </row>
    <row r="121" spans="2:10" x14ac:dyDescent="0.35">
      <c r="B121" s="18">
        <v>117</v>
      </c>
      <c r="C121" s="39" t="s">
        <v>4171</v>
      </c>
      <c r="D121" s="39" t="s">
        <v>2697</v>
      </c>
      <c r="E121" s="39" t="s">
        <v>2697</v>
      </c>
      <c r="F121" s="39" t="s">
        <v>2697</v>
      </c>
      <c r="G121" s="44">
        <v>150101</v>
      </c>
      <c r="H121" s="40">
        <v>171</v>
      </c>
      <c r="I121" s="40">
        <v>9666019</v>
      </c>
      <c r="J121" s="40">
        <v>56526</v>
      </c>
    </row>
    <row r="122" spans="2:10" x14ac:dyDescent="0.35">
      <c r="B122" s="18">
        <v>118</v>
      </c>
      <c r="C122" s="39" t="s">
        <v>4172</v>
      </c>
      <c r="D122" s="39" t="s">
        <v>2697</v>
      </c>
      <c r="E122" s="39" t="s">
        <v>2697</v>
      </c>
      <c r="F122" s="39" t="s">
        <v>2765</v>
      </c>
      <c r="G122" s="44">
        <v>150135</v>
      </c>
      <c r="H122" s="40">
        <v>193</v>
      </c>
      <c r="I122" s="40">
        <v>9641809</v>
      </c>
      <c r="J122" s="40">
        <v>49958</v>
      </c>
    </row>
    <row r="123" spans="2:10" x14ac:dyDescent="0.35">
      <c r="B123" s="18">
        <v>119</v>
      </c>
      <c r="C123" s="39" t="s">
        <v>4173</v>
      </c>
      <c r="D123" s="39" t="s">
        <v>2697</v>
      </c>
      <c r="E123" s="39" t="s">
        <v>2697</v>
      </c>
      <c r="F123" s="39" t="s">
        <v>2765</v>
      </c>
      <c r="G123" s="44">
        <v>150135</v>
      </c>
      <c r="H123" s="40">
        <v>182</v>
      </c>
      <c r="I123" s="40">
        <v>9512222</v>
      </c>
      <c r="J123" s="40">
        <v>52265</v>
      </c>
    </row>
    <row r="124" spans="2:10" x14ac:dyDescent="0.35">
      <c r="B124" s="18">
        <v>120</v>
      </c>
      <c r="C124" s="39" t="s">
        <v>4174</v>
      </c>
      <c r="D124" s="39" t="s">
        <v>976</v>
      </c>
      <c r="E124" s="39" t="s">
        <v>977</v>
      </c>
      <c r="F124" s="39" t="s">
        <v>976</v>
      </c>
      <c r="G124" s="44">
        <v>50101</v>
      </c>
      <c r="H124" s="40">
        <v>182</v>
      </c>
      <c r="I124" s="40">
        <v>9427291</v>
      </c>
      <c r="J124" s="40">
        <v>51798</v>
      </c>
    </row>
    <row r="125" spans="2:10" x14ac:dyDescent="0.35">
      <c r="B125" s="18">
        <v>121</v>
      </c>
      <c r="C125" s="39" t="s">
        <v>4175</v>
      </c>
      <c r="D125" s="39" t="s">
        <v>263</v>
      </c>
      <c r="E125" s="39" t="s">
        <v>2449</v>
      </c>
      <c r="F125" s="39" t="s">
        <v>1468</v>
      </c>
      <c r="G125" s="44">
        <v>130105</v>
      </c>
      <c r="H125" s="40">
        <v>182</v>
      </c>
      <c r="I125" s="40">
        <v>9287639</v>
      </c>
      <c r="J125" s="40">
        <v>51031</v>
      </c>
    </row>
    <row r="126" spans="2:10" x14ac:dyDescent="0.35">
      <c r="B126" s="18">
        <v>122</v>
      </c>
      <c r="C126" s="39" t="s">
        <v>4176</v>
      </c>
      <c r="D126" s="39" t="s">
        <v>2697</v>
      </c>
      <c r="E126" s="39" t="s">
        <v>2697</v>
      </c>
      <c r="F126" s="39" t="s">
        <v>2765</v>
      </c>
      <c r="G126" s="44">
        <v>150135</v>
      </c>
      <c r="H126" s="40">
        <v>201</v>
      </c>
      <c r="I126" s="40">
        <v>9252115</v>
      </c>
      <c r="J126" s="40">
        <v>46030</v>
      </c>
    </row>
    <row r="127" spans="2:10" x14ac:dyDescent="0.35">
      <c r="B127" s="18">
        <v>123</v>
      </c>
      <c r="C127" s="39" t="s">
        <v>4177</v>
      </c>
      <c r="D127" s="39" t="s">
        <v>2111</v>
      </c>
      <c r="E127" s="39" t="s">
        <v>2111</v>
      </c>
      <c r="F127" s="39" t="s">
        <v>2111</v>
      </c>
      <c r="G127" s="44">
        <v>110101</v>
      </c>
      <c r="H127" s="40">
        <v>209</v>
      </c>
      <c r="I127" s="40">
        <v>9231496</v>
      </c>
      <c r="J127" s="40">
        <v>44170</v>
      </c>
    </row>
    <row r="128" spans="2:10" x14ac:dyDescent="0.35">
      <c r="B128" s="18">
        <v>124</v>
      </c>
      <c r="C128" s="39" t="s">
        <v>4178</v>
      </c>
      <c r="D128" s="39" t="s">
        <v>2697</v>
      </c>
      <c r="E128" s="39" t="s">
        <v>2697</v>
      </c>
      <c r="F128" s="39" t="s">
        <v>2701</v>
      </c>
      <c r="G128" s="44">
        <v>150103</v>
      </c>
      <c r="H128" s="40">
        <v>219</v>
      </c>
      <c r="I128" s="40">
        <v>9163638</v>
      </c>
      <c r="J128" s="40">
        <v>41843</v>
      </c>
    </row>
    <row r="129" spans="2:10" x14ac:dyDescent="0.35">
      <c r="B129" s="18">
        <v>125</v>
      </c>
      <c r="C129" s="39" t="s">
        <v>4179</v>
      </c>
      <c r="D129" s="39" t="s">
        <v>2697</v>
      </c>
      <c r="E129" s="39" t="s">
        <v>2697</v>
      </c>
      <c r="F129" s="39" t="s">
        <v>2759</v>
      </c>
      <c r="G129" s="44">
        <v>150132</v>
      </c>
      <c r="H129" s="40">
        <v>216</v>
      </c>
      <c r="I129" s="40">
        <v>9064039</v>
      </c>
      <c r="J129" s="40">
        <v>41963</v>
      </c>
    </row>
    <row r="130" spans="2:10" x14ac:dyDescent="0.35">
      <c r="B130" s="18">
        <v>126</v>
      </c>
      <c r="C130" s="39" t="s">
        <v>4180</v>
      </c>
      <c r="D130" s="39" t="s">
        <v>2697</v>
      </c>
      <c r="E130" s="39" t="s">
        <v>2697</v>
      </c>
      <c r="F130" s="39" t="s">
        <v>2701</v>
      </c>
      <c r="G130" s="44">
        <v>150103</v>
      </c>
      <c r="H130" s="40">
        <v>136</v>
      </c>
      <c r="I130" s="40">
        <v>9058332</v>
      </c>
      <c r="J130" s="40">
        <v>66605</v>
      </c>
    </row>
    <row r="131" spans="2:10" x14ac:dyDescent="0.35">
      <c r="B131" s="18">
        <v>127</v>
      </c>
      <c r="C131" s="39" t="s">
        <v>4181</v>
      </c>
      <c r="D131" s="39" t="s">
        <v>3278</v>
      </c>
      <c r="E131" s="39" t="s">
        <v>3278</v>
      </c>
      <c r="F131" s="39" t="s">
        <v>3278</v>
      </c>
      <c r="G131" s="44">
        <v>200101</v>
      </c>
      <c r="H131" s="40">
        <v>161</v>
      </c>
      <c r="I131" s="40">
        <v>9023350</v>
      </c>
      <c r="J131" s="40">
        <v>56046</v>
      </c>
    </row>
    <row r="132" spans="2:10" x14ac:dyDescent="0.35">
      <c r="B132" s="18">
        <v>128</v>
      </c>
      <c r="C132" s="39" t="s">
        <v>4182</v>
      </c>
      <c r="D132" s="39" t="s">
        <v>757</v>
      </c>
      <c r="E132" s="39" t="s">
        <v>757</v>
      </c>
      <c r="F132" s="39" t="s">
        <v>775</v>
      </c>
      <c r="G132" s="44">
        <v>40110</v>
      </c>
      <c r="H132" s="40">
        <v>193</v>
      </c>
      <c r="I132" s="40">
        <v>8982489</v>
      </c>
      <c r="J132" s="40">
        <v>46541</v>
      </c>
    </row>
    <row r="133" spans="2:10" x14ac:dyDescent="0.35">
      <c r="B133" s="18">
        <v>129</v>
      </c>
      <c r="C133" s="39" t="s">
        <v>4183</v>
      </c>
      <c r="D133" s="39" t="s">
        <v>2697</v>
      </c>
      <c r="E133" s="39" t="s">
        <v>2697</v>
      </c>
      <c r="F133" s="39" t="s">
        <v>2701</v>
      </c>
      <c r="G133" s="44">
        <v>150103</v>
      </c>
      <c r="H133" s="40">
        <v>176</v>
      </c>
      <c r="I133" s="40">
        <v>8806814</v>
      </c>
      <c r="J133" s="40">
        <v>50039</v>
      </c>
    </row>
    <row r="134" spans="2:10" x14ac:dyDescent="0.35">
      <c r="B134" s="18">
        <v>130</v>
      </c>
      <c r="C134" s="39" t="s">
        <v>4184</v>
      </c>
      <c r="D134" s="39" t="s">
        <v>2697</v>
      </c>
      <c r="E134" s="39" t="s">
        <v>2697</v>
      </c>
      <c r="F134" s="39" t="s">
        <v>2775</v>
      </c>
      <c r="G134" s="44">
        <v>150140</v>
      </c>
      <c r="H134" s="40">
        <v>148</v>
      </c>
      <c r="I134" s="40">
        <v>8609067</v>
      </c>
      <c r="J134" s="40">
        <v>58169</v>
      </c>
    </row>
    <row r="135" spans="2:10" x14ac:dyDescent="0.35">
      <c r="B135" s="18">
        <v>131</v>
      </c>
      <c r="C135" s="39" t="s">
        <v>4185</v>
      </c>
      <c r="D135" s="39" t="s">
        <v>263</v>
      </c>
      <c r="E135" s="39" t="s">
        <v>2449</v>
      </c>
      <c r="F135" s="39" t="s">
        <v>2449</v>
      </c>
      <c r="G135" s="44">
        <v>130101</v>
      </c>
      <c r="H135" s="40">
        <v>198</v>
      </c>
      <c r="I135" s="40">
        <v>8435441</v>
      </c>
      <c r="J135" s="40">
        <v>42603</v>
      </c>
    </row>
    <row r="136" spans="2:10" x14ac:dyDescent="0.35">
      <c r="B136" s="18">
        <v>132</v>
      </c>
      <c r="C136" s="39" t="s">
        <v>4186</v>
      </c>
      <c r="D136" s="39" t="s">
        <v>2619</v>
      </c>
      <c r="E136" s="39" t="s">
        <v>2620</v>
      </c>
      <c r="F136" s="39" t="s">
        <v>2628</v>
      </c>
      <c r="G136" s="44">
        <v>140105</v>
      </c>
      <c r="H136" s="40">
        <v>101</v>
      </c>
      <c r="I136" s="40">
        <v>8338149</v>
      </c>
      <c r="J136" s="40">
        <v>82556</v>
      </c>
    </row>
    <row r="137" spans="2:10" x14ac:dyDescent="0.35">
      <c r="B137" s="18">
        <v>133</v>
      </c>
      <c r="C137" s="39" t="s">
        <v>4187</v>
      </c>
      <c r="D137" s="39" t="s">
        <v>757</v>
      </c>
      <c r="E137" s="39" t="s">
        <v>757</v>
      </c>
      <c r="F137" s="39" t="s">
        <v>813</v>
      </c>
      <c r="G137" s="44">
        <v>40129</v>
      </c>
      <c r="H137" s="40">
        <v>145</v>
      </c>
      <c r="I137" s="40">
        <v>8308264</v>
      </c>
      <c r="J137" s="40">
        <v>57298</v>
      </c>
    </row>
    <row r="138" spans="2:10" x14ac:dyDescent="0.35">
      <c r="B138" s="18">
        <v>134</v>
      </c>
      <c r="C138" s="39" t="s">
        <v>4188</v>
      </c>
      <c r="D138" s="39" t="s">
        <v>2697</v>
      </c>
      <c r="E138" s="39" t="s">
        <v>2697</v>
      </c>
      <c r="F138" s="39" t="s">
        <v>2630</v>
      </c>
      <c r="G138" s="44">
        <v>150115</v>
      </c>
      <c r="H138" s="40">
        <v>175</v>
      </c>
      <c r="I138" s="40">
        <v>8303390</v>
      </c>
      <c r="J138" s="40">
        <v>47448</v>
      </c>
    </row>
    <row r="139" spans="2:10" x14ac:dyDescent="0.35">
      <c r="B139" s="18">
        <v>135</v>
      </c>
      <c r="C139" s="39" t="s">
        <v>4189</v>
      </c>
      <c r="D139" s="39" t="s">
        <v>2697</v>
      </c>
      <c r="E139" s="39" t="s">
        <v>2697</v>
      </c>
      <c r="F139" s="39" t="s">
        <v>1427</v>
      </c>
      <c r="G139" s="44">
        <v>150136</v>
      </c>
      <c r="H139" s="40">
        <v>128</v>
      </c>
      <c r="I139" s="40">
        <v>8232460</v>
      </c>
      <c r="J139" s="40">
        <v>64316</v>
      </c>
    </row>
    <row r="140" spans="2:10" x14ac:dyDescent="0.35">
      <c r="B140" s="18">
        <v>136</v>
      </c>
      <c r="C140" s="39" t="s">
        <v>4190</v>
      </c>
      <c r="D140" s="39" t="s">
        <v>1496</v>
      </c>
      <c r="E140" s="39" t="s">
        <v>1496</v>
      </c>
      <c r="F140" s="39" t="s">
        <v>1510</v>
      </c>
      <c r="G140" s="44">
        <v>80108</v>
      </c>
      <c r="H140" s="40">
        <v>192</v>
      </c>
      <c r="I140" s="40">
        <v>8187893</v>
      </c>
      <c r="J140" s="40">
        <v>42645</v>
      </c>
    </row>
    <row r="141" spans="2:10" x14ac:dyDescent="0.35">
      <c r="B141" s="18">
        <v>137</v>
      </c>
      <c r="C141" s="39" t="s">
        <v>4191</v>
      </c>
      <c r="D141" s="39" t="s">
        <v>3662</v>
      </c>
      <c r="E141" s="39" t="s">
        <v>3662</v>
      </c>
      <c r="F141" s="39" t="s">
        <v>3749</v>
      </c>
      <c r="G141" s="44">
        <v>220901</v>
      </c>
      <c r="H141" s="40">
        <v>156</v>
      </c>
      <c r="I141" s="40">
        <v>8167785</v>
      </c>
      <c r="J141" s="40">
        <v>52358</v>
      </c>
    </row>
    <row r="142" spans="2:10" x14ac:dyDescent="0.35">
      <c r="B142" s="18">
        <v>138</v>
      </c>
      <c r="C142" s="39" t="s">
        <v>4192</v>
      </c>
      <c r="D142" s="39" t="s">
        <v>2697</v>
      </c>
      <c r="E142" s="39" t="s">
        <v>2697</v>
      </c>
      <c r="F142" s="39" t="s">
        <v>2777</v>
      </c>
      <c r="G142" s="44">
        <v>150141</v>
      </c>
      <c r="H142" s="40">
        <v>160</v>
      </c>
      <c r="I142" s="40">
        <v>8160561</v>
      </c>
      <c r="J142" s="40">
        <v>51004</v>
      </c>
    </row>
    <row r="143" spans="2:10" x14ac:dyDescent="0.35">
      <c r="B143" s="18">
        <v>139</v>
      </c>
      <c r="C143" s="39" t="s">
        <v>4193</v>
      </c>
      <c r="D143" s="39" t="s">
        <v>2697</v>
      </c>
      <c r="E143" s="39" t="s">
        <v>2697</v>
      </c>
      <c r="F143" s="39" t="s">
        <v>1427</v>
      </c>
      <c r="G143" s="44">
        <v>150136</v>
      </c>
      <c r="H143" s="40">
        <v>145</v>
      </c>
      <c r="I143" s="40">
        <v>8004079</v>
      </c>
      <c r="J143" s="40">
        <v>55201</v>
      </c>
    </row>
    <row r="144" spans="2:10" x14ac:dyDescent="0.35">
      <c r="B144" s="18">
        <v>140</v>
      </c>
      <c r="C144" s="39" t="s">
        <v>4194</v>
      </c>
      <c r="D144" s="39" t="s">
        <v>757</v>
      </c>
      <c r="E144" s="39" t="s">
        <v>757</v>
      </c>
      <c r="F144" s="39" t="s">
        <v>757</v>
      </c>
      <c r="G144" s="44">
        <v>40101</v>
      </c>
      <c r="H144" s="40">
        <v>174</v>
      </c>
      <c r="I144" s="40">
        <v>7899731</v>
      </c>
      <c r="J144" s="40">
        <v>45401</v>
      </c>
    </row>
    <row r="145" spans="2:10" x14ac:dyDescent="0.35">
      <c r="B145" s="18">
        <v>141</v>
      </c>
      <c r="C145" s="39" t="s">
        <v>4192</v>
      </c>
      <c r="D145" s="39" t="s">
        <v>2697</v>
      </c>
      <c r="E145" s="39" t="s">
        <v>2697</v>
      </c>
      <c r="F145" s="39" t="s">
        <v>2777</v>
      </c>
      <c r="G145" s="44">
        <v>150141</v>
      </c>
      <c r="H145" s="40">
        <v>165</v>
      </c>
      <c r="I145" s="40">
        <v>7892015</v>
      </c>
      <c r="J145" s="40">
        <v>47830</v>
      </c>
    </row>
    <row r="146" spans="2:10" x14ac:dyDescent="0.35">
      <c r="B146" s="18">
        <v>142</v>
      </c>
      <c r="C146" s="39" t="s">
        <v>4195</v>
      </c>
      <c r="D146" s="39" t="s">
        <v>3407</v>
      </c>
      <c r="E146" s="39" t="s">
        <v>3587</v>
      </c>
      <c r="F146" s="39" t="s">
        <v>3588</v>
      </c>
      <c r="G146" s="44">
        <v>211101</v>
      </c>
      <c r="H146" s="40">
        <v>119</v>
      </c>
      <c r="I146" s="40">
        <v>7845233</v>
      </c>
      <c r="J146" s="40">
        <v>65926</v>
      </c>
    </row>
    <row r="147" spans="2:10" x14ac:dyDescent="0.35">
      <c r="B147" s="18">
        <v>143</v>
      </c>
      <c r="C147" s="39" t="s">
        <v>4196</v>
      </c>
      <c r="D147" s="39" t="s">
        <v>3278</v>
      </c>
      <c r="E147" s="39" t="s">
        <v>3278</v>
      </c>
      <c r="F147" s="39" t="s">
        <v>3281</v>
      </c>
      <c r="G147" s="44">
        <v>200105</v>
      </c>
      <c r="H147" s="40">
        <v>201</v>
      </c>
      <c r="I147" s="40">
        <v>7807601</v>
      </c>
      <c r="J147" s="40">
        <v>38844</v>
      </c>
    </row>
    <row r="148" spans="2:10" x14ac:dyDescent="0.35">
      <c r="B148" s="18">
        <v>144</v>
      </c>
      <c r="C148" s="39" t="s">
        <v>4197</v>
      </c>
      <c r="D148" s="39" t="s">
        <v>2697</v>
      </c>
      <c r="E148" s="39" t="s">
        <v>2697</v>
      </c>
      <c r="F148" s="39" t="s">
        <v>2711</v>
      </c>
      <c r="G148" s="44">
        <v>150108</v>
      </c>
      <c r="H148" s="40">
        <v>191</v>
      </c>
      <c r="I148" s="40">
        <v>7780437</v>
      </c>
      <c r="J148" s="40">
        <v>40735</v>
      </c>
    </row>
    <row r="149" spans="2:10" x14ac:dyDescent="0.35">
      <c r="B149" s="18">
        <v>145</v>
      </c>
      <c r="C149" s="39" t="s">
        <v>4198</v>
      </c>
      <c r="D149" s="39" t="s">
        <v>2697</v>
      </c>
      <c r="E149" s="39" t="s">
        <v>2697</v>
      </c>
      <c r="F149" s="39" t="s">
        <v>2759</v>
      </c>
      <c r="G149" s="44">
        <v>150132</v>
      </c>
      <c r="H149" s="40">
        <v>151</v>
      </c>
      <c r="I149" s="40">
        <v>7745765</v>
      </c>
      <c r="J149" s="40">
        <v>51296</v>
      </c>
    </row>
    <row r="150" spans="2:10" x14ac:dyDescent="0.35">
      <c r="B150" s="18">
        <v>146</v>
      </c>
      <c r="C150" s="39" t="s">
        <v>4199</v>
      </c>
      <c r="D150" s="39" t="s">
        <v>1496</v>
      </c>
      <c r="E150" s="39" t="s">
        <v>1496</v>
      </c>
      <c r="F150" s="39" t="s">
        <v>1504</v>
      </c>
      <c r="G150" s="44">
        <v>80105</v>
      </c>
      <c r="H150" s="40">
        <v>160</v>
      </c>
      <c r="I150" s="40">
        <v>7692975</v>
      </c>
      <c r="J150" s="40">
        <v>48081</v>
      </c>
    </row>
    <row r="151" spans="2:10" x14ac:dyDescent="0.35">
      <c r="B151" s="18">
        <v>147</v>
      </c>
      <c r="C151" s="39" t="s">
        <v>4200</v>
      </c>
      <c r="D151" s="39" t="s">
        <v>2697</v>
      </c>
      <c r="E151" s="39" t="s">
        <v>2697</v>
      </c>
      <c r="F151" s="39" t="s">
        <v>2267</v>
      </c>
      <c r="G151" s="44">
        <v>150110</v>
      </c>
      <c r="H151" s="40">
        <v>185</v>
      </c>
      <c r="I151" s="40">
        <v>7598584</v>
      </c>
      <c r="J151" s="40">
        <v>41073</v>
      </c>
    </row>
    <row r="152" spans="2:10" x14ac:dyDescent="0.35">
      <c r="B152" s="18">
        <v>148</v>
      </c>
      <c r="C152" s="39" t="s">
        <v>4201</v>
      </c>
      <c r="D152" s="39" t="s">
        <v>2697</v>
      </c>
      <c r="E152" s="39" t="s">
        <v>2697</v>
      </c>
      <c r="F152" s="39" t="s">
        <v>2727</v>
      </c>
      <c r="G152" s="44">
        <v>150116</v>
      </c>
      <c r="H152" s="40">
        <v>143</v>
      </c>
      <c r="I152" s="40">
        <v>7472140</v>
      </c>
      <c r="J152" s="40">
        <v>52253</v>
      </c>
    </row>
    <row r="153" spans="2:10" x14ac:dyDescent="0.35">
      <c r="B153" s="18">
        <v>149</v>
      </c>
      <c r="C153" s="39" t="s">
        <v>4202</v>
      </c>
      <c r="D153" s="39" t="s">
        <v>757</v>
      </c>
      <c r="E153" s="39" t="s">
        <v>757</v>
      </c>
      <c r="F153" s="39" t="s">
        <v>757</v>
      </c>
      <c r="G153" s="44">
        <v>40101</v>
      </c>
      <c r="H153" s="40">
        <v>148</v>
      </c>
      <c r="I153" s="40">
        <v>7389349</v>
      </c>
      <c r="J153" s="40">
        <v>49928</v>
      </c>
    </row>
    <row r="154" spans="2:10" x14ac:dyDescent="0.35">
      <c r="B154" s="18">
        <v>150</v>
      </c>
      <c r="C154" s="39" t="s">
        <v>4203</v>
      </c>
      <c r="D154" s="39" t="s">
        <v>2697</v>
      </c>
      <c r="E154" s="39" t="s">
        <v>2697</v>
      </c>
      <c r="F154" s="39" t="s">
        <v>2721</v>
      </c>
      <c r="G154" s="44">
        <v>150113</v>
      </c>
      <c r="H154" s="40">
        <v>127</v>
      </c>
      <c r="I154" s="40">
        <v>7330850</v>
      </c>
      <c r="J154" s="40">
        <v>57723</v>
      </c>
    </row>
    <row r="155" spans="2:10" x14ac:dyDescent="0.35">
      <c r="B155" s="18">
        <v>151</v>
      </c>
      <c r="C155" s="39" t="s">
        <v>4204</v>
      </c>
      <c r="D155" s="39" t="s">
        <v>757</v>
      </c>
      <c r="E155" s="39" t="s">
        <v>757</v>
      </c>
      <c r="F155" s="39" t="s">
        <v>779</v>
      </c>
      <c r="G155" s="44">
        <v>40112</v>
      </c>
      <c r="H155" s="40">
        <v>154</v>
      </c>
      <c r="I155" s="40">
        <v>7089092</v>
      </c>
      <c r="J155" s="40">
        <v>46033</v>
      </c>
    </row>
    <row r="156" spans="2:10" x14ac:dyDescent="0.35">
      <c r="B156" s="18">
        <v>152</v>
      </c>
      <c r="C156" s="39" t="s">
        <v>4205</v>
      </c>
      <c r="D156" s="39" t="s">
        <v>1496</v>
      </c>
      <c r="E156" s="39" t="s">
        <v>1496</v>
      </c>
      <c r="F156" s="39" t="s">
        <v>1496</v>
      </c>
      <c r="G156" s="44">
        <v>80101</v>
      </c>
      <c r="H156" s="40">
        <v>138</v>
      </c>
      <c r="I156" s="40">
        <v>7041151</v>
      </c>
      <c r="J156" s="40">
        <v>51023</v>
      </c>
    </row>
    <row r="157" spans="2:10" x14ac:dyDescent="0.35">
      <c r="B157" s="18">
        <v>153</v>
      </c>
      <c r="C157" s="39" t="s">
        <v>4206</v>
      </c>
      <c r="D157" s="39" t="s">
        <v>2367</v>
      </c>
      <c r="E157" s="39" t="s">
        <v>2200</v>
      </c>
      <c r="F157" s="39" t="s">
        <v>2218</v>
      </c>
      <c r="G157" s="44">
        <v>120114</v>
      </c>
      <c r="H157" s="40">
        <v>159</v>
      </c>
      <c r="I157" s="40">
        <v>7035476</v>
      </c>
      <c r="J157" s="40">
        <v>44248</v>
      </c>
    </row>
    <row r="158" spans="2:10" x14ac:dyDescent="0.35">
      <c r="B158" s="18">
        <v>154</v>
      </c>
      <c r="C158" s="39" t="s">
        <v>4207</v>
      </c>
      <c r="D158" s="39" t="s">
        <v>2697</v>
      </c>
      <c r="E158" s="39" t="s">
        <v>2697</v>
      </c>
      <c r="F158" s="39" t="s">
        <v>2703</v>
      </c>
      <c r="G158" s="44">
        <v>150104</v>
      </c>
      <c r="H158" s="40">
        <v>100</v>
      </c>
      <c r="I158" s="40">
        <v>6977299</v>
      </c>
      <c r="J158" s="40">
        <v>69773</v>
      </c>
    </row>
    <row r="159" spans="2:10" x14ac:dyDescent="0.35">
      <c r="B159" s="18">
        <v>155</v>
      </c>
      <c r="C159" s="39" t="s">
        <v>4208</v>
      </c>
      <c r="D159" s="39" t="s">
        <v>2697</v>
      </c>
      <c r="E159" s="39" t="s">
        <v>2697</v>
      </c>
      <c r="F159" s="39" t="s">
        <v>2717</v>
      </c>
      <c r="G159" s="44">
        <v>150111</v>
      </c>
      <c r="H159" s="40">
        <v>158</v>
      </c>
      <c r="I159" s="40">
        <v>6938716</v>
      </c>
      <c r="J159" s="40">
        <v>43916</v>
      </c>
    </row>
    <row r="160" spans="2:10" x14ac:dyDescent="0.35">
      <c r="B160" s="18">
        <v>156</v>
      </c>
      <c r="C160" s="39" t="s">
        <v>4209</v>
      </c>
      <c r="D160" s="39" t="s">
        <v>1482</v>
      </c>
      <c r="E160" s="39" t="s">
        <v>1482</v>
      </c>
      <c r="F160" s="39" t="s">
        <v>4210</v>
      </c>
      <c r="G160" s="44">
        <v>70107</v>
      </c>
      <c r="H160" s="40">
        <v>188</v>
      </c>
      <c r="I160" s="40">
        <v>6812514</v>
      </c>
      <c r="J160" s="40">
        <v>36237</v>
      </c>
    </row>
    <row r="161" spans="2:10" x14ac:dyDescent="0.35">
      <c r="B161" s="18">
        <v>157</v>
      </c>
      <c r="C161" s="39" t="s">
        <v>4211</v>
      </c>
      <c r="D161" s="39" t="s">
        <v>2697</v>
      </c>
      <c r="E161" s="39" t="s">
        <v>2697</v>
      </c>
      <c r="F161" s="39" t="s">
        <v>2779</v>
      </c>
      <c r="G161" s="44">
        <v>150142</v>
      </c>
      <c r="H161" s="40">
        <v>159</v>
      </c>
      <c r="I161" s="40">
        <v>6702492</v>
      </c>
      <c r="J161" s="40">
        <v>42154</v>
      </c>
    </row>
    <row r="162" spans="2:10" x14ac:dyDescent="0.35">
      <c r="B162" s="18">
        <v>158</v>
      </c>
      <c r="C162" s="39" t="s">
        <v>4212</v>
      </c>
      <c r="D162" s="39" t="s">
        <v>1231</v>
      </c>
      <c r="E162" s="39" t="s">
        <v>1231</v>
      </c>
      <c r="F162" s="39" t="s">
        <v>1231</v>
      </c>
      <c r="G162" s="44">
        <v>60101</v>
      </c>
      <c r="H162" s="40">
        <v>131</v>
      </c>
      <c r="I162" s="40">
        <v>6673588</v>
      </c>
      <c r="J162" s="40">
        <v>50943</v>
      </c>
    </row>
    <row r="163" spans="2:10" x14ac:dyDescent="0.35">
      <c r="B163" s="18">
        <v>159</v>
      </c>
      <c r="C163" s="39" t="s">
        <v>4213</v>
      </c>
      <c r="D163" s="39" t="s">
        <v>2697</v>
      </c>
      <c r="E163" s="39" t="s">
        <v>2697</v>
      </c>
      <c r="F163" s="39" t="s">
        <v>2711</v>
      </c>
      <c r="G163" s="44">
        <v>150108</v>
      </c>
      <c r="H163" s="40">
        <v>141</v>
      </c>
      <c r="I163" s="40">
        <v>6664038</v>
      </c>
      <c r="J163" s="40">
        <v>47263</v>
      </c>
    </row>
    <row r="164" spans="2:10" x14ac:dyDescent="0.35">
      <c r="B164" s="18">
        <v>160</v>
      </c>
      <c r="C164" s="39" t="s">
        <v>4214</v>
      </c>
      <c r="D164" s="39" t="s">
        <v>2697</v>
      </c>
      <c r="E164" s="39" t="s">
        <v>2697</v>
      </c>
      <c r="F164" s="39" t="s">
        <v>2711</v>
      </c>
      <c r="G164" s="44">
        <v>150108</v>
      </c>
      <c r="H164" s="40">
        <v>143</v>
      </c>
      <c r="I164" s="40">
        <v>6651654</v>
      </c>
      <c r="J164" s="40">
        <v>46515</v>
      </c>
    </row>
    <row r="165" spans="2:10" x14ac:dyDescent="0.35">
      <c r="B165" s="18">
        <v>161</v>
      </c>
      <c r="C165" s="39" t="s">
        <v>4215</v>
      </c>
      <c r="D165" s="39" t="s">
        <v>2697</v>
      </c>
      <c r="E165" s="39" t="s">
        <v>2697</v>
      </c>
      <c r="F165" s="39" t="s">
        <v>2721</v>
      </c>
      <c r="G165" s="44">
        <v>150113</v>
      </c>
      <c r="H165" s="40">
        <v>101</v>
      </c>
      <c r="I165" s="40">
        <v>6651518</v>
      </c>
      <c r="J165" s="40">
        <v>65857</v>
      </c>
    </row>
    <row r="166" spans="2:10" x14ac:dyDescent="0.35">
      <c r="B166" s="18">
        <v>162</v>
      </c>
      <c r="C166" s="39" t="s">
        <v>4216</v>
      </c>
      <c r="D166" s="39" t="s">
        <v>2697</v>
      </c>
      <c r="E166" s="39" t="s">
        <v>2697</v>
      </c>
      <c r="F166" s="39" t="s">
        <v>2697</v>
      </c>
      <c r="G166" s="44">
        <v>150101</v>
      </c>
      <c r="H166" s="40">
        <v>129</v>
      </c>
      <c r="I166" s="40">
        <v>6648370</v>
      </c>
      <c r="J166" s="40">
        <v>51538</v>
      </c>
    </row>
    <row r="167" spans="2:10" x14ac:dyDescent="0.35">
      <c r="B167" s="18">
        <v>163</v>
      </c>
      <c r="C167" s="39" t="s">
        <v>4217</v>
      </c>
      <c r="D167" s="39" t="s">
        <v>263</v>
      </c>
      <c r="E167" s="39" t="s">
        <v>2449</v>
      </c>
      <c r="F167" s="39" t="s">
        <v>4218</v>
      </c>
      <c r="G167" s="44">
        <v>130104</v>
      </c>
      <c r="H167" s="40">
        <v>155</v>
      </c>
      <c r="I167" s="40">
        <v>6590507</v>
      </c>
      <c r="J167" s="40">
        <v>42519</v>
      </c>
    </row>
    <row r="168" spans="2:10" x14ac:dyDescent="0.35">
      <c r="B168" s="18">
        <v>164</v>
      </c>
      <c r="C168" s="39" t="s">
        <v>4219</v>
      </c>
      <c r="D168" s="39" t="s">
        <v>2697</v>
      </c>
      <c r="E168" s="39" t="s">
        <v>2697</v>
      </c>
      <c r="F168" s="39" t="s">
        <v>2775</v>
      </c>
      <c r="G168" s="44">
        <v>150140</v>
      </c>
      <c r="H168" s="40">
        <v>138</v>
      </c>
      <c r="I168" s="40">
        <v>6563116</v>
      </c>
      <c r="J168" s="40">
        <v>47559</v>
      </c>
    </row>
    <row r="169" spans="2:10" x14ac:dyDescent="0.35">
      <c r="B169" s="18">
        <v>165</v>
      </c>
      <c r="C169" s="39" t="s">
        <v>4220</v>
      </c>
      <c r="D169" s="39" t="s">
        <v>2697</v>
      </c>
      <c r="E169" s="39" t="s">
        <v>2697</v>
      </c>
      <c r="F169" s="39" t="s">
        <v>2759</v>
      </c>
      <c r="G169" s="44">
        <v>150132</v>
      </c>
      <c r="H169" s="40">
        <v>134</v>
      </c>
      <c r="I169" s="40">
        <v>6516220</v>
      </c>
      <c r="J169" s="40">
        <v>48629</v>
      </c>
    </row>
    <row r="170" spans="2:10" x14ac:dyDescent="0.35">
      <c r="B170" s="18">
        <v>166</v>
      </c>
      <c r="C170" s="39" t="s">
        <v>4221</v>
      </c>
      <c r="D170" s="39" t="s">
        <v>2697</v>
      </c>
      <c r="E170" s="39" t="s">
        <v>2697</v>
      </c>
      <c r="F170" s="39" t="s">
        <v>2759</v>
      </c>
      <c r="G170" s="44">
        <v>150132</v>
      </c>
      <c r="H170" s="40">
        <v>177</v>
      </c>
      <c r="I170" s="40">
        <v>6489096</v>
      </c>
      <c r="J170" s="40">
        <v>36662</v>
      </c>
    </row>
    <row r="171" spans="2:10" x14ac:dyDescent="0.35">
      <c r="B171" s="18">
        <v>167</v>
      </c>
      <c r="C171" s="39" t="s">
        <v>4222</v>
      </c>
      <c r="D171" s="39" t="s">
        <v>2697</v>
      </c>
      <c r="E171" s="39" t="s">
        <v>2697</v>
      </c>
      <c r="F171" s="39" t="s">
        <v>2755</v>
      </c>
      <c r="G171" s="44">
        <v>150130</v>
      </c>
      <c r="H171" s="40">
        <v>108</v>
      </c>
      <c r="I171" s="40">
        <v>6482602</v>
      </c>
      <c r="J171" s="40">
        <v>60024</v>
      </c>
    </row>
    <row r="172" spans="2:10" x14ac:dyDescent="0.35">
      <c r="B172" s="18">
        <v>168</v>
      </c>
      <c r="C172" s="39" t="s">
        <v>4223</v>
      </c>
      <c r="D172" s="39" t="s">
        <v>2697</v>
      </c>
      <c r="E172" s="39" t="s">
        <v>2697</v>
      </c>
      <c r="F172" s="39" t="s">
        <v>2759</v>
      </c>
      <c r="G172" s="44">
        <v>150132</v>
      </c>
      <c r="H172" s="40">
        <v>168</v>
      </c>
      <c r="I172" s="40">
        <v>6428633</v>
      </c>
      <c r="J172" s="40">
        <v>38266</v>
      </c>
    </row>
    <row r="173" spans="2:10" x14ac:dyDescent="0.35">
      <c r="B173" s="18">
        <v>169</v>
      </c>
      <c r="C173" s="39" t="s">
        <v>4224</v>
      </c>
      <c r="D173" s="39" t="s">
        <v>1496</v>
      </c>
      <c r="E173" s="39" t="s">
        <v>1496</v>
      </c>
      <c r="F173" s="39" t="s">
        <v>1504</v>
      </c>
      <c r="G173" s="44">
        <v>80105</v>
      </c>
      <c r="H173" s="40">
        <v>137</v>
      </c>
      <c r="I173" s="40">
        <v>6382268</v>
      </c>
      <c r="J173" s="40">
        <v>46586</v>
      </c>
    </row>
    <row r="174" spans="2:10" x14ac:dyDescent="0.35">
      <c r="B174" s="18">
        <v>170</v>
      </c>
      <c r="C174" s="39" t="s">
        <v>4225</v>
      </c>
      <c r="D174" s="39" t="s">
        <v>1231</v>
      </c>
      <c r="E174" s="39" t="s">
        <v>1231</v>
      </c>
      <c r="F174" s="39" t="s">
        <v>1231</v>
      </c>
      <c r="G174" s="44">
        <v>60101</v>
      </c>
      <c r="H174" s="40">
        <v>109</v>
      </c>
      <c r="I174" s="40">
        <v>6193056</v>
      </c>
      <c r="J174" s="40">
        <v>56817</v>
      </c>
    </row>
    <row r="175" spans="2:10" x14ac:dyDescent="0.35">
      <c r="B175" s="18">
        <v>171</v>
      </c>
      <c r="C175" s="39" t="s">
        <v>4226</v>
      </c>
      <c r="D175" s="39" t="s">
        <v>3846</v>
      </c>
      <c r="E175" s="39" t="s">
        <v>3846</v>
      </c>
      <c r="F175" s="39" t="s">
        <v>3846</v>
      </c>
      <c r="G175" s="44">
        <v>240101</v>
      </c>
      <c r="H175" s="40">
        <v>124</v>
      </c>
      <c r="I175" s="40">
        <v>6183383</v>
      </c>
      <c r="J175" s="40">
        <v>49866</v>
      </c>
    </row>
    <row r="176" spans="2:10" x14ac:dyDescent="0.35">
      <c r="B176" s="18">
        <v>172</v>
      </c>
      <c r="C176" s="39" t="s">
        <v>4227</v>
      </c>
      <c r="D176" s="39" t="s">
        <v>2697</v>
      </c>
      <c r="E176" s="39" t="s">
        <v>2697</v>
      </c>
      <c r="F176" s="39" t="s">
        <v>2755</v>
      </c>
      <c r="G176" s="44">
        <v>150130</v>
      </c>
      <c r="H176" s="40">
        <v>100</v>
      </c>
      <c r="I176" s="40">
        <v>6177229</v>
      </c>
      <c r="J176" s="40">
        <v>61772</v>
      </c>
    </row>
    <row r="177" spans="2:10" x14ac:dyDescent="0.35">
      <c r="B177" s="18">
        <v>173</v>
      </c>
      <c r="C177" s="39" t="s">
        <v>4228</v>
      </c>
      <c r="D177" s="39" t="s">
        <v>757</v>
      </c>
      <c r="E177" s="39" t="s">
        <v>757</v>
      </c>
      <c r="F177" s="39" t="s">
        <v>757</v>
      </c>
      <c r="G177" s="44">
        <v>40101</v>
      </c>
      <c r="H177" s="40">
        <v>123</v>
      </c>
      <c r="I177" s="40">
        <v>6104818</v>
      </c>
      <c r="J177" s="40">
        <v>49633</v>
      </c>
    </row>
    <row r="178" spans="2:10" x14ac:dyDescent="0.35">
      <c r="B178" s="18">
        <v>174</v>
      </c>
      <c r="C178" s="39" t="s">
        <v>4229</v>
      </c>
      <c r="D178" s="39" t="s">
        <v>2697</v>
      </c>
      <c r="E178" s="39" t="s">
        <v>2697</v>
      </c>
      <c r="F178" s="39" t="s">
        <v>2759</v>
      </c>
      <c r="G178" s="44">
        <v>150132</v>
      </c>
      <c r="H178" s="40">
        <v>159</v>
      </c>
      <c r="I178" s="40">
        <v>6058911</v>
      </c>
      <c r="J178" s="40">
        <v>38106</v>
      </c>
    </row>
    <row r="179" spans="2:10" x14ac:dyDescent="0.35">
      <c r="B179" s="18">
        <v>175</v>
      </c>
      <c r="C179" s="39" t="s">
        <v>4230</v>
      </c>
      <c r="D179" s="39" t="s">
        <v>757</v>
      </c>
      <c r="E179" s="39" t="s">
        <v>757</v>
      </c>
      <c r="F179" s="39" t="s">
        <v>807</v>
      </c>
      <c r="G179" s="44">
        <v>40126</v>
      </c>
      <c r="H179" s="40">
        <v>102</v>
      </c>
      <c r="I179" s="40">
        <v>6029717</v>
      </c>
      <c r="J179" s="40">
        <v>59115</v>
      </c>
    </row>
    <row r="180" spans="2:10" x14ac:dyDescent="0.35">
      <c r="B180" s="18">
        <v>176</v>
      </c>
      <c r="C180" s="39" t="s">
        <v>4231</v>
      </c>
      <c r="D180" s="39" t="s">
        <v>2697</v>
      </c>
      <c r="E180" s="39" t="s">
        <v>2697</v>
      </c>
      <c r="F180" s="39" t="s">
        <v>2727</v>
      </c>
      <c r="G180" s="44">
        <v>150116</v>
      </c>
      <c r="H180" s="40">
        <v>103</v>
      </c>
      <c r="I180" s="40">
        <v>5914786</v>
      </c>
      <c r="J180" s="40">
        <v>57425</v>
      </c>
    </row>
    <row r="181" spans="2:10" x14ac:dyDescent="0.35">
      <c r="B181" s="18">
        <v>177</v>
      </c>
      <c r="C181" s="39" t="s">
        <v>4232</v>
      </c>
      <c r="D181" s="39" t="s">
        <v>2697</v>
      </c>
      <c r="E181" s="39" t="s">
        <v>2697</v>
      </c>
      <c r="F181" s="39" t="s">
        <v>2781</v>
      </c>
      <c r="G181" s="44">
        <v>150143</v>
      </c>
      <c r="H181" s="40">
        <v>153</v>
      </c>
      <c r="I181" s="40">
        <v>5882845</v>
      </c>
      <c r="J181" s="40">
        <v>38450</v>
      </c>
    </row>
    <row r="182" spans="2:10" x14ac:dyDescent="0.35">
      <c r="B182" s="18">
        <v>178</v>
      </c>
      <c r="C182" s="39" t="s">
        <v>4233</v>
      </c>
      <c r="D182" s="39" t="s">
        <v>1496</v>
      </c>
      <c r="E182" s="39" t="s">
        <v>1496</v>
      </c>
      <c r="F182" s="39" t="s">
        <v>1506</v>
      </c>
      <c r="G182" s="44">
        <v>80106</v>
      </c>
      <c r="H182" s="40">
        <v>138</v>
      </c>
      <c r="I182" s="40">
        <v>5851993</v>
      </c>
      <c r="J182" s="40">
        <v>42406</v>
      </c>
    </row>
    <row r="183" spans="2:10" x14ac:dyDescent="0.35">
      <c r="B183" s="18">
        <v>179</v>
      </c>
      <c r="C183" s="39" t="s">
        <v>4234</v>
      </c>
      <c r="D183" s="39" t="s">
        <v>3407</v>
      </c>
      <c r="E183" s="39" t="s">
        <v>3587</v>
      </c>
      <c r="F183" s="39" t="s">
        <v>3588</v>
      </c>
      <c r="G183" s="44">
        <v>211101</v>
      </c>
      <c r="H183" s="40">
        <v>123</v>
      </c>
      <c r="I183" s="40">
        <v>5716739</v>
      </c>
      <c r="J183" s="40">
        <v>46478</v>
      </c>
    </row>
    <row r="184" spans="2:10" x14ac:dyDescent="0.35">
      <c r="B184" s="18">
        <v>180</v>
      </c>
      <c r="C184" s="39" t="s">
        <v>4235</v>
      </c>
      <c r="D184" s="39" t="s">
        <v>4067</v>
      </c>
      <c r="E184" s="39" t="s">
        <v>251</v>
      </c>
      <c r="F184" s="39" t="s">
        <v>259</v>
      </c>
      <c r="G184" s="44">
        <v>20105</v>
      </c>
      <c r="H184" s="40">
        <v>108</v>
      </c>
      <c r="I184" s="40">
        <v>5701084</v>
      </c>
      <c r="J184" s="40">
        <v>52788</v>
      </c>
    </row>
    <row r="185" spans="2:10" x14ac:dyDescent="0.35">
      <c r="B185" s="18">
        <v>181</v>
      </c>
      <c r="C185" s="39" t="s">
        <v>4236</v>
      </c>
      <c r="D185" s="39" t="s">
        <v>2697</v>
      </c>
      <c r="E185" s="39" t="s">
        <v>2697</v>
      </c>
      <c r="F185" s="39" t="s">
        <v>2701</v>
      </c>
      <c r="G185" s="44">
        <v>150103</v>
      </c>
      <c r="H185" s="40">
        <v>116</v>
      </c>
      <c r="I185" s="40">
        <v>5546101</v>
      </c>
      <c r="J185" s="40">
        <v>47811</v>
      </c>
    </row>
    <row r="186" spans="2:10" x14ac:dyDescent="0.35">
      <c r="B186" s="18">
        <v>182</v>
      </c>
      <c r="C186" s="39" t="s">
        <v>4237</v>
      </c>
      <c r="D186" s="39" t="s">
        <v>2697</v>
      </c>
      <c r="E186" s="39" t="s">
        <v>2697</v>
      </c>
      <c r="F186" s="39" t="s">
        <v>2779</v>
      </c>
      <c r="G186" s="44">
        <v>150142</v>
      </c>
      <c r="H186" s="40">
        <v>121</v>
      </c>
      <c r="I186" s="40">
        <v>5527912</v>
      </c>
      <c r="J186" s="40">
        <v>45685</v>
      </c>
    </row>
    <row r="187" spans="2:10" x14ac:dyDescent="0.35">
      <c r="B187" s="18">
        <v>183</v>
      </c>
      <c r="C187" s="39" t="s">
        <v>4238</v>
      </c>
      <c r="D187" s="39" t="s">
        <v>2697</v>
      </c>
      <c r="E187" s="39" t="s">
        <v>2697</v>
      </c>
      <c r="F187" s="39" t="s">
        <v>2761</v>
      </c>
      <c r="G187" s="44">
        <v>150133</v>
      </c>
      <c r="H187" s="40">
        <v>117</v>
      </c>
      <c r="I187" s="40">
        <v>5509315</v>
      </c>
      <c r="J187" s="40">
        <v>47088</v>
      </c>
    </row>
    <row r="188" spans="2:10" x14ac:dyDescent="0.35">
      <c r="B188" s="18">
        <v>184</v>
      </c>
      <c r="C188" s="39" t="s">
        <v>4239</v>
      </c>
      <c r="D188" s="39" t="s">
        <v>1482</v>
      </c>
      <c r="E188" s="39" t="s">
        <v>1482</v>
      </c>
      <c r="F188" s="39" t="s">
        <v>1482</v>
      </c>
      <c r="G188" s="44">
        <v>70101</v>
      </c>
      <c r="H188" s="40">
        <v>110</v>
      </c>
      <c r="I188" s="40">
        <v>5346255</v>
      </c>
      <c r="J188" s="40">
        <v>48602</v>
      </c>
    </row>
    <row r="189" spans="2:10" x14ac:dyDescent="0.35">
      <c r="B189" s="18">
        <v>185</v>
      </c>
      <c r="C189" s="39" t="s">
        <v>4240</v>
      </c>
      <c r="D189" s="39" t="s">
        <v>2697</v>
      </c>
      <c r="E189" s="39" t="s">
        <v>2697</v>
      </c>
      <c r="F189" s="39" t="s">
        <v>2741</v>
      </c>
      <c r="G189" s="44">
        <v>150123</v>
      </c>
      <c r="H189" s="40">
        <v>137</v>
      </c>
      <c r="I189" s="40">
        <v>5336174</v>
      </c>
      <c r="J189" s="40">
        <v>38950</v>
      </c>
    </row>
    <row r="190" spans="2:10" x14ac:dyDescent="0.35">
      <c r="B190" s="18">
        <v>186</v>
      </c>
      <c r="C190" s="39" t="s">
        <v>4241</v>
      </c>
      <c r="D190" s="39" t="s">
        <v>757</v>
      </c>
      <c r="E190" s="39" t="s">
        <v>757</v>
      </c>
      <c r="F190" s="39" t="s">
        <v>813</v>
      </c>
      <c r="G190" s="44">
        <v>40129</v>
      </c>
      <c r="H190" s="40">
        <v>116</v>
      </c>
      <c r="I190" s="40">
        <v>5257626</v>
      </c>
      <c r="J190" s="40">
        <v>45324</v>
      </c>
    </row>
    <row r="191" spans="2:10" x14ac:dyDescent="0.35">
      <c r="B191" s="18">
        <v>187</v>
      </c>
      <c r="C191" s="39" t="s">
        <v>4242</v>
      </c>
      <c r="D191" s="39" t="s">
        <v>1496</v>
      </c>
      <c r="E191" s="39" t="s">
        <v>1496</v>
      </c>
      <c r="F191" s="39" t="s">
        <v>1510</v>
      </c>
      <c r="G191" s="44">
        <v>80108</v>
      </c>
      <c r="H191" s="40">
        <v>103</v>
      </c>
      <c r="I191" s="40">
        <v>5145249</v>
      </c>
      <c r="J191" s="40">
        <v>49954</v>
      </c>
    </row>
    <row r="192" spans="2:10" x14ac:dyDescent="0.35">
      <c r="B192" s="18">
        <v>188</v>
      </c>
      <c r="C192" s="39" t="s">
        <v>4243</v>
      </c>
      <c r="D192" s="39" t="s">
        <v>1496</v>
      </c>
      <c r="E192" s="39" t="s">
        <v>1496</v>
      </c>
      <c r="F192" s="39" t="s">
        <v>1510</v>
      </c>
      <c r="G192" s="44">
        <v>80108</v>
      </c>
      <c r="H192" s="40">
        <v>109</v>
      </c>
      <c r="I192" s="40">
        <v>5057647</v>
      </c>
      <c r="J192" s="40">
        <v>46400</v>
      </c>
    </row>
    <row r="193" spans="2:10" x14ac:dyDescent="0.35">
      <c r="B193" s="18">
        <v>189</v>
      </c>
      <c r="C193" s="39" t="s">
        <v>4244</v>
      </c>
      <c r="D193" s="39" t="s">
        <v>1496</v>
      </c>
      <c r="E193" s="39" t="s">
        <v>1496</v>
      </c>
      <c r="F193" s="39" t="s">
        <v>1496</v>
      </c>
      <c r="G193" s="44">
        <v>80101</v>
      </c>
      <c r="H193" s="40">
        <v>109</v>
      </c>
      <c r="I193" s="40">
        <v>5048865</v>
      </c>
      <c r="J193" s="40">
        <v>46320</v>
      </c>
    </row>
    <row r="194" spans="2:10" x14ac:dyDescent="0.35">
      <c r="B194" s="18">
        <v>190</v>
      </c>
      <c r="C194" s="39" t="s">
        <v>4245</v>
      </c>
      <c r="D194" s="39" t="s">
        <v>757</v>
      </c>
      <c r="E194" s="39" t="s">
        <v>757</v>
      </c>
      <c r="F194" s="39" t="s">
        <v>813</v>
      </c>
      <c r="G194" s="44">
        <v>40129</v>
      </c>
      <c r="H194" s="40">
        <v>111</v>
      </c>
      <c r="I194" s="40">
        <v>5004338</v>
      </c>
      <c r="J194" s="40">
        <v>45084</v>
      </c>
    </row>
    <row r="195" spans="2:10" x14ac:dyDescent="0.35">
      <c r="B195" s="18">
        <v>191</v>
      </c>
      <c r="C195" s="39" t="s">
        <v>4246</v>
      </c>
      <c r="D195" s="39" t="s">
        <v>2697</v>
      </c>
      <c r="E195" s="39" t="s">
        <v>2697</v>
      </c>
      <c r="F195" s="39" t="s">
        <v>2769</v>
      </c>
      <c r="G195" s="44">
        <v>150137</v>
      </c>
      <c r="H195" s="40">
        <v>101</v>
      </c>
      <c r="I195" s="40">
        <v>4853372</v>
      </c>
      <c r="J195" s="40">
        <v>48053</v>
      </c>
    </row>
    <row r="196" spans="2:10" x14ac:dyDescent="0.35">
      <c r="B196" s="18">
        <v>192</v>
      </c>
      <c r="C196" s="39" t="s">
        <v>4247</v>
      </c>
      <c r="D196" s="39" t="s">
        <v>3846</v>
      </c>
      <c r="E196" s="39" t="s">
        <v>3846</v>
      </c>
      <c r="F196" s="39" t="s">
        <v>3846</v>
      </c>
      <c r="G196" s="44">
        <v>240101</v>
      </c>
      <c r="H196" s="40">
        <v>100</v>
      </c>
      <c r="I196" s="40">
        <v>4848890</v>
      </c>
      <c r="J196" s="40">
        <v>48489</v>
      </c>
    </row>
    <row r="197" spans="2:10" x14ac:dyDescent="0.35">
      <c r="B197" s="18">
        <v>193</v>
      </c>
      <c r="C197" s="39" t="s">
        <v>4248</v>
      </c>
      <c r="D197" s="39" t="s">
        <v>2697</v>
      </c>
      <c r="E197" s="39" t="s">
        <v>2697</v>
      </c>
      <c r="F197" s="39" t="s">
        <v>2759</v>
      </c>
      <c r="G197" s="44">
        <v>150132</v>
      </c>
      <c r="H197" s="40">
        <v>114</v>
      </c>
      <c r="I197" s="40">
        <v>4795223</v>
      </c>
      <c r="J197" s="40">
        <v>42063</v>
      </c>
    </row>
    <row r="198" spans="2:10" x14ac:dyDescent="0.35">
      <c r="B198" s="18">
        <v>194</v>
      </c>
      <c r="C198" s="39" t="s">
        <v>4249</v>
      </c>
      <c r="D198" s="39" t="s">
        <v>757</v>
      </c>
      <c r="E198" s="39" t="s">
        <v>757</v>
      </c>
      <c r="F198" s="39" t="s">
        <v>757</v>
      </c>
      <c r="G198" s="44">
        <v>40101</v>
      </c>
      <c r="H198" s="40">
        <v>102</v>
      </c>
      <c r="I198" s="40">
        <v>4667643</v>
      </c>
      <c r="J198" s="40">
        <v>45761</v>
      </c>
    </row>
    <row r="199" spans="2:10" x14ac:dyDescent="0.35">
      <c r="B199" s="18">
        <v>195</v>
      </c>
      <c r="C199" s="39" t="s">
        <v>4250</v>
      </c>
      <c r="D199" s="39" t="s">
        <v>2697</v>
      </c>
      <c r="E199" s="39" t="s">
        <v>2697</v>
      </c>
      <c r="F199" s="39" t="s">
        <v>2267</v>
      </c>
      <c r="G199" s="44">
        <v>150110</v>
      </c>
      <c r="H199" s="40">
        <v>129</v>
      </c>
      <c r="I199" s="40">
        <v>4639567</v>
      </c>
      <c r="J199" s="40">
        <v>35966</v>
      </c>
    </row>
    <row r="200" spans="2:10" x14ac:dyDescent="0.35">
      <c r="B200" s="18">
        <v>196</v>
      </c>
      <c r="C200" s="39" t="s">
        <v>4251</v>
      </c>
      <c r="D200" s="39" t="s">
        <v>2697</v>
      </c>
      <c r="E200" s="39" t="s">
        <v>2697</v>
      </c>
      <c r="F200" s="39" t="s">
        <v>2731</v>
      </c>
      <c r="G200" s="44">
        <v>150118</v>
      </c>
      <c r="H200" s="40">
        <v>111</v>
      </c>
      <c r="I200" s="40">
        <v>4514756</v>
      </c>
      <c r="J200" s="40">
        <v>40673</v>
      </c>
    </row>
    <row r="201" spans="2:10" x14ac:dyDescent="0.35">
      <c r="B201" s="18">
        <v>197</v>
      </c>
      <c r="C201" s="39" t="s">
        <v>4252</v>
      </c>
      <c r="D201" s="39" t="s">
        <v>2697</v>
      </c>
      <c r="E201" s="39" t="s">
        <v>2697</v>
      </c>
      <c r="F201" s="39" t="s">
        <v>2761</v>
      </c>
      <c r="G201" s="44">
        <v>150133</v>
      </c>
      <c r="H201" s="40">
        <v>111</v>
      </c>
      <c r="I201" s="40">
        <v>4477192</v>
      </c>
      <c r="J201" s="40">
        <v>40335</v>
      </c>
    </row>
    <row r="202" spans="2:10" x14ac:dyDescent="0.35">
      <c r="B202" s="18">
        <v>198</v>
      </c>
      <c r="C202" s="39" t="s">
        <v>4253</v>
      </c>
      <c r="D202" s="39" t="s">
        <v>4008</v>
      </c>
      <c r="E202" s="39" t="s">
        <v>4008</v>
      </c>
      <c r="F202" s="39" t="s">
        <v>4008</v>
      </c>
      <c r="G202" s="44">
        <v>100101</v>
      </c>
      <c r="H202" s="40">
        <v>100</v>
      </c>
      <c r="I202" s="40">
        <v>4090916</v>
      </c>
      <c r="J202" s="40">
        <v>40909</v>
      </c>
    </row>
    <row r="203" spans="2:10" x14ac:dyDescent="0.35">
      <c r="B203" s="18">
        <v>199</v>
      </c>
      <c r="C203" s="39" t="s">
        <v>4254</v>
      </c>
      <c r="D203" s="39" t="s">
        <v>2697</v>
      </c>
      <c r="E203" s="39" t="s">
        <v>2697</v>
      </c>
      <c r="F203" s="39" t="s">
        <v>2697</v>
      </c>
      <c r="G203" s="44">
        <v>150101</v>
      </c>
      <c r="H203" s="40">
        <v>82</v>
      </c>
      <c r="I203" s="40">
        <v>3726830</v>
      </c>
      <c r="J203" s="40">
        <v>45449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Definic tipos cred SBS</vt:lpstr>
      <vt:lpstr>BaseIBK</vt:lpstr>
      <vt:lpstr>Fuentes y conceptos</vt:lpstr>
      <vt:lpstr>Tablas</vt:lpstr>
      <vt:lpstr>BaseIBK distritos filt</vt:lpstr>
      <vt:lpstr>Tamaño mcdo pyme</vt:lpstr>
      <vt:lpstr>Penetración fin pyme</vt:lpstr>
      <vt:lpstr>Calidad cartera pyme</vt:lpstr>
      <vt:lpstr>Transaccionalidad Intercorp</vt:lpstr>
      <vt:lpstr>Resum pilares</vt:lpstr>
      <vt:lpstr>Ranking distritos</vt:lpstr>
      <vt:lpstr>Ranking clústeres</vt:lpstr>
      <vt:lpstr>'Definic tipos cred SBS'!Área_de_impresión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Bravo Espinoza</dc:creator>
  <cp:keywords/>
  <dc:description/>
  <cp:lastModifiedBy>Barrozo Razo, Karen Sofia</cp:lastModifiedBy>
  <cp:revision/>
  <dcterms:created xsi:type="dcterms:W3CDTF">2026-03-08T04:59:09Z</dcterms:created>
  <dcterms:modified xsi:type="dcterms:W3CDTF">2026-04-23T05:25:43Z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2-Confidencial</vt:lpwstr>
  </property>
</Properties>
</file>